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7A97C5AB-2468-456D-B06F-C599895F4D8B}" xr6:coauthVersionLast="47" xr6:coauthVersionMax="47" xr10:uidLastSave="{00000000-0000-0000-0000-000000000000}"/>
  <bookViews>
    <workbookView xWindow="735" yWindow="735" windowWidth="27240" windowHeight="14550" xr2:uid="{2352C1F4-7CD3-49B7-B85C-109D00051562}"/>
  </bookViews>
  <sheets>
    <sheet name="US Biodiesel Imports" sheetId="1" r:id="rId1"/>
    <sheet name="US Biodiesel Exports" sheetId="2" r:id="rId2"/>
    <sheet name="Conversion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N324" i="2" l="1"/>
  <c r="IM324" i="2"/>
  <c r="IL324" i="2"/>
  <c r="IX323" i="2"/>
  <c r="IW323" i="2"/>
  <c r="IW324" i="2" s="1"/>
  <c r="IV323" i="2"/>
  <c r="IV324" i="2" s="1"/>
  <c r="IU323" i="2"/>
  <c r="IS323" i="2"/>
  <c r="IS324" i="2" s="1"/>
  <c r="IR323" i="2"/>
  <c r="IQ323" i="2"/>
  <c r="IQ324" i="2" s="1"/>
  <c r="IP323" i="2"/>
  <c r="IO323" i="2"/>
  <c r="IN323" i="2"/>
  <c r="IM323" i="2"/>
  <c r="IL323" i="2"/>
  <c r="JF322" i="2"/>
  <c r="JE322" i="2"/>
  <c r="JD322" i="2"/>
  <c r="JC322" i="2"/>
  <c r="JB322" i="2"/>
  <c r="JA322" i="2"/>
  <c r="IZ322" i="2"/>
  <c r="IY322" i="2"/>
  <c r="IX322" i="2"/>
  <c r="IW322" i="2"/>
  <c r="IV322" i="2"/>
  <c r="IU322" i="2"/>
  <c r="IT322" i="2"/>
  <c r="IS322" i="2"/>
  <c r="IR322" i="2"/>
  <c r="IQ322" i="2"/>
  <c r="IP322" i="2"/>
  <c r="IO322" i="2"/>
  <c r="IO324" i="2" s="1"/>
  <c r="IN322" i="2"/>
  <c r="IM322" i="2"/>
  <c r="IL322" i="2"/>
  <c r="IK322" i="2"/>
  <c r="IJ322" i="2"/>
  <c r="IZ318" i="2"/>
  <c r="JB317" i="2"/>
  <c r="JG316" i="2"/>
  <c r="JF316" i="2"/>
  <c r="JE316" i="2"/>
  <c r="JC315" i="2"/>
  <c r="JB315" i="2"/>
  <c r="JA315" i="2"/>
  <c r="IZ315" i="2"/>
  <c r="JB314" i="2"/>
  <c r="JA314" i="2"/>
  <c r="JE312" i="2"/>
  <c r="JD312" i="2"/>
  <c r="JB312" i="2"/>
  <c r="JA312" i="2"/>
  <c r="IZ312" i="2"/>
  <c r="JF311" i="2"/>
  <c r="JE311" i="2"/>
  <c r="JD311" i="2"/>
  <c r="JC311" i="2"/>
  <c r="JB311" i="2"/>
  <c r="JA311" i="2"/>
  <c r="KB309" i="2"/>
  <c r="JY309" i="2"/>
  <c r="JX309" i="2"/>
  <c r="JW309" i="2"/>
  <c r="IF309" i="2"/>
  <c r="HI309" i="2"/>
  <c r="GN309" i="2"/>
  <c r="JU306" i="2"/>
  <c r="JR306" i="2"/>
  <c r="JQ306" i="2"/>
  <c r="JP306" i="2"/>
  <c r="JO306" i="2"/>
  <c r="JN306" i="2"/>
  <c r="JM306" i="2"/>
  <c r="JL306" i="2"/>
  <c r="JK306" i="2"/>
  <c r="JA306" i="2"/>
  <c r="IZ306" i="2"/>
  <c r="KH305" i="2"/>
  <c r="KG305" i="2"/>
  <c r="MG304" i="2"/>
  <c r="MF304" i="2"/>
  <c r="ME304" i="2"/>
  <c r="MD304" i="2"/>
  <c r="MC304" i="2"/>
  <c r="MB304" i="2"/>
  <c r="MA304" i="2"/>
  <c r="LZ304" i="2"/>
  <c r="LY304" i="2"/>
  <c r="LX304" i="2"/>
  <c r="LW304" i="2"/>
  <c r="LV304" i="2"/>
  <c r="LU304" i="2"/>
  <c r="LT304" i="2"/>
  <c r="LS304" i="2"/>
  <c r="LR304" i="2"/>
  <c r="LQ304" i="2"/>
  <c r="LP304" i="2"/>
  <c r="LO304" i="2"/>
  <c r="LN304" i="2"/>
  <c r="LM304" i="2"/>
  <c r="LL304" i="2"/>
  <c r="LK304" i="2"/>
  <c r="LJ304" i="2"/>
  <c r="LI304" i="2"/>
  <c r="LH304" i="2"/>
  <c r="LG304" i="2"/>
  <c r="LF304" i="2"/>
  <c r="LE304" i="2"/>
  <c r="LD304" i="2"/>
  <c r="LC304" i="2"/>
  <c r="LB304" i="2"/>
  <c r="LA304" i="2"/>
  <c r="KZ304" i="2"/>
  <c r="KY304" i="2"/>
  <c r="KX304" i="2"/>
  <c r="KW304" i="2"/>
  <c r="KV304" i="2"/>
  <c r="KU304" i="2"/>
  <c r="KT304" i="2"/>
  <c r="KS304" i="2"/>
  <c r="KR304" i="2"/>
  <c r="KQ304" i="2"/>
  <c r="KP304" i="2"/>
  <c r="KO304" i="2"/>
  <c r="KN304" i="2"/>
  <c r="KM304" i="2"/>
  <c r="KL304" i="2"/>
  <c r="KK304" i="2"/>
  <c r="KJ304" i="2"/>
  <c r="KI304" i="2"/>
  <c r="KH304" i="2"/>
  <c r="KG304" i="2"/>
  <c r="KF304" i="2"/>
  <c r="KE304" i="2"/>
  <c r="KD304" i="2"/>
  <c r="KC304" i="2"/>
  <c r="KB304" i="2"/>
  <c r="KA304" i="2"/>
  <c r="JZ304" i="2"/>
  <c r="JY304" i="2"/>
  <c r="JX304" i="2"/>
  <c r="JW304" i="2"/>
  <c r="JW306" i="2" s="1"/>
  <c r="JV304" i="2"/>
  <c r="JU304" i="2"/>
  <c r="JT304" i="2"/>
  <c r="JS304" i="2"/>
  <c r="JS306" i="2" s="1"/>
  <c r="JR304" i="2"/>
  <c r="JQ304" i="2"/>
  <c r="JP304" i="2"/>
  <c r="JO304" i="2"/>
  <c r="JN304" i="2"/>
  <c r="JM304" i="2"/>
  <c r="JL304" i="2"/>
  <c r="JK304" i="2"/>
  <c r="JJ304" i="2"/>
  <c r="JJ306" i="2" s="1"/>
  <c r="JI304" i="2"/>
  <c r="JI306" i="2" s="1"/>
  <c r="JH304" i="2"/>
  <c r="JG304" i="2"/>
  <c r="JG318" i="2" s="1"/>
  <c r="JF304" i="2"/>
  <c r="JF323" i="2" s="1"/>
  <c r="JF324" i="2" s="1"/>
  <c r="JE304" i="2"/>
  <c r="JD304" i="2"/>
  <c r="JC304" i="2"/>
  <c r="JB304" i="2"/>
  <c r="JA304" i="2"/>
  <c r="JA323" i="2" s="1"/>
  <c r="JA324" i="2" s="1"/>
  <c r="IZ304" i="2"/>
  <c r="IZ323" i="2" s="1"/>
  <c r="IZ324" i="2" s="1"/>
  <c r="IY304" i="2"/>
  <c r="IY323" i="2" s="1"/>
  <c r="IX304" i="2"/>
  <c r="IX306" i="2" s="1"/>
  <c r="IW304" i="2"/>
  <c r="IW306" i="2" s="1"/>
  <c r="IV304" i="2"/>
  <c r="IV306" i="2" s="1"/>
  <c r="IU304" i="2"/>
  <c r="IT304" i="2"/>
  <c r="IT323" i="2" s="1"/>
  <c r="IT324" i="2" s="1"/>
  <c r="IS304" i="2"/>
  <c r="IR304" i="2"/>
  <c r="IQ304" i="2"/>
  <c r="IP304" i="2"/>
  <c r="IO304" i="2"/>
  <c r="IN304" i="2"/>
  <c r="IM304" i="2"/>
  <c r="IL304" i="2"/>
  <c r="IK304" i="2"/>
  <c r="IK323" i="2" s="1"/>
  <c r="IK324" i="2" s="1"/>
  <c r="IJ304" i="2"/>
  <c r="IJ323" i="2" s="1"/>
  <c r="IJ324" i="2" s="1"/>
  <c r="II304" i="2"/>
  <c r="IH304" i="2"/>
  <c r="IG304" i="2"/>
  <c r="IF304" i="2"/>
  <c r="IE304" i="2"/>
  <c r="ID304" i="2"/>
  <c r="IC304" i="2"/>
  <c r="IB304" i="2"/>
  <c r="IA304" i="2"/>
  <c r="HZ304" i="2"/>
  <c r="HY304" i="2"/>
  <c r="HX304" i="2"/>
  <c r="HW304" i="2"/>
  <c r="HV304" i="2"/>
  <c r="HU304" i="2"/>
  <c r="HT304" i="2"/>
  <c r="HS304" i="2"/>
  <c r="HR304" i="2"/>
  <c r="HQ304" i="2"/>
  <c r="HP304" i="2"/>
  <c r="HO304" i="2"/>
  <c r="HN304" i="2"/>
  <c r="HM304" i="2"/>
  <c r="HL304" i="2"/>
  <c r="HK304" i="2"/>
  <c r="HJ304" i="2"/>
  <c r="HI304" i="2"/>
  <c r="HH304" i="2"/>
  <c r="HG304" i="2"/>
  <c r="HF304" i="2"/>
  <c r="HE304" i="2"/>
  <c r="HD304" i="2"/>
  <c r="HC304" i="2"/>
  <c r="HB304" i="2"/>
  <c r="HA304" i="2"/>
  <c r="GZ304" i="2"/>
  <c r="GY304" i="2"/>
  <c r="GX304" i="2"/>
  <c r="GW304" i="2"/>
  <c r="GV304" i="2"/>
  <c r="GU304" i="2"/>
  <c r="GT304" i="2"/>
  <c r="GS304" i="2"/>
  <c r="GR304" i="2"/>
  <c r="GQ304" i="2"/>
  <c r="GP304" i="2"/>
  <c r="GO304" i="2"/>
  <c r="GN304" i="2"/>
  <c r="GM304" i="2"/>
  <c r="GL304" i="2"/>
  <c r="GK304" i="2"/>
  <c r="GJ304" i="2"/>
  <c r="GI304" i="2"/>
  <c r="GH304" i="2"/>
  <c r="GG304" i="2"/>
  <c r="GF304" i="2"/>
  <c r="GE304" i="2"/>
  <c r="GD304" i="2"/>
  <c r="GC304" i="2"/>
  <c r="GB304" i="2"/>
  <c r="GA304" i="2"/>
  <c r="FZ304" i="2"/>
  <c r="FY304" i="2"/>
  <c r="FX304" i="2"/>
  <c r="FW304" i="2"/>
  <c r="FV304" i="2"/>
  <c r="FU304" i="2"/>
  <c r="FT304" i="2"/>
  <c r="FS304" i="2"/>
  <c r="FR304" i="2"/>
  <c r="FQ304" i="2"/>
  <c r="FP304" i="2"/>
  <c r="U304" i="2"/>
  <c r="T304" i="2"/>
  <c r="C304" i="2"/>
  <c r="B304" i="2"/>
  <c r="KV303" i="2"/>
  <c r="IF303" i="2"/>
  <c r="IE303" i="2"/>
  <c r="ID303" i="2"/>
  <c r="LT302" i="2"/>
  <c r="LS302" i="2"/>
  <c r="LR302" i="2"/>
  <c r="LQ302" i="2"/>
  <c r="LP302" i="2"/>
  <c r="KX302" i="2"/>
  <c r="KW302" i="2"/>
  <c r="KV302" i="2"/>
  <c r="KU302" i="2"/>
  <c r="KT302" i="2"/>
  <c r="KO302" i="2"/>
  <c r="KL302" i="2"/>
  <c r="KB302" i="2"/>
  <c r="KA302" i="2"/>
  <c r="JZ302" i="2"/>
  <c r="JY302" i="2"/>
  <c r="JX302" i="2"/>
  <c r="JF302" i="2"/>
  <c r="JE302" i="2"/>
  <c r="JD302" i="2"/>
  <c r="JD316" i="2" s="1"/>
  <c r="JC302" i="2"/>
  <c r="JC316" i="2" s="1"/>
  <c r="JB302" i="2"/>
  <c r="JB316" i="2" s="1"/>
  <c r="JA302" i="2"/>
  <c r="JA316" i="2" s="1"/>
  <c r="IW302" i="2"/>
  <c r="IJ302" i="2"/>
  <c r="II302" i="2"/>
  <c r="IH302" i="2"/>
  <c r="IG302" i="2"/>
  <c r="IF302" i="2"/>
  <c r="HN302" i="2"/>
  <c r="HM302" i="2"/>
  <c r="HL302" i="2"/>
  <c r="HK302" i="2"/>
  <c r="HJ302" i="2"/>
  <c r="HE302" i="2"/>
  <c r="GR302" i="2"/>
  <c r="GQ302" i="2"/>
  <c r="GP302" i="2"/>
  <c r="GO302" i="2"/>
  <c r="GN302" i="2"/>
  <c r="FV302" i="2"/>
  <c r="FU302" i="2"/>
  <c r="FT302" i="2"/>
  <c r="FS302" i="2"/>
  <c r="FR302" i="2"/>
  <c r="MG301" i="2"/>
  <c r="MG303" i="2" s="1"/>
  <c r="MF301" i="2"/>
  <c r="ME301" i="2"/>
  <c r="MD301" i="2"/>
  <c r="MC301" i="2"/>
  <c r="MB301" i="2"/>
  <c r="MA301" i="2"/>
  <c r="LZ301" i="2"/>
  <c r="LY301" i="2"/>
  <c r="LX301" i="2"/>
  <c r="LW301" i="2"/>
  <c r="LV301" i="2"/>
  <c r="LU301" i="2"/>
  <c r="LT301" i="2"/>
  <c r="LS301" i="2"/>
  <c r="LR301" i="2"/>
  <c r="LQ301" i="2"/>
  <c r="LP301" i="2"/>
  <c r="LO301" i="2"/>
  <c r="LN301" i="2"/>
  <c r="LM301" i="2"/>
  <c r="LL301" i="2"/>
  <c r="LK301" i="2"/>
  <c r="LJ301" i="2"/>
  <c r="LI301" i="2"/>
  <c r="LH301" i="2"/>
  <c r="LG301" i="2"/>
  <c r="LF301" i="2"/>
  <c r="LE301" i="2"/>
  <c r="LD301" i="2"/>
  <c r="LC301" i="2"/>
  <c r="LB301" i="2"/>
  <c r="LA301" i="2"/>
  <c r="KZ301" i="2"/>
  <c r="KY301" i="2"/>
  <c r="KX301" i="2"/>
  <c r="KW301" i="2"/>
  <c r="KV301" i="2"/>
  <c r="KU301" i="2"/>
  <c r="KT301" i="2"/>
  <c r="KS301" i="2"/>
  <c r="KR301" i="2"/>
  <c r="KQ301" i="2"/>
  <c r="KP301" i="2"/>
  <c r="KO301" i="2"/>
  <c r="KN301" i="2"/>
  <c r="KM301" i="2"/>
  <c r="KL301" i="2"/>
  <c r="KK301" i="2"/>
  <c r="KJ301" i="2"/>
  <c r="KI301" i="2"/>
  <c r="KH301" i="2"/>
  <c r="KG301" i="2"/>
  <c r="KF301" i="2"/>
  <c r="KE301" i="2"/>
  <c r="KD301" i="2"/>
  <c r="KC301" i="2"/>
  <c r="KB301" i="2"/>
  <c r="KA301" i="2"/>
  <c r="JZ301" i="2"/>
  <c r="JY301" i="2"/>
  <c r="JX301" i="2"/>
  <c r="JW301" i="2"/>
  <c r="JV301" i="2"/>
  <c r="JU301" i="2"/>
  <c r="JT301" i="2"/>
  <c r="JS301" i="2"/>
  <c r="JR301" i="2"/>
  <c r="JQ301" i="2"/>
  <c r="JP301" i="2"/>
  <c r="JO301" i="2"/>
  <c r="JN301" i="2"/>
  <c r="JM301" i="2"/>
  <c r="JL301" i="2"/>
  <c r="JK301" i="2"/>
  <c r="JJ301" i="2"/>
  <c r="JI301" i="2"/>
  <c r="JH301" i="2"/>
  <c r="JG301" i="2"/>
  <c r="JG315" i="2" s="1"/>
  <c r="JF301" i="2"/>
  <c r="JF315" i="2" s="1"/>
  <c r="JE301" i="2"/>
  <c r="JE315" i="2" s="1"/>
  <c r="JD301" i="2"/>
  <c r="JD315" i="2" s="1"/>
  <c r="JC301" i="2"/>
  <c r="JB301" i="2"/>
  <c r="JA301" i="2"/>
  <c r="IZ301" i="2"/>
  <c r="IY301" i="2"/>
  <c r="IX301" i="2"/>
  <c r="IW301" i="2"/>
  <c r="IV301" i="2"/>
  <c r="IU301" i="2"/>
  <c r="IT301" i="2"/>
  <c r="IS301" i="2"/>
  <c r="IR301" i="2"/>
  <c r="IQ301" i="2"/>
  <c r="IP301" i="2"/>
  <c r="IO301" i="2"/>
  <c r="IN301" i="2"/>
  <c r="IM301" i="2"/>
  <c r="IL301" i="2"/>
  <c r="IK301" i="2"/>
  <c r="IJ301" i="2"/>
  <c r="II301" i="2"/>
  <c r="IH301" i="2"/>
  <c r="IG301" i="2"/>
  <c r="IF301" i="2"/>
  <c r="IE301" i="2"/>
  <c r="ID301" i="2"/>
  <c r="IC301" i="2"/>
  <c r="IB301" i="2"/>
  <c r="IA301" i="2"/>
  <c r="IA303" i="2" s="1"/>
  <c r="HZ301" i="2"/>
  <c r="HY301" i="2"/>
  <c r="HX301" i="2"/>
  <c r="HW301" i="2"/>
  <c r="HV301" i="2"/>
  <c r="HU301" i="2"/>
  <c r="HT301" i="2"/>
  <c r="HS301" i="2"/>
  <c r="HR301" i="2"/>
  <c r="HQ301" i="2"/>
  <c r="HP301" i="2"/>
  <c r="HO301" i="2"/>
  <c r="HN301" i="2"/>
  <c r="HM301" i="2"/>
  <c r="HL301" i="2"/>
  <c r="HK301" i="2"/>
  <c r="HJ301" i="2"/>
  <c r="HI301" i="2"/>
  <c r="HH301" i="2"/>
  <c r="HG301" i="2"/>
  <c r="HF301" i="2"/>
  <c r="HE301" i="2"/>
  <c r="HD301" i="2"/>
  <c r="HC301" i="2"/>
  <c r="HB301" i="2"/>
  <c r="HA301" i="2"/>
  <c r="GZ301" i="2"/>
  <c r="GY301" i="2"/>
  <c r="GX301" i="2"/>
  <c r="GW301" i="2"/>
  <c r="GV301" i="2"/>
  <c r="GU301" i="2"/>
  <c r="GT301" i="2"/>
  <c r="GS301" i="2"/>
  <c r="GR301" i="2"/>
  <c r="GQ301" i="2"/>
  <c r="GP301" i="2"/>
  <c r="GO301" i="2"/>
  <c r="GN301" i="2"/>
  <c r="GM301" i="2"/>
  <c r="GL301" i="2"/>
  <c r="GK301" i="2"/>
  <c r="GJ301" i="2"/>
  <c r="GI301" i="2"/>
  <c r="GH301" i="2"/>
  <c r="GG301" i="2"/>
  <c r="GF301" i="2"/>
  <c r="GE301" i="2"/>
  <c r="GD301" i="2"/>
  <c r="GC301" i="2"/>
  <c r="GB301" i="2"/>
  <c r="GA301" i="2"/>
  <c r="FZ301" i="2"/>
  <c r="FY301" i="2"/>
  <c r="FX301" i="2"/>
  <c r="FW301" i="2"/>
  <c r="FV301" i="2"/>
  <c r="FU301" i="2"/>
  <c r="FT301" i="2"/>
  <c r="FS301" i="2"/>
  <c r="FR301" i="2"/>
  <c r="FQ301" i="2"/>
  <c r="FP301" i="2"/>
  <c r="Y301" i="2"/>
  <c r="X301" i="2"/>
  <c r="W301" i="2"/>
  <c r="V301" i="2"/>
  <c r="L301" i="2"/>
  <c r="K301" i="2"/>
  <c r="J301" i="2"/>
  <c r="I301" i="2"/>
  <c r="H301" i="2"/>
  <c r="G301" i="2"/>
  <c r="F301" i="2"/>
  <c r="E301" i="2"/>
  <c r="MG300" i="2"/>
  <c r="MF300" i="2"/>
  <c r="ME300" i="2"/>
  <c r="MD300" i="2"/>
  <c r="MC300" i="2"/>
  <c r="MB300" i="2"/>
  <c r="MA300" i="2"/>
  <c r="LZ300" i="2"/>
  <c r="LY300" i="2"/>
  <c r="LX300" i="2"/>
  <c r="LW300" i="2"/>
  <c r="LV300" i="2"/>
  <c r="LU300" i="2"/>
  <c r="LT300" i="2"/>
  <c r="LS300" i="2"/>
  <c r="LR300" i="2"/>
  <c r="LQ300" i="2"/>
  <c r="LP300" i="2"/>
  <c r="LO300" i="2"/>
  <c r="LN300" i="2"/>
  <c r="LM300" i="2"/>
  <c r="LL300" i="2"/>
  <c r="LK300" i="2"/>
  <c r="LJ300" i="2"/>
  <c r="LI300" i="2"/>
  <c r="LH300" i="2"/>
  <c r="LG300" i="2"/>
  <c r="LF300" i="2"/>
  <c r="LE300" i="2"/>
  <c r="LD300" i="2"/>
  <c r="LC300" i="2"/>
  <c r="LB300" i="2"/>
  <c r="LA300" i="2"/>
  <c r="KZ300" i="2"/>
  <c r="KY300" i="2"/>
  <c r="KX300" i="2"/>
  <c r="KW300" i="2"/>
  <c r="KV300" i="2"/>
  <c r="KU300" i="2"/>
  <c r="KT300" i="2"/>
  <c r="KS300" i="2"/>
  <c r="KR300" i="2"/>
  <c r="KQ300" i="2"/>
  <c r="KP300" i="2"/>
  <c r="KO300" i="2"/>
  <c r="KN300" i="2"/>
  <c r="KM300" i="2"/>
  <c r="KL300" i="2"/>
  <c r="KK300" i="2"/>
  <c r="KJ300" i="2"/>
  <c r="KI300" i="2"/>
  <c r="KH300" i="2"/>
  <c r="KG300" i="2"/>
  <c r="KF300" i="2"/>
  <c r="KE300" i="2"/>
  <c r="KD300" i="2"/>
  <c r="KC300" i="2"/>
  <c r="KB300" i="2"/>
  <c r="KA300" i="2"/>
  <c r="JZ300" i="2"/>
  <c r="JY300" i="2"/>
  <c r="JX300" i="2"/>
  <c r="JW300" i="2"/>
  <c r="JV300" i="2"/>
  <c r="JU300" i="2"/>
  <c r="JT300" i="2"/>
  <c r="JS300" i="2"/>
  <c r="JR300" i="2"/>
  <c r="JQ300" i="2"/>
  <c r="JP300" i="2"/>
  <c r="JO300" i="2"/>
  <c r="JN300" i="2"/>
  <c r="JM300" i="2"/>
  <c r="JL300" i="2"/>
  <c r="JK300" i="2"/>
  <c r="JJ300" i="2"/>
  <c r="JI300" i="2"/>
  <c r="JH300" i="2"/>
  <c r="JG300" i="2"/>
  <c r="JG314" i="2" s="1"/>
  <c r="JF300" i="2"/>
  <c r="JF314" i="2" s="1"/>
  <c r="JE300" i="2"/>
  <c r="JE314" i="2" s="1"/>
  <c r="JD300" i="2"/>
  <c r="JD314" i="2" s="1"/>
  <c r="JC300" i="2"/>
  <c r="JC314" i="2" s="1"/>
  <c r="JB300" i="2"/>
  <c r="JA300" i="2"/>
  <c r="IZ300" i="2"/>
  <c r="IZ314" i="2" s="1"/>
  <c r="IY300" i="2"/>
  <c r="IX300" i="2"/>
  <c r="IW300" i="2"/>
  <c r="IV300" i="2"/>
  <c r="IU300" i="2"/>
  <c r="IT300" i="2"/>
  <c r="IS300" i="2"/>
  <c r="IR300" i="2"/>
  <c r="IQ300" i="2"/>
  <c r="IP300" i="2"/>
  <c r="IO300" i="2"/>
  <c r="IN300" i="2"/>
  <c r="IM300" i="2"/>
  <c r="IL300" i="2"/>
  <c r="IK300" i="2"/>
  <c r="IJ300" i="2"/>
  <c r="II300" i="2"/>
  <c r="IH300" i="2"/>
  <c r="IG300" i="2"/>
  <c r="IF300" i="2"/>
  <c r="IE300" i="2"/>
  <c r="ID300" i="2"/>
  <c r="IC300" i="2"/>
  <c r="IB300" i="2"/>
  <c r="IA300" i="2"/>
  <c r="HZ300" i="2"/>
  <c r="HY300" i="2"/>
  <c r="HX300" i="2"/>
  <c r="HW300" i="2"/>
  <c r="HV300" i="2"/>
  <c r="HU300" i="2"/>
  <c r="HT300" i="2"/>
  <c r="HS300" i="2"/>
  <c r="HR300" i="2"/>
  <c r="HQ300" i="2"/>
  <c r="HP300" i="2"/>
  <c r="HO300" i="2"/>
  <c r="HN300" i="2"/>
  <c r="HM300" i="2"/>
  <c r="HL300" i="2"/>
  <c r="HK300" i="2"/>
  <c r="HJ300" i="2"/>
  <c r="HI300" i="2"/>
  <c r="HH300" i="2"/>
  <c r="HG300" i="2"/>
  <c r="HF300" i="2"/>
  <c r="HE300" i="2"/>
  <c r="HD300" i="2"/>
  <c r="HC300" i="2"/>
  <c r="HB300" i="2"/>
  <c r="HA300" i="2"/>
  <c r="GZ300" i="2"/>
  <c r="GY300" i="2"/>
  <c r="GX300" i="2"/>
  <c r="GW300" i="2"/>
  <c r="GV300" i="2"/>
  <c r="GU300" i="2"/>
  <c r="GT300" i="2"/>
  <c r="GS300" i="2"/>
  <c r="GR300" i="2"/>
  <c r="GQ300" i="2"/>
  <c r="GP300" i="2"/>
  <c r="GO300" i="2"/>
  <c r="GN300" i="2"/>
  <c r="GM300" i="2"/>
  <c r="GL300" i="2"/>
  <c r="GK300" i="2"/>
  <c r="GJ300" i="2"/>
  <c r="GI300" i="2"/>
  <c r="GH300" i="2"/>
  <c r="GG300" i="2"/>
  <c r="GF300" i="2"/>
  <c r="GE300" i="2"/>
  <c r="GD300" i="2"/>
  <c r="GC300" i="2"/>
  <c r="GB300" i="2"/>
  <c r="GA300" i="2"/>
  <c r="FZ300" i="2"/>
  <c r="FY300" i="2"/>
  <c r="FX300" i="2"/>
  <c r="FW300" i="2"/>
  <c r="FV300" i="2"/>
  <c r="FU300" i="2"/>
  <c r="FT300" i="2"/>
  <c r="FS300" i="2"/>
  <c r="FR300" i="2"/>
  <c r="FQ300" i="2"/>
  <c r="FP300" i="2"/>
  <c r="M300" i="2"/>
  <c r="L300" i="2"/>
  <c r="K300" i="2"/>
  <c r="J300" i="2"/>
  <c r="H300" i="2"/>
  <c r="G300" i="2"/>
  <c r="F300" i="2"/>
  <c r="E300" i="2"/>
  <c r="D300" i="2"/>
  <c r="C300" i="2"/>
  <c r="B300" i="2"/>
  <c r="MG299" i="2"/>
  <c r="MF299" i="2"/>
  <c r="ME299" i="2"/>
  <c r="MD299" i="2"/>
  <c r="MC299" i="2"/>
  <c r="MB299" i="2"/>
  <c r="MA299" i="2"/>
  <c r="LZ299" i="2"/>
  <c r="LY299" i="2"/>
  <c r="LX299" i="2"/>
  <c r="LW299" i="2"/>
  <c r="LV299" i="2"/>
  <c r="LU299" i="2"/>
  <c r="LT299" i="2"/>
  <c r="LS299" i="2"/>
  <c r="LR299" i="2"/>
  <c r="LQ299" i="2"/>
  <c r="LP299" i="2"/>
  <c r="LO299" i="2"/>
  <c r="LN299" i="2"/>
  <c r="LM299" i="2"/>
  <c r="LL299" i="2"/>
  <c r="LK299" i="2"/>
  <c r="LJ299" i="2"/>
  <c r="LI299" i="2"/>
  <c r="LH299" i="2"/>
  <c r="LG299" i="2"/>
  <c r="LF299" i="2"/>
  <c r="LE299" i="2"/>
  <c r="LD299" i="2"/>
  <c r="LC299" i="2"/>
  <c r="LB299" i="2"/>
  <c r="LA299" i="2"/>
  <c r="KZ299" i="2"/>
  <c r="KY299" i="2"/>
  <c r="KX299" i="2"/>
  <c r="KW299" i="2"/>
  <c r="KV299" i="2"/>
  <c r="KU299" i="2"/>
  <c r="KT299" i="2"/>
  <c r="KS299" i="2"/>
  <c r="KR299" i="2"/>
  <c r="KQ299" i="2"/>
  <c r="KP299" i="2"/>
  <c r="KO299" i="2"/>
  <c r="KN299" i="2"/>
  <c r="KM299" i="2"/>
  <c r="KL299" i="2"/>
  <c r="KK299" i="2"/>
  <c r="KJ299" i="2"/>
  <c r="KI299" i="2"/>
  <c r="KH299" i="2"/>
  <c r="KG299" i="2"/>
  <c r="KF299" i="2"/>
  <c r="KE299" i="2"/>
  <c r="KD299" i="2"/>
  <c r="KC299" i="2"/>
  <c r="KB299" i="2"/>
  <c r="KA299" i="2"/>
  <c r="JZ299" i="2"/>
  <c r="JY299" i="2"/>
  <c r="JX299" i="2"/>
  <c r="JW299" i="2"/>
  <c r="JV299" i="2"/>
  <c r="JU299" i="2"/>
  <c r="JT299" i="2"/>
  <c r="JS299" i="2"/>
  <c r="JR299" i="2"/>
  <c r="JQ299" i="2"/>
  <c r="JP299" i="2"/>
  <c r="JO299" i="2"/>
  <c r="JN299" i="2"/>
  <c r="JM299" i="2"/>
  <c r="JL299" i="2"/>
  <c r="JK299" i="2"/>
  <c r="JJ299" i="2"/>
  <c r="JI299" i="2"/>
  <c r="JH299" i="2"/>
  <c r="JG299" i="2"/>
  <c r="JG313" i="2" s="1"/>
  <c r="JF299" i="2"/>
  <c r="JF313" i="2" s="1"/>
  <c r="JE299" i="2"/>
  <c r="JE313" i="2" s="1"/>
  <c r="JD299" i="2"/>
  <c r="JD313" i="2" s="1"/>
  <c r="JC299" i="2"/>
  <c r="JC313" i="2" s="1"/>
  <c r="JB299" i="2"/>
  <c r="JB313" i="2" s="1"/>
  <c r="JA299" i="2"/>
  <c r="JA313" i="2" s="1"/>
  <c r="IZ299" i="2"/>
  <c r="IZ313" i="2" s="1"/>
  <c r="IY299" i="2"/>
  <c r="IX299" i="2"/>
  <c r="IW299" i="2"/>
  <c r="IV299" i="2"/>
  <c r="IU299" i="2"/>
  <c r="IT299" i="2"/>
  <c r="IS299" i="2"/>
  <c r="IR299" i="2"/>
  <c r="IQ299" i="2"/>
  <c r="IP299" i="2"/>
  <c r="IO299" i="2"/>
  <c r="IN299" i="2"/>
  <c r="IM299" i="2"/>
  <c r="IL299" i="2"/>
  <c r="IK299" i="2"/>
  <c r="IJ299" i="2"/>
  <c r="II299" i="2"/>
  <c r="IH299" i="2"/>
  <c r="IG299" i="2"/>
  <c r="IF299" i="2"/>
  <c r="IE299" i="2"/>
  <c r="ID299" i="2"/>
  <c r="IC299" i="2"/>
  <c r="IB299" i="2"/>
  <c r="IA299" i="2"/>
  <c r="HZ299" i="2"/>
  <c r="HY299" i="2"/>
  <c r="HX299" i="2"/>
  <c r="HW299" i="2"/>
  <c r="HV299" i="2"/>
  <c r="HU299" i="2"/>
  <c r="HT299" i="2"/>
  <c r="HS299" i="2"/>
  <c r="HR299" i="2"/>
  <c r="HQ299" i="2"/>
  <c r="HP299" i="2"/>
  <c r="HO299" i="2"/>
  <c r="HN299" i="2"/>
  <c r="HM299" i="2"/>
  <c r="HL299" i="2"/>
  <c r="HK299" i="2"/>
  <c r="HJ299" i="2"/>
  <c r="HI299" i="2"/>
  <c r="HH299" i="2"/>
  <c r="HG299" i="2"/>
  <c r="HF299" i="2"/>
  <c r="HE299" i="2"/>
  <c r="HD299" i="2"/>
  <c r="HC299" i="2"/>
  <c r="HB299" i="2"/>
  <c r="HA299" i="2"/>
  <c r="GZ299" i="2"/>
  <c r="GY299" i="2"/>
  <c r="GX299" i="2"/>
  <c r="GW299" i="2"/>
  <c r="GV299" i="2"/>
  <c r="GU299" i="2"/>
  <c r="GT299" i="2"/>
  <c r="GS299" i="2"/>
  <c r="GR299" i="2"/>
  <c r="GQ299" i="2"/>
  <c r="GP299" i="2"/>
  <c r="GO299" i="2"/>
  <c r="GN299" i="2"/>
  <c r="GM299" i="2"/>
  <c r="GL299" i="2"/>
  <c r="GK299" i="2"/>
  <c r="GJ299" i="2"/>
  <c r="GI299" i="2"/>
  <c r="GH299" i="2"/>
  <c r="GG299" i="2"/>
  <c r="GF299" i="2"/>
  <c r="GE299" i="2"/>
  <c r="GD299" i="2"/>
  <c r="GC299" i="2"/>
  <c r="GB299" i="2"/>
  <c r="GA299" i="2"/>
  <c r="FZ299" i="2"/>
  <c r="FY299" i="2"/>
  <c r="FX299" i="2"/>
  <c r="FW299" i="2"/>
  <c r="FV299" i="2"/>
  <c r="FU299" i="2"/>
  <c r="FT299" i="2"/>
  <c r="FS299" i="2"/>
  <c r="FR299" i="2"/>
  <c r="FQ299" i="2"/>
  <c r="FP299" i="2"/>
  <c r="Y299" i="2"/>
  <c r="X299" i="2"/>
  <c r="N299" i="2"/>
  <c r="M299" i="2"/>
  <c r="C299" i="2"/>
  <c r="B299" i="2"/>
  <c r="MG298" i="2"/>
  <c r="MF298" i="2"/>
  <c r="ME298" i="2"/>
  <c r="MD298" i="2"/>
  <c r="MC298" i="2"/>
  <c r="MB298" i="2"/>
  <c r="MA298" i="2"/>
  <c r="LZ298" i="2"/>
  <c r="LY298" i="2"/>
  <c r="LX298" i="2"/>
  <c r="LW298" i="2"/>
  <c r="LV298" i="2"/>
  <c r="LU298" i="2"/>
  <c r="LT298" i="2"/>
  <c r="LS298" i="2"/>
  <c r="LR298" i="2"/>
  <c r="LQ298" i="2"/>
  <c r="LP298" i="2"/>
  <c r="LO298" i="2"/>
  <c r="LN298" i="2"/>
  <c r="LM298" i="2"/>
  <c r="LL298" i="2"/>
  <c r="LK298" i="2"/>
  <c r="LJ298" i="2"/>
  <c r="LI298" i="2"/>
  <c r="LH298" i="2"/>
  <c r="LG298" i="2"/>
  <c r="LF298" i="2"/>
  <c r="LE298" i="2"/>
  <c r="LD298" i="2"/>
  <c r="LC298" i="2"/>
  <c r="LB298" i="2"/>
  <c r="LA298" i="2"/>
  <c r="KZ298" i="2"/>
  <c r="KY298" i="2"/>
  <c r="KX298" i="2"/>
  <c r="KW298" i="2"/>
  <c r="KV298" i="2"/>
  <c r="KU298" i="2"/>
  <c r="KT298" i="2"/>
  <c r="KS298" i="2"/>
  <c r="KR298" i="2"/>
  <c r="KQ298" i="2"/>
  <c r="KP298" i="2"/>
  <c r="KO298" i="2"/>
  <c r="KN298" i="2"/>
  <c r="KM298" i="2"/>
  <c r="KL298" i="2"/>
  <c r="KK298" i="2"/>
  <c r="KJ298" i="2"/>
  <c r="KI298" i="2"/>
  <c r="KH298" i="2"/>
  <c r="KG298" i="2"/>
  <c r="KF298" i="2"/>
  <c r="KE298" i="2"/>
  <c r="KD298" i="2"/>
  <c r="KC298" i="2"/>
  <c r="KB298" i="2"/>
  <c r="KA298" i="2"/>
  <c r="JZ298" i="2"/>
  <c r="JY298" i="2"/>
  <c r="JX298" i="2"/>
  <c r="JW298" i="2"/>
  <c r="JV298" i="2"/>
  <c r="JU298" i="2"/>
  <c r="JU303" i="2" s="1"/>
  <c r="JT298" i="2"/>
  <c r="JT306" i="2" s="1"/>
  <c r="JS298" i="2"/>
  <c r="JR298" i="2"/>
  <c r="JQ298" i="2"/>
  <c r="JP298" i="2"/>
  <c r="JO298" i="2"/>
  <c r="JN298" i="2"/>
  <c r="JM298" i="2"/>
  <c r="JL298" i="2"/>
  <c r="JK298" i="2"/>
  <c r="JJ298" i="2"/>
  <c r="JI298" i="2"/>
  <c r="JH298" i="2"/>
  <c r="JG298" i="2"/>
  <c r="JG312" i="2" s="1"/>
  <c r="JF298" i="2"/>
  <c r="JF312" i="2" s="1"/>
  <c r="JE298" i="2"/>
  <c r="JD298" i="2"/>
  <c r="JC298" i="2"/>
  <c r="JC312" i="2" s="1"/>
  <c r="JB298" i="2"/>
  <c r="JA298" i="2"/>
  <c r="IZ298" i="2"/>
  <c r="IY298" i="2"/>
  <c r="IX298" i="2"/>
  <c r="IW298" i="2"/>
  <c r="IV298" i="2"/>
  <c r="IU298" i="2"/>
  <c r="IT298" i="2"/>
  <c r="IS298" i="2"/>
  <c r="IR298" i="2"/>
  <c r="IQ298" i="2"/>
  <c r="IP298" i="2"/>
  <c r="IO298" i="2"/>
  <c r="IN298" i="2"/>
  <c r="IM298" i="2"/>
  <c r="IL298" i="2"/>
  <c r="IK298" i="2"/>
  <c r="IJ298" i="2"/>
  <c r="II298" i="2"/>
  <c r="IH298" i="2"/>
  <c r="IG298" i="2"/>
  <c r="IF298" i="2"/>
  <c r="IE298" i="2"/>
  <c r="ID298" i="2"/>
  <c r="IC298" i="2"/>
  <c r="IB298" i="2"/>
  <c r="IA298" i="2"/>
  <c r="HZ298" i="2"/>
  <c r="HY298" i="2"/>
  <c r="HX298" i="2"/>
  <c r="HW298" i="2"/>
  <c r="HV298" i="2"/>
  <c r="HU298" i="2"/>
  <c r="HT298" i="2"/>
  <c r="HS298" i="2"/>
  <c r="HR298" i="2"/>
  <c r="HQ298" i="2"/>
  <c r="HP298" i="2"/>
  <c r="HO298" i="2"/>
  <c r="HN298" i="2"/>
  <c r="HM298" i="2"/>
  <c r="HL298" i="2"/>
  <c r="HK298" i="2"/>
  <c r="HJ298" i="2"/>
  <c r="HI298" i="2"/>
  <c r="HH298" i="2"/>
  <c r="HG298" i="2"/>
  <c r="HF298" i="2"/>
  <c r="HE298" i="2"/>
  <c r="HD298" i="2"/>
  <c r="HC298" i="2"/>
  <c r="HB298" i="2"/>
  <c r="HA298" i="2"/>
  <c r="GZ298" i="2"/>
  <c r="GY298" i="2"/>
  <c r="GX298" i="2"/>
  <c r="GW298" i="2"/>
  <c r="GV298" i="2"/>
  <c r="GU298" i="2"/>
  <c r="GT298" i="2"/>
  <c r="GS298" i="2"/>
  <c r="GR298" i="2"/>
  <c r="GQ298" i="2"/>
  <c r="GP298" i="2"/>
  <c r="GO298" i="2"/>
  <c r="GN298" i="2"/>
  <c r="GM298" i="2"/>
  <c r="GL298" i="2"/>
  <c r="GK298" i="2"/>
  <c r="GJ298" i="2"/>
  <c r="GI298" i="2"/>
  <c r="GH298" i="2"/>
  <c r="GG298" i="2"/>
  <c r="GF298" i="2"/>
  <c r="GE298" i="2"/>
  <c r="GD298" i="2"/>
  <c r="GC298" i="2"/>
  <c r="GB298" i="2"/>
  <c r="GA298" i="2"/>
  <c r="FZ298" i="2"/>
  <c r="FY298" i="2"/>
  <c r="FX298" i="2"/>
  <c r="FW298" i="2"/>
  <c r="FV298" i="2"/>
  <c r="FU298" i="2"/>
  <c r="FT298" i="2"/>
  <c r="FS298" i="2"/>
  <c r="FR298" i="2"/>
  <c r="FQ298" i="2"/>
  <c r="FP298" i="2"/>
  <c r="Z298" i="2"/>
  <c r="Y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MG297" i="2"/>
  <c r="MF297" i="2"/>
  <c r="ME297" i="2"/>
  <c r="MD297" i="2"/>
  <c r="MC297" i="2"/>
  <c r="MB297" i="2"/>
  <c r="MA297" i="2"/>
  <c r="LZ297" i="2"/>
  <c r="LY297" i="2"/>
  <c r="LX297" i="2"/>
  <c r="LW297" i="2"/>
  <c r="LW303" i="2" s="1"/>
  <c r="LV297" i="2"/>
  <c r="LU297" i="2"/>
  <c r="LU303" i="2" s="1"/>
  <c r="LT297" i="2"/>
  <c r="LT303" i="2" s="1"/>
  <c r="LS297" i="2"/>
  <c r="LR297" i="2"/>
  <c r="LQ297" i="2"/>
  <c r="LQ303" i="2" s="1"/>
  <c r="LP297" i="2"/>
  <c r="LP303" i="2" s="1"/>
  <c r="LO297" i="2"/>
  <c r="LN297" i="2"/>
  <c r="LM297" i="2"/>
  <c r="LL297" i="2"/>
  <c r="LK297" i="2"/>
  <c r="LJ297" i="2"/>
  <c r="LI297" i="2"/>
  <c r="LH297" i="2"/>
  <c r="LG297" i="2"/>
  <c r="LF297" i="2"/>
  <c r="LE297" i="2"/>
  <c r="LD297" i="2"/>
  <c r="LC297" i="2"/>
  <c r="LB297" i="2"/>
  <c r="LA297" i="2"/>
  <c r="LA303" i="2" s="1"/>
  <c r="KZ297" i="2"/>
  <c r="KY297" i="2"/>
  <c r="KY303" i="2" s="1"/>
  <c r="KX297" i="2"/>
  <c r="KX303" i="2" s="1"/>
  <c r="KW297" i="2"/>
  <c r="KW303" i="2" s="1"/>
  <c r="KV297" i="2"/>
  <c r="KU297" i="2"/>
  <c r="KU303" i="2" s="1"/>
  <c r="KT297" i="2"/>
  <c r="KT303" i="2" s="1"/>
  <c r="KS297" i="2"/>
  <c r="KS303" i="2" s="1"/>
  <c r="KR297" i="2"/>
  <c r="KR303" i="2" s="1"/>
  <c r="KQ297" i="2"/>
  <c r="KP297" i="2"/>
  <c r="KO297" i="2"/>
  <c r="KN297" i="2"/>
  <c r="KM297" i="2"/>
  <c r="KL297" i="2"/>
  <c r="KK297" i="2"/>
  <c r="KJ297" i="2"/>
  <c r="KI297" i="2"/>
  <c r="KH297" i="2"/>
  <c r="KG297" i="2"/>
  <c r="KF297" i="2"/>
  <c r="KE297" i="2"/>
  <c r="KE303" i="2" s="1"/>
  <c r="KD297" i="2"/>
  <c r="KC297" i="2"/>
  <c r="KC303" i="2" s="1"/>
  <c r="KB297" i="2"/>
  <c r="KA297" i="2"/>
  <c r="JZ297" i="2"/>
  <c r="JY297" i="2"/>
  <c r="JY303" i="2" s="1"/>
  <c r="JX297" i="2"/>
  <c r="JX303" i="2" s="1"/>
  <c r="JW297" i="2"/>
  <c r="JV297" i="2"/>
  <c r="JV306" i="2" s="1"/>
  <c r="JU297" i="2"/>
  <c r="JT297" i="2"/>
  <c r="JS297" i="2"/>
  <c r="JR297" i="2"/>
  <c r="JQ297" i="2"/>
  <c r="JP297" i="2"/>
  <c r="JO297" i="2"/>
  <c r="JN297" i="2"/>
  <c r="JM297" i="2"/>
  <c r="JL297" i="2"/>
  <c r="JK297" i="2"/>
  <c r="JJ297" i="2"/>
  <c r="JI297" i="2"/>
  <c r="JI303" i="2" s="1"/>
  <c r="JH297" i="2"/>
  <c r="JG297" i="2"/>
  <c r="JF297" i="2"/>
  <c r="JF303" i="2" s="1"/>
  <c r="JF317" i="2" s="1"/>
  <c r="JE297" i="2"/>
  <c r="JD297" i="2"/>
  <c r="JC297" i="2"/>
  <c r="JC303" i="2" s="1"/>
  <c r="JC317" i="2" s="1"/>
  <c r="JB297" i="2"/>
  <c r="JB303" i="2" s="1"/>
  <c r="JA297" i="2"/>
  <c r="IZ297" i="2"/>
  <c r="IY297" i="2"/>
  <c r="IX297" i="2"/>
  <c r="IW297" i="2"/>
  <c r="IV297" i="2"/>
  <c r="IU297" i="2"/>
  <c r="IT297" i="2"/>
  <c r="IS297" i="2"/>
  <c r="IR297" i="2"/>
  <c r="IQ297" i="2"/>
  <c r="IP297" i="2"/>
  <c r="IO297" i="2"/>
  <c r="IN297" i="2"/>
  <c r="IM297" i="2"/>
  <c r="IM303" i="2" s="1"/>
  <c r="IL297" i="2"/>
  <c r="IL303" i="2" s="1"/>
  <c r="IK297" i="2"/>
  <c r="IK303" i="2" s="1"/>
  <c r="IJ297" i="2"/>
  <c r="IJ303" i="2" s="1"/>
  <c r="II297" i="2"/>
  <c r="IH297" i="2"/>
  <c r="IG297" i="2"/>
  <c r="IG303" i="2" s="1"/>
  <c r="IF297" i="2"/>
  <c r="IE297" i="2"/>
  <c r="ID297" i="2"/>
  <c r="IC297" i="2"/>
  <c r="IB297" i="2"/>
  <c r="IA297" i="2"/>
  <c r="HZ297" i="2"/>
  <c r="HY297" i="2"/>
  <c r="HX297" i="2"/>
  <c r="HW297" i="2"/>
  <c r="HV297" i="2"/>
  <c r="HU297" i="2"/>
  <c r="HT297" i="2"/>
  <c r="HS297" i="2"/>
  <c r="HR297" i="2"/>
  <c r="HQ297" i="2"/>
  <c r="HQ303" i="2" s="1"/>
  <c r="HP297" i="2"/>
  <c r="HP303" i="2" s="1"/>
  <c r="HO297" i="2"/>
  <c r="HO303" i="2" s="1"/>
  <c r="HN297" i="2"/>
  <c r="HN303" i="2" s="1"/>
  <c r="HM297" i="2"/>
  <c r="HL297" i="2"/>
  <c r="HK297" i="2"/>
  <c r="HK303" i="2" s="1"/>
  <c r="HJ297" i="2"/>
  <c r="HJ303" i="2" s="1"/>
  <c r="HI297" i="2"/>
  <c r="HH297" i="2"/>
  <c r="HG297" i="2"/>
  <c r="HF297" i="2"/>
  <c r="HE297" i="2"/>
  <c r="HD297" i="2"/>
  <c r="HC297" i="2"/>
  <c r="HB297" i="2"/>
  <c r="HA297" i="2"/>
  <c r="GZ297" i="2"/>
  <c r="GY297" i="2"/>
  <c r="GX297" i="2"/>
  <c r="GW297" i="2"/>
  <c r="GV297" i="2"/>
  <c r="GU297" i="2"/>
  <c r="GU303" i="2" s="1"/>
  <c r="GT297" i="2"/>
  <c r="GT303" i="2" s="1"/>
  <c r="GS297" i="2"/>
  <c r="GS303" i="2" s="1"/>
  <c r="GR297" i="2"/>
  <c r="GR303" i="2" s="1"/>
  <c r="GQ297" i="2"/>
  <c r="GP297" i="2"/>
  <c r="GO297" i="2"/>
  <c r="GO303" i="2" s="1"/>
  <c r="GN297" i="2"/>
  <c r="GN303" i="2" s="1"/>
  <c r="GM297" i="2"/>
  <c r="GM303" i="2" s="1"/>
  <c r="GL297" i="2"/>
  <c r="GK297" i="2"/>
  <c r="GJ297" i="2"/>
  <c r="GI297" i="2"/>
  <c r="GH297" i="2"/>
  <c r="GG297" i="2"/>
  <c r="GF297" i="2"/>
  <c r="GE297" i="2"/>
  <c r="GD297" i="2"/>
  <c r="GC297" i="2"/>
  <c r="GB297" i="2"/>
  <c r="GA297" i="2"/>
  <c r="FZ297" i="2"/>
  <c r="FY297" i="2"/>
  <c r="FY303" i="2" s="1"/>
  <c r="FX297" i="2"/>
  <c r="FX303" i="2" s="1"/>
  <c r="FW297" i="2"/>
  <c r="FW303" i="2" s="1"/>
  <c r="FV297" i="2"/>
  <c r="FV303" i="2" s="1"/>
  <c r="FU297" i="2"/>
  <c r="FT297" i="2"/>
  <c r="FS297" i="2"/>
  <c r="FS303" i="2" s="1"/>
  <c r="FR297" i="2"/>
  <c r="FR303" i="2" s="1"/>
  <c r="FQ297" i="2"/>
  <c r="FP297" i="2"/>
  <c r="Z297" i="2"/>
  <c r="G297" i="2"/>
  <c r="F297" i="2"/>
  <c r="E297" i="2"/>
  <c r="D297" i="2"/>
  <c r="LT294" i="2"/>
  <c r="LS294" i="2"/>
  <c r="KW294" i="2"/>
  <c r="KV294" i="2"/>
  <c r="JF294" i="2"/>
  <c r="JE294" i="2"/>
  <c r="JC294" i="2"/>
  <c r="JB294" i="2"/>
  <c r="JA294" i="2"/>
  <c r="IG294" i="2"/>
  <c r="GN294" i="2"/>
  <c r="FB294" i="2"/>
  <c r="FA294" i="2"/>
  <c r="EX294" i="2"/>
  <c r="EW294" i="2"/>
  <c r="DK294" i="2"/>
  <c r="DJ294" i="2"/>
  <c r="DI294" i="2"/>
  <c r="DH294" i="2"/>
  <c r="DG294" i="2"/>
  <c r="DF294" i="2"/>
  <c r="DE294" i="2"/>
  <c r="CL294" i="2"/>
  <c r="CI294" i="2"/>
  <c r="CH294" i="2"/>
  <c r="BS294" i="2"/>
  <c r="BR294" i="2"/>
  <c r="BQ294" i="2"/>
  <c r="AU294" i="2"/>
  <c r="AS294" i="2"/>
  <c r="AQ294" i="2"/>
  <c r="AP294" i="2"/>
  <c r="AO294" i="2"/>
  <c r="Z293" i="2"/>
  <c r="Y293" i="2"/>
  <c r="X293" i="2"/>
  <c r="W293" i="2"/>
  <c r="V293" i="2"/>
  <c r="U293" i="2"/>
  <c r="T293" i="2"/>
  <c r="S293" i="2"/>
  <c r="S304" i="2" s="1"/>
  <c r="R293" i="2"/>
  <c r="R304" i="2" s="1"/>
  <c r="Q293" i="2"/>
  <c r="Q304" i="2" s="1"/>
  <c r="P293" i="2"/>
  <c r="O293" i="2"/>
  <c r="N293" i="2"/>
  <c r="M293" i="2"/>
  <c r="L293" i="2"/>
  <c r="K293" i="2"/>
  <c r="J293" i="2"/>
  <c r="I293" i="2"/>
  <c r="H293" i="2"/>
  <c r="G293" i="2"/>
  <c r="F293" i="2"/>
  <c r="F304" i="2" s="1"/>
  <c r="E293" i="2"/>
  <c r="E304" i="2" s="1"/>
  <c r="D293" i="2"/>
  <c r="D304" i="2" s="1"/>
  <c r="C293" i="2"/>
  <c r="B293" i="2"/>
  <c r="KX289" i="2"/>
  <c r="KX294" i="2" s="1"/>
  <c r="KW289" i="2"/>
  <c r="KW309" i="2" s="1"/>
  <c r="KU289" i="2"/>
  <c r="KU309" i="2" s="1"/>
  <c r="KT289" i="2"/>
  <c r="KT309" i="2" s="1"/>
  <c r="KS289" i="2"/>
  <c r="KS309" i="2" s="1"/>
  <c r="JY289" i="2"/>
  <c r="JY294" i="2" s="1"/>
  <c r="JU289" i="2"/>
  <c r="JF289" i="2"/>
  <c r="JF309" i="2" s="1"/>
  <c r="JE289" i="2"/>
  <c r="JE309" i="2" s="1"/>
  <c r="IG289" i="2"/>
  <c r="IG309" i="2" s="1"/>
  <c r="IF289" i="2"/>
  <c r="IF294" i="2" s="1"/>
  <c r="HB289" i="2"/>
  <c r="GR289" i="2"/>
  <c r="GR294" i="2" s="1"/>
  <c r="GQ289" i="2"/>
  <c r="GQ294" i="2" s="1"/>
  <c r="GP289" i="2"/>
  <c r="GP294" i="2" s="1"/>
  <c r="GO289" i="2"/>
  <c r="GO294" i="2" s="1"/>
  <c r="GN289" i="2"/>
  <c r="FR289" i="2"/>
  <c r="FR294" i="2" s="1"/>
  <c r="EZ289" i="2"/>
  <c r="EZ294" i="2" s="1"/>
  <c r="EY289" i="2"/>
  <c r="EY294" i="2" s="1"/>
  <c r="EX289" i="2"/>
  <c r="EW289" i="2"/>
  <c r="ED289" i="2"/>
  <c r="ED294" i="2" s="1"/>
  <c r="EA289" i="2"/>
  <c r="EA294" i="2" s="1"/>
  <c r="DZ289" i="2"/>
  <c r="DZ294" i="2" s="1"/>
  <c r="DY289" i="2"/>
  <c r="DY294" i="2" s="1"/>
  <c r="CL289" i="2"/>
  <c r="CK289" i="2"/>
  <c r="CK294" i="2" s="1"/>
  <c r="CI289" i="2"/>
  <c r="CH289" i="2"/>
  <c r="CG289" i="2"/>
  <c r="CG294" i="2" s="1"/>
  <c r="CE289" i="2"/>
  <c r="CE294" i="2" s="1"/>
  <c r="CD289" i="2"/>
  <c r="CD294" i="2" s="1"/>
  <c r="BK289" i="2"/>
  <c r="BK294" i="2" s="1"/>
  <c r="BH289" i="2"/>
  <c r="BH294" i="2" s="1"/>
  <c r="BG289" i="2"/>
  <c r="BG294" i="2" s="1"/>
  <c r="BF289" i="2"/>
  <c r="BF294" i="2" s="1"/>
  <c r="BE289" i="2"/>
  <c r="BE294" i="2" s="1"/>
  <c r="AT289" i="2"/>
  <c r="AT294" i="2" s="1"/>
  <c r="AS289" i="2"/>
  <c r="AQ289" i="2"/>
  <c r="AP289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Z246" i="2"/>
  <c r="Y246" i="2"/>
  <c r="X246" i="2"/>
  <c r="W246" i="2"/>
  <c r="V246" i="2"/>
  <c r="U246" i="2"/>
  <c r="T246" i="2"/>
  <c r="S246" i="2"/>
  <c r="R246" i="2"/>
  <c r="Q246" i="2"/>
  <c r="Q231" i="2" s="1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Z243" i="2"/>
  <c r="Z301" i="2" s="1"/>
  <c r="Y243" i="2"/>
  <c r="X243" i="2"/>
  <c r="W243" i="2"/>
  <c r="V243" i="2"/>
  <c r="U243" i="2"/>
  <c r="U301" i="2" s="1"/>
  <c r="T243" i="2"/>
  <c r="T301" i="2" s="1"/>
  <c r="S243" i="2"/>
  <c r="S301" i="2" s="1"/>
  <c r="R243" i="2"/>
  <c r="R301" i="2" s="1"/>
  <c r="Q243" i="2"/>
  <c r="Q301" i="2" s="1"/>
  <c r="P243" i="2"/>
  <c r="P301" i="2" s="1"/>
  <c r="O243" i="2"/>
  <c r="O301" i="2" s="1"/>
  <c r="N243" i="2"/>
  <c r="N301" i="2" s="1"/>
  <c r="M243" i="2"/>
  <c r="M301" i="2" s="1"/>
  <c r="L243" i="2"/>
  <c r="K243" i="2"/>
  <c r="J243" i="2"/>
  <c r="I243" i="2"/>
  <c r="H243" i="2"/>
  <c r="G243" i="2"/>
  <c r="F243" i="2"/>
  <c r="E243" i="2"/>
  <c r="D243" i="2"/>
  <c r="D301" i="2" s="1"/>
  <c r="C243" i="2"/>
  <c r="C301" i="2" s="1"/>
  <c r="B243" i="2"/>
  <c r="B301" i="2" s="1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Z239" i="2"/>
  <c r="Y239" i="2"/>
  <c r="X239" i="2"/>
  <c r="W239" i="2"/>
  <c r="V239" i="2"/>
  <c r="U239" i="2"/>
  <c r="T239" i="2"/>
  <c r="S239" i="2"/>
  <c r="R239" i="2"/>
  <c r="Q239" i="2"/>
  <c r="P239" i="2"/>
  <c r="P231" i="2" s="1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Z237" i="2"/>
  <c r="Y237" i="2"/>
  <c r="X237" i="2"/>
  <c r="W237" i="2"/>
  <c r="V237" i="2"/>
  <c r="U237" i="2"/>
  <c r="T237" i="2"/>
  <c r="S237" i="2"/>
  <c r="S231" i="2" s="1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Z236" i="2"/>
  <c r="Y236" i="2"/>
  <c r="Y231" i="2" s="1"/>
  <c r="X236" i="2"/>
  <c r="W236" i="2"/>
  <c r="V236" i="2"/>
  <c r="V231" i="2" s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Z234" i="2"/>
  <c r="Z300" i="2" s="1"/>
  <c r="Y234" i="2"/>
  <c r="Y300" i="2" s="1"/>
  <c r="X234" i="2"/>
  <c r="X300" i="2" s="1"/>
  <c r="W234" i="2"/>
  <c r="W300" i="2" s="1"/>
  <c r="V234" i="2"/>
  <c r="V300" i="2" s="1"/>
  <c r="U234" i="2"/>
  <c r="T234" i="2"/>
  <c r="T300" i="2" s="1"/>
  <c r="S234" i="2"/>
  <c r="S300" i="2" s="1"/>
  <c r="R234" i="2"/>
  <c r="R300" i="2" s="1"/>
  <c r="Q234" i="2"/>
  <c r="Q300" i="2" s="1"/>
  <c r="P234" i="2"/>
  <c r="P300" i="2" s="1"/>
  <c r="O234" i="2"/>
  <c r="O300" i="2" s="1"/>
  <c r="N234" i="2"/>
  <c r="N300" i="2" s="1"/>
  <c r="M234" i="2"/>
  <c r="L234" i="2"/>
  <c r="K234" i="2"/>
  <c r="J234" i="2"/>
  <c r="I234" i="2"/>
  <c r="I300" i="2" s="1"/>
  <c r="H234" i="2"/>
  <c r="G234" i="2"/>
  <c r="F234" i="2"/>
  <c r="E234" i="2"/>
  <c r="D234" i="2"/>
  <c r="C234" i="2"/>
  <c r="B234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O231" i="2" s="1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MG231" i="2"/>
  <c r="MF231" i="2"/>
  <c r="ME231" i="2"/>
  <c r="MD231" i="2"/>
  <c r="MC231" i="2"/>
  <c r="MB231" i="2"/>
  <c r="MA231" i="2"/>
  <c r="LZ231" i="2"/>
  <c r="LY231" i="2"/>
  <c r="LX231" i="2"/>
  <c r="LW231" i="2"/>
  <c r="LV231" i="2"/>
  <c r="LU231" i="2"/>
  <c r="LT231" i="2"/>
  <c r="LS231" i="2"/>
  <c r="LR231" i="2"/>
  <c r="LQ231" i="2"/>
  <c r="LP231" i="2"/>
  <c r="LO231" i="2"/>
  <c r="LN231" i="2"/>
  <c r="LM231" i="2"/>
  <c r="LL231" i="2"/>
  <c r="LK231" i="2"/>
  <c r="LJ231" i="2"/>
  <c r="LI231" i="2"/>
  <c r="LH231" i="2"/>
  <c r="LG231" i="2"/>
  <c r="LF231" i="2"/>
  <c r="LE231" i="2"/>
  <c r="LD231" i="2"/>
  <c r="LC231" i="2"/>
  <c r="LB231" i="2"/>
  <c r="LA231" i="2"/>
  <c r="KZ231" i="2"/>
  <c r="KY231" i="2"/>
  <c r="KX231" i="2"/>
  <c r="KW231" i="2"/>
  <c r="KV231" i="2"/>
  <c r="KU231" i="2"/>
  <c r="KT231" i="2"/>
  <c r="KS231" i="2"/>
  <c r="KR231" i="2"/>
  <c r="KQ231" i="2"/>
  <c r="KP231" i="2"/>
  <c r="KO231" i="2"/>
  <c r="KN231" i="2"/>
  <c r="KM231" i="2"/>
  <c r="KL231" i="2"/>
  <c r="KK231" i="2"/>
  <c r="KJ231" i="2"/>
  <c r="KI231" i="2"/>
  <c r="KH231" i="2"/>
  <c r="KG231" i="2"/>
  <c r="KF231" i="2"/>
  <c r="KE231" i="2"/>
  <c r="KD231" i="2"/>
  <c r="KC231" i="2"/>
  <c r="KB231" i="2"/>
  <c r="KA231" i="2"/>
  <c r="JZ231" i="2"/>
  <c r="JY231" i="2"/>
  <c r="JX231" i="2"/>
  <c r="JW231" i="2"/>
  <c r="JV231" i="2"/>
  <c r="JU231" i="2"/>
  <c r="JT231" i="2"/>
  <c r="JS231" i="2"/>
  <c r="JR231" i="2"/>
  <c r="JQ231" i="2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Y231" i="2"/>
  <c r="IX231" i="2"/>
  <c r="IW231" i="2"/>
  <c r="IV231" i="2"/>
  <c r="IU231" i="2"/>
  <c r="IT231" i="2"/>
  <c r="IS231" i="2"/>
  <c r="IR231" i="2"/>
  <c r="IQ231" i="2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C231" i="2"/>
  <c r="IB231" i="2"/>
  <c r="IA231" i="2"/>
  <c r="HZ231" i="2"/>
  <c r="HY231" i="2"/>
  <c r="HX231" i="2"/>
  <c r="HW231" i="2"/>
  <c r="HV231" i="2"/>
  <c r="HU231" i="2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Y231" i="2"/>
  <c r="GX231" i="2"/>
  <c r="GW231" i="2"/>
  <c r="GV231" i="2"/>
  <c r="GU231" i="2"/>
  <c r="GT231" i="2"/>
  <c r="GS231" i="2"/>
  <c r="GR231" i="2"/>
  <c r="GQ231" i="2"/>
  <c r="GP231" i="2"/>
  <c r="GO231" i="2"/>
  <c r="GN231" i="2"/>
  <c r="GM231" i="2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EU231" i="2"/>
  <c r="ET231" i="2"/>
  <c r="ES231" i="2"/>
  <c r="ER231" i="2"/>
  <c r="EQ231" i="2"/>
  <c r="EP231" i="2"/>
  <c r="EO231" i="2"/>
  <c r="EN231" i="2"/>
  <c r="EM231" i="2"/>
  <c r="EL231" i="2"/>
  <c r="EK231" i="2"/>
  <c r="EJ231" i="2"/>
  <c r="EI231" i="2"/>
  <c r="EH231" i="2"/>
  <c r="EG231" i="2"/>
  <c r="EF231" i="2"/>
  <c r="EE231" i="2"/>
  <c r="ED231" i="2"/>
  <c r="EC231" i="2"/>
  <c r="EB231" i="2"/>
  <c r="EA231" i="2"/>
  <c r="DZ231" i="2"/>
  <c r="DY231" i="2"/>
  <c r="DX231" i="2"/>
  <c r="DW231" i="2"/>
  <c r="DV231" i="2"/>
  <c r="DU231" i="2"/>
  <c r="DT231" i="2"/>
  <c r="DS231" i="2"/>
  <c r="DR231" i="2"/>
  <c r="DQ231" i="2"/>
  <c r="DP231" i="2"/>
  <c r="DO231" i="2"/>
  <c r="DN231" i="2"/>
  <c r="DM231" i="2"/>
  <c r="DL231" i="2"/>
  <c r="DK231" i="2"/>
  <c r="DJ231" i="2"/>
  <c r="DI231" i="2"/>
  <c r="DH231" i="2"/>
  <c r="DG231" i="2"/>
  <c r="DF231" i="2"/>
  <c r="DE231" i="2"/>
  <c r="DD231" i="2"/>
  <c r="DC231" i="2"/>
  <c r="DB231" i="2"/>
  <c r="DA231" i="2"/>
  <c r="CZ231" i="2"/>
  <c r="CY231" i="2"/>
  <c r="CX231" i="2"/>
  <c r="CW231" i="2"/>
  <c r="CV231" i="2"/>
  <c r="CU231" i="2"/>
  <c r="CT231" i="2"/>
  <c r="CS231" i="2"/>
  <c r="CR231" i="2"/>
  <c r="CQ231" i="2"/>
  <c r="CP231" i="2"/>
  <c r="CO231" i="2"/>
  <c r="CN231" i="2"/>
  <c r="CM231" i="2"/>
  <c r="CL231" i="2"/>
  <c r="CK231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R231" i="2"/>
  <c r="F231" i="2"/>
  <c r="E231" i="2"/>
  <c r="D231" i="2"/>
  <c r="C231" i="2"/>
  <c r="B231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D164" i="2" s="1"/>
  <c r="C171" i="2"/>
  <c r="B171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F164" i="2" s="1"/>
  <c r="E170" i="2"/>
  <c r="D170" i="2"/>
  <c r="C170" i="2"/>
  <c r="B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G164" i="2" s="1"/>
  <c r="F168" i="2"/>
  <c r="E168" i="2"/>
  <c r="D168" i="2"/>
  <c r="C168" i="2"/>
  <c r="B168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J164" i="2" s="1"/>
  <c r="I167" i="2"/>
  <c r="H167" i="2"/>
  <c r="G167" i="2"/>
  <c r="F167" i="2"/>
  <c r="E167" i="2"/>
  <c r="D167" i="2"/>
  <c r="C167" i="2"/>
  <c r="B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Z165" i="2"/>
  <c r="Y165" i="2"/>
  <c r="X165" i="2"/>
  <c r="W165" i="2"/>
  <c r="V165" i="2"/>
  <c r="V164" i="2" s="1"/>
  <c r="U165" i="2"/>
  <c r="U164" i="2" s="1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MG164" i="2"/>
  <c r="MF164" i="2"/>
  <c r="ME164" i="2"/>
  <c r="MD164" i="2"/>
  <c r="MC164" i="2"/>
  <c r="MB164" i="2"/>
  <c r="MA164" i="2"/>
  <c r="LZ164" i="2"/>
  <c r="LY164" i="2"/>
  <c r="LX164" i="2"/>
  <c r="LW164" i="2"/>
  <c r="LV164" i="2"/>
  <c r="LU164" i="2"/>
  <c r="LT164" i="2"/>
  <c r="LS164" i="2"/>
  <c r="LR164" i="2"/>
  <c r="LQ164" i="2"/>
  <c r="LP164" i="2"/>
  <c r="LO164" i="2"/>
  <c r="LN164" i="2"/>
  <c r="LM164" i="2"/>
  <c r="LL164" i="2"/>
  <c r="LK164" i="2"/>
  <c r="LJ164" i="2"/>
  <c r="LI164" i="2"/>
  <c r="LH164" i="2"/>
  <c r="LG164" i="2"/>
  <c r="LF164" i="2"/>
  <c r="LE164" i="2"/>
  <c r="LD164" i="2"/>
  <c r="LC164" i="2"/>
  <c r="LB164" i="2"/>
  <c r="LA164" i="2"/>
  <c r="KZ164" i="2"/>
  <c r="KY164" i="2"/>
  <c r="KX164" i="2"/>
  <c r="KW164" i="2"/>
  <c r="KV164" i="2"/>
  <c r="KU164" i="2"/>
  <c r="KT164" i="2"/>
  <c r="KS164" i="2"/>
  <c r="KR164" i="2"/>
  <c r="KQ164" i="2"/>
  <c r="KP164" i="2"/>
  <c r="KO164" i="2"/>
  <c r="KN164" i="2"/>
  <c r="KM164" i="2"/>
  <c r="KL164" i="2"/>
  <c r="KK164" i="2"/>
  <c r="KJ164" i="2"/>
  <c r="KI164" i="2"/>
  <c r="KH164" i="2"/>
  <c r="KG164" i="2"/>
  <c r="KF164" i="2"/>
  <c r="KE164" i="2"/>
  <c r="KD164" i="2"/>
  <c r="KC164" i="2"/>
  <c r="KB164" i="2"/>
  <c r="KA164" i="2"/>
  <c r="JZ164" i="2"/>
  <c r="JY164" i="2"/>
  <c r="JX164" i="2"/>
  <c r="JW164" i="2"/>
  <c r="JV164" i="2"/>
  <c r="JU164" i="2"/>
  <c r="JT164" i="2"/>
  <c r="JT289" i="2" s="1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IZ164" i="2"/>
  <c r="IY164" i="2"/>
  <c r="IX164" i="2"/>
  <c r="IW164" i="2"/>
  <c r="IV164" i="2"/>
  <c r="IU164" i="2"/>
  <c r="IT164" i="2"/>
  <c r="IS164" i="2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D164" i="2"/>
  <c r="IC164" i="2"/>
  <c r="IB164" i="2"/>
  <c r="IA164" i="2"/>
  <c r="HZ164" i="2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EV164" i="2"/>
  <c r="EU164" i="2"/>
  <c r="ET164" i="2"/>
  <c r="ES164" i="2"/>
  <c r="ER164" i="2"/>
  <c r="EQ164" i="2"/>
  <c r="EP164" i="2"/>
  <c r="EO164" i="2"/>
  <c r="EN164" i="2"/>
  <c r="EM164" i="2"/>
  <c r="EL164" i="2"/>
  <c r="EK164" i="2"/>
  <c r="EJ164" i="2"/>
  <c r="EI164" i="2"/>
  <c r="EH164" i="2"/>
  <c r="EG164" i="2"/>
  <c r="EF164" i="2"/>
  <c r="EE164" i="2"/>
  <c r="ED164" i="2"/>
  <c r="EC164" i="2"/>
  <c r="EB164" i="2"/>
  <c r="EA164" i="2"/>
  <c r="DZ164" i="2"/>
  <c r="DY164" i="2"/>
  <c r="DX164" i="2"/>
  <c r="DW164" i="2"/>
  <c r="DV164" i="2"/>
  <c r="DU164" i="2"/>
  <c r="DT164" i="2"/>
  <c r="DS164" i="2"/>
  <c r="DR164" i="2"/>
  <c r="DQ164" i="2"/>
  <c r="DP164" i="2"/>
  <c r="DO164" i="2"/>
  <c r="DN164" i="2"/>
  <c r="DM164" i="2"/>
  <c r="DL164" i="2"/>
  <c r="DK164" i="2"/>
  <c r="DJ164" i="2"/>
  <c r="DI164" i="2"/>
  <c r="DH164" i="2"/>
  <c r="DG164" i="2"/>
  <c r="DF164" i="2"/>
  <c r="DE164" i="2"/>
  <c r="DD164" i="2"/>
  <c r="DC164" i="2"/>
  <c r="DB164" i="2"/>
  <c r="DA164" i="2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Z141" i="2"/>
  <c r="Z299" i="2" s="1"/>
  <c r="Y141" i="2"/>
  <c r="X141" i="2"/>
  <c r="W141" i="2"/>
  <c r="W299" i="2" s="1"/>
  <c r="V141" i="2"/>
  <c r="V299" i="2" s="1"/>
  <c r="U141" i="2"/>
  <c r="U299" i="2" s="1"/>
  <c r="T141" i="2"/>
  <c r="T299" i="2" s="1"/>
  <c r="S141" i="2"/>
  <c r="S299" i="2" s="1"/>
  <c r="R141" i="2"/>
  <c r="R299" i="2" s="1"/>
  <c r="Q141" i="2"/>
  <c r="Q299" i="2" s="1"/>
  <c r="P141" i="2"/>
  <c r="P299" i="2" s="1"/>
  <c r="O141" i="2"/>
  <c r="O299" i="2" s="1"/>
  <c r="N141" i="2"/>
  <c r="M141" i="2"/>
  <c r="L141" i="2"/>
  <c r="L299" i="2" s="1"/>
  <c r="K141" i="2"/>
  <c r="K299" i="2" s="1"/>
  <c r="J141" i="2"/>
  <c r="J299" i="2" s="1"/>
  <c r="I141" i="2"/>
  <c r="I299" i="2" s="1"/>
  <c r="H141" i="2"/>
  <c r="H299" i="2" s="1"/>
  <c r="G141" i="2"/>
  <c r="G299" i="2" s="1"/>
  <c r="F141" i="2"/>
  <c r="F299" i="2" s="1"/>
  <c r="E141" i="2"/>
  <c r="E299" i="2" s="1"/>
  <c r="D141" i="2"/>
  <c r="D299" i="2" s="1"/>
  <c r="C141" i="2"/>
  <c r="B141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Z117" i="2"/>
  <c r="Y117" i="2"/>
  <c r="X117" i="2"/>
  <c r="X298" i="2" s="1"/>
  <c r="W117" i="2"/>
  <c r="W298" i="2" s="1"/>
  <c r="V117" i="2"/>
  <c r="V298" i="2" s="1"/>
  <c r="U117" i="2"/>
  <c r="U298" i="2" s="1"/>
  <c r="T117" i="2"/>
  <c r="T298" i="2" s="1"/>
  <c r="S117" i="2"/>
  <c r="S298" i="2" s="1"/>
  <c r="R117" i="2"/>
  <c r="R298" i="2" s="1"/>
  <c r="Q117" i="2"/>
  <c r="Q298" i="2" s="1"/>
  <c r="P117" i="2"/>
  <c r="P298" i="2" s="1"/>
  <c r="O117" i="2"/>
  <c r="O298" i="2" s="1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B298" i="2" s="1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Z103" i="2"/>
  <c r="Y103" i="2"/>
  <c r="Y297" i="2" s="1"/>
  <c r="X103" i="2"/>
  <c r="X297" i="2" s="1"/>
  <c r="W103" i="2"/>
  <c r="W297" i="2" s="1"/>
  <c r="V103" i="2"/>
  <c r="V297" i="2" s="1"/>
  <c r="U103" i="2"/>
  <c r="U297" i="2" s="1"/>
  <c r="T103" i="2"/>
  <c r="T297" i="2" s="1"/>
  <c r="S103" i="2"/>
  <c r="S297" i="2" s="1"/>
  <c r="R103" i="2"/>
  <c r="R297" i="2" s="1"/>
  <c r="Q103" i="2"/>
  <c r="Q297" i="2" s="1"/>
  <c r="P103" i="2"/>
  <c r="P297" i="2" s="1"/>
  <c r="O103" i="2"/>
  <c r="O297" i="2" s="1"/>
  <c r="N103" i="2"/>
  <c r="N297" i="2" s="1"/>
  <c r="M103" i="2"/>
  <c r="M297" i="2" s="1"/>
  <c r="L103" i="2"/>
  <c r="L297" i="2" s="1"/>
  <c r="K103" i="2"/>
  <c r="K297" i="2" s="1"/>
  <c r="J103" i="2"/>
  <c r="J297" i="2" s="1"/>
  <c r="I103" i="2"/>
  <c r="I297" i="2" s="1"/>
  <c r="H103" i="2"/>
  <c r="H297" i="2" s="1"/>
  <c r="G103" i="2"/>
  <c r="F103" i="2"/>
  <c r="E103" i="2"/>
  <c r="D103" i="2"/>
  <c r="C103" i="2"/>
  <c r="C297" i="2" s="1"/>
  <c r="B103" i="2"/>
  <c r="B297" i="2" s="1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G74" i="2" s="1"/>
  <c r="F89" i="2"/>
  <c r="E89" i="2"/>
  <c r="D89" i="2"/>
  <c r="C89" i="2"/>
  <c r="B89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74" i="2" s="1"/>
  <c r="B83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F74" i="2" s="1"/>
  <c r="E82" i="2"/>
  <c r="E74" i="2" s="1"/>
  <c r="D82" i="2"/>
  <c r="C82" i="2"/>
  <c r="B82" i="2"/>
  <c r="Z81" i="2"/>
  <c r="Y81" i="2"/>
  <c r="X81" i="2"/>
  <c r="W81" i="2"/>
  <c r="V81" i="2"/>
  <c r="U81" i="2"/>
  <c r="T81" i="2"/>
  <c r="S81" i="2"/>
  <c r="S74" i="2" s="1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Z80" i="2"/>
  <c r="Y80" i="2"/>
  <c r="X80" i="2"/>
  <c r="W80" i="2"/>
  <c r="V80" i="2"/>
  <c r="V74" i="2" s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Z79" i="2"/>
  <c r="Y79" i="2"/>
  <c r="Y74" i="2" s="1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Z78" i="2"/>
  <c r="Y78" i="2"/>
  <c r="X78" i="2"/>
  <c r="W78" i="2"/>
  <c r="V78" i="2"/>
  <c r="U78" i="2"/>
  <c r="T78" i="2"/>
  <c r="S78" i="2"/>
  <c r="R78" i="2"/>
  <c r="R74" i="2" s="1"/>
  <c r="Q78" i="2"/>
  <c r="Q74" i="2" s="1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Z77" i="2"/>
  <c r="Y77" i="2"/>
  <c r="X77" i="2"/>
  <c r="W77" i="2"/>
  <c r="V77" i="2"/>
  <c r="U77" i="2"/>
  <c r="U74" i="2" s="1"/>
  <c r="T77" i="2"/>
  <c r="T74" i="2" s="1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Z76" i="2"/>
  <c r="Y76" i="2"/>
  <c r="X76" i="2"/>
  <c r="W76" i="2"/>
  <c r="W74" i="2" s="1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Z75" i="2"/>
  <c r="Z74" i="2" s="1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D74" i="2" s="1"/>
  <c r="C75" i="2"/>
  <c r="B75" i="2"/>
  <c r="MG74" i="2"/>
  <c r="MF74" i="2"/>
  <c r="ME74" i="2"/>
  <c r="MD74" i="2"/>
  <c r="MC74" i="2"/>
  <c r="MB74" i="2"/>
  <c r="MA74" i="2"/>
  <c r="LZ74" i="2"/>
  <c r="LY74" i="2"/>
  <c r="LX74" i="2"/>
  <c r="LW74" i="2"/>
  <c r="LV74" i="2"/>
  <c r="LU74" i="2"/>
  <c r="LT74" i="2"/>
  <c r="LT289" i="2" s="1"/>
  <c r="LT309" i="2" s="1"/>
  <c r="LS74" i="2"/>
  <c r="LR74" i="2"/>
  <c r="LQ74" i="2"/>
  <c r="LP74" i="2"/>
  <c r="LO74" i="2"/>
  <c r="LN74" i="2"/>
  <c r="LM74" i="2"/>
  <c r="LL74" i="2"/>
  <c r="LK74" i="2"/>
  <c r="LJ74" i="2"/>
  <c r="LI74" i="2"/>
  <c r="LH74" i="2"/>
  <c r="LG74" i="2"/>
  <c r="LF74" i="2"/>
  <c r="LE74" i="2"/>
  <c r="LD74" i="2"/>
  <c r="LC74" i="2"/>
  <c r="LB74" i="2"/>
  <c r="LA74" i="2"/>
  <c r="KZ74" i="2"/>
  <c r="KY74" i="2"/>
  <c r="KX74" i="2"/>
  <c r="KW74" i="2"/>
  <c r="KV74" i="2"/>
  <c r="KV289" i="2" s="1"/>
  <c r="KV309" i="2" s="1"/>
  <c r="KU74" i="2"/>
  <c r="KT74" i="2"/>
  <c r="KS74" i="2"/>
  <c r="KR74" i="2"/>
  <c r="KQ74" i="2"/>
  <c r="KP74" i="2"/>
  <c r="KO74" i="2"/>
  <c r="KN74" i="2"/>
  <c r="KM74" i="2"/>
  <c r="KL74" i="2"/>
  <c r="KK74" i="2"/>
  <c r="KJ74" i="2"/>
  <c r="KI74" i="2"/>
  <c r="KH74" i="2"/>
  <c r="KG74" i="2"/>
  <c r="KF74" i="2"/>
  <c r="KE74" i="2"/>
  <c r="KD74" i="2"/>
  <c r="KC74" i="2"/>
  <c r="KB74" i="2"/>
  <c r="KB289" i="2" s="1"/>
  <c r="KB294" i="2" s="1"/>
  <c r="KA74" i="2"/>
  <c r="JZ74" i="2"/>
  <c r="JY74" i="2"/>
  <c r="JX74" i="2"/>
  <c r="JW74" i="2"/>
  <c r="JV74" i="2"/>
  <c r="JU74" i="2"/>
  <c r="JT74" i="2"/>
  <c r="JS74" i="2"/>
  <c r="JR74" i="2"/>
  <c r="JQ74" i="2"/>
  <c r="JP74" i="2"/>
  <c r="JO74" i="2"/>
  <c r="JN74" i="2"/>
  <c r="JM74" i="2"/>
  <c r="JL74" i="2"/>
  <c r="JK74" i="2"/>
  <c r="JJ74" i="2"/>
  <c r="JI74" i="2"/>
  <c r="JH74" i="2"/>
  <c r="JG74" i="2"/>
  <c r="JF74" i="2"/>
  <c r="JE74" i="2"/>
  <c r="JD74" i="2"/>
  <c r="JD289" i="2" s="1"/>
  <c r="JC74" i="2"/>
  <c r="JB74" i="2"/>
  <c r="JA74" i="2"/>
  <c r="IZ74" i="2"/>
  <c r="IY74" i="2"/>
  <c r="IX74" i="2"/>
  <c r="IW74" i="2"/>
  <c r="IV74" i="2"/>
  <c r="IU74" i="2"/>
  <c r="IT74" i="2"/>
  <c r="IS74" i="2"/>
  <c r="IR74" i="2"/>
  <c r="IQ74" i="2"/>
  <c r="IP74" i="2"/>
  <c r="IO74" i="2"/>
  <c r="IN74" i="2"/>
  <c r="IM74" i="2"/>
  <c r="IL74" i="2"/>
  <c r="IK74" i="2"/>
  <c r="IJ74" i="2"/>
  <c r="IJ289" i="2" s="1"/>
  <c r="IJ294" i="2" s="1"/>
  <c r="II74" i="2"/>
  <c r="IH74" i="2"/>
  <c r="IH289" i="2" s="1"/>
  <c r="IG74" i="2"/>
  <c r="IF74" i="2"/>
  <c r="IE74" i="2"/>
  <c r="ID74" i="2"/>
  <c r="IC74" i="2"/>
  <c r="IB74" i="2"/>
  <c r="IA74" i="2"/>
  <c r="HZ74" i="2"/>
  <c r="HY74" i="2"/>
  <c r="HX74" i="2"/>
  <c r="HW74" i="2"/>
  <c r="HV74" i="2"/>
  <c r="HU74" i="2"/>
  <c r="HT74" i="2"/>
  <c r="HS74" i="2"/>
  <c r="HR74" i="2"/>
  <c r="HQ74" i="2"/>
  <c r="HP74" i="2"/>
  <c r="HO74" i="2"/>
  <c r="HN74" i="2"/>
  <c r="HN289" i="2" s="1"/>
  <c r="HN309" i="2" s="1"/>
  <c r="HM74" i="2"/>
  <c r="HL74" i="2"/>
  <c r="HK74" i="2"/>
  <c r="HJ74" i="2"/>
  <c r="HI74" i="2"/>
  <c r="HH74" i="2"/>
  <c r="HG74" i="2"/>
  <c r="HF74" i="2"/>
  <c r="HE74" i="2"/>
  <c r="HD74" i="2"/>
  <c r="HC74" i="2"/>
  <c r="HB74" i="2"/>
  <c r="HA74" i="2"/>
  <c r="GZ74" i="2"/>
  <c r="GY74" i="2"/>
  <c r="GX74" i="2"/>
  <c r="GW74" i="2"/>
  <c r="GV74" i="2"/>
  <c r="GU74" i="2"/>
  <c r="GT74" i="2"/>
  <c r="GS74" i="2"/>
  <c r="GR74" i="2"/>
  <c r="GQ74" i="2"/>
  <c r="GP74" i="2"/>
  <c r="GO74" i="2"/>
  <c r="GN74" i="2"/>
  <c r="GM74" i="2"/>
  <c r="GL74" i="2"/>
  <c r="GK74" i="2"/>
  <c r="GJ74" i="2"/>
  <c r="GI74" i="2"/>
  <c r="GH74" i="2"/>
  <c r="GG74" i="2"/>
  <c r="GF74" i="2"/>
  <c r="GE74" i="2"/>
  <c r="GD74" i="2"/>
  <c r="GC74" i="2"/>
  <c r="GB74" i="2"/>
  <c r="GA74" i="2"/>
  <c r="FZ74" i="2"/>
  <c r="FY74" i="2"/>
  <c r="FX74" i="2"/>
  <c r="FW74" i="2"/>
  <c r="FV74" i="2"/>
  <c r="FV289" i="2" s="1"/>
  <c r="FU74" i="2"/>
  <c r="FT74" i="2"/>
  <c r="FS74" i="2"/>
  <c r="FR74" i="2"/>
  <c r="FQ74" i="2"/>
  <c r="FP74" i="2"/>
  <c r="FO74" i="2"/>
  <c r="FN74" i="2"/>
  <c r="FM74" i="2"/>
  <c r="FL74" i="2"/>
  <c r="FK74" i="2"/>
  <c r="FJ74" i="2"/>
  <c r="FI74" i="2"/>
  <c r="FH74" i="2"/>
  <c r="FG74" i="2"/>
  <c r="FF74" i="2"/>
  <c r="FE74" i="2"/>
  <c r="FD74" i="2"/>
  <c r="FC74" i="2"/>
  <c r="FB74" i="2"/>
  <c r="FA74" i="2"/>
  <c r="EZ74" i="2"/>
  <c r="EY74" i="2"/>
  <c r="EX74" i="2"/>
  <c r="EW74" i="2"/>
  <c r="EV74" i="2"/>
  <c r="EU74" i="2"/>
  <c r="ET74" i="2"/>
  <c r="ES74" i="2"/>
  <c r="ER74" i="2"/>
  <c r="EQ74" i="2"/>
  <c r="EP74" i="2"/>
  <c r="EO74" i="2"/>
  <c r="EN74" i="2"/>
  <c r="EM74" i="2"/>
  <c r="EL74" i="2"/>
  <c r="EK74" i="2"/>
  <c r="EJ74" i="2"/>
  <c r="EI74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H289" i="2" s="1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J289" i="2" s="1"/>
  <c r="CJ294" i="2" s="1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P289" i="2" s="1"/>
  <c r="BP294" i="2" s="1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R289" i="2" s="1"/>
  <c r="AR29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B74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Z64" i="2"/>
  <c r="Y64" i="2"/>
  <c r="Y59" i="2" s="1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I59" i="2" s="1"/>
  <c r="H62" i="2"/>
  <c r="G62" i="2"/>
  <c r="F62" i="2"/>
  <c r="E62" i="2"/>
  <c r="D62" i="2"/>
  <c r="C62" i="2"/>
  <c r="B62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Z60" i="2"/>
  <c r="Y60" i="2"/>
  <c r="X60" i="2"/>
  <c r="W60" i="2"/>
  <c r="V60" i="2"/>
  <c r="U60" i="2"/>
  <c r="T60" i="2"/>
  <c r="S60" i="2"/>
  <c r="R60" i="2"/>
  <c r="R59" i="2" s="1"/>
  <c r="Q60" i="2"/>
  <c r="P60" i="2"/>
  <c r="O60" i="2"/>
  <c r="O59" i="2" s="1"/>
  <c r="N60" i="2"/>
  <c r="N59" i="2" s="1"/>
  <c r="M60" i="2"/>
  <c r="M59" i="2" s="1"/>
  <c r="L60" i="2"/>
  <c r="L59" i="2" s="1"/>
  <c r="K60" i="2"/>
  <c r="J60" i="2"/>
  <c r="I60" i="2"/>
  <c r="H60" i="2"/>
  <c r="G60" i="2"/>
  <c r="F60" i="2"/>
  <c r="E60" i="2"/>
  <c r="D60" i="2"/>
  <c r="C60" i="2"/>
  <c r="B60" i="2"/>
  <c r="MG59" i="2"/>
  <c r="MF59" i="2"/>
  <c r="ME59" i="2"/>
  <c r="MD59" i="2"/>
  <c r="MC59" i="2"/>
  <c r="MB59" i="2"/>
  <c r="MA59" i="2"/>
  <c r="LZ59" i="2"/>
  <c r="LY59" i="2"/>
  <c r="LX59" i="2"/>
  <c r="LW59" i="2"/>
  <c r="LV59" i="2"/>
  <c r="LU59" i="2"/>
  <c r="LT59" i="2"/>
  <c r="LS59" i="2"/>
  <c r="LR59" i="2"/>
  <c r="LQ59" i="2"/>
  <c r="LP59" i="2"/>
  <c r="LO59" i="2"/>
  <c r="LN59" i="2"/>
  <c r="LM59" i="2"/>
  <c r="LL59" i="2"/>
  <c r="LK59" i="2"/>
  <c r="LJ59" i="2"/>
  <c r="LI59" i="2"/>
  <c r="LH59" i="2"/>
  <c r="LG59" i="2"/>
  <c r="LF59" i="2"/>
  <c r="LE59" i="2"/>
  <c r="LD59" i="2"/>
  <c r="LC59" i="2"/>
  <c r="LB59" i="2"/>
  <c r="LA59" i="2"/>
  <c r="KZ59" i="2"/>
  <c r="KY59" i="2"/>
  <c r="KX59" i="2"/>
  <c r="KW59" i="2"/>
  <c r="KV59" i="2"/>
  <c r="KU59" i="2"/>
  <c r="KT59" i="2"/>
  <c r="KS59" i="2"/>
  <c r="KR59" i="2"/>
  <c r="KQ59" i="2"/>
  <c r="KP59" i="2"/>
  <c r="KO59" i="2"/>
  <c r="KN59" i="2"/>
  <c r="KM59" i="2"/>
  <c r="KL59" i="2"/>
  <c r="KK59" i="2"/>
  <c r="KJ59" i="2"/>
  <c r="KI59" i="2"/>
  <c r="KH59" i="2"/>
  <c r="KG59" i="2"/>
  <c r="KF59" i="2"/>
  <c r="KE59" i="2"/>
  <c r="KD59" i="2"/>
  <c r="KC59" i="2"/>
  <c r="KB59" i="2"/>
  <c r="KA59" i="2"/>
  <c r="JZ59" i="2"/>
  <c r="JY59" i="2"/>
  <c r="JX59" i="2"/>
  <c r="JW59" i="2"/>
  <c r="JV59" i="2"/>
  <c r="JU59" i="2"/>
  <c r="JT59" i="2"/>
  <c r="JS59" i="2"/>
  <c r="JR59" i="2"/>
  <c r="JQ59" i="2"/>
  <c r="JP59" i="2"/>
  <c r="JO59" i="2"/>
  <c r="JN59" i="2"/>
  <c r="JM59" i="2"/>
  <c r="JL59" i="2"/>
  <c r="JK59" i="2"/>
  <c r="JJ59" i="2"/>
  <c r="JI59" i="2"/>
  <c r="JH59" i="2"/>
  <c r="JG59" i="2"/>
  <c r="JF59" i="2"/>
  <c r="JE59" i="2"/>
  <c r="JD59" i="2"/>
  <c r="JC59" i="2"/>
  <c r="JB59" i="2"/>
  <c r="JA59" i="2"/>
  <c r="IZ59" i="2"/>
  <c r="IY59" i="2"/>
  <c r="IX59" i="2"/>
  <c r="IW59" i="2"/>
  <c r="IV59" i="2"/>
  <c r="IU59" i="2"/>
  <c r="IT59" i="2"/>
  <c r="IS59" i="2"/>
  <c r="IR59" i="2"/>
  <c r="IQ59" i="2"/>
  <c r="IP59" i="2"/>
  <c r="IO59" i="2"/>
  <c r="IN59" i="2"/>
  <c r="IM59" i="2"/>
  <c r="IL59" i="2"/>
  <c r="IK59" i="2"/>
  <c r="IJ59" i="2"/>
  <c r="II59" i="2"/>
  <c r="IH59" i="2"/>
  <c r="IG59" i="2"/>
  <c r="IF59" i="2"/>
  <c r="IE59" i="2"/>
  <c r="ID59" i="2"/>
  <c r="IC59" i="2"/>
  <c r="IB59" i="2"/>
  <c r="IA59" i="2"/>
  <c r="HZ59" i="2"/>
  <c r="HY59" i="2"/>
  <c r="HX59" i="2"/>
  <c r="HW59" i="2"/>
  <c r="HV59" i="2"/>
  <c r="HU59" i="2"/>
  <c r="HT59" i="2"/>
  <c r="HS59" i="2"/>
  <c r="HR59" i="2"/>
  <c r="HQ59" i="2"/>
  <c r="HP59" i="2"/>
  <c r="HO59" i="2"/>
  <c r="HN59" i="2"/>
  <c r="HM59" i="2"/>
  <c r="HL59" i="2"/>
  <c r="HK59" i="2"/>
  <c r="HJ59" i="2"/>
  <c r="HI59" i="2"/>
  <c r="HH59" i="2"/>
  <c r="HG59" i="2"/>
  <c r="HF59" i="2"/>
  <c r="HE59" i="2"/>
  <c r="HD59" i="2"/>
  <c r="HC59" i="2"/>
  <c r="HB59" i="2"/>
  <c r="HA59" i="2"/>
  <c r="GZ59" i="2"/>
  <c r="GY59" i="2"/>
  <c r="GX59" i="2"/>
  <c r="GW59" i="2"/>
  <c r="GV59" i="2"/>
  <c r="GU59" i="2"/>
  <c r="GT59" i="2"/>
  <c r="GS59" i="2"/>
  <c r="GR59" i="2"/>
  <c r="GQ59" i="2"/>
  <c r="GP59" i="2"/>
  <c r="GO59" i="2"/>
  <c r="GN59" i="2"/>
  <c r="GM59" i="2"/>
  <c r="GL59" i="2"/>
  <c r="GK59" i="2"/>
  <c r="GJ59" i="2"/>
  <c r="GI59" i="2"/>
  <c r="GH59" i="2"/>
  <c r="GG59" i="2"/>
  <c r="GF59" i="2"/>
  <c r="GE59" i="2"/>
  <c r="GD59" i="2"/>
  <c r="GC59" i="2"/>
  <c r="GB59" i="2"/>
  <c r="GA59" i="2"/>
  <c r="FZ59" i="2"/>
  <c r="FY59" i="2"/>
  <c r="FX59" i="2"/>
  <c r="FW59" i="2"/>
  <c r="FV59" i="2"/>
  <c r="FU59" i="2"/>
  <c r="FT59" i="2"/>
  <c r="FS59" i="2"/>
  <c r="FR59" i="2"/>
  <c r="FQ59" i="2"/>
  <c r="FP59" i="2"/>
  <c r="FO59" i="2"/>
  <c r="FN59" i="2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Y59" i="2"/>
  <c r="EX59" i="2"/>
  <c r="EW59" i="2"/>
  <c r="EV59" i="2"/>
  <c r="EU59" i="2"/>
  <c r="ET59" i="2"/>
  <c r="ES59" i="2"/>
  <c r="ER59" i="2"/>
  <c r="EQ59" i="2"/>
  <c r="EP59" i="2"/>
  <c r="EO59" i="2"/>
  <c r="EN59" i="2"/>
  <c r="EM59" i="2"/>
  <c r="EL59" i="2"/>
  <c r="EK59" i="2"/>
  <c r="EJ59" i="2"/>
  <c r="EI59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K59" i="2"/>
  <c r="H59" i="2"/>
  <c r="G59" i="2"/>
  <c r="F59" i="2"/>
  <c r="E59" i="2"/>
  <c r="D59" i="2"/>
  <c r="C59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L37" i="2" s="1"/>
  <c r="K41" i="2"/>
  <c r="J41" i="2"/>
  <c r="I41" i="2"/>
  <c r="H41" i="2"/>
  <c r="G41" i="2"/>
  <c r="F41" i="2"/>
  <c r="E41" i="2"/>
  <c r="D41" i="2"/>
  <c r="C41" i="2"/>
  <c r="B41" i="2"/>
  <c r="Z40" i="2"/>
  <c r="Y40" i="2"/>
  <c r="X40" i="2"/>
  <c r="W40" i="2"/>
  <c r="V40" i="2"/>
  <c r="U40" i="2"/>
  <c r="T40" i="2"/>
  <c r="S40" i="2"/>
  <c r="R40" i="2"/>
  <c r="Q40" i="2"/>
  <c r="P40" i="2"/>
  <c r="O40" i="2"/>
  <c r="O37" i="2" s="1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Z39" i="2"/>
  <c r="Y39" i="2"/>
  <c r="X39" i="2"/>
  <c r="W39" i="2"/>
  <c r="V39" i="2"/>
  <c r="U39" i="2"/>
  <c r="T39" i="2"/>
  <c r="S39" i="2"/>
  <c r="R39" i="2"/>
  <c r="R37" i="2" s="1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Z38" i="2"/>
  <c r="Y38" i="2"/>
  <c r="X38" i="2"/>
  <c r="W38" i="2"/>
  <c r="V38" i="2"/>
  <c r="U38" i="2"/>
  <c r="U37" i="2" s="1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MG37" i="2"/>
  <c r="MF37" i="2"/>
  <c r="ME37" i="2"/>
  <c r="MD37" i="2"/>
  <c r="MC37" i="2"/>
  <c r="MB37" i="2"/>
  <c r="MA37" i="2"/>
  <c r="LZ37" i="2"/>
  <c r="LY37" i="2"/>
  <c r="LX37" i="2"/>
  <c r="LW37" i="2"/>
  <c r="LV37" i="2"/>
  <c r="LU37" i="2"/>
  <c r="LT37" i="2"/>
  <c r="LS37" i="2"/>
  <c r="LS289" i="2" s="1"/>
  <c r="LS309" i="2" s="1"/>
  <c r="LR37" i="2"/>
  <c r="LR289" i="2" s="1"/>
  <c r="LQ37" i="2"/>
  <c r="LQ289" i="2" s="1"/>
  <c r="LP37" i="2"/>
  <c r="LP289" i="2" s="1"/>
  <c r="LP294" i="2" s="1"/>
  <c r="LO37" i="2"/>
  <c r="LN37" i="2"/>
  <c r="LM37" i="2"/>
  <c r="LL37" i="2"/>
  <c r="LK37" i="2"/>
  <c r="LJ37" i="2"/>
  <c r="LI37" i="2"/>
  <c r="LH37" i="2"/>
  <c r="LG37" i="2"/>
  <c r="LF37" i="2"/>
  <c r="LE37" i="2"/>
  <c r="LD37" i="2"/>
  <c r="LC37" i="2"/>
  <c r="LB37" i="2"/>
  <c r="LA37" i="2"/>
  <c r="KZ37" i="2"/>
  <c r="KY37" i="2"/>
  <c r="KX37" i="2"/>
  <c r="KW37" i="2"/>
  <c r="KV37" i="2"/>
  <c r="KU37" i="2"/>
  <c r="KT37" i="2"/>
  <c r="KS37" i="2"/>
  <c r="KR37" i="2"/>
  <c r="KR289" i="2" s="1"/>
  <c r="KQ37" i="2"/>
  <c r="KP37" i="2"/>
  <c r="KO37" i="2"/>
  <c r="KN37" i="2"/>
  <c r="KM37" i="2"/>
  <c r="KL37" i="2"/>
  <c r="KK37" i="2"/>
  <c r="KJ37" i="2"/>
  <c r="KI37" i="2"/>
  <c r="KH37" i="2"/>
  <c r="KG37" i="2"/>
  <c r="KF37" i="2"/>
  <c r="KE37" i="2"/>
  <c r="KD37" i="2"/>
  <c r="KC37" i="2"/>
  <c r="KB37" i="2"/>
  <c r="KA37" i="2"/>
  <c r="KA289" i="2" s="1"/>
  <c r="JZ37" i="2"/>
  <c r="JZ289" i="2" s="1"/>
  <c r="JY37" i="2"/>
  <c r="JX37" i="2"/>
  <c r="JX289" i="2" s="1"/>
  <c r="JX294" i="2" s="1"/>
  <c r="JW37" i="2"/>
  <c r="JV37" i="2"/>
  <c r="JV289" i="2" s="1"/>
  <c r="JU37" i="2"/>
  <c r="JT37" i="2"/>
  <c r="JS37" i="2"/>
  <c r="JS289" i="2" s="1"/>
  <c r="JR37" i="2"/>
  <c r="JQ37" i="2"/>
  <c r="JP37" i="2"/>
  <c r="JO37" i="2"/>
  <c r="JN37" i="2"/>
  <c r="JM37" i="2"/>
  <c r="JL37" i="2"/>
  <c r="JK37" i="2"/>
  <c r="JJ37" i="2"/>
  <c r="JI37" i="2"/>
  <c r="JH37" i="2"/>
  <c r="JG37" i="2"/>
  <c r="JF37" i="2"/>
  <c r="JE37" i="2"/>
  <c r="JD37" i="2"/>
  <c r="JC37" i="2"/>
  <c r="JC289" i="2" s="1"/>
  <c r="JC309" i="2" s="1"/>
  <c r="JB37" i="2"/>
  <c r="JB289" i="2" s="1"/>
  <c r="JB309" i="2" s="1"/>
  <c r="JA37" i="2"/>
  <c r="IZ37" i="2"/>
  <c r="IY37" i="2"/>
  <c r="IX37" i="2"/>
  <c r="IW37" i="2"/>
  <c r="IV37" i="2"/>
  <c r="IU37" i="2"/>
  <c r="IT37" i="2"/>
  <c r="IS37" i="2"/>
  <c r="IR37" i="2"/>
  <c r="IQ37" i="2"/>
  <c r="IP37" i="2"/>
  <c r="IO37" i="2"/>
  <c r="IN37" i="2"/>
  <c r="IM37" i="2"/>
  <c r="IL37" i="2"/>
  <c r="IK37" i="2"/>
  <c r="IJ37" i="2"/>
  <c r="II37" i="2"/>
  <c r="II289" i="2" s="1"/>
  <c r="II294" i="2" s="1"/>
  <c r="IH37" i="2"/>
  <c r="IG37" i="2"/>
  <c r="IF37" i="2"/>
  <c r="IE37" i="2"/>
  <c r="ID37" i="2"/>
  <c r="IC37" i="2"/>
  <c r="IB37" i="2"/>
  <c r="IA37" i="2"/>
  <c r="IA289" i="2" s="1"/>
  <c r="HZ37" i="2"/>
  <c r="HY37" i="2"/>
  <c r="HX37" i="2"/>
  <c r="HW37" i="2"/>
  <c r="HV37" i="2"/>
  <c r="HU37" i="2"/>
  <c r="HT37" i="2"/>
  <c r="HS37" i="2"/>
  <c r="HR37" i="2"/>
  <c r="HQ37" i="2"/>
  <c r="HP37" i="2"/>
  <c r="HO37" i="2"/>
  <c r="HN37" i="2"/>
  <c r="HM37" i="2"/>
  <c r="HM289" i="2" s="1"/>
  <c r="HM309" i="2" s="1"/>
  <c r="HL37" i="2"/>
  <c r="HL289" i="2" s="1"/>
  <c r="HL309" i="2" s="1"/>
  <c r="HK37" i="2"/>
  <c r="HK289" i="2" s="1"/>
  <c r="HJ37" i="2"/>
  <c r="HJ289" i="2" s="1"/>
  <c r="HI37" i="2"/>
  <c r="HH37" i="2"/>
  <c r="HG37" i="2"/>
  <c r="HF37" i="2"/>
  <c r="HE37" i="2"/>
  <c r="HD37" i="2"/>
  <c r="HC37" i="2"/>
  <c r="HB37" i="2"/>
  <c r="HA37" i="2"/>
  <c r="GZ37" i="2"/>
  <c r="GY37" i="2"/>
  <c r="GX37" i="2"/>
  <c r="GW37" i="2"/>
  <c r="GV37" i="2"/>
  <c r="GU37" i="2"/>
  <c r="GT37" i="2"/>
  <c r="GS37" i="2"/>
  <c r="GR37" i="2"/>
  <c r="GQ37" i="2"/>
  <c r="GP37" i="2"/>
  <c r="GO37" i="2"/>
  <c r="GN37" i="2"/>
  <c r="GM37" i="2"/>
  <c r="GL37" i="2"/>
  <c r="GK37" i="2"/>
  <c r="GJ37" i="2"/>
  <c r="GI37" i="2"/>
  <c r="GH37" i="2"/>
  <c r="GG37" i="2"/>
  <c r="GF37" i="2"/>
  <c r="GE37" i="2"/>
  <c r="GD37" i="2"/>
  <c r="GC37" i="2"/>
  <c r="GB37" i="2"/>
  <c r="GA37" i="2"/>
  <c r="FZ37" i="2"/>
  <c r="FY37" i="2"/>
  <c r="FX37" i="2"/>
  <c r="FW37" i="2"/>
  <c r="FV37" i="2"/>
  <c r="FU37" i="2"/>
  <c r="FU289" i="2" s="1"/>
  <c r="FU294" i="2" s="1"/>
  <c r="FT37" i="2"/>
  <c r="FT289" i="2" s="1"/>
  <c r="FS37" i="2"/>
  <c r="FS289" i="2" s="1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V289" i="2" s="1"/>
  <c r="EV294" i="2" s="1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C289" i="2" s="1"/>
  <c r="EC294" i="2" s="1"/>
  <c r="EB37" i="2"/>
  <c r="EB289" i="2" s="1"/>
  <c r="EB294" i="2" s="1"/>
  <c r="EA37" i="2"/>
  <c r="DZ37" i="2"/>
  <c r="DY37" i="2"/>
  <c r="DX37" i="2"/>
  <c r="DX289" i="2" s="1"/>
  <c r="DX294" i="2" s="1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G289" i="2" s="1"/>
  <c r="DF37" i="2"/>
  <c r="DF289" i="2" s="1"/>
  <c r="DE37" i="2"/>
  <c r="DE289" i="2" s="1"/>
  <c r="DD37" i="2"/>
  <c r="DD289" i="2" s="1"/>
  <c r="DD294" i="2" s="1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F289" i="2" s="1"/>
  <c r="CF294" i="2" s="1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O289" i="2" s="1"/>
  <c r="BO294" i="2" s="1"/>
  <c r="BN37" i="2"/>
  <c r="BN289" i="2" s="1"/>
  <c r="BN294" i="2" s="1"/>
  <c r="BM37" i="2"/>
  <c r="BM289" i="2" s="1"/>
  <c r="BM294" i="2" s="1"/>
  <c r="BL37" i="2"/>
  <c r="BL289" i="2" s="1"/>
  <c r="BL294" i="2" s="1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H4" i="2" s="1"/>
  <c r="G8" i="2"/>
  <c r="F8" i="2"/>
  <c r="E8" i="2"/>
  <c r="D8" i="2"/>
  <c r="C8" i="2"/>
  <c r="B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K4" i="2" s="1"/>
  <c r="J7" i="2"/>
  <c r="I7" i="2"/>
  <c r="H7" i="2"/>
  <c r="G7" i="2"/>
  <c r="F7" i="2"/>
  <c r="E7" i="2"/>
  <c r="D7" i="2"/>
  <c r="C7" i="2"/>
  <c r="B7" i="2"/>
  <c r="Z6" i="2"/>
  <c r="Y6" i="2"/>
  <c r="X6" i="2"/>
  <c r="W6" i="2"/>
  <c r="V6" i="2"/>
  <c r="U6" i="2"/>
  <c r="T6" i="2"/>
  <c r="S6" i="2"/>
  <c r="R6" i="2"/>
  <c r="Q6" i="2"/>
  <c r="P6" i="2"/>
  <c r="O6" i="2"/>
  <c r="N6" i="2"/>
  <c r="N4" i="2" s="1"/>
  <c r="M6" i="2"/>
  <c r="L6" i="2"/>
  <c r="K6" i="2"/>
  <c r="J6" i="2"/>
  <c r="I6" i="2"/>
  <c r="H6" i="2"/>
  <c r="G6" i="2"/>
  <c r="F6" i="2"/>
  <c r="E6" i="2"/>
  <c r="D6" i="2"/>
  <c r="C6" i="2"/>
  <c r="B6" i="2"/>
  <c r="Z5" i="2"/>
  <c r="Y5" i="2"/>
  <c r="X5" i="2"/>
  <c r="W5" i="2"/>
  <c r="V5" i="2"/>
  <c r="U5" i="2"/>
  <c r="T5" i="2"/>
  <c r="T4" i="2" s="1"/>
  <c r="S5" i="2"/>
  <c r="R5" i="2"/>
  <c r="Q5" i="2"/>
  <c r="Q4" i="2" s="1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MG4" i="2"/>
  <c r="MG302" i="2" s="1"/>
  <c r="MF4" i="2"/>
  <c r="ME4" i="2"/>
  <c r="MD4" i="2"/>
  <c r="MC4" i="2"/>
  <c r="MB4" i="2"/>
  <c r="MA4" i="2"/>
  <c r="LZ4" i="2"/>
  <c r="LY4" i="2"/>
  <c r="LX4" i="2"/>
  <c r="LX302" i="2" s="1"/>
  <c r="LW4" i="2"/>
  <c r="LW302" i="2" s="1"/>
  <c r="LV4" i="2"/>
  <c r="LV302" i="2" s="1"/>
  <c r="LU4" i="2"/>
  <c r="LU302" i="2" s="1"/>
  <c r="LT4" i="2"/>
  <c r="LS4" i="2"/>
  <c r="LR4" i="2"/>
  <c r="LQ4" i="2"/>
  <c r="LP4" i="2"/>
  <c r="LO4" i="2"/>
  <c r="LO289" i="2" s="1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B302" i="2" s="1"/>
  <c r="LA4" i="2"/>
  <c r="LA302" i="2" s="1"/>
  <c r="KZ4" i="2"/>
  <c r="KZ302" i="2" s="1"/>
  <c r="KY4" i="2"/>
  <c r="KY302" i="2" s="1"/>
  <c r="KX4" i="2"/>
  <c r="KW4" i="2"/>
  <c r="KV4" i="2"/>
  <c r="KU4" i="2"/>
  <c r="KT4" i="2"/>
  <c r="KS4" i="2"/>
  <c r="KS302" i="2" s="1"/>
  <c r="KR4" i="2"/>
  <c r="KR302" i="2" s="1"/>
  <c r="KQ4" i="2"/>
  <c r="KP4" i="2"/>
  <c r="KO4" i="2"/>
  <c r="KN4" i="2"/>
  <c r="KM4" i="2"/>
  <c r="KL4" i="2"/>
  <c r="KL289" i="2" s="1"/>
  <c r="KK4" i="2"/>
  <c r="KJ4" i="2"/>
  <c r="KI4" i="2"/>
  <c r="KH4" i="2"/>
  <c r="KG4" i="2"/>
  <c r="KF4" i="2"/>
  <c r="KF302" i="2" s="1"/>
  <c r="KE4" i="2"/>
  <c r="KE302" i="2" s="1"/>
  <c r="KD4" i="2"/>
  <c r="KD302" i="2" s="1"/>
  <c r="KC4" i="2"/>
  <c r="KC302" i="2" s="1"/>
  <c r="KB4" i="2"/>
  <c r="KA4" i="2"/>
  <c r="JZ4" i="2"/>
  <c r="JY4" i="2"/>
  <c r="JX4" i="2"/>
  <c r="JW4" i="2"/>
  <c r="JW289" i="2" s="1"/>
  <c r="JW294" i="2" s="1"/>
  <c r="JV4" i="2"/>
  <c r="JV302" i="2" s="1"/>
  <c r="JU4" i="2"/>
  <c r="JU302" i="2" s="1"/>
  <c r="JT4" i="2"/>
  <c r="JT302" i="2" s="1"/>
  <c r="JS4" i="2"/>
  <c r="JS302" i="2" s="1"/>
  <c r="JR4" i="2"/>
  <c r="JQ4" i="2"/>
  <c r="JP4" i="2"/>
  <c r="JO4" i="2"/>
  <c r="JN4" i="2"/>
  <c r="JM4" i="2"/>
  <c r="JL4" i="2"/>
  <c r="JK4" i="2"/>
  <c r="JJ4" i="2"/>
  <c r="JJ302" i="2" s="1"/>
  <c r="JI4" i="2"/>
  <c r="JI302" i="2" s="1"/>
  <c r="JH4" i="2"/>
  <c r="JH302" i="2" s="1"/>
  <c r="JG4" i="2"/>
  <c r="JG302" i="2" s="1"/>
  <c r="JF4" i="2"/>
  <c r="JE4" i="2"/>
  <c r="JD4" i="2"/>
  <c r="JC4" i="2"/>
  <c r="JB4" i="2"/>
  <c r="JA4" i="2"/>
  <c r="JA289" i="2" s="1"/>
  <c r="JA309" i="2" s="1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N302" i="2" s="1"/>
  <c r="IM4" i="2"/>
  <c r="IM302" i="2" s="1"/>
  <c r="IL4" i="2"/>
  <c r="IL302" i="2" s="1"/>
  <c r="IK4" i="2"/>
  <c r="IK302" i="2" s="1"/>
  <c r="IJ4" i="2"/>
  <c r="II4" i="2"/>
  <c r="IH4" i="2"/>
  <c r="IG4" i="2"/>
  <c r="IF4" i="2"/>
  <c r="IE4" i="2"/>
  <c r="IE302" i="2" s="1"/>
  <c r="ID4" i="2"/>
  <c r="ID302" i="2" s="1"/>
  <c r="IC4" i="2"/>
  <c r="IB4" i="2"/>
  <c r="IB302" i="2" s="1"/>
  <c r="IB303" i="2" s="1"/>
  <c r="IA4" i="2"/>
  <c r="IA302" i="2" s="1"/>
  <c r="HZ4" i="2"/>
  <c r="HY4" i="2"/>
  <c r="HX4" i="2"/>
  <c r="HW4" i="2"/>
  <c r="HV4" i="2"/>
  <c r="HU4" i="2"/>
  <c r="HT4" i="2"/>
  <c r="HS4" i="2"/>
  <c r="HR4" i="2"/>
  <c r="HR302" i="2" s="1"/>
  <c r="HQ4" i="2"/>
  <c r="HQ302" i="2" s="1"/>
  <c r="HP4" i="2"/>
  <c r="HP302" i="2" s="1"/>
  <c r="HO4" i="2"/>
  <c r="HO302" i="2" s="1"/>
  <c r="HN4" i="2"/>
  <c r="HM4" i="2"/>
  <c r="HL4" i="2"/>
  <c r="HK4" i="2"/>
  <c r="HJ4" i="2"/>
  <c r="HI4" i="2"/>
  <c r="HI289" i="2" s="1"/>
  <c r="HI294" i="2" s="1"/>
  <c r="HH4" i="2"/>
  <c r="HH302" i="2" s="1"/>
  <c r="HG4" i="2"/>
  <c r="HF4" i="2"/>
  <c r="HF302" i="2" s="1"/>
  <c r="HE4" i="2"/>
  <c r="HD4" i="2"/>
  <c r="HC4" i="2"/>
  <c r="HB4" i="2"/>
  <c r="HB302" i="2" s="1"/>
  <c r="HA4" i="2"/>
  <c r="GZ4" i="2"/>
  <c r="GY4" i="2"/>
  <c r="GX4" i="2"/>
  <c r="GW4" i="2"/>
  <c r="GV4" i="2"/>
  <c r="GV302" i="2" s="1"/>
  <c r="GU4" i="2"/>
  <c r="GU302" i="2" s="1"/>
  <c r="GT4" i="2"/>
  <c r="GT302" i="2" s="1"/>
  <c r="GS4" i="2"/>
  <c r="GS302" i="2" s="1"/>
  <c r="GR4" i="2"/>
  <c r="GQ4" i="2"/>
  <c r="GP4" i="2"/>
  <c r="GO4" i="2"/>
  <c r="GN4" i="2"/>
  <c r="GM4" i="2"/>
  <c r="GM302" i="2" s="1"/>
  <c r="GL4" i="2"/>
  <c r="GL302" i="2" s="1"/>
  <c r="GL303" i="2" s="1"/>
  <c r="GK4" i="2"/>
  <c r="GJ4" i="2"/>
  <c r="GI4" i="2"/>
  <c r="GH4" i="2"/>
  <c r="GG4" i="2"/>
  <c r="GF4" i="2"/>
  <c r="GE4" i="2"/>
  <c r="GD4" i="2"/>
  <c r="GC4" i="2"/>
  <c r="GB4" i="2"/>
  <c r="GA4" i="2"/>
  <c r="FZ4" i="2"/>
  <c r="FZ302" i="2" s="1"/>
  <c r="FY4" i="2"/>
  <c r="FY302" i="2" s="1"/>
  <c r="FX4" i="2"/>
  <c r="FX302" i="2" s="1"/>
  <c r="FW4" i="2"/>
  <c r="FW302" i="2" s="1"/>
  <c r="FV4" i="2"/>
  <c r="FU4" i="2"/>
  <c r="FT4" i="2"/>
  <c r="FS4" i="2"/>
  <c r="FR4" i="2"/>
  <c r="FQ4" i="2"/>
  <c r="FQ289" i="2" s="1"/>
  <c r="FQ294" i="2" s="1"/>
  <c r="FP4" i="2"/>
  <c r="FO4" i="2"/>
  <c r="FN4" i="2"/>
  <c r="FM4" i="2"/>
  <c r="FL4" i="2"/>
  <c r="FL289" i="2" s="1"/>
  <c r="FL294" i="2" s="1"/>
  <c r="FK4" i="2"/>
  <c r="FJ4" i="2"/>
  <c r="FJ289" i="2" s="1"/>
  <c r="FJ294" i="2" s="1"/>
  <c r="FI4" i="2"/>
  <c r="FH4" i="2"/>
  <c r="FH289" i="2" s="1"/>
  <c r="FH294" i="2" s="1"/>
  <c r="FG4" i="2"/>
  <c r="FG289" i="2" s="1"/>
  <c r="FG294" i="2" s="1"/>
  <c r="FF4" i="2"/>
  <c r="FE4" i="2"/>
  <c r="FD4" i="2"/>
  <c r="FC4" i="2"/>
  <c r="FC289" i="2" s="1"/>
  <c r="FC294" i="2" s="1"/>
  <c r="FB4" i="2"/>
  <c r="FB289" i="2" s="1"/>
  <c r="FA4" i="2"/>
  <c r="FA289" i="2" s="1"/>
  <c r="EZ4" i="2"/>
  <c r="EY4" i="2"/>
  <c r="EX4" i="2"/>
  <c r="EW4" i="2"/>
  <c r="EV4" i="2"/>
  <c r="EU4" i="2"/>
  <c r="EU289" i="2" s="1"/>
  <c r="EU294" i="2" s="1"/>
  <c r="ET4" i="2"/>
  <c r="ES4" i="2"/>
  <c r="ER4" i="2"/>
  <c r="EQ4" i="2"/>
  <c r="EP4" i="2"/>
  <c r="EP289" i="2" s="1"/>
  <c r="EP294" i="2" s="1"/>
  <c r="EO4" i="2"/>
  <c r="EN4" i="2"/>
  <c r="EN289" i="2" s="1"/>
  <c r="EN294" i="2" s="1"/>
  <c r="EM4" i="2"/>
  <c r="EL4" i="2"/>
  <c r="EL289" i="2" s="1"/>
  <c r="EL294" i="2" s="1"/>
  <c r="EK4" i="2"/>
  <c r="EK289" i="2" s="1"/>
  <c r="EK294" i="2" s="1"/>
  <c r="EJ4" i="2"/>
  <c r="EI4" i="2"/>
  <c r="EH4" i="2"/>
  <c r="EG4" i="2"/>
  <c r="EG289" i="2" s="1"/>
  <c r="EG294" i="2" s="1"/>
  <c r="EF4" i="2"/>
  <c r="EF289" i="2" s="1"/>
  <c r="EF294" i="2" s="1"/>
  <c r="EE4" i="2"/>
  <c r="EE289" i="2" s="1"/>
  <c r="EE294" i="2" s="1"/>
  <c r="ED4" i="2"/>
  <c r="EC4" i="2"/>
  <c r="EB4" i="2"/>
  <c r="EA4" i="2"/>
  <c r="DZ4" i="2"/>
  <c r="DY4" i="2"/>
  <c r="DX4" i="2"/>
  <c r="DW4" i="2"/>
  <c r="DW289" i="2" s="1"/>
  <c r="DW294" i="2" s="1"/>
  <c r="DV4" i="2"/>
  <c r="DU4" i="2"/>
  <c r="DT4" i="2"/>
  <c r="DT289" i="2" s="1"/>
  <c r="DT294" i="2" s="1"/>
  <c r="DS4" i="2"/>
  <c r="DR4" i="2"/>
  <c r="DR289" i="2" s="1"/>
  <c r="DR294" i="2" s="1"/>
  <c r="DQ4" i="2"/>
  <c r="DP4" i="2"/>
  <c r="DP289" i="2" s="1"/>
  <c r="DP294" i="2" s="1"/>
  <c r="DO4" i="2"/>
  <c r="DO289" i="2" s="1"/>
  <c r="DO294" i="2" s="1"/>
  <c r="DN4" i="2"/>
  <c r="DM4" i="2"/>
  <c r="DL4" i="2"/>
  <c r="DK4" i="2"/>
  <c r="DK289" i="2" s="1"/>
  <c r="DJ4" i="2"/>
  <c r="DJ289" i="2" s="1"/>
  <c r="DI4" i="2"/>
  <c r="DI289" i="2" s="1"/>
  <c r="DH4" i="2"/>
  <c r="DG4" i="2"/>
  <c r="DF4" i="2"/>
  <c r="DE4" i="2"/>
  <c r="DD4" i="2"/>
  <c r="DC4" i="2"/>
  <c r="DC289" i="2" s="1"/>
  <c r="DC294" i="2" s="1"/>
  <c r="DB4" i="2"/>
  <c r="DA4" i="2"/>
  <c r="CZ4" i="2"/>
  <c r="CY4" i="2"/>
  <c r="CX4" i="2"/>
  <c r="CX289" i="2" s="1"/>
  <c r="CX294" i="2" s="1"/>
  <c r="CW4" i="2"/>
  <c r="CV4" i="2"/>
  <c r="CV289" i="2" s="1"/>
  <c r="CV294" i="2" s="1"/>
  <c r="CU4" i="2"/>
  <c r="CT4" i="2"/>
  <c r="CT289" i="2" s="1"/>
  <c r="CT294" i="2" s="1"/>
  <c r="CS4" i="2"/>
  <c r="CS289" i="2" s="1"/>
  <c r="CS294" i="2" s="1"/>
  <c r="CR4" i="2"/>
  <c r="CQ4" i="2"/>
  <c r="CP4" i="2"/>
  <c r="CO4" i="2"/>
  <c r="CO289" i="2" s="1"/>
  <c r="CO294" i="2" s="1"/>
  <c r="CN4" i="2"/>
  <c r="CN289" i="2" s="1"/>
  <c r="CN294" i="2" s="1"/>
  <c r="CM4" i="2"/>
  <c r="CM289" i="2" s="1"/>
  <c r="CM294" i="2" s="1"/>
  <c r="CL4" i="2"/>
  <c r="CK4" i="2"/>
  <c r="CJ4" i="2"/>
  <c r="CI4" i="2"/>
  <c r="CH4" i="2"/>
  <c r="CG4" i="2"/>
  <c r="CF4" i="2"/>
  <c r="CE4" i="2"/>
  <c r="CD4" i="2"/>
  <c r="CC4" i="2"/>
  <c r="CB4" i="2"/>
  <c r="CB289" i="2" s="1"/>
  <c r="CB294" i="2" s="1"/>
  <c r="CA4" i="2"/>
  <c r="BZ4" i="2"/>
  <c r="BZ289" i="2" s="1"/>
  <c r="BZ294" i="2" s="1"/>
  <c r="BY4" i="2"/>
  <c r="BX4" i="2"/>
  <c r="BX289" i="2" s="1"/>
  <c r="BX294" i="2" s="1"/>
  <c r="BW4" i="2"/>
  <c r="BW289" i="2" s="1"/>
  <c r="BW294" i="2" s="1"/>
  <c r="BV4" i="2"/>
  <c r="BU4" i="2"/>
  <c r="BT4" i="2"/>
  <c r="BS4" i="2"/>
  <c r="BS289" i="2" s="1"/>
  <c r="BR4" i="2"/>
  <c r="BR289" i="2" s="1"/>
  <c r="BQ4" i="2"/>
  <c r="BQ289" i="2" s="1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D289" i="2" s="1"/>
  <c r="BD294" i="2" s="1"/>
  <c r="BC4" i="2"/>
  <c r="BB4" i="2"/>
  <c r="BB289" i="2" s="1"/>
  <c r="BB294" i="2" s="1"/>
  <c r="BA4" i="2"/>
  <c r="BA289" i="2" s="1"/>
  <c r="BA294" i="2" s="1"/>
  <c r="AZ4" i="2"/>
  <c r="AY4" i="2"/>
  <c r="AX4" i="2"/>
  <c r="AW4" i="2"/>
  <c r="AW289" i="2" s="1"/>
  <c r="AW294" i="2" s="1"/>
  <c r="AV4" i="2"/>
  <c r="AV289" i="2" s="1"/>
  <c r="AV294" i="2" s="1"/>
  <c r="AU4" i="2"/>
  <c r="AU289" i="2" s="1"/>
  <c r="AT4" i="2"/>
  <c r="AS4" i="2"/>
  <c r="AR4" i="2"/>
  <c r="AQ4" i="2"/>
  <c r="AP4" i="2"/>
  <c r="AO4" i="2"/>
  <c r="AO289" i="2" s="1"/>
  <c r="AN4" i="2"/>
  <c r="AM4" i="2"/>
  <c r="AL4" i="2"/>
  <c r="AK4" i="2"/>
  <c r="AJ4" i="2"/>
  <c r="AJ289" i="2" s="1"/>
  <c r="AJ294" i="2" s="1"/>
  <c r="AI4" i="2"/>
  <c r="AH4" i="2"/>
  <c r="AH289" i="2" s="1"/>
  <c r="AH294" i="2" s="1"/>
  <c r="AG4" i="2"/>
  <c r="AF4" i="2"/>
  <c r="AF289" i="2" s="1"/>
  <c r="AF294" i="2" s="1"/>
  <c r="AE4" i="2"/>
  <c r="AE289" i="2" s="1"/>
  <c r="AE294" i="2" s="1"/>
  <c r="AD4" i="2"/>
  <c r="AC4" i="2"/>
  <c r="AC289" i="2" s="1"/>
  <c r="AC294" i="2" s="1"/>
  <c r="AB4" i="2"/>
  <c r="IQ324" i="1"/>
  <c r="JC323" i="1"/>
  <c r="JC324" i="1" s="1"/>
  <c r="JB323" i="1"/>
  <c r="JB324" i="1" s="1"/>
  <c r="JA323" i="1"/>
  <c r="JA324" i="1" s="1"/>
  <c r="IZ323" i="1"/>
  <c r="IZ324" i="1" s="1"/>
  <c r="IY323" i="1"/>
  <c r="IY324" i="1" s="1"/>
  <c r="IX323" i="1"/>
  <c r="IX324" i="1" s="1"/>
  <c r="IW323" i="1"/>
  <c r="IW324" i="1" s="1"/>
  <c r="IV323" i="1"/>
  <c r="IV324" i="1" s="1"/>
  <c r="IU323" i="1"/>
  <c r="IS323" i="1"/>
  <c r="IR323" i="1"/>
  <c r="IP323" i="1"/>
  <c r="JF322" i="1"/>
  <c r="JE322" i="1"/>
  <c r="JD322" i="1"/>
  <c r="JC322" i="1"/>
  <c r="JB322" i="1"/>
  <c r="JA322" i="1"/>
  <c r="IZ322" i="1"/>
  <c r="IY322" i="1"/>
  <c r="IX322" i="1"/>
  <c r="IW322" i="1"/>
  <c r="IV322" i="1"/>
  <c r="IU322" i="1"/>
  <c r="IT322" i="1"/>
  <c r="IS322" i="1"/>
  <c r="IR322" i="1"/>
  <c r="IQ322" i="1"/>
  <c r="IP322" i="1"/>
  <c r="IO322" i="1"/>
  <c r="IN322" i="1"/>
  <c r="IM322" i="1"/>
  <c r="IL322" i="1"/>
  <c r="IK322" i="1"/>
  <c r="IJ322" i="1"/>
  <c r="JC318" i="1"/>
  <c r="JA318" i="1"/>
  <c r="IZ318" i="1"/>
  <c r="JD315" i="1"/>
  <c r="JA315" i="1"/>
  <c r="IZ315" i="1"/>
  <c r="JB314" i="1"/>
  <c r="JB313" i="1"/>
  <c r="JA313" i="1"/>
  <c r="JB312" i="1"/>
  <c r="JB311" i="1"/>
  <c r="JA311" i="1"/>
  <c r="HD309" i="1"/>
  <c r="JK306" i="1"/>
  <c r="KH305" i="1"/>
  <c r="KG305" i="1"/>
  <c r="MC304" i="1"/>
  <c r="MB304" i="1"/>
  <c r="MA304" i="1"/>
  <c r="LZ304" i="1"/>
  <c r="LY304" i="1"/>
  <c r="LX304" i="1"/>
  <c r="LW304" i="1"/>
  <c r="LV304" i="1"/>
  <c r="LU304" i="1"/>
  <c r="LT304" i="1"/>
  <c r="LS304" i="1"/>
  <c r="LR304" i="1"/>
  <c r="LQ304" i="1"/>
  <c r="LP304" i="1"/>
  <c r="LO304" i="1"/>
  <c r="LN304" i="1"/>
  <c r="LM304" i="1"/>
  <c r="LL304" i="1"/>
  <c r="LK304" i="1"/>
  <c r="LK303" i="1" s="1"/>
  <c r="LJ304" i="1"/>
  <c r="LJ303" i="1" s="1"/>
  <c r="LI304" i="1"/>
  <c r="LH304" i="1"/>
  <c r="LH303" i="1" s="1"/>
  <c r="LG304" i="1"/>
  <c r="LF304" i="1"/>
  <c r="LE304" i="1"/>
  <c r="LD304" i="1"/>
  <c r="LC304" i="1"/>
  <c r="LB304" i="1"/>
  <c r="LA304" i="1"/>
  <c r="KZ304" i="1"/>
  <c r="KY304" i="1"/>
  <c r="KX304" i="1"/>
  <c r="KW304" i="1"/>
  <c r="KV304" i="1"/>
  <c r="KU304" i="1"/>
  <c r="KT304" i="1"/>
  <c r="KS304" i="1"/>
  <c r="KR304" i="1"/>
  <c r="KQ304" i="1"/>
  <c r="KP304" i="1"/>
  <c r="KO304" i="1"/>
  <c r="KO303" i="1" s="1"/>
  <c r="KN304" i="1"/>
  <c r="KN303" i="1" s="1"/>
  <c r="KM304" i="1"/>
  <c r="KL304" i="1"/>
  <c r="KL303" i="1" s="1"/>
  <c r="KK304" i="1"/>
  <c r="KJ304" i="1"/>
  <c r="KI304" i="1"/>
  <c r="KH304" i="1"/>
  <c r="KG304" i="1"/>
  <c r="KF304" i="1"/>
  <c r="KE304" i="1"/>
  <c r="KD304" i="1"/>
  <c r="KC304" i="1"/>
  <c r="KB304" i="1"/>
  <c r="KA304" i="1"/>
  <c r="JZ304" i="1"/>
  <c r="JY304" i="1"/>
  <c r="JX304" i="1"/>
  <c r="JW304" i="1"/>
  <c r="JV304" i="1"/>
  <c r="JU304" i="1"/>
  <c r="JT304" i="1"/>
  <c r="JS304" i="1"/>
  <c r="JR304" i="1"/>
  <c r="JQ304" i="1"/>
  <c r="JP304" i="1"/>
  <c r="JP303" i="1" s="1"/>
  <c r="JO304" i="1"/>
  <c r="JO306" i="1" s="1"/>
  <c r="JN304" i="1"/>
  <c r="JN306" i="1" s="1"/>
  <c r="JM304" i="1"/>
  <c r="JL304" i="1"/>
  <c r="JK304" i="1"/>
  <c r="JJ304" i="1"/>
  <c r="JI304" i="1"/>
  <c r="JH304" i="1"/>
  <c r="JG304" i="1"/>
  <c r="JF304" i="1"/>
  <c r="JE304" i="1"/>
  <c r="JD304" i="1"/>
  <c r="JC304" i="1"/>
  <c r="JB304" i="1"/>
  <c r="JA304" i="1"/>
  <c r="IZ304" i="1"/>
  <c r="IZ306" i="1" s="1"/>
  <c r="IY304" i="1"/>
  <c r="IX304" i="1"/>
  <c r="IW304" i="1"/>
  <c r="IW306" i="1" s="1"/>
  <c r="IV304" i="1"/>
  <c r="IU304" i="1"/>
  <c r="IU303" i="1" s="1"/>
  <c r="IT304" i="1"/>
  <c r="IT323" i="1" s="1"/>
  <c r="IT324" i="1" s="1"/>
  <c r="IS304" i="1"/>
  <c r="IR304" i="1"/>
  <c r="IQ304" i="1"/>
  <c r="IQ323" i="1" s="1"/>
  <c r="IP304" i="1"/>
  <c r="IO304" i="1"/>
  <c r="IN304" i="1"/>
  <c r="IN323" i="1" s="1"/>
  <c r="IN324" i="1" s="1"/>
  <c r="IM304" i="1"/>
  <c r="IM323" i="1" s="1"/>
  <c r="IL304" i="1"/>
  <c r="IK304" i="1"/>
  <c r="IK323" i="1" s="1"/>
  <c r="IK324" i="1" s="1"/>
  <c r="IJ304" i="1"/>
  <c r="II304" i="1"/>
  <c r="IH304" i="1"/>
  <c r="IG304" i="1"/>
  <c r="IF304" i="1"/>
  <c r="IE304" i="1"/>
  <c r="ID304" i="1"/>
  <c r="IC304" i="1"/>
  <c r="IB304" i="1"/>
  <c r="IA304" i="1"/>
  <c r="HZ304" i="1"/>
  <c r="HY304" i="1"/>
  <c r="HX304" i="1"/>
  <c r="HW304" i="1"/>
  <c r="HV304" i="1"/>
  <c r="HU304" i="1"/>
  <c r="HT304" i="1"/>
  <c r="HS304" i="1"/>
  <c r="HR304" i="1"/>
  <c r="HQ304" i="1"/>
  <c r="HP304" i="1"/>
  <c r="HO304" i="1"/>
  <c r="HN304" i="1"/>
  <c r="HM304" i="1"/>
  <c r="HL304" i="1"/>
  <c r="HK304" i="1"/>
  <c r="HJ304" i="1"/>
  <c r="HI304" i="1"/>
  <c r="HH304" i="1"/>
  <c r="HG304" i="1"/>
  <c r="HF304" i="1"/>
  <c r="HE304" i="1"/>
  <c r="HD304" i="1"/>
  <c r="HC304" i="1"/>
  <c r="HB304" i="1"/>
  <c r="HB303" i="1" s="1"/>
  <c r="HA304" i="1"/>
  <c r="GZ304" i="1"/>
  <c r="GY304" i="1"/>
  <c r="GX304" i="1"/>
  <c r="GW304" i="1"/>
  <c r="GV304" i="1"/>
  <c r="GU304" i="1"/>
  <c r="GT304" i="1"/>
  <c r="GS304" i="1"/>
  <c r="GR304" i="1"/>
  <c r="GQ304" i="1"/>
  <c r="GP304" i="1"/>
  <c r="GO304" i="1"/>
  <c r="GN304" i="1"/>
  <c r="GM304" i="1"/>
  <c r="GL304" i="1"/>
  <c r="GK304" i="1"/>
  <c r="GJ304" i="1"/>
  <c r="GI304" i="1"/>
  <c r="GH304" i="1"/>
  <c r="GG304" i="1"/>
  <c r="GF304" i="1"/>
  <c r="GE304" i="1"/>
  <c r="GD304" i="1"/>
  <c r="GC304" i="1"/>
  <c r="GB304" i="1"/>
  <c r="GA304" i="1"/>
  <c r="FZ304" i="1"/>
  <c r="FY304" i="1"/>
  <c r="FX304" i="1"/>
  <c r="FW304" i="1"/>
  <c r="FV304" i="1"/>
  <c r="FU304" i="1"/>
  <c r="FT304" i="1"/>
  <c r="FS304" i="1"/>
  <c r="FR304" i="1"/>
  <c r="FQ304" i="1"/>
  <c r="FP304" i="1"/>
  <c r="W304" i="1"/>
  <c r="M304" i="1"/>
  <c r="L304" i="1"/>
  <c r="K304" i="1"/>
  <c r="J304" i="1"/>
  <c r="I304" i="1"/>
  <c r="LG303" i="1"/>
  <c r="LE303" i="1"/>
  <c r="KZ303" i="1"/>
  <c r="IR303" i="1"/>
  <c r="IQ303" i="1"/>
  <c r="HE303" i="1"/>
  <c r="HD303" i="1"/>
  <c r="HC303" i="1"/>
  <c r="GR303" i="1"/>
  <c r="LT302" i="1"/>
  <c r="LS302" i="1"/>
  <c r="LR302" i="1"/>
  <c r="LQ302" i="1"/>
  <c r="LG302" i="1"/>
  <c r="LF302" i="1"/>
  <c r="LD302" i="1"/>
  <c r="LC302" i="1"/>
  <c r="LB302" i="1"/>
  <c r="LA302" i="1"/>
  <c r="JS302" i="1"/>
  <c r="JR302" i="1"/>
  <c r="IU302" i="1"/>
  <c r="IT302" i="1"/>
  <c r="IS302" i="1"/>
  <c r="IS303" i="1" s="1"/>
  <c r="IH302" i="1"/>
  <c r="IG302" i="1"/>
  <c r="IE302" i="1"/>
  <c r="ID302" i="1"/>
  <c r="IC302" i="1"/>
  <c r="IB302" i="1"/>
  <c r="IA302" i="1"/>
  <c r="HZ302" i="1"/>
  <c r="HE302" i="1"/>
  <c r="HD302" i="1"/>
  <c r="HC302" i="1"/>
  <c r="HB302" i="1"/>
  <c r="HA302" i="1"/>
  <c r="GZ302" i="1"/>
  <c r="GY302" i="1"/>
  <c r="GX302" i="1"/>
  <c r="GW302" i="1"/>
  <c r="GN302" i="1"/>
  <c r="GA302" i="1"/>
  <c r="FR302" i="1"/>
  <c r="FQ302" i="1"/>
  <c r="FP302" i="1"/>
  <c r="Z302" i="1"/>
  <c r="MC301" i="1"/>
  <c r="MB301" i="1"/>
  <c r="MA301" i="1"/>
  <c r="LZ301" i="1"/>
  <c r="LY301" i="1"/>
  <c r="LX301" i="1"/>
  <c r="LW301" i="1"/>
  <c r="LV301" i="1"/>
  <c r="LU301" i="1"/>
  <c r="LT301" i="1"/>
  <c r="LS301" i="1"/>
  <c r="LR301" i="1"/>
  <c r="LQ301" i="1"/>
  <c r="LP301" i="1"/>
  <c r="LO301" i="1"/>
  <c r="LN301" i="1"/>
  <c r="LM301" i="1"/>
  <c r="LL301" i="1"/>
  <c r="LK301" i="1"/>
  <c r="LJ301" i="1"/>
  <c r="LI301" i="1"/>
  <c r="LH301" i="1"/>
  <c r="LG301" i="1"/>
  <c r="LF301" i="1"/>
  <c r="LE301" i="1"/>
  <c r="LD301" i="1"/>
  <c r="LC301" i="1"/>
  <c r="LB301" i="1"/>
  <c r="LA301" i="1"/>
  <c r="KZ301" i="1"/>
  <c r="KY301" i="1"/>
  <c r="KX301" i="1"/>
  <c r="KW301" i="1"/>
  <c r="KV301" i="1"/>
  <c r="KU301" i="1"/>
  <c r="KT301" i="1"/>
  <c r="KS301" i="1"/>
  <c r="KR301" i="1"/>
  <c r="KQ301" i="1"/>
  <c r="KP301" i="1"/>
  <c r="KO301" i="1"/>
  <c r="KN301" i="1"/>
  <c r="KM301" i="1"/>
  <c r="KL301" i="1"/>
  <c r="KK301" i="1"/>
  <c r="KJ301" i="1"/>
  <c r="KI301" i="1"/>
  <c r="KH301" i="1"/>
  <c r="KG301" i="1"/>
  <c r="KF301" i="1"/>
  <c r="KE301" i="1"/>
  <c r="KD301" i="1"/>
  <c r="KC301" i="1"/>
  <c r="KB301" i="1"/>
  <c r="KA301" i="1"/>
  <c r="JZ301" i="1"/>
  <c r="JY301" i="1"/>
  <c r="JX301" i="1"/>
  <c r="JW301" i="1"/>
  <c r="JV301" i="1"/>
  <c r="JU301" i="1"/>
  <c r="JT301" i="1"/>
  <c r="JS301" i="1"/>
  <c r="JR301" i="1"/>
  <c r="JQ301" i="1"/>
  <c r="JP301" i="1"/>
  <c r="JO301" i="1"/>
  <c r="JN301" i="1"/>
  <c r="JM301" i="1"/>
  <c r="JL301" i="1"/>
  <c r="JK301" i="1"/>
  <c r="JJ301" i="1"/>
  <c r="JI301" i="1"/>
  <c r="JH301" i="1"/>
  <c r="JG301" i="1"/>
  <c r="JG315" i="1" s="1"/>
  <c r="JF301" i="1"/>
  <c r="JF315" i="1" s="1"/>
  <c r="JE301" i="1"/>
  <c r="JE315" i="1" s="1"/>
  <c r="JD301" i="1"/>
  <c r="JC301" i="1"/>
  <c r="JC315" i="1" s="1"/>
  <c r="JB301" i="1"/>
  <c r="JB315" i="1" s="1"/>
  <c r="JA301" i="1"/>
  <c r="IZ301" i="1"/>
  <c r="IY301" i="1"/>
  <c r="IX301" i="1"/>
  <c r="IW301" i="1"/>
  <c r="IV301" i="1"/>
  <c r="IU301" i="1"/>
  <c r="IT301" i="1"/>
  <c r="IS301" i="1"/>
  <c r="IR301" i="1"/>
  <c r="IQ301" i="1"/>
  <c r="IP301" i="1"/>
  <c r="IO301" i="1"/>
  <c r="IN301" i="1"/>
  <c r="IM301" i="1"/>
  <c r="IL301" i="1"/>
  <c r="IK301" i="1"/>
  <c r="IJ301" i="1"/>
  <c r="II301" i="1"/>
  <c r="IH301" i="1"/>
  <c r="IG301" i="1"/>
  <c r="IF301" i="1"/>
  <c r="IE301" i="1"/>
  <c r="ID301" i="1"/>
  <c r="IC301" i="1"/>
  <c r="IB301" i="1"/>
  <c r="IA301" i="1"/>
  <c r="HZ301" i="1"/>
  <c r="HY301" i="1"/>
  <c r="HX301" i="1"/>
  <c r="HW301" i="1"/>
  <c r="HV301" i="1"/>
  <c r="HU301" i="1"/>
  <c r="HT301" i="1"/>
  <c r="HS301" i="1"/>
  <c r="HR301" i="1"/>
  <c r="HQ301" i="1"/>
  <c r="HP301" i="1"/>
  <c r="HO301" i="1"/>
  <c r="HN301" i="1"/>
  <c r="HM301" i="1"/>
  <c r="HL301" i="1"/>
  <c r="HK301" i="1"/>
  <c r="HJ301" i="1"/>
  <c r="HI301" i="1"/>
  <c r="HH301" i="1"/>
  <c r="HG301" i="1"/>
  <c r="HF301" i="1"/>
  <c r="HE301" i="1"/>
  <c r="HD301" i="1"/>
  <c r="HC301" i="1"/>
  <c r="HB301" i="1"/>
  <c r="HA301" i="1"/>
  <c r="GZ301" i="1"/>
  <c r="GY301" i="1"/>
  <c r="GX301" i="1"/>
  <c r="GW301" i="1"/>
  <c r="GV301" i="1"/>
  <c r="GU301" i="1"/>
  <c r="GT301" i="1"/>
  <c r="GS301" i="1"/>
  <c r="GR301" i="1"/>
  <c r="GQ301" i="1"/>
  <c r="GP301" i="1"/>
  <c r="GO301" i="1"/>
  <c r="GN301" i="1"/>
  <c r="GM301" i="1"/>
  <c r="GL301" i="1"/>
  <c r="GK301" i="1"/>
  <c r="GJ301" i="1"/>
  <c r="GI301" i="1"/>
  <c r="GH301" i="1"/>
  <c r="GG301" i="1"/>
  <c r="GF301" i="1"/>
  <c r="GE301" i="1"/>
  <c r="GD301" i="1"/>
  <c r="GC301" i="1"/>
  <c r="GB301" i="1"/>
  <c r="GA301" i="1"/>
  <c r="FZ301" i="1"/>
  <c r="FY301" i="1"/>
  <c r="FX301" i="1"/>
  <c r="FW301" i="1"/>
  <c r="FV301" i="1"/>
  <c r="FU301" i="1"/>
  <c r="FT301" i="1"/>
  <c r="FS301" i="1"/>
  <c r="FR301" i="1"/>
  <c r="FQ301" i="1"/>
  <c r="FP301" i="1"/>
  <c r="U301" i="1"/>
  <c r="S301" i="1"/>
  <c r="R301" i="1"/>
  <c r="Q301" i="1"/>
  <c r="P301" i="1"/>
  <c r="O301" i="1"/>
  <c r="N301" i="1"/>
  <c r="M301" i="1"/>
  <c r="B301" i="1"/>
  <c r="MC300" i="1"/>
  <c r="MB300" i="1"/>
  <c r="MA300" i="1"/>
  <c r="LZ300" i="1"/>
  <c r="LY300" i="1"/>
  <c r="LX300" i="1"/>
  <c r="LW300" i="1"/>
  <c r="LV300" i="1"/>
  <c r="LU300" i="1"/>
  <c r="LT300" i="1"/>
  <c r="LS300" i="1"/>
  <c r="LR300" i="1"/>
  <c r="LQ300" i="1"/>
  <c r="LP300" i="1"/>
  <c r="LO300" i="1"/>
  <c r="LN300" i="1"/>
  <c r="LM300" i="1"/>
  <c r="LL300" i="1"/>
  <c r="LK300" i="1"/>
  <c r="LJ300" i="1"/>
  <c r="LI300" i="1"/>
  <c r="LH300" i="1"/>
  <c r="LG300" i="1"/>
  <c r="LF300" i="1"/>
  <c r="LE300" i="1"/>
  <c r="LD300" i="1"/>
  <c r="LC300" i="1"/>
  <c r="LB300" i="1"/>
  <c r="LA300" i="1"/>
  <c r="KZ300" i="1"/>
  <c r="KY300" i="1"/>
  <c r="KX300" i="1"/>
  <c r="KW300" i="1"/>
  <c r="KV300" i="1"/>
  <c r="KU300" i="1"/>
  <c r="KT300" i="1"/>
  <c r="KS300" i="1"/>
  <c r="KR300" i="1"/>
  <c r="KQ300" i="1"/>
  <c r="KP300" i="1"/>
  <c r="KO300" i="1"/>
  <c r="KN300" i="1"/>
  <c r="KM300" i="1"/>
  <c r="KL300" i="1"/>
  <c r="KK300" i="1"/>
  <c r="KJ300" i="1"/>
  <c r="KI300" i="1"/>
  <c r="KH300" i="1"/>
  <c r="KG300" i="1"/>
  <c r="KF300" i="1"/>
  <c r="KE300" i="1"/>
  <c r="KD300" i="1"/>
  <c r="KC300" i="1"/>
  <c r="KB300" i="1"/>
  <c r="KA300" i="1"/>
  <c r="JZ300" i="1"/>
  <c r="JY300" i="1"/>
  <c r="JX300" i="1"/>
  <c r="JW300" i="1"/>
  <c r="JV300" i="1"/>
  <c r="JU300" i="1"/>
  <c r="JT300" i="1"/>
  <c r="JS300" i="1"/>
  <c r="JR300" i="1"/>
  <c r="JQ300" i="1"/>
  <c r="JP300" i="1"/>
  <c r="JO300" i="1"/>
  <c r="JN300" i="1"/>
  <c r="JM300" i="1"/>
  <c r="JL300" i="1"/>
  <c r="JK300" i="1"/>
  <c r="JJ300" i="1"/>
  <c r="JI300" i="1"/>
  <c r="JH300" i="1"/>
  <c r="JG300" i="1"/>
  <c r="JG314" i="1" s="1"/>
  <c r="JF300" i="1"/>
  <c r="JF314" i="1" s="1"/>
  <c r="JE300" i="1"/>
  <c r="JE314" i="1" s="1"/>
  <c r="JD300" i="1"/>
  <c r="JD314" i="1" s="1"/>
  <c r="JC300" i="1"/>
  <c r="JC314" i="1" s="1"/>
  <c r="JB300" i="1"/>
  <c r="JA300" i="1"/>
  <c r="JA314" i="1" s="1"/>
  <c r="IZ300" i="1"/>
  <c r="IZ314" i="1" s="1"/>
  <c r="IY300" i="1"/>
  <c r="IX300" i="1"/>
  <c r="IW300" i="1"/>
  <c r="IV300" i="1"/>
  <c r="IU300" i="1"/>
  <c r="IT300" i="1"/>
  <c r="IS300" i="1"/>
  <c r="IR300" i="1"/>
  <c r="IQ300" i="1"/>
  <c r="IP300" i="1"/>
  <c r="IO300" i="1"/>
  <c r="IN300" i="1"/>
  <c r="IM300" i="1"/>
  <c r="IL300" i="1"/>
  <c r="IK300" i="1"/>
  <c r="IJ300" i="1"/>
  <c r="II300" i="1"/>
  <c r="IH300" i="1"/>
  <c r="IG300" i="1"/>
  <c r="IF300" i="1"/>
  <c r="IE300" i="1"/>
  <c r="ID300" i="1"/>
  <c r="IC300" i="1"/>
  <c r="IB300" i="1"/>
  <c r="IA300" i="1"/>
  <c r="HZ300" i="1"/>
  <c r="HY300" i="1"/>
  <c r="HX300" i="1"/>
  <c r="HW300" i="1"/>
  <c r="HV300" i="1"/>
  <c r="HU300" i="1"/>
  <c r="HT300" i="1"/>
  <c r="HS300" i="1"/>
  <c r="HR300" i="1"/>
  <c r="HQ300" i="1"/>
  <c r="HP300" i="1"/>
  <c r="HO300" i="1"/>
  <c r="HN300" i="1"/>
  <c r="HM300" i="1"/>
  <c r="HL300" i="1"/>
  <c r="HK300" i="1"/>
  <c r="HJ300" i="1"/>
  <c r="HI300" i="1"/>
  <c r="HH300" i="1"/>
  <c r="HG300" i="1"/>
  <c r="HF300" i="1"/>
  <c r="HE300" i="1"/>
  <c r="HD300" i="1"/>
  <c r="HC300" i="1"/>
  <c r="HB300" i="1"/>
  <c r="HA300" i="1"/>
  <c r="GZ300" i="1"/>
  <c r="GY300" i="1"/>
  <c r="GX300" i="1"/>
  <c r="GW300" i="1"/>
  <c r="GV300" i="1"/>
  <c r="GU300" i="1"/>
  <c r="GT300" i="1"/>
  <c r="GS300" i="1"/>
  <c r="GR300" i="1"/>
  <c r="GQ300" i="1"/>
  <c r="GP300" i="1"/>
  <c r="GO300" i="1"/>
  <c r="GN300" i="1"/>
  <c r="GM300" i="1"/>
  <c r="GL300" i="1"/>
  <c r="GK300" i="1"/>
  <c r="GJ300" i="1"/>
  <c r="GI300" i="1"/>
  <c r="GH300" i="1"/>
  <c r="GG300" i="1"/>
  <c r="GF300" i="1"/>
  <c r="GE300" i="1"/>
  <c r="GD300" i="1"/>
  <c r="GC300" i="1"/>
  <c r="GB300" i="1"/>
  <c r="GA300" i="1"/>
  <c r="FZ300" i="1"/>
  <c r="FY300" i="1"/>
  <c r="FX300" i="1"/>
  <c r="FW300" i="1"/>
  <c r="FV300" i="1"/>
  <c r="FU300" i="1"/>
  <c r="FT300" i="1"/>
  <c r="FS300" i="1"/>
  <c r="FR300" i="1"/>
  <c r="FQ300" i="1"/>
  <c r="FP300" i="1"/>
  <c r="Z300" i="1"/>
  <c r="W300" i="1"/>
  <c r="V300" i="1"/>
  <c r="U300" i="1"/>
  <c r="T300" i="1"/>
  <c r="S300" i="1"/>
  <c r="R300" i="1"/>
  <c r="MC299" i="1"/>
  <c r="MB299" i="1"/>
  <c r="MA299" i="1"/>
  <c r="LZ299" i="1"/>
  <c r="LY299" i="1"/>
  <c r="LX299" i="1"/>
  <c r="LW299" i="1"/>
  <c r="LV299" i="1"/>
  <c r="LU299" i="1"/>
  <c r="LT299" i="1"/>
  <c r="LS299" i="1"/>
  <c r="LR299" i="1"/>
  <c r="LQ299" i="1"/>
  <c r="LP299" i="1"/>
  <c r="LO299" i="1"/>
  <c r="LN299" i="1"/>
  <c r="LM299" i="1"/>
  <c r="LL299" i="1"/>
  <c r="LK299" i="1"/>
  <c r="LJ299" i="1"/>
  <c r="LI299" i="1"/>
  <c r="LH299" i="1"/>
  <c r="LG299" i="1"/>
  <c r="LF299" i="1"/>
  <c r="LE299" i="1"/>
  <c r="LD299" i="1"/>
  <c r="LC299" i="1"/>
  <c r="LB299" i="1"/>
  <c r="LA299" i="1"/>
  <c r="KZ299" i="1"/>
  <c r="KY299" i="1"/>
  <c r="KX299" i="1"/>
  <c r="KW299" i="1"/>
  <c r="KV299" i="1"/>
  <c r="KU299" i="1"/>
  <c r="KT299" i="1"/>
  <c r="KS299" i="1"/>
  <c r="KR299" i="1"/>
  <c r="KQ299" i="1"/>
  <c r="KP299" i="1"/>
  <c r="KO299" i="1"/>
  <c r="KN299" i="1"/>
  <c r="KM299" i="1"/>
  <c r="KL299" i="1"/>
  <c r="KK299" i="1"/>
  <c r="KJ299" i="1"/>
  <c r="KI299" i="1"/>
  <c r="KH299" i="1"/>
  <c r="KG299" i="1"/>
  <c r="KF299" i="1"/>
  <c r="KE299" i="1"/>
  <c r="KD299" i="1"/>
  <c r="KC299" i="1"/>
  <c r="KB299" i="1"/>
  <c r="KA299" i="1"/>
  <c r="JZ299" i="1"/>
  <c r="JY299" i="1"/>
  <c r="JX299" i="1"/>
  <c r="JW299" i="1"/>
  <c r="JV299" i="1"/>
  <c r="JU299" i="1"/>
  <c r="JT299" i="1"/>
  <c r="JS299" i="1"/>
  <c r="JR299" i="1"/>
  <c r="JQ299" i="1"/>
  <c r="JP299" i="1"/>
  <c r="JO299" i="1"/>
  <c r="JN299" i="1"/>
  <c r="JM299" i="1"/>
  <c r="JM303" i="1" s="1"/>
  <c r="JL299" i="1"/>
  <c r="JK299" i="1"/>
  <c r="JJ299" i="1"/>
  <c r="JI299" i="1"/>
  <c r="JH299" i="1"/>
  <c r="JG299" i="1"/>
  <c r="JG313" i="1" s="1"/>
  <c r="JF299" i="1"/>
  <c r="JF313" i="1" s="1"/>
  <c r="JE299" i="1"/>
  <c r="JE313" i="1" s="1"/>
  <c r="JD299" i="1"/>
  <c r="JD313" i="1" s="1"/>
  <c r="JC299" i="1"/>
  <c r="JC313" i="1" s="1"/>
  <c r="JB299" i="1"/>
  <c r="JA299" i="1"/>
  <c r="IZ299" i="1"/>
  <c r="IZ313" i="1" s="1"/>
  <c r="IY299" i="1"/>
  <c r="IX299" i="1"/>
  <c r="IW299" i="1"/>
  <c r="IV299" i="1"/>
  <c r="IU299" i="1"/>
  <c r="IT299" i="1"/>
  <c r="IS299" i="1"/>
  <c r="IR299" i="1"/>
  <c r="IQ299" i="1"/>
  <c r="IP299" i="1"/>
  <c r="IO299" i="1"/>
  <c r="IN299" i="1"/>
  <c r="IM299" i="1"/>
  <c r="IL299" i="1"/>
  <c r="IK299" i="1"/>
  <c r="IJ299" i="1"/>
  <c r="II299" i="1"/>
  <c r="IH299" i="1"/>
  <c r="IG299" i="1"/>
  <c r="IG303" i="1" s="1"/>
  <c r="IF299" i="1"/>
  <c r="IE299" i="1"/>
  <c r="ID299" i="1"/>
  <c r="IC299" i="1"/>
  <c r="IB299" i="1"/>
  <c r="IA299" i="1"/>
  <c r="HZ299" i="1"/>
  <c r="HY299" i="1"/>
  <c r="HX299" i="1"/>
  <c r="HW299" i="1"/>
  <c r="HV299" i="1"/>
  <c r="HU299" i="1"/>
  <c r="HT299" i="1"/>
  <c r="HS299" i="1"/>
  <c r="HR299" i="1"/>
  <c r="HQ299" i="1"/>
  <c r="HP299" i="1"/>
  <c r="HO299" i="1"/>
  <c r="HN299" i="1"/>
  <c r="HM299" i="1"/>
  <c r="HL299" i="1"/>
  <c r="HK299" i="1"/>
  <c r="HJ299" i="1"/>
  <c r="HI299" i="1"/>
  <c r="HH299" i="1"/>
  <c r="HG299" i="1"/>
  <c r="HF299" i="1"/>
  <c r="HE299" i="1"/>
  <c r="HD299" i="1"/>
  <c r="HC299" i="1"/>
  <c r="HB299" i="1"/>
  <c r="HA299" i="1"/>
  <c r="GZ299" i="1"/>
  <c r="GY299" i="1"/>
  <c r="GX299" i="1"/>
  <c r="GW299" i="1"/>
  <c r="GV299" i="1"/>
  <c r="GU299" i="1"/>
  <c r="GT299" i="1"/>
  <c r="GS299" i="1"/>
  <c r="GR299" i="1"/>
  <c r="GQ299" i="1"/>
  <c r="GP299" i="1"/>
  <c r="GO299" i="1"/>
  <c r="GN299" i="1"/>
  <c r="GM299" i="1"/>
  <c r="GL299" i="1"/>
  <c r="GK299" i="1"/>
  <c r="GJ299" i="1"/>
  <c r="GI299" i="1"/>
  <c r="GH299" i="1"/>
  <c r="GG299" i="1"/>
  <c r="GF299" i="1"/>
  <c r="GE299" i="1"/>
  <c r="GD299" i="1"/>
  <c r="GC299" i="1"/>
  <c r="GB299" i="1"/>
  <c r="GA299" i="1"/>
  <c r="FZ299" i="1"/>
  <c r="FY299" i="1"/>
  <c r="FX299" i="1"/>
  <c r="FW299" i="1"/>
  <c r="FV299" i="1"/>
  <c r="FU299" i="1"/>
  <c r="FT299" i="1"/>
  <c r="FS299" i="1"/>
  <c r="FR299" i="1"/>
  <c r="FQ299" i="1"/>
  <c r="FP299" i="1"/>
  <c r="H299" i="1"/>
  <c r="G299" i="1"/>
  <c r="MC298" i="1"/>
  <c r="MB298" i="1"/>
  <c r="MA298" i="1"/>
  <c r="LZ298" i="1"/>
  <c r="LY298" i="1"/>
  <c r="LX298" i="1"/>
  <c r="LW298" i="1"/>
  <c r="LV298" i="1"/>
  <c r="LU298" i="1"/>
  <c r="LT298" i="1"/>
  <c r="LS298" i="1"/>
  <c r="LR298" i="1"/>
  <c r="LQ298" i="1"/>
  <c r="LP298" i="1"/>
  <c r="LO298" i="1"/>
  <c r="LN298" i="1"/>
  <c r="LM298" i="1"/>
  <c r="LL298" i="1"/>
  <c r="LK298" i="1"/>
  <c r="LJ298" i="1"/>
  <c r="LI298" i="1"/>
  <c r="LH298" i="1"/>
  <c r="LG298" i="1"/>
  <c r="LF298" i="1"/>
  <c r="LE298" i="1"/>
  <c r="LD298" i="1"/>
  <c r="LC298" i="1"/>
  <c r="LB298" i="1"/>
  <c r="LA298" i="1"/>
  <c r="KZ298" i="1"/>
  <c r="KY298" i="1"/>
  <c r="KX298" i="1"/>
  <c r="KW298" i="1"/>
  <c r="KV298" i="1"/>
  <c r="KU298" i="1"/>
  <c r="KT298" i="1"/>
  <c r="KS298" i="1"/>
  <c r="KR298" i="1"/>
  <c r="KQ298" i="1"/>
  <c r="KP298" i="1"/>
  <c r="KO298" i="1"/>
  <c r="KN298" i="1"/>
  <c r="KM298" i="1"/>
  <c r="KL298" i="1"/>
  <c r="KK298" i="1"/>
  <c r="KJ298" i="1"/>
  <c r="KI298" i="1"/>
  <c r="KH298" i="1"/>
  <c r="KG298" i="1"/>
  <c r="KF298" i="1"/>
  <c r="KE298" i="1"/>
  <c r="KD298" i="1"/>
  <c r="KC298" i="1"/>
  <c r="KB298" i="1"/>
  <c r="KA298" i="1"/>
  <c r="JZ298" i="1"/>
  <c r="JY298" i="1"/>
  <c r="JX298" i="1"/>
  <c r="JW298" i="1"/>
  <c r="JV298" i="1"/>
  <c r="JU298" i="1"/>
  <c r="JT298" i="1"/>
  <c r="JS298" i="1"/>
  <c r="JR298" i="1"/>
  <c r="JQ298" i="1"/>
  <c r="JP298" i="1"/>
  <c r="JO298" i="1"/>
  <c r="JO303" i="1" s="1"/>
  <c r="JN298" i="1"/>
  <c r="JM298" i="1"/>
  <c r="JL298" i="1"/>
  <c r="JK298" i="1"/>
  <c r="JJ298" i="1"/>
  <c r="JI298" i="1"/>
  <c r="JH298" i="1"/>
  <c r="JG298" i="1"/>
  <c r="JG312" i="1" s="1"/>
  <c r="JF298" i="1"/>
  <c r="JF312" i="1" s="1"/>
  <c r="JE298" i="1"/>
  <c r="JE312" i="1" s="1"/>
  <c r="JD298" i="1"/>
  <c r="JD312" i="1" s="1"/>
  <c r="JC298" i="1"/>
  <c r="JC312" i="1" s="1"/>
  <c r="JB298" i="1"/>
  <c r="JA298" i="1"/>
  <c r="JA312" i="1" s="1"/>
  <c r="IZ298" i="1"/>
  <c r="IZ312" i="1" s="1"/>
  <c r="IY298" i="1"/>
  <c r="IX298" i="1"/>
  <c r="IW298" i="1"/>
  <c r="IV298" i="1"/>
  <c r="IU298" i="1"/>
  <c r="IT298" i="1"/>
  <c r="IS298" i="1"/>
  <c r="IR298" i="1"/>
  <c r="IQ298" i="1"/>
  <c r="IP298" i="1"/>
  <c r="IO298" i="1"/>
  <c r="IN298" i="1"/>
  <c r="IM298" i="1"/>
  <c r="IL298" i="1"/>
  <c r="IK298" i="1"/>
  <c r="IJ298" i="1"/>
  <c r="II298" i="1"/>
  <c r="IH298" i="1"/>
  <c r="IG298" i="1"/>
  <c r="IF298" i="1"/>
  <c r="IE298" i="1"/>
  <c r="ID298" i="1"/>
  <c r="IC298" i="1"/>
  <c r="IB298" i="1"/>
  <c r="IA298" i="1"/>
  <c r="HZ298" i="1"/>
  <c r="HY298" i="1"/>
  <c r="HX298" i="1"/>
  <c r="HW298" i="1"/>
  <c r="HV298" i="1"/>
  <c r="HU298" i="1"/>
  <c r="HT298" i="1"/>
  <c r="HS298" i="1"/>
  <c r="HR298" i="1"/>
  <c r="HQ298" i="1"/>
  <c r="HP298" i="1"/>
  <c r="HO298" i="1"/>
  <c r="HN298" i="1"/>
  <c r="HM298" i="1"/>
  <c r="HL298" i="1"/>
  <c r="HK298" i="1"/>
  <c r="HJ298" i="1"/>
  <c r="HI298" i="1"/>
  <c r="HH298" i="1"/>
  <c r="HG298" i="1"/>
  <c r="HF298" i="1"/>
  <c r="HE298" i="1"/>
  <c r="HD298" i="1"/>
  <c r="HC298" i="1"/>
  <c r="HB298" i="1"/>
  <c r="HA298" i="1"/>
  <c r="GZ298" i="1"/>
  <c r="GY298" i="1"/>
  <c r="GX298" i="1"/>
  <c r="GW298" i="1"/>
  <c r="GV298" i="1"/>
  <c r="GU298" i="1"/>
  <c r="GT298" i="1"/>
  <c r="GS298" i="1"/>
  <c r="GR298" i="1"/>
  <c r="GQ298" i="1"/>
  <c r="GP298" i="1"/>
  <c r="GO298" i="1"/>
  <c r="GN298" i="1"/>
  <c r="GM298" i="1"/>
  <c r="GL298" i="1"/>
  <c r="GK298" i="1"/>
  <c r="GJ298" i="1"/>
  <c r="GI298" i="1"/>
  <c r="GH298" i="1"/>
  <c r="GG298" i="1"/>
  <c r="GF298" i="1"/>
  <c r="GE298" i="1"/>
  <c r="GD298" i="1"/>
  <c r="GC298" i="1"/>
  <c r="GB298" i="1"/>
  <c r="GA298" i="1"/>
  <c r="FZ298" i="1"/>
  <c r="FY298" i="1"/>
  <c r="FX298" i="1"/>
  <c r="FW298" i="1"/>
  <c r="FV298" i="1"/>
  <c r="FU298" i="1"/>
  <c r="FT298" i="1"/>
  <c r="FS298" i="1"/>
  <c r="FR298" i="1"/>
  <c r="FQ298" i="1"/>
  <c r="FP298" i="1"/>
  <c r="Z298" i="1"/>
  <c r="M298" i="1"/>
  <c r="L298" i="1"/>
  <c r="K298" i="1"/>
  <c r="J298" i="1"/>
  <c r="MC297" i="1"/>
  <c r="MB297" i="1"/>
  <c r="MA297" i="1"/>
  <c r="LZ297" i="1"/>
  <c r="LY297" i="1"/>
  <c r="LX297" i="1"/>
  <c r="LW297" i="1"/>
  <c r="LV297" i="1"/>
  <c r="LU297" i="1"/>
  <c r="LT297" i="1"/>
  <c r="LS297" i="1"/>
  <c r="LS303" i="1" s="1"/>
  <c r="LR297" i="1"/>
  <c r="LR303" i="1" s="1"/>
  <c r="LQ297" i="1"/>
  <c r="LP297" i="1"/>
  <c r="LO297" i="1"/>
  <c r="LN297" i="1"/>
  <c r="LM297" i="1"/>
  <c r="LL297" i="1"/>
  <c r="LK297" i="1"/>
  <c r="LJ297" i="1"/>
  <c r="LI297" i="1"/>
  <c r="LH297" i="1"/>
  <c r="LG297" i="1"/>
  <c r="LF297" i="1"/>
  <c r="LE297" i="1"/>
  <c r="LD297" i="1"/>
  <c r="LC297" i="1"/>
  <c r="LB297" i="1"/>
  <c r="LA297" i="1"/>
  <c r="LA303" i="1" s="1"/>
  <c r="KZ297" i="1"/>
  <c r="KY297" i="1"/>
  <c r="KX297" i="1"/>
  <c r="KW297" i="1"/>
  <c r="KV297" i="1"/>
  <c r="KU297" i="1"/>
  <c r="KT297" i="1"/>
  <c r="KS297" i="1"/>
  <c r="KR297" i="1"/>
  <c r="KQ297" i="1"/>
  <c r="KP297" i="1"/>
  <c r="KO297" i="1"/>
  <c r="KN297" i="1"/>
  <c r="KM297" i="1"/>
  <c r="KL297" i="1"/>
  <c r="KK297" i="1"/>
  <c r="KJ297" i="1"/>
  <c r="KI297" i="1"/>
  <c r="KH297" i="1"/>
  <c r="KG297" i="1"/>
  <c r="KF297" i="1"/>
  <c r="KE297" i="1"/>
  <c r="KD297" i="1"/>
  <c r="KD303" i="1" s="1"/>
  <c r="KC297" i="1"/>
  <c r="KB297" i="1"/>
  <c r="KA297" i="1"/>
  <c r="KA306" i="1" s="1"/>
  <c r="JZ297" i="1"/>
  <c r="JY297" i="1"/>
  <c r="JX297" i="1"/>
  <c r="JW297" i="1"/>
  <c r="JV297" i="1"/>
  <c r="JU297" i="1"/>
  <c r="JT297" i="1"/>
  <c r="JS297" i="1"/>
  <c r="JR297" i="1"/>
  <c r="JQ297" i="1"/>
  <c r="JP297" i="1"/>
  <c r="JO297" i="1"/>
  <c r="JN297" i="1"/>
  <c r="JM297" i="1"/>
  <c r="JL297" i="1"/>
  <c r="JK297" i="1"/>
  <c r="JJ297" i="1"/>
  <c r="JI297" i="1"/>
  <c r="JI303" i="1" s="1"/>
  <c r="JH297" i="1"/>
  <c r="JH306" i="1" s="1"/>
  <c r="JG297" i="1"/>
  <c r="JG311" i="1" s="1"/>
  <c r="JF297" i="1"/>
  <c r="JF311" i="1" s="1"/>
  <c r="JE297" i="1"/>
  <c r="JE303" i="1" s="1"/>
  <c r="JE317" i="1" s="1"/>
  <c r="JD297" i="1"/>
  <c r="JC297" i="1"/>
  <c r="JB297" i="1"/>
  <c r="JA297" i="1"/>
  <c r="IZ297" i="1"/>
  <c r="IZ311" i="1" s="1"/>
  <c r="IY297" i="1"/>
  <c r="IX297" i="1"/>
  <c r="IW297" i="1"/>
  <c r="IV297" i="1"/>
  <c r="IU297" i="1"/>
  <c r="IT297" i="1"/>
  <c r="IS297" i="1"/>
  <c r="IR297" i="1"/>
  <c r="IQ297" i="1"/>
  <c r="IP297" i="1"/>
  <c r="IO297" i="1"/>
  <c r="IN297" i="1"/>
  <c r="IM297" i="1"/>
  <c r="IM303" i="1" s="1"/>
  <c r="IL297" i="1"/>
  <c r="IK297" i="1"/>
  <c r="IK303" i="1" s="1"/>
  <c r="IJ297" i="1"/>
  <c r="II297" i="1"/>
  <c r="IH297" i="1"/>
  <c r="IH303" i="1" s="1"/>
  <c r="IG297" i="1"/>
  <c r="IF297" i="1"/>
  <c r="IE297" i="1"/>
  <c r="ID297" i="1"/>
  <c r="IC297" i="1"/>
  <c r="IB297" i="1"/>
  <c r="IA297" i="1"/>
  <c r="HZ297" i="1"/>
  <c r="HY297" i="1"/>
  <c r="HX297" i="1"/>
  <c r="HW297" i="1"/>
  <c r="HV297" i="1"/>
  <c r="HU297" i="1"/>
  <c r="HT297" i="1"/>
  <c r="HS297" i="1"/>
  <c r="HR297" i="1"/>
  <c r="HQ297" i="1"/>
  <c r="HQ303" i="1" s="1"/>
  <c r="HP297" i="1"/>
  <c r="HP303" i="1" s="1"/>
  <c r="HO297" i="1"/>
  <c r="HO303" i="1" s="1"/>
  <c r="HN297" i="1"/>
  <c r="HN303" i="1" s="1"/>
  <c r="HM297" i="1"/>
  <c r="HL297" i="1"/>
  <c r="HK297" i="1"/>
  <c r="HJ297" i="1"/>
  <c r="HI297" i="1"/>
  <c r="HH297" i="1"/>
  <c r="HG297" i="1"/>
  <c r="HF297" i="1"/>
  <c r="HE297" i="1"/>
  <c r="HD297" i="1"/>
  <c r="HC297" i="1"/>
  <c r="HB297" i="1"/>
  <c r="HA297" i="1"/>
  <c r="GZ297" i="1"/>
  <c r="GY297" i="1"/>
  <c r="GX297" i="1"/>
  <c r="GW297" i="1"/>
  <c r="GV297" i="1"/>
  <c r="GU297" i="1"/>
  <c r="GU303" i="1" s="1"/>
  <c r="GT297" i="1"/>
  <c r="GS297" i="1"/>
  <c r="GR297" i="1"/>
  <c r="GQ297" i="1"/>
  <c r="GP297" i="1"/>
  <c r="GO297" i="1"/>
  <c r="GN297" i="1"/>
  <c r="GN303" i="1" s="1"/>
  <c r="GM297" i="1"/>
  <c r="GL297" i="1"/>
  <c r="GK297" i="1"/>
  <c r="GJ297" i="1"/>
  <c r="GI297" i="1"/>
  <c r="GH297" i="1"/>
  <c r="GG297" i="1"/>
  <c r="GF297" i="1"/>
  <c r="GE297" i="1"/>
  <c r="GD297" i="1"/>
  <c r="GC297" i="1"/>
  <c r="GB297" i="1"/>
  <c r="GA297" i="1"/>
  <c r="FZ297" i="1"/>
  <c r="FY297" i="1"/>
  <c r="FY303" i="1" s="1"/>
  <c r="FX297" i="1"/>
  <c r="FW297" i="1"/>
  <c r="FV297" i="1"/>
  <c r="FU297" i="1"/>
  <c r="FT297" i="1"/>
  <c r="FS297" i="1"/>
  <c r="FR297" i="1"/>
  <c r="FQ297" i="1"/>
  <c r="FP297" i="1"/>
  <c r="FP303" i="1" s="1"/>
  <c r="J297" i="1"/>
  <c r="I297" i="1"/>
  <c r="H297" i="1"/>
  <c r="G297" i="1"/>
  <c r="F297" i="1"/>
  <c r="E297" i="1"/>
  <c r="D297" i="1"/>
  <c r="C297" i="1"/>
  <c r="B297" i="1"/>
  <c r="HE294" i="1"/>
  <c r="HD294" i="1"/>
  <c r="HC294" i="1"/>
  <c r="HB294" i="1"/>
  <c r="EV294" i="1"/>
  <c r="EU294" i="1"/>
  <c r="CD294" i="1"/>
  <c r="CC294" i="1"/>
  <c r="CB294" i="1"/>
  <c r="CA294" i="1"/>
  <c r="BZ294" i="1"/>
  <c r="Z293" i="1"/>
  <c r="Z304" i="1" s="1"/>
  <c r="Y293" i="1"/>
  <c r="Y304" i="1" s="1"/>
  <c r="X293" i="1"/>
  <c r="W293" i="1"/>
  <c r="V293" i="1"/>
  <c r="V304" i="1" s="1"/>
  <c r="U293" i="1"/>
  <c r="U304" i="1" s="1"/>
  <c r="T293" i="1"/>
  <c r="T304" i="1" s="1"/>
  <c r="S293" i="1"/>
  <c r="S304" i="1" s="1"/>
  <c r="R293" i="1"/>
  <c r="R304" i="1" s="1"/>
  <c r="Q293" i="1"/>
  <c r="Q304" i="1" s="1"/>
  <c r="P293" i="1"/>
  <c r="O293" i="1"/>
  <c r="O304" i="1" s="1"/>
  <c r="N293" i="1"/>
  <c r="N304" i="1" s="1"/>
  <c r="M293" i="1"/>
  <c r="L293" i="1"/>
  <c r="K293" i="1"/>
  <c r="J293" i="1"/>
  <c r="I293" i="1"/>
  <c r="H293" i="1"/>
  <c r="G293" i="1"/>
  <c r="F293" i="1"/>
  <c r="F304" i="1" s="1"/>
  <c r="E293" i="1"/>
  <c r="E304" i="1" s="1"/>
  <c r="D293" i="1"/>
  <c r="D304" i="1" s="1"/>
  <c r="C293" i="1"/>
  <c r="B293" i="1"/>
  <c r="JF289" i="1"/>
  <c r="JF309" i="1" s="1"/>
  <c r="IR289" i="1"/>
  <c r="GZ289" i="1"/>
  <c r="GY289" i="1"/>
  <c r="GX289" i="1"/>
  <c r="FH289" i="1"/>
  <c r="FH294" i="1" s="1"/>
  <c r="FG289" i="1"/>
  <c r="FG294" i="1" s="1"/>
  <c r="FF289" i="1"/>
  <c r="FF294" i="1" s="1"/>
  <c r="FE289" i="1"/>
  <c r="FE294" i="1" s="1"/>
  <c r="FD289" i="1"/>
  <c r="FD294" i="1" s="1"/>
  <c r="DM289" i="1"/>
  <c r="DM294" i="1" s="1"/>
  <c r="DL289" i="1"/>
  <c r="DL294" i="1" s="1"/>
  <c r="DK289" i="1"/>
  <c r="DK294" i="1" s="1"/>
  <c r="DJ289" i="1"/>
  <c r="DJ294" i="1" s="1"/>
  <c r="BP289" i="1"/>
  <c r="BP294" i="1" s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D231" i="1" s="1"/>
  <c r="C253" i="1"/>
  <c r="B253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G231" i="1" s="1"/>
  <c r="F252" i="1"/>
  <c r="E252" i="1"/>
  <c r="D252" i="1"/>
  <c r="C252" i="1"/>
  <c r="B252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J231" i="1" s="1"/>
  <c r="I251" i="1"/>
  <c r="H251" i="1"/>
  <c r="G251" i="1"/>
  <c r="F251" i="1"/>
  <c r="E251" i="1"/>
  <c r="D251" i="1"/>
  <c r="C251" i="1"/>
  <c r="B251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C231" i="1" s="1"/>
  <c r="B246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F231" i="1" s="1"/>
  <c r="E245" i="1"/>
  <c r="D245" i="1"/>
  <c r="C245" i="1"/>
  <c r="B245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Z243" i="1"/>
  <c r="Z301" i="1" s="1"/>
  <c r="Y243" i="1"/>
  <c r="Y301" i="1" s="1"/>
  <c r="X243" i="1"/>
  <c r="X301" i="1" s="1"/>
  <c r="W243" i="1"/>
  <c r="W301" i="1" s="1"/>
  <c r="V243" i="1"/>
  <c r="V301" i="1" s="1"/>
  <c r="U243" i="1"/>
  <c r="T243" i="1"/>
  <c r="T301" i="1" s="1"/>
  <c r="S243" i="1"/>
  <c r="R243" i="1"/>
  <c r="Q243" i="1"/>
  <c r="P243" i="1"/>
  <c r="O243" i="1"/>
  <c r="N243" i="1"/>
  <c r="M243" i="1"/>
  <c r="L243" i="1"/>
  <c r="L301" i="1" s="1"/>
  <c r="K243" i="1"/>
  <c r="K301" i="1" s="1"/>
  <c r="J243" i="1"/>
  <c r="J301" i="1" s="1"/>
  <c r="I243" i="1"/>
  <c r="I301" i="1" s="1"/>
  <c r="H243" i="1"/>
  <c r="H301" i="1" s="1"/>
  <c r="G243" i="1"/>
  <c r="G301" i="1" s="1"/>
  <c r="F243" i="1"/>
  <c r="F301" i="1" s="1"/>
  <c r="E243" i="1"/>
  <c r="E301" i="1" s="1"/>
  <c r="D243" i="1"/>
  <c r="D301" i="1" s="1"/>
  <c r="C243" i="1"/>
  <c r="C301" i="1" s="1"/>
  <c r="B243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Z239" i="1"/>
  <c r="Y239" i="1"/>
  <c r="X239" i="1"/>
  <c r="X231" i="1" s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B231" i="1" s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E231" i="1" s="1"/>
  <c r="D238" i="1"/>
  <c r="C238" i="1"/>
  <c r="B238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Z236" i="1"/>
  <c r="Z231" i="1" s="1"/>
  <c r="Y236" i="1"/>
  <c r="Y231" i="1" s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H231" i="1" s="1"/>
  <c r="G235" i="1"/>
  <c r="F235" i="1"/>
  <c r="E235" i="1"/>
  <c r="D235" i="1"/>
  <c r="C235" i="1"/>
  <c r="B235" i="1"/>
  <c r="Z234" i="1"/>
  <c r="Y234" i="1"/>
  <c r="Y300" i="1" s="1"/>
  <c r="X234" i="1"/>
  <c r="X300" i="1" s="1"/>
  <c r="W234" i="1"/>
  <c r="V234" i="1"/>
  <c r="U234" i="1"/>
  <c r="T234" i="1"/>
  <c r="S234" i="1"/>
  <c r="R234" i="1"/>
  <c r="Q234" i="1"/>
  <c r="Q300" i="1" s="1"/>
  <c r="P234" i="1"/>
  <c r="P300" i="1" s="1"/>
  <c r="O234" i="1"/>
  <c r="O300" i="1" s="1"/>
  <c r="N234" i="1"/>
  <c r="N300" i="1" s="1"/>
  <c r="M234" i="1"/>
  <c r="M300" i="1" s="1"/>
  <c r="L234" i="1"/>
  <c r="L300" i="1" s="1"/>
  <c r="K234" i="1"/>
  <c r="K300" i="1" s="1"/>
  <c r="J234" i="1"/>
  <c r="J300" i="1" s="1"/>
  <c r="I234" i="1"/>
  <c r="I300" i="1" s="1"/>
  <c r="H234" i="1"/>
  <c r="H300" i="1" s="1"/>
  <c r="G234" i="1"/>
  <c r="G300" i="1" s="1"/>
  <c r="F234" i="1"/>
  <c r="F300" i="1" s="1"/>
  <c r="E234" i="1"/>
  <c r="E300" i="1" s="1"/>
  <c r="D234" i="1"/>
  <c r="D300" i="1" s="1"/>
  <c r="C234" i="1"/>
  <c r="C300" i="1" s="1"/>
  <c r="B234" i="1"/>
  <c r="B300" i="1" s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Z232" i="1"/>
  <c r="Y232" i="1"/>
  <c r="X232" i="1"/>
  <c r="W232" i="1"/>
  <c r="W231" i="1" s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MC231" i="1"/>
  <c r="MB231" i="1"/>
  <c r="MA231" i="1"/>
  <c r="LZ231" i="1"/>
  <c r="LY231" i="1"/>
  <c r="LX231" i="1"/>
  <c r="LW231" i="1"/>
  <c r="LV231" i="1"/>
  <c r="LU231" i="1"/>
  <c r="LT231" i="1"/>
  <c r="LS231" i="1"/>
  <c r="LR231" i="1"/>
  <c r="LQ231" i="1"/>
  <c r="LP231" i="1"/>
  <c r="LO231" i="1"/>
  <c r="LN231" i="1"/>
  <c r="LM231" i="1"/>
  <c r="LL231" i="1"/>
  <c r="LK231" i="1"/>
  <c r="LJ231" i="1"/>
  <c r="LI231" i="1"/>
  <c r="LH231" i="1"/>
  <c r="LG231" i="1"/>
  <c r="LF231" i="1"/>
  <c r="LE231" i="1"/>
  <c r="LD231" i="1"/>
  <c r="LC231" i="1"/>
  <c r="LB231" i="1"/>
  <c r="LA231" i="1"/>
  <c r="KZ231" i="1"/>
  <c r="KY231" i="1"/>
  <c r="KX231" i="1"/>
  <c r="KW231" i="1"/>
  <c r="KV231" i="1"/>
  <c r="KU231" i="1"/>
  <c r="KT231" i="1"/>
  <c r="KS231" i="1"/>
  <c r="KR231" i="1"/>
  <c r="KQ231" i="1"/>
  <c r="KP231" i="1"/>
  <c r="KO231" i="1"/>
  <c r="KN231" i="1"/>
  <c r="KM231" i="1"/>
  <c r="KL231" i="1"/>
  <c r="KK231" i="1"/>
  <c r="KJ231" i="1"/>
  <c r="KI231" i="1"/>
  <c r="KH231" i="1"/>
  <c r="KG231" i="1"/>
  <c r="KF231" i="1"/>
  <c r="KE231" i="1"/>
  <c r="KD231" i="1"/>
  <c r="KC231" i="1"/>
  <c r="KB231" i="1"/>
  <c r="KA231" i="1"/>
  <c r="JZ231" i="1"/>
  <c r="JY231" i="1"/>
  <c r="JX231" i="1"/>
  <c r="JW231" i="1"/>
  <c r="JV231" i="1"/>
  <c r="JU231" i="1"/>
  <c r="JT231" i="1"/>
  <c r="JS231" i="1"/>
  <c r="JR231" i="1"/>
  <c r="JQ231" i="1"/>
  <c r="JP231" i="1"/>
  <c r="JO231" i="1"/>
  <c r="JN231" i="1"/>
  <c r="JM231" i="1"/>
  <c r="JL231" i="1"/>
  <c r="JK231" i="1"/>
  <c r="JJ231" i="1"/>
  <c r="JI231" i="1"/>
  <c r="JH231" i="1"/>
  <c r="JG231" i="1"/>
  <c r="JF231" i="1"/>
  <c r="JE231" i="1"/>
  <c r="JD231" i="1"/>
  <c r="JC231" i="1"/>
  <c r="JB231" i="1"/>
  <c r="JA231" i="1"/>
  <c r="IZ231" i="1"/>
  <c r="IY231" i="1"/>
  <c r="IX231" i="1"/>
  <c r="IW231" i="1"/>
  <c r="IV231" i="1"/>
  <c r="IU231" i="1"/>
  <c r="IT231" i="1"/>
  <c r="IS231" i="1"/>
  <c r="IR231" i="1"/>
  <c r="IQ231" i="1"/>
  <c r="IP231" i="1"/>
  <c r="IO231" i="1"/>
  <c r="IN231" i="1"/>
  <c r="IM231" i="1"/>
  <c r="IL231" i="1"/>
  <c r="IK231" i="1"/>
  <c r="IJ231" i="1"/>
  <c r="II231" i="1"/>
  <c r="IH231" i="1"/>
  <c r="IG231" i="1"/>
  <c r="IF231" i="1"/>
  <c r="IE231" i="1"/>
  <c r="ID231" i="1"/>
  <c r="IC231" i="1"/>
  <c r="IB231" i="1"/>
  <c r="IA231" i="1"/>
  <c r="HZ231" i="1"/>
  <c r="HY231" i="1"/>
  <c r="HX231" i="1"/>
  <c r="HW231" i="1"/>
  <c r="HV231" i="1"/>
  <c r="HU231" i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F231" i="1"/>
  <c r="HE231" i="1"/>
  <c r="HD231" i="1"/>
  <c r="HC231" i="1"/>
  <c r="HB231" i="1"/>
  <c r="HA231" i="1"/>
  <c r="GZ231" i="1"/>
  <c r="GY231" i="1"/>
  <c r="GX231" i="1"/>
  <c r="GW231" i="1"/>
  <c r="GV231" i="1"/>
  <c r="GU231" i="1"/>
  <c r="GT231" i="1"/>
  <c r="GS231" i="1"/>
  <c r="GR231" i="1"/>
  <c r="GQ231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J164" i="1" s="1"/>
  <c r="I169" i="1"/>
  <c r="I164" i="1" s="1"/>
  <c r="H169" i="1"/>
  <c r="H164" i="1" s="1"/>
  <c r="G169" i="1"/>
  <c r="F169" i="1"/>
  <c r="E169" i="1"/>
  <c r="D169" i="1"/>
  <c r="C169" i="1"/>
  <c r="B169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M164" i="1" s="1"/>
  <c r="L168" i="1"/>
  <c r="L164" i="1" s="1"/>
  <c r="K168" i="1"/>
  <c r="K164" i="1" s="1"/>
  <c r="J168" i="1"/>
  <c r="I168" i="1"/>
  <c r="H168" i="1"/>
  <c r="G168" i="1"/>
  <c r="F168" i="1"/>
  <c r="E168" i="1"/>
  <c r="D168" i="1"/>
  <c r="C168" i="1"/>
  <c r="B168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O164" i="1" s="1"/>
  <c r="N167" i="1"/>
  <c r="N164" i="1" s="1"/>
  <c r="M167" i="1"/>
  <c r="L167" i="1"/>
  <c r="K167" i="1"/>
  <c r="J167" i="1"/>
  <c r="I167" i="1"/>
  <c r="H167" i="1"/>
  <c r="G167" i="1"/>
  <c r="F167" i="1"/>
  <c r="E167" i="1"/>
  <c r="D167" i="1"/>
  <c r="C167" i="1"/>
  <c r="B167" i="1"/>
  <c r="Z166" i="1"/>
  <c r="Y166" i="1"/>
  <c r="X166" i="1"/>
  <c r="W166" i="1"/>
  <c r="V166" i="1"/>
  <c r="U166" i="1"/>
  <c r="T166" i="1"/>
  <c r="S166" i="1"/>
  <c r="R166" i="1"/>
  <c r="Q166" i="1"/>
  <c r="Q164" i="1" s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Z165" i="1"/>
  <c r="Y165" i="1"/>
  <c r="X165" i="1"/>
  <c r="W165" i="1"/>
  <c r="V165" i="1"/>
  <c r="U165" i="1"/>
  <c r="T165" i="1"/>
  <c r="T164" i="1" s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G164" i="1" s="1"/>
  <c r="F165" i="1"/>
  <c r="E165" i="1"/>
  <c r="D165" i="1"/>
  <c r="C165" i="1"/>
  <c r="B165" i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P164" i="1"/>
  <c r="LO164" i="1"/>
  <c r="LN164" i="1"/>
  <c r="LM164" i="1"/>
  <c r="LL164" i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S164" i="1"/>
  <c r="KR164" i="1"/>
  <c r="KQ164" i="1"/>
  <c r="KP164" i="1"/>
  <c r="KO164" i="1"/>
  <c r="KN164" i="1"/>
  <c r="KM164" i="1"/>
  <c r="KL164" i="1"/>
  <c r="KK164" i="1"/>
  <c r="KJ164" i="1"/>
  <c r="KI164" i="1"/>
  <c r="KH164" i="1"/>
  <c r="KG164" i="1"/>
  <c r="KF164" i="1"/>
  <c r="KE164" i="1"/>
  <c r="KD164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P289" i="1" s="1"/>
  <c r="DP294" i="1" s="1"/>
  <c r="DO164" i="1"/>
  <c r="DO289" i="1" s="1"/>
  <c r="DO294" i="1" s="1"/>
  <c r="DN164" i="1"/>
  <c r="DN289" i="1" s="1"/>
  <c r="DN294" i="1" s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P164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Z141" i="1"/>
  <c r="Z299" i="1" s="1"/>
  <c r="Y141" i="1"/>
  <c r="Y299" i="1" s="1"/>
  <c r="X141" i="1"/>
  <c r="X299" i="1" s="1"/>
  <c r="W141" i="1"/>
  <c r="W299" i="1" s="1"/>
  <c r="V141" i="1"/>
  <c r="V299" i="1" s="1"/>
  <c r="U141" i="1"/>
  <c r="U299" i="1" s="1"/>
  <c r="T141" i="1"/>
  <c r="T299" i="1" s="1"/>
  <c r="S141" i="1"/>
  <c r="S299" i="1" s="1"/>
  <c r="R141" i="1"/>
  <c r="R299" i="1" s="1"/>
  <c r="Q141" i="1"/>
  <c r="Q299" i="1" s="1"/>
  <c r="P141" i="1"/>
  <c r="P299" i="1" s="1"/>
  <c r="O141" i="1"/>
  <c r="O299" i="1" s="1"/>
  <c r="N141" i="1"/>
  <c r="N299" i="1" s="1"/>
  <c r="M141" i="1"/>
  <c r="M299" i="1" s="1"/>
  <c r="L141" i="1"/>
  <c r="L299" i="1" s="1"/>
  <c r="K141" i="1"/>
  <c r="K299" i="1" s="1"/>
  <c r="J141" i="1"/>
  <c r="J299" i="1" s="1"/>
  <c r="I141" i="1"/>
  <c r="I299" i="1" s="1"/>
  <c r="H141" i="1"/>
  <c r="G141" i="1"/>
  <c r="F141" i="1"/>
  <c r="F299" i="1" s="1"/>
  <c r="E141" i="1"/>
  <c r="E299" i="1" s="1"/>
  <c r="D141" i="1"/>
  <c r="D299" i="1" s="1"/>
  <c r="C141" i="1"/>
  <c r="C299" i="1" s="1"/>
  <c r="B141" i="1"/>
  <c r="B299" i="1" s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Z117" i="1"/>
  <c r="Y117" i="1"/>
  <c r="Y298" i="1" s="1"/>
  <c r="X117" i="1"/>
  <c r="X298" i="1" s="1"/>
  <c r="W117" i="1"/>
  <c r="W298" i="1" s="1"/>
  <c r="V117" i="1"/>
  <c r="V298" i="1" s="1"/>
  <c r="U117" i="1"/>
  <c r="U298" i="1" s="1"/>
  <c r="T117" i="1"/>
  <c r="T298" i="1" s="1"/>
  <c r="S117" i="1"/>
  <c r="S298" i="1" s="1"/>
  <c r="R117" i="1"/>
  <c r="R298" i="1" s="1"/>
  <c r="Q117" i="1"/>
  <c r="Q298" i="1" s="1"/>
  <c r="P117" i="1"/>
  <c r="P298" i="1" s="1"/>
  <c r="O117" i="1"/>
  <c r="O298" i="1" s="1"/>
  <c r="N117" i="1"/>
  <c r="N298" i="1" s="1"/>
  <c r="M117" i="1"/>
  <c r="L117" i="1"/>
  <c r="K117" i="1"/>
  <c r="J117" i="1"/>
  <c r="I117" i="1"/>
  <c r="I298" i="1" s="1"/>
  <c r="H117" i="1"/>
  <c r="H298" i="1" s="1"/>
  <c r="G117" i="1"/>
  <c r="G298" i="1" s="1"/>
  <c r="F117" i="1"/>
  <c r="F298" i="1" s="1"/>
  <c r="E117" i="1"/>
  <c r="E298" i="1" s="1"/>
  <c r="D117" i="1"/>
  <c r="D298" i="1" s="1"/>
  <c r="C117" i="1"/>
  <c r="C298" i="1" s="1"/>
  <c r="B117" i="1"/>
  <c r="B298" i="1" s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Z103" i="1"/>
  <c r="Z297" i="1" s="1"/>
  <c r="Z303" i="1" s="1"/>
  <c r="Y103" i="1"/>
  <c r="Y297" i="1" s="1"/>
  <c r="X103" i="1"/>
  <c r="X297" i="1" s="1"/>
  <c r="W103" i="1"/>
  <c r="W297" i="1" s="1"/>
  <c r="V103" i="1"/>
  <c r="V297" i="1" s="1"/>
  <c r="U103" i="1"/>
  <c r="U297" i="1" s="1"/>
  <c r="T103" i="1"/>
  <c r="T297" i="1" s="1"/>
  <c r="S103" i="1"/>
  <c r="S297" i="1" s="1"/>
  <c r="R103" i="1"/>
  <c r="R297" i="1" s="1"/>
  <c r="Q103" i="1"/>
  <c r="Q297" i="1" s="1"/>
  <c r="P103" i="1"/>
  <c r="P297" i="1" s="1"/>
  <c r="O103" i="1"/>
  <c r="O297" i="1" s="1"/>
  <c r="N103" i="1"/>
  <c r="N297" i="1" s="1"/>
  <c r="M103" i="1"/>
  <c r="M297" i="1" s="1"/>
  <c r="L103" i="1"/>
  <c r="L297" i="1" s="1"/>
  <c r="K103" i="1"/>
  <c r="K297" i="1" s="1"/>
  <c r="J103" i="1"/>
  <c r="I103" i="1"/>
  <c r="H103" i="1"/>
  <c r="G103" i="1"/>
  <c r="F103" i="1"/>
  <c r="E103" i="1"/>
  <c r="D103" i="1"/>
  <c r="C103" i="1"/>
  <c r="B103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Z94" i="1"/>
  <c r="Y94" i="1"/>
  <c r="X94" i="1"/>
  <c r="W94" i="1"/>
  <c r="V94" i="1"/>
  <c r="U94" i="1"/>
  <c r="T94" i="1"/>
  <c r="T74" i="1" s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Z81" i="1"/>
  <c r="Y81" i="1"/>
  <c r="X81" i="1"/>
  <c r="W81" i="1"/>
  <c r="V81" i="1"/>
  <c r="U81" i="1"/>
  <c r="T81" i="1"/>
  <c r="S81" i="1"/>
  <c r="R81" i="1"/>
  <c r="Q81" i="1"/>
  <c r="Q74" i="1" s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Z79" i="1"/>
  <c r="Y79" i="1"/>
  <c r="X79" i="1"/>
  <c r="W79" i="1"/>
  <c r="W74" i="1" s="1"/>
  <c r="V79" i="1"/>
  <c r="V74" i="1" s="1"/>
  <c r="U79" i="1"/>
  <c r="U74" i="1" s="1"/>
  <c r="T79" i="1"/>
  <c r="S79" i="1"/>
  <c r="R79" i="1"/>
  <c r="R74" i="1" s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Z78" i="1"/>
  <c r="Y78" i="1"/>
  <c r="Y74" i="1" s="1"/>
  <c r="X78" i="1"/>
  <c r="X74" i="1" s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C74" i="1" s="1"/>
  <c r="B78" i="1"/>
  <c r="B74" i="1" s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Z75" i="1"/>
  <c r="Y75" i="1"/>
  <c r="X75" i="1"/>
  <c r="W75" i="1"/>
  <c r="V75" i="1"/>
  <c r="U75" i="1"/>
  <c r="T75" i="1"/>
  <c r="S75" i="1"/>
  <c r="R75" i="1"/>
  <c r="Q75" i="1"/>
  <c r="P75" i="1"/>
  <c r="P74" i="1" s="1"/>
  <c r="O75" i="1"/>
  <c r="N75" i="1"/>
  <c r="M75" i="1"/>
  <c r="M74" i="1" s="1"/>
  <c r="L75" i="1"/>
  <c r="K75" i="1"/>
  <c r="K74" i="1" s="1"/>
  <c r="J75" i="1"/>
  <c r="I75" i="1"/>
  <c r="H75" i="1"/>
  <c r="G75" i="1"/>
  <c r="F75" i="1"/>
  <c r="E75" i="1"/>
  <c r="D75" i="1"/>
  <c r="C75" i="1"/>
  <c r="B75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E289" i="1" s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N289" i="1" s="1"/>
  <c r="HM74" i="1"/>
  <c r="HM289" i="1" s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V289" i="1" s="1"/>
  <c r="FU74" i="1"/>
  <c r="FU289" i="1" s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D289" i="1" s="1"/>
  <c r="ED294" i="1" s="1"/>
  <c r="EC74" i="1"/>
  <c r="EC289" i="1" s="1"/>
  <c r="EC294" i="1" s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K289" i="1" s="1"/>
  <c r="CK294" i="1" s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S74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Z70" i="1"/>
  <c r="Y70" i="1"/>
  <c r="Y59" i="1" s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Z64" i="1"/>
  <c r="Z59" i="1" s="1"/>
  <c r="Y64" i="1"/>
  <c r="X64" i="1"/>
  <c r="W64" i="1"/>
  <c r="V64" i="1"/>
  <c r="V59" i="1" s="1"/>
  <c r="U64" i="1"/>
  <c r="U59" i="1" s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Z63" i="1"/>
  <c r="Y63" i="1"/>
  <c r="X63" i="1"/>
  <c r="X59" i="1" s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H59" i="1" s="1"/>
  <c r="G61" i="1"/>
  <c r="F61" i="1"/>
  <c r="E61" i="1"/>
  <c r="D61" i="1"/>
  <c r="C61" i="1"/>
  <c r="B61" i="1"/>
  <c r="Z60" i="1"/>
  <c r="Y60" i="1"/>
  <c r="X60" i="1"/>
  <c r="W60" i="1"/>
  <c r="V60" i="1"/>
  <c r="U60" i="1"/>
  <c r="T60" i="1"/>
  <c r="S60" i="1"/>
  <c r="R60" i="1"/>
  <c r="Q60" i="1"/>
  <c r="P60" i="1"/>
  <c r="P59" i="1" s="1"/>
  <c r="O60" i="1"/>
  <c r="N60" i="1"/>
  <c r="N59" i="1" s="1"/>
  <c r="M60" i="1"/>
  <c r="L60" i="1"/>
  <c r="K60" i="1"/>
  <c r="K59" i="1" s="1"/>
  <c r="J60" i="1"/>
  <c r="I60" i="1"/>
  <c r="H60" i="1"/>
  <c r="G60" i="1"/>
  <c r="F60" i="1"/>
  <c r="E60" i="1"/>
  <c r="D60" i="1"/>
  <c r="C60" i="1"/>
  <c r="B60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B289" i="1" s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T289" i="1" s="1"/>
  <c r="AT294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W59" i="1"/>
  <c r="T59" i="1"/>
  <c r="G59" i="1"/>
  <c r="F59" i="1"/>
  <c r="E59" i="1"/>
  <c r="D59" i="1"/>
  <c r="C59" i="1"/>
  <c r="B59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37" i="1" s="1"/>
  <c r="Z42" i="1"/>
  <c r="Z37" i="1" s="1"/>
  <c r="Y42" i="1"/>
  <c r="Y37" i="1" s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E37" i="1" s="1"/>
  <c r="D42" i="1"/>
  <c r="D37" i="1" s="1"/>
  <c r="C42" i="1"/>
  <c r="C37" i="1" s="1"/>
  <c r="B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G37" i="1" s="1"/>
  <c r="F41" i="1"/>
  <c r="F37" i="1" s="1"/>
  <c r="E41" i="1"/>
  <c r="D41" i="1"/>
  <c r="C41" i="1"/>
  <c r="B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J37" i="1" s="1"/>
  <c r="I40" i="1"/>
  <c r="I37" i="1" s="1"/>
  <c r="H40" i="1"/>
  <c r="H37" i="1" s="1"/>
  <c r="G40" i="1"/>
  <c r="F40" i="1"/>
  <c r="E40" i="1"/>
  <c r="D40" i="1"/>
  <c r="C40" i="1"/>
  <c r="B40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L37" i="1" s="1"/>
  <c r="K39" i="1"/>
  <c r="J39" i="1"/>
  <c r="I39" i="1"/>
  <c r="H39" i="1"/>
  <c r="G39" i="1"/>
  <c r="F39" i="1"/>
  <c r="E39" i="1"/>
  <c r="D39" i="1"/>
  <c r="C39" i="1"/>
  <c r="B39" i="1"/>
  <c r="Z38" i="1"/>
  <c r="Y38" i="1"/>
  <c r="X38" i="1"/>
  <c r="W38" i="1"/>
  <c r="W37" i="1" s="1"/>
  <c r="V38" i="1"/>
  <c r="U38" i="1"/>
  <c r="T38" i="1"/>
  <c r="S38" i="1"/>
  <c r="R38" i="1"/>
  <c r="Q38" i="1"/>
  <c r="P38" i="1"/>
  <c r="O38" i="1"/>
  <c r="O37" i="1" s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MC37" i="1"/>
  <c r="MC289" i="1" s="1"/>
  <c r="MB37" i="1"/>
  <c r="MB289" i="1" s="1"/>
  <c r="MA37" i="1"/>
  <c r="MA289" i="1" s="1"/>
  <c r="LZ37" i="1"/>
  <c r="LZ289" i="1" s="1"/>
  <c r="LY37" i="1"/>
  <c r="LY289" i="1" s="1"/>
  <c r="LX37" i="1"/>
  <c r="LX289" i="1" s="1"/>
  <c r="LW37" i="1"/>
  <c r="LW289" i="1" s="1"/>
  <c r="LV37" i="1"/>
  <c r="LV289" i="1" s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G289" i="1" s="1"/>
  <c r="LF37" i="1"/>
  <c r="LF289" i="1" s="1"/>
  <c r="LE37" i="1"/>
  <c r="LE289" i="1" s="1"/>
  <c r="LD37" i="1"/>
  <c r="LD289" i="1" s="1"/>
  <c r="LC37" i="1"/>
  <c r="LC289" i="1" s="1"/>
  <c r="LB37" i="1"/>
  <c r="LB289" i="1" s="1"/>
  <c r="LA37" i="1"/>
  <c r="LA289" i="1" s="1"/>
  <c r="KZ37" i="1"/>
  <c r="KZ289" i="1" s="1"/>
  <c r="KY37" i="1"/>
  <c r="KY289" i="1" s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J289" i="1" s="1"/>
  <c r="KI37" i="1"/>
  <c r="KI289" i="1" s="1"/>
  <c r="KH37" i="1"/>
  <c r="KH289" i="1" s="1"/>
  <c r="KG37" i="1"/>
  <c r="KG289" i="1" s="1"/>
  <c r="KF37" i="1"/>
  <c r="KF289" i="1" s="1"/>
  <c r="KE37" i="1"/>
  <c r="KE289" i="1" s="1"/>
  <c r="KD37" i="1"/>
  <c r="KD289" i="1" s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N289" i="1" s="1"/>
  <c r="JM37" i="1"/>
  <c r="JM289" i="1" s="1"/>
  <c r="JL37" i="1"/>
  <c r="JL289" i="1" s="1"/>
  <c r="JK37" i="1"/>
  <c r="JK289" i="1" s="1"/>
  <c r="JJ37" i="1"/>
  <c r="JJ289" i="1" s="1"/>
  <c r="JI37" i="1"/>
  <c r="JI289" i="1" s="1"/>
  <c r="JH37" i="1"/>
  <c r="JH289" i="1" s="1"/>
  <c r="JG37" i="1"/>
  <c r="JG289" i="1" s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Q289" i="1" s="1"/>
  <c r="IP37" i="1"/>
  <c r="IP289" i="1" s="1"/>
  <c r="IO37" i="1"/>
  <c r="IO289" i="1" s="1"/>
  <c r="IN37" i="1"/>
  <c r="IN289" i="1" s="1"/>
  <c r="IM37" i="1"/>
  <c r="IM289" i="1" s="1"/>
  <c r="IL37" i="1"/>
  <c r="IL289" i="1" s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V289" i="1" s="1"/>
  <c r="HU37" i="1"/>
  <c r="HU289" i="1" s="1"/>
  <c r="HT37" i="1"/>
  <c r="HT289" i="1" s="1"/>
  <c r="HS37" i="1"/>
  <c r="HS289" i="1" s="1"/>
  <c r="HR37" i="1"/>
  <c r="HR289" i="1" s="1"/>
  <c r="HQ37" i="1"/>
  <c r="HQ289" i="1" s="1"/>
  <c r="HP37" i="1"/>
  <c r="HP289" i="1" s="1"/>
  <c r="HO37" i="1"/>
  <c r="HO289" i="1" s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W289" i="1" s="1"/>
  <c r="GV37" i="1"/>
  <c r="GV289" i="1" s="1"/>
  <c r="GU37" i="1"/>
  <c r="GU289" i="1" s="1"/>
  <c r="GT37" i="1"/>
  <c r="GT289" i="1" s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D289" i="1" s="1"/>
  <c r="GC37" i="1"/>
  <c r="GC289" i="1" s="1"/>
  <c r="GB37" i="1"/>
  <c r="GB289" i="1" s="1"/>
  <c r="GA37" i="1"/>
  <c r="GA289" i="1" s="1"/>
  <c r="FZ37" i="1"/>
  <c r="FZ289" i="1" s="1"/>
  <c r="FY37" i="1"/>
  <c r="FY289" i="1" s="1"/>
  <c r="FX37" i="1"/>
  <c r="FX289" i="1" s="1"/>
  <c r="FW37" i="1"/>
  <c r="FW289" i="1" s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C289" i="1" s="1"/>
  <c r="FC294" i="1" s="1"/>
  <c r="FB37" i="1"/>
  <c r="FB289" i="1" s="1"/>
  <c r="FB294" i="1" s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L289" i="1" s="1"/>
  <c r="EL294" i="1" s="1"/>
  <c r="EK37" i="1"/>
  <c r="EK289" i="1" s="1"/>
  <c r="EK294" i="1" s="1"/>
  <c r="EJ37" i="1"/>
  <c r="EJ289" i="1" s="1"/>
  <c r="EJ294" i="1" s="1"/>
  <c r="EI37" i="1"/>
  <c r="EI289" i="1" s="1"/>
  <c r="EI294" i="1" s="1"/>
  <c r="EH37" i="1"/>
  <c r="EH289" i="1" s="1"/>
  <c r="EH294" i="1" s="1"/>
  <c r="EG37" i="1"/>
  <c r="EG289" i="1" s="1"/>
  <c r="EG294" i="1" s="1"/>
  <c r="EF37" i="1"/>
  <c r="EF289" i="1" s="1"/>
  <c r="EF294" i="1" s="1"/>
  <c r="EE37" i="1"/>
  <c r="EE289" i="1" s="1"/>
  <c r="EE294" i="1" s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T289" i="1" s="1"/>
  <c r="CT294" i="1" s="1"/>
  <c r="CS37" i="1"/>
  <c r="CS289" i="1" s="1"/>
  <c r="CS294" i="1" s="1"/>
  <c r="CR37" i="1"/>
  <c r="CR289" i="1" s="1"/>
  <c r="CR294" i="1" s="1"/>
  <c r="CQ37" i="1"/>
  <c r="CQ289" i="1" s="1"/>
  <c r="CQ294" i="1" s="1"/>
  <c r="CP37" i="1"/>
  <c r="CP289" i="1" s="1"/>
  <c r="CP294" i="1" s="1"/>
  <c r="CO37" i="1"/>
  <c r="CO289" i="1" s="1"/>
  <c r="CO294" i="1" s="1"/>
  <c r="CN37" i="1"/>
  <c r="CN289" i="1" s="1"/>
  <c r="CN294" i="1" s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X289" i="1" s="1"/>
  <c r="BX294" i="1" s="1"/>
  <c r="BW37" i="1"/>
  <c r="BW289" i="1" s="1"/>
  <c r="BW294" i="1" s="1"/>
  <c r="BV37" i="1"/>
  <c r="BV289" i="1" s="1"/>
  <c r="BV294" i="1" s="1"/>
  <c r="BU37" i="1"/>
  <c r="BU289" i="1" s="1"/>
  <c r="BU294" i="1" s="1"/>
  <c r="BT37" i="1"/>
  <c r="BT289" i="1" s="1"/>
  <c r="BT294" i="1" s="1"/>
  <c r="BS37" i="1"/>
  <c r="BS289" i="1" s="1"/>
  <c r="BS294" i="1" s="1"/>
  <c r="BR37" i="1"/>
  <c r="BR289" i="1" s="1"/>
  <c r="BR294" i="1" s="1"/>
  <c r="BQ37" i="1"/>
  <c r="BQ289" i="1" s="1"/>
  <c r="BQ294" i="1" s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B289" i="1" s="1"/>
  <c r="BB294" i="1" s="1"/>
  <c r="BA37" i="1"/>
  <c r="BA289" i="1" s="1"/>
  <c r="BA294" i="1" s="1"/>
  <c r="AZ37" i="1"/>
  <c r="AZ289" i="1" s="1"/>
  <c r="AZ294" i="1" s="1"/>
  <c r="AY37" i="1"/>
  <c r="AY289" i="1" s="1"/>
  <c r="AY294" i="1" s="1"/>
  <c r="AX37" i="1"/>
  <c r="AX289" i="1" s="1"/>
  <c r="AX294" i="1" s="1"/>
  <c r="AW37" i="1"/>
  <c r="AW289" i="1" s="1"/>
  <c r="AW294" i="1" s="1"/>
  <c r="AV37" i="1"/>
  <c r="AV289" i="1" s="1"/>
  <c r="AV294" i="1" s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F289" i="1" s="1"/>
  <c r="AF294" i="1" s="1"/>
  <c r="AE37" i="1"/>
  <c r="AE289" i="1" s="1"/>
  <c r="AE294" i="1" s="1"/>
  <c r="AD37" i="1"/>
  <c r="AD289" i="1" s="1"/>
  <c r="AD294" i="1" s="1"/>
  <c r="AC37" i="1"/>
  <c r="AC289" i="1" s="1"/>
  <c r="AC294" i="1" s="1"/>
  <c r="AB37" i="1"/>
  <c r="AB289" i="1" s="1"/>
  <c r="AB294" i="1" s="1"/>
  <c r="X37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Z24" i="1"/>
  <c r="Y24" i="1"/>
  <c r="X24" i="1"/>
  <c r="W24" i="1"/>
  <c r="V24" i="1"/>
  <c r="U24" i="1"/>
  <c r="T24" i="1"/>
  <c r="S24" i="1"/>
  <c r="R24" i="1"/>
  <c r="Q24" i="1"/>
  <c r="P24" i="1"/>
  <c r="P4" i="1" s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Z16" i="1"/>
  <c r="Y16" i="1"/>
  <c r="X16" i="1"/>
  <c r="W16" i="1"/>
  <c r="V16" i="1"/>
  <c r="U16" i="1"/>
  <c r="T16" i="1"/>
  <c r="S16" i="1"/>
  <c r="R16" i="1"/>
  <c r="R4" i="1" s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1" i="1"/>
  <c r="Y11" i="1"/>
  <c r="X11" i="1"/>
  <c r="W11" i="1"/>
  <c r="V11" i="1"/>
  <c r="U11" i="1"/>
  <c r="T11" i="1"/>
  <c r="S11" i="1"/>
  <c r="R11" i="1"/>
  <c r="Q11" i="1"/>
  <c r="P11" i="1"/>
  <c r="O11" i="1"/>
  <c r="O4" i="1" s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9" i="1"/>
  <c r="Y9" i="1"/>
  <c r="X9" i="1"/>
  <c r="W9" i="1"/>
  <c r="V9" i="1"/>
  <c r="U9" i="1"/>
  <c r="U4" i="1" s="1"/>
  <c r="T9" i="1"/>
  <c r="S9" i="1"/>
  <c r="S4" i="1" s="1"/>
  <c r="R9" i="1"/>
  <c r="Q9" i="1"/>
  <c r="Q4" i="1" s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Z8" i="1"/>
  <c r="Y8" i="1"/>
  <c r="X8" i="1"/>
  <c r="W8" i="1"/>
  <c r="V8" i="1"/>
  <c r="V4" i="1" s="1"/>
  <c r="U8" i="1"/>
  <c r="T8" i="1"/>
  <c r="T4" i="1" s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7" i="1"/>
  <c r="Y7" i="1"/>
  <c r="X7" i="1"/>
  <c r="W7" i="1"/>
  <c r="W4" i="1" s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6" i="1"/>
  <c r="Z4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D4" i="1" s="1"/>
  <c r="D302" i="1" s="1"/>
  <c r="C6" i="1"/>
  <c r="B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G4" i="1" s="1"/>
  <c r="G302" i="1" s="1"/>
  <c r="F5" i="1"/>
  <c r="E5" i="1"/>
  <c r="D5" i="1"/>
  <c r="C5" i="1"/>
  <c r="B5" i="1"/>
  <c r="MC4" i="1"/>
  <c r="MC302" i="1" s="1"/>
  <c r="MB4" i="1"/>
  <c r="MB302" i="1" s="1"/>
  <c r="MA4" i="1"/>
  <c r="MA302" i="1" s="1"/>
  <c r="LZ4" i="1"/>
  <c r="LZ302" i="1" s="1"/>
  <c r="LY4" i="1"/>
  <c r="LY302" i="1" s="1"/>
  <c r="LX4" i="1"/>
  <c r="LX302" i="1" s="1"/>
  <c r="LW4" i="1"/>
  <c r="LW302" i="1" s="1"/>
  <c r="LV4" i="1"/>
  <c r="LV302" i="1" s="1"/>
  <c r="LU4" i="1"/>
  <c r="LT4" i="1"/>
  <c r="LS4" i="1"/>
  <c r="LR4" i="1"/>
  <c r="LQ4" i="1"/>
  <c r="LP4" i="1"/>
  <c r="LO4" i="1"/>
  <c r="LN4" i="1"/>
  <c r="LM4" i="1"/>
  <c r="LL4" i="1"/>
  <c r="LK4" i="1"/>
  <c r="LK302" i="1" s="1"/>
  <c r="LJ4" i="1"/>
  <c r="LJ302" i="1" s="1"/>
  <c r="LI4" i="1"/>
  <c r="LI302" i="1" s="1"/>
  <c r="LH4" i="1"/>
  <c r="LH302" i="1" s="1"/>
  <c r="LG4" i="1"/>
  <c r="LF4" i="1"/>
  <c r="LE4" i="1"/>
  <c r="LE302" i="1" s="1"/>
  <c r="LD4" i="1"/>
  <c r="LC4" i="1"/>
  <c r="LB4" i="1"/>
  <c r="LA4" i="1"/>
  <c r="KZ4" i="1"/>
  <c r="KZ302" i="1" s="1"/>
  <c r="KY4" i="1"/>
  <c r="KY302" i="1" s="1"/>
  <c r="KX4" i="1"/>
  <c r="KX302" i="1" s="1"/>
  <c r="KW4" i="1"/>
  <c r="KV4" i="1"/>
  <c r="KU4" i="1"/>
  <c r="KT4" i="1"/>
  <c r="KS4" i="1"/>
  <c r="KR4" i="1"/>
  <c r="KQ4" i="1"/>
  <c r="KP4" i="1"/>
  <c r="KO4" i="1"/>
  <c r="KO302" i="1" s="1"/>
  <c r="KN4" i="1"/>
  <c r="KN302" i="1" s="1"/>
  <c r="KM4" i="1"/>
  <c r="KM302" i="1" s="1"/>
  <c r="KL4" i="1"/>
  <c r="KL302" i="1" s="1"/>
  <c r="KK4" i="1"/>
  <c r="KK302" i="1" s="1"/>
  <c r="KJ4" i="1"/>
  <c r="KJ302" i="1" s="1"/>
  <c r="KI4" i="1"/>
  <c r="KI302" i="1" s="1"/>
  <c r="KH4" i="1"/>
  <c r="KH302" i="1" s="1"/>
  <c r="KG4" i="1"/>
  <c r="KG302" i="1" s="1"/>
  <c r="KF4" i="1"/>
  <c r="KF302" i="1" s="1"/>
  <c r="KE4" i="1"/>
  <c r="KE302" i="1" s="1"/>
  <c r="KD4" i="1"/>
  <c r="KD302" i="1" s="1"/>
  <c r="KC4" i="1"/>
  <c r="KC302" i="1" s="1"/>
  <c r="KB4" i="1"/>
  <c r="KB302" i="1" s="1"/>
  <c r="KA4" i="1"/>
  <c r="KA302" i="1" s="1"/>
  <c r="JZ4" i="1"/>
  <c r="JY4" i="1"/>
  <c r="JX4" i="1"/>
  <c r="JW4" i="1"/>
  <c r="JW289" i="1" s="1"/>
  <c r="JV4" i="1"/>
  <c r="JV289" i="1" s="1"/>
  <c r="JU4" i="1"/>
  <c r="JU289" i="1" s="1"/>
  <c r="JU294" i="1" s="1"/>
  <c r="JT4" i="1"/>
  <c r="JT289" i="1" s="1"/>
  <c r="JS4" i="1"/>
  <c r="JS289" i="1" s="1"/>
  <c r="JR4" i="1"/>
  <c r="JR289" i="1" s="1"/>
  <c r="JQ4" i="1"/>
  <c r="JQ302" i="1" s="1"/>
  <c r="JP4" i="1"/>
  <c r="JP302" i="1" s="1"/>
  <c r="JO4" i="1"/>
  <c r="JO302" i="1" s="1"/>
  <c r="JN4" i="1"/>
  <c r="JN302" i="1" s="1"/>
  <c r="JM4" i="1"/>
  <c r="JM302" i="1" s="1"/>
  <c r="JL4" i="1"/>
  <c r="JL302" i="1" s="1"/>
  <c r="JK4" i="1"/>
  <c r="JK302" i="1" s="1"/>
  <c r="JJ4" i="1"/>
  <c r="JJ302" i="1" s="1"/>
  <c r="JI4" i="1"/>
  <c r="JI302" i="1" s="1"/>
  <c r="JH4" i="1"/>
  <c r="JH302" i="1" s="1"/>
  <c r="JG4" i="1"/>
  <c r="JG302" i="1" s="1"/>
  <c r="JG316" i="1" s="1"/>
  <c r="JF4" i="1"/>
  <c r="JF302" i="1" s="1"/>
  <c r="JF316" i="1" s="1"/>
  <c r="JE4" i="1"/>
  <c r="JE302" i="1" s="1"/>
  <c r="JE316" i="1" s="1"/>
  <c r="JD4" i="1"/>
  <c r="JC4" i="1"/>
  <c r="JB4" i="1"/>
  <c r="JA4" i="1"/>
  <c r="IZ4" i="1"/>
  <c r="IY4" i="1"/>
  <c r="IX4" i="1"/>
  <c r="IW4" i="1"/>
  <c r="IW289" i="1" s="1"/>
  <c r="IV4" i="1"/>
  <c r="IV289" i="1" s="1"/>
  <c r="IU4" i="1"/>
  <c r="IU289" i="1" s="1"/>
  <c r="IT4" i="1"/>
  <c r="IT289" i="1" s="1"/>
  <c r="IS4" i="1"/>
  <c r="IR4" i="1"/>
  <c r="IR302" i="1" s="1"/>
  <c r="IQ4" i="1"/>
  <c r="IQ302" i="1" s="1"/>
  <c r="IP4" i="1"/>
  <c r="IP302" i="1" s="1"/>
  <c r="IO4" i="1"/>
  <c r="IO302" i="1" s="1"/>
  <c r="IN4" i="1"/>
  <c r="IN302" i="1" s="1"/>
  <c r="IM4" i="1"/>
  <c r="IM302" i="1" s="1"/>
  <c r="IL4" i="1"/>
  <c r="IL302" i="1" s="1"/>
  <c r="IK4" i="1"/>
  <c r="IK302" i="1" s="1"/>
  <c r="IJ4" i="1"/>
  <c r="IJ302" i="1" s="1"/>
  <c r="II4" i="1"/>
  <c r="II302" i="1" s="1"/>
  <c r="IH4" i="1"/>
  <c r="IG4" i="1"/>
  <c r="IF4" i="1"/>
  <c r="IE4" i="1"/>
  <c r="IE289" i="1" s="1"/>
  <c r="IE309" i="1" s="1"/>
  <c r="ID4" i="1"/>
  <c r="ID289" i="1" s="1"/>
  <c r="ID309" i="1" s="1"/>
  <c r="IC4" i="1"/>
  <c r="IC289" i="1" s="1"/>
  <c r="IC294" i="1" s="1"/>
  <c r="IB4" i="1"/>
  <c r="IB289" i="1" s="1"/>
  <c r="IB309" i="1" s="1"/>
  <c r="IA4" i="1"/>
  <c r="IA289" i="1" s="1"/>
  <c r="IA309" i="1" s="1"/>
  <c r="HZ4" i="1"/>
  <c r="HZ289" i="1" s="1"/>
  <c r="HZ294" i="1" s="1"/>
  <c r="HY4" i="1"/>
  <c r="HY302" i="1" s="1"/>
  <c r="HX4" i="1"/>
  <c r="HX302" i="1" s="1"/>
  <c r="HW4" i="1"/>
  <c r="HW302" i="1" s="1"/>
  <c r="HV4" i="1"/>
  <c r="HV302" i="1" s="1"/>
  <c r="HU4" i="1"/>
  <c r="HU302" i="1" s="1"/>
  <c r="HT4" i="1"/>
  <c r="HT302" i="1" s="1"/>
  <c r="HS4" i="1"/>
  <c r="HS302" i="1" s="1"/>
  <c r="HR4" i="1"/>
  <c r="HR302" i="1" s="1"/>
  <c r="HQ4" i="1"/>
  <c r="HQ302" i="1" s="1"/>
  <c r="HP4" i="1"/>
  <c r="HP302" i="1" s="1"/>
  <c r="HO4" i="1"/>
  <c r="HO302" i="1" s="1"/>
  <c r="HN4" i="1"/>
  <c r="HN302" i="1" s="1"/>
  <c r="HM4" i="1"/>
  <c r="HM302" i="1" s="1"/>
  <c r="HL4" i="1"/>
  <c r="HK4" i="1"/>
  <c r="HJ4" i="1"/>
  <c r="HI4" i="1"/>
  <c r="HH4" i="1"/>
  <c r="HG4" i="1"/>
  <c r="HF4" i="1"/>
  <c r="HE4" i="1"/>
  <c r="HE289" i="1" s="1"/>
  <c r="HE309" i="1" s="1"/>
  <c r="HD4" i="1"/>
  <c r="HD289" i="1" s="1"/>
  <c r="HC4" i="1"/>
  <c r="HC289" i="1" s="1"/>
  <c r="HC309" i="1" s="1"/>
  <c r="HB4" i="1"/>
  <c r="HB289" i="1" s="1"/>
  <c r="HB309" i="1" s="1"/>
  <c r="HA4" i="1"/>
  <c r="GZ4" i="1"/>
  <c r="GY4" i="1"/>
  <c r="GX4" i="1"/>
  <c r="GW4" i="1"/>
  <c r="GV4" i="1"/>
  <c r="GV302" i="1" s="1"/>
  <c r="GU4" i="1"/>
  <c r="GU302" i="1" s="1"/>
  <c r="GT4" i="1"/>
  <c r="GT302" i="1" s="1"/>
  <c r="GS4" i="1"/>
  <c r="GS302" i="1" s="1"/>
  <c r="GR4" i="1"/>
  <c r="GR302" i="1" s="1"/>
  <c r="GQ4" i="1"/>
  <c r="GQ302" i="1" s="1"/>
  <c r="GP4" i="1"/>
  <c r="GO4" i="1"/>
  <c r="GN4" i="1"/>
  <c r="GN289" i="1" s="1"/>
  <c r="GM4" i="1"/>
  <c r="GM289" i="1" s="1"/>
  <c r="GL4" i="1"/>
  <c r="GK4" i="1"/>
  <c r="GJ4" i="1"/>
  <c r="GI4" i="1"/>
  <c r="GI302" i="1" s="1"/>
  <c r="GH4" i="1"/>
  <c r="GH302" i="1" s="1"/>
  <c r="GG4" i="1"/>
  <c r="GG302" i="1" s="1"/>
  <c r="GF4" i="1"/>
  <c r="GF302" i="1" s="1"/>
  <c r="GE4" i="1"/>
  <c r="GE302" i="1" s="1"/>
  <c r="GD4" i="1"/>
  <c r="GD302" i="1" s="1"/>
  <c r="GC4" i="1"/>
  <c r="GC302" i="1" s="1"/>
  <c r="GB4" i="1"/>
  <c r="GB302" i="1" s="1"/>
  <c r="GA4" i="1"/>
  <c r="FZ4" i="1"/>
  <c r="FZ302" i="1" s="1"/>
  <c r="FY4" i="1"/>
  <c r="FY302" i="1" s="1"/>
  <c r="FX4" i="1"/>
  <c r="FX302" i="1" s="1"/>
  <c r="FW4" i="1"/>
  <c r="FW302" i="1" s="1"/>
  <c r="FV4" i="1"/>
  <c r="FV302" i="1" s="1"/>
  <c r="FU4" i="1"/>
  <c r="FU302" i="1" s="1"/>
  <c r="FT4" i="1"/>
  <c r="FS4" i="1"/>
  <c r="FR4" i="1"/>
  <c r="FR289" i="1" s="1"/>
  <c r="FQ4" i="1"/>
  <c r="FQ289" i="1" s="1"/>
  <c r="FP4" i="1"/>
  <c r="FP289" i="1" s="1"/>
  <c r="FO4" i="1"/>
  <c r="FO289" i="1" s="1"/>
  <c r="FO294" i="1" s="1"/>
  <c r="FN4" i="1"/>
  <c r="FN289" i="1" s="1"/>
  <c r="FN294" i="1" s="1"/>
  <c r="FM4" i="1"/>
  <c r="FM289" i="1" s="1"/>
  <c r="FM294" i="1" s="1"/>
  <c r="FL4" i="1"/>
  <c r="FL289" i="1" s="1"/>
  <c r="FL294" i="1" s="1"/>
  <c r="FK4" i="1"/>
  <c r="FK289" i="1" s="1"/>
  <c r="FK294" i="1" s="1"/>
  <c r="FJ4" i="1"/>
  <c r="FJ289" i="1" s="1"/>
  <c r="FJ294" i="1" s="1"/>
  <c r="FI4" i="1"/>
  <c r="FH4" i="1"/>
  <c r="FG4" i="1"/>
  <c r="FF4" i="1"/>
  <c r="FE4" i="1"/>
  <c r="FD4" i="1"/>
  <c r="FC4" i="1"/>
  <c r="FB4" i="1"/>
  <c r="FA4" i="1"/>
  <c r="FA289" i="1" s="1"/>
  <c r="FA294" i="1" s="1"/>
  <c r="EZ4" i="1"/>
  <c r="EZ289" i="1" s="1"/>
  <c r="EZ294" i="1" s="1"/>
  <c r="EY4" i="1"/>
  <c r="EY289" i="1" s="1"/>
  <c r="EY294" i="1" s="1"/>
  <c r="EX4" i="1"/>
  <c r="EW4" i="1"/>
  <c r="EV4" i="1"/>
  <c r="EV289" i="1" s="1"/>
  <c r="EU4" i="1"/>
  <c r="EU289" i="1" s="1"/>
  <c r="ET4" i="1"/>
  <c r="ET289" i="1" s="1"/>
  <c r="ET294" i="1" s="1"/>
  <c r="ES4" i="1"/>
  <c r="ES289" i="1" s="1"/>
  <c r="ES294" i="1" s="1"/>
  <c r="ER4" i="1"/>
  <c r="ER289" i="1" s="1"/>
  <c r="ER294" i="1" s="1"/>
  <c r="EQ4" i="1"/>
  <c r="EQ289" i="1" s="1"/>
  <c r="EQ294" i="1" s="1"/>
  <c r="EP4" i="1"/>
  <c r="EP289" i="1" s="1"/>
  <c r="EP294" i="1" s="1"/>
  <c r="EO4" i="1"/>
  <c r="EO289" i="1" s="1"/>
  <c r="EO294" i="1" s="1"/>
  <c r="EN4" i="1"/>
  <c r="EN289" i="1" s="1"/>
  <c r="EN294" i="1" s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Z289" i="1" s="1"/>
  <c r="DZ294" i="1" s="1"/>
  <c r="DY4" i="1"/>
  <c r="DY289" i="1" s="1"/>
  <c r="DY294" i="1" s="1"/>
  <c r="DX4" i="1"/>
  <c r="DX289" i="1" s="1"/>
  <c r="DX294" i="1" s="1"/>
  <c r="DW4" i="1"/>
  <c r="DW289" i="1" s="1"/>
  <c r="DW294" i="1" s="1"/>
  <c r="DV4" i="1"/>
  <c r="DV289" i="1" s="1"/>
  <c r="DV294" i="1" s="1"/>
  <c r="DU4" i="1"/>
  <c r="DU289" i="1" s="1"/>
  <c r="DU294" i="1" s="1"/>
  <c r="DT4" i="1"/>
  <c r="DT289" i="1" s="1"/>
  <c r="DT294" i="1" s="1"/>
  <c r="DS4" i="1"/>
  <c r="DS289" i="1" s="1"/>
  <c r="DS294" i="1" s="1"/>
  <c r="DR4" i="1"/>
  <c r="DR289" i="1" s="1"/>
  <c r="DR294" i="1" s="1"/>
  <c r="DQ4" i="1"/>
  <c r="DP4" i="1"/>
  <c r="DO4" i="1"/>
  <c r="DN4" i="1"/>
  <c r="DM4" i="1"/>
  <c r="DL4" i="1"/>
  <c r="DK4" i="1"/>
  <c r="DJ4" i="1"/>
  <c r="DI4" i="1"/>
  <c r="DI289" i="1" s="1"/>
  <c r="DI294" i="1" s="1"/>
  <c r="DH4" i="1"/>
  <c r="DH289" i="1" s="1"/>
  <c r="DH294" i="1" s="1"/>
  <c r="DG4" i="1"/>
  <c r="DG289" i="1" s="1"/>
  <c r="DG294" i="1" s="1"/>
  <c r="DF4" i="1"/>
  <c r="DE4" i="1"/>
  <c r="DD4" i="1"/>
  <c r="DD289" i="1" s="1"/>
  <c r="DD294" i="1" s="1"/>
  <c r="DC4" i="1"/>
  <c r="DC289" i="1" s="1"/>
  <c r="DC294" i="1" s="1"/>
  <c r="DB4" i="1"/>
  <c r="DB289" i="1" s="1"/>
  <c r="DB294" i="1" s="1"/>
  <c r="DA4" i="1"/>
  <c r="DA289" i="1" s="1"/>
  <c r="DA294" i="1" s="1"/>
  <c r="CZ4" i="1"/>
  <c r="CZ289" i="1" s="1"/>
  <c r="CZ294" i="1" s="1"/>
  <c r="CY4" i="1"/>
  <c r="CY289" i="1" s="1"/>
  <c r="CY294" i="1" s="1"/>
  <c r="CX4" i="1"/>
  <c r="CX289" i="1" s="1"/>
  <c r="CX294" i="1" s="1"/>
  <c r="CW4" i="1"/>
  <c r="CW289" i="1" s="1"/>
  <c r="CW294" i="1" s="1"/>
  <c r="CV4" i="1"/>
  <c r="CV289" i="1" s="1"/>
  <c r="CV294" i="1" s="1"/>
  <c r="CU4" i="1"/>
  <c r="CT4" i="1"/>
  <c r="CS4" i="1"/>
  <c r="CR4" i="1"/>
  <c r="CQ4" i="1"/>
  <c r="CP4" i="1"/>
  <c r="CO4" i="1"/>
  <c r="CN4" i="1"/>
  <c r="CM4" i="1"/>
  <c r="CM289" i="1" s="1"/>
  <c r="CM294" i="1" s="1"/>
  <c r="CL4" i="1"/>
  <c r="CL289" i="1" s="1"/>
  <c r="CL294" i="1" s="1"/>
  <c r="CK4" i="1"/>
  <c r="CJ4" i="1"/>
  <c r="CI4" i="1"/>
  <c r="CH4" i="1"/>
  <c r="CH289" i="1" s="1"/>
  <c r="CH294" i="1" s="1"/>
  <c r="CG4" i="1"/>
  <c r="CG289" i="1" s="1"/>
  <c r="CG294" i="1" s="1"/>
  <c r="CF4" i="1"/>
  <c r="CF289" i="1" s="1"/>
  <c r="CF294" i="1" s="1"/>
  <c r="CE4" i="1"/>
  <c r="CE289" i="1" s="1"/>
  <c r="CE294" i="1" s="1"/>
  <c r="CD4" i="1"/>
  <c r="CD289" i="1" s="1"/>
  <c r="CC4" i="1"/>
  <c r="CC289" i="1" s="1"/>
  <c r="CB4" i="1"/>
  <c r="CB289" i="1" s="1"/>
  <c r="CA4" i="1"/>
  <c r="CA289" i="1" s="1"/>
  <c r="BZ4" i="1"/>
  <c r="BZ289" i="1" s="1"/>
  <c r="BY4" i="1"/>
  <c r="BX4" i="1"/>
  <c r="BW4" i="1"/>
  <c r="BV4" i="1"/>
  <c r="BU4" i="1"/>
  <c r="BT4" i="1"/>
  <c r="BS4" i="1"/>
  <c r="BR4" i="1"/>
  <c r="BQ4" i="1"/>
  <c r="BP4" i="1"/>
  <c r="BO4" i="1"/>
  <c r="BO289" i="1" s="1"/>
  <c r="BO294" i="1" s="1"/>
  <c r="BN4" i="1"/>
  <c r="BM4" i="1"/>
  <c r="BL4" i="1"/>
  <c r="BL289" i="1" s="1"/>
  <c r="BL294" i="1" s="1"/>
  <c r="BK4" i="1"/>
  <c r="BK289" i="1" s="1"/>
  <c r="BK294" i="1" s="1"/>
  <c r="BJ4" i="1"/>
  <c r="BJ289" i="1" s="1"/>
  <c r="BJ294" i="1" s="1"/>
  <c r="BI4" i="1"/>
  <c r="BI289" i="1" s="1"/>
  <c r="BI294" i="1" s="1"/>
  <c r="BH4" i="1"/>
  <c r="BH289" i="1" s="1"/>
  <c r="BH294" i="1" s="1"/>
  <c r="BG4" i="1"/>
  <c r="BG289" i="1" s="1"/>
  <c r="BG294" i="1" s="1"/>
  <c r="BF4" i="1"/>
  <c r="BF289" i="1" s="1"/>
  <c r="BF294" i="1" s="1"/>
  <c r="BE4" i="1"/>
  <c r="BE289" i="1" s="1"/>
  <c r="BE294" i="1" s="1"/>
  <c r="BD4" i="1"/>
  <c r="BD289" i="1" s="1"/>
  <c r="BD294" i="1" s="1"/>
  <c r="BC4" i="1"/>
  <c r="BB4" i="1"/>
  <c r="BA4" i="1"/>
  <c r="AZ4" i="1"/>
  <c r="AY4" i="1"/>
  <c r="AX4" i="1"/>
  <c r="AW4" i="1"/>
  <c r="AV4" i="1"/>
  <c r="AU4" i="1"/>
  <c r="AU289" i="1" s="1"/>
  <c r="AU294" i="1" s="1"/>
  <c r="AT4" i="1"/>
  <c r="AS4" i="1"/>
  <c r="AS289" i="1" s="1"/>
  <c r="AS294" i="1" s="1"/>
  <c r="AR4" i="1"/>
  <c r="AQ4" i="1"/>
  <c r="AP4" i="1"/>
  <c r="AP289" i="1" s="1"/>
  <c r="AP294" i="1" s="1"/>
  <c r="AO4" i="1"/>
  <c r="AO289" i="1" s="1"/>
  <c r="AO294" i="1" s="1"/>
  <c r="AN4" i="1"/>
  <c r="AN289" i="1" s="1"/>
  <c r="AN294" i="1" s="1"/>
  <c r="AM4" i="1"/>
  <c r="AM289" i="1" s="1"/>
  <c r="AM294" i="1" s="1"/>
  <c r="AL4" i="1"/>
  <c r="AL289" i="1" s="1"/>
  <c r="AL294" i="1" s="1"/>
  <c r="AK4" i="1"/>
  <c r="AK289" i="1" s="1"/>
  <c r="AK294" i="1" s="1"/>
  <c r="AJ4" i="1"/>
  <c r="AJ289" i="1" s="1"/>
  <c r="AJ294" i="1" s="1"/>
  <c r="AI4" i="1"/>
  <c r="AI289" i="1" s="1"/>
  <c r="AI294" i="1" s="1"/>
  <c r="AH4" i="1"/>
  <c r="AH289" i="1" s="1"/>
  <c r="AH294" i="1" s="1"/>
  <c r="AG4" i="1"/>
  <c r="AF4" i="1"/>
  <c r="AE4" i="1"/>
  <c r="AD4" i="1"/>
  <c r="AC4" i="1"/>
  <c r="AB4" i="1"/>
  <c r="X4" i="1"/>
  <c r="B4" i="1"/>
  <c r="B302" i="1" s="1"/>
  <c r="LV309" i="1" l="1"/>
  <c r="LV294" i="1"/>
  <c r="LA309" i="1"/>
  <c r="LA294" i="1"/>
  <c r="FZ294" i="1"/>
  <c r="FZ309" i="1"/>
  <c r="GV309" i="1"/>
  <c r="GV294" i="1"/>
  <c r="HR309" i="1"/>
  <c r="HR294" i="1"/>
  <c r="IN309" i="1"/>
  <c r="IN294" i="1"/>
  <c r="JJ294" i="1"/>
  <c r="JJ309" i="1"/>
  <c r="KF309" i="1"/>
  <c r="KF294" i="1"/>
  <c r="LB309" i="1"/>
  <c r="LB294" i="1"/>
  <c r="LX309" i="1"/>
  <c r="LX294" i="1"/>
  <c r="V302" i="1"/>
  <c r="V303" i="1" s="1"/>
  <c r="S302" i="1"/>
  <c r="GA309" i="1"/>
  <c r="GA294" i="1"/>
  <c r="GW309" i="1"/>
  <c r="GW294" i="1"/>
  <c r="HS309" i="1"/>
  <c r="HS294" i="1"/>
  <c r="IO294" i="1"/>
  <c r="IO309" i="1"/>
  <c r="JK309" i="1"/>
  <c r="JK294" i="1"/>
  <c r="KG309" i="1"/>
  <c r="KG294" i="1"/>
  <c r="LC309" i="1"/>
  <c r="LC294" i="1"/>
  <c r="LY294" i="1"/>
  <c r="LY309" i="1"/>
  <c r="KY294" i="1"/>
  <c r="KY309" i="1"/>
  <c r="GT309" i="1"/>
  <c r="GT294" i="1"/>
  <c r="R302" i="1"/>
  <c r="GU294" i="1"/>
  <c r="GU309" i="1"/>
  <c r="JI309" i="1"/>
  <c r="JI294" i="1"/>
  <c r="HT309" i="1"/>
  <c r="HT294" i="1"/>
  <c r="LD294" i="1"/>
  <c r="LD309" i="1"/>
  <c r="GC294" i="1"/>
  <c r="GC309" i="1"/>
  <c r="HU294" i="1"/>
  <c r="HU309" i="1"/>
  <c r="IQ294" i="1"/>
  <c r="IQ309" i="1"/>
  <c r="JM294" i="1"/>
  <c r="JM309" i="1"/>
  <c r="KI309" i="1"/>
  <c r="KI294" i="1"/>
  <c r="LE294" i="1"/>
  <c r="LE309" i="1"/>
  <c r="MA294" i="1"/>
  <c r="MA309" i="1"/>
  <c r="HO309" i="1"/>
  <c r="HO294" i="1"/>
  <c r="HP309" i="1"/>
  <c r="HP294" i="1"/>
  <c r="HQ309" i="1"/>
  <c r="HQ294" i="1"/>
  <c r="GD294" i="1"/>
  <c r="GD309" i="1"/>
  <c r="HV294" i="1"/>
  <c r="HV309" i="1"/>
  <c r="JN294" i="1"/>
  <c r="JN309" i="1"/>
  <c r="KJ309" i="1"/>
  <c r="KJ294" i="1"/>
  <c r="LF309" i="1"/>
  <c r="LF294" i="1"/>
  <c r="MB309" i="1"/>
  <c r="MB294" i="1"/>
  <c r="KB309" i="1"/>
  <c r="KB294" i="1"/>
  <c r="W303" i="1"/>
  <c r="IL309" i="1"/>
  <c r="IL294" i="1"/>
  <c r="IP294" i="1"/>
  <c r="IP309" i="1"/>
  <c r="LG309" i="1"/>
  <c r="LG294" i="1"/>
  <c r="MC309" i="1"/>
  <c r="MC294" i="1"/>
  <c r="FU309" i="1"/>
  <c r="FU294" i="1"/>
  <c r="HM309" i="1"/>
  <c r="HM294" i="1"/>
  <c r="JE309" i="1"/>
  <c r="JE294" i="1"/>
  <c r="Q303" i="1"/>
  <c r="Z289" i="1"/>
  <c r="W302" i="1"/>
  <c r="JL294" i="1"/>
  <c r="JL309" i="1"/>
  <c r="U302" i="1"/>
  <c r="FV309" i="1"/>
  <c r="FV294" i="1"/>
  <c r="HN309" i="1"/>
  <c r="HN294" i="1"/>
  <c r="R303" i="1"/>
  <c r="S303" i="1"/>
  <c r="Q302" i="1"/>
  <c r="FY294" i="1"/>
  <c r="FY309" i="1"/>
  <c r="LW309" i="1"/>
  <c r="LW294" i="1"/>
  <c r="LZ294" i="1"/>
  <c r="LZ309" i="1"/>
  <c r="HG303" i="1"/>
  <c r="JG294" i="1"/>
  <c r="JG309" i="1"/>
  <c r="FX309" i="1"/>
  <c r="FX294" i="1"/>
  <c r="KR309" i="2"/>
  <c r="KR294" i="2"/>
  <c r="U303" i="1"/>
  <c r="FW294" i="1"/>
  <c r="FW309" i="1"/>
  <c r="KD309" i="1"/>
  <c r="KD294" i="1"/>
  <c r="IM294" i="1"/>
  <c r="IM309" i="1"/>
  <c r="GB294" i="1"/>
  <c r="GB309" i="1"/>
  <c r="JT309" i="2"/>
  <c r="JT294" i="2"/>
  <c r="X289" i="1"/>
  <c r="X309" i="1" s="1"/>
  <c r="JH309" i="1"/>
  <c r="JH294" i="1"/>
  <c r="O302" i="1"/>
  <c r="KZ309" i="1"/>
  <c r="KZ294" i="1"/>
  <c r="T302" i="1"/>
  <c r="T303" i="1" s="1"/>
  <c r="P302" i="1"/>
  <c r="KE309" i="1"/>
  <c r="KE294" i="1"/>
  <c r="JV294" i="2"/>
  <c r="JV309" i="2"/>
  <c r="KH309" i="1"/>
  <c r="KH294" i="1"/>
  <c r="MF303" i="2"/>
  <c r="X302" i="1"/>
  <c r="KE303" i="1"/>
  <c r="JF294" i="1"/>
  <c r="HX303" i="1"/>
  <c r="HW289" i="1"/>
  <c r="LH289" i="1"/>
  <c r="D164" i="1"/>
  <c r="HZ303" i="1"/>
  <c r="HB309" i="2"/>
  <c r="HB294" i="2"/>
  <c r="IW309" i="1"/>
  <c r="IW294" i="1"/>
  <c r="JS309" i="1"/>
  <c r="JS294" i="1"/>
  <c r="L59" i="1"/>
  <c r="I59" i="1"/>
  <c r="E164" i="1"/>
  <c r="P304" i="1"/>
  <c r="P303" i="1" s="1"/>
  <c r="GI303" i="1"/>
  <c r="IA303" i="1"/>
  <c r="JS303" i="1"/>
  <c r="JS306" i="1"/>
  <c r="IC309" i="1"/>
  <c r="O4" i="2"/>
  <c r="V37" i="2"/>
  <c r="N74" i="1"/>
  <c r="U164" i="1"/>
  <c r="IS289" i="1"/>
  <c r="O303" i="1"/>
  <c r="IV309" i="1"/>
  <c r="IV294" i="1"/>
  <c r="Z164" i="1"/>
  <c r="GH303" i="1"/>
  <c r="JR306" i="1"/>
  <c r="JR303" i="1"/>
  <c r="IV306" i="1"/>
  <c r="HZ309" i="1"/>
  <c r="GJ302" i="1"/>
  <c r="GJ303" i="1" s="1"/>
  <c r="GJ289" i="1"/>
  <c r="HF289" i="1"/>
  <c r="HF302" i="1"/>
  <c r="HF303" i="1" s="1"/>
  <c r="IX289" i="1"/>
  <c r="IX302" i="1"/>
  <c r="IX303" i="1" s="1"/>
  <c r="JT309" i="1"/>
  <c r="JT294" i="1"/>
  <c r="KP302" i="1"/>
  <c r="KP303" i="1" s="1"/>
  <c r="KP289" i="1"/>
  <c r="LL302" i="1"/>
  <c r="LL303" i="1" s="1"/>
  <c r="LL289" i="1"/>
  <c r="F4" i="1"/>
  <c r="C4" i="1"/>
  <c r="Y4" i="1"/>
  <c r="M59" i="1"/>
  <c r="J59" i="1"/>
  <c r="F164" i="1"/>
  <c r="I231" i="1"/>
  <c r="KA289" i="1"/>
  <c r="GM302" i="1"/>
  <c r="GM303" i="1" s="1"/>
  <c r="JG306" i="1"/>
  <c r="IA309" i="2"/>
  <c r="IA294" i="2"/>
  <c r="JS309" i="2"/>
  <c r="JS294" i="2"/>
  <c r="W37" i="2"/>
  <c r="S37" i="1"/>
  <c r="S289" i="1" s="1"/>
  <c r="JE311" i="1"/>
  <c r="X164" i="1"/>
  <c r="GE289" i="1"/>
  <c r="HG289" i="1"/>
  <c r="HG302" i="1"/>
  <c r="GC302" i="2"/>
  <c r="GC289" i="2"/>
  <c r="GY302" i="2"/>
  <c r="GY289" i="2"/>
  <c r="HU302" i="2"/>
  <c r="HU303" i="2" s="1"/>
  <c r="HU289" i="2"/>
  <c r="IQ302" i="2"/>
  <c r="IQ289" i="2"/>
  <c r="JM302" i="2"/>
  <c r="JM303" i="2" s="1"/>
  <c r="JM289" i="2"/>
  <c r="KI302" i="2"/>
  <c r="KI303" i="2" s="1"/>
  <c r="KI289" i="2"/>
  <c r="LE302" i="2"/>
  <c r="LE303" i="2" s="1"/>
  <c r="LE289" i="2"/>
  <c r="MA302" i="2"/>
  <c r="MA303" i="2" s="1"/>
  <c r="MA289" i="2"/>
  <c r="Q302" i="2"/>
  <c r="Q303" i="2" s="1"/>
  <c r="Q289" i="2"/>
  <c r="N302" i="2"/>
  <c r="K302" i="2"/>
  <c r="H302" i="2"/>
  <c r="FP309" i="1"/>
  <c r="FP294" i="1"/>
  <c r="GL302" i="1"/>
  <c r="GL303" i="1" s="1"/>
  <c r="GL289" i="1"/>
  <c r="HH289" i="1"/>
  <c r="HH302" i="1"/>
  <c r="HH303" i="1" s="1"/>
  <c r="IZ289" i="1"/>
  <c r="IZ302" i="1"/>
  <c r="IZ316" i="1" s="1"/>
  <c r="JV309" i="1"/>
  <c r="JV294" i="1"/>
  <c r="KR289" i="1"/>
  <c r="KR302" i="1"/>
  <c r="KR303" i="1" s="1"/>
  <c r="LN302" i="1"/>
  <c r="LN303" i="1" s="1"/>
  <c r="LN289" i="1"/>
  <c r="H4" i="1"/>
  <c r="E4" i="1"/>
  <c r="O59" i="1"/>
  <c r="O289" i="1" s="1"/>
  <c r="N231" i="1"/>
  <c r="K231" i="1"/>
  <c r="II289" i="1"/>
  <c r="KC289" i="1"/>
  <c r="GC303" i="1"/>
  <c r="JT302" i="1"/>
  <c r="JT303" i="1" s="1"/>
  <c r="IT303" i="1"/>
  <c r="GD302" i="2"/>
  <c r="GD289" i="2"/>
  <c r="GZ302" i="2"/>
  <c r="GZ289" i="2"/>
  <c r="HV302" i="2"/>
  <c r="HV289" i="2"/>
  <c r="IR302" i="2"/>
  <c r="IR289" i="2"/>
  <c r="JN302" i="2"/>
  <c r="JN289" i="2"/>
  <c r="KJ302" i="2"/>
  <c r="KJ303" i="2" s="1"/>
  <c r="KJ289" i="2"/>
  <c r="LF302" i="2"/>
  <c r="LF303" i="2" s="1"/>
  <c r="LF289" i="2"/>
  <c r="MB302" i="2"/>
  <c r="MB289" i="2"/>
  <c r="R4" i="2"/>
  <c r="L4" i="2"/>
  <c r="I4" i="2"/>
  <c r="F4" i="2"/>
  <c r="IH294" i="2"/>
  <c r="IH309" i="2"/>
  <c r="JD309" i="2"/>
  <c r="JD294" i="2"/>
  <c r="JD306" i="1"/>
  <c r="JD303" i="1"/>
  <c r="JD317" i="1" s="1"/>
  <c r="V37" i="1"/>
  <c r="V289" i="1" s="1"/>
  <c r="JO289" i="1"/>
  <c r="KQ289" i="1"/>
  <c r="KQ302" i="1"/>
  <c r="KQ303" i="1" s="1"/>
  <c r="O231" i="1"/>
  <c r="L231" i="1"/>
  <c r="IJ289" i="1"/>
  <c r="IA294" i="1"/>
  <c r="GD303" i="1"/>
  <c r="JU302" i="1"/>
  <c r="JP306" i="1"/>
  <c r="D37" i="2"/>
  <c r="Z37" i="2"/>
  <c r="GO309" i="2"/>
  <c r="IU309" i="1"/>
  <c r="IU294" i="1"/>
  <c r="BC289" i="1"/>
  <c r="BC294" i="1" s="1"/>
  <c r="HA289" i="1"/>
  <c r="GK302" i="1"/>
  <c r="GK303" i="1" s="1"/>
  <c r="GK289" i="1"/>
  <c r="LM302" i="1"/>
  <c r="LM303" i="1" s="1"/>
  <c r="LM289" i="1"/>
  <c r="KS289" i="1"/>
  <c r="KS302" i="1"/>
  <c r="KS303" i="1" s="1"/>
  <c r="IF302" i="1"/>
  <c r="IF289" i="1"/>
  <c r="Q59" i="1"/>
  <c r="Q289" i="1" s="1"/>
  <c r="P231" i="1"/>
  <c r="M231" i="1"/>
  <c r="GQ289" i="1"/>
  <c r="IK289" i="1"/>
  <c r="IB294" i="1"/>
  <c r="GE303" i="1"/>
  <c r="JV302" i="1"/>
  <c r="GF289" i="2"/>
  <c r="GF302" i="2"/>
  <c r="GF303" i="2" s="1"/>
  <c r="HX289" i="2"/>
  <c r="HX302" i="2"/>
  <c r="IT289" i="2"/>
  <c r="IT302" i="2"/>
  <c r="IT303" i="2" s="1"/>
  <c r="JP302" i="2"/>
  <c r="JP289" i="2"/>
  <c r="KL309" i="2"/>
  <c r="KL294" i="2"/>
  <c r="LH289" i="2"/>
  <c r="LH302" i="2"/>
  <c r="LH303" i="2" s="1"/>
  <c r="MD289" i="2"/>
  <c r="MD302" i="2"/>
  <c r="MD303" i="2" s="1"/>
  <c r="T302" i="2"/>
  <c r="T303" i="2" s="1"/>
  <c r="T289" i="2"/>
  <c r="JU294" i="2"/>
  <c r="JU309" i="2"/>
  <c r="KB303" i="2"/>
  <c r="GP309" i="2"/>
  <c r="DQ289" i="1"/>
  <c r="DQ294" i="1" s="1"/>
  <c r="HI289" i="1"/>
  <c r="HI302" i="1"/>
  <c r="HI303" i="1" s="1"/>
  <c r="JA289" i="1"/>
  <c r="JA302" i="1"/>
  <c r="JA316" i="1" s="1"/>
  <c r="GN309" i="1"/>
  <c r="GN294" i="1"/>
  <c r="KT302" i="1"/>
  <c r="KT303" i="1" s="1"/>
  <c r="KT289" i="1"/>
  <c r="AQ289" i="1"/>
  <c r="AQ294" i="1" s="1"/>
  <c r="EA289" i="1"/>
  <c r="EA294" i="1" s="1"/>
  <c r="EW289" i="1"/>
  <c r="EW294" i="1" s="1"/>
  <c r="HK302" i="1"/>
  <c r="HK303" i="1" s="1"/>
  <c r="HK289" i="1"/>
  <c r="JY289" i="1"/>
  <c r="KU289" i="1"/>
  <c r="KU302" i="1"/>
  <c r="KU303" i="1" s="1"/>
  <c r="LQ289" i="1"/>
  <c r="K4" i="1"/>
  <c r="R59" i="1"/>
  <c r="Q231" i="1"/>
  <c r="GR289" i="1"/>
  <c r="JW302" i="1"/>
  <c r="JU309" i="1"/>
  <c r="AI289" i="2"/>
  <c r="AI294" i="2" s="1"/>
  <c r="CA289" i="2"/>
  <c r="CA294" i="2" s="1"/>
  <c r="CW289" i="2"/>
  <c r="CW294" i="2" s="1"/>
  <c r="DS289" i="2"/>
  <c r="DS294" i="2" s="1"/>
  <c r="EO289" i="2"/>
  <c r="EO294" i="2" s="1"/>
  <c r="FK289" i="2"/>
  <c r="FK294" i="2" s="1"/>
  <c r="GG289" i="2"/>
  <c r="GG302" i="2"/>
  <c r="GG303" i="2" s="1"/>
  <c r="HC302" i="2"/>
  <c r="HC303" i="2" s="1"/>
  <c r="HC289" i="2"/>
  <c r="HY302" i="2"/>
  <c r="HY303" i="2" s="1"/>
  <c r="HY289" i="2"/>
  <c r="IU289" i="2"/>
  <c r="IU302" i="2"/>
  <c r="IU303" i="2" s="1"/>
  <c r="JQ302" i="2"/>
  <c r="JQ289" i="2"/>
  <c r="KM289" i="2"/>
  <c r="KM302" i="2"/>
  <c r="LI289" i="2"/>
  <c r="LI302" i="2"/>
  <c r="LI303" i="2" s="1"/>
  <c r="ME289" i="2"/>
  <c r="ME302" i="2"/>
  <c r="U4" i="2"/>
  <c r="W164" i="2"/>
  <c r="E164" i="2"/>
  <c r="JG303" i="2"/>
  <c r="JG317" i="2" s="1"/>
  <c r="JG311" i="2"/>
  <c r="GQ309" i="2"/>
  <c r="IR294" i="1"/>
  <c r="IR309" i="1"/>
  <c r="P37" i="1"/>
  <c r="P289" i="1" s="1"/>
  <c r="GY294" i="1"/>
  <c r="GY309" i="1"/>
  <c r="W164" i="1"/>
  <c r="W289" i="1" s="1"/>
  <c r="IT309" i="1"/>
  <c r="IT294" i="1"/>
  <c r="B164" i="1"/>
  <c r="B289" i="1" s="1"/>
  <c r="EM289" i="1"/>
  <c r="EM294" i="1" s="1"/>
  <c r="JW309" i="1"/>
  <c r="JW294" i="1"/>
  <c r="FR309" i="1"/>
  <c r="FR294" i="1"/>
  <c r="LP302" i="1"/>
  <c r="LP289" i="1"/>
  <c r="CI289" i="1"/>
  <c r="CI294" i="1" s="1"/>
  <c r="DF289" i="1"/>
  <c r="DF294" i="1" s="1"/>
  <c r="GP302" i="1"/>
  <c r="GP303" i="1" s="1"/>
  <c r="GP289" i="1"/>
  <c r="JZ289" i="1"/>
  <c r="S59" i="1"/>
  <c r="R231" i="1"/>
  <c r="D289" i="1"/>
  <c r="D309" i="1" s="1"/>
  <c r="GS289" i="1"/>
  <c r="B304" i="1"/>
  <c r="B303" i="1" s="1"/>
  <c r="X304" i="1"/>
  <c r="X303" i="1" s="1"/>
  <c r="ID294" i="1"/>
  <c r="IC303" i="1"/>
  <c r="JU303" i="1"/>
  <c r="JY302" i="1"/>
  <c r="KA303" i="1"/>
  <c r="GH289" i="2"/>
  <c r="GH302" i="2"/>
  <c r="HD289" i="2"/>
  <c r="HD302" i="2"/>
  <c r="HZ302" i="2"/>
  <c r="HZ303" i="2" s="1"/>
  <c r="HZ289" i="2"/>
  <c r="IV289" i="2"/>
  <c r="IV302" i="2"/>
  <c r="IV303" i="2" s="1"/>
  <c r="JR302" i="2"/>
  <c r="JR303" i="2" s="1"/>
  <c r="JR289" i="2"/>
  <c r="KN289" i="2"/>
  <c r="KN302" i="2"/>
  <c r="KN303" i="2" s="1"/>
  <c r="LJ289" i="2"/>
  <c r="LJ302" i="2"/>
  <c r="LJ303" i="2" s="1"/>
  <c r="MF302" i="2"/>
  <c r="MF289" i="2"/>
  <c r="V4" i="2"/>
  <c r="P4" i="2"/>
  <c r="M4" i="2"/>
  <c r="J4" i="2"/>
  <c r="G4" i="2"/>
  <c r="B164" i="2"/>
  <c r="X164" i="2"/>
  <c r="JQ303" i="2"/>
  <c r="GR309" i="2"/>
  <c r="U37" i="1"/>
  <c r="U289" i="1" s="1"/>
  <c r="AG289" i="1"/>
  <c r="AG294" i="1" s="1"/>
  <c r="KK289" i="1"/>
  <c r="Y164" i="1"/>
  <c r="GM309" i="1"/>
  <c r="GM294" i="1"/>
  <c r="LO302" i="1"/>
  <c r="LO303" i="1" s="1"/>
  <c r="LO289" i="1"/>
  <c r="JB302" i="1"/>
  <c r="JB316" i="1" s="1"/>
  <c r="JB289" i="1"/>
  <c r="BM289" i="1"/>
  <c r="BM294" i="1" s="1"/>
  <c r="IG289" i="1"/>
  <c r="CJ289" i="1"/>
  <c r="CJ294" i="1" s="1"/>
  <c r="FT302" i="1"/>
  <c r="FT289" i="1"/>
  <c r="JD289" i="1"/>
  <c r="JD302" i="1"/>
  <c r="JD316" i="1" s="1"/>
  <c r="L4" i="1"/>
  <c r="KW289" i="1"/>
  <c r="KW302" i="1"/>
  <c r="KW303" i="1" s="1"/>
  <c r="LS289" i="1"/>
  <c r="M4" i="1"/>
  <c r="G74" i="1"/>
  <c r="G289" i="1" s="1"/>
  <c r="D74" i="1"/>
  <c r="Z74" i="1"/>
  <c r="S231" i="1"/>
  <c r="C304" i="1"/>
  <c r="IE294" i="1"/>
  <c r="ID303" i="1"/>
  <c r="JV303" i="1"/>
  <c r="JV306" i="1"/>
  <c r="GG303" i="1"/>
  <c r="JZ302" i="1"/>
  <c r="CY289" i="2"/>
  <c r="CY294" i="2" s="1"/>
  <c r="DU289" i="2"/>
  <c r="DU294" i="2" s="1"/>
  <c r="FM289" i="2"/>
  <c r="FM294" i="2" s="1"/>
  <c r="HB303" i="2"/>
  <c r="HX303" i="2"/>
  <c r="JP303" i="2"/>
  <c r="FT303" i="1"/>
  <c r="JZ306" i="1"/>
  <c r="JZ303" i="1"/>
  <c r="M37" i="1"/>
  <c r="GZ294" i="1"/>
  <c r="GZ309" i="1"/>
  <c r="T37" i="1"/>
  <c r="T289" i="1" s="1"/>
  <c r="S164" i="1"/>
  <c r="GF303" i="1"/>
  <c r="CU289" i="1"/>
  <c r="CU294" i="1" s="1"/>
  <c r="JR309" i="1"/>
  <c r="JR294" i="1"/>
  <c r="I4" i="1"/>
  <c r="J4" i="1"/>
  <c r="FS302" i="1"/>
  <c r="FS289" i="1"/>
  <c r="AR289" i="1"/>
  <c r="AR294" i="1" s="1"/>
  <c r="EB289" i="1"/>
  <c r="EB294" i="1" s="1"/>
  <c r="HL302" i="1"/>
  <c r="HL303" i="1" s="1"/>
  <c r="HL289" i="1"/>
  <c r="LR289" i="1"/>
  <c r="LT289" i="1"/>
  <c r="N4" i="1"/>
  <c r="H74" i="1"/>
  <c r="E74" i="1"/>
  <c r="T231" i="1"/>
  <c r="D303" i="1"/>
  <c r="FQ303" i="1"/>
  <c r="IE303" i="1"/>
  <c r="JA306" i="1"/>
  <c r="JA303" i="1"/>
  <c r="JA317" i="1" s="1"/>
  <c r="JW303" i="1"/>
  <c r="JW306" i="1"/>
  <c r="DV289" i="2"/>
  <c r="DV294" i="2" s="1"/>
  <c r="KS294" i="2"/>
  <c r="Q37" i="1"/>
  <c r="R164" i="1"/>
  <c r="V164" i="1"/>
  <c r="LW303" i="1"/>
  <c r="BY289" i="1"/>
  <c r="BY294" i="1" s="1"/>
  <c r="C164" i="1"/>
  <c r="IY306" i="1"/>
  <c r="FQ309" i="1"/>
  <c r="FQ294" i="1"/>
  <c r="HJ289" i="1"/>
  <c r="HJ302" i="1"/>
  <c r="GO302" i="1"/>
  <c r="GO303" i="1" s="1"/>
  <c r="GO289" i="1"/>
  <c r="BN289" i="1"/>
  <c r="BN294" i="1" s="1"/>
  <c r="EX289" i="1"/>
  <c r="EX294" i="1" s="1"/>
  <c r="IH289" i="1"/>
  <c r="KV289" i="1"/>
  <c r="KV302" i="1"/>
  <c r="KV303" i="1" s="1"/>
  <c r="LU289" i="1"/>
  <c r="LU302" i="1"/>
  <c r="I74" i="1"/>
  <c r="F74" i="1"/>
  <c r="U231" i="1"/>
  <c r="FR303" i="1"/>
  <c r="HJ303" i="1"/>
  <c r="IF303" i="1"/>
  <c r="JB303" i="1"/>
  <c r="JB317" i="1" s="1"/>
  <c r="JX303" i="1"/>
  <c r="JX306" i="1"/>
  <c r="LP303" i="1"/>
  <c r="KT294" i="2"/>
  <c r="GX294" i="1"/>
  <c r="GX309" i="1"/>
  <c r="L74" i="1"/>
  <c r="R37" i="1"/>
  <c r="R289" i="1" s="1"/>
  <c r="JD311" i="1"/>
  <c r="O74" i="1"/>
  <c r="FI289" i="1"/>
  <c r="FI294" i="1" s="1"/>
  <c r="IY289" i="1"/>
  <c r="IY302" i="1"/>
  <c r="IY303" i="1" s="1"/>
  <c r="JX302" i="1"/>
  <c r="JX289" i="1"/>
  <c r="DE289" i="1"/>
  <c r="DE294" i="1" s="1"/>
  <c r="JC289" i="1"/>
  <c r="JC302" i="1"/>
  <c r="JC316" i="1" s="1"/>
  <c r="N37" i="1"/>
  <c r="K37" i="1"/>
  <c r="J74" i="1"/>
  <c r="V231" i="1"/>
  <c r="KX289" i="1"/>
  <c r="FS303" i="1"/>
  <c r="JC311" i="1"/>
  <c r="JC306" i="1"/>
  <c r="JY303" i="1"/>
  <c r="JY306" i="1"/>
  <c r="LQ303" i="1"/>
  <c r="JU306" i="1"/>
  <c r="KU294" i="2"/>
  <c r="GJ289" i="2"/>
  <c r="GJ302" i="2"/>
  <c r="GJ303" i="2" s="1"/>
  <c r="X4" i="2"/>
  <c r="HF289" i="2"/>
  <c r="HE303" i="2"/>
  <c r="JS303" i="2"/>
  <c r="GF289" i="1"/>
  <c r="HX289" i="1"/>
  <c r="JP289" i="1"/>
  <c r="KL289" i="1"/>
  <c r="LI289" i="1"/>
  <c r="IV302" i="1"/>
  <c r="IV303" i="1" s="1"/>
  <c r="AM289" i="2"/>
  <c r="AM294" i="2" s="1"/>
  <c r="BI289" i="2"/>
  <c r="BI294" i="2" s="1"/>
  <c r="DA289" i="2"/>
  <c r="DA294" i="2" s="1"/>
  <c r="ES289" i="2"/>
  <c r="ES294" i="2" s="1"/>
  <c r="FO289" i="2"/>
  <c r="FO294" i="2" s="1"/>
  <c r="GK302" i="2"/>
  <c r="GK303" i="2" s="1"/>
  <c r="GK289" i="2"/>
  <c r="HG289" i="2"/>
  <c r="HG302" i="2"/>
  <c r="HG303" i="2" s="1"/>
  <c r="IC302" i="2"/>
  <c r="IC303" i="2" s="1"/>
  <c r="IC289" i="2"/>
  <c r="IY289" i="2"/>
  <c r="IY302" i="2"/>
  <c r="IY303" i="2" s="1"/>
  <c r="KQ289" i="2"/>
  <c r="KQ302" i="2"/>
  <c r="KQ303" i="2" s="1"/>
  <c r="LM289" i="2"/>
  <c r="LM302" i="2"/>
  <c r="LM303" i="2" s="1"/>
  <c r="C4" i="2"/>
  <c r="Y4" i="2"/>
  <c r="JT303" i="2"/>
  <c r="IP324" i="2"/>
  <c r="GG289" i="1"/>
  <c r="HY289" i="1"/>
  <c r="JQ289" i="1"/>
  <c r="KM289" i="1"/>
  <c r="LJ289" i="1"/>
  <c r="GB303" i="1"/>
  <c r="GX303" i="1"/>
  <c r="HT303" i="1"/>
  <c r="IW302" i="1"/>
  <c r="IW303" i="1" s="1"/>
  <c r="Z304" i="2"/>
  <c r="GH289" i="1"/>
  <c r="KN289" i="1"/>
  <c r="LK289" i="1"/>
  <c r="D294" i="1"/>
  <c r="GY303" i="1"/>
  <c r="HU303" i="1"/>
  <c r="KI303" i="1"/>
  <c r="MA303" i="1"/>
  <c r="JE306" i="1"/>
  <c r="GV303" i="1"/>
  <c r="CZ289" i="2"/>
  <c r="CZ294" i="2" s="1"/>
  <c r="IX289" i="2"/>
  <c r="GI289" i="1"/>
  <c r="KO289" i="1"/>
  <c r="GZ303" i="1"/>
  <c r="HV303" i="1"/>
  <c r="FV303" i="1"/>
  <c r="IJ323" i="1"/>
  <c r="IJ324" i="1" s="1"/>
  <c r="IJ303" i="1"/>
  <c r="JF323" i="1"/>
  <c r="JF324" i="1" s="1"/>
  <c r="JF303" i="1"/>
  <c r="JF317" i="1" s="1"/>
  <c r="JF306" i="1"/>
  <c r="JF318" i="1"/>
  <c r="KB303" i="1"/>
  <c r="KX303" i="1"/>
  <c r="LT303" i="1"/>
  <c r="IB289" i="2"/>
  <c r="HA303" i="1"/>
  <c r="HW303" i="1"/>
  <c r="KK303" i="1"/>
  <c r="MC303" i="1"/>
  <c r="FW303" i="1"/>
  <c r="GS303" i="1"/>
  <c r="JG318" i="1"/>
  <c r="JG303" i="1"/>
  <c r="JG317" i="1" s="1"/>
  <c r="KC303" i="1"/>
  <c r="KC306" i="1"/>
  <c r="KY303" i="1"/>
  <c r="LU303" i="1"/>
  <c r="G304" i="2"/>
  <c r="IX302" i="2"/>
  <c r="IX303" i="2" s="1"/>
  <c r="JB306" i="1"/>
  <c r="AL289" i="2"/>
  <c r="AL294" i="2" s="1"/>
  <c r="ER289" i="2"/>
  <c r="ER294" i="2" s="1"/>
  <c r="LL289" i="2"/>
  <c r="LL302" i="2"/>
  <c r="LL303" i="2" s="1"/>
  <c r="Y164" i="2"/>
  <c r="FX303" i="1"/>
  <c r="GT303" i="1"/>
  <c r="IL323" i="1"/>
  <c r="IL324" i="1" s="1"/>
  <c r="IL303" i="1"/>
  <c r="JH303" i="1"/>
  <c r="KD306" i="1"/>
  <c r="LV303" i="1"/>
  <c r="H304" i="2"/>
  <c r="H303" i="2" s="1"/>
  <c r="HY303" i="1"/>
  <c r="JI306" i="1"/>
  <c r="I304" i="2"/>
  <c r="FT303" i="2"/>
  <c r="GP303" i="2"/>
  <c r="HL303" i="2"/>
  <c r="IH303" i="2"/>
  <c r="JD323" i="2"/>
  <c r="JD324" i="2" s="1"/>
  <c r="JD318" i="2"/>
  <c r="JD306" i="2"/>
  <c r="JZ306" i="2"/>
  <c r="JZ303" i="2"/>
  <c r="LR303" i="2"/>
  <c r="JJ306" i="1"/>
  <c r="KB306" i="1"/>
  <c r="FU303" i="2"/>
  <c r="GQ303" i="2"/>
  <c r="HM303" i="2"/>
  <c r="II303" i="2"/>
  <c r="JE323" i="2"/>
  <c r="JE324" i="2" s="1"/>
  <c r="JE318" i="2"/>
  <c r="JE306" i="2"/>
  <c r="JE303" i="2"/>
  <c r="JE317" i="2" s="1"/>
  <c r="KA306" i="2"/>
  <c r="KA303" i="2"/>
  <c r="LS303" i="2"/>
  <c r="GA303" i="1"/>
  <c r="GW303" i="1"/>
  <c r="HS303" i="1"/>
  <c r="IO323" i="1"/>
  <c r="IO324" i="1" s="1"/>
  <c r="IO303" i="1"/>
  <c r="JK303" i="1"/>
  <c r="KG303" i="1"/>
  <c r="LC303" i="1"/>
  <c r="LY303" i="1"/>
  <c r="JD303" i="2"/>
  <c r="JD317" i="2" s="1"/>
  <c r="KB306" i="2"/>
  <c r="FN289" i="2"/>
  <c r="FN294" i="2" s="1"/>
  <c r="KP289" i="2"/>
  <c r="KP302" i="2"/>
  <c r="C164" i="2"/>
  <c r="IB303" i="1"/>
  <c r="G304" i="1"/>
  <c r="G303" i="1" s="1"/>
  <c r="IP303" i="1"/>
  <c r="JL303" i="1"/>
  <c r="KH303" i="1"/>
  <c r="LD303" i="1"/>
  <c r="LZ303" i="1"/>
  <c r="S37" i="2"/>
  <c r="P37" i="2"/>
  <c r="M37" i="2"/>
  <c r="J37" i="2"/>
  <c r="JA303" i="2"/>
  <c r="JA317" i="2" s="1"/>
  <c r="KC306" i="2"/>
  <c r="FZ303" i="1"/>
  <c r="B4" i="2"/>
  <c r="H304" i="1"/>
  <c r="JM306" i="1"/>
  <c r="T37" i="2"/>
  <c r="Q37" i="2"/>
  <c r="N37" i="2"/>
  <c r="N289" i="2" s="1"/>
  <c r="K37" i="2"/>
  <c r="K289" i="2" s="1"/>
  <c r="JH306" i="2"/>
  <c r="KD306" i="2"/>
  <c r="KZ303" i="2"/>
  <c r="LV303" i="2"/>
  <c r="JQ303" i="1"/>
  <c r="KM303" i="1"/>
  <c r="LI303" i="1"/>
  <c r="AK289" i="2"/>
  <c r="AK294" i="2" s="1"/>
  <c r="CC289" i="2"/>
  <c r="CC294" i="2" s="1"/>
  <c r="EQ289" i="2"/>
  <c r="EQ294" i="2" s="1"/>
  <c r="GI289" i="2"/>
  <c r="GI302" i="2"/>
  <c r="GI303" i="2" s="1"/>
  <c r="HE289" i="2"/>
  <c r="IW289" i="2"/>
  <c r="KO289" i="2"/>
  <c r="LK289" i="2"/>
  <c r="W4" i="2"/>
  <c r="HJ294" i="2"/>
  <c r="HJ309" i="2"/>
  <c r="Q59" i="2"/>
  <c r="GB303" i="2"/>
  <c r="GX303" i="2"/>
  <c r="HT303" i="2"/>
  <c r="IP303" i="2"/>
  <c r="LD303" i="2"/>
  <c r="LZ303" i="2"/>
  <c r="LK302" i="2"/>
  <c r="IR324" i="2"/>
  <c r="FS294" i="2"/>
  <c r="FS309" i="2"/>
  <c r="HK294" i="2"/>
  <c r="HK309" i="2"/>
  <c r="LQ294" i="2"/>
  <c r="LQ309" i="2"/>
  <c r="ID289" i="2"/>
  <c r="FT294" i="2"/>
  <c r="FT309" i="2"/>
  <c r="JZ294" i="2"/>
  <c r="JZ309" i="2"/>
  <c r="LR294" i="2"/>
  <c r="LR309" i="2"/>
  <c r="S59" i="2"/>
  <c r="J59" i="2"/>
  <c r="Z59" i="2"/>
  <c r="X74" i="2"/>
  <c r="IE289" i="2"/>
  <c r="IW303" i="2"/>
  <c r="HR303" i="1"/>
  <c r="JJ303" i="1"/>
  <c r="KF303" i="1"/>
  <c r="LB303" i="1"/>
  <c r="LX303" i="1"/>
  <c r="IX306" i="1"/>
  <c r="JT306" i="1"/>
  <c r="JB318" i="1"/>
  <c r="AN289" i="2"/>
  <c r="AN294" i="2" s="1"/>
  <c r="BJ289" i="2"/>
  <c r="BJ294" i="2" s="1"/>
  <c r="DB289" i="2"/>
  <c r="DB294" i="2" s="1"/>
  <c r="ET289" i="2"/>
  <c r="ET294" i="2" s="1"/>
  <c r="FP289" i="2"/>
  <c r="HH289" i="2"/>
  <c r="IZ289" i="2"/>
  <c r="IZ302" i="2"/>
  <c r="IZ316" i="2" s="1"/>
  <c r="LN289" i="2"/>
  <c r="D4" i="2"/>
  <c r="Z4" i="2"/>
  <c r="KA294" i="2"/>
  <c r="KA309" i="2"/>
  <c r="T59" i="2"/>
  <c r="M164" i="2"/>
  <c r="HI302" i="2"/>
  <c r="HI303" i="2" s="1"/>
  <c r="LN302" i="2"/>
  <c r="KX309" i="2"/>
  <c r="IU324" i="2"/>
  <c r="LO294" i="2"/>
  <c r="LO309" i="2"/>
  <c r="E4" i="2"/>
  <c r="U59" i="2"/>
  <c r="N164" i="2"/>
  <c r="K164" i="2"/>
  <c r="H164" i="2"/>
  <c r="LO302" i="2"/>
  <c r="LO303" i="2" s="1"/>
  <c r="GE303" i="2"/>
  <c r="HW303" i="2"/>
  <c r="V59" i="2"/>
  <c r="H74" i="2"/>
  <c r="O164" i="2"/>
  <c r="L164" i="2"/>
  <c r="FP302" i="2"/>
  <c r="FP303" i="2" s="1"/>
  <c r="KL303" i="2"/>
  <c r="W59" i="2"/>
  <c r="P164" i="2"/>
  <c r="Z164" i="2"/>
  <c r="FQ302" i="2"/>
  <c r="FQ303" i="2" s="1"/>
  <c r="JW302" i="2"/>
  <c r="JW303" i="2" s="1"/>
  <c r="KM303" i="2"/>
  <c r="ME303" i="2"/>
  <c r="IX324" i="2"/>
  <c r="JN303" i="1"/>
  <c r="KJ303" i="1"/>
  <c r="LF303" i="1"/>
  <c r="MB303" i="1"/>
  <c r="IP324" i="1"/>
  <c r="B59" i="2"/>
  <c r="X59" i="2"/>
  <c r="FV294" i="2"/>
  <c r="FV309" i="2"/>
  <c r="Q164" i="2"/>
  <c r="Z231" i="2"/>
  <c r="W231" i="2"/>
  <c r="V304" i="2"/>
  <c r="HL294" i="2"/>
  <c r="GH303" i="2"/>
  <c r="II309" i="2"/>
  <c r="IR324" i="1"/>
  <c r="R164" i="2"/>
  <c r="I164" i="2"/>
  <c r="X231" i="2"/>
  <c r="U300" i="2"/>
  <c r="U231" i="2"/>
  <c r="GL289" i="2"/>
  <c r="MG289" i="2"/>
  <c r="W304" i="2"/>
  <c r="HM294" i="2"/>
  <c r="JV303" i="2"/>
  <c r="KO303" i="2"/>
  <c r="LK303" i="2"/>
  <c r="FQ309" i="2"/>
  <c r="IJ309" i="2"/>
  <c r="JD323" i="1"/>
  <c r="JD324" i="1" s="1"/>
  <c r="JD318" i="1"/>
  <c r="IS324" i="1"/>
  <c r="S164" i="2"/>
  <c r="GM289" i="2"/>
  <c r="X304" i="2"/>
  <c r="HN294" i="2"/>
  <c r="HF303" i="2"/>
  <c r="KP303" i="2"/>
  <c r="FR309" i="2"/>
  <c r="FU303" i="1"/>
  <c r="GQ303" i="1"/>
  <c r="HM303" i="1"/>
  <c r="II303" i="1"/>
  <c r="JE323" i="1"/>
  <c r="JE324" i="1" s="1"/>
  <c r="JE318" i="1"/>
  <c r="IU324" i="1"/>
  <c r="T164" i="2"/>
  <c r="Y304" i="2"/>
  <c r="HH303" i="2"/>
  <c r="IZ311" i="2"/>
  <c r="LN303" i="2"/>
  <c r="HD303" i="2"/>
  <c r="FU309" i="2"/>
  <c r="LP309" i="2"/>
  <c r="IM324" i="1"/>
  <c r="B37" i="2"/>
  <c r="X37" i="2"/>
  <c r="FZ303" i="2"/>
  <c r="GV303" i="2"/>
  <c r="HR303" i="2"/>
  <c r="JJ303" i="2"/>
  <c r="KF303" i="2"/>
  <c r="LB303" i="2"/>
  <c r="LX303" i="2"/>
  <c r="J304" i="2"/>
  <c r="C37" i="2"/>
  <c r="Y37" i="2"/>
  <c r="GA303" i="2"/>
  <c r="GW303" i="2"/>
  <c r="HS303" i="2"/>
  <c r="IO303" i="2"/>
  <c r="JK303" i="2"/>
  <c r="KG303" i="2"/>
  <c r="IS303" i="2"/>
  <c r="JO303" i="2"/>
  <c r="KK303" i="2"/>
  <c r="LG303" i="2"/>
  <c r="MC303" i="2"/>
  <c r="JL306" i="1"/>
  <c r="E37" i="2"/>
  <c r="I74" i="2"/>
  <c r="GC303" i="2"/>
  <c r="GY303" i="2"/>
  <c r="IQ303" i="2"/>
  <c r="F37" i="2"/>
  <c r="J74" i="2"/>
  <c r="T231" i="2"/>
  <c r="G231" i="2"/>
  <c r="GD303" i="2"/>
  <c r="GZ303" i="2"/>
  <c r="HV303" i="2"/>
  <c r="IR303" i="2"/>
  <c r="JN303" i="2"/>
  <c r="MB303" i="2"/>
  <c r="G37" i="2"/>
  <c r="K74" i="2"/>
  <c r="H231" i="2"/>
  <c r="AB289" i="2"/>
  <c r="AB294" i="2" s="1"/>
  <c r="AX289" i="2"/>
  <c r="AX294" i="2" s="1"/>
  <c r="BT289" i="2"/>
  <c r="BT294" i="2" s="1"/>
  <c r="CP289" i="2"/>
  <c r="CP294" i="2" s="1"/>
  <c r="DL289" i="2"/>
  <c r="DL294" i="2" s="1"/>
  <c r="EH289" i="2"/>
  <c r="EH294" i="2" s="1"/>
  <c r="FD289" i="2"/>
  <c r="FD294" i="2" s="1"/>
  <c r="H37" i="2"/>
  <c r="H289" i="2" s="1"/>
  <c r="L74" i="2"/>
  <c r="I231" i="2"/>
  <c r="JA318" i="2"/>
  <c r="AY289" i="2"/>
  <c r="AY294" i="2" s="1"/>
  <c r="BU289" i="2"/>
  <c r="BU294" i="2" s="1"/>
  <c r="CQ289" i="2"/>
  <c r="CQ294" i="2" s="1"/>
  <c r="DM289" i="2"/>
  <c r="DM294" i="2" s="1"/>
  <c r="EI289" i="2"/>
  <c r="EI294" i="2" s="1"/>
  <c r="FE289" i="2"/>
  <c r="FE294" i="2" s="1"/>
  <c r="GA302" i="2"/>
  <c r="GA289" i="2"/>
  <c r="GW302" i="2"/>
  <c r="GW289" i="2"/>
  <c r="HS302" i="2"/>
  <c r="HS289" i="2"/>
  <c r="IO302" i="2"/>
  <c r="IO289" i="2"/>
  <c r="JK302" i="2"/>
  <c r="JK289" i="2"/>
  <c r="KG302" i="2"/>
  <c r="KG289" i="2"/>
  <c r="LC302" i="2"/>
  <c r="LC303" i="2" s="1"/>
  <c r="LC289" i="2"/>
  <c r="LY302" i="2"/>
  <c r="LY303" i="2" s="1"/>
  <c r="LY289" i="2"/>
  <c r="I37" i="2"/>
  <c r="M74" i="2"/>
  <c r="J231" i="2"/>
  <c r="IY324" i="2"/>
  <c r="JQ306" i="1"/>
  <c r="AD289" i="2"/>
  <c r="AD294" i="2" s="1"/>
  <c r="AZ289" i="2"/>
  <c r="AZ294" i="2" s="1"/>
  <c r="BV289" i="2"/>
  <c r="BV294" i="2" s="1"/>
  <c r="CR289" i="2"/>
  <c r="CR294" i="2" s="1"/>
  <c r="DN289" i="2"/>
  <c r="DN294" i="2" s="1"/>
  <c r="EJ289" i="2"/>
  <c r="EJ294" i="2" s="1"/>
  <c r="FF289" i="2"/>
  <c r="FF294" i="2" s="1"/>
  <c r="GB302" i="2"/>
  <c r="GB289" i="2"/>
  <c r="GX302" i="2"/>
  <c r="GX289" i="2"/>
  <c r="HT302" i="2"/>
  <c r="HT289" i="2"/>
  <c r="IP302" i="2"/>
  <c r="IP289" i="2"/>
  <c r="JL302" i="2"/>
  <c r="JL303" i="2" s="1"/>
  <c r="JL289" i="2"/>
  <c r="KH302" i="2"/>
  <c r="KH303" i="2" s="1"/>
  <c r="KH289" i="2"/>
  <c r="LD302" i="2"/>
  <c r="LD289" i="2"/>
  <c r="LZ302" i="2"/>
  <c r="LZ289" i="2"/>
  <c r="N74" i="2"/>
  <c r="K231" i="2"/>
  <c r="O74" i="2"/>
  <c r="L231" i="2"/>
  <c r="P74" i="2"/>
  <c r="M231" i="2"/>
  <c r="JB323" i="2"/>
  <c r="JB324" i="2" s="1"/>
  <c r="JB318" i="2"/>
  <c r="JB306" i="2"/>
  <c r="JX306" i="2"/>
  <c r="AG289" i="2"/>
  <c r="AG294" i="2" s="1"/>
  <c r="BC289" i="2"/>
  <c r="BC294" i="2" s="1"/>
  <c r="BY289" i="2"/>
  <c r="BY294" i="2" s="1"/>
  <c r="CU289" i="2"/>
  <c r="CU294" i="2" s="1"/>
  <c r="DQ289" i="2"/>
  <c r="DQ294" i="2" s="1"/>
  <c r="EM289" i="2"/>
  <c r="EM294" i="2" s="1"/>
  <c r="FI289" i="2"/>
  <c r="FI294" i="2" s="1"/>
  <c r="GE302" i="2"/>
  <c r="GE289" i="2"/>
  <c r="HA302" i="2"/>
  <c r="HA303" i="2" s="1"/>
  <c r="HA289" i="2"/>
  <c r="HW302" i="2"/>
  <c r="HW289" i="2"/>
  <c r="IS302" i="2"/>
  <c r="IS289" i="2"/>
  <c r="JO302" i="2"/>
  <c r="JO289" i="2"/>
  <c r="KK302" i="2"/>
  <c r="KK289" i="2"/>
  <c r="LG302" i="2"/>
  <c r="LG289" i="2"/>
  <c r="MC302" i="2"/>
  <c r="MC289" i="2"/>
  <c r="S4" i="2"/>
  <c r="P59" i="2"/>
  <c r="N231" i="2"/>
  <c r="JC323" i="2"/>
  <c r="JC324" i="2" s="1"/>
  <c r="JC318" i="2"/>
  <c r="JC306" i="2"/>
  <c r="JY306" i="2"/>
  <c r="IY306" i="2"/>
  <c r="FW289" i="2"/>
  <c r="GS289" i="2"/>
  <c r="HO289" i="2"/>
  <c r="IK289" i="2"/>
  <c r="JG289" i="2"/>
  <c r="KC289" i="2"/>
  <c r="KY289" i="2"/>
  <c r="LU289" i="2"/>
  <c r="K304" i="2"/>
  <c r="K303" i="2" s="1"/>
  <c r="FX289" i="2"/>
  <c r="GT289" i="2"/>
  <c r="HP289" i="2"/>
  <c r="IL289" i="2"/>
  <c r="JH289" i="2"/>
  <c r="KD289" i="2"/>
  <c r="KZ289" i="2"/>
  <c r="LV289" i="2"/>
  <c r="JH303" i="2"/>
  <c r="KD303" i="2"/>
  <c r="L304" i="2"/>
  <c r="FY289" i="2"/>
  <c r="GU289" i="2"/>
  <c r="HQ289" i="2"/>
  <c r="IM289" i="2"/>
  <c r="JI289" i="2"/>
  <c r="KE289" i="2"/>
  <c r="LA289" i="2"/>
  <c r="LW289" i="2"/>
  <c r="M304" i="2"/>
  <c r="FZ289" i="2"/>
  <c r="GV289" i="2"/>
  <c r="HR289" i="2"/>
  <c r="IN289" i="2"/>
  <c r="JJ289" i="2"/>
  <c r="KF289" i="2"/>
  <c r="LB289" i="2"/>
  <c r="LX289" i="2"/>
  <c r="N304" i="2"/>
  <c r="O304" i="2"/>
  <c r="JF306" i="2"/>
  <c r="JF318" i="2"/>
  <c r="P304" i="2"/>
  <c r="JG306" i="2"/>
  <c r="T294" i="1" l="1"/>
  <c r="T309" i="1"/>
  <c r="B309" i="1"/>
  <c r="B294" i="1"/>
  <c r="Q309" i="1"/>
  <c r="Q294" i="1"/>
  <c r="O309" i="1"/>
  <c r="O294" i="1"/>
  <c r="V294" i="1"/>
  <c r="V309" i="1"/>
  <c r="H309" i="2"/>
  <c r="H294" i="2"/>
  <c r="U309" i="1"/>
  <c r="U294" i="1"/>
  <c r="P309" i="1"/>
  <c r="P294" i="1"/>
  <c r="N309" i="2"/>
  <c r="N294" i="2"/>
  <c r="G309" i="1"/>
  <c r="G294" i="1"/>
  <c r="S294" i="1"/>
  <c r="S309" i="1"/>
  <c r="R309" i="1"/>
  <c r="R294" i="1"/>
  <c r="K309" i="2"/>
  <c r="K294" i="2"/>
  <c r="W309" i="1"/>
  <c r="W294" i="1"/>
  <c r="LY309" i="2"/>
  <c r="LY294" i="2"/>
  <c r="JC309" i="1"/>
  <c r="JC294" i="1"/>
  <c r="KK309" i="1"/>
  <c r="KK294" i="1"/>
  <c r="KF309" i="2"/>
  <c r="KF294" i="2"/>
  <c r="GH309" i="1"/>
  <c r="GH294" i="1"/>
  <c r="HF309" i="1"/>
  <c r="HF294" i="1"/>
  <c r="FX309" i="2"/>
  <c r="FX294" i="2"/>
  <c r="B289" i="2"/>
  <c r="B302" i="2"/>
  <c r="B303" i="2" s="1"/>
  <c r="GK309" i="1"/>
  <c r="GK294" i="1"/>
  <c r="IZ309" i="1"/>
  <c r="IZ294" i="1"/>
  <c r="LU309" i="2"/>
  <c r="LU294" i="2"/>
  <c r="IO294" i="2"/>
  <c r="IO309" i="2"/>
  <c r="HE309" i="2"/>
  <c r="HE294" i="2"/>
  <c r="GK294" i="2"/>
  <c r="GK309" i="2"/>
  <c r="L302" i="1"/>
  <c r="L303" i="1" s="1"/>
  <c r="L289" i="1"/>
  <c r="HD309" i="2"/>
  <c r="HD294" i="2"/>
  <c r="IT309" i="2"/>
  <c r="IT294" i="2"/>
  <c r="HA309" i="1"/>
  <c r="HA294" i="1"/>
  <c r="IQ309" i="2"/>
  <c r="IQ294" i="2"/>
  <c r="KA309" i="1"/>
  <c r="KA294" i="1"/>
  <c r="IU309" i="2"/>
  <c r="IU294" i="2"/>
  <c r="LK309" i="2"/>
  <c r="LK294" i="2"/>
  <c r="HV309" i="2"/>
  <c r="HV294" i="2"/>
  <c r="GM309" i="2"/>
  <c r="GM294" i="2"/>
  <c r="JO309" i="2"/>
  <c r="JO294" i="2"/>
  <c r="M303" i="2"/>
  <c r="KY294" i="2"/>
  <c r="KY309" i="2"/>
  <c r="IZ303" i="2"/>
  <c r="IZ317" i="2" s="1"/>
  <c r="FS309" i="1"/>
  <c r="FS294" i="1"/>
  <c r="LP309" i="1"/>
  <c r="LP294" i="1"/>
  <c r="GD309" i="2"/>
  <c r="GD294" i="2"/>
  <c r="HH309" i="1"/>
  <c r="HH294" i="1"/>
  <c r="GE309" i="1"/>
  <c r="GE294" i="1"/>
  <c r="LV309" i="2"/>
  <c r="LV294" i="2"/>
  <c r="KZ309" i="2"/>
  <c r="KZ294" i="2"/>
  <c r="JH294" i="2"/>
  <c r="JH309" i="2"/>
  <c r="Z303" i="2"/>
  <c r="JO294" i="1"/>
  <c r="JO309" i="1"/>
  <c r="JP309" i="2"/>
  <c r="JP294" i="2"/>
  <c r="KK309" i="2"/>
  <c r="KK294" i="2"/>
  <c r="ID309" i="2"/>
  <c r="ID294" i="2"/>
  <c r="KP309" i="2"/>
  <c r="KP294" i="2"/>
  <c r="HG294" i="2"/>
  <c r="HG309" i="2"/>
  <c r="KW309" i="1"/>
  <c r="KW294" i="1"/>
  <c r="GZ309" i="2"/>
  <c r="GZ294" i="2"/>
  <c r="FZ309" i="2"/>
  <c r="FZ294" i="2"/>
  <c r="LW309" i="2"/>
  <c r="LW294" i="2"/>
  <c r="KC294" i="2"/>
  <c r="KC309" i="2"/>
  <c r="IS309" i="2"/>
  <c r="IS294" i="2"/>
  <c r="HS309" i="2"/>
  <c r="HS294" i="2"/>
  <c r="GI309" i="2"/>
  <c r="GI294" i="2"/>
  <c r="KO309" i="1"/>
  <c r="KO294" i="1"/>
  <c r="JC303" i="1"/>
  <c r="JC317" i="1" s="1"/>
  <c r="LU309" i="1"/>
  <c r="LU294" i="1"/>
  <c r="JD309" i="1"/>
  <c r="JD294" i="1"/>
  <c r="GH309" i="2"/>
  <c r="GH294" i="2"/>
  <c r="U302" i="2"/>
  <c r="U289" i="2"/>
  <c r="JA309" i="1"/>
  <c r="JA294" i="1"/>
  <c r="HX309" i="2"/>
  <c r="HX294" i="2"/>
  <c r="GL309" i="1"/>
  <c r="GL294" i="1"/>
  <c r="HU309" i="2"/>
  <c r="HU294" i="2"/>
  <c r="IZ309" i="2"/>
  <c r="IZ294" i="2"/>
  <c r="IJ294" i="1"/>
  <c r="IJ309" i="1"/>
  <c r="MA309" i="2"/>
  <c r="MA294" i="2"/>
  <c r="LX309" i="2"/>
  <c r="LX294" i="2"/>
  <c r="KQ294" i="2"/>
  <c r="KQ309" i="2"/>
  <c r="HC309" i="2"/>
  <c r="HC294" i="2"/>
  <c r="JN309" i="2"/>
  <c r="JN294" i="2"/>
  <c r="IX309" i="1"/>
  <c r="IX294" i="1"/>
  <c r="LC294" i="2"/>
  <c r="LC309" i="2"/>
  <c r="IR309" i="2"/>
  <c r="IR294" i="2"/>
  <c r="HP309" i="2"/>
  <c r="HP294" i="2"/>
  <c r="E289" i="2"/>
  <c r="E302" i="2"/>
  <c r="E303" i="2" s="1"/>
  <c r="GJ309" i="1"/>
  <c r="GJ294" i="1"/>
  <c r="HR309" i="2"/>
  <c r="HR294" i="2"/>
  <c r="HX294" i="1"/>
  <c r="HX309" i="1"/>
  <c r="T309" i="2"/>
  <c r="T294" i="2"/>
  <c r="O302" i="2"/>
  <c r="O289" i="2"/>
  <c r="GF309" i="1"/>
  <c r="GF294" i="1"/>
  <c r="O303" i="2"/>
  <c r="HY309" i="2"/>
  <c r="HY294" i="2"/>
  <c r="S302" i="2"/>
  <c r="S303" i="2" s="1"/>
  <c r="S289" i="2"/>
  <c r="MC309" i="2"/>
  <c r="MC294" i="2"/>
  <c r="HT309" i="2"/>
  <c r="HT294" i="2"/>
  <c r="KG309" i="2"/>
  <c r="KG294" i="2"/>
  <c r="W302" i="2"/>
  <c r="W303" i="2" s="1"/>
  <c r="W289" i="2"/>
  <c r="HL309" i="1"/>
  <c r="HL294" i="1"/>
  <c r="JK294" i="2"/>
  <c r="JK309" i="2"/>
  <c r="GI309" i="1"/>
  <c r="GI294" i="1"/>
  <c r="FT294" i="1"/>
  <c r="FT309" i="1"/>
  <c r="KE309" i="2"/>
  <c r="KE294" i="2"/>
  <c r="HW309" i="2"/>
  <c r="HW294" i="2"/>
  <c r="GW294" i="2"/>
  <c r="GW309" i="2"/>
  <c r="IX309" i="2"/>
  <c r="IX294" i="2"/>
  <c r="KM294" i="1"/>
  <c r="KM309" i="1"/>
  <c r="KV294" i="1"/>
  <c r="KV309" i="1"/>
  <c r="I302" i="1"/>
  <c r="I303" i="1" s="1"/>
  <c r="I289" i="1"/>
  <c r="G289" i="2"/>
  <c r="G302" i="2"/>
  <c r="ME309" i="2"/>
  <c r="ME294" i="2"/>
  <c r="HI309" i="1"/>
  <c r="HI294" i="1"/>
  <c r="GF309" i="2"/>
  <c r="GF294" i="2"/>
  <c r="GY309" i="2"/>
  <c r="GY294" i="2"/>
  <c r="MG309" i="2"/>
  <c r="MG294" i="2"/>
  <c r="HH294" i="2"/>
  <c r="HH309" i="2"/>
  <c r="N303" i="2"/>
  <c r="FP294" i="2"/>
  <c r="FP309" i="2"/>
  <c r="KN309" i="2"/>
  <c r="KN294" i="2"/>
  <c r="KD294" i="2"/>
  <c r="KD309" i="2"/>
  <c r="KN294" i="1"/>
  <c r="KN309" i="1"/>
  <c r="N302" i="1"/>
  <c r="N303" i="1" s="1"/>
  <c r="N289" i="1"/>
  <c r="JX309" i="1"/>
  <c r="JX294" i="1"/>
  <c r="KS309" i="1"/>
  <c r="KS294" i="1"/>
  <c r="GG309" i="2"/>
  <c r="GG294" i="2"/>
  <c r="GT294" i="2"/>
  <c r="GT309" i="2"/>
  <c r="GX309" i="2"/>
  <c r="GX294" i="2"/>
  <c r="IY309" i="1"/>
  <c r="IY294" i="1"/>
  <c r="JM309" i="2"/>
  <c r="JM294" i="2"/>
  <c r="LJ309" i="1"/>
  <c r="LJ294" i="1"/>
  <c r="IK294" i="2"/>
  <c r="IK309" i="2"/>
  <c r="JI294" i="2"/>
  <c r="JI309" i="2"/>
  <c r="HO309" i="2"/>
  <c r="HO294" i="2"/>
  <c r="JQ294" i="1"/>
  <c r="JQ309" i="1"/>
  <c r="IH294" i="1"/>
  <c r="IH309" i="1"/>
  <c r="J289" i="2"/>
  <c r="J302" i="2"/>
  <c r="J303" i="2" s="1"/>
  <c r="F289" i="2"/>
  <c r="F302" i="2"/>
  <c r="F303" i="2" s="1"/>
  <c r="Y302" i="1"/>
  <c r="Y303" i="1" s="1"/>
  <c r="Y289" i="1"/>
  <c r="Q309" i="2"/>
  <c r="Q294" i="2"/>
  <c r="GL309" i="2"/>
  <c r="GL294" i="2"/>
  <c r="IF309" i="1"/>
  <c r="IF294" i="1"/>
  <c r="LN309" i="1"/>
  <c r="LN294" i="1"/>
  <c r="IP309" i="2"/>
  <c r="IP294" i="2"/>
  <c r="LE309" i="2"/>
  <c r="LE294" i="2"/>
  <c r="IL294" i="2"/>
  <c r="IL309" i="2"/>
  <c r="IY294" i="2"/>
  <c r="IY309" i="2"/>
  <c r="JJ294" i="2"/>
  <c r="JJ309" i="2"/>
  <c r="M302" i="1"/>
  <c r="M303" i="1" s="1"/>
  <c r="M289" i="1"/>
  <c r="KT309" i="1"/>
  <c r="KT294" i="1"/>
  <c r="I289" i="2"/>
  <c r="I302" i="2"/>
  <c r="I303" i="2" s="1"/>
  <c r="GC309" i="2"/>
  <c r="GC294" i="2"/>
  <c r="C302" i="1"/>
  <c r="C303" i="1" s="1"/>
  <c r="C289" i="1"/>
  <c r="C289" i="2"/>
  <c r="C302" i="2"/>
  <c r="C303" i="2" s="1"/>
  <c r="LF309" i="2"/>
  <c r="LF294" i="2"/>
  <c r="KJ309" i="2"/>
  <c r="KJ294" i="2"/>
  <c r="H302" i="1"/>
  <c r="H303" i="1" s="1"/>
  <c r="H289" i="1"/>
  <c r="G303" i="2"/>
  <c r="HK309" i="1"/>
  <c r="HK294" i="1"/>
  <c r="LK309" i="1"/>
  <c r="LK294" i="1"/>
  <c r="LH309" i="2"/>
  <c r="LH294" i="2"/>
  <c r="KQ294" i="1"/>
  <c r="KQ309" i="1"/>
  <c r="LG309" i="2"/>
  <c r="LG294" i="2"/>
  <c r="GJ309" i="2"/>
  <c r="GJ294" i="2"/>
  <c r="IV309" i="2"/>
  <c r="IV294" i="2"/>
  <c r="GV294" i="2"/>
  <c r="GV309" i="2"/>
  <c r="LA294" i="2"/>
  <c r="LA309" i="2"/>
  <c r="IM294" i="2"/>
  <c r="IM309" i="2"/>
  <c r="GG309" i="1"/>
  <c r="GG294" i="1"/>
  <c r="P302" i="2"/>
  <c r="P303" i="2" s="1"/>
  <c r="P289" i="2"/>
  <c r="L302" i="2"/>
  <c r="L303" i="2" s="1"/>
  <c r="L289" i="2"/>
  <c r="KC309" i="1"/>
  <c r="KC294" i="1"/>
  <c r="F302" i="1"/>
  <c r="F303" i="1" s="1"/>
  <c r="F289" i="1"/>
  <c r="IS309" i="1"/>
  <c r="IS294" i="1"/>
  <c r="HJ309" i="1"/>
  <c r="HJ294" i="1"/>
  <c r="Z309" i="1"/>
  <c r="Z294" i="1"/>
  <c r="LJ309" i="2"/>
  <c r="LJ294" i="2"/>
  <c r="KU309" i="1"/>
  <c r="KU294" i="1"/>
  <c r="E302" i="1"/>
  <c r="E303" i="1" s="1"/>
  <c r="E289" i="1"/>
  <c r="JL309" i="2"/>
  <c r="JL294" i="2"/>
  <c r="GS294" i="1"/>
  <c r="GS309" i="1"/>
  <c r="MD309" i="2"/>
  <c r="MD294" i="2"/>
  <c r="LB294" i="2"/>
  <c r="LB309" i="2"/>
  <c r="U303" i="2"/>
  <c r="X289" i="2"/>
  <c r="X302" i="2"/>
  <c r="X303" i="2" s="1"/>
  <c r="KR309" i="1"/>
  <c r="KR294" i="1"/>
  <c r="KI309" i="2"/>
  <c r="KI294" i="2"/>
  <c r="HZ309" i="2"/>
  <c r="HZ294" i="2"/>
  <c r="J302" i="1"/>
  <c r="J303" i="1" s="1"/>
  <c r="J289" i="1"/>
  <c r="HA309" i="2"/>
  <c r="HA294" i="2"/>
  <c r="HY309" i="1"/>
  <c r="HY294" i="1"/>
  <c r="M302" i="2"/>
  <c r="M289" i="2"/>
  <c r="HQ309" i="2"/>
  <c r="HQ294" i="2"/>
  <c r="LZ309" i="2"/>
  <c r="LZ294" i="2"/>
  <c r="LL309" i="2"/>
  <c r="LL294" i="2"/>
  <c r="LI309" i="1"/>
  <c r="LI294" i="1"/>
  <c r="GO309" i="1"/>
  <c r="GO294" i="1"/>
  <c r="JB309" i="1"/>
  <c r="JB294" i="1"/>
  <c r="V302" i="2"/>
  <c r="V303" i="2" s="1"/>
  <c r="V289" i="2"/>
  <c r="KM309" i="2"/>
  <c r="KM294" i="2"/>
  <c r="IK294" i="1"/>
  <c r="IK309" i="1"/>
  <c r="R302" i="2"/>
  <c r="R303" i="2" s="1"/>
  <c r="R289" i="2"/>
  <c r="II309" i="1"/>
  <c r="II294" i="1"/>
  <c r="LL309" i="1"/>
  <c r="LL294" i="1"/>
  <c r="LH309" i="1"/>
  <c r="LH294" i="1"/>
  <c r="IN294" i="2"/>
  <c r="IN309" i="2"/>
  <c r="GP294" i="1"/>
  <c r="GP309" i="1"/>
  <c r="KO309" i="2"/>
  <c r="KO294" i="2"/>
  <c r="IZ303" i="1"/>
  <c r="IZ317" i="1" s="1"/>
  <c r="GA309" i="2"/>
  <c r="GA294" i="2"/>
  <c r="LI309" i="2"/>
  <c r="LI294" i="2"/>
  <c r="Z289" i="2"/>
  <c r="Z302" i="2"/>
  <c r="IE294" i="2"/>
  <c r="IE309" i="2"/>
  <c r="FY309" i="2"/>
  <c r="FY294" i="2"/>
  <c r="LD309" i="2"/>
  <c r="LD294" i="2"/>
  <c r="D289" i="2"/>
  <c r="D302" i="2"/>
  <c r="D303" i="2" s="1"/>
  <c r="IB309" i="2"/>
  <c r="IB294" i="2"/>
  <c r="KL309" i="1"/>
  <c r="KL294" i="1"/>
  <c r="KX294" i="1"/>
  <c r="KX309" i="1"/>
  <c r="MF309" i="2"/>
  <c r="MF294" i="2"/>
  <c r="JQ309" i="2"/>
  <c r="JQ294" i="2"/>
  <c r="K302" i="1"/>
  <c r="K303" i="1" s="1"/>
  <c r="K289" i="1"/>
  <c r="GQ309" i="1"/>
  <c r="GQ294" i="1"/>
  <c r="MB309" i="2"/>
  <c r="MB294" i="2"/>
  <c r="HW294" i="1"/>
  <c r="HW309" i="1"/>
  <c r="KH309" i="2"/>
  <c r="KH294" i="2"/>
  <c r="LM294" i="2"/>
  <c r="LM309" i="2"/>
  <c r="JY309" i="1"/>
  <c r="JY294" i="1"/>
  <c r="HF309" i="2"/>
  <c r="HF294" i="2"/>
  <c r="JR309" i="2"/>
  <c r="JR294" i="2"/>
  <c r="LT309" i="1"/>
  <c r="LT294" i="1"/>
  <c r="IC294" i="2"/>
  <c r="IC309" i="2"/>
  <c r="LR309" i="1"/>
  <c r="LR294" i="1"/>
  <c r="JZ309" i="1"/>
  <c r="JZ294" i="1"/>
  <c r="LM309" i="1"/>
  <c r="LM294" i="1"/>
  <c r="LS309" i="1"/>
  <c r="LS294" i="1"/>
  <c r="GB309" i="2"/>
  <c r="GB294" i="2"/>
  <c r="IW309" i="2"/>
  <c r="IW294" i="2"/>
  <c r="JG294" i="2"/>
  <c r="JG309" i="2"/>
  <c r="GS294" i="2"/>
  <c r="GS309" i="2"/>
  <c r="IG309" i="1"/>
  <c r="IG294" i="1"/>
  <c r="GR294" i="1"/>
  <c r="GR309" i="1"/>
  <c r="FW294" i="2"/>
  <c r="FW309" i="2"/>
  <c r="GU294" i="2"/>
  <c r="GU309" i="2"/>
  <c r="GE309" i="2"/>
  <c r="GE294" i="2"/>
  <c r="LN294" i="2"/>
  <c r="LN309" i="2"/>
  <c r="Y289" i="2"/>
  <c r="Y302" i="2"/>
  <c r="Y303" i="2" s="1"/>
  <c r="JP294" i="1"/>
  <c r="JP309" i="1"/>
  <c r="LO309" i="1"/>
  <c r="LO294" i="1"/>
  <c r="X294" i="1"/>
  <c r="LQ309" i="1"/>
  <c r="LQ294" i="1"/>
  <c r="HG309" i="1"/>
  <c r="HG294" i="1"/>
  <c r="KP309" i="1"/>
  <c r="KP294" i="1"/>
  <c r="W309" i="2" l="1"/>
  <c r="W294" i="2"/>
  <c r="B309" i="2"/>
  <c r="B294" i="2"/>
  <c r="L309" i="2"/>
  <c r="L294" i="2"/>
  <c r="L309" i="1"/>
  <c r="L294" i="1"/>
  <c r="M309" i="2"/>
  <c r="M294" i="2"/>
  <c r="J309" i="2"/>
  <c r="J294" i="2"/>
  <c r="C309" i="1"/>
  <c r="C294" i="1"/>
  <c r="G309" i="2"/>
  <c r="G294" i="2"/>
  <c r="I309" i="1"/>
  <c r="I294" i="1"/>
  <c r="F309" i="1"/>
  <c r="F294" i="1"/>
  <c r="R309" i="2"/>
  <c r="R294" i="2"/>
  <c r="E309" i="1"/>
  <c r="E294" i="1"/>
  <c r="H309" i="1"/>
  <c r="H294" i="1"/>
  <c r="M309" i="1"/>
  <c r="M294" i="1"/>
  <c r="F309" i="2"/>
  <c r="F294" i="2"/>
  <c r="P309" i="2"/>
  <c r="P294" i="2"/>
  <c r="U309" i="2"/>
  <c r="U294" i="2"/>
  <c r="S309" i="2"/>
  <c r="S294" i="2"/>
  <c r="Y309" i="2"/>
  <c r="Y294" i="2"/>
  <c r="X309" i="2"/>
  <c r="X294" i="2"/>
  <c r="I309" i="2"/>
  <c r="I294" i="2"/>
  <c r="O309" i="2"/>
  <c r="O294" i="2"/>
  <c r="Y309" i="1"/>
  <c r="Y294" i="1"/>
  <c r="Z309" i="2"/>
  <c r="Z294" i="2"/>
  <c r="J309" i="1"/>
  <c r="J294" i="1"/>
  <c r="K309" i="1"/>
  <c r="K294" i="1"/>
  <c r="E309" i="2"/>
  <c r="E294" i="2"/>
  <c r="D309" i="2"/>
  <c r="D294" i="2"/>
  <c r="V309" i="2"/>
  <c r="V294" i="2"/>
  <c r="N309" i="1"/>
  <c r="N294" i="1"/>
  <c r="C309" i="2"/>
  <c r="C29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andersonb</author>
  </authors>
  <commentList>
    <comment ref="HR293" authorId="0" shapeId="0" xr:uid="{95D08AD8-E11A-454F-9064-C335C3D23723}">
      <text>
        <r>
          <rPr>
            <b/>
            <sz val="8"/>
            <color indexed="81"/>
            <rFont val="Tahoma"/>
            <family val="2"/>
          </rPr>
          <t>andersonb:</t>
        </r>
        <r>
          <rPr>
            <sz val="8"/>
            <color indexed="81"/>
            <rFont val="Tahoma"/>
            <family val="2"/>
          </rPr>
          <t xml:space="preserve">
Includes only 3824904030 starting July 2010</t>
        </r>
      </text>
    </comment>
  </commentList>
</comments>
</file>

<file path=xl/sharedStrings.xml><?xml version="1.0" encoding="utf-8"?>
<sst xmlns="http://schemas.openxmlformats.org/spreadsheetml/2006/main" count="1744" uniqueCount="622">
  <si>
    <t>US BIODIESEL IMPORTS (Million Gallons)</t>
  </si>
  <si>
    <t>1,000 Gallons</t>
  </si>
  <si>
    <t xml:space="preserve"> European Union-28</t>
  </si>
  <si>
    <t>Austria</t>
  </si>
  <si>
    <t>Belgium</t>
  </si>
  <si>
    <t>Belgium-Luxembourg</t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</si>
  <si>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</si>
  <si>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</si>
  <si>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</si>
  <si>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</si>
  <si>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</si>
  <si>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</si>
  <si>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</si>
  <si>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</si>
  <si>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</si>
  <si>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</si>
  <si>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</si>
  <si>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</si>
  <si>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</si>
  <si>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</si>
  <si>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</si>
  <si>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</si>
  <si>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</si>
  <si>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</si>
  <si>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</si>
  <si>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</si>
  <si>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</si>
  <si>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</si>
  <si>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</si>
  <si>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</si>
  <si>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</si>
  <si>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</si>
  <si>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</si>
  <si>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</si>
  <si>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</si>
  <si>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</si>
  <si>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</si>
  <si>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</si>
  <si>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</si>
  <si>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</si>
  <si>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</si>
  <si>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</si>
  <si>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</si>
  <si>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</si>
  <si>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</si>
  <si>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</si>
  <si>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</si>
  <si>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</si>
  <si>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</si>
  <si>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</si>
  <si>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</si>
  <si>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</si>
  <si>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</si>
  <si>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</si>
  <si>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</si>
  <si>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</si>
  <si>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</si>
  <si>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</si>
  <si>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</si>
  <si>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</si>
  <si>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</si>
  <si>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</si>
  <si>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</si>
  <si>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</si>
  <si>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</si>
  <si>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</si>
  <si>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</si>
  <si>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</si>
  <si>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</si>
  <si>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</si>
  <si>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</si>
  <si>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</si>
  <si>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</si>
  <si>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</si>
  <si>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</si>
  <si>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</si>
  <si>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</si>
  <si>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</si>
  <si>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</si>
  <si>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</si>
  <si>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</si>
  <si>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</si>
  <si>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</si>
  <si>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China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</si>
  <si>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</si>
  <si>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</si>
  <si>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</si>
  <si>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</si>
  <si>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</si>
  <si>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</si>
  <si>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</si>
  <si>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</si>
  <si>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</si>
  <si>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</si>
  <si>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</si>
  <si>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</si>
  <si>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</si>
  <si>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</si>
  <si>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Indonesia</t>
  </si>
  <si>
    <t>Iran</t>
  </si>
  <si>
    <t>Iraq</t>
  </si>
  <si>
    <t>Iraq-Saudi Arabia Neutral Zone</t>
  </si>
  <si>
    <t>Israel</t>
  </si>
  <si>
    <t>Japan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</si>
  <si>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</si>
  <si>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</si>
  <si>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</si>
  <si>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</si>
  <si>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</si>
  <si>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</si>
  <si>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</si>
  <si>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</si>
  <si>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Malaysia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</si>
  <si>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</si>
  <si>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</si>
  <si>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</si>
  <si>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</si>
  <si>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</si>
  <si>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</si>
  <si>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</si>
  <si>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</si>
  <si>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</si>
  <si>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</si>
  <si>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</si>
  <si>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</si>
  <si>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</si>
  <si>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</si>
  <si>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</si>
  <si>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</si>
  <si>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</si>
  <si>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</si>
  <si>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Philippines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</si>
  <si>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</si>
  <si>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</si>
  <si>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</si>
  <si>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</si>
  <si>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</si>
  <si>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</si>
  <si>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</si>
  <si>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</si>
  <si>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</si>
  <si>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</si>
  <si>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</si>
  <si>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Thailand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</si>
  <si>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</si>
  <si>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</si>
  <si>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</si>
  <si>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</si>
  <si>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</si>
  <si>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</si>
  <si>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</si>
  <si>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</si>
  <si>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</si>
  <si>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</si>
  <si>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</si>
  <si>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</si>
  <si>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</si>
  <si>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</si>
  <si>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</si>
  <si>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</si>
  <si>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</si>
  <si>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</si>
  <si>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</si>
  <si>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</si>
  <si>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</si>
  <si>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</si>
  <si>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</si>
  <si>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</si>
  <si>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</si>
  <si>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</si>
  <si>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</si>
  <si>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</si>
  <si>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</si>
  <si>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</si>
  <si>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</si>
  <si>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</si>
  <si>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</si>
  <si>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</si>
  <si>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</si>
  <si>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</si>
  <si>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</si>
  <si>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</si>
  <si>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</si>
  <si>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</si>
  <si>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</si>
  <si>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</si>
  <si>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</si>
  <si>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</si>
  <si>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</si>
  <si>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</si>
  <si>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</si>
  <si>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</si>
  <si>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</si>
  <si>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</si>
  <si>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</si>
  <si>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</si>
  <si>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</si>
  <si>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</si>
  <si>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</si>
  <si>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</si>
  <si>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</si>
  <si>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</si>
  <si>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</si>
  <si>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</si>
  <si>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</si>
  <si>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</si>
  <si>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</si>
  <si>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</si>
  <si>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</si>
  <si>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</si>
  <si>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</si>
  <si>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</si>
  <si>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</si>
  <si>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</si>
  <si>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</si>
  <si>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</si>
  <si>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</si>
  <si>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</si>
  <si>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</si>
  <si>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</si>
  <si>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</si>
  <si>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</si>
  <si>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</si>
  <si>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</si>
  <si>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</si>
  <si>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</si>
  <si>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</si>
  <si>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</si>
  <si>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</si>
  <si>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</si>
  <si>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</si>
  <si>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</si>
  <si>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</si>
  <si>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</si>
  <si>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</si>
  <si>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</si>
  <si>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</si>
  <si>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</si>
  <si>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</si>
  <si>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</si>
  <si>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</si>
  <si>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</si>
  <si>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</si>
  <si>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</si>
  <si>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</si>
  <si>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</si>
  <si>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</si>
  <si>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</si>
  <si>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</si>
  <si>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</si>
  <si>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</si>
  <si>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</si>
  <si>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</si>
  <si>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</si>
  <si>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</si>
  <si>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</si>
  <si>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</si>
  <si>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</si>
  <si>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</si>
  <si>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</si>
  <si>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</si>
  <si>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</si>
  <si>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</si>
  <si>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</si>
  <si>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</si>
  <si>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</si>
  <si>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</si>
  <si>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Peru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</si>
  <si>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</si>
  <si>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</si>
  <si>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</si>
  <si>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</si>
  <si>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</si>
  <si>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</si>
  <si>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</si>
  <si>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</si>
  <si>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</si>
  <si>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</si>
  <si>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</si>
  <si>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</si>
  <si>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</si>
  <si>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</si>
  <si>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</si>
  <si>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</si>
  <si>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Census</t>
  </si>
  <si>
    <t>&lt;= Old Conversion Factor</t>
  </si>
  <si>
    <t>EU-28</t>
  </si>
  <si>
    <t>Others</t>
  </si>
  <si>
    <t>Total</t>
  </si>
  <si>
    <t xml:space="preserve"> Forecast Total</t>
  </si>
  <si>
    <t>Others Excl Argentina</t>
  </si>
  <si>
    <t>Total (1,000 Tonnes)</t>
  </si>
  <si>
    <t>EIA</t>
  </si>
  <si>
    <t>US BIODIESEL EXPORTS (Million Gallons)</t>
  </si>
  <si>
    <t>Sheet Name</t>
  </si>
  <si>
    <t>HS Code</t>
  </si>
  <si>
    <t>Reporting Country</t>
  </si>
  <si>
    <t>Flow Type</t>
  </si>
  <si>
    <t>Conversion (Multiply By)</t>
  </si>
  <si>
    <t>Sunflower Imports</t>
  </si>
  <si>
    <t>('1206')</t>
  </si>
  <si>
    <t>United States</t>
  </si>
  <si>
    <t>import</t>
  </si>
  <si>
    <t>Sunflower Exports</t>
  </si>
  <si>
    <t>export</t>
  </si>
  <si>
    <t>Sunflower Meal Imports</t>
  </si>
  <si>
    <t>('230630')</t>
  </si>
  <si>
    <t>Sunflower Meal Exports</t>
  </si>
  <si>
    <t>Sunflower Oil Imports</t>
  </si>
  <si>
    <t>('151211', '151219')</t>
  </si>
  <si>
    <t>Sunflower Oil Exports</t>
  </si>
  <si>
    <t>Canola Imports</t>
  </si>
  <si>
    <t>('1205')</t>
  </si>
  <si>
    <t>Canola Exports</t>
  </si>
  <si>
    <t>Canola Meal Imports</t>
  </si>
  <si>
    <t>('230641')</t>
  </si>
  <si>
    <t>Canola Meal Exports</t>
  </si>
  <si>
    <t>Canola Oil Imports</t>
  </si>
  <si>
    <t>('151411', '151419', '151491', '151499')</t>
  </si>
  <si>
    <t>Canola Oil Exports</t>
  </si>
  <si>
    <t>Cottonseed Imports</t>
  </si>
  <si>
    <t>('120721', '120729')</t>
  </si>
  <si>
    <t>Cottonseed Exports</t>
  </si>
  <si>
    <t>Cottonseed Meal Imports</t>
  </si>
  <si>
    <t>('23061')</t>
  </si>
  <si>
    <t>Cottonseed Meal Exports</t>
  </si>
  <si>
    <t>Cottonseed Oil Imports</t>
  </si>
  <si>
    <t>('151221', '151229')</t>
  </si>
  <si>
    <t>Cottonseed Oil Exports</t>
  </si>
  <si>
    <t>Peanut Imports</t>
  </si>
  <si>
    <t>('120242', '200811', '120241', '120230')</t>
  </si>
  <si>
    <t>Peanut Exports</t>
  </si>
  <si>
    <t>Peanut Meal Imports</t>
  </si>
  <si>
    <t>('2305')</t>
  </si>
  <si>
    <t>Peanut Meal Exports</t>
  </si>
  <si>
    <t>Peanut Oil Imports</t>
  </si>
  <si>
    <t>('150890', '150810')</t>
  </si>
  <si>
    <t>Peanut Oil Exports</t>
  </si>
  <si>
    <t>Flaxseed Imports</t>
  </si>
  <si>
    <t>('1204')</t>
  </si>
  <si>
    <t>Flaxseed Exports</t>
  </si>
  <si>
    <t>Linseed Meal Imports</t>
  </si>
  <si>
    <t>('23062')</t>
  </si>
  <si>
    <t>Linseed Meal Exports</t>
  </si>
  <si>
    <t>Linseed Oil Imports</t>
  </si>
  <si>
    <t>('151511', '151519')</t>
  </si>
  <si>
    <t>Linseed Oil Exports</t>
  </si>
  <si>
    <t>Palm Oil Imports</t>
  </si>
  <si>
    <t>('151190', '151110')</t>
  </si>
  <si>
    <t>Palm Oil Exports</t>
  </si>
  <si>
    <t>Palm Kernel Oil Imports</t>
  </si>
  <si>
    <t>('151321', '151329')</t>
  </si>
  <si>
    <t>Palm Kernel Oil Exports</t>
  </si>
  <si>
    <t>Coconut Oil Imports</t>
  </si>
  <si>
    <t>('151311', '151319')</t>
  </si>
  <si>
    <t>Coconut Oil Exports</t>
  </si>
  <si>
    <t>Meat and Bone Meal Imports</t>
  </si>
  <si>
    <t>('230110')</t>
  </si>
  <si>
    <t>Meat and Bone Meal Exports</t>
  </si>
  <si>
    <t>Edible Tallow Imports</t>
  </si>
  <si>
    <t>('1502100020')</t>
  </si>
  <si>
    <t>Edible Tallow Exports</t>
  </si>
  <si>
    <t>Yellow Grease Imports</t>
  </si>
  <si>
    <t>('1501200060')</t>
  </si>
  <si>
    <t>Yellow Grease Exports</t>
  </si>
  <si>
    <t>Inedible Tallow Imports</t>
  </si>
  <si>
    <t>('1502100040')</t>
  </si>
  <si>
    <t>Inedible Tallow Exports</t>
  </si>
  <si>
    <t>DCO Imports</t>
  </si>
  <si>
    <t>('151521', '151529')</t>
  </si>
  <si>
    <t>DCO Exports</t>
  </si>
  <si>
    <t>CWG Imports</t>
  </si>
  <si>
    <t>('1501200040')</t>
  </si>
  <si>
    <t>CWG Exports</t>
  </si>
  <si>
    <t>Lard Imports</t>
  </si>
  <si>
    <t>('15011')</t>
  </si>
  <si>
    <t>Lard Exports</t>
  </si>
  <si>
    <t>Other Grease Imports</t>
  </si>
  <si>
    <t>('1503', '1501200080')</t>
  </si>
  <si>
    <t>Other Grease Exports</t>
  </si>
  <si>
    <t>Feather Meal Imports</t>
  </si>
  <si>
    <t>('0505902020')</t>
  </si>
  <si>
    <t>Feather Meal Exports</t>
  </si>
  <si>
    <t>Poultry By-Product Imports</t>
  </si>
  <si>
    <t>nan</t>
  </si>
  <si>
    <t>Poultry By-Product Exports</t>
  </si>
  <si>
    <t>Poultry Fat Imports</t>
  </si>
  <si>
    <t>('150190')</t>
  </si>
  <si>
    <t>Poultry Fat Exports</t>
  </si>
  <si>
    <t>Soybean Imports</t>
  </si>
  <si>
    <t>('120190', '120110')</t>
  </si>
  <si>
    <t>Soybean Exports</t>
  </si>
  <si>
    <t>Soymeal Imports</t>
  </si>
  <si>
    <t>('2304', '120810')</t>
  </si>
  <si>
    <t>Soymeal Exports</t>
  </si>
  <si>
    <t>Soybean Meal Hull Imports</t>
  </si>
  <si>
    <t>('230250')</t>
  </si>
  <si>
    <t>Soybean Meal Hull Exports</t>
  </si>
  <si>
    <t>Soyoil Imports</t>
  </si>
  <si>
    <t>('150710', '150790')</t>
  </si>
  <si>
    <t>Soyoil Exports</t>
  </si>
  <si>
    <t>Malaysia Palm Oil Imports</t>
  </si>
  <si>
    <t>Malaysia Palm Oil Exports</t>
  </si>
  <si>
    <t>Malaysia Palm Kernel Imports</t>
  </si>
  <si>
    <t>('120710')</t>
  </si>
  <si>
    <t>Malaysia Palm Kernel Exports</t>
  </si>
  <si>
    <t>Malaysia PKC Imports</t>
  </si>
  <si>
    <t>('230660')</t>
  </si>
  <si>
    <t>Malaysia PKC Exports</t>
  </si>
  <si>
    <t>Malaysia PKO Imports</t>
  </si>
  <si>
    <t>Malaysia PKO Exports</t>
  </si>
  <si>
    <t>Indonesia Palm Oil Imports</t>
  </si>
  <si>
    <t>Indonesia Palm Oil Exports</t>
  </si>
  <si>
    <t>Indonesia Palm Kernel Imports</t>
  </si>
  <si>
    <t>Indonesia Palm Kernel Exports</t>
  </si>
  <si>
    <t>Indonesia PKC Imports</t>
  </si>
  <si>
    <t>Indonesia PKC Exports</t>
  </si>
  <si>
    <t>Indonesia PKO Imports</t>
  </si>
  <si>
    <t>Indonesia PKO Exports</t>
  </si>
  <si>
    <t>Philippines Copra Imports</t>
  </si>
  <si>
    <t>('1203')</t>
  </si>
  <si>
    <t>Philippines Copra Exports</t>
  </si>
  <si>
    <t>Philippines Copra Meal Imports</t>
  </si>
  <si>
    <t>('230650')</t>
  </si>
  <si>
    <t>Philippines Copra Meal Exports</t>
  </si>
  <si>
    <t>Philippines Coconut Oil Imports</t>
  </si>
  <si>
    <t>Philippines Coconut Oil Exports</t>
  </si>
  <si>
    <t>Indonesia Copra Imports</t>
  </si>
  <si>
    <t>Indonesia Copra Exports</t>
  </si>
  <si>
    <t>Indonesia Copra Meal Imports</t>
  </si>
  <si>
    <t>Indonesia Copra Meal Exports</t>
  </si>
  <si>
    <t>Indonesia Coconut Oil Imports</t>
  </si>
  <si>
    <t>Indonesia Coconut Oil Exports</t>
  </si>
  <si>
    <t>China Meal Imports</t>
  </si>
  <si>
    <t>China Meal Exports</t>
  </si>
  <si>
    <t>China Oil Imports</t>
  </si>
  <si>
    <t>China Oil Exports</t>
  </si>
  <si>
    <t>Argentina Meal Imports</t>
  </si>
  <si>
    <t>Argentina Meal Exports</t>
  </si>
  <si>
    <t>Canada Seed Imports</t>
  </si>
  <si>
    <t>Canada Seed Exports</t>
  </si>
  <si>
    <t>Canada Meal Imports</t>
  </si>
  <si>
    <t>Canada Meal Exports</t>
  </si>
  <si>
    <t>Canada Oil Imports</t>
  </si>
  <si>
    <t>Canada Oil Exports</t>
  </si>
  <si>
    <t>Australia Seed Imports</t>
  </si>
  <si>
    <t>Australia Seed Exports</t>
  </si>
  <si>
    <t>Australia Meal Imports</t>
  </si>
  <si>
    <t>Australia Meal Exports</t>
  </si>
  <si>
    <t>Australia Oil Imports</t>
  </si>
  <si>
    <t>Australia Oil Exports</t>
  </si>
  <si>
    <t>China Seed Imports</t>
  </si>
  <si>
    <t>China Seed Exports</t>
  </si>
  <si>
    <t>EU Seed Imports</t>
  </si>
  <si>
    <t>European Union</t>
  </si>
  <si>
    <t>EU Seed Exports</t>
  </si>
  <si>
    <t>EU Meal Imports</t>
  </si>
  <si>
    <t>EU Meal Exports</t>
  </si>
  <si>
    <t>EU Oil Imports</t>
  </si>
  <si>
    <t>EU Oil Exports</t>
  </si>
  <si>
    <t>Ukraine Seed Imports</t>
  </si>
  <si>
    <t>Ukraine Seed Exports</t>
  </si>
  <si>
    <t>Ukraine Meal Imports</t>
  </si>
  <si>
    <t>Ukraine Meal Exports</t>
  </si>
  <si>
    <t>Ukraine Oil Imports</t>
  </si>
  <si>
    <t>Ukraine Oil Exports</t>
  </si>
  <si>
    <t>Russia Seed Imports</t>
  </si>
  <si>
    <t>Russia Seed Exports</t>
  </si>
  <si>
    <t>Russia Meal Imports</t>
  </si>
  <si>
    <t>Russia Meal Exports</t>
  </si>
  <si>
    <t>Russia Oil Imports</t>
  </si>
  <si>
    <t>Russia Oil Exports</t>
  </si>
  <si>
    <t>Japan Seed Imports</t>
  </si>
  <si>
    <t>Japan Seed Exports</t>
  </si>
  <si>
    <t>Japan Meal Imports</t>
  </si>
  <si>
    <t>Japan Meal Exports</t>
  </si>
  <si>
    <t>Japan Oil Imports</t>
  </si>
  <si>
    <t>Japan Oil Exports</t>
  </si>
  <si>
    <t>India Seed Imports</t>
  </si>
  <si>
    <t>India Seed Exports</t>
  </si>
  <si>
    <t>India Meal Imports</t>
  </si>
  <si>
    <t>India Meal Exports</t>
  </si>
  <si>
    <t>India Oil Imports</t>
  </si>
  <si>
    <t>India Oil Exports</t>
  </si>
  <si>
    <t>Mexico Seed Imports</t>
  </si>
  <si>
    <t>Mexico Seed Exports</t>
  </si>
  <si>
    <t>Mexico Meal Imports</t>
  </si>
  <si>
    <t>Mexico Meal Exports</t>
  </si>
  <si>
    <t>Mexico Oil Imports</t>
  </si>
  <si>
    <t>Mexico Oil Exports</t>
  </si>
  <si>
    <t>China Soybean Imports</t>
  </si>
  <si>
    <t>China Soybean Exports</t>
  </si>
  <si>
    <t>China Soybean Meal Imports</t>
  </si>
  <si>
    <t>('2304', '120810', '230250')</t>
  </si>
  <si>
    <t>China Soybean Meal Exports</t>
  </si>
  <si>
    <t>China Soybean Oil Imports</t>
  </si>
  <si>
    <t>China Soybean Oil Exports</t>
  </si>
  <si>
    <t>Brazil Soybean Imports</t>
  </si>
  <si>
    <t>Brazil Soybean Exports</t>
  </si>
  <si>
    <t>Brazil Soybean Meal Imports</t>
  </si>
  <si>
    <t>Brazil Soybean Meal Exports</t>
  </si>
  <si>
    <t>Brazil Soybean Oil Imports</t>
  </si>
  <si>
    <t>Brazil Soybean Oil Exports</t>
  </si>
  <si>
    <t>Argentina Soybean Imports</t>
  </si>
  <si>
    <t>Argentina Soybean Exports</t>
  </si>
  <si>
    <t>Argentina Soybean Meal Imports</t>
  </si>
  <si>
    <t>Argentina Soybean Meal Exports</t>
  </si>
  <si>
    <t>Argentina Soybean Oil Imports</t>
  </si>
  <si>
    <t>Argentina Soybean Oil Exports</t>
  </si>
  <si>
    <t>Paraguay Soybean Imports</t>
  </si>
  <si>
    <t>Paraguay Soybean Exports</t>
  </si>
  <si>
    <t>Paraguay Soybean Meal Imports</t>
  </si>
  <si>
    <t>Paraguay Soybean Meal Exports</t>
  </si>
  <si>
    <t>Paraguay Soybean Oil Imports</t>
  </si>
  <si>
    <t>Paraguay Soybean Oil Exports</t>
  </si>
  <si>
    <t>Uruguay Soybean Imports</t>
  </si>
  <si>
    <t>Uruguay Soybean Exports</t>
  </si>
  <si>
    <t>Uruguay Soybean Meal Imports</t>
  </si>
  <si>
    <t>Uruguay Soybean Meal Exports</t>
  </si>
  <si>
    <t>Uruguay Soybean Oil Imports</t>
  </si>
  <si>
    <t>Uruguay Soybean Oil Exports</t>
  </si>
  <si>
    <t>EU Soybean Imports</t>
  </si>
  <si>
    <t>EU Soybean Exports</t>
  </si>
  <si>
    <t>EU Soybean Meal Imports</t>
  </si>
  <si>
    <t>EU Soybean Meal Exports</t>
  </si>
  <si>
    <t>EU Soybean Oil Imports</t>
  </si>
  <si>
    <t>EU Soybean Oil Exports</t>
  </si>
  <si>
    <t>Canada Soybean Imports</t>
  </si>
  <si>
    <t>Canada Soybean Exports</t>
  </si>
  <si>
    <t>Canada Soybean Meal Imports</t>
  </si>
  <si>
    <t>Canada Soybean Meal Exports</t>
  </si>
  <si>
    <t>Canada Soybean Oil Imports</t>
  </si>
  <si>
    <t>Canada Soybean Oil Exports</t>
  </si>
  <si>
    <t>Ukraine Soybean Imports</t>
  </si>
  <si>
    <t>Ukraine Soybean Exports</t>
  </si>
  <si>
    <t>Ukraine Soybean Meal Imports</t>
  </si>
  <si>
    <t>Ukraine Soybean Meal Exports</t>
  </si>
  <si>
    <t>Ukraine Soybean Oil Imports</t>
  </si>
  <si>
    <t>Ukraine Soybean Oil Exports</t>
  </si>
  <si>
    <t>Russia Soybean Imports</t>
  </si>
  <si>
    <t>Russia Soybean Exports</t>
  </si>
  <si>
    <t>Russia Soybean Meal Imports</t>
  </si>
  <si>
    <t>Russia Soybean Meal Exports</t>
  </si>
  <si>
    <t>Russia Soybean Oil Imports</t>
  </si>
  <si>
    <t>Russia Soybean Oil Exports</t>
  </si>
  <si>
    <t>India Soybean Imports</t>
  </si>
  <si>
    <t>India Soybean Exports</t>
  </si>
  <si>
    <t>India Soybean Meal Imports</t>
  </si>
  <si>
    <t>India Soybean Meal Exports</t>
  </si>
  <si>
    <t>India Soybean Oil Imports</t>
  </si>
  <si>
    <t>India Soybean Oil Exports</t>
  </si>
  <si>
    <t>Japan Soybean Imports</t>
  </si>
  <si>
    <t>Japan Soybean Exports</t>
  </si>
  <si>
    <t>Japan Soybean Meal Imports</t>
  </si>
  <si>
    <t>Japan Soybean Meal Exports</t>
  </si>
  <si>
    <t>Japan Soybean Oil Imports</t>
  </si>
  <si>
    <t>Japan Soybean Oil Exports</t>
  </si>
  <si>
    <t>Mexico Soybean Imports</t>
  </si>
  <si>
    <t>Mexico Soybean Exports</t>
  </si>
  <si>
    <t>Mexico Soybean Meal Imports</t>
  </si>
  <si>
    <t>Mexico Soybean Meal Exports</t>
  </si>
  <si>
    <t>Mexico Soybean Oil Imports</t>
  </si>
  <si>
    <t>Mexico Soybean Oil Exports</t>
  </si>
  <si>
    <t>Argentina Sunflower Imports</t>
  </si>
  <si>
    <t>Argentina Sunflower Exports</t>
  </si>
  <si>
    <t>Argentina Sun Meal Imports</t>
  </si>
  <si>
    <t>('23063')</t>
  </si>
  <si>
    <t>Argentina Sun Meal Exports</t>
  </si>
  <si>
    <t>Argentina Sun Oil Imports</t>
  </si>
  <si>
    <t>Argentina Sun Oil Exports</t>
  </si>
  <si>
    <t>EU Sunflower Imports</t>
  </si>
  <si>
    <t>EU Sunflower Exports</t>
  </si>
  <si>
    <t>EU Sun Meal Imports</t>
  </si>
  <si>
    <t>EU Sun Meal Exports</t>
  </si>
  <si>
    <t>EU Sun Oil Imports</t>
  </si>
  <si>
    <t>EU Sun Oil Exports</t>
  </si>
  <si>
    <t>Ukraine Sunflower Imports</t>
  </si>
  <si>
    <t>Ukraine Sunflower Exports</t>
  </si>
  <si>
    <t>Ukraine Sun Meal Imports</t>
  </si>
  <si>
    <t>Ukraine Sun Meal Exports</t>
  </si>
  <si>
    <t>Ukraine Sun Oil Imports</t>
  </si>
  <si>
    <t>Ukraine Sun Oil Exports</t>
  </si>
  <si>
    <t>Russia Sunflower Imports</t>
  </si>
  <si>
    <t>Russia Sunflower Exports</t>
  </si>
  <si>
    <t>Russia Sun Meal Imports</t>
  </si>
  <si>
    <t>Russia Sun Meal Exports</t>
  </si>
  <si>
    <t>Russia Sun Oil Imports</t>
  </si>
  <si>
    <t>Russia Sun Oil Exports</t>
  </si>
  <si>
    <t>India Sunflower Imports</t>
  </si>
  <si>
    <t>India Sunflower Exports</t>
  </si>
  <si>
    <t>India Sun Meal Imports</t>
  </si>
  <si>
    <t>India Sun Meal Exports</t>
  </si>
  <si>
    <t>India Sun Oil Imports</t>
  </si>
  <si>
    <t>India Sun Oil Exports</t>
  </si>
  <si>
    <t>China Sunflower Imports</t>
  </si>
  <si>
    <t>China Sunflower Exports</t>
  </si>
  <si>
    <t>China Sun Meal Imports</t>
  </si>
  <si>
    <t>China Sun Meal Exports</t>
  </si>
  <si>
    <t>China Sun Oil Imports</t>
  </si>
  <si>
    <t>China Sun Oil Exports</t>
  </si>
  <si>
    <t>Canada Sunflower Imports</t>
  </si>
  <si>
    <t>Canada Sunflower Exports</t>
  </si>
  <si>
    <t>Canada Sun Meal Imports</t>
  </si>
  <si>
    <t>Canada Sun Meal Exports</t>
  </si>
  <si>
    <t>Canada Sun Oil Imports</t>
  </si>
  <si>
    <t>Canada Sun Oil Exports</t>
  </si>
  <si>
    <t>Mexico Sunflower Imports</t>
  </si>
  <si>
    <t>Mexico Sunflower Exports</t>
  </si>
  <si>
    <t>Mexico Sun Meal Imports</t>
  </si>
  <si>
    <t>Mexico Sun Meal Exports</t>
  </si>
  <si>
    <t>Mexico Sun Oil Imports</t>
  </si>
  <si>
    <t>Mexico Sun Oil Exports</t>
  </si>
  <si>
    <t>Turkey Sunflower Imports</t>
  </si>
  <si>
    <t>Turkey Sunflower Exports</t>
  </si>
  <si>
    <t>Turkey Sun Meal Imports</t>
  </si>
  <si>
    <t>Turkey Sun Meal Exports</t>
  </si>
  <si>
    <t>Turkey Sun Oil Imports</t>
  </si>
  <si>
    <t>Turkey Sun Oil Exports</t>
  </si>
  <si>
    <t>US Biodiesel Imports</t>
  </si>
  <si>
    <t>('3826001000','3826003000')</t>
  </si>
  <si>
    <t>US Biodiesel Exports</t>
  </si>
  <si>
    <t>('3826')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</si>
</sst>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;\-#,##0;\-\-\-"/>
    <numFmt numFmtId="165" formatCode="#,##0.000;\-#,##0.000;\-\-\-"/>
    <numFmt numFmtId="166" formatCode="#,##0.0_);[Red]\(#,##0.0\)"/>
    <numFmt numFmtId="167" formatCode="\'@\'"/>
    <numFmt numFmtId="168" formatCode="0.00000000"/>
    <numFmt numFmtId="169" formatCode="0.0000000000"/>
    <numFmt numFmtId="170" formatCode="0.00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Helvetica-Normal"/>
    </font>
    <font>
      <sz val="10"/>
      <name val="Helvetica"/>
      <family val="2"/>
    </font>
    <font>
      <sz val="10"/>
      <name val="Arial Narrow"/>
      <family val="2"/>
    </font>
    <font>
      <sz val="10"/>
      <color indexed="10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Arial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1" quotePrefix="1" applyNumberFormat="1" applyFont="1" applyAlignment="1">
      <alignment horizontal="left"/>
    </xf>
    <xf numFmtId="0" fontId="3" fillId="0" borderId="0" xfId="1" applyNumberFormat="1" applyFont="1"/>
    <xf numFmtId="0" fontId="2" fillId="0" borderId="0" xfId="1" applyNumberFormat="1" applyFont="1"/>
    <xf numFmtId="17" fontId="2" fillId="0" borderId="0" xfId="1" quotePrefix="1" applyNumberFormat="1" applyFont="1" applyAlignment="1">
      <alignment horizontal="right"/>
    </xf>
    <xf numFmtId="0" fontId="4" fillId="0" borderId="0" xfId="1" applyNumberFormat="1" applyFont="1" applyAlignment="1">
      <alignment horizontal="right"/>
    </xf>
    <xf numFmtId="0" fontId="3" fillId="0" borderId="0" xfId="1" applyNumberFormat="1" applyFont="1" applyAlignment="1">
      <alignment horizontal="right"/>
    </xf>
    <xf numFmtId="17" fontId="2" fillId="0" borderId="0" xfId="1" applyNumberFormat="1" applyFont="1" applyAlignment="1">
      <alignment horizontal="right"/>
    </xf>
    <xf numFmtId="17" fontId="3" fillId="0" borderId="0" xfId="1" applyNumberFormat="1" applyFont="1" applyAlignment="1">
      <alignment horizontal="right"/>
    </xf>
    <xf numFmtId="164" fontId="2" fillId="0" borderId="0" xfId="1" quotePrefix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2" fillId="0" borderId="0" xfId="1" quotePrefix="1" applyNumberFormat="1" applyFont="1" applyAlignment="1">
      <alignment horizontal="left"/>
    </xf>
    <xf numFmtId="164" fontId="4" fillId="0" borderId="0" xfId="1" applyNumberFormat="1" applyFont="1"/>
    <xf numFmtId="164" fontId="3" fillId="0" borderId="0" xfId="1" applyNumberFormat="1" applyFont="1"/>
    <xf numFmtId="164" fontId="2" fillId="0" borderId="0" xfId="1" applyNumberFormat="1" applyFont="1" applyAlignment="1">
      <alignment horizontal="left"/>
    </xf>
    <xf numFmtId="164" fontId="4" fillId="0" borderId="1" xfId="1" applyNumberFormat="1" applyFont="1" applyBorder="1"/>
    <xf numFmtId="164" fontId="2" fillId="0" borderId="0" xfId="0" applyNumberFormat="1" applyFont="1"/>
    <xf numFmtId="164" fontId="3" fillId="0" borderId="0" xfId="0" applyNumberFormat="1" applyFont="1"/>
    <xf numFmtId="164" fontId="2" fillId="0" borderId="0" xfId="1" applyNumberFormat="1" applyFont="1"/>
    <xf numFmtId="164" fontId="4" fillId="0" borderId="0" xfId="1" quotePrefix="1" applyNumberFormat="1" applyFont="1"/>
    <xf numFmtId="164" fontId="3" fillId="0" borderId="0" xfId="1" quotePrefix="1" applyNumberFormat="1" applyFont="1"/>
    <xf numFmtId="164" fontId="4" fillId="0" borderId="0" xfId="1" quotePrefix="1" applyNumberFormat="1" applyFont="1" applyAlignment="1">
      <alignment horizontal="left"/>
    </xf>
    <xf numFmtId="164" fontId="5" fillId="0" borderId="0" xfId="1" applyNumberFormat="1" applyFont="1" applyAlignment="1">
      <alignment horizontal="right"/>
    </xf>
    <xf numFmtId="165" fontId="4" fillId="0" borderId="0" xfId="1" applyNumberFormat="1" applyFont="1"/>
    <xf numFmtId="164" fontId="3" fillId="0" borderId="0" xfId="1" applyNumberFormat="1" applyFont="1" applyAlignment="1">
      <alignment horizontal="left"/>
    </xf>
    <xf numFmtId="166" fontId="3" fillId="0" borderId="0" xfId="1" applyNumberFormat="1" applyFont="1"/>
    <xf numFmtId="38" fontId="3" fillId="0" borderId="0" xfId="1" applyNumberFormat="1" applyFont="1"/>
    <xf numFmtId="0" fontId="8" fillId="0" borderId="0" xfId="0" applyFont="1"/>
    <xf numFmtId="0" fontId="9" fillId="0" borderId="2" xfId="0" applyFont="1" applyBorder="1" applyAlignment="1">
      <alignment horizontal="center" vertical="top"/>
    </xf>
    <xf numFmtId="167" fontId="0" fillId="0" borderId="0" xfId="0" applyNumberFormat="1"/>
    <xf numFmtId="168" fontId="8" fillId="0" borderId="0" xfId="0" applyNumberFormat="1" applyFont="1"/>
    <xf numFmtId="169" fontId="8" fillId="0" borderId="0" xfId="0" applyNumberFormat="1" applyFont="1"/>
    <xf numFmtId="170" fontId="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b\biodies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USProd"/>
      <sheetName val="QuartUSProd"/>
      <sheetName val="MonthUSProd"/>
      <sheetName val="USProdwSoyoilPercent"/>
      <sheetName val="USProdwMarginForecast"/>
      <sheetName val="USProdwMargin"/>
      <sheetName val="AnnualProdwSoyoiluse"/>
      <sheetName val="MonthlyProdwSoyoiluse"/>
      <sheetName val="UnusedCapacity"/>
      <sheetName val="BiodieselCapacitywUtil"/>
      <sheetName val="AnnualBiomassProdwRFS"/>
      <sheetName val="MonthlyUSStocks"/>
      <sheetName val="MonthlyUSExports"/>
      <sheetName val="Biodiesel"/>
      <sheetName val="Chart1"/>
      <sheetName val="Sheet4"/>
      <sheetName val="RINdata"/>
      <sheetName val="Breakdown"/>
      <sheetName val="SoyoilusevsMargins"/>
      <sheetName val="Tables"/>
      <sheetName val="Sheet3"/>
      <sheetName val="Sheet2"/>
      <sheetName val="MonthlyEPAProd"/>
      <sheetName val="MonthlyProd"/>
      <sheetName val="Chart21"/>
      <sheetName val="Chart22"/>
      <sheetName val="OPIS"/>
      <sheetName val="Chart23"/>
      <sheetName val="Chart24"/>
      <sheetName val="Chart25"/>
      <sheetName val="Chart26"/>
      <sheetName val="CCC Bioenergy Program"/>
      <sheetName val="Bioenergy Program Participants"/>
      <sheetName val="Chart27"/>
      <sheetName val="Chart28"/>
      <sheetName val="Misc Calcs"/>
      <sheetName val="Sheet1"/>
      <sheetName val="Breakdown-Old"/>
      <sheetName val="Chart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11">
          <cell r="X211">
            <v>8.7940210185882304</v>
          </cell>
        </row>
        <row r="212">
          <cell r="X212">
            <v>26.324483516470629</v>
          </cell>
        </row>
      </sheetData>
      <sheetData sheetId="18"/>
      <sheetData sheetId="19">
        <row r="32">
          <cell r="K32">
            <v>-344.4412149191071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97F6-77F7-4CC0-8493-6142C3AB6063}">
  <sheetPr codeName="Sheet1"/>
  <dimension ref="A1:MC324"/>
  <sheetViews>
    <sheetView tabSelected="1" zoomScaleNormal="100" workbookViewId="0">
      <pane xSplit="1" ySplit="2" topLeftCell="LA253" activePane="bottomRight" state="frozen"/>
      <selection activeCell="LQ290" sqref="LQ290"/>
      <selection pane="topRight" activeCell="LQ290" sqref="LQ290"/>
      <selection pane="bottomLeft" activeCell="LQ290" sqref="LQ290"/>
      <selection pane="bottomRight" activeCell="LQ290" sqref="LQ290"/>
    </sheetView>
  </sheetViews>
  <sheetFormatPr defaultColWidth="7.7109375" defaultRowHeight="12.75"/>
  <cols>
    <col min="1" max="1" width="20.7109375" style="26" customWidth="1"/>
    <col min="2" max="16384" width="7.7109375" style="26"/>
  </cols>
  <sheetData>
    <row r="1" spans="1:341" s="2" customFormat="1">
      <c r="A1" s="1" t="s">
        <v>0</v>
      </c>
      <c r="AB1" s="3" t="s">
        <v>1</v>
      </c>
    </row>
    <row r="2" spans="1:341" s="8" customFormat="1">
      <c r="A2" s="4"/>
      <c r="B2" s="5">
        <v>1994</v>
      </c>
      <c r="C2" s="5">
        <v>1995</v>
      </c>
      <c r="D2" s="5">
        <v>1996</v>
      </c>
      <c r="E2" s="5">
        <v>1997</v>
      </c>
      <c r="F2" s="5">
        <v>1998</v>
      </c>
      <c r="G2" s="5">
        <v>1999</v>
      </c>
      <c r="H2" s="5">
        <v>2000</v>
      </c>
      <c r="I2" s="5">
        <v>2001</v>
      </c>
      <c r="J2" s="5">
        <v>2002</v>
      </c>
      <c r="K2" s="5">
        <v>2003</v>
      </c>
      <c r="L2" s="5">
        <v>2004</v>
      </c>
      <c r="M2" s="5">
        <v>2005</v>
      </c>
      <c r="N2" s="5">
        <v>2006</v>
      </c>
      <c r="O2" s="5">
        <v>2007</v>
      </c>
      <c r="P2" s="5">
        <v>2008</v>
      </c>
      <c r="Q2" s="5">
        <v>2009</v>
      </c>
      <c r="R2" s="5">
        <v>2010</v>
      </c>
      <c r="S2" s="5">
        <v>2011</v>
      </c>
      <c r="T2" s="5">
        <v>2012</v>
      </c>
      <c r="U2" s="5">
        <v>2013</v>
      </c>
      <c r="V2" s="5">
        <v>2014</v>
      </c>
      <c r="W2" s="5">
        <v>2015</v>
      </c>
      <c r="X2" s="5">
        <v>2016</v>
      </c>
      <c r="Y2" s="5">
        <v>2017</v>
      </c>
      <c r="Z2" s="5">
        <v>2018</v>
      </c>
      <c r="AA2" s="6"/>
      <c r="AB2" s="7">
        <v>34335</v>
      </c>
      <c r="AC2" s="7">
        <v>34366</v>
      </c>
      <c r="AD2" s="7">
        <v>34394</v>
      </c>
      <c r="AE2" s="7">
        <v>34425</v>
      </c>
      <c r="AF2" s="7">
        <v>34455</v>
      </c>
      <c r="AG2" s="7">
        <v>34486</v>
      </c>
      <c r="AH2" s="7">
        <v>34516</v>
      </c>
      <c r="AI2" s="7">
        <v>34547</v>
      </c>
      <c r="AJ2" s="7">
        <v>34578</v>
      </c>
      <c r="AK2" s="7">
        <v>34608</v>
      </c>
      <c r="AL2" s="7">
        <v>34639</v>
      </c>
      <c r="AM2" s="7">
        <v>34669</v>
      </c>
      <c r="AN2" s="7">
        <v>34700</v>
      </c>
      <c r="AO2" s="7">
        <v>34731</v>
      </c>
      <c r="AP2" s="7">
        <v>34759</v>
      </c>
      <c r="AQ2" s="7">
        <v>34790</v>
      </c>
      <c r="AR2" s="7">
        <v>34820</v>
      </c>
      <c r="AS2" s="7">
        <v>34851</v>
      </c>
      <c r="AT2" s="7">
        <v>34881</v>
      </c>
      <c r="AU2" s="7">
        <v>34912</v>
      </c>
      <c r="AV2" s="7">
        <v>34943</v>
      </c>
      <c r="AW2" s="7">
        <v>34973</v>
      </c>
      <c r="AX2" s="7">
        <v>35004</v>
      </c>
      <c r="AY2" s="7">
        <v>35034</v>
      </c>
      <c r="AZ2" s="7">
        <v>35065</v>
      </c>
      <c r="BA2" s="7">
        <v>35096</v>
      </c>
      <c r="BB2" s="7">
        <v>35125</v>
      </c>
      <c r="BC2" s="7">
        <v>35156</v>
      </c>
      <c r="BD2" s="7">
        <v>35186</v>
      </c>
      <c r="BE2" s="7">
        <v>35217</v>
      </c>
      <c r="BF2" s="7">
        <v>35247</v>
      </c>
      <c r="BG2" s="7">
        <v>35278</v>
      </c>
      <c r="BH2" s="7">
        <v>35309</v>
      </c>
      <c r="BI2" s="7">
        <v>35339</v>
      </c>
      <c r="BJ2" s="7">
        <v>35370</v>
      </c>
      <c r="BK2" s="7">
        <v>35400</v>
      </c>
      <c r="BL2" s="7">
        <v>35431</v>
      </c>
      <c r="BM2" s="7">
        <v>35462</v>
      </c>
      <c r="BN2" s="7">
        <v>35490</v>
      </c>
      <c r="BO2" s="7">
        <v>35521</v>
      </c>
      <c r="BP2" s="7">
        <v>35551</v>
      </c>
      <c r="BQ2" s="7">
        <v>35582</v>
      </c>
      <c r="BR2" s="7">
        <v>35612</v>
      </c>
      <c r="BS2" s="7">
        <v>35643</v>
      </c>
      <c r="BT2" s="7">
        <v>35674</v>
      </c>
      <c r="BU2" s="7">
        <v>35704</v>
      </c>
      <c r="BV2" s="7">
        <v>35735</v>
      </c>
      <c r="BW2" s="7">
        <v>35765</v>
      </c>
      <c r="BX2" s="7">
        <v>35796</v>
      </c>
      <c r="BY2" s="7">
        <v>35827</v>
      </c>
      <c r="BZ2" s="7">
        <v>35855</v>
      </c>
      <c r="CA2" s="7">
        <v>35886</v>
      </c>
      <c r="CB2" s="7">
        <v>35916</v>
      </c>
      <c r="CC2" s="7">
        <v>35947</v>
      </c>
      <c r="CD2" s="7">
        <v>35977</v>
      </c>
      <c r="CE2" s="7">
        <v>36008</v>
      </c>
      <c r="CF2" s="7">
        <v>36039</v>
      </c>
      <c r="CG2" s="7">
        <v>36069</v>
      </c>
      <c r="CH2" s="7">
        <v>36100</v>
      </c>
      <c r="CI2" s="7">
        <v>36130</v>
      </c>
      <c r="CJ2" s="7">
        <v>36161</v>
      </c>
      <c r="CK2" s="7">
        <v>36192</v>
      </c>
      <c r="CL2" s="7">
        <v>36220</v>
      </c>
      <c r="CM2" s="7">
        <v>36251</v>
      </c>
      <c r="CN2" s="7">
        <v>36281</v>
      </c>
      <c r="CO2" s="7">
        <v>36312</v>
      </c>
      <c r="CP2" s="7">
        <v>36342</v>
      </c>
      <c r="CQ2" s="7">
        <v>36373</v>
      </c>
      <c r="CR2" s="7">
        <v>36404</v>
      </c>
      <c r="CS2" s="7">
        <v>36434</v>
      </c>
      <c r="CT2" s="7">
        <v>36465</v>
      </c>
      <c r="CU2" s="7">
        <v>36495</v>
      </c>
      <c r="CV2" s="7">
        <v>36526</v>
      </c>
      <c r="CW2" s="7">
        <v>36557</v>
      </c>
      <c r="CX2" s="7">
        <v>36586</v>
      </c>
      <c r="CY2" s="7">
        <v>36617</v>
      </c>
      <c r="CZ2" s="7">
        <v>36647</v>
      </c>
      <c r="DA2" s="7">
        <v>36678</v>
      </c>
      <c r="DB2" s="7">
        <v>36708</v>
      </c>
      <c r="DC2" s="7">
        <v>36739</v>
      </c>
      <c r="DD2" s="7">
        <v>36770</v>
      </c>
      <c r="DE2" s="7">
        <v>36800</v>
      </c>
      <c r="DF2" s="7">
        <v>36831</v>
      </c>
      <c r="DG2" s="7">
        <v>36861</v>
      </c>
      <c r="DH2" s="7">
        <v>36892</v>
      </c>
      <c r="DI2" s="7">
        <v>36923</v>
      </c>
      <c r="DJ2" s="7">
        <v>36951</v>
      </c>
      <c r="DK2" s="7">
        <v>36982</v>
      </c>
      <c r="DL2" s="7">
        <v>37012</v>
      </c>
      <c r="DM2" s="7">
        <v>37043</v>
      </c>
      <c r="DN2" s="7">
        <v>37073</v>
      </c>
      <c r="DO2" s="7">
        <v>37104</v>
      </c>
      <c r="DP2" s="7">
        <v>37135</v>
      </c>
      <c r="DQ2" s="7">
        <v>37165</v>
      </c>
      <c r="DR2" s="7">
        <v>37196</v>
      </c>
      <c r="DS2" s="7">
        <v>37226</v>
      </c>
      <c r="DT2" s="7">
        <v>37257</v>
      </c>
      <c r="DU2" s="7">
        <v>37288</v>
      </c>
      <c r="DV2" s="7">
        <v>37316</v>
      </c>
      <c r="DW2" s="7">
        <v>37347</v>
      </c>
      <c r="DX2" s="7">
        <v>37377</v>
      </c>
      <c r="DY2" s="7">
        <v>37408</v>
      </c>
      <c r="DZ2" s="7">
        <v>37438</v>
      </c>
      <c r="EA2" s="7">
        <v>37469</v>
      </c>
      <c r="EB2" s="7">
        <v>37500</v>
      </c>
      <c r="EC2" s="7">
        <v>37530</v>
      </c>
      <c r="ED2" s="7">
        <v>37561</v>
      </c>
      <c r="EE2" s="7">
        <v>37591</v>
      </c>
      <c r="EF2" s="7">
        <v>37622</v>
      </c>
      <c r="EG2" s="7">
        <v>37653</v>
      </c>
      <c r="EH2" s="7">
        <v>37681</v>
      </c>
      <c r="EI2" s="7">
        <v>37712</v>
      </c>
      <c r="EJ2" s="7">
        <v>37742</v>
      </c>
      <c r="EK2" s="7">
        <v>37773</v>
      </c>
      <c r="EL2" s="7">
        <v>37803</v>
      </c>
      <c r="EM2" s="7">
        <v>37834</v>
      </c>
      <c r="EN2" s="7">
        <v>37865</v>
      </c>
      <c r="EO2" s="7">
        <v>37895</v>
      </c>
      <c r="EP2" s="7">
        <v>37926</v>
      </c>
      <c r="EQ2" s="7">
        <v>37956</v>
      </c>
      <c r="ER2" s="7">
        <v>37987</v>
      </c>
      <c r="ES2" s="7">
        <v>38018</v>
      </c>
      <c r="ET2" s="7">
        <v>38047</v>
      </c>
      <c r="EU2" s="7">
        <v>38078</v>
      </c>
      <c r="EV2" s="7">
        <v>38108</v>
      </c>
      <c r="EW2" s="7">
        <v>38139</v>
      </c>
      <c r="EX2" s="7">
        <v>38169</v>
      </c>
      <c r="EY2" s="7">
        <v>38200</v>
      </c>
      <c r="EZ2" s="7">
        <v>38231</v>
      </c>
      <c r="FA2" s="7">
        <v>38261</v>
      </c>
      <c r="FB2" s="7">
        <v>38292</v>
      </c>
      <c r="FC2" s="7">
        <v>38322</v>
      </c>
      <c r="FD2" s="7">
        <v>38353</v>
      </c>
      <c r="FE2" s="7">
        <v>38384</v>
      </c>
      <c r="FF2" s="7">
        <v>38412</v>
      </c>
      <c r="FG2" s="7">
        <v>38443</v>
      </c>
      <c r="FH2" s="7">
        <v>38473</v>
      </c>
      <c r="FI2" s="7">
        <v>38504</v>
      </c>
      <c r="FJ2" s="7">
        <v>38534</v>
      </c>
      <c r="FK2" s="7">
        <v>38565</v>
      </c>
      <c r="FL2" s="7">
        <v>38596</v>
      </c>
      <c r="FM2" s="7">
        <v>38626</v>
      </c>
      <c r="FN2" s="7">
        <v>38657</v>
      </c>
      <c r="FO2" s="7">
        <v>38687</v>
      </c>
      <c r="FP2" s="7">
        <v>38718</v>
      </c>
      <c r="FQ2" s="7">
        <v>38749</v>
      </c>
      <c r="FR2" s="7">
        <v>38777</v>
      </c>
      <c r="FS2" s="7">
        <v>38808</v>
      </c>
      <c r="FT2" s="7">
        <v>38838</v>
      </c>
      <c r="FU2" s="7">
        <v>38869</v>
      </c>
      <c r="FV2" s="7">
        <v>38899</v>
      </c>
      <c r="FW2" s="7">
        <v>38930</v>
      </c>
      <c r="FX2" s="7">
        <v>38961</v>
      </c>
      <c r="FY2" s="7">
        <v>38991</v>
      </c>
      <c r="FZ2" s="7">
        <v>39022</v>
      </c>
      <c r="GA2" s="7">
        <v>39052</v>
      </c>
      <c r="GB2" s="7">
        <v>39083</v>
      </c>
      <c r="GC2" s="7">
        <v>39114</v>
      </c>
      <c r="GD2" s="7">
        <v>39142</v>
      </c>
      <c r="GE2" s="7">
        <v>39173</v>
      </c>
      <c r="GF2" s="7">
        <v>39203</v>
      </c>
      <c r="GG2" s="7">
        <v>39234</v>
      </c>
      <c r="GH2" s="7">
        <v>39264</v>
      </c>
      <c r="GI2" s="7">
        <v>39295</v>
      </c>
      <c r="GJ2" s="7">
        <v>39326</v>
      </c>
      <c r="GK2" s="7">
        <v>39356</v>
      </c>
      <c r="GL2" s="7">
        <v>39387</v>
      </c>
      <c r="GM2" s="7">
        <v>39417</v>
      </c>
      <c r="GN2" s="7">
        <v>39448</v>
      </c>
      <c r="GO2" s="7">
        <v>39479</v>
      </c>
      <c r="GP2" s="7">
        <v>39508</v>
      </c>
      <c r="GQ2" s="7">
        <v>39539</v>
      </c>
      <c r="GR2" s="7">
        <v>39569</v>
      </c>
      <c r="GS2" s="7">
        <v>39600</v>
      </c>
      <c r="GT2" s="7">
        <v>39630</v>
      </c>
      <c r="GU2" s="7">
        <v>39661</v>
      </c>
      <c r="GV2" s="7">
        <v>39692</v>
      </c>
      <c r="GW2" s="7">
        <v>39722</v>
      </c>
      <c r="GX2" s="7">
        <v>39753</v>
      </c>
      <c r="GY2" s="7">
        <v>39783</v>
      </c>
      <c r="GZ2" s="7">
        <v>39814</v>
      </c>
      <c r="HA2" s="7">
        <v>39845</v>
      </c>
      <c r="HB2" s="7">
        <v>39873</v>
      </c>
      <c r="HC2" s="7">
        <v>39904</v>
      </c>
      <c r="HD2" s="7">
        <v>39934</v>
      </c>
      <c r="HE2" s="7">
        <v>39965</v>
      </c>
      <c r="HF2" s="7">
        <v>39995</v>
      </c>
      <c r="HG2" s="7">
        <v>40026</v>
      </c>
      <c r="HH2" s="7">
        <v>40057</v>
      </c>
      <c r="HI2" s="7">
        <v>40087</v>
      </c>
      <c r="HJ2" s="7">
        <v>40118</v>
      </c>
      <c r="HK2" s="7">
        <v>40148</v>
      </c>
      <c r="HL2" s="7">
        <v>40179</v>
      </c>
      <c r="HM2" s="7">
        <v>40210</v>
      </c>
      <c r="HN2" s="7">
        <v>40238</v>
      </c>
      <c r="HO2" s="7">
        <v>40269</v>
      </c>
      <c r="HP2" s="7">
        <v>40299</v>
      </c>
      <c r="HQ2" s="7">
        <v>40330</v>
      </c>
      <c r="HR2" s="7">
        <v>40360</v>
      </c>
      <c r="HS2" s="7">
        <v>40391</v>
      </c>
      <c r="HT2" s="7">
        <v>40422</v>
      </c>
      <c r="HU2" s="7">
        <v>40452</v>
      </c>
      <c r="HV2" s="7">
        <v>40483</v>
      </c>
      <c r="HW2" s="7">
        <v>40513</v>
      </c>
      <c r="HX2" s="7">
        <v>40544</v>
      </c>
      <c r="HY2" s="7">
        <v>40575</v>
      </c>
      <c r="HZ2" s="7">
        <v>40603</v>
      </c>
      <c r="IA2" s="7">
        <v>40634</v>
      </c>
      <c r="IB2" s="7">
        <v>40664</v>
      </c>
      <c r="IC2" s="7">
        <v>40695</v>
      </c>
      <c r="ID2" s="7">
        <v>40725</v>
      </c>
      <c r="IE2" s="7">
        <v>40756</v>
      </c>
      <c r="IF2" s="7">
        <v>40787</v>
      </c>
      <c r="IG2" s="7">
        <v>40817</v>
      </c>
      <c r="IH2" s="7">
        <v>40848</v>
      </c>
      <c r="II2" s="7">
        <v>40878</v>
      </c>
      <c r="IJ2" s="7">
        <v>40909</v>
      </c>
      <c r="IK2" s="7">
        <v>40940</v>
      </c>
      <c r="IL2" s="7">
        <v>40969</v>
      </c>
      <c r="IM2" s="7">
        <v>41000</v>
      </c>
      <c r="IN2" s="7">
        <v>41030</v>
      </c>
      <c r="IO2" s="7">
        <v>41061</v>
      </c>
      <c r="IP2" s="7">
        <v>41091</v>
      </c>
      <c r="IQ2" s="7">
        <v>41122</v>
      </c>
      <c r="IR2" s="7">
        <v>41153</v>
      </c>
      <c r="IS2" s="7">
        <v>41183</v>
      </c>
      <c r="IT2" s="7">
        <v>41214</v>
      </c>
      <c r="IU2" s="7">
        <v>41244</v>
      </c>
      <c r="IV2" s="7">
        <v>41275</v>
      </c>
      <c r="IW2" s="7">
        <v>41306</v>
      </c>
      <c r="IX2" s="7">
        <v>41334</v>
      </c>
      <c r="IY2" s="7">
        <v>41365</v>
      </c>
      <c r="IZ2" s="7">
        <v>41395</v>
      </c>
      <c r="JA2" s="7">
        <v>41426</v>
      </c>
      <c r="JB2" s="7">
        <v>41456</v>
      </c>
      <c r="JC2" s="7">
        <v>41487</v>
      </c>
      <c r="JD2" s="7">
        <v>41518</v>
      </c>
      <c r="JE2" s="7">
        <v>41548</v>
      </c>
      <c r="JF2" s="7">
        <v>41579</v>
      </c>
      <c r="JG2" s="7">
        <v>41609</v>
      </c>
      <c r="JH2" s="7">
        <v>41640</v>
      </c>
      <c r="JI2" s="7">
        <v>41671</v>
      </c>
      <c r="JJ2" s="7">
        <v>41699</v>
      </c>
      <c r="JK2" s="7">
        <v>41730</v>
      </c>
      <c r="JL2" s="7">
        <v>41760</v>
      </c>
      <c r="JM2" s="7">
        <v>41791</v>
      </c>
      <c r="JN2" s="7">
        <v>41821</v>
      </c>
      <c r="JO2" s="7">
        <v>41852</v>
      </c>
      <c r="JP2" s="7">
        <v>41883</v>
      </c>
      <c r="JQ2" s="7">
        <v>41913</v>
      </c>
      <c r="JR2" s="7">
        <v>41944</v>
      </c>
      <c r="JS2" s="7">
        <v>41974</v>
      </c>
      <c r="JT2" s="7">
        <v>42005</v>
      </c>
      <c r="JU2" s="7">
        <v>42036</v>
      </c>
      <c r="JV2" s="7">
        <v>42064</v>
      </c>
      <c r="JW2" s="7">
        <v>42095</v>
      </c>
      <c r="JX2" s="7">
        <v>42125</v>
      </c>
      <c r="JY2" s="7">
        <v>42156</v>
      </c>
      <c r="JZ2" s="7">
        <v>42186</v>
      </c>
      <c r="KA2" s="7">
        <v>42217</v>
      </c>
      <c r="KB2" s="7">
        <v>42248</v>
      </c>
      <c r="KC2" s="7">
        <v>42278</v>
      </c>
      <c r="KD2" s="7">
        <v>42309</v>
      </c>
      <c r="KE2" s="7">
        <v>42339</v>
      </c>
      <c r="KF2" s="7">
        <v>42370</v>
      </c>
      <c r="KG2" s="7">
        <v>42401</v>
      </c>
      <c r="KH2" s="7">
        <v>42430</v>
      </c>
      <c r="KI2" s="7">
        <v>42461</v>
      </c>
      <c r="KJ2" s="7">
        <v>42491</v>
      </c>
      <c r="KK2" s="7">
        <v>42522</v>
      </c>
      <c r="KL2" s="7">
        <v>42552</v>
      </c>
      <c r="KM2" s="7">
        <v>42583</v>
      </c>
      <c r="KN2" s="7">
        <v>42614</v>
      </c>
      <c r="KO2" s="7">
        <v>42644</v>
      </c>
      <c r="KP2" s="7">
        <v>42675</v>
      </c>
      <c r="KQ2" s="7">
        <v>42705</v>
      </c>
      <c r="KR2" s="7">
        <v>42736</v>
      </c>
      <c r="KS2" s="7">
        <v>42767</v>
      </c>
      <c r="KT2" s="7">
        <v>42795</v>
      </c>
      <c r="KU2" s="7">
        <v>42826</v>
      </c>
      <c r="KV2" s="7">
        <v>42856</v>
      </c>
      <c r="KW2" s="7">
        <v>42887</v>
      </c>
      <c r="KX2" s="7">
        <v>42917</v>
      </c>
      <c r="KY2" s="7">
        <v>42948</v>
      </c>
      <c r="KZ2" s="7">
        <v>42979</v>
      </c>
      <c r="LA2" s="7">
        <v>43009</v>
      </c>
      <c r="LB2" s="7">
        <v>43040</v>
      </c>
      <c r="LC2" s="7">
        <v>43070</v>
      </c>
      <c r="LD2" s="7">
        <v>43101</v>
      </c>
      <c r="LE2" s="7">
        <v>43132</v>
      </c>
      <c r="LF2" s="7">
        <v>43160</v>
      </c>
      <c r="LG2" s="7">
        <v>43191</v>
      </c>
      <c r="LH2" s="7">
        <v>43221</v>
      </c>
      <c r="LI2" s="7">
        <v>43252</v>
      </c>
      <c r="LJ2" s="7">
        <v>43282</v>
      </c>
      <c r="LK2" s="7">
        <v>43313</v>
      </c>
      <c r="LL2" s="7">
        <v>43344</v>
      </c>
      <c r="LM2" s="7">
        <v>43374</v>
      </c>
      <c r="LN2" s="7">
        <v>43405</v>
      </c>
      <c r="LO2" s="7">
        <v>43435</v>
      </c>
      <c r="LP2" s="7">
        <v>43466</v>
      </c>
      <c r="LQ2" s="7">
        <v>43497</v>
      </c>
      <c r="LR2" s="7">
        <v>43525</v>
      </c>
      <c r="LS2" s="7">
        <v>43556</v>
      </c>
      <c r="LT2" s="7">
        <v>43586</v>
      </c>
      <c r="LU2" s="7">
        <v>43617</v>
      </c>
      <c r="LV2" s="7">
        <v>43647</v>
      </c>
      <c r="LW2" s="7">
        <v>43678</v>
      </c>
      <c r="LX2" s="7">
        <v>43709</v>
      </c>
      <c r="LY2" s="7">
        <v>43739</v>
      </c>
      <c r="LZ2" s="7">
        <v>43770</v>
      </c>
      <c r="MA2" s="7">
        <v>43800</v>
      </c>
      <c r="MB2" s="7">
        <v>43831</v>
      </c>
      <c r="MC2" s="7">
        <v>43862</v>
      </c>
    </row>
    <row r="3" spans="1:341" s="11" customForma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341" s="14" customFormat="1">
      <c r="A4" s="12" t="s">
        <v>2</v>
      </c>
      <c r="B4" s="13">
        <f t="shared" ref="B4:C4" si="0">SUM(B5:B35)</f>
        <v>0</v>
      </c>
      <c r="C4" s="13">
        <f t="shared" si="0"/>
        <v>0</v>
      </c>
      <c r="D4" s="13">
        <f t="shared" ref="D4:Z4" si="1">SUM(D5:D35)</f>
        <v>0</v>
      </c>
      <c r="E4" s="13">
        <f t="shared" si="1"/>
        <v>0</v>
      </c>
      <c r="F4" s="13">
        <f t="shared" si="1"/>
        <v>0</v>
      </c>
      <c r="G4" s="13">
        <f t="shared" si="1"/>
        <v>0.6608966839999999</v>
      </c>
      <c r="H4" s="13">
        <f t="shared" si="1"/>
        <v>2.2548527992941172</v>
      </c>
      <c r="I4" s="13">
        <f t="shared" si="1"/>
        <v>1.7072419856470586</v>
      </c>
      <c r="J4" s="13">
        <f t="shared" si="1"/>
        <v>4.6712049670588227</v>
      </c>
      <c r="K4" s="13">
        <f t="shared" si="1"/>
        <v>1.0832042759999996</v>
      </c>
      <c r="L4" s="13">
        <f t="shared" si="1"/>
        <v>1.9037559388235292</v>
      </c>
      <c r="M4" s="13">
        <f t="shared" si="1"/>
        <v>2.5297821310588233</v>
      </c>
      <c r="N4" s="13">
        <f t="shared" si="1"/>
        <v>2.975231049411764</v>
      </c>
      <c r="O4" s="13">
        <f t="shared" si="1"/>
        <v>2.1995787470588231</v>
      </c>
      <c r="P4" s="13">
        <f t="shared" si="1"/>
        <v>2.8171322743529408</v>
      </c>
      <c r="Q4" s="13">
        <f t="shared" si="1"/>
        <v>2.030442452705882</v>
      </c>
      <c r="R4" s="13">
        <f t="shared" si="1"/>
        <v>1.6726884983529404</v>
      </c>
      <c r="S4" s="13">
        <f t="shared" si="1"/>
        <v>12.67262835341176</v>
      </c>
      <c r="T4" s="13">
        <f t="shared" si="1"/>
        <v>3.8486843021176451</v>
      </c>
      <c r="U4" s="13">
        <f t="shared" si="1"/>
        <v>61.026822115058799</v>
      </c>
      <c r="V4" s="13">
        <f t="shared" si="1"/>
        <v>9.3184328687058766</v>
      </c>
      <c r="W4" s="13">
        <f t="shared" si="1"/>
        <v>3.4964440362352929</v>
      </c>
      <c r="X4" s="13">
        <f t="shared" si="1"/>
        <v>25.22598193659864</v>
      </c>
      <c r="Y4" s="13">
        <f t="shared" si="1"/>
        <v>16.882965281142859</v>
      </c>
      <c r="Z4" s="13">
        <f t="shared" si="1"/>
        <v>8.9069999999999996E-2</v>
      </c>
      <c r="AB4" s="13">
        <f t="shared" ref="AB4:CM4" si="2">SUM(AB5:AB35)</f>
        <v>0</v>
      </c>
      <c r="AC4" s="13">
        <f t="shared" si="2"/>
        <v>0</v>
      </c>
      <c r="AD4" s="13">
        <f t="shared" si="2"/>
        <v>0</v>
      </c>
      <c r="AE4" s="13">
        <f t="shared" si="2"/>
        <v>0</v>
      </c>
      <c r="AF4" s="13">
        <f t="shared" si="2"/>
        <v>0</v>
      </c>
      <c r="AG4" s="13">
        <f t="shared" si="2"/>
        <v>0</v>
      </c>
      <c r="AH4" s="13">
        <f t="shared" si="2"/>
        <v>0</v>
      </c>
      <c r="AI4" s="13">
        <f t="shared" si="2"/>
        <v>0</v>
      </c>
      <c r="AJ4" s="13">
        <f t="shared" si="2"/>
        <v>0</v>
      </c>
      <c r="AK4" s="13">
        <f t="shared" si="2"/>
        <v>0</v>
      </c>
      <c r="AL4" s="13">
        <f t="shared" si="2"/>
        <v>0</v>
      </c>
      <c r="AM4" s="13">
        <f t="shared" si="2"/>
        <v>0</v>
      </c>
      <c r="AN4" s="13">
        <f t="shared" si="2"/>
        <v>0</v>
      </c>
      <c r="AO4" s="13">
        <f t="shared" si="2"/>
        <v>0</v>
      </c>
      <c r="AP4" s="13">
        <f t="shared" si="2"/>
        <v>0</v>
      </c>
      <c r="AQ4" s="13">
        <f t="shared" si="2"/>
        <v>0</v>
      </c>
      <c r="AR4" s="13">
        <f t="shared" si="2"/>
        <v>0</v>
      </c>
      <c r="AS4" s="13">
        <f t="shared" si="2"/>
        <v>0</v>
      </c>
      <c r="AT4" s="13">
        <f t="shared" si="2"/>
        <v>0</v>
      </c>
      <c r="AU4" s="13">
        <f t="shared" si="2"/>
        <v>0</v>
      </c>
      <c r="AV4" s="13">
        <f t="shared" si="2"/>
        <v>0</v>
      </c>
      <c r="AW4" s="13">
        <f t="shared" si="2"/>
        <v>0</v>
      </c>
      <c r="AX4" s="13">
        <f t="shared" si="2"/>
        <v>0</v>
      </c>
      <c r="AY4" s="13">
        <f t="shared" si="2"/>
        <v>0</v>
      </c>
      <c r="AZ4" s="13">
        <f t="shared" si="2"/>
        <v>0</v>
      </c>
      <c r="BA4" s="13">
        <f t="shared" si="2"/>
        <v>0</v>
      </c>
      <c r="BB4" s="13">
        <f t="shared" si="2"/>
        <v>0</v>
      </c>
      <c r="BC4" s="13">
        <f t="shared" si="2"/>
        <v>0</v>
      </c>
      <c r="BD4" s="13">
        <f t="shared" si="2"/>
        <v>0</v>
      </c>
      <c r="BE4" s="13">
        <f t="shared" si="2"/>
        <v>0</v>
      </c>
      <c r="BF4" s="13">
        <f t="shared" si="2"/>
        <v>0</v>
      </c>
      <c r="BG4" s="13">
        <f t="shared" si="2"/>
        <v>0</v>
      </c>
      <c r="BH4" s="13">
        <f t="shared" si="2"/>
        <v>0</v>
      </c>
      <c r="BI4" s="13">
        <f t="shared" si="2"/>
        <v>0</v>
      </c>
      <c r="BJ4" s="13">
        <f t="shared" si="2"/>
        <v>0</v>
      </c>
      <c r="BK4" s="13">
        <f t="shared" si="2"/>
        <v>0</v>
      </c>
      <c r="BL4" s="13">
        <f t="shared" si="2"/>
        <v>0</v>
      </c>
      <c r="BM4" s="13">
        <f t="shared" si="2"/>
        <v>0</v>
      </c>
      <c r="BN4" s="13">
        <f t="shared" si="2"/>
        <v>0</v>
      </c>
      <c r="BO4" s="13">
        <f t="shared" si="2"/>
        <v>0</v>
      </c>
      <c r="BP4" s="13">
        <f t="shared" si="2"/>
        <v>0</v>
      </c>
      <c r="BQ4" s="13">
        <f t="shared" si="2"/>
        <v>0</v>
      </c>
      <c r="BR4" s="13">
        <f t="shared" si="2"/>
        <v>0</v>
      </c>
      <c r="BS4" s="13">
        <f t="shared" si="2"/>
        <v>0</v>
      </c>
      <c r="BT4" s="13">
        <f t="shared" si="2"/>
        <v>0</v>
      </c>
      <c r="BU4" s="13">
        <f t="shared" si="2"/>
        <v>0</v>
      </c>
      <c r="BV4" s="13">
        <f t="shared" si="2"/>
        <v>0</v>
      </c>
      <c r="BW4" s="13">
        <f t="shared" si="2"/>
        <v>0</v>
      </c>
      <c r="BX4" s="13">
        <f t="shared" si="2"/>
        <v>0</v>
      </c>
      <c r="BY4" s="13">
        <f t="shared" si="2"/>
        <v>0</v>
      </c>
      <c r="BZ4" s="13">
        <f t="shared" si="2"/>
        <v>0</v>
      </c>
      <c r="CA4" s="13">
        <f t="shared" si="2"/>
        <v>0</v>
      </c>
      <c r="CB4" s="13">
        <f t="shared" si="2"/>
        <v>0</v>
      </c>
      <c r="CC4" s="13">
        <f t="shared" si="2"/>
        <v>0</v>
      </c>
      <c r="CD4" s="13">
        <f t="shared" si="2"/>
        <v>0</v>
      </c>
      <c r="CE4" s="13">
        <f t="shared" si="2"/>
        <v>0</v>
      </c>
      <c r="CF4" s="13">
        <f t="shared" si="2"/>
        <v>0</v>
      </c>
      <c r="CG4" s="13">
        <f t="shared" si="2"/>
        <v>0</v>
      </c>
      <c r="CH4" s="13">
        <f t="shared" si="2"/>
        <v>0</v>
      </c>
      <c r="CI4" s="13">
        <f t="shared" si="2"/>
        <v>0</v>
      </c>
      <c r="CJ4" s="13">
        <f t="shared" si="2"/>
        <v>52.96856517647057</v>
      </c>
      <c r="CK4" s="13">
        <f t="shared" si="2"/>
        <v>87.233866588235273</v>
      </c>
      <c r="CL4" s="13">
        <f t="shared" si="2"/>
        <v>58.84755717647058</v>
      </c>
      <c r="CM4" s="13">
        <f t="shared" si="2"/>
        <v>34.034752705882347</v>
      </c>
      <c r="CN4" s="13">
        <f t="shared" ref="CN4:EY4" si="3">SUM(CN5:CN35)</f>
        <v>48.299953882352938</v>
      </c>
      <c r="CO4" s="13">
        <f t="shared" si="3"/>
        <v>31.58517270588235</v>
      </c>
      <c r="CP4" s="13">
        <f t="shared" si="3"/>
        <v>65.360558117647045</v>
      </c>
      <c r="CQ4" s="13">
        <f t="shared" si="3"/>
        <v>85.504751294117625</v>
      </c>
      <c r="CR4" s="13">
        <f t="shared" si="3"/>
        <v>44.841723294117642</v>
      </c>
      <c r="CS4" s="13">
        <f t="shared" si="3"/>
        <v>36.974248705882346</v>
      </c>
      <c r="CT4" s="13">
        <f t="shared" si="3"/>
        <v>43.919528470588226</v>
      </c>
      <c r="CU4" s="13">
        <f t="shared" si="3"/>
        <v>71.326005882352931</v>
      </c>
      <c r="CV4" s="13">
        <f t="shared" si="3"/>
        <v>36.02323529411764</v>
      </c>
      <c r="CW4" s="13">
        <f t="shared" si="3"/>
        <v>49.337423058823525</v>
      </c>
      <c r="CX4" s="13">
        <f t="shared" si="3"/>
        <v>54.985866352941173</v>
      </c>
      <c r="CY4" s="13">
        <f t="shared" si="3"/>
        <v>51.902277411764693</v>
      </c>
      <c r="CZ4" s="13">
        <f t="shared" si="3"/>
        <v>54.957047764705869</v>
      </c>
      <c r="DA4" s="13">
        <f t="shared" si="3"/>
        <v>244.92918141176466</v>
      </c>
      <c r="DB4" s="13">
        <f t="shared" si="3"/>
        <v>122.42136282352939</v>
      </c>
      <c r="DC4" s="13">
        <f t="shared" si="3"/>
        <v>1053.2041256470586</v>
      </c>
      <c r="DD4" s="13">
        <f t="shared" si="3"/>
        <v>129.28018682352939</v>
      </c>
      <c r="DE4" s="13">
        <f t="shared" si="3"/>
        <v>183.74731858823526</v>
      </c>
      <c r="DF4" s="13">
        <f t="shared" si="3"/>
        <v>142.13327717647059</v>
      </c>
      <c r="DG4" s="13">
        <f t="shared" si="3"/>
        <v>131.93149694117645</v>
      </c>
      <c r="DH4" s="13">
        <f t="shared" si="3"/>
        <v>96.974549411764698</v>
      </c>
      <c r="DI4" s="13">
        <f t="shared" si="3"/>
        <v>31.239349647058816</v>
      </c>
      <c r="DJ4" s="13">
        <f t="shared" si="3"/>
        <v>213.86274329411759</v>
      </c>
      <c r="DK4" s="13">
        <f t="shared" si="3"/>
        <v>54.899410588235284</v>
      </c>
      <c r="DL4" s="13">
        <f t="shared" si="3"/>
        <v>43.256700941176462</v>
      </c>
      <c r="DM4" s="13">
        <f t="shared" si="3"/>
        <v>41.037669647058813</v>
      </c>
      <c r="DN4" s="13">
        <f t="shared" si="3"/>
        <v>477.92746729411755</v>
      </c>
      <c r="DO4" s="13">
        <f t="shared" si="3"/>
        <v>68.444147058823518</v>
      </c>
      <c r="DP4" s="13">
        <f t="shared" si="3"/>
        <v>488.07161035294109</v>
      </c>
      <c r="DQ4" s="13">
        <f t="shared" si="3"/>
        <v>72.075289176470577</v>
      </c>
      <c r="DR4" s="13">
        <f t="shared" si="3"/>
        <v>76.34044023529411</v>
      </c>
      <c r="DS4" s="13">
        <f t="shared" si="3"/>
        <v>43.112607999999994</v>
      </c>
      <c r="DT4" s="13">
        <f t="shared" si="3"/>
        <v>500.89588211764698</v>
      </c>
      <c r="DU4" s="13">
        <f t="shared" si="3"/>
        <v>738.38986776470574</v>
      </c>
      <c r="DV4" s="13">
        <f t="shared" si="3"/>
        <v>1143.0893023529411</v>
      </c>
      <c r="DW4" s="13">
        <f t="shared" si="3"/>
        <v>366.11134494117647</v>
      </c>
      <c r="DX4" s="13">
        <f t="shared" si="3"/>
        <v>82.334706588235278</v>
      </c>
      <c r="DY4" s="13">
        <f t="shared" si="3"/>
        <v>367.20645129411758</v>
      </c>
      <c r="DZ4" s="13">
        <f t="shared" si="3"/>
        <v>219.85700964705879</v>
      </c>
      <c r="EA4" s="13">
        <f t="shared" si="3"/>
        <v>226.34119199999998</v>
      </c>
      <c r="EB4" s="13">
        <f t="shared" si="3"/>
        <v>258.56037364705878</v>
      </c>
      <c r="EC4" s="13">
        <f t="shared" si="3"/>
        <v>312.91223105882347</v>
      </c>
      <c r="ED4" s="13">
        <f t="shared" si="3"/>
        <v>408.87812988235288</v>
      </c>
      <c r="EE4" s="13">
        <f t="shared" si="3"/>
        <v>46.628475764705875</v>
      </c>
      <c r="EF4" s="13">
        <f t="shared" si="3"/>
        <v>66.138659999999987</v>
      </c>
      <c r="EG4" s="13">
        <f t="shared" si="3"/>
        <v>84.092640470588208</v>
      </c>
      <c r="EH4" s="13">
        <f t="shared" si="3"/>
        <v>126.57123952941173</v>
      </c>
      <c r="EI4" s="13">
        <f t="shared" si="3"/>
        <v>116.4847336470588</v>
      </c>
      <c r="EJ4" s="13">
        <f t="shared" si="3"/>
        <v>91.441380470588228</v>
      </c>
      <c r="EK4" s="13">
        <f t="shared" si="3"/>
        <v>91.527836235294103</v>
      </c>
      <c r="EL4" s="13">
        <f t="shared" si="3"/>
        <v>104.09274070588232</v>
      </c>
      <c r="EM4" s="13">
        <f t="shared" si="3"/>
        <v>84.640193647058808</v>
      </c>
      <c r="EN4" s="13">
        <f t="shared" si="3"/>
        <v>79.885126588235281</v>
      </c>
      <c r="EO4" s="13">
        <f t="shared" si="3"/>
        <v>86.426946117647049</v>
      </c>
      <c r="EP4" s="13">
        <f t="shared" si="3"/>
        <v>69.164611764705882</v>
      </c>
      <c r="EQ4" s="13">
        <f t="shared" si="3"/>
        <v>82.738166823529383</v>
      </c>
      <c r="ER4" s="13">
        <f t="shared" si="3"/>
        <v>111.00920188235293</v>
      </c>
      <c r="ES4" s="13">
        <f t="shared" si="3"/>
        <v>420.23265364705873</v>
      </c>
      <c r="ET4" s="13">
        <f t="shared" si="3"/>
        <v>129.91419576470585</v>
      </c>
      <c r="EU4" s="13">
        <f t="shared" si="3"/>
        <v>188.15656258823526</v>
      </c>
      <c r="EV4" s="13">
        <f t="shared" si="3"/>
        <v>75.418245411764687</v>
      </c>
      <c r="EW4" s="13">
        <f t="shared" si="3"/>
        <v>167.14781176470586</v>
      </c>
      <c r="EX4" s="13">
        <f t="shared" si="3"/>
        <v>100.77860305882351</v>
      </c>
      <c r="EY4" s="13">
        <f t="shared" si="3"/>
        <v>127.7816202352941</v>
      </c>
      <c r="EZ4" s="13">
        <f t="shared" ref="EZ4:HK4" si="4">SUM(EZ5:EZ35)</f>
        <v>90.576822823529398</v>
      </c>
      <c r="FA4" s="13">
        <f t="shared" si="4"/>
        <v>133.86234235294114</v>
      </c>
      <c r="FB4" s="13">
        <f t="shared" si="4"/>
        <v>221.70139929411764</v>
      </c>
      <c r="FC4" s="13">
        <f t="shared" si="4"/>
        <v>137.17647999999997</v>
      </c>
      <c r="FD4" s="13">
        <f t="shared" si="4"/>
        <v>128.93436376470586</v>
      </c>
      <c r="FE4" s="13">
        <f t="shared" si="4"/>
        <v>561.41491741176469</v>
      </c>
      <c r="FF4" s="13">
        <f t="shared" si="4"/>
        <v>153.86244258823527</v>
      </c>
      <c r="FG4" s="13">
        <f t="shared" si="4"/>
        <v>345.73660305882345</v>
      </c>
      <c r="FH4" s="13">
        <f t="shared" si="4"/>
        <v>140.02952023529409</v>
      </c>
      <c r="FI4" s="13">
        <f t="shared" si="4"/>
        <v>180.86545976470586</v>
      </c>
      <c r="FJ4" s="13">
        <f t="shared" si="4"/>
        <v>124.38102682352938</v>
      </c>
      <c r="FK4" s="13">
        <f t="shared" si="4"/>
        <v>190.77905411764704</v>
      </c>
      <c r="FL4" s="13">
        <f t="shared" si="4"/>
        <v>163.92012988235294</v>
      </c>
      <c r="FM4" s="13">
        <f t="shared" si="4"/>
        <v>102.24835105882352</v>
      </c>
      <c r="FN4" s="13">
        <f t="shared" si="4"/>
        <v>244.61217694117641</v>
      </c>
      <c r="FO4" s="13">
        <f t="shared" si="4"/>
        <v>192.99808541176469</v>
      </c>
      <c r="FP4" s="13">
        <f t="shared" si="4"/>
        <v>227.69566564705877</v>
      </c>
      <c r="FQ4" s="13">
        <f t="shared" si="4"/>
        <v>120.4905174117647</v>
      </c>
      <c r="FR4" s="13">
        <f t="shared" si="4"/>
        <v>293.25795388235287</v>
      </c>
      <c r="FS4" s="13">
        <f t="shared" si="4"/>
        <v>218.4448988235294</v>
      </c>
      <c r="FT4" s="13">
        <f t="shared" si="4"/>
        <v>298.73348564705873</v>
      </c>
      <c r="FU4" s="13">
        <f t="shared" si="4"/>
        <v>245.8225576470588</v>
      </c>
      <c r="FV4" s="13">
        <f t="shared" si="4"/>
        <v>277.35009317647052</v>
      </c>
      <c r="FW4" s="13">
        <f t="shared" si="4"/>
        <v>253.3730277647058</v>
      </c>
      <c r="FX4" s="13">
        <f t="shared" si="4"/>
        <v>270.03017176470581</v>
      </c>
      <c r="FY4" s="13">
        <f t="shared" si="4"/>
        <v>335.73655294117646</v>
      </c>
      <c r="FZ4" s="13">
        <f t="shared" si="4"/>
        <v>235.96660047058819</v>
      </c>
      <c r="GA4" s="13">
        <f t="shared" si="4"/>
        <v>198.32952423529406</v>
      </c>
      <c r="GB4" s="13">
        <f t="shared" si="4"/>
        <v>227.63802847058821</v>
      </c>
      <c r="GC4" s="13">
        <f t="shared" si="4"/>
        <v>239.77065411764701</v>
      </c>
      <c r="GD4" s="13">
        <f t="shared" si="4"/>
        <v>256.60070964705881</v>
      </c>
      <c r="GE4" s="13">
        <f t="shared" si="4"/>
        <v>175.10174211764701</v>
      </c>
      <c r="GF4" s="13">
        <f t="shared" si="4"/>
        <v>157.66649623529409</v>
      </c>
      <c r="GG4" s="13">
        <f t="shared" si="4"/>
        <v>161.47054988235291</v>
      </c>
      <c r="GH4" s="13">
        <f t="shared" si="4"/>
        <v>141.29753811764704</v>
      </c>
      <c r="GI4" s="13">
        <f t="shared" si="4"/>
        <v>187.66664658823524</v>
      </c>
      <c r="GJ4" s="13">
        <f t="shared" si="4"/>
        <v>203.92033035294114</v>
      </c>
      <c r="GK4" s="13">
        <f t="shared" si="4"/>
        <v>141.84509129411759</v>
      </c>
      <c r="GL4" s="13">
        <f t="shared" si="4"/>
        <v>189.10757599999994</v>
      </c>
      <c r="GM4" s="13">
        <f t="shared" si="4"/>
        <v>117.49338423529409</v>
      </c>
      <c r="GN4" s="13">
        <f t="shared" si="4"/>
        <v>147.11889294117645</v>
      </c>
      <c r="GO4" s="13">
        <f t="shared" si="4"/>
        <v>166.22561694117644</v>
      </c>
      <c r="GP4" s="13">
        <f t="shared" si="4"/>
        <v>165.13051058823527</v>
      </c>
      <c r="GQ4" s="13">
        <f t="shared" si="4"/>
        <v>150.05838894117645</v>
      </c>
      <c r="GR4" s="13">
        <f t="shared" si="4"/>
        <v>176.45621576470583</v>
      </c>
      <c r="GS4" s="13">
        <f t="shared" si="4"/>
        <v>298.90639717647053</v>
      </c>
      <c r="GT4" s="13">
        <f t="shared" si="4"/>
        <v>280.72186799999992</v>
      </c>
      <c r="GU4" s="13">
        <f t="shared" si="4"/>
        <v>316.31282447058817</v>
      </c>
      <c r="GV4" s="13">
        <f t="shared" si="4"/>
        <v>177.66659647058822</v>
      </c>
      <c r="GW4" s="13">
        <f t="shared" si="4"/>
        <v>425.65054823529408</v>
      </c>
      <c r="GX4" s="13">
        <f t="shared" si="4"/>
        <v>209.97223388235292</v>
      </c>
      <c r="GY4" s="13">
        <f t="shared" si="4"/>
        <v>302.91218094117647</v>
      </c>
      <c r="GZ4" s="13">
        <f t="shared" si="4"/>
        <v>174.03545435294114</v>
      </c>
      <c r="HA4" s="13">
        <f t="shared" si="4"/>
        <v>115.85072470588233</v>
      </c>
      <c r="HB4" s="13">
        <f t="shared" si="4"/>
        <v>131.7585854117647</v>
      </c>
      <c r="HC4" s="13">
        <f t="shared" si="4"/>
        <v>147.55117176470583</v>
      </c>
      <c r="HD4" s="13">
        <f t="shared" si="4"/>
        <v>140.89407788235292</v>
      </c>
      <c r="HE4" s="13">
        <f t="shared" si="4"/>
        <v>234.72740117647052</v>
      </c>
      <c r="HF4" s="13">
        <f t="shared" si="4"/>
        <v>132.91132894117644</v>
      </c>
      <c r="HG4" s="13">
        <f t="shared" si="4"/>
        <v>235.21731717647054</v>
      </c>
      <c r="HH4" s="13">
        <f t="shared" si="4"/>
        <v>174.00663576470583</v>
      </c>
      <c r="HI4" s="13">
        <f t="shared" si="4"/>
        <v>194.92893082352938</v>
      </c>
      <c r="HJ4" s="13">
        <f t="shared" si="4"/>
        <v>168.8769270588235</v>
      </c>
      <c r="HK4" s="13">
        <f t="shared" si="4"/>
        <v>179.68389764705876</v>
      </c>
      <c r="HL4" s="13">
        <f t="shared" ref="HL4:JW4" si="5">SUM(HL5:HL35)</f>
        <v>223.92043058823521</v>
      </c>
      <c r="HM4" s="13">
        <f t="shared" si="5"/>
        <v>183.40149552941162</v>
      </c>
      <c r="HN4" s="13">
        <f t="shared" si="5"/>
        <v>162.73856776470575</v>
      </c>
      <c r="HO4" s="13">
        <f t="shared" si="5"/>
        <v>329.1947334117645</v>
      </c>
      <c r="HP4" s="13">
        <f t="shared" si="5"/>
        <v>314.06497458823503</v>
      </c>
      <c r="HQ4" s="13">
        <f t="shared" si="5"/>
        <v>426.08282705882357</v>
      </c>
      <c r="HR4" s="13">
        <f t="shared" si="5"/>
        <v>11.440979529411759</v>
      </c>
      <c r="HS4" s="13">
        <f t="shared" si="5"/>
        <v>11.469798117647059</v>
      </c>
      <c r="HT4" s="13">
        <f t="shared" si="5"/>
        <v>3.19886329411765</v>
      </c>
      <c r="HU4" s="13">
        <f t="shared" si="5"/>
        <v>1.0662877647058799</v>
      </c>
      <c r="HV4" s="13">
        <f t="shared" si="5"/>
        <v>5.5331689411764637</v>
      </c>
      <c r="HW4" s="13">
        <f t="shared" si="5"/>
        <v>0.57637176470588214</v>
      </c>
      <c r="HX4" s="13">
        <f t="shared" si="5"/>
        <v>145.56268917647043</v>
      </c>
      <c r="HY4" s="13">
        <f t="shared" si="5"/>
        <v>142.94019764705885</v>
      </c>
      <c r="HZ4" s="13">
        <f t="shared" si="5"/>
        <v>196.11049294117609</v>
      </c>
      <c r="IA4" s="13">
        <f t="shared" si="5"/>
        <v>347.23516964705829</v>
      </c>
      <c r="IB4" s="13">
        <f t="shared" si="5"/>
        <v>301.38479576470564</v>
      </c>
      <c r="IC4" s="13">
        <f t="shared" si="5"/>
        <v>319.56932494117592</v>
      </c>
      <c r="ID4" s="13">
        <f t="shared" si="5"/>
        <v>268.156963529412</v>
      </c>
      <c r="IE4" s="13">
        <f t="shared" si="5"/>
        <v>79.42402917647054</v>
      </c>
      <c r="IF4" s="13">
        <f t="shared" si="5"/>
        <v>85.908211529411759</v>
      </c>
      <c r="IG4" s="13">
        <f t="shared" si="5"/>
        <v>1549.4890336470608</v>
      </c>
      <c r="IH4" s="13">
        <f t="shared" si="5"/>
        <v>1486.1169581176432</v>
      </c>
      <c r="II4" s="13">
        <f t="shared" si="5"/>
        <v>7750.7304872941131</v>
      </c>
      <c r="IJ4" s="13">
        <f t="shared" si="5"/>
        <v>8.6455764705882301E-2</v>
      </c>
      <c r="IK4" s="13">
        <f t="shared" si="5"/>
        <v>1170.0058637647051</v>
      </c>
      <c r="IL4" s="13">
        <f t="shared" si="5"/>
        <v>0</v>
      </c>
      <c r="IM4" s="13">
        <f t="shared" si="5"/>
        <v>0</v>
      </c>
      <c r="IN4" s="13">
        <f t="shared" si="5"/>
        <v>1900.4129825882342</v>
      </c>
      <c r="IO4" s="13">
        <f t="shared" si="5"/>
        <v>778.17899999999997</v>
      </c>
      <c r="IP4" s="13">
        <f t="shared" si="5"/>
        <v>0</v>
      </c>
      <c r="IQ4" s="13">
        <f t="shared" si="5"/>
        <v>0</v>
      </c>
      <c r="IR4" s="13">
        <f t="shared" si="5"/>
        <v>0</v>
      </c>
      <c r="IS4" s="13">
        <f t="shared" si="5"/>
        <v>0</v>
      </c>
      <c r="IT4" s="13">
        <f t="shared" si="5"/>
        <v>0</v>
      </c>
      <c r="IU4" s="13">
        <f t="shared" si="5"/>
        <v>0</v>
      </c>
      <c r="IV4" s="13">
        <f t="shared" si="5"/>
        <v>0</v>
      </c>
      <c r="IW4" s="13">
        <f t="shared" si="5"/>
        <v>0</v>
      </c>
      <c r="IX4" s="13">
        <f t="shared" si="5"/>
        <v>5574.9678000000004</v>
      </c>
      <c r="IY4" s="13">
        <f t="shared" si="5"/>
        <v>7027.4415597647012</v>
      </c>
      <c r="IZ4" s="13">
        <f t="shared" si="5"/>
        <v>1578.0770731764694</v>
      </c>
      <c r="JA4" s="13">
        <f t="shared" si="5"/>
        <v>8685.4325781176412</v>
      </c>
      <c r="JB4" s="13">
        <f t="shared" si="5"/>
        <v>2169.0598621176455</v>
      </c>
      <c r="JC4" s="13">
        <f t="shared" si="5"/>
        <v>8507.5066143529366</v>
      </c>
      <c r="JD4" s="13">
        <f t="shared" si="5"/>
        <v>4549.6193432941154</v>
      </c>
      <c r="JE4" s="13">
        <f t="shared" si="5"/>
        <v>6932.369037176466</v>
      </c>
      <c r="JF4" s="13">
        <f t="shared" si="5"/>
        <v>7136.6928277647012</v>
      </c>
      <c r="JG4" s="13">
        <f t="shared" si="5"/>
        <v>8865.6554192941148</v>
      </c>
      <c r="JH4" s="13">
        <f t="shared" si="5"/>
        <v>6402.3087437647018</v>
      </c>
      <c r="JI4" s="13">
        <f t="shared" si="5"/>
        <v>4.9567971764705847</v>
      </c>
      <c r="JJ4" s="13">
        <f t="shared" si="5"/>
        <v>0.80692047058823479</v>
      </c>
      <c r="JK4" s="13">
        <f t="shared" si="5"/>
        <v>0</v>
      </c>
      <c r="JL4" s="13">
        <f t="shared" si="5"/>
        <v>0.66282752941176426</v>
      </c>
      <c r="JM4" s="13">
        <f t="shared" si="5"/>
        <v>0.80692047058823479</v>
      </c>
      <c r="JN4" s="13">
        <f t="shared" si="5"/>
        <v>30.634159294117627</v>
      </c>
      <c r="JO4" s="13">
        <f t="shared" si="5"/>
        <v>150.60594211764692</v>
      </c>
      <c r="JP4" s="13">
        <f t="shared" si="5"/>
        <v>188.81939011764695</v>
      </c>
      <c r="JQ4" s="13">
        <f t="shared" si="5"/>
        <v>147.26298588235287</v>
      </c>
      <c r="JR4" s="13">
        <f t="shared" si="5"/>
        <v>2361.7697616470577</v>
      </c>
      <c r="JS4" s="13">
        <f t="shared" si="5"/>
        <v>29.798420235294095</v>
      </c>
      <c r="JT4" s="13">
        <f t="shared" si="5"/>
        <v>67.406677882352895</v>
      </c>
      <c r="JU4" s="13">
        <f t="shared" si="5"/>
        <v>0.95101341176470533</v>
      </c>
      <c r="JV4" s="13">
        <f t="shared" si="5"/>
        <v>5.7060804705882324</v>
      </c>
      <c r="JW4" s="13">
        <f t="shared" si="5"/>
        <v>6.167177882352938</v>
      </c>
      <c r="JX4" s="13">
        <f t="shared" ref="JX4:MC4" si="6">SUM(JX5:JX35)</f>
        <v>3120.0156367058808</v>
      </c>
      <c r="JY4" s="13">
        <f t="shared" si="6"/>
        <v>0.80692047058823479</v>
      </c>
      <c r="JZ4" s="13">
        <f t="shared" si="6"/>
        <v>12.622541647058814</v>
      </c>
      <c r="KA4" s="13">
        <f t="shared" si="6"/>
        <v>45.562187999999971</v>
      </c>
      <c r="KB4" s="13">
        <f t="shared" si="6"/>
        <v>216.68696494117634</v>
      </c>
      <c r="KC4" s="13">
        <f t="shared" si="6"/>
        <v>7.3775585882352894</v>
      </c>
      <c r="KD4" s="13">
        <f t="shared" si="6"/>
        <v>13.141276235294111</v>
      </c>
      <c r="KE4" s="13">
        <f t="shared" si="6"/>
        <v>0</v>
      </c>
      <c r="KF4" s="13">
        <f t="shared" si="6"/>
        <v>0</v>
      </c>
      <c r="KG4" s="13">
        <f t="shared" si="6"/>
        <v>0.12</v>
      </c>
      <c r="KH4" s="13">
        <f t="shared" si="6"/>
        <v>2870.5352193197282</v>
      </c>
      <c r="KI4" s="13">
        <f t="shared" si="6"/>
        <v>4.9191521088435373</v>
      </c>
      <c r="KJ4" s="13">
        <f t="shared" si="6"/>
        <v>0</v>
      </c>
      <c r="KK4" s="13">
        <f t="shared" si="6"/>
        <v>1.409757006802721</v>
      </c>
      <c r="KL4" s="13">
        <f t="shared" si="6"/>
        <v>209.36391292517001</v>
      </c>
      <c r="KM4" s="13">
        <f t="shared" si="6"/>
        <v>5.9389763265306126</v>
      </c>
      <c r="KN4" s="13">
        <f t="shared" si="6"/>
        <v>2835.3812786394556</v>
      </c>
      <c r="KO4" s="13">
        <f t="shared" si="6"/>
        <v>2843.5398723809521</v>
      </c>
      <c r="KP4" s="13">
        <f t="shared" si="6"/>
        <v>6021.6720726530612</v>
      </c>
      <c r="KQ4" s="13">
        <f t="shared" si="6"/>
        <v>10433.101695238094</v>
      </c>
      <c r="KR4" s="13">
        <f t="shared" si="6"/>
        <v>150.66416742857143</v>
      </c>
      <c r="KS4" s="13">
        <f t="shared" si="6"/>
        <v>155.73329828571428</v>
      </c>
      <c r="KT4" s="13">
        <f t="shared" si="6"/>
        <v>11.817973714285714</v>
      </c>
      <c r="KU4" s="13">
        <f t="shared" si="6"/>
        <v>0.41992799999999997</v>
      </c>
      <c r="KV4" s="13">
        <f t="shared" si="6"/>
        <v>2.0096554285714285</v>
      </c>
      <c r="KW4" s="13">
        <f t="shared" si="6"/>
        <v>10.258241142857143</v>
      </c>
      <c r="KX4" s="13">
        <f t="shared" si="6"/>
        <v>0</v>
      </c>
      <c r="KY4" s="13">
        <f t="shared" si="6"/>
        <v>0</v>
      </c>
      <c r="KZ4" s="13">
        <f t="shared" si="6"/>
        <v>12.207906857142858</v>
      </c>
      <c r="LA4" s="13">
        <f t="shared" si="6"/>
        <v>2118.686734285714</v>
      </c>
      <c r="LB4" s="13">
        <f t="shared" si="6"/>
        <v>3036.1394297142856</v>
      </c>
      <c r="LC4" s="13">
        <f t="shared" si="6"/>
        <v>11385.027946285712</v>
      </c>
      <c r="LD4" s="13">
        <f t="shared" si="6"/>
        <v>0</v>
      </c>
      <c r="LE4" s="13">
        <f t="shared" si="6"/>
        <v>1.65</v>
      </c>
      <c r="LF4" s="13">
        <f t="shared" si="6"/>
        <v>0</v>
      </c>
      <c r="LG4" s="13">
        <f t="shared" si="6"/>
        <v>0</v>
      </c>
      <c r="LH4" s="13">
        <f t="shared" si="6"/>
        <v>0</v>
      </c>
      <c r="LI4" s="13">
        <f t="shared" si="6"/>
        <v>0</v>
      </c>
      <c r="LJ4" s="13">
        <f t="shared" si="6"/>
        <v>46.38</v>
      </c>
      <c r="LK4" s="13">
        <f t="shared" si="6"/>
        <v>5.7750000000000004</v>
      </c>
      <c r="LL4" s="13">
        <f t="shared" si="6"/>
        <v>0</v>
      </c>
      <c r="LM4" s="13">
        <f t="shared" si="6"/>
        <v>35.265000000000001</v>
      </c>
      <c r="LN4" s="13">
        <f t="shared" si="6"/>
        <v>0</v>
      </c>
      <c r="LO4" s="13">
        <f t="shared" si="6"/>
        <v>0</v>
      </c>
      <c r="LP4" s="13">
        <f t="shared" si="6"/>
        <v>0</v>
      </c>
      <c r="LQ4" s="13">
        <f t="shared" si="6"/>
        <v>0</v>
      </c>
      <c r="LR4" s="13">
        <f t="shared" si="6"/>
        <v>0</v>
      </c>
      <c r="LS4" s="13">
        <f t="shared" si="6"/>
        <v>0</v>
      </c>
      <c r="LT4" s="13">
        <f t="shared" si="6"/>
        <v>0</v>
      </c>
      <c r="LU4" s="13">
        <f t="shared" si="6"/>
        <v>0</v>
      </c>
      <c r="LV4" s="13">
        <f t="shared" si="6"/>
        <v>0</v>
      </c>
      <c r="LW4" s="13">
        <f t="shared" si="6"/>
        <v>0</v>
      </c>
      <c r="LX4" s="13">
        <f t="shared" si="6"/>
        <v>0</v>
      </c>
      <c r="LY4" s="13">
        <f t="shared" si="6"/>
        <v>0</v>
      </c>
      <c r="LZ4" s="13">
        <f t="shared" si="6"/>
        <v>0</v>
      </c>
      <c r="MA4" s="13">
        <f t="shared" si="6"/>
        <v>0</v>
      </c>
      <c r="MB4" s="13">
        <f t="shared" si="6"/>
        <v>0</v>
      </c>
      <c r="MC4" s="13">
        <f t="shared" si="6"/>
        <v>0</v>
      </c>
    </row>
    <row r="5" spans="1:341" s="14" customFormat="1">
      <c r="A5" s="15" t="s">
        <v>3</v>
      </c>
      <c r="B5" s="13">
        <f t="shared" ref="B5:B35" si="7">SUM(AB5:AM5)/1000</f>
        <v>0</v>
      </c>
      <c r="C5" s="13">
        <f t="shared" ref="C5:C35" si="8">SUM(AN5:AY5)/1000</f>
        <v>0</v>
      </c>
      <c r="D5" s="13">
        <f t="shared" ref="D5:D35" si="9">SUM(AZ5:BK5)/1000</f>
        <v>0</v>
      </c>
      <c r="E5" s="13">
        <f t="shared" ref="E5:E35" si="10">SUM(BL5:BW5)/1000</f>
        <v>0</v>
      </c>
      <c r="F5" s="13">
        <f t="shared" ref="F5:F35" si="11">SUM(BX5:CI5)/1000</f>
        <v>0</v>
      </c>
      <c r="G5" s="13">
        <f t="shared" ref="G5:G35" si="12">SUM(CJ5:CU5)/1000</f>
        <v>0</v>
      </c>
      <c r="H5" s="13">
        <f t="shared" ref="H5:H35" si="13">SUM(CV5:DG5)/1000</f>
        <v>0</v>
      </c>
      <c r="I5" s="13">
        <f t="shared" ref="I5:I35" si="14">SUM(DH5:DS5)/1000</f>
        <v>0</v>
      </c>
      <c r="J5" s="13">
        <f t="shared" ref="J5:J35" si="15">SUM(DT5:EE5)/1000</f>
        <v>4.6109741176470582E-4</v>
      </c>
      <c r="K5" s="13">
        <f t="shared" ref="K5:K35" si="16">SUM(EF5:EQ5)/1000</f>
        <v>0</v>
      </c>
      <c r="L5" s="13">
        <f t="shared" ref="L5:L35" si="17">SUM(ER5:FC5)/1000</f>
        <v>1.4409294117647055E-3</v>
      </c>
      <c r="M5" s="13">
        <f t="shared" ref="M5:M35" si="18">SUM(FD5:FO5)/1000</f>
        <v>0</v>
      </c>
      <c r="N5" s="13">
        <f t="shared" ref="N5:N35" si="19">SUM(FP5:GA5)/1000</f>
        <v>0</v>
      </c>
      <c r="O5" s="13">
        <f t="shared" ref="O5:O35" si="20">SUM(GB5:GM5)/1000</f>
        <v>5.7637176470588228E-5</v>
      </c>
      <c r="P5" s="13">
        <f t="shared" ref="P5:P35" si="21">SUM(GN5:GY5)/1000</f>
        <v>0</v>
      </c>
      <c r="Q5" s="13">
        <f t="shared" ref="Q5:Q35" si="22">SUM(GZ5:HK5)/1000</f>
        <v>0</v>
      </c>
      <c r="R5" s="13">
        <f t="shared" ref="R5:R35" si="23">SUM(HL5:HW5)/1000</f>
        <v>0</v>
      </c>
      <c r="S5" s="13">
        <f t="shared" ref="S5:S35" si="24">SUM(HX5:II5)/1000</f>
        <v>0</v>
      </c>
      <c r="T5" s="13">
        <f t="shared" ref="T5:T35" si="25">SUM(IJ5:IU5)/1000</f>
        <v>0</v>
      </c>
      <c r="U5" s="13">
        <f t="shared" ref="U5:U35" si="26">SUM(IV5:JG5)/1000</f>
        <v>0</v>
      </c>
      <c r="V5" s="13">
        <f t="shared" ref="V5:V35" si="27">SUM(JH5:JS5)/1000</f>
        <v>0</v>
      </c>
      <c r="W5" s="13">
        <f t="shared" ref="W5:W35" si="28">SUM(JT5:KE5)/1000</f>
        <v>0</v>
      </c>
      <c r="X5" s="13">
        <f t="shared" ref="X5:X35" si="29">SUM(KF5:KQ5)/1000</f>
        <v>0</v>
      </c>
      <c r="Y5" s="13">
        <f t="shared" ref="Y5:Y35" si="30">SUM(KR5:LC5)/1000</f>
        <v>0</v>
      </c>
      <c r="Z5" s="13">
        <f t="shared" ref="Z5:Z35" si="31">SUM(LD5:LO5)/1000</f>
        <v>0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>
        <v>0.46109741176470581</v>
      </c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>
        <v>0.95101341176470566</v>
      </c>
      <c r="EU5" s="13"/>
      <c r="EV5" s="13"/>
      <c r="EW5" s="13"/>
      <c r="EX5" s="13"/>
      <c r="EY5" s="13"/>
      <c r="EZ5" s="13"/>
      <c r="FA5" s="13"/>
      <c r="FB5" s="13">
        <v>0.48991599999999991</v>
      </c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>
        <v>5.7637176470588226E-2</v>
      </c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</row>
    <row r="6" spans="1:341" s="14" customFormat="1">
      <c r="A6" s="15" t="s">
        <v>4</v>
      </c>
      <c r="B6" s="13">
        <f t="shared" si="7"/>
        <v>0</v>
      </c>
      <c r="C6" s="13">
        <f t="shared" si="8"/>
        <v>0</v>
      </c>
      <c r="D6" s="13">
        <f t="shared" si="9"/>
        <v>0</v>
      </c>
      <c r="E6" s="13">
        <f t="shared" si="10"/>
        <v>0</v>
      </c>
      <c r="F6" s="13">
        <f t="shared" si="11"/>
        <v>0</v>
      </c>
      <c r="G6" s="13">
        <f t="shared" si="12"/>
        <v>0</v>
      </c>
      <c r="H6" s="13">
        <f t="shared" si="13"/>
        <v>0</v>
      </c>
      <c r="I6" s="13">
        <f t="shared" si="14"/>
        <v>0</v>
      </c>
      <c r="J6" s="13">
        <f t="shared" si="15"/>
        <v>0</v>
      </c>
      <c r="K6" s="13">
        <f t="shared" si="16"/>
        <v>0</v>
      </c>
      <c r="L6" s="13">
        <f t="shared" si="17"/>
        <v>0</v>
      </c>
      <c r="M6" s="13">
        <f t="shared" si="18"/>
        <v>0</v>
      </c>
      <c r="N6" s="13">
        <f t="shared" si="19"/>
        <v>0</v>
      </c>
      <c r="O6" s="13">
        <f t="shared" si="20"/>
        <v>0</v>
      </c>
      <c r="P6" s="13">
        <f t="shared" si="21"/>
        <v>0</v>
      </c>
      <c r="Q6" s="13">
        <f t="shared" si="22"/>
        <v>0</v>
      </c>
      <c r="R6" s="13">
        <f t="shared" si="23"/>
        <v>0</v>
      </c>
      <c r="S6" s="13">
        <f t="shared" si="24"/>
        <v>0</v>
      </c>
      <c r="T6" s="13">
        <f t="shared" si="25"/>
        <v>0</v>
      </c>
      <c r="U6" s="13">
        <f t="shared" si="26"/>
        <v>0</v>
      </c>
      <c r="V6" s="13">
        <f t="shared" si="27"/>
        <v>0</v>
      </c>
      <c r="W6" s="13">
        <f t="shared" si="28"/>
        <v>0</v>
      </c>
      <c r="X6" s="13">
        <f t="shared" si="29"/>
        <v>0</v>
      </c>
      <c r="Y6" s="13">
        <f t="shared" si="30"/>
        <v>0</v>
      </c>
      <c r="Z6" s="13">
        <f t="shared" si="31"/>
        <v>0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</row>
    <row r="7" spans="1:341" s="14" customFormat="1">
      <c r="A7" s="12" t="s">
        <v>5</v>
      </c>
      <c r="B7" s="13">
        <f t="shared" si="7"/>
        <v>0</v>
      </c>
      <c r="C7" s="13">
        <f t="shared" si="8"/>
        <v>0</v>
      </c>
      <c r="D7" s="13">
        <f t="shared" si="9"/>
        <v>0</v>
      </c>
      <c r="E7" s="13">
        <f t="shared" si="10"/>
        <v>0</v>
      </c>
      <c r="F7" s="13">
        <f t="shared" si="11"/>
        <v>0</v>
      </c>
      <c r="G7" s="13">
        <f t="shared" si="12"/>
        <v>0</v>
      </c>
      <c r="H7" s="13">
        <f t="shared" si="13"/>
        <v>7.5504701176470571E-3</v>
      </c>
      <c r="I7" s="13">
        <f t="shared" si="14"/>
        <v>0.16371839976470584</v>
      </c>
      <c r="J7" s="13">
        <f t="shared" si="15"/>
        <v>2.3017118237647054</v>
      </c>
      <c r="K7" s="13">
        <f t="shared" si="16"/>
        <v>0.26311371058823524</v>
      </c>
      <c r="L7" s="13">
        <f t="shared" si="17"/>
        <v>0.58386459764705878</v>
      </c>
      <c r="M7" s="13">
        <f t="shared" si="18"/>
        <v>0.43271110235294113</v>
      </c>
      <c r="N7" s="13">
        <f t="shared" si="19"/>
        <v>0.70279891129411753</v>
      </c>
      <c r="O7" s="13">
        <f t="shared" si="20"/>
        <v>0.43697625341176466</v>
      </c>
      <c r="P7" s="13">
        <f t="shared" si="21"/>
        <v>0.68334636423529405</v>
      </c>
      <c r="Q7" s="13">
        <f t="shared" si="22"/>
        <v>0.65588224964705866</v>
      </c>
      <c r="R7" s="13">
        <f t="shared" si="23"/>
        <v>0.58994531976470588</v>
      </c>
      <c r="S7" s="13">
        <f t="shared" si="24"/>
        <v>0.8641541868235284</v>
      </c>
      <c r="T7" s="13">
        <f t="shared" si="25"/>
        <v>0</v>
      </c>
      <c r="U7" s="13">
        <f t="shared" si="26"/>
        <v>5.4050617068235294</v>
      </c>
      <c r="V7" s="13">
        <f t="shared" si="27"/>
        <v>0.22455443952941165</v>
      </c>
      <c r="W7" s="13">
        <f t="shared" si="28"/>
        <v>0.35101040470588213</v>
      </c>
      <c r="X7" s="13">
        <f t="shared" si="29"/>
        <v>2.1956215510204082E-2</v>
      </c>
      <c r="Y7" s="13">
        <f t="shared" si="30"/>
        <v>2.7985201714285712E-2</v>
      </c>
      <c r="Z7" s="13">
        <f t="shared" si="31"/>
        <v>0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>
        <v>5.3026202352941159</v>
      </c>
      <c r="CW7" s="13">
        <v>0.23054870588235291</v>
      </c>
      <c r="CX7" s="13"/>
      <c r="CY7" s="13"/>
      <c r="CZ7" s="13"/>
      <c r="DA7" s="13"/>
      <c r="DB7" s="13"/>
      <c r="DC7" s="13"/>
      <c r="DD7" s="13"/>
      <c r="DE7" s="13"/>
      <c r="DF7" s="13"/>
      <c r="DG7" s="13">
        <v>2.0173011764705877</v>
      </c>
      <c r="DH7" s="13"/>
      <c r="DI7" s="13">
        <v>14.121108235294114</v>
      </c>
      <c r="DJ7" s="13"/>
      <c r="DK7" s="13"/>
      <c r="DL7" s="13"/>
      <c r="DM7" s="13"/>
      <c r="DN7" s="13">
        <v>42.420961882352927</v>
      </c>
      <c r="DO7" s="13"/>
      <c r="DP7" s="13">
        <v>44.755267529411761</v>
      </c>
      <c r="DQ7" s="13">
        <v>32.046270117647055</v>
      </c>
      <c r="DR7" s="13">
        <v>11.49861670588235</v>
      </c>
      <c r="DS7" s="13">
        <v>18.876175294117644</v>
      </c>
      <c r="DT7" s="13">
        <v>461.50087199999996</v>
      </c>
      <c r="DU7" s="13">
        <v>17.694613176470586</v>
      </c>
      <c r="DV7" s="13">
        <v>1095.6250875294115</v>
      </c>
      <c r="DW7" s="13">
        <v>330.23220258823528</v>
      </c>
      <c r="DX7" s="13">
        <v>17.550520235294115</v>
      </c>
      <c r="DY7" s="13">
        <v>298.6182112941176</v>
      </c>
      <c r="DZ7" s="13">
        <v>7.9539303529411756</v>
      </c>
      <c r="EA7" s="13">
        <v>20.951113647058822</v>
      </c>
      <c r="EB7" s="13">
        <v>11.930895529411762</v>
      </c>
      <c r="EC7" s="13">
        <v>15.302670352941174</v>
      </c>
      <c r="ED7" s="13">
        <v>13.515917882352939</v>
      </c>
      <c r="EE7" s="13">
        <v>10.835789176470588</v>
      </c>
      <c r="EF7" s="13">
        <v>9.7118642352941169</v>
      </c>
      <c r="EG7" s="13">
        <v>26.743649882352937</v>
      </c>
      <c r="EH7" s="13">
        <v>33.746566823529406</v>
      </c>
      <c r="EI7" s="13">
        <v>37.809987764705873</v>
      </c>
      <c r="EJ7" s="13">
        <v>28.53040235294117</v>
      </c>
      <c r="EK7" s="13">
        <v>11.440979529411763</v>
      </c>
      <c r="EL7" s="13">
        <v>26.801287058823526</v>
      </c>
      <c r="EM7" s="13">
        <v>20.259467529411761</v>
      </c>
      <c r="EN7" s="13">
        <v>11.095156470588233</v>
      </c>
      <c r="EO7" s="13">
        <v>16.858874117647055</v>
      </c>
      <c r="EP7" s="13">
        <v>10.115324470588234</v>
      </c>
      <c r="EQ7" s="13">
        <v>30.000150352941169</v>
      </c>
      <c r="ER7" s="13">
        <v>11.239249411764703</v>
      </c>
      <c r="ES7" s="13">
        <v>341.73081929411757</v>
      </c>
      <c r="ET7" s="13">
        <v>11.095156470588233</v>
      </c>
      <c r="EU7" s="13">
        <v>47.954130823529404</v>
      </c>
      <c r="EV7" s="13"/>
      <c r="EW7" s="13">
        <v>30.893526588235289</v>
      </c>
      <c r="EX7" s="13">
        <v>5.9942663529411755</v>
      </c>
      <c r="EY7" s="13">
        <v>15.41794470588235</v>
      </c>
      <c r="EZ7" s="13">
        <v>26.772468470588233</v>
      </c>
      <c r="FA7" s="13">
        <v>10.230598823529411</v>
      </c>
      <c r="FB7" s="13">
        <v>50.029069176470578</v>
      </c>
      <c r="FC7" s="13">
        <v>32.507367529411759</v>
      </c>
      <c r="FD7" s="13">
        <v>17.262334352941174</v>
      </c>
      <c r="FE7" s="13">
        <v>33.19901364705882</v>
      </c>
      <c r="FF7" s="13">
        <v>41.383492705882347</v>
      </c>
      <c r="FG7" s="13">
        <v>22.795503294117641</v>
      </c>
      <c r="FH7" s="13">
        <v>30.8358894117647</v>
      </c>
      <c r="FI7" s="13">
        <v>48.645776941176464</v>
      </c>
      <c r="FJ7" s="13">
        <v>11.008700705882351</v>
      </c>
      <c r="FK7" s="13">
        <v>41.902227294117644</v>
      </c>
      <c r="FL7" s="13">
        <v>20.345923294117643</v>
      </c>
      <c r="FM7" s="13">
        <v>25.821455058823524</v>
      </c>
      <c r="FN7" s="13">
        <v>53.689029882352933</v>
      </c>
      <c r="FO7" s="13">
        <v>85.82175576470587</v>
      </c>
      <c r="FP7" s="13">
        <v>40.230749176470582</v>
      </c>
      <c r="FQ7" s="13">
        <v>20.662927764705881</v>
      </c>
      <c r="FR7" s="13">
        <v>122.8248230588235</v>
      </c>
      <c r="FS7" s="13">
        <v>50.749533882352928</v>
      </c>
      <c r="FT7" s="13">
        <v>89.942813882352937</v>
      </c>
      <c r="FU7" s="13">
        <v>72.478749411764696</v>
      </c>
      <c r="FV7" s="13">
        <v>103.42991317647056</v>
      </c>
      <c r="FW7" s="13">
        <v>34.467031529411756</v>
      </c>
      <c r="FX7" s="13">
        <v>37.579439058823525</v>
      </c>
      <c r="FY7" s="13">
        <v>66.657394588235292</v>
      </c>
      <c r="FZ7" s="13">
        <v>42.017501647058822</v>
      </c>
      <c r="GA7" s="13">
        <v>21.758034117647053</v>
      </c>
      <c r="GB7" s="13">
        <v>19.711914352941175</v>
      </c>
      <c r="GC7" s="13">
        <v>45.67746235294117</v>
      </c>
      <c r="GD7" s="13">
        <v>40.115474823529404</v>
      </c>
      <c r="GE7" s="13">
        <v>27.406477411764698</v>
      </c>
      <c r="GF7" s="13">
        <v>29.884875999999995</v>
      </c>
      <c r="GG7" s="13">
        <v>24.409344235294114</v>
      </c>
      <c r="GH7" s="13">
        <v>55.072322117647047</v>
      </c>
      <c r="GI7" s="13">
        <v>97.522102588235271</v>
      </c>
      <c r="GJ7" s="13">
        <v>36.772518588235286</v>
      </c>
      <c r="GK7" s="13">
        <v>4.121058117647058</v>
      </c>
      <c r="GL7" s="13">
        <v>18.21334776470588</v>
      </c>
      <c r="GM7" s="13">
        <v>38.069355058823518</v>
      </c>
      <c r="GN7" s="13">
        <v>25.994366588235291</v>
      </c>
      <c r="GO7" s="13">
        <v>14.928028705882349</v>
      </c>
      <c r="GP7" s="13">
        <v>34.61112447058823</v>
      </c>
      <c r="GQ7" s="13">
        <v>27.608207529411757</v>
      </c>
      <c r="GR7" s="13">
        <v>14.063471058823525</v>
      </c>
      <c r="GS7" s="13">
        <v>55.850423999999997</v>
      </c>
      <c r="GT7" s="13">
        <v>80.951414352941157</v>
      </c>
      <c r="GU7" s="13">
        <v>63.775535764705872</v>
      </c>
      <c r="GV7" s="13">
        <v>61.527685882352927</v>
      </c>
      <c r="GW7" s="13">
        <v>68.905244470588215</v>
      </c>
      <c r="GX7" s="13">
        <v>54.323038823529401</v>
      </c>
      <c r="GY7" s="13">
        <v>180.80782258823527</v>
      </c>
      <c r="GZ7" s="13">
        <v>58.213548235294105</v>
      </c>
      <c r="HA7" s="13">
        <v>19.567821411764704</v>
      </c>
      <c r="HB7" s="13">
        <v>59.56802188235293</v>
      </c>
      <c r="HC7" s="13">
        <v>62.132876235294106</v>
      </c>
      <c r="HD7" s="13">
        <v>49.481515999999985</v>
      </c>
      <c r="HE7" s="13">
        <v>79.913945176470577</v>
      </c>
      <c r="HF7" s="13">
        <v>30.8358894117647</v>
      </c>
      <c r="HG7" s="13">
        <v>59.712114823529397</v>
      </c>
      <c r="HH7" s="13">
        <v>56.138609882352931</v>
      </c>
      <c r="HI7" s="13">
        <v>67.003217647058818</v>
      </c>
      <c r="HJ7" s="13">
        <v>33.227832235294109</v>
      </c>
      <c r="HK7" s="13">
        <v>80.086856705882326</v>
      </c>
      <c r="HL7" s="13">
        <v>90.865008705882289</v>
      </c>
      <c r="HM7" s="13">
        <v>71.297187294117606</v>
      </c>
      <c r="HN7" s="13">
        <v>71.095457176470504</v>
      </c>
      <c r="HO7" s="13">
        <v>98.329023058823495</v>
      </c>
      <c r="HP7" s="13">
        <v>104.553838117647</v>
      </c>
      <c r="HQ7" s="13">
        <v>153.80480541176499</v>
      </c>
      <c r="HR7" s="13"/>
      <c r="HS7" s="13"/>
      <c r="HT7" s="13"/>
      <c r="HU7" s="13"/>
      <c r="HV7" s="13"/>
      <c r="HW7" s="13"/>
      <c r="HX7" s="13">
        <v>70.115625176470502</v>
      </c>
      <c r="HY7" s="13">
        <v>69.971532235294106</v>
      </c>
      <c r="HZ7" s="13">
        <v>113.68933058823499</v>
      </c>
      <c r="IA7" s="13">
        <v>57.089623294117601</v>
      </c>
      <c r="IB7" s="13">
        <v>35.590956470588203</v>
      </c>
      <c r="IC7" s="13">
        <v>59.683296235294101</v>
      </c>
      <c r="ID7" s="13">
        <v>93.314588705882301</v>
      </c>
      <c r="IE7" s="13">
        <v>52.478649176470554</v>
      </c>
      <c r="IF7" s="13">
        <v>50.490166588235297</v>
      </c>
      <c r="IG7" s="13">
        <v>101.729616470588</v>
      </c>
      <c r="IH7" s="13">
        <v>80.9514143529411</v>
      </c>
      <c r="II7" s="13">
        <v>79.049387529411703</v>
      </c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>
        <v>0.2017301176470587</v>
      </c>
      <c r="JD7" s="13"/>
      <c r="JE7" s="13">
        <v>4.1498767058823507</v>
      </c>
      <c r="JF7" s="13"/>
      <c r="JG7" s="13">
        <v>5400.7101000000002</v>
      </c>
      <c r="JH7" s="13">
        <v>0.83573905882352895</v>
      </c>
      <c r="JI7" s="13">
        <v>4.3516068235294085</v>
      </c>
      <c r="JJ7" s="13"/>
      <c r="JK7" s="13"/>
      <c r="JL7" s="13"/>
      <c r="JM7" s="13"/>
      <c r="JN7" s="13">
        <v>29.222048470588216</v>
      </c>
      <c r="JO7" s="13">
        <v>8.9337623529411712</v>
      </c>
      <c r="JP7" s="13">
        <v>68.876425882352891</v>
      </c>
      <c r="JQ7" s="13">
        <v>20.778202117647048</v>
      </c>
      <c r="JR7" s="13">
        <v>91.153194588235237</v>
      </c>
      <c r="JS7" s="13">
        <v>0.4034602352941174</v>
      </c>
      <c r="JT7" s="13">
        <v>38.501633882352913</v>
      </c>
      <c r="JU7" s="13">
        <v>0.83573905882352895</v>
      </c>
      <c r="JV7" s="13">
        <v>5.7060804705882324</v>
      </c>
      <c r="JW7" s="13">
        <v>5.7060804705882324</v>
      </c>
      <c r="JX7" s="13">
        <v>11.412160941176465</v>
      </c>
      <c r="JY7" s="13"/>
      <c r="JZ7" s="13">
        <v>6.974098352941172</v>
      </c>
      <c r="KA7" s="13">
        <v>45.418095058823504</v>
      </c>
      <c r="KB7" s="13">
        <v>216.68696494117634</v>
      </c>
      <c r="KC7" s="13">
        <v>6.6570938823529371</v>
      </c>
      <c r="KD7" s="13">
        <v>13.112457647058816</v>
      </c>
      <c r="KE7" s="13"/>
      <c r="KF7" s="13"/>
      <c r="KG7" s="13"/>
      <c r="KH7" s="13"/>
      <c r="KI7" s="13"/>
      <c r="KJ7" s="13"/>
      <c r="KK7" s="13">
        <v>0.20996380952380952</v>
      </c>
      <c r="KL7" s="13">
        <v>5.9689711564625849</v>
      </c>
      <c r="KM7" s="13"/>
      <c r="KN7" s="13">
        <v>3.8093434013605436</v>
      </c>
      <c r="KO7" s="13">
        <v>5.9689711564625849</v>
      </c>
      <c r="KP7" s="13"/>
      <c r="KQ7" s="13">
        <v>5.9989659863945572</v>
      </c>
      <c r="KR7" s="13">
        <v>2.09964</v>
      </c>
      <c r="KS7" s="13"/>
      <c r="KT7" s="13"/>
      <c r="KU7" s="13"/>
      <c r="KV7" s="13"/>
      <c r="KW7" s="13"/>
      <c r="KX7" s="13"/>
      <c r="KY7" s="13"/>
      <c r="KZ7" s="13">
        <v>0.41992799999999997</v>
      </c>
      <c r="LA7" s="13">
        <v>17.996914285714283</v>
      </c>
      <c r="LB7" s="13">
        <v>3.1494599999999999</v>
      </c>
      <c r="LC7" s="13">
        <v>4.3192594285714287</v>
      </c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</row>
    <row r="8" spans="1:341" s="14" customFormat="1">
      <c r="A8" s="15" t="s">
        <v>6</v>
      </c>
      <c r="B8" s="13">
        <f t="shared" si="7"/>
        <v>0</v>
      </c>
      <c r="C8" s="13">
        <f t="shared" si="8"/>
        <v>0</v>
      </c>
      <c r="D8" s="13">
        <f t="shared" si="9"/>
        <v>0</v>
      </c>
      <c r="E8" s="13">
        <f t="shared" si="10"/>
        <v>0</v>
      </c>
      <c r="F8" s="13">
        <f t="shared" si="11"/>
        <v>0</v>
      </c>
      <c r="G8" s="13">
        <f t="shared" si="12"/>
        <v>0</v>
      </c>
      <c r="H8" s="13">
        <f t="shared" si="13"/>
        <v>0</v>
      </c>
      <c r="I8" s="13">
        <f t="shared" si="14"/>
        <v>0</v>
      </c>
      <c r="J8" s="13">
        <f t="shared" si="15"/>
        <v>0</v>
      </c>
      <c r="K8" s="13">
        <f t="shared" si="16"/>
        <v>0</v>
      </c>
      <c r="L8" s="13">
        <f t="shared" si="17"/>
        <v>0</v>
      </c>
      <c r="M8" s="13">
        <f t="shared" si="18"/>
        <v>0</v>
      </c>
      <c r="N8" s="13">
        <f t="shared" si="19"/>
        <v>0</v>
      </c>
      <c r="O8" s="13">
        <f t="shared" si="20"/>
        <v>0</v>
      </c>
      <c r="P8" s="13">
        <f t="shared" si="21"/>
        <v>0</v>
      </c>
      <c r="Q8" s="13">
        <f t="shared" si="22"/>
        <v>0</v>
      </c>
      <c r="R8" s="13">
        <f t="shared" si="23"/>
        <v>0</v>
      </c>
      <c r="S8" s="13">
        <f t="shared" si="24"/>
        <v>0</v>
      </c>
      <c r="T8" s="13">
        <f t="shared" si="25"/>
        <v>0</v>
      </c>
      <c r="U8" s="13">
        <f t="shared" si="26"/>
        <v>0</v>
      </c>
      <c r="V8" s="13">
        <f t="shared" si="27"/>
        <v>0</v>
      </c>
      <c r="W8" s="13">
        <f t="shared" si="28"/>
        <v>0</v>
      </c>
      <c r="X8" s="13">
        <f t="shared" si="29"/>
        <v>0</v>
      </c>
      <c r="Y8" s="13">
        <f t="shared" si="30"/>
        <v>0</v>
      </c>
      <c r="Z8" s="13">
        <f t="shared" si="31"/>
        <v>0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</row>
    <row r="9" spans="1:341" s="14" customFormat="1">
      <c r="A9" s="15" t="s">
        <v>7</v>
      </c>
      <c r="B9" s="13">
        <f t="shared" si="7"/>
        <v>0</v>
      </c>
      <c r="C9" s="13">
        <f t="shared" si="8"/>
        <v>0</v>
      </c>
      <c r="D9" s="13">
        <f t="shared" si="9"/>
        <v>0</v>
      </c>
      <c r="E9" s="13">
        <f t="shared" si="10"/>
        <v>0</v>
      </c>
      <c r="F9" s="13">
        <f t="shared" si="11"/>
        <v>0</v>
      </c>
      <c r="G9" s="13">
        <f t="shared" si="12"/>
        <v>0</v>
      </c>
      <c r="H9" s="13">
        <f t="shared" si="13"/>
        <v>0</v>
      </c>
      <c r="I9" s="13">
        <f t="shared" si="14"/>
        <v>0</v>
      </c>
      <c r="J9" s="13">
        <f t="shared" si="15"/>
        <v>0</v>
      </c>
      <c r="K9" s="13">
        <f t="shared" si="16"/>
        <v>0</v>
      </c>
      <c r="L9" s="13">
        <f t="shared" si="17"/>
        <v>0</v>
      </c>
      <c r="M9" s="13">
        <f t="shared" si="18"/>
        <v>0</v>
      </c>
      <c r="N9" s="13">
        <f t="shared" si="19"/>
        <v>0</v>
      </c>
      <c r="O9" s="13">
        <f t="shared" si="20"/>
        <v>0</v>
      </c>
      <c r="P9" s="13">
        <f t="shared" si="21"/>
        <v>0</v>
      </c>
      <c r="Q9" s="13">
        <f t="shared" si="22"/>
        <v>0</v>
      </c>
      <c r="R9" s="13">
        <f t="shared" si="23"/>
        <v>0</v>
      </c>
      <c r="S9" s="13">
        <f t="shared" si="24"/>
        <v>0</v>
      </c>
      <c r="T9" s="13">
        <f t="shared" si="25"/>
        <v>0</v>
      </c>
      <c r="U9" s="13">
        <f t="shared" si="26"/>
        <v>0</v>
      </c>
      <c r="V9" s="13">
        <f t="shared" si="27"/>
        <v>0</v>
      </c>
      <c r="W9" s="13">
        <f t="shared" si="28"/>
        <v>0</v>
      </c>
      <c r="X9" s="13">
        <f t="shared" si="29"/>
        <v>0</v>
      </c>
      <c r="Y9" s="13">
        <f t="shared" si="30"/>
        <v>0</v>
      </c>
      <c r="Z9" s="13">
        <f t="shared" si="31"/>
        <v>0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</row>
    <row r="10" spans="1:341" s="14" customFormat="1">
      <c r="A10" s="15" t="s">
        <v>8</v>
      </c>
      <c r="B10" s="13">
        <f t="shared" si="7"/>
        <v>0</v>
      </c>
      <c r="C10" s="13">
        <f t="shared" si="8"/>
        <v>0</v>
      </c>
      <c r="D10" s="13">
        <f t="shared" si="9"/>
        <v>0</v>
      </c>
      <c r="E10" s="13">
        <f t="shared" si="10"/>
        <v>0</v>
      </c>
      <c r="F10" s="13">
        <f t="shared" si="11"/>
        <v>0</v>
      </c>
      <c r="G10" s="13">
        <f t="shared" si="12"/>
        <v>0</v>
      </c>
      <c r="H10" s="13">
        <f t="shared" si="13"/>
        <v>0</v>
      </c>
      <c r="I10" s="13">
        <f t="shared" si="14"/>
        <v>0</v>
      </c>
      <c r="J10" s="13">
        <f t="shared" si="15"/>
        <v>0</v>
      </c>
      <c r="K10" s="13">
        <f t="shared" si="16"/>
        <v>0</v>
      </c>
      <c r="L10" s="13">
        <f t="shared" si="17"/>
        <v>0</v>
      </c>
      <c r="M10" s="13">
        <f t="shared" si="18"/>
        <v>0</v>
      </c>
      <c r="N10" s="13">
        <f t="shared" si="19"/>
        <v>0</v>
      </c>
      <c r="O10" s="13">
        <f t="shared" si="20"/>
        <v>0</v>
      </c>
      <c r="P10" s="13">
        <f t="shared" si="21"/>
        <v>0</v>
      </c>
      <c r="Q10" s="13">
        <f t="shared" si="22"/>
        <v>0</v>
      </c>
      <c r="R10" s="13">
        <f t="shared" si="23"/>
        <v>0</v>
      </c>
      <c r="S10" s="13">
        <f t="shared" si="24"/>
        <v>0</v>
      </c>
      <c r="T10" s="13">
        <f t="shared" si="25"/>
        <v>0</v>
      </c>
      <c r="U10" s="13">
        <f t="shared" si="26"/>
        <v>0</v>
      </c>
      <c r="V10" s="13">
        <f t="shared" si="27"/>
        <v>0</v>
      </c>
      <c r="W10" s="13">
        <f t="shared" si="28"/>
        <v>0</v>
      </c>
      <c r="X10" s="13">
        <f t="shared" si="29"/>
        <v>0</v>
      </c>
      <c r="Y10" s="13">
        <f t="shared" si="30"/>
        <v>0</v>
      </c>
      <c r="Z10" s="13">
        <f t="shared" si="31"/>
        <v>0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</row>
    <row r="11" spans="1:341" s="14" customFormat="1">
      <c r="A11" s="15" t="s">
        <v>9</v>
      </c>
      <c r="B11" s="13">
        <f t="shared" si="7"/>
        <v>0</v>
      </c>
      <c r="C11" s="13">
        <f t="shared" si="8"/>
        <v>0</v>
      </c>
      <c r="D11" s="13">
        <f t="shared" si="9"/>
        <v>0</v>
      </c>
      <c r="E11" s="13">
        <f t="shared" si="10"/>
        <v>0</v>
      </c>
      <c r="F11" s="13">
        <f t="shared" si="11"/>
        <v>0</v>
      </c>
      <c r="G11" s="13">
        <f t="shared" si="12"/>
        <v>0</v>
      </c>
      <c r="H11" s="13">
        <f t="shared" si="13"/>
        <v>0</v>
      </c>
      <c r="I11" s="13">
        <f t="shared" si="14"/>
        <v>0</v>
      </c>
      <c r="J11" s="13">
        <f t="shared" si="15"/>
        <v>0</v>
      </c>
      <c r="K11" s="13">
        <f t="shared" si="16"/>
        <v>0</v>
      </c>
      <c r="L11" s="13">
        <f t="shared" si="17"/>
        <v>0</v>
      </c>
      <c r="M11" s="13">
        <f t="shared" si="18"/>
        <v>0</v>
      </c>
      <c r="N11" s="13">
        <f t="shared" si="19"/>
        <v>0</v>
      </c>
      <c r="O11" s="13">
        <f t="shared" si="20"/>
        <v>0</v>
      </c>
      <c r="P11" s="13">
        <f t="shared" si="21"/>
        <v>0</v>
      </c>
      <c r="Q11" s="13">
        <f t="shared" si="22"/>
        <v>0</v>
      </c>
      <c r="R11" s="13">
        <f t="shared" si="23"/>
        <v>0</v>
      </c>
      <c r="S11" s="13">
        <f t="shared" si="24"/>
        <v>0</v>
      </c>
      <c r="T11" s="13">
        <f t="shared" si="25"/>
        <v>0</v>
      </c>
      <c r="U11" s="13">
        <f t="shared" si="26"/>
        <v>0</v>
      </c>
      <c r="V11" s="13">
        <f t="shared" si="27"/>
        <v>0</v>
      </c>
      <c r="W11" s="13">
        <f t="shared" si="28"/>
        <v>0</v>
      </c>
      <c r="X11" s="13">
        <f t="shared" si="29"/>
        <v>0</v>
      </c>
      <c r="Y11" s="13">
        <f t="shared" si="30"/>
        <v>0</v>
      </c>
      <c r="Z11" s="13">
        <f t="shared" si="31"/>
        <v>0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</row>
    <row r="12" spans="1:341" s="14" customFormat="1">
      <c r="A12" s="15" t="s">
        <v>10</v>
      </c>
      <c r="B12" s="13">
        <f t="shared" si="7"/>
        <v>0</v>
      </c>
      <c r="C12" s="13">
        <f t="shared" si="8"/>
        <v>0</v>
      </c>
      <c r="D12" s="13">
        <f t="shared" si="9"/>
        <v>0</v>
      </c>
      <c r="E12" s="13">
        <f t="shared" si="10"/>
        <v>0</v>
      </c>
      <c r="F12" s="13">
        <f t="shared" si="11"/>
        <v>0</v>
      </c>
      <c r="G12" s="13">
        <f t="shared" si="12"/>
        <v>0</v>
      </c>
      <c r="H12" s="13">
        <f t="shared" si="13"/>
        <v>0</v>
      </c>
      <c r="I12" s="13">
        <f t="shared" si="14"/>
        <v>0</v>
      </c>
      <c r="J12" s="13">
        <f t="shared" si="15"/>
        <v>0</v>
      </c>
      <c r="K12" s="13">
        <f t="shared" si="16"/>
        <v>0</v>
      </c>
      <c r="L12" s="13">
        <f t="shared" si="17"/>
        <v>0</v>
      </c>
      <c r="M12" s="13">
        <f t="shared" si="18"/>
        <v>0</v>
      </c>
      <c r="N12" s="13">
        <f t="shared" si="19"/>
        <v>0</v>
      </c>
      <c r="O12" s="13">
        <f t="shared" si="20"/>
        <v>0</v>
      </c>
      <c r="P12" s="13">
        <f t="shared" si="21"/>
        <v>0</v>
      </c>
      <c r="Q12" s="13">
        <f t="shared" si="22"/>
        <v>0</v>
      </c>
      <c r="R12" s="13">
        <f t="shared" si="23"/>
        <v>0</v>
      </c>
      <c r="S12" s="13">
        <f t="shared" si="24"/>
        <v>0</v>
      </c>
      <c r="T12" s="13">
        <f t="shared" si="25"/>
        <v>0</v>
      </c>
      <c r="U12" s="13">
        <f t="shared" si="26"/>
        <v>0</v>
      </c>
      <c r="V12" s="13">
        <f t="shared" si="27"/>
        <v>0</v>
      </c>
      <c r="W12" s="13">
        <f t="shared" si="28"/>
        <v>0</v>
      </c>
      <c r="X12" s="13">
        <f t="shared" si="29"/>
        <v>0</v>
      </c>
      <c r="Y12" s="13">
        <f t="shared" si="30"/>
        <v>0</v>
      </c>
      <c r="Z12" s="13">
        <f t="shared" si="31"/>
        <v>0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</row>
    <row r="13" spans="1:341" s="14" customFormat="1">
      <c r="A13" s="12" t="s">
        <v>11</v>
      </c>
      <c r="B13" s="13">
        <f t="shared" si="7"/>
        <v>0</v>
      </c>
      <c r="C13" s="13">
        <f t="shared" si="8"/>
        <v>0</v>
      </c>
      <c r="D13" s="13">
        <f t="shared" si="9"/>
        <v>0</v>
      </c>
      <c r="E13" s="13">
        <f t="shared" si="10"/>
        <v>0</v>
      </c>
      <c r="F13" s="13">
        <f t="shared" si="11"/>
        <v>0</v>
      </c>
      <c r="G13" s="13">
        <f t="shared" si="12"/>
        <v>0</v>
      </c>
      <c r="H13" s="13">
        <f t="shared" si="13"/>
        <v>0</v>
      </c>
      <c r="I13" s="13">
        <f t="shared" si="14"/>
        <v>0</v>
      </c>
      <c r="J13" s="13">
        <f t="shared" si="15"/>
        <v>0</v>
      </c>
      <c r="K13" s="13">
        <f t="shared" si="16"/>
        <v>0</v>
      </c>
      <c r="L13" s="13">
        <f t="shared" si="17"/>
        <v>0</v>
      </c>
      <c r="M13" s="13">
        <f t="shared" si="18"/>
        <v>6.9164611764705873E-4</v>
      </c>
      <c r="N13" s="13">
        <f t="shared" si="19"/>
        <v>2.3054870588235295E-3</v>
      </c>
      <c r="O13" s="13">
        <f t="shared" si="20"/>
        <v>2.4495799999999998E-3</v>
      </c>
      <c r="P13" s="13">
        <f t="shared" si="21"/>
        <v>6.3400894117647045E-4</v>
      </c>
      <c r="Q13" s="13">
        <f t="shared" si="22"/>
        <v>2.3343056470588237E-3</v>
      </c>
      <c r="R13" s="13">
        <f t="shared" si="23"/>
        <v>2.564854352941179E-3</v>
      </c>
      <c r="S13" s="13">
        <f t="shared" si="24"/>
        <v>1.2103807058823546E-3</v>
      </c>
      <c r="T13" s="13">
        <f t="shared" si="25"/>
        <v>8.6455764705882301E-5</v>
      </c>
      <c r="U13" s="13">
        <f t="shared" si="26"/>
        <v>0</v>
      </c>
      <c r="V13" s="13">
        <f t="shared" si="27"/>
        <v>0</v>
      </c>
      <c r="W13" s="13">
        <f t="shared" si="28"/>
        <v>0</v>
      </c>
      <c r="X13" s="13">
        <f t="shared" si="29"/>
        <v>0</v>
      </c>
      <c r="Y13" s="13">
        <f t="shared" si="30"/>
        <v>0</v>
      </c>
      <c r="Z13" s="13">
        <f t="shared" si="31"/>
        <v>0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>
        <v>2.8818588235294113E-2</v>
      </c>
      <c r="FH13" s="13">
        <v>2.8818588235294113E-2</v>
      </c>
      <c r="FI13" s="13"/>
      <c r="FJ13" s="13">
        <v>0.17291152941176466</v>
      </c>
      <c r="FK13" s="13"/>
      <c r="FL13" s="13"/>
      <c r="FM13" s="13"/>
      <c r="FN13" s="13"/>
      <c r="FO13" s="13">
        <v>0.46109741176470581</v>
      </c>
      <c r="FP13" s="13">
        <v>0.40346023529411756</v>
      </c>
      <c r="FQ13" s="13">
        <v>0.74928329411764694</v>
      </c>
      <c r="FR13" s="13"/>
      <c r="FS13" s="13"/>
      <c r="FT13" s="13">
        <v>8.6455764705882329E-2</v>
      </c>
      <c r="FU13" s="13"/>
      <c r="FV13" s="13">
        <v>0.69164611764705863</v>
      </c>
      <c r="FW13" s="13"/>
      <c r="FX13" s="13">
        <v>0.11527435294117645</v>
      </c>
      <c r="FY13" s="13">
        <v>0.25936729411764703</v>
      </c>
      <c r="FZ13" s="13"/>
      <c r="GA13" s="13"/>
      <c r="GB13" s="13"/>
      <c r="GC13" s="13">
        <v>0.92219482352941162</v>
      </c>
      <c r="GD13" s="13">
        <v>5.7637176470588226E-2</v>
      </c>
      <c r="GE13" s="13"/>
      <c r="GF13" s="13">
        <v>0.40346023529411756</v>
      </c>
      <c r="GG13" s="13">
        <v>0.89337623529411747</v>
      </c>
      <c r="GH13" s="13"/>
      <c r="GI13" s="13"/>
      <c r="GJ13" s="13"/>
      <c r="GK13" s="13">
        <v>0.17291152941176466</v>
      </c>
      <c r="GL13" s="13"/>
      <c r="GM13" s="13"/>
      <c r="GN13" s="13"/>
      <c r="GO13" s="13">
        <v>0.11527435294117645</v>
      </c>
      <c r="GP13" s="13">
        <v>0.34582305882352932</v>
      </c>
      <c r="GQ13" s="13"/>
      <c r="GR13" s="13"/>
      <c r="GS13" s="13"/>
      <c r="GT13" s="13">
        <v>0.17291152941176466</v>
      </c>
      <c r="GU13" s="13"/>
      <c r="GV13" s="13"/>
      <c r="GW13" s="13"/>
      <c r="GX13" s="13"/>
      <c r="GY13" s="13"/>
      <c r="GZ13" s="13">
        <v>5.7637176470588226E-2</v>
      </c>
      <c r="HA13" s="13"/>
      <c r="HB13" s="13"/>
      <c r="HC13" s="13">
        <v>1.7291152941176469</v>
      </c>
      <c r="HD13" s="13"/>
      <c r="HE13" s="13"/>
      <c r="HF13" s="13"/>
      <c r="HG13" s="13">
        <v>0.11527435294117645</v>
      </c>
      <c r="HH13" s="13">
        <v>0.25936729411764703</v>
      </c>
      <c r="HI13" s="13">
        <v>0.17291152941176466</v>
      </c>
      <c r="HJ13" s="13"/>
      <c r="HK13" s="13"/>
      <c r="HL13" s="13"/>
      <c r="HM13" s="13">
        <v>8.6455764705882301E-2</v>
      </c>
      <c r="HN13" s="13"/>
      <c r="HO13" s="13"/>
      <c r="HP13" s="13">
        <v>8.6455764705882301E-2</v>
      </c>
      <c r="HQ13" s="13"/>
      <c r="HR13" s="13"/>
      <c r="HS13" s="13">
        <v>2.3631242352941202</v>
      </c>
      <c r="HT13" s="13"/>
      <c r="HU13" s="13"/>
      <c r="HV13" s="13"/>
      <c r="HW13" s="13">
        <v>2.8818588235294099E-2</v>
      </c>
      <c r="HX13" s="13">
        <v>1.0374691764705899</v>
      </c>
      <c r="HY13" s="13"/>
      <c r="HZ13" s="13"/>
      <c r="IA13" s="13">
        <v>2.8818588235294099E-2</v>
      </c>
      <c r="IB13" s="13">
        <v>5.7637176470588199E-2</v>
      </c>
      <c r="IC13" s="13"/>
      <c r="ID13" s="13"/>
      <c r="IE13" s="13"/>
      <c r="IF13" s="13"/>
      <c r="IG13" s="13"/>
      <c r="IH13" s="13"/>
      <c r="II13" s="13">
        <v>8.6455764705882301E-2</v>
      </c>
      <c r="IJ13" s="13">
        <v>8.6455764705882301E-2</v>
      </c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</row>
    <row r="14" spans="1:341" s="14" customFormat="1">
      <c r="A14" s="15" t="s">
        <v>12</v>
      </c>
      <c r="B14" s="13">
        <f t="shared" si="7"/>
        <v>0</v>
      </c>
      <c r="C14" s="13">
        <f t="shared" si="8"/>
        <v>0</v>
      </c>
      <c r="D14" s="13">
        <f t="shared" si="9"/>
        <v>0</v>
      </c>
      <c r="E14" s="13">
        <f t="shared" si="10"/>
        <v>0</v>
      </c>
      <c r="F14" s="13">
        <f t="shared" si="11"/>
        <v>0</v>
      </c>
      <c r="G14" s="13">
        <f t="shared" si="12"/>
        <v>0</v>
      </c>
      <c r="H14" s="13">
        <f t="shared" si="13"/>
        <v>0</v>
      </c>
      <c r="I14" s="13">
        <f t="shared" si="14"/>
        <v>0</v>
      </c>
      <c r="J14" s="13">
        <f t="shared" si="15"/>
        <v>0</v>
      </c>
      <c r="K14" s="13">
        <f t="shared" si="16"/>
        <v>0</v>
      </c>
      <c r="L14" s="13">
        <f t="shared" si="17"/>
        <v>0</v>
      </c>
      <c r="M14" s="13">
        <f t="shared" si="18"/>
        <v>0</v>
      </c>
      <c r="N14" s="13">
        <f t="shared" si="19"/>
        <v>0</v>
      </c>
      <c r="O14" s="13">
        <f t="shared" si="20"/>
        <v>0</v>
      </c>
      <c r="P14" s="13">
        <f t="shared" si="21"/>
        <v>0</v>
      </c>
      <c r="Q14" s="13">
        <f t="shared" si="22"/>
        <v>0</v>
      </c>
      <c r="R14" s="13">
        <f t="shared" si="23"/>
        <v>0</v>
      </c>
      <c r="S14" s="13">
        <f t="shared" si="24"/>
        <v>0</v>
      </c>
      <c r="T14" s="13">
        <f t="shared" si="25"/>
        <v>0</v>
      </c>
      <c r="U14" s="13">
        <f t="shared" si="26"/>
        <v>0</v>
      </c>
      <c r="V14" s="13">
        <f t="shared" si="27"/>
        <v>0</v>
      </c>
      <c r="W14" s="13">
        <f t="shared" si="28"/>
        <v>0</v>
      </c>
      <c r="X14" s="13">
        <f t="shared" si="29"/>
        <v>0</v>
      </c>
      <c r="Y14" s="13">
        <f t="shared" si="30"/>
        <v>0</v>
      </c>
      <c r="Z14" s="13">
        <f t="shared" si="31"/>
        <v>0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</row>
    <row r="15" spans="1:341" s="14" customFormat="1">
      <c r="A15" s="12" t="s">
        <v>13</v>
      </c>
      <c r="B15" s="13">
        <f t="shared" si="7"/>
        <v>0</v>
      </c>
      <c r="C15" s="13">
        <f t="shared" si="8"/>
        <v>0</v>
      </c>
      <c r="D15" s="13">
        <f t="shared" si="9"/>
        <v>0</v>
      </c>
      <c r="E15" s="13">
        <f t="shared" si="10"/>
        <v>0</v>
      </c>
      <c r="F15" s="13">
        <f t="shared" si="11"/>
        <v>0</v>
      </c>
      <c r="G15" s="13">
        <f t="shared" si="12"/>
        <v>8.0173312470588218E-2</v>
      </c>
      <c r="H15" s="13">
        <f t="shared" si="13"/>
        <v>0</v>
      </c>
      <c r="I15" s="13">
        <f t="shared" si="14"/>
        <v>0</v>
      </c>
      <c r="J15" s="13">
        <f t="shared" si="15"/>
        <v>0</v>
      </c>
      <c r="K15" s="13">
        <f t="shared" si="16"/>
        <v>0</v>
      </c>
      <c r="L15" s="13">
        <f t="shared" si="17"/>
        <v>0</v>
      </c>
      <c r="M15" s="13">
        <f t="shared" si="18"/>
        <v>0</v>
      </c>
      <c r="N15" s="13">
        <f t="shared" si="19"/>
        <v>0</v>
      </c>
      <c r="O15" s="13">
        <f t="shared" si="20"/>
        <v>0</v>
      </c>
      <c r="P15" s="13">
        <f t="shared" si="21"/>
        <v>0</v>
      </c>
      <c r="Q15" s="13">
        <f t="shared" si="22"/>
        <v>0</v>
      </c>
      <c r="R15" s="13">
        <f t="shared" si="23"/>
        <v>0</v>
      </c>
      <c r="S15" s="13">
        <f t="shared" si="24"/>
        <v>0</v>
      </c>
      <c r="T15" s="13">
        <f t="shared" si="25"/>
        <v>0</v>
      </c>
      <c r="U15" s="13">
        <f t="shared" si="26"/>
        <v>0</v>
      </c>
      <c r="V15" s="13">
        <f t="shared" si="27"/>
        <v>0</v>
      </c>
      <c r="W15" s="13">
        <f t="shared" si="28"/>
        <v>0</v>
      </c>
      <c r="X15" s="13">
        <f t="shared" si="29"/>
        <v>0</v>
      </c>
      <c r="Y15" s="13">
        <f t="shared" si="30"/>
        <v>0</v>
      </c>
      <c r="Z15" s="13">
        <f t="shared" si="31"/>
        <v>0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>
        <v>10.634059058823528</v>
      </c>
      <c r="CL15" s="13">
        <v>5.3314388235294112</v>
      </c>
      <c r="CM15" s="13">
        <v>5.3314388235294112</v>
      </c>
      <c r="CN15" s="13">
        <v>15.965497882352938</v>
      </c>
      <c r="CO15" s="13">
        <v>5.6196247058823516</v>
      </c>
      <c r="CP15" s="13">
        <v>15.965497882352938</v>
      </c>
      <c r="CQ15" s="13">
        <v>15.994316470588233</v>
      </c>
      <c r="CR15" s="13">
        <v>5.3314388235294112</v>
      </c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</row>
    <row r="16" spans="1:341" s="14" customFormat="1">
      <c r="A16" s="12" t="s">
        <v>14</v>
      </c>
      <c r="B16" s="13">
        <f t="shared" si="7"/>
        <v>0</v>
      </c>
      <c r="C16" s="13">
        <f t="shared" si="8"/>
        <v>0</v>
      </c>
      <c r="D16" s="13">
        <f t="shared" si="9"/>
        <v>0</v>
      </c>
      <c r="E16" s="13">
        <f t="shared" si="10"/>
        <v>0</v>
      </c>
      <c r="F16" s="13">
        <f t="shared" si="11"/>
        <v>0</v>
      </c>
      <c r="G16" s="13">
        <f t="shared" si="12"/>
        <v>2.5417994823529407E-2</v>
      </c>
      <c r="H16" s="13">
        <f t="shared" si="13"/>
        <v>2.2968414823529411E-2</v>
      </c>
      <c r="I16" s="13">
        <f t="shared" si="14"/>
        <v>1.2132625647058819E-2</v>
      </c>
      <c r="J16" s="13">
        <f t="shared" si="15"/>
        <v>9.2219482352941164E-4</v>
      </c>
      <c r="K16" s="13">
        <f t="shared" si="16"/>
        <v>0</v>
      </c>
      <c r="L16" s="13">
        <f t="shared" si="17"/>
        <v>3.7320071764705871E-2</v>
      </c>
      <c r="M16" s="13">
        <f t="shared" si="18"/>
        <v>2.4611074352941173E-2</v>
      </c>
      <c r="N16" s="13">
        <f t="shared" si="19"/>
        <v>6.0807221176470572E-3</v>
      </c>
      <c r="O16" s="13">
        <f t="shared" si="20"/>
        <v>5.2219281882352926E-2</v>
      </c>
      <c r="P16" s="13">
        <f t="shared" si="21"/>
        <v>0.15691721294117644</v>
      </c>
      <c r="Q16" s="13">
        <f t="shared" si="22"/>
        <v>0.16245038188235292</v>
      </c>
      <c r="R16" s="13">
        <f t="shared" si="23"/>
        <v>8.0490316941176476E-2</v>
      </c>
      <c r="S16" s="13">
        <f t="shared" si="24"/>
        <v>1.4564338122352927</v>
      </c>
      <c r="T16" s="13">
        <f t="shared" si="25"/>
        <v>0</v>
      </c>
      <c r="U16" s="13">
        <f t="shared" si="26"/>
        <v>0</v>
      </c>
      <c r="V16" s="13">
        <f t="shared" si="27"/>
        <v>0.47478624117647028</v>
      </c>
      <c r="W16" s="13">
        <f t="shared" si="28"/>
        <v>2.8905043999999984E-2</v>
      </c>
      <c r="X16" s="13">
        <f t="shared" si="29"/>
        <v>0.43720464108843532</v>
      </c>
      <c r="Y16" s="13">
        <f t="shared" si="30"/>
        <v>0.36353766857142855</v>
      </c>
      <c r="Z16" s="13">
        <f t="shared" si="31"/>
        <v>8.7419999999999998E-2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>
        <v>0.5475531764705881</v>
      </c>
      <c r="CK16" s="13">
        <v>2.7377658823529405</v>
      </c>
      <c r="CL16" s="13">
        <v>7.1181912941176453</v>
      </c>
      <c r="CM16" s="13">
        <v>5.0432529411764699</v>
      </c>
      <c r="CN16" s="13"/>
      <c r="CO16" s="13">
        <v>3.4005934117647056</v>
      </c>
      <c r="CP16" s="13">
        <v>4.3804254117647048</v>
      </c>
      <c r="CQ16" s="13"/>
      <c r="CR16" s="13"/>
      <c r="CS16" s="13">
        <v>2.1902127058823524</v>
      </c>
      <c r="CT16" s="13"/>
      <c r="CU16" s="13"/>
      <c r="CV16" s="13">
        <v>2.4207614117647056</v>
      </c>
      <c r="CW16" s="13">
        <v>4.3804254117647048</v>
      </c>
      <c r="CX16" s="13">
        <v>6.5706381176470581</v>
      </c>
      <c r="CY16" s="13">
        <v>0.83573905882352928</v>
      </c>
      <c r="CZ16" s="13">
        <v>3.285319058823529</v>
      </c>
      <c r="DA16" s="13">
        <v>1.6426595294117645</v>
      </c>
      <c r="DB16" s="13"/>
      <c r="DC16" s="13"/>
      <c r="DD16" s="13">
        <v>2.1902127058823524</v>
      </c>
      <c r="DE16" s="13">
        <v>1.6426595294117645</v>
      </c>
      <c r="DF16" s="13"/>
      <c r="DG16" s="13"/>
      <c r="DH16" s="13"/>
      <c r="DI16" s="13"/>
      <c r="DJ16" s="13"/>
      <c r="DK16" s="13"/>
      <c r="DL16" s="13"/>
      <c r="DM16" s="13"/>
      <c r="DN16" s="13">
        <v>5.7348990588235278</v>
      </c>
      <c r="DO16" s="13"/>
      <c r="DP16" s="13">
        <v>0.92219482352941162</v>
      </c>
      <c r="DQ16" s="13"/>
      <c r="DR16" s="13"/>
      <c r="DS16" s="13">
        <v>5.475531764705881</v>
      </c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>
        <v>0.92219482352941162</v>
      </c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>
        <v>0.17291152941176466</v>
      </c>
      <c r="ES16" s="13">
        <v>0.43227882352941172</v>
      </c>
      <c r="ET16" s="13"/>
      <c r="EU16" s="13">
        <v>0.43227882352941172</v>
      </c>
      <c r="EV16" s="13"/>
      <c r="EW16" s="13"/>
      <c r="EX16" s="13"/>
      <c r="EY16" s="13">
        <v>10.489966117647057</v>
      </c>
      <c r="EZ16" s="13">
        <v>10.374691764705881</v>
      </c>
      <c r="FA16" s="13">
        <v>0.80692047058823513</v>
      </c>
      <c r="FB16" s="13">
        <v>8.2132976470588215</v>
      </c>
      <c r="FC16" s="13">
        <v>6.3977265882352929</v>
      </c>
      <c r="FD16" s="13">
        <v>0.40346023529411756</v>
      </c>
      <c r="FE16" s="13">
        <v>4.4092439999999993</v>
      </c>
      <c r="FF16" s="13">
        <v>1.7002967058823528</v>
      </c>
      <c r="FG16" s="13">
        <v>0.34582305882352932</v>
      </c>
      <c r="FH16" s="13">
        <v>2.4495799999999996</v>
      </c>
      <c r="FI16" s="13">
        <v>0.48991599999999991</v>
      </c>
      <c r="FJ16" s="13">
        <v>7.8098374117647049</v>
      </c>
      <c r="FK16" s="13">
        <v>0.57637176470588225</v>
      </c>
      <c r="FL16" s="13">
        <v>5.1873458823529406</v>
      </c>
      <c r="FM16" s="13">
        <v>0.51873458823529406</v>
      </c>
      <c r="FN16" s="13">
        <v>0.34582305882352932</v>
      </c>
      <c r="FO16" s="13">
        <v>0.37464164705882347</v>
      </c>
      <c r="FP16" s="13">
        <v>0.86455764705882343</v>
      </c>
      <c r="FQ16" s="13">
        <v>0.25936729411764703</v>
      </c>
      <c r="FR16" s="13"/>
      <c r="FS16" s="13">
        <v>3.7464164705882346</v>
      </c>
      <c r="FT16" s="13"/>
      <c r="FU16" s="13">
        <v>0.46109741176470581</v>
      </c>
      <c r="FV16" s="13">
        <v>0.14409294117647056</v>
      </c>
      <c r="FW16" s="13"/>
      <c r="FX16" s="13">
        <v>0.20173011764705878</v>
      </c>
      <c r="FY16" s="13">
        <v>0.14409294117647056</v>
      </c>
      <c r="FZ16" s="13">
        <v>0.25936729411764703</v>
      </c>
      <c r="GA16" s="13"/>
      <c r="GB16" s="13">
        <v>5.8789919999999984</v>
      </c>
      <c r="GC16" s="13">
        <v>5.7348990588235278</v>
      </c>
      <c r="GD16" s="13"/>
      <c r="GE16" s="13">
        <v>39.856107529411759</v>
      </c>
      <c r="GF16" s="13">
        <v>0.14409294117647056</v>
      </c>
      <c r="GG16" s="13"/>
      <c r="GH16" s="13">
        <v>0.46109741176470581</v>
      </c>
      <c r="GI16" s="13"/>
      <c r="GJ16" s="13">
        <v>5.7637176470588226E-2</v>
      </c>
      <c r="GK16" s="13"/>
      <c r="GL16" s="13">
        <v>8.6455764705882329E-2</v>
      </c>
      <c r="GM16" s="13"/>
      <c r="GN16" s="13">
        <v>2.8818588235294113E-2</v>
      </c>
      <c r="GO16" s="13">
        <v>0.17291152941176466</v>
      </c>
      <c r="GP16" s="13">
        <v>0.28818588235294113</v>
      </c>
      <c r="GQ16" s="13"/>
      <c r="GR16" s="13"/>
      <c r="GS16" s="13">
        <v>57.781269411764697</v>
      </c>
      <c r="GT16" s="13">
        <v>0.14409294117647056</v>
      </c>
      <c r="GU16" s="13">
        <v>28.818588235294111</v>
      </c>
      <c r="GV16" s="13">
        <v>0.14409294117647056</v>
      </c>
      <c r="GW16" s="13">
        <v>69.423979058823519</v>
      </c>
      <c r="GX16" s="13"/>
      <c r="GY16" s="13">
        <v>0.11527435294117645</v>
      </c>
      <c r="GZ16" s="13">
        <v>23.170144941176467</v>
      </c>
      <c r="HA16" s="13"/>
      <c r="HB16" s="13"/>
      <c r="HC16" s="13">
        <v>0.28818588235294113</v>
      </c>
      <c r="HD16" s="13"/>
      <c r="HE16" s="13">
        <v>69.568071999999987</v>
      </c>
      <c r="HF16" s="13"/>
      <c r="HG16" s="13">
        <v>69.423979058823519</v>
      </c>
      <c r="HH16" s="13"/>
      <c r="HI16" s="13"/>
      <c r="HJ16" s="13"/>
      <c r="HK16" s="13"/>
      <c r="HL16" s="13"/>
      <c r="HM16" s="13"/>
      <c r="HN16" s="13"/>
      <c r="HO16" s="13">
        <v>41.210581176470598</v>
      </c>
      <c r="HP16" s="13">
        <v>5.7637176470588199E-2</v>
      </c>
      <c r="HQ16" s="13">
        <v>39.222098588235298</v>
      </c>
      <c r="HR16" s="13"/>
      <c r="HS16" s="13"/>
      <c r="HT16" s="13"/>
      <c r="HU16" s="13"/>
      <c r="HV16" s="13"/>
      <c r="HW16" s="13"/>
      <c r="HX16" s="13">
        <v>43.804254117646998</v>
      </c>
      <c r="HY16" s="13">
        <v>42.6803291764706</v>
      </c>
      <c r="HZ16" s="13">
        <v>34.611124470588202</v>
      </c>
      <c r="IA16" s="13">
        <v>258.81974094117601</v>
      </c>
      <c r="IB16" s="13">
        <v>241.643862352941</v>
      </c>
      <c r="IC16" s="13">
        <v>234.32394094117601</v>
      </c>
      <c r="ID16" s="13">
        <v>144.006485411765</v>
      </c>
      <c r="IE16" s="13"/>
      <c r="IF16" s="13"/>
      <c r="IG16" s="13">
        <v>255.102143058823</v>
      </c>
      <c r="IH16" s="13">
        <v>201.441931764706</v>
      </c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>
        <v>0.66282752941176426</v>
      </c>
      <c r="JM16" s="13"/>
      <c r="JN16" s="13"/>
      <c r="JO16" s="13">
        <v>136.60010823529402</v>
      </c>
      <c r="JP16" s="13">
        <v>119.65477835294111</v>
      </c>
      <c r="JQ16" s="13">
        <v>120.1735129411764</v>
      </c>
      <c r="JR16" s="13">
        <v>68.934063058823483</v>
      </c>
      <c r="JS16" s="13">
        <v>28.760951058823512</v>
      </c>
      <c r="JT16" s="13">
        <v>28.905043999999982</v>
      </c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>
        <v>201.50526748299316</v>
      </c>
      <c r="KM16" s="13">
        <v>5.9389763265306126</v>
      </c>
      <c r="KN16" s="13">
        <v>101.62248380952381</v>
      </c>
      <c r="KO16" s="13">
        <v>68.418207074829937</v>
      </c>
      <c r="KP16" s="13">
        <v>59.719706394557818</v>
      </c>
      <c r="KQ16" s="13"/>
      <c r="KR16" s="13">
        <v>148.56452742857144</v>
      </c>
      <c r="KS16" s="13">
        <v>155.28337542857142</v>
      </c>
      <c r="KT16" s="13">
        <v>11.817973714285714</v>
      </c>
      <c r="KU16" s="13"/>
      <c r="KV16" s="13">
        <v>1.3797634285714284</v>
      </c>
      <c r="KW16" s="13">
        <v>10.258241142857143</v>
      </c>
      <c r="KX16" s="13"/>
      <c r="KY16" s="13"/>
      <c r="KZ16" s="13">
        <v>11.787978857142857</v>
      </c>
      <c r="LA16" s="13"/>
      <c r="LB16" s="13">
        <v>5.9689765714285707</v>
      </c>
      <c r="LC16" s="13">
        <v>18.476832000000002</v>
      </c>
      <c r="LD16" s="13"/>
      <c r="LE16" s="13"/>
      <c r="LF16" s="13"/>
      <c r="LG16" s="13"/>
      <c r="LH16" s="13"/>
      <c r="LI16" s="13"/>
      <c r="LJ16" s="13">
        <v>46.38</v>
      </c>
      <c r="LK16" s="13">
        <v>5.7750000000000004</v>
      </c>
      <c r="LL16" s="13"/>
      <c r="LM16" s="13">
        <v>35.265000000000001</v>
      </c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</row>
    <row r="17" spans="1:341" s="14" customFormat="1">
      <c r="A17" s="12" t="s">
        <v>15</v>
      </c>
      <c r="B17" s="13">
        <f t="shared" si="7"/>
        <v>0</v>
      </c>
      <c r="C17" s="13">
        <f t="shared" si="8"/>
        <v>0</v>
      </c>
      <c r="D17" s="13">
        <f t="shared" si="9"/>
        <v>0</v>
      </c>
      <c r="E17" s="13">
        <f t="shared" si="10"/>
        <v>0</v>
      </c>
      <c r="F17" s="13">
        <f t="shared" si="11"/>
        <v>0</v>
      </c>
      <c r="G17" s="13">
        <f t="shared" si="12"/>
        <v>0</v>
      </c>
      <c r="H17" s="13">
        <f t="shared" si="13"/>
        <v>0</v>
      </c>
      <c r="I17" s="13">
        <f t="shared" si="14"/>
        <v>0</v>
      </c>
      <c r="J17" s="13">
        <f t="shared" si="15"/>
        <v>0</v>
      </c>
      <c r="K17" s="13">
        <f t="shared" si="16"/>
        <v>0</v>
      </c>
      <c r="L17" s="13">
        <f t="shared" si="17"/>
        <v>0</v>
      </c>
      <c r="M17" s="13">
        <f t="shared" si="18"/>
        <v>0</v>
      </c>
      <c r="N17" s="13">
        <f t="shared" si="19"/>
        <v>0</v>
      </c>
      <c r="O17" s="13">
        <f t="shared" si="20"/>
        <v>0</v>
      </c>
      <c r="P17" s="13">
        <f t="shared" si="21"/>
        <v>0</v>
      </c>
      <c r="Q17" s="13">
        <f t="shared" si="22"/>
        <v>0</v>
      </c>
      <c r="R17" s="13">
        <f t="shared" si="23"/>
        <v>0</v>
      </c>
      <c r="S17" s="13">
        <f t="shared" si="24"/>
        <v>0</v>
      </c>
      <c r="T17" s="13">
        <f t="shared" si="25"/>
        <v>0</v>
      </c>
      <c r="U17" s="13">
        <f t="shared" si="26"/>
        <v>0</v>
      </c>
      <c r="V17" s="13">
        <f t="shared" si="27"/>
        <v>0</v>
      </c>
      <c r="W17" s="13">
        <f t="shared" si="28"/>
        <v>0</v>
      </c>
      <c r="X17" s="13">
        <f t="shared" si="29"/>
        <v>0</v>
      </c>
      <c r="Y17" s="13">
        <f t="shared" si="30"/>
        <v>0</v>
      </c>
      <c r="Z17" s="13">
        <f t="shared" si="31"/>
        <v>0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</row>
    <row r="18" spans="1:341" s="14" customFormat="1">
      <c r="A18" s="15" t="s">
        <v>16</v>
      </c>
      <c r="B18" s="13">
        <f t="shared" si="7"/>
        <v>0</v>
      </c>
      <c r="C18" s="13">
        <f t="shared" si="8"/>
        <v>0</v>
      </c>
      <c r="D18" s="13">
        <f t="shared" si="9"/>
        <v>0</v>
      </c>
      <c r="E18" s="13">
        <f t="shared" si="10"/>
        <v>0</v>
      </c>
      <c r="F18" s="13">
        <f t="shared" si="11"/>
        <v>0</v>
      </c>
      <c r="G18" s="13">
        <f t="shared" si="12"/>
        <v>0.1057642188235294</v>
      </c>
      <c r="H18" s="13">
        <f t="shared" si="13"/>
        <v>1.1312448625882352</v>
      </c>
      <c r="I18" s="13">
        <f t="shared" si="14"/>
        <v>1.1380460494117646</v>
      </c>
      <c r="J18" s="13">
        <f t="shared" si="15"/>
        <v>1.4911602110588236</v>
      </c>
      <c r="K18" s="13">
        <f t="shared" si="16"/>
        <v>0.15227742023529411</v>
      </c>
      <c r="L18" s="13">
        <f t="shared" si="17"/>
        <v>0.21230653952941173</v>
      </c>
      <c r="M18" s="13">
        <f t="shared" si="18"/>
        <v>0.85017717152941141</v>
      </c>
      <c r="N18" s="13">
        <f t="shared" si="19"/>
        <v>0.63167463552941161</v>
      </c>
      <c r="O18" s="13">
        <f t="shared" si="20"/>
        <v>0.34835909458823522</v>
      </c>
      <c r="P18" s="13">
        <f t="shared" si="21"/>
        <v>0.66715031764705868</v>
      </c>
      <c r="Q18" s="13">
        <f t="shared" si="22"/>
        <v>0.39227862305882349</v>
      </c>
      <c r="R18" s="13">
        <f t="shared" si="23"/>
        <v>0.42317214964705863</v>
      </c>
      <c r="S18" s="13">
        <f t="shared" si="24"/>
        <v>0.34925247082352923</v>
      </c>
      <c r="T18" s="13">
        <f t="shared" si="25"/>
        <v>0</v>
      </c>
      <c r="U18" s="13">
        <f t="shared" si="26"/>
        <v>40.523529120235274</v>
      </c>
      <c r="V18" s="13">
        <f t="shared" si="27"/>
        <v>8.6044811637646994</v>
      </c>
      <c r="W18" s="13">
        <f t="shared" si="28"/>
        <v>3.1123787108235277</v>
      </c>
      <c r="X18" s="13">
        <f t="shared" si="29"/>
        <v>24.761182051972789</v>
      </c>
      <c r="Y18" s="13">
        <f t="shared" si="30"/>
        <v>16.481184169714286</v>
      </c>
      <c r="Z18" s="13">
        <f t="shared" si="31"/>
        <v>0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>
        <v>2.7665844705882345</v>
      </c>
      <c r="CK18" s="13">
        <v>8.9913995294117637</v>
      </c>
      <c r="CL18" s="13">
        <v>16.196046588235291</v>
      </c>
      <c r="CM18" s="13">
        <v>6.9740983529411746</v>
      </c>
      <c r="CN18" s="13">
        <v>7.319921411764704</v>
      </c>
      <c r="CO18" s="13">
        <v>8.3862091764705866</v>
      </c>
      <c r="CP18" s="13">
        <v>10.317054588235292</v>
      </c>
      <c r="CQ18" s="13">
        <v>19.62545858823529</v>
      </c>
      <c r="CR18" s="13">
        <v>7.2911028235294104</v>
      </c>
      <c r="CS18" s="13">
        <v>8.2709348235294105</v>
      </c>
      <c r="CT18" s="13">
        <v>2.4783985882352937</v>
      </c>
      <c r="CU18" s="13">
        <v>7.1470098823529398</v>
      </c>
      <c r="CV18" s="13">
        <v>6.8588239999999994</v>
      </c>
      <c r="CW18" s="13">
        <v>5.1873458823529406</v>
      </c>
      <c r="CX18" s="13">
        <v>3.285319058823529</v>
      </c>
      <c r="CY18" s="13"/>
      <c r="CZ18" s="13">
        <v>7.5792887058823517</v>
      </c>
      <c r="DA18" s="13">
        <v>211.55725623529409</v>
      </c>
      <c r="DB18" s="13">
        <v>104.20801505882352</v>
      </c>
      <c r="DC18" s="13">
        <v>292.01875458823525</v>
      </c>
      <c r="DD18" s="13">
        <v>105.38957717647057</v>
      </c>
      <c r="DE18" s="13">
        <v>158.67514682352939</v>
      </c>
      <c r="DF18" s="13">
        <v>127.95453176470586</v>
      </c>
      <c r="DG18" s="13">
        <v>108.53080329411763</v>
      </c>
      <c r="DH18" s="13">
        <v>71.498917411764694</v>
      </c>
      <c r="DI18" s="13">
        <v>6.7435496470588223</v>
      </c>
      <c r="DJ18" s="13">
        <v>182.36402635294112</v>
      </c>
      <c r="DK18" s="13">
        <v>11.70034682352941</v>
      </c>
      <c r="DL18" s="13">
        <v>9.7983199999999986</v>
      </c>
      <c r="DM18" s="13">
        <v>17.002967058823526</v>
      </c>
      <c r="DN18" s="13">
        <v>399.48327011764701</v>
      </c>
      <c r="DO18" s="13">
        <v>10.951063529411762</v>
      </c>
      <c r="DP18" s="13">
        <v>412.91273223529402</v>
      </c>
      <c r="DQ18" s="13">
        <v>6.3112708235294104</v>
      </c>
      <c r="DR18" s="13">
        <v>7.377558588235293</v>
      </c>
      <c r="DS18" s="13">
        <v>1.9020268235294113</v>
      </c>
      <c r="DT18" s="13">
        <v>6.2824522352941168</v>
      </c>
      <c r="DU18" s="13">
        <v>685.24839105882347</v>
      </c>
      <c r="DV18" s="13">
        <v>7.2046470588235278</v>
      </c>
      <c r="DW18" s="13">
        <v>16.743599764705881</v>
      </c>
      <c r="DX18" s="13">
        <v>5.0144343529411755</v>
      </c>
      <c r="DY18" s="13">
        <v>4.7838856470588231</v>
      </c>
      <c r="DZ18" s="13">
        <v>164.9864176470588</v>
      </c>
      <c r="EA18" s="13">
        <v>164.26595294117644</v>
      </c>
      <c r="EB18" s="13">
        <v>166.8596258823529</v>
      </c>
      <c r="EC18" s="13">
        <v>254.95805011764702</v>
      </c>
      <c r="ED18" s="13">
        <v>5.5043503529411755</v>
      </c>
      <c r="EE18" s="13">
        <v>9.3084039999999977</v>
      </c>
      <c r="EF18" s="13">
        <v>3.3141376470588231</v>
      </c>
      <c r="EG18" s="13">
        <v>14.524568470588232</v>
      </c>
      <c r="EH18" s="13">
        <v>22.65141035294117</v>
      </c>
      <c r="EI18" s="13">
        <v>10.201780235294116</v>
      </c>
      <c r="EJ18" s="13">
        <v>27.348840235294116</v>
      </c>
      <c r="EK18" s="13">
        <v>13.285369176470587</v>
      </c>
      <c r="EL18" s="13">
        <v>3.256500470588235</v>
      </c>
      <c r="EM18" s="13">
        <v>1.2103807058823528</v>
      </c>
      <c r="EN18" s="13">
        <v>7.0893727058823517</v>
      </c>
      <c r="EO18" s="13">
        <v>13.919378117647055</v>
      </c>
      <c r="EP18" s="13">
        <v>7.9539303529411756</v>
      </c>
      <c r="EQ18" s="13">
        <v>27.521751764705879</v>
      </c>
      <c r="ER18" s="13">
        <v>13.487099294117645</v>
      </c>
      <c r="ES18" s="13">
        <v>8.6455764705882334</v>
      </c>
      <c r="ET18" s="13">
        <v>20.691746352941173</v>
      </c>
      <c r="EU18" s="13">
        <v>32.276818823529403</v>
      </c>
      <c r="EV18" s="13">
        <v>29.625508705882346</v>
      </c>
      <c r="EW18" s="13">
        <v>15.475581882352939</v>
      </c>
      <c r="EX18" s="13">
        <v>17.031785647058822</v>
      </c>
      <c r="EY18" s="13">
        <v>23.74651670588235</v>
      </c>
      <c r="EZ18" s="13">
        <v>9.221948235294116</v>
      </c>
      <c r="FA18" s="13">
        <v>12.132625647058822</v>
      </c>
      <c r="FB18" s="13">
        <v>12.622541647058821</v>
      </c>
      <c r="FC18" s="13">
        <v>17.348790117647056</v>
      </c>
      <c r="FD18" s="13">
        <v>28.415127999999992</v>
      </c>
      <c r="FE18" s="13">
        <v>422.04822470588226</v>
      </c>
      <c r="FF18" s="13">
        <v>10.605240470588232</v>
      </c>
      <c r="FG18" s="13">
        <v>214.4679336470588</v>
      </c>
      <c r="FH18" s="13">
        <v>23.170144941176467</v>
      </c>
      <c r="FI18" s="13">
        <v>13.487099294117645</v>
      </c>
      <c r="FJ18" s="13">
        <v>14.928028705882349</v>
      </c>
      <c r="FK18" s="13">
        <v>7.5504701176470572</v>
      </c>
      <c r="FL18" s="13">
        <v>24.697530117647055</v>
      </c>
      <c r="FM18" s="13">
        <v>16.685962588235292</v>
      </c>
      <c r="FN18" s="13">
        <v>51.268268470588225</v>
      </c>
      <c r="FO18" s="13">
        <v>22.85314047058823</v>
      </c>
      <c r="FP18" s="13">
        <v>38.645726823529401</v>
      </c>
      <c r="FQ18" s="13">
        <v>31.988632941176466</v>
      </c>
      <c r="FR18" s="13">
        <v>63.602624235294101</v>
      </c>
      <c r="FS18" s="13">
        <v>60.374942352941169</v>
      </c>
      <c r="FT18" s="13">
        <v>94.784336705882325</v>
      </c>
      <c r="FU18" s="13">
        <v>71.066638588235278</v>
      </c>
      <c r="FV18" s="13">
        <v>30.576522117647052</v>
      </c>
      <c r="FW18" s="13">
        <v>44.668811764705872</v>
      </c>
      <c r="FX18" s="13">
        <v>50.749533882352928</v>
      </c>
      <c r="FY18" s="13">
        <v>46.945480235294113</v>
      </c>
      <c r="FZ18" s="13">
        <v>36.686062823529404</v>
      </c>
      <c r="GA18" s="13">
        <v>61.585323058823512</v>
      </c>
      <c r="GB18" s="13">
        <v>19.827188705882349</v>
      </c>
      <c r="GC18" s="13">
        <v>25.129808941176467</v>
      </c>
      <c r="GD18" s="13">
        <v>32.161544470588225</v>
      </c>
      <c r="GE18" s="13">
        <v>39.42382870588235</v>
      </c>
      <c r="GF18" s="13">
        <v>41.412311294117636</v>
      </c>
      <c r="GG18" s="13">
        <v>28.18457929411764</v>
      </c>
      <c r="GH18" s="13">
        <v>21.498666823529405</v>
      </c>
      <c r="GI18" s="13">
        <v>20.979932235294115</v>
      </c>
      <c r="GJ18" s="13">
        <v>25.043353176470585</v>
      </c>
      <c r="GK18" s="13">
        <v>34.063571294117644</v>
      </c>
      <c r="GL18" s="13">
        <v>26.369008235294114</v>
      </c>
      <c r="GM18" s="13">
        <v>34.265301411764703</v>
      </c>
      <c r="GN18" s="13">
        <v>45.274002117647051</v>
      </c>
      <c r="GO18" s="13">
        <v>33.487199529411761</v>
      </c>
      <c r="GP18" s="13">
        <v>72.709298117647052</v>
      </c>
      <c r="GQ18" s="13">
        <v>39.510284470588225</v>
      </c>
      <c r="GR18" s="13">
        <v>37.63707623529411</v>
      </c>
      <c r="GS18" s="13">
        <v>34.841673176470586</v>
      </c>
      <c r="GT18" s="13">
        <v>36.282602588235292</v>
      </c>
      <c r="GU18" s="13">
        <v>56.859074588235288</v>
      </c>
      <c r="GV18" s="13">
        <v>33.804203999999991</v>
      </c>
      <c r="GW18" s="13">
        <v>183.57440705882351</v>
      </c>
      <c r="GX18" s="13">
        <v>48.040586588235286</v>
      </c>
      <c r="GY18" s="13">
        <v>45.129909176470576</v>
      </c>
      <c r="GZ18" s="13">
        <v>27.11829152941176</v>
      </c>
      <c r="HA18" s="13">
        <v>36.887792941176464</v>
      </c>
      <c r="HB18" s="13">
        <v>23.458330823529408</v>
      </c>
      <c r="HC18" s="13">
        <v>13.083639058823527</v>
      </c>
      <c r="HD18" s="13">
        <v>27.348840235294116</v>
      </c>
      <c r="HE18" s="13">
        <v>30.979982352941171</v>
      </c>
      <c r="HF18" s="13">
        <v>28.760951058823522</v>
      </c>
      <c r="HG18" s="13">
        <v>31.268168235294112</v>
      </c>
      <c r="HH18" s="13">
        <v>31.066438117647053</v>
      </c>
      <c r="HI18" s="13">
        <v>56.570888705882346</v>
      </c>
      <c r="HJ18" s="13">
        <v>47.08957317647058</v>
      </c>
      <c r="HK18" s="13">
        <v>38.645726823529401</v>
      </c>
      <c r="HL18" s="13">
        <v>41.758134352941198</v>
      </c>
      <c r="HM18" s="13">
        <v>37.060704470588199</v>
      </c>
      <c r="HN18" s="13">
        <v>50.835989647058803</v>
      </c>
      <c r="HO18" s="13">
        <v>77.032086352941107</v>
      </c>
      <c r="HP18" s="13">
        <v>92.651761176470501</v>
      </c>
      <c r="HQ18" s="13">
        <v>110.432830117647</v>
      </c>
      <c r="HR18" s="13">
        <v>6.4553637647058801</v>
      </c>
      <c r="HS18" s="13">
        <v>1.61384094117647</v>
      </c>
      <c r="HT18" s="13">
        <v>3.19886329411765</v>
      </c>
      <c r="HU18" s="13">
        <v>1.0662877647058799</v>
      </c>
      <c r="HV18" s="13">
        <v>0.51873458823529395</v>
      </c>
      <c r="HW18" s="13">
        <v>0.54755317647058799</v>
      </c>
      <c r="HX18" s="13">
        <v>19.481365647058801</v>
      </c>
      <c r="HY18" s="13">
        <v>22.132675764705901</v>
      </c>
      <c r="HZ18" s="13">
        <v>47.810037882352901</v>
      </c>
      <c r="IA18" s="13">
        <v>30.432429176470599</v>
      </c>
      <c r="IB18" s="13">
        <v>19.942463058823499</v>
      </c>
      <c r="IC18" s="13">
        <v>23.861791058823499</v>
      </c>
      <c r="ID18" s="13">
        <v>30.8358894117647</v>
      </c>
      <c r="IE18" s="13">
        <v>23.977065411764698</v>
      </c>
      <c r="IF18" s="13">
        <v>35.302770588235298</v>
      </c>
      <c r="IG18" s="13">
        <v>34.495850117647002</v>
      </c>
      <c r="IH18" s="13">
        <v>34.611124470588202</v>
      </c>
      <c r="II18" s="13">
        <v>26.3690082352941</v>
      </c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>
        <v>5574.9678000000004</v>
      </c>
      <c r="IY18" s="16">
        <v>5598.61595505882</v>
      </c>
      <c r="IZ18" s="13"/>
      <c r="JA18" s="13">
        <v>6644.3848849411725</v>
      </c>
      <c r="JB18" s="13">
        <v>2169.0598621176455</v>
      </c>
      <c r="JC18" s="13">
        <v>4459.4747992941147</v>
      </c>
      <c r="JD18" s="13">
        <v>4549.6193432941154</v>
      </c>
      <c r="JE18" s="13">
        <v>5770.7782011764666</v>
      </c>
      <c r="JF18" s="13">
        <v>5756.6282743529373</v>
      </c>
      <c r="JG18" s="13"/>
      <c r="JH18" s="13">
        <v>6401.3000931764664</v>
      </c>
      <c r="JI18" s="13"/>
      <c r="JJ18" s="13">
        <v>0.4034602352941174</v>
      </c>
      <c r="JK18" s="13"/>
      <c r="JL18" s="13"/>
      <c r="JM18" s="13"/>
      <c r="JN18" s="13">
        <v>0.4034602352941174</v>
      </c>
      <c r="JO18" s="13">
        <v>0.69164611764705841</v>
      </c>
      <c r="JP18" s="13"/>
      <c r="JQ18" s="13"/>
      <c r="JR18" s="13">
        <v>2201.682503999999</v>
      </c>
      <c r="JS18" s="13"/>
      <c r="JT18" s="13"/>
      <c r="JU18" s="13">
        <v>0.1152743529411764</v>
      </c>
      <c r="JV18" s="13"/>
      <c r="JW18" s="13">
        <v>5.7637176470588199E-2</v>
      </c>
      <c r="JX18" s="13">
        <v>3106.8167232941159</v>
      </c>
      <c r="JY18" s="13"/>
      <c r="JZ18" s="13">
        <v>5.2449830588235242</v>
      </c>
      <c r="KA18" s="13">
        <v>0.14409294117647051</v>
      </c>
      <c r="KB18" s="13"/>
      <c r="KC18" s="13"/>
      <c r="KD18" s="13"/>
      <c r="KE18" s="13"/>
      <c r="KF18" s="13"/>
      <c r="KG18" s="13">
        <v>0.12</v>
      </c>
      <c r="KH18" s="13">
        <v>2870.5352193197282</v>
      </c>
      <c r="KI18" s="13">
        <v>4.9191521088435373</v>
      </c>
      <c r="KJ18" s="13"/>
      <c r="KK18" s="13"/>
      <c r="KL18" s="13"/>
      <c r="KM18" s="13"/>
      <c r="KN18" s="13">
        <v>2729.5295238095237</v>
      </c>
      <c r="KO18" s="13">
        <v>2768.3128389115641</v>
      </c>
      <c r="KP18" s="13">
        <v>5961.2924800000001</v>
      </c>
      <c r="KQ18" s="13">
        <v>10426.472837823128</v>
      </c>
      <c r="KR18" s="13"/>
      <c r="KS18" s="13"/>
      <c r="KT18" s="13"/>
      <c r="KU18" s="13"/>
      <c r="KV18" s="13"/>
      <c r="KW18" s="13"/>
      <c r="KX18" s="13"/>
      <c r="KY18" s="13"/>
      <c r="KZ18" s="13"/>
      <c r="LA18" s="13">
        <v>2099.5500154285714</v>
      </c>
      <c r="LB18" s="13">
        <v>3023.4816000000001</v>
      </c>
      <c r="LC18" s="13">
        <v>11358.152554285713</v>
      </c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</row>
    <row r="19" spans="1:341" s="14" customFormat="1">
      <c r="A19" s="12" t="s">
        <v>17</v>
      </c>
      <c r="B19" s="13">
        <f t="shared" si="7"/>
        <v>0</v>
      </c>
      <c r="C19" s="13">
        <f t="shared" si="8"/>
        <v>0</v>
      </c>
      <c r="D19" s="13">
        <f t="shared" si="9"/>
        <v>0</v>
      </c>
      <c r="E19" s="13">
        <f t="shared" si="10"/>
        <v>0</v>
      </c>
      <c r="F19" s="13">
        <f t="shared" si="11"/>
        <v>0</v>
      </c>
      <c r="G19" s="13">
        <f t="shared" si="12"/>
        <v>0</v>
      </c>
      <c r="H19" s="13">
        <f t="shared" si="13"/>
        <v>0</v>
      </c>
      <c r="I19" s="13">
        <f t="shared" si="14"/>
        <v>0</v>
      </c>
      <c r="J19" s="13">
        <f t="shared" si="15"/>
        <v>0</v>
      </c>
      <c r="K19" s="13">
        <f t="shared" si="16"/>
        <v>0</v>
      </c>
      <c r="L19" s="13">
        <f t="shared" si="17"/>
        <v>0</v>
      </c>
      <c r="M19" s="13">
        <f t="shared" si="18"/>
        <v>0</v>
      </c>
      <c r="N19" s="13">
        <f t="shared" si="19"/>
        <v>0</v>
      </c>
      <c r="O19" s="13">
        <f t="shared" si="20"/>
        <v>0</v>
      </c>
      <c r="P19" s="13">
        <f t="shared" si="21"/>
        <v>0</v>
      </c>
      <c r="Q19" s="13">
        <f t="shared" si="22"/>
        <v>0</v>
      </c>
      <c r="R19" s="13">
        <f t="shared" si="23"/>
        <v>0</v>
      </c>
      <c r="S19" s="13">
        <f t="shared" si="24"/>
        <v>0</v>
      </c>
      <c r="T19" s="13">
        <f t="shared" si="25"/>
        <v>0</v>
      </c>
      <c r="U19" s="13">
        <f t="shared" si="26"/>
        <v>0</v>
      </c>
      <c r="V19" s="13">
        <f t="shared" si="27"/>
        <v>0</v>
      </c>
      <c r="W19" s="13">
        <f t="shared" si="28"/>
        <v>0</v>
      </c>
      <c r="X19" s="13">
        <f t="shared" si="29"/>
        <v>0</v>
      </c>
      <c r="Y19" s="13">
        <f t="shared" si="30"/>
        <v>0</v>
      </c>
      <c r="Z19" s="13">
        <f t="shared" si="31"/>
        <v>0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</row>
    <row r="20" spans="1:341" s="14" customFormat="1">
      <c r="A20" s="15" t="s">
        <v>18</v>
      </c>
      <c r="B20" s="13">
        <f t="shared" si="7"/>
        <v>0</v>
      </c>
      <c r="C20" s="13">
        <f t="shared" si="8"/>
        <v>0</v>
      </c>
      <c r="D20" s="13">
        <f t="shared" si="9"/>
        <v>0</v>
      </c>
      <c r="E20" s="13">
        <f t="shared" si="10"/>
        <v>0</v>
      </c>
      <c r="F20" s="13">
        <f t="shared" si="11"/>
        <v>0</v>
      </c>
      <c r="G20" s="13">
        <f t="shared" si="12"/>
        <v>0</v>
      </c>
      <c r="H20" s="13">
        <f t="shared" si="13"/>
        <v>0</v>
      </c>
      <c r="I20" s="13">
        <f t="shared" si="14"/>
        <v>0</v>
      </c>
      <c r="J20" s="13">
        <f t="shared" si="15"/>
        <v>0</v>
      </c>
      <c r="K20" s="13">
        <f t="shared" si="16"/>
        <v>0</v>
      </c>
      <c r="L20" s="13">
        <f t="shared" si="17"/>
        <v>0</v>
      </c>
      <c r="M20" s="13">
        <f t="shared" si="18"/>
        <v>0</v>
      </c>
      <c r="N20" s="13">
        <f t="shared" si="19"/>
        <v>0</v>
      </c>
      <c r="O20" s="13">
        <f t="shared" si="20"/>
        <v>0</v>
      </c>
      <c r="P20" s="13">
        <f t="shared" si="21"/>
        <v>0</v>
      </c>
      <c r="Q20" s="13">
        <f t="shared" si="22"/>
        <v>0</v>
      </c>
      <c r="R20" s="13">
        <f t="shared" si="23"/>
        <v>0</v>
      </c>
      <c r="S20" s="13">
        <f t="shared" si="24"/>
        <v>0</v>
      </c>
      <c r="T20" s="13">
        <f t="shared" si="25"/>
        <v>0</v>
      </c>
      <c r="U20" s="13">
        <f t="shared" si="26"/>
        <v>0</v>
      </c>
      <c r="V20" s="13">
        <f t="shared" si="27"/>
        <v>0</v>
      </c>
      <c r="W20" s="13">
        <f t="shared" si="28"/>
        <v>0</v>
      </c>
      <c r="X20" s="13">
        <f t="shared" si="29"/>
        <v>0</v>
      </c>
      <c r="Y20" s="13">
        <f t="shared" si="30"/>
        <v>0</v>
      </c>
      <c r="Z20" s="13">
        <f t="shared" si="31"/>
        <v>0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</row>
    <row r="21" spans="1:341" s="14" customFormat="1">
      <c r="A21" s="12" t="s">
        <v>19</v>
      </c>
      <c r="B21" s="13">
        <f t="shared" si="7"/>
        <v>0</v>
      </c>
      <c r="C21" s="13">
        <f t="shared" si="8"/>
        <v>0</v>
      </c>
      <c r="D21" s="13">
        <f t="shared" si="9"/>
        <v>0</v>
      </c>
      <c r="E21" s="13">
        <f t="shared" si="10"/>
        <v>0</v>
      </c>
      <c r="F21" s="13">
        <f t="shared" si="11"/>
        <v>0</v>
      </c>
      <c r="G21" s="13">
        <f t="shared" si="12"/>
        <v>0</v>
      </c>
      <c r="H21" s="13">
        <f t="shared" si="13"/>
        <v>0</v>
      </c>
      <c r="I21" s="13">
        <f t="shared" si="14"/>
        <v>0</v>
      </c>
      <c r="J21" s="13">
        <f t="shared" si="15"/>
        <v>0</v>
      </c>
      <c r="K21" s="13">
        <f t="shared" si="16"/>
        <v>0</v>
      </c>
      <c r="L21" s="13">
        <f t="shared" si="17"/>
        <v>0</v>
      </c>
      <c r="M21" s="13">
        <f t="shared" si="18"/>
        <v>1.7291152941176468E-4</v>
      </c>
      <c r="N21" s="13">
        <f t="shared" si="19"/>
        <v>2.5936729411764705E-4</v>
      </c>
      <c r="O21" s="13">
        <f t="shared" si="20"/>
        <v>0</v>
      </c>
      <c r="P21" s="13">
        <f t="shared" si="21"/>
        <v>0</v>
      </c>
      <c r="Q21" s="13">
        <f t="shared" si="22"/>
        <v>0</v>
      </c>
      <c r="R21" s="13">
        <f t="shared" si="23"/>
        <v>0</v>
      </c>
      <c r="S21" s="13">
        <f t="shared" si="24"/>
        <v>0</v>
      </c>
      <c r="T21" s="13">
        <f t="shared" si="25"/>
        <v>0</v>
      </c>
      <c r="U21" s="13">
        <f t="shared" si="26"/>
        <v>0</v>
      </c>
      <c r="V21" s="13">
        <f t="shared" si="27"/>
        <v>0</v>
      </c>
      <c r="W21" s="13">
        <f t="shared" si="28"/>
        <v>0</v>
      </c>
      <c r="X21" s="13">
        <f t="shared" si="29"/>
        <v>0</v>
      </c>
      <c r="Y21" s="13">
        <f t="shared" si="30"/>
        <v>0</v>
      </c>
      <c r="Z21" s="13">
        <f t="shared" si="31"/>
        <v>0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>
        <v>5.7637176470588226E-2</v>
      </c>
      <c r="FJ21" s="13"/>
      <c r="FK21" s="13">
        <v>0.11527435294117645</v>
      </c>
      <c r="FL21" s="13"/>
      <c r="FM21" s="13"/>
      <c r="FN21" s="13"/>
      <c r="FO21" s="13"/>
      <c r="FP21" s="13"/>
      <c r="FQ21" s="13"/>
      <c r="FR21" s="13"/>
      <c r="FS21" s="13"/>
      <c r="FT21" s="13"/>
      <c r="FU21" s="13">
        <v>0.14409294117647056</v>
      </c>
      <c r="FV21" s="13"/>
      <c r="FW21" s="13">
        <v>0.11527435294117645</v>
      </c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</row>
    <row r="22" spans="1:341" s="14" customFormat="1">
      <c r="A22" s="15" t="s">
        <v>20</v>
      </c>
      <c r="B22" s="13">
        <f t="shared" si="7"/>
        <v>0</v>
      </c>
      <c r="C22" s="13">
        <f t="shared" si="8"/>
        <v>0</v>
      </c>
      <c r="D22" s="13">
        <f t="shared" si="9"/>
        <v>0</v>
      </c>
      <c r="E22" s="13">
        <f t="shared" si="10"/>
        <v>0</v>
      </c>
      <c r="F22" s="13">
        <f t="shared" si="11"/>
        <v>0</v>
      </c>
      <c r="G22" s="13">
        <f t="shared" si="12"/>
        <v>1.7002967058823528E-3</v>
      </c>
      <c r="H22" s="13">
        <f t="shared" si="13"/>
        <v>0</v>
      </c>
      <c r="I22" s="13">
        <f t="shared" si="14"/>
        <v>0</v>
      </c>
      <c r="J22" s="13">
        <f t="shared" si="15"/>
        <v>2.8818588235294114E-4</v>
      </c>
      <c r="K22" s="13">
        <f t="shared" si="16"/>
        <v>0</v>
      </c>
      <c r="L22" s="13">
        <f t="shared" si="17"/>
        <v>0</v>
      </c>
      <c r="M22" s="13">
        <f t="shared" si="18"/>
        <v>2.3919428235294115E-3</v>
      </c>
      <c r="N22" s="13">
        <f t="shared" si="19"/>
        <v>3.2853190588235284E-2</v>
      </c>
      <c r="O22" s="13">
        <f t="shared" si="20"/>
        <v>7.273811670588233E-2</v>
      </c>
      <c r="P22" s="13">
        <f t="shared" si="21"/>
        <v>1.6801236941176467E-2</v>
      </c>
      <c r="Q22" s="13">
        <f t="shared" si="22"/>
        <v>0</v>
      </c>
      <c r="R22" s="13">
        <f t="shared" si="23"/>
        <v>6.2536336470588186E-3</v>
      </c>
      <c r="S22" s="13">
        <f t="shared" si="24"/>
        <v>8.5014835294117564E-3</v>
      </c>
      <c r="T22" s="13">
        <f t="shared" si="25"/>
        <v>0</v>
      </c>
      <c r="U22" s="13">
        <f t="shared" si="26"/>
        <v>0</v>
      </c>
      <c r="V22" s="13">
        <f t="shared" si="27"/>
        <v>0</v>
      </c>
      <c r="W22" s="13">
        <f t="shared" si="28"/>
        <v>7.2046470588235244E-4</v>
      </c>
      <c r="X22" s="13">
        <f t="shared" si="29"/>
        <v>0</v>
      </c>
      <c r="Y22" s="13">
        <f t="shared" si="30"/>
        <v>0</v>
      </c>
      <c r="Z22" s="13">
        <f t="shared" si="31"/>
        <v>0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>
        <v>0.34582305882352932</v>
      </c>
      <c r="CR22" s="13"/>
      <c r="CS22" s="13">
        <v>0.77810188235294109</v>
      </c>
      <c r="CT22" s="13"/>
      <c r="CU22" s="13">
        <v>0.57637176470588225</v>
      </c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>
        <v>0.28818588235294113</v>
      </c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>
        <v>2.3919428235294116</v>
      </c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>
        <v>8.7608508235294096</v>
      </c>
      <c r="FY22" s="13">
        <v>6.5706381176470581</v>
      </c>
      <c r="FZ22" s="13">
        <v>13.141276235294116</v>
      </c>
      <c r="GA22" s="13">
        <v>4.3804254117647048</v>
      </c>
      <c r="GB22" s="13">
        <v>11.469798117647056</v>
      </c>
      <c r="GC22" s="13"/>
      <c r="GD22" s="13">
        <v>4.3804254117647048</v>
      </c>
      <c r="GE22" s="13"/>
      <c r="GF22" s="13">
        <v>11.49861670588235</v>
      </c>
      <c r="GG22" s="13"/>
      <c r="GH22" s="13">
        <v>6.3689079999999993</v>
      </c>
      <c r="GI22" s="13">
        <v>4.3804254117647048</v>
      </c>
      <c r="GJ22" s="13">
        <v>9.1931296470588215</v>
      </c>
      <c r="GK22" s="13">
        <v>11.383342352941174</v>
      </c>
      <c r="GL22" s="13">
        <v>14.063471058823525</v>
      </c>
      <c r="GM22" s="13"/>
      <c r="GN22" s="13">
        <v>4.0346023529411754</v>
      </c>
      <c r="GO22" s="13"/>
      <c r="GP22" s="13">
        <v>0.86455764705882343</v>
      </c>
      <c r="GQ22" s="13">
        <v>0.43227882352941172</v>
      </c>
      <c r="GR22" s="13"/>
      <c r="GS22" s="13">
        <v>11.469798117647056</v>
      </c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>
        <v>0.201730117647059</v>
      </c>
      <c r="HO22" s="13">
        <v>6.05190352941176</v>
      </c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>
        <v>4.1498767058823498</v>
      </c>
      <c r="IC22" s="13"/>
      <c r="ID22" s="13"/>
      <c r="IE22" s="13">
        <v>2.9683145882352902</v>
      </c>
      <c r="IF22" s="13">
        <v>0.11527435294117599</v>
      </c>
      <c r="IG22" s="13"/>
      <c r="IH22" s="13">
        <v>0.317004470588235</v>
      </c>
      <c r="II22" s="13">
        <v>0.951013411764705</v>
      </c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>
        <v>0.72046470588235245</v>
      </c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</row>
    <row r="23" spans="1:341" s="14" customFormat="1">
      <c r="A23" s="15" t="s">
        <v>21</v>
      </c>
      <c r="B23" s="13">
        <f t="shared" si="7"/>
        <v>0</v>
      </c>
      <c r="C23" s="13">
        <f t="shared" si="8"/>
        <v>0</v>
      </c>
      <c r="D23" s="13">
        <f t="shared" si="9"/>
        <v>0</v>
      </c>
      <c r="E23" s="13">
        <f t="shared" si="10"/>
        <v>0</v>
      </c>
      <c r="F23" s="13">
        <f t="shared" si="11"/>
        <v>0</v>
      </c>
      <c r="G23" s="13">
        <f t="shared" si="12"/>
        <v>0</v>
      </c>
      <c r="H23" s="13">
        <f t="shared" si="13"/>
        <v>0</v>
      </c>
      <c r="I23" s="13">
        <f t="shared" si="14"/>
        <v>0</v>
      </c>
      <c r="J23" s="13">
        <f t="shared" si="15"/>
        <v>0</v>
      </c>
      <c r="K23" s="13">
        <f t="shared" si="16"/>
        <v>0</v>
      </c>
      <c r="L23" s="13">
        <f t="shared" si="17"/>
        <v>0</v>
      </c>
      <c r="M23" s="13">
        <f t="shared" si="18"/>
        <v>0</v>
      </c>
      <c r="N23" s="13">
        <f t="shared" si="19"/>
        <v>0</v>
      </c>
      <c r="O23" s="13">
        <f t="shared" si="20"/>
        <v>0</v>
      </c>
      <c r="P23" s="13">
        <f t="shared" si="21"/>
        <v>0</v>
      </c>
      <c r="Q23" s="13">
        <f t="shared" si="22"/>
        <v>0</v>
      </c>
      <c r="R23" s="13">
        <f t="shared" si="23"/>
        <v>0</v>
      </c>
      <c r="S23" s="13">
        <f t="shared" si="24"/>
        <v>0</v>
      </c>
      <c r="T23" s="13">
        <f t="shared" si="25"/>
        <v>0</v>
      </c>
      <c r="U23" s="13">
        <f t="shared" si="26"/>
        <v>0</v>
      </c>
      <c r="V23" s="13">
        <f t="shared" si="27"/>
        <v>0</v>
      </c>
      <c r="W23" s="13">
        <f t="shared" si="28"/>
        <v>0</v>
      </c>
      <c r="X23" s="13">
        <f t="shared" si="29"/>
        <v>0</v>
      </c>
      <c r="Y23" s="13">
        <f t="shared" si="30"/>
        <v>0</v>
      </c>
      <c r="Z23" s="13">
        <f t="shared" si="31"/>
        <v>0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</row>
    <row r="24" spans="1:341" s="14" customFormat="1">
      <c r="A24" s="15" t="s">
        <v>22</v>
      </c>
      <c r="B24" s="13">
        <f t="shared" si="7"/>
        <v>0</v>
      </c>
      <c r="C24" s="13">
        <f t="shared" si="8"/>
        <v>0</v>
      </c>
      <c r="D24" s="13">
        <f t="shared" si="9"/>
        <v>0</v>
      </c>
      <c r="E24" s="13">
        <f t="shared" si="10"/>
        <v>0</v>
      </c>
      <c r="F24" s="13">
        <f t="shared" si="11"/>
        <v>0</v>
      </c>
      <c r="G24" s="13">
        <f t="shared" si="12"/>
        <v>0</v>
      </c>
      <c r="H24" s="13">
        <f t="shared" si="13"/>
        <v>0</v>
      </c>
      <c r="I24" s="13">
        <f t="shared" si="14"/>
        <v>0</v>
      </c>
      <c r="J24" s="13">
        <f t="shared" si="15"/>
        <v>0</v>
      </c>
      <c r="K24" s="13">
        <f t="shared" si="16"/>
        <v>0</v>
      </c>
      <c r="L24" s="13">
        <f t="shared" si="17"/>
        <v>0</v>
      </c>
      <c r="M24" s="13">
        <f t="shared" si="18"/>
        <v>0</v>
      </c>
      <c r="N24" s="13">
        <f t="shared" si="19"/>
        <v>0</v>
      </c>
      <c r="O24" s="13">
        <f t="shared" si="20"/>
        <v>0</v>
      </c>
      <c r="P24" s="13">
        <f t="shared" si="21"/>
        <v>0</v>
      </c>
      <c r="Q24" s="13">
        <f t="shared" si="22"/>
        <v>0</v>
      </c>
      <c r="R24" s="13">
        <f t="shared" si="23"/>
        <v>0</v>
      </c>
      <c r="S24" s="13">
        <f t="shared" si="24"/>
        <v>0</v>
      </c>
      <c r="T24" s="13">
        <f t="shared" si="25"/>
        <v>0</v>
      </c>
      <c r="U24" s="13">
        <f t="shared" si="26"/>
        <v>0</v>
      </c>
      <c r="V24" s="13">
        <f t="shared" si="27"/>
        <v>0</v>
      </c>
      <c r="W24" s="13">
        <f t="shared" si="28"/>
        <v>0</v>
      </c>
      <c r="X24" s="13">
        <f t="shared" si="29"/>
        <v>0</v>
      </c>
      <c r="Y24" s="13">
        <f t="shared" si="30"/>
        <v>0</v>
      </c>
      <c r="Z24" s="13">
        <f t="shared" si="31"/>
        <v>0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</row>
    <row r="25" spans="1:341" s="14" customFormat="1">
      <c r="A25" s="15" t="s">
        <v>23</v>
      </c>
      <c r="B25" s="13">
        <f t="shared" si="7"/>
        <v>0</v>
      </c>
      <c r="C25" s="13">
        <f t="shared" si="8"/>
        <v>0</v>
      </c>
      <c r="D25" s="13">
        <f t="shared" si="9"/>
        <v>0</v>
      </c>
      <c r="E25" s="13">
        <f t="shared" si="10"/>
        <v>0</v>
      </c>
      <c r="F25" s="13">
        <f t="shared" si="11"/>
        <v>0</v>
      </c>
      <c r="G25" s="13">
        <f t="shared" si="12"/>
        <v>0</v>
      </c>
      <c r="H25" s="13">
        <f t="shared" si="13"/>
        <v>0</v>
      </c>
      <c r="I25" s="13">
        <f t="shared" si="14"/>
        <v>0</v>
      </c>
      <c r="J25" s="13">
        <f t="shared" si="15"/>
        <v>0</v>
      </c>
      <c r="K25" s="13">
        <f t="shared" si="16"/>
        <v>0</v>
      </c>
      <c r="L25" s="13">
        <f t="shared" si="17"/>
        <v>0</v>
      </c>
      <c r="M25" s="13">
        <f t="shared" si="18"/>
        <v>0</v>
      </c>
      <c r="N25" s="13">
        <f t="shared" si="19"/>
        <v>0</v>
      </c>
      <c r="O25" s="13">
        <f t="shared" si="20"/>
        <v>0</v>
      </c>
      <c r="P25" s="13">
        <f t="shared" si="21"/>
        <v>0</v>
      </c>
      <c r="Q25" s="13">
        <f t="shared" si="22"/>
        <v>0</v>
      </c>
      <c r="R25" s="13">
        <f t="shared" si="23"/>
        <v>0</v>
      </c>
      <c r="S25" s="13">
        <f t="shared" si="24"/>
        <v>0</v>
      </c>
      <c r="T25" s="13">
        <f t="shared" si="25"/>
        <v>0</v>
      </c>
      <c r="U25" s="13">
        <f t="shared" si="26"/>
        <v>0</v>
      </c>
      <c r="V25" s="13">
        <f t="shared" si="27"/>
        <v>0</v>
      </c>
      <c r="W25" s="13">
        <f t="shared" si="28"/>
        <v>0</v>
      </c>
      <c r="X25" s="13">
        <f t="shared" si="29"/>
        <v>0</v>
      </c>
      <c r="Y25" s="13">
        <f t="shared" si="30"/>
        <v>0</v>
      </c>
      <c r="Z25" s="13">
        <f t="shared" si="31"/>
        <v>0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</row>
    <row r="26" spans="1:341" s="14" customFormat="1">
      <c r="A26" s="12" t="s">
        <v>24</v>
      </c>
      <c r="B26" s="13">
        <f t="shared" si="7"/>
        <v>0</v>
      </c>
      <c r="C26" s="13">
        <f t="shared" si="8"/>
        <v>0</v>
      </c>
      <c r="D26" s="13">
        <f t="shared" si="9"/>
        <v>0</v>
      </c>
      <c r="E26" s="13">
        <f t="shared" si="10"/>
        <v>0</v>
      </c>
      <c r="F26" s="13">
        <f t="shared" si="11"/>
        <v>0</v>
      </c>
      <c r="G26" s="13">
        <f t="shared" si="12"/>
        <v>0</v>
      </c>
      <c r="H26" s="13">
        <f t="shared" si="13"/>
        <v>0</v>
      </c>
      <c r="I26" s="13">
        <f t="shared" si="14"/>
        <v>0</v>
      </c>
      <c r="J26" s="13">
        <f t="shared" si="15"/>
        <v>0</v>
      </c>
      <c r="K26" s="13">
        <f t="shared" si="16"/>
        <v>0</v>
      </c>
      <c r="L26" s="13">
        <f t="shared" si="17"/>
        <v>0</v>
      </c>
      <c r="M26" s="13">
        <f t="shared" si="18"/>
        <v>0</v>
      </c>
      <c r="N26" s="13">
        <f t="shared" si="19"/>
        <v>0</v>
      </c>
      <c r="O26" s="13">
        <f t="shared" si="20"/>
        <v>0</v>
      </c>
      <c r="P26" s="13">
        <f t="shared" si="21"/>
        <v>0</v>
      </c>
      <c r="Q26" s="13">
        <f t="shared" si="22"/>
        <v>0</v>
      </c>
      <c r="R26" s="13">
        <f t="shared" si="23"/>
        <v>0</v>
      </c>
      <c r="S26" s="13">
        <f t="shared" si="24"/>
        <v>0</v>
      </c>
      <c r="T26" s="13">
        <f t="shared" si="25"/>
        <v>0</v>
      </c>
      <c r="U26" s="13">
        <f t="shared" si="26"/>
        <v>0</v>
      </c>
      <c r="V26" s="13">
        <f t="shared" si="27"/>
        <v>0</v>
      </c>
      <c r="W26" s="13">
        <f t="shared" si="28"/>
        <v>0</v>
      </c>
      <c r="X26" s="13">
        <f t="shared" si="29"/>
        <v>0</v>
      </c>
      <c r="Y26" s="13">
        <f t="shared" si="30"/>
        <v>0</v>
      </c>
      <c r="Z26" s="13">
        <f t="shared" si="31"/>
        <v>0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</row>
    <row r="27" spans="1:341" s="14" customFormat="1">
      <c r="A27" s="12" t="s">
        <v>25</v>
      </c>
      <c r="B27" s="13">
        <f t="shared" si="7"/>
        <v>0</v>
      </c>
      <c r="C27" s="13">
        <f t="shared" si="8"/>
        <v>0</v>
      </c>
      <c r="D27" s="13">
        <f t="shared" si="9"/>
        <v>0</v>
      </c>
      <c r="E27" s="13">
        <f t="shared" si="10"/>
        <v>0</v>
      </c>
      <c r="F27" s="13">
        <f t="shared" si="11"/>
        <v>0</v>
      </c>
      <c r="G27" s="13">
        <f t="shared" si="12"/>
        <v>0.34121208470588227</v>
      </c>
      <c r="H27" s="13">
        <f t="shared" si="13"/>
        <v>0.2431136103529411</v>
      </c>
      <c r="I27" s="13">
        <f t="shared" si="14"/>
        <v>0.31469898352941172</v>
      </c>
      <c r="J27" s="13">
        <f t="shared" si="15"/>
        <v>0.48562203035294105</v>
      </c>
      <c r="K27" s="13">
        <f t="shared" si="16"/>
        <v>0.64758249623529396</v>
      </c>
      <c r="L27" s="13">
        <f t="shared" si="17"/>
        <v>1.0331752068235291</v>
      </c>
      <c r="M27" s="13">
        <f t="shared" si="18"/>
        <v>1.2189110080000001</v>
      </c>
      <c r="N27" s="13">
        <f t="shared" si="19"/>
        <v>1.3101794769411763</v>
      </c>
      <c r="O27" s="13">
        <f t="shared" si="20"/>
        <v>0.92801617835294103</v>
      </c>
      <c r="P27" s="13">
        <f t="shared" si="21"/>
        <v>1.0143278501176469</v>
      </c>
      <c r="Q27" s="13">
        <f t="shared" si="22"/>
        <v>0.68000340799999981</v>
      </c>
      <c r="R27" s="13">
        <f t="shared" si="23"/>
        <v>0.46011757976470558</v>
      </c>
      <c r="S27" s="13">
        <f t="shared" si="24"/>
        <v>6.08345988352941</v>
      </c>
      <c r="T27" s="13">
        <f t="shared" si="25"/>
        <v>2.6785919825882343</v>
      </c>
      <c r="U27" s="13">
        <f t="shared" si="26"/>
        <v>11.108297746823522</v>
      </c>
      <c r="V27" s="13">
        <f t="shared" si="27"/>
        <v>1.383292235294117E-2</v>
      </c>
      <c r="W27" s="13">
        <f t="shared" si="28"/>
        <v>3.227681882352939E-3</v>
      </c>
      <c r="X27" s="13">
        <f t="shared" si="29"/>
        <v>5.1591107482993207E-3</v>
      </c>
      <c r="Y27" s="13">
        <f t="shared" si="30"/>
        <v>9.53836457142857E-3</v>
      </c>
      <c r="Z27" s="13">
        <f t="shared" si="31"/>
        <v>1.65E-3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>
        <v>48.905144235294102</v>
      </c>
      <c r="CK27" s="13">
        <v>52.363374823529398</v>
      </c>
      <c r="CL27" s="13">
        <v>24.005883999999995</v>
      </c>
      <c r="CM27" s="13">
        <v>9.7118642352941169</v>
      </c>
      <c r="CN27" s="13">
        <v>12.593723058823528</v>
      </c>
      <c r="CO27" s="13">
        <v>10.662877647058822</v>
      </c>
      <c r="CP27" s="13">
        <v>26.455463999999996</v>
      </c>
      <c r="CQ27" s="13">
        <v>35.677412235294113</v>
      </c>
      <c r="CR27" s="13">
        <v>22.075038588235287</v>
      </c>
      <c r="CS27" s="13">
        <v>18.55917082352941</v>
      </c>
      <c r="CT27" s="13">
        <v>33.544836705882346</v>
      </c>
      <c r="CU27" s="13">
        <v>46.657294352941172</v>
      </c>
      <c r="CV27" s="13">
        <v>17.175878588235292</v>
      </c>
      <c r="CW27" s="13">
        <v>25.50445058823529</v>
      </c>
      <c r="CX27" s="13">
        <v>33.256650823529405</v>
      </c>
      <c r="CY27" s="13">
        <v>39.279735764705876</v>
      </c>
      <c r="CZ27" s="13">
        <v>38.530452470588223</v>
      </c>
      <c r="DA27" s="13">
        <v>18.35744070588235</v>
      </c>
      <c r="DB27" s="13">
        <v>13.112457647058822</v>
      </c>
      <c r="DC27" s="13">
        <v>24.553437176470585</v>
      </c>
      <c r="DD27" s="13">
        <v>5.5331689411764691</v>
      </c>
      <c r="DE27" s="13">
        <v>11.412160941176468</v>
      </c>
      <c r="DF27" s="13">
        <v>6.6570938823529406</v>
      </c>
      <c r="DG27" s="13">
        <v>9.7406828235294096</v>
      </c>
      <c r="DH27" s="13">
        <v>21.095206588235293</v>
      </c>
      <c r="DI27" s="13">
        <v>10.374691764705881</v>
      </c>
      <c r="DJ27" s="13">
        <v>18.818538117647055</v>
      </c>
      <c r="DK27" s="13">
        <v>34.784035999999993</v>
      </c>
      <c r="DL27" s="13">
        <v>16.282502352941172</v>
      </c>
      <c r="DM27" s="13">
        <v>18.904993882352937</v>
      </c>
      <c r="DN27" s="13">
        <v>24.985715999999996</v>
      </c>
      <c r="DO27" s="13">
        <v>56.74380023529411</v>
      </c>
      <c r="DP27" s="13">
        <v>26.167278117647054</v>
      </c>
      <c r="DQ27" s="13">
        <v>31.38344258823529</v>
      </c>
      <c r="DR27" s="13">
        <v>42.882059294117646</v>
      </c>
      <c r="DS27" s="13">
        <v>12.276718588235292</v>
      </c>
      <c r="DT27" s="13">
        <v>26.916561411764704</v>
      </c>
      <c r="DU27" s="13">
        <v>35.245133411764698</v>
      </c>
      <c r="DV27" s="13">
        <v>37.521801882352932</v>
      </c>
      <c r="DW27" s="13">
        <v>17.060604235294115</v>
      </c>
      <c r="DX27" s="13">
        <v>52.766835058823517</v>
      </c>
      <c r="DY27" s="13">
        <v>56.570888705882346</v>
      </c>
      <c r="DZ27" s="13">
        <v>43.804254117647048</v>
      </c>
      <c r="EA27" s="13">
        <v>38.645726823529401</v>
      </c>
      <c r="EB27" s="13">
        <v>76.311621647058814</v>
      </c>
      <c r="EC27" s="13">
        <v>40.835939529411753</v>
      </c>
      <c r="ED27" s="13">
        <v>36.916611529411753</v>
      </c>
      <c r="EE27" s="13">
        <v>23.026051999999996</v>
      </c>
      <c r="EF27" s="13">
        <v>53.112658117647051</v>
      </c>
      <c r="EG27" s="13">
        <v>42.824422117647046</v>
      </c>
      <c r="EH27" s="13">
        <v>68.905244470588215</v>
      </c>
      <c r="EI27" s="13">
        <v>67.550770823529405</v>
      </c>
      <c r="EJ27" s="13">
        <v>35.562137882352935</v>
      </c>
      <c r="EK27" s="13">
        <v>66.801487529411759</v>
      </c>
      <c r="EL27" s="13">
        <v>69.654527764705861</v>
      </c>
      <c r="EM27" s="13">
        <v>61.153044235294104</v>
      </c>
      <c r="EN27" s="13">
        <v>57.896543764705875</v>
      </c>
      <c r="EO27" s="13">
        <v>55.64869388235293</v>
      </c>
      <c r="EP27" s="13">
        <v>45.47573223529411</v>
      </c>
      <c r="EQ27" s="13">
        <v>22.9972334117647</v>
      </c>
      <c r="ER27" s="13">
        <v>86.109941647058818</v>
      </c>
      <c r="ES27" s="13">
        <v>69.135793176470571</v>
      </c>
      <c r="ET27" s="13">
        <v>96.88809364705881</v>
      </c>
      <c r="EU27" s="13">
        <v>106.16767905882351</v>
      </c>
      <c r="EV27" s="13">
        <v>43.170245176470587</v>
      </c>
      <c r="EW27" s="13">
        <v>92.536486823529401</v>
      </c>
      <c r="EX27" s="13">
        <v>77.752551058823514</v>
      </c>
      <c r="EY27" s="13">
        <v>78.127192705882351</v>
      </c>
      <c r="EZ27" s="13">
        <v>44.207714352941167</v>
      </c>
      <c r="FA27" s="13">
        <v>107.81033858823528</v>
      </c>
      <c r="FB27" s="13">
        <v>150.34657482352941</v>
      </c>
      <c r="FC27" s="13">
        <v>80.922595764705875</v>
      </c>
      <c r="FD27" s="13">
        <v>80.461498352941163</v>
      </c>
      <c r="FE27" s="13">
        <v>101.75843505882352</v>
      </c>
      <c r="FF27" s="13">
        <v>100.17341270588234</v>
      </c>
      <c r="FG27" s="13">
        <v>108.09852447058822</v>
      </c>
      <c r="FH27" s="13">
        <v>83.545087294117621</v>
      </c>
      <c r="FI27" s="13">
        <v>118.18503035294117</v>
      </c>
      <c r="FJ27" s="13">
        <v>90.461548470588212</v>
      </c>
      <c r="FK27" s="13">
        <v>140.63471058823527</v>
      </c>
      <c r="FL27" s="13">
        <v>113.57405623529411</v>
      </c>
      <c r="FM27" s="13">
        <v>59.222198823529403</v>
      </c>
      <c r="FN27" s="13">
        <v>139.30905552941172</v>
      </c>
      <c r="FO27" s="13">
        <v>83.487450117647043</v>
      </c>
      <c r="FP27" s="13">
        <v>147.55117176470586</v>
      </c>
      <c r="FQ27" s="13">
        <v>66.830306117647055</v>
      </c>
      <c r="FR27" s="13">
        <v>89.539353647058803</v>
      </c>
      <c r="FS27" s="13">
        <v>58.444096941176461</v>
      </c>
      <c r="FT27" s="13">
        <v>103.7180990588235</v>
      </c>
      <c r="FU27" s="13">
        <v>75.47588258823528</v>
      </c>
      <c r="FV27" s="13">
        <v>122.04672117647057</v>
      </c>
      <c r="FW27" s="13">
        <v>144.38112705882349</v>
      </c>
      <c r="FX27" s="13">
        <v>131.96031552941173</v>
      </c>
      <c r="FY27" s="13">
        <v>171.21123270588234</v>
      </c>
      <c r="FZ27" s="13">
        <v>117.75275152941175</v>
      </c>
      <c r="GA27" s="13">
        <v>81.268418823529402</v>
      </c>
      <c r="GB27" s="13">
        <v>140.72116635294117</v>
      </c>
      <c r="GC27" s="13">
        <v>147.03243717647055</v>
      </c>
      <c r="GD27" s="13">
        <v>122.53663717647056</v>
      </c>
      <c r="GE27" s="13">
        <v>39.25091717647058</v>
      </c>
      <c r="GF27" s="13">
        <v>62.910978117647048</v>
      </c>
      <c r="GG27" s="13">
        <v>71.441280235294101</v>
      </c>
      <c r="GH27" s="13">
        <v>30.547703529411759</v>
      </c>
      <c r="GI27" s="13">
        <v>34.207664235294111</v>
      </c>
      <c r="GJ27" s="13">
        <v>96.859275058823513</v>
      </c>
      <c r="GK27" s="13">
        <v>78.50183435294116</v>
      </c>
      <c r="GL27" s="13">
        <v>89.539353647058803</v>
      </c>
      <c r="GM27" s="13">
        <v>14.466931294117645</v>
      </c>
      <c r="GN27" s="13">
        <v>61.614141647058815</v>
      </c>
      <c r="GO27" s="13">
        <v>87.666145411764688</v>
      </c>
      <c r="GP27" s="13">
        <v>40.490116470588227</v>
      </c>
      <c r="GQ27" s="13">
        <v>46.542019999999994</v>
      </c>
      <c r="GR27" s="13">
        <v>97.20509811764704</v>
      </c>
      <c r="GS27" s="13">
        <v>123.71819929411762</v>
      </c>
      <c r="GT27" s="13">
        <v>118.04093741176469</v>
      </c>
      <c r="GU27" s="13">
        <v>151.7586856470588</v>
      </c>
      <c r="GV27" s="13">
        <v>59.971482117647049</v>
      </c>
      <c r="GW27" s="13">
        <v>83.199264235294095</v>
      </c>
      <c r="GX27" s="13">
        <v>87.320322352941162</v>
      </c>
      <c r="GY27" s="13">
        <v>56.801437411764695</v>
      </c>
      <c r="GZ27" s="13">
        <v>60.346123764705872</v>
      </c>
      <c r="HA27" s="13">
        <v>49.164511529411755</v>
      </c>
      <c r="HB27" s="13">
        <v>40.288386352941174</v>
      </c>
      <c r="HC27" s="13">
        <v>61.268318588235282</v>
      </c>
      <c r="HD27" s="13">
        <v>59.04928729411764</v>
      </c>
      <c r="HE27" s="13">
        <v>49.193330117647044</v>
      </c>
      <c r="HF27" s="13">
        <v>55.101140705882337</v>
      </c>
      <c r="HG27" s="13">
        <v>56.74380023529411</v>
      </c>
      <c r="HH27" s="13">
        <v>75.619975529411747</v>
      </c>
      <c r="HI27" s="13">
        <v>63.199163999999989</v>
      </c>
      <c r="HJ27" s="13">
        <v>73.083939764705875</v>
      </c>
      <c r="HK27" s="13">
        <v>36.945430117647049</v>
      </c>
      <c r="HL27" s="13">
        <v>78.415378588235299</v>
      </c>
      <c r="HM27" s="13">
        <v>55.331689411764671</v>
      </c>
      <c r="HN27" s="13">
        <v>30.8935265882353</v>
      </c>
      <c r="HO27" s="13">
        <v>100.34632423529401</v>
      </c>
      <c r="HP27" s="13">
        <v>95.158978352941105</v>
      </c>
      <c r="HQ27" s="13">
        <v>99.971682588235197</v>
      </c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>
        <v>1152.6858922352901</v>
      </c>
      <c r="II27" s="13">
        <v>4930.7739912941197</v>
      </c>
      <c r="IJ27" s="13"/>
      <c r="IK27" s="13"/>
      <c r="IL27" s="13"/>
      <c r="IM27" s="13"/>
      <c r="IN27" s="13">
        <v>1900.4129825882342</v>
      </c>
      <c r="IO27" s="13">
        <v>778.17899999999997</v>
      </c>
      <c r="IP27" s="13"/>
      <c r="IQ27" s="13"/>
      <c r="IR27" s="13"/>
      <c r="IS27" s="13"/>
      <c r="IT27" s="13"/>
      <c r="IU27" s="13"/>
      <c r="IV27" s="13"/>
      <c r="IW27" s="13"/>
      <c r="IX27" s="13"/>
      <c r="IY27" s="13">
        <v>1428.8256047058815</v>
      </c>
      <c r="IZ27" s="13">
        <v>1578.0770731764694</v>
      </c>
      <c r="JA27" s="13">
        <v>2041.0476931764695</v>
      </c>
      <c r="JB27" s="13"/>
      <c r="JC27" s="13">
        <v>1437.9610971764698</v>
      </c>
      <c r="JD27" s="13"/>
      <c r="JE27" s="13">
        <v>1157.440959294117</v>
      </c>
      <c r="JF27" s="13"/>
      <c r="JG27" s="13">
        <v>3464.9453192941155</v>
      </c>
      <c r="JH27" s="13"/>
      <c r="JI27" s="13">
        <v>0.60519035294117607</v>
      </c>
      <c r="JJ27" s="13">
        <v>0.4034602352941174</v>
      </c>
      <c r="JK27" s="13"/>
      <c r="JL27" s="13"/>
      <c r="JM27" s="13">
        <v>0.80692047058823479</v>
      </c>
      <c r="JN27" s="13">
        <v>1.0086505882352936</v>
      </c>
      <c r="JO27" s="13">
        <v>4.380425411764703</v>
      </c>
      <c r="JP27" s="13"/>
      <c r="JQ27" s="13">
        <v>6.224815058823526</v>
      </c>
      <c r="JR27" s="13"/>
      <c r="JS27" s="13">
        <v>0.4034602352941174</v>
      </c>
      <c r="JT27" s="13"/>
      <c r="JU27" s="13"/>
      <c r="JV27" s="13"/>
      <c r="JW27" s="13">
        <v>0.4034602352941174</v>
      </c>
      <c r="JX27" s="13">
        <v>1.6138409411764696</v>
      </c>
      <c r="JY27" s="13">
        <v>0.80692047058823479</v>
      </c>
      <c r="JZ27" s="13">
        <v>0.4034602352941174</v>
      </c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>
        <v>0.71987591836734688</v>
      </c>
      <c r="KL27" s="13">
        <v>1.8896742857142859</v>
      </c>
      <c r="KM27" s="13"/>
      <c r="KN27" s="13">
        <v>0.41992761904761905</v>
      </c>
      <c r="KO27" s="13">
        <v>0.8398552380952381</v>
      </c>
      <c r="KP27" s="13">
        <v>0.65988625850340132</v>
      </c>
      <c r="KQ27" s="13">
        <v>0.62989142857142866</v>
      </c>
      <c r="KR27" s="13"/>
      <c r="KS27" s="13">
        <v>0.44992285714285712</v>
      </c>
      <c r="KT27" s="13"/>
      <c r="KU27" s="13">
        <v>0.41992799999999997</v>
      </c>
      <c r="KV27" s="13">
        <v>0.6298919999999999</v>
      </c>
      <c r="KW27" s="13"/>
      <c r="KX27" s="13"/>
      <c r="KY27" s="13"/>
      <c r="KZ27" s="13"/>
      <c r="LA27" s="13">
        <v>0.41992799999999997</v>
      </c>
      <c r="LB27" s="13">
        <v>3.539393142857143</v>
      </c>
      <c r="LC27" s="13">
        <v>4.0793005714285711</v>
      </c>
      <c r="LD27" s="13"/>
      <c r="LE27" s="13">
        <v>1.65</v>
      </c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</row>
    <row r="28" spans="1:341" s="14" customFormat="1">
      <c r="A28" s="12" t="s">
        <v>26</v>
      </c>
      <c r="B28" s="13">
        <f t="shared" si="7"/>
        <v>0</v>
      </c>
      <c r="C28" s="13">
        <f t="shared" si="8"/>
        <v>0</v>
      </c>
      <c r="D28" s="13">
        <f t="shared" si="9"/>
        <v>0</v>
      </c>
      <c r="E28" s="13">
        <f t="shared" si="10"/>
        <v>0</v>
      </c>
      <c r="F28" s="13">
        <f t="shared" si="11"/>
        <v>0</v>
      </c>
      <c r="G28" s="13">
        <f t="shared" si="12"/>
        <v>0</v>
      </c>
      <c r="H28" s="13">
        <f t="shared" si="13"/>
        <v>0</v>
      </c>
      <c r="I28" s="13">
        <f t="shared" si="14"/>
        <v>0</v>
      </c>
      <c r="J28" s="13">
        <f t="shared" si="15"/>
        <v>0</v>
      </c>
      <c r="K28" s="13">
        <f t="shared" si="16"/>
        <v>0</v>
      </c>
      <c r="L28" s="13">
        <f t="shared" si="17"/>
        <v>0</v>
      </c>
      <c r="M28" s="13">
        <f t="shared" si="18"/>
        <v>0</v>
      </c>
      <c r="N28" s="13">
        <f t="shared" si="19"/>
        <v>0</v>
      </c>
      <c r="O28" s="13">
        <f t="shared" si="20"/>
        <v>0</v>
      </c>
      <c r="P28" s="13">
        <f t="shared" si="21"/>
        <v>0</v>
      </c>
      <c r="Q28" s="13">
        <f t="shared" si="22"/>
        <v>0</v>
      </c>
      <c r="R28" s="13">
        <f t="shared" si="23"/>
        <v>0</v>
      </c>
      <c r="S28" s="13">
        <f t="shared" si="24"/>
        <v>0</v>
      </c>
      <c r="T28" s="13">
        <f t="shared" si="25"/>
        <v>0</v>
      </c>
      <c r="U28" s="13">
        <f t="shared" si="26"/>
        <v>0</v>
      </c>
      <c r="V28" s="13">
        <f t="shared" si="27"/>
        <v>0</v>
      </c>
      <c r="W28" s="13">
        <f t="shared" si="28"/>
        <v>2.88185882352941E-5</v>
      </c>
      <c r="X28" s="13">
        <f t="shared" si="29"/>
        <v>0</v>
      </c>
      <c r="Y28" s="13">
        <f t="shared" si="30"/>
        <v>0</v>
      </c>
      <c r="Z28" s="13">
        <f t="shared" si="31"/>
        <v>0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>
        <v>2.8818588235294099E-2</v>
      </c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</row>
    <row r="29" spans="1:341" s="14" customFormat="1">
      <c r="A29" s="12" t="s">
        <v>27</v>
      </c>
      <c r="B29" s="13">
        <f t="shared" si="7"/>
        <v>0</v>
      </c>
      <c r="C29" s="13">
        <f t="shared" si="8"/>
        <v>0</v>
      </c>
      <c r="D29" s="13">
        <f t="shared" si="9"/>
        <v>0</v>
      </c>
      <c r="E29" s="13">
        <f t="shared" si="10"/>
        <v>0</v>
      </c>
      <c r="F29" s="13">
        <f t="shared" si="11"/>
        <v>0</v>
      </c>
      <c r="G29" s="13">
        <f t="shared" si="12"/>
        <v>0</v>
      </c>
      <c r="H29" s="13">
        <f t="shared" si="13"/>
        <v>0</v>
      </c>
      <c r="I29" s="13">
        <f t="shared" si="14"/>
        <v>0</v>
      </c>
      <c r="J29" s="13">
        <f t="shared" si="15"/>
        <v>0</v>
      </c>
      <c r="K29" s="13">
        <f t="shared" si="16"/>
        <v>0</v>
      </c>
      <c r="L29" s="13">
        <f t="shared" si="17"/>
        <v>0</v>
      </c>
      <c r="M29" s="13">
        <f t="shared" si="18"/>
        <v>0</v>
      </c>
      <c r="N29" s="13">
        <f t="shared" si="19"/>
        <v>0</v>
      </c>
      <c r="O29" s="13">
        <f t="shared" si="20"/>
        <v>0</v>
      </c>
      <c r="P29" s="13">
        <f t="shared" si="21"/>
        <v>6.2536336470588221E-3</v>
      </c>
      <c r="Q29" s="13">
        <f t="shared" si="22"/>
        <v>0</v>
      </c>
      <c r="R29" s="13">
        <f t="shared" si="23"/>
        <v>0</v>
      </c>
      <c r="S29" s="13">
        <f t="shared" si="24"/>
        <v>0</v>
      </c>
      <c r="T29" s="13">
        <f t="shared" si="25"/>
        <v>0</v>
      </c>
      <c r="U29" s="13">
        <f t="shared" si="26"/>
        <v>0</v>
      </c>
      <c r="V29" s="13">
        <f t="shared" si="27"/>
        <v>0</v>
      </c>
      <c r="W29" s="13">
        <f t="shared" si="28"/>
        <v>0</v>
      </c>
      <c r="X29" s="13">
        <f t="shared" si="29"/>
        <v>0</v>
      </c>
      <c r="Y29" s="13">
        <f t="shared" si="30"/>
        <v>0</v>
      </c>
      <c r="Z29" s="13">
        <f t="shared" si="31"/>
        <v>0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>
        <v>2.334305647058823</v>
      </c>
      <c r="GS29" s="13"/>
      <c r="GT29" s="13"/>
      <c r="GU29" s="13"/>
      <c r="GV29" s="13">
        <v>3.9193279999999993</v>
      </c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</row>
    <row r="30" spans="1:341" s="14" customFormat="1">
      <c r="A30" s="15" t="s">
        <v>28</v>
      </c>
      <c r="B30" s="13">
        <f t="shared" si="7"/>
        <v>0</v>
      </c>
      <c r="C30" s="13">
        <f t="shared" si="8"/>
        <v>0</v>
      </c>
      <c r="D30" s="13">
        <f t="shared" si="9"/>
        <v>0</v>
      </c>
      <c r="E30" s="13">
        <f t="shared" si="10"/>
        <v>0</v>
      </c>
      <c r="F30" s="13">
        <f t="shared" si="11"/>
        <v>0</v>
      </c>
      <c r="G30" s="13">
        <f t="shared" si="12"/>
        <v>0</v>
      </c>
      <c r="H30" s="13">
        <f t="shared" si="13"/>
        <v>0</v>
      </c>
      <c r="I30" s="13">
        <f t="shared" si="14"/>
        <v>0</v>
      </c>
      <c r="J30" s="13">
        <f t="shared" si="15"/>
        <v>0</v>
      </c>
      <c r="K30" s="13">
        <f t="shared" si="16"/>
        <v>0</v>
      </c>
      <c r="L30" s="13">
        <f t="shared" si="17"/>
        <v>0</v>
      </c>
      <c r="M30" s="13">
        <f t="shared" si="18"/>
        <v>0</v>
      </c>
      <c r="N30" s="13">
        <f t="shared" si="19"/>
        <v>0</v>
      </c>
      <c r="O30" s="13">
        <f t="shared" si="20"/>
        <v>0</v>
      </c>
      <c r="P30" s="13">
        <f t="shared" si="21"/>
        <v>0</v>
      </c>
      <c r="Q30" s="13">
        <f t="shared" si="22"/>
        <v>0</v>
      </c>
      <c r="R30" s="13">
        <f t="shared" si="23"/>
        <v>0</v>
      </c>
      <c r="S30" s="13">
        <f t="shared" si="24"/>
        <v>0</v>
      </c>
      <c r="T30" s="13">
        <f t="shared" si="25"/>
        <v>0</v>
      </c>
      <c r="U30" s="13">
        <f t="shared" si="26"/>
        <v>0</v>
      </c>
      <c r="V30" s="13">
        <f t="shared" si="27"/>
        <v>0</v>
      </c>
      <c r="W30" s="13">
        <f t="shared" si="28"/>
        <v>0</v>
      </c>
      <c r="X30" s="13">
        <f t="shared" si="29"/>
        <v>0</v>
      </c>
      <c r="Y30" s="13">
        <f t="shared" si="30"/>
        <v>0</v>
      </c>
      <c r="Z30" s="13">
        <f t="shared" si="31"/>
        <v>0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</row>
    <row r="31" spans="1:341" s="14" customFormat="1">
      <c r="A31" s="15" t="s">
        <v>29</v>
      </c>
      <c r="B31" s="13">
        <f t="shared" si="7"/>
        <v>0</v>
      </c>
      <c r="C31" s="13">
        <f t="shared" si="8"/>
        <v>0</v>
      </c>
      <c r="D31" s="13">
        <f t="shared" si="9"/>
        <v>0</v>
      </c>
      <c r="E31" s="13">
        <f t="shared" si="10"/>
        <v>0</v>
      </c>
      <c r="F31" s="13">
        <f t="shared" si="11"/>
        <v>0</v>
      </c>
      <c r="G31" s="13">
        <f t="shared" si="12"/>
        <v>0</v>
      </c>
      <c r="H31" s="13">
        <f t="shared" si="13"/>
        <v>0</v>
      </c>
      <c r="I31" s="13">
        <f t="shared" si="14"/>
        <v>0</v>
      </c>
      <c r="J31" s="13">
        <f t="shared" si="15"/>
        <v>0</v>
      </c>
      <c r="K31" s="13">
        <f t="shared" si="16"/>
        <v>0</v>
      </c>
      <c r="L31" s="13">
        <f t="shared" si="17"/>
        <v>0</v>
      </c>
      <c r="M31" s="13">
        <f t="shared" si="18"/>
        <v>0</v>
      </c>
      <c r="N31" s="13">
        <f t="shared" si="19"/>
        <v>0</v>
      </c>
      <c r="O31" s="13">
        <f t="shared" si="20"/>
        <v>0</v>
      </c>
      <c r="P31" s="13">
        <f t="shared" si="21"/>
        <v>0</v>
      </c>
      <c r="Q31" s="13">
        <f t="shared" si="22"/>
        <v>0</v>
      </c>
      <c r="R31" s="13">
        <f t="shared" si="23"/>
        <v>0</v>
      </c>
      <c r="S31" s="13">
        <f t="shared" si="24"/>
        <v>0</v>
      </c>
      <c r="T31" s="13">
        <f t="shared" si="25"/>
        <v>0</v>
      </c>
      <c r="U31" s="13">
        <f t="shared" si="26"/>
        <v>0</v>
      </c>
      <c r="V31" s="13">
        <f t="shared" si="27"/>
        <v>0</v>
      </c>
      <c r="W31" s="13">
        <f t="shared" si="28"/>
        <v>0</v>
      </c>
      <c r="X31" s="13">
        <f t="shared" si="29"/>
        <v>0</v>
      </c>
      <c r="Y31" s="13">
        <f t="shared" si="30"/>
        <v>0</v>
      </c>
      <c r="Z31" s="13">
        <f t="shared" si="31"/>
        <v>0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</row>
    <row r="32" spans="1:341" s="14" customFormat="1">
      <c r="A32" s="15" t="s">
        <v>30</v>
      </c>
      <c r="B32" s="13">
        <f t="shared" si="7"/>
        <v>0</v>
      </c>
      <c r="C32" s="13">
        <f t="shared" si="8"/>
        <v>0</v>
      </c>
      <c r="D32" s="13">
        <f t="shared" si="9"/>
        <v>0</v>
      </c>
      <c r="E32" s="13">
        <f t="shared" si="10"/>
        <v>0</v>
      </c>
      <c r="F32" s="13">
        <f t="shared" si="11"/>
        <v>0</v>
      </c>
      <c r="G32" s="13">
        <f t="shared" si="12"/>
        <v>0</v>
      </c>
      <c r="H32" s="13">
        <f t="shared" si="13"/>
        <v>0</v>
      </c>
      <c r="I32" s="13">
        <f t="shared" si="14"/>
        <v>0</v>
      </c>
      <c r="J32" s="13">
        <f t="shared" si="15"/>
        <v>0</v>
      </c>
      <c r="K32" s="13">
        <f t="shared" si="16"/>
        <v>0</v>
      </c>
      <c r="L32" s="13">
        <f t="shared" si="17"/>
        <v>0</v>
      </c>
      <c r="M32" s="13">
        <f t="shared" si="18"/>
        <v>0</v>
      </c>
      <c r="N32" s="13">
        <f t="shared" si="19"/>
        <v>0</v>
      </c>
      <c r="O32" s="13">
        <f t="shared" si="20"/>
        <v>0</v>
      </c>
      <c r="P32" s="13">
        <f t="shared" si="21"/>
        <v>0</v>
      </c>
      <c r="Q32" s="13">
        <f t="shared" si="22"/>
        <v>0</v>
      </c>
      <c r="R32" s="13">
        <f t="shared" si="23"/>
        <v>0</v>
      </c>
      <c r="S32" s="13">
        <f t="shared" si="24"/>
        <v>0</v>
      </c>
      <c r="T32" s="13">
        <f t="shared" si="25"/>
        <v>0</v>
      </c>
      <c r="U32" s="13">
        <f t="shared" si="26"/>
        <v>0</v>
      </c>
      <c r="V32" s="13">
        <f t="shared" si="27"/>
        <v>0</v>
      </c>
      <c r="W32" s="13">
        <f t="shared" si="28"/>
        <v>0</v>
      </c>
      <c r="X32" s="13">
        <f t="shared" si="29"/>
        <v>0</v>
      </c>
      <c r="Y32" s="13">
        <f t="shared" si="30"/>
        <v>0</v>
      </c>
      <c r="Z32" s="13">
        <f t="shared" si="31"/>
        <v>0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</row>
    <row r="33" spans="1:341" s="14" customFormat="1">
      <c r="A33" s="15" t="s">
        <v>31</v>
      </c>
      <c r="B33" s="13">
        <f t="shared" si="7"/>
        <v>0</v>
      </c>
      <c r="C33" s="13">
        <f t="shared" si="8"/>
        <v>0</v>
      </c>
      <c r="D33" s="13">
        <f t="shared" si="9"/>
        <v>0</v>
      </c>
      <c r="E33" s="13">
        <f t="shared" si="10"/>
        <v>0</v>
      </c>
      <c r="F33" s="13">
        <f t="shared" si="11"/>
        <v>0</v>
      </c>
      <c r="G33" s="13">
        <f t="shared" si="12"/>
        <v>1.325655058823529E-3</v>
      </c>
      <c r="H33" s="13">
        <f t="shared" si="13"/>
        <v>4.3227882352941173E-4</v>
      </c>
      <c r="I33" s="13">
        <f t="shared" si="14"/>
        <v>2.8818588235294111E-3</v>
      </c>
      <c r="J33" s="13">
        <f t="shared" si="15"/>
        <v>3.1988632941176466E-3</v>
      </c>
      <c r="K33" s="13">
        <f t="shared" si="16"/>
        <v>8.5014835294117633E-3</v>
      </c>
      <c r="L33" s="13">
        <f t="shared" si="17"/>
        <v>3.9481465882352934E-3</v>
      </c>
      <c r="M33" s="13">
        <f t="shared" si="18"/>
        <v>0</v>
      </c>
      <c r="N33" s="13">
        <f>SUM(FP33:GA33)/1000</f>
        <v>5.9366291764705878E-3</v>
      </c>
      <c r="O33" s="13">
        <f t="shared" si="20"/>
        <v>3.6887792941176461E-3</v>
      </c>
      <c r="P33" s="13">
        <f t="shared" si="21"/>
        <v>1.4697479999999999E-3</v>
      </c>
      <c r="Q33" s="13">
        <f t="shared" si="22"/>
        <v>1.2391992941176468E-2</v>
      </c>
      <c r="R33" s="13">
        <f t="shared" si="23"/>
        <v>1.6541869647058813E-2</v>
      </c>
      <c r="S33" s="13">
        <f t="shared" si="24"/>
        <v>0.72403821082352882</v>
      </c>
      <c r="T33" s="13">
        <f t="shared" si="25"/>
        <v>0</v>
      </c>
      <c r="U33" s="13">
        <f t="shared" si="26"/>
        <v>2.8209939651764691</v>
      </c>
      <c r="V33" s="13">
        <f t="shared" si="27"/>
        <v>0</v>
      </c>
      <c r="W33" s="13">
        <f t="shared" si="28"/>
        <v>2.88185882352941E-5</v>
      </c>
      <c r="X33" s="13">
        <f t="shared" si="29"/>
        <v>4.7991727891156459E-4</v>
      </c>
      <c r="Y33" s="13">
        <f t="shared" si="30"/>
        <v>0</v>
      </c>
      <c r="Z33" s="13">
        <f t="shared" si="31"/>
        <v>0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>
        <v>1.325655058823529</v>
      </c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>
        <v>0.43227882352941172</v>
      </c>
      <c r="DF33" s="13"/>
      <c r="DG33" s="13"/>
      <c r="DH33" s="13"/>
      <c r="DI33" s="13"/>
      <c r="DJ33" s="13"/>
      <c r="DK33" s="13"/>
      <c r="DL33" s="13">
        <v>2.8818588235294111</v>
      </c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>
        <v>0.72046470588235278</v>
      </c>
      <c r="EA33" s="13">
        <v>2.4783985882352937</v>
      </c>
      <c r="EB33" s="13"/>
      <c r="EC33" s="13"/>
      <c r="ED33" s="13"/>
      <c r="EE33" s="13"/>
      <c r="EF33" s="13"/>
      <c r="EG33" s="13"/>
      <c r="EH33" s="13">
        <v>1.2680178823529411</v>
      </c>
      <c r="EI33" s="13">
        <v>0.92219482352941162</v>
      </c>
      <c r="EJ33" s="13"/>
      <c r="EK33" s="13"/>
      <c r="EL33" s="13">
        <v>4.3804254117647048</v>
      </c>
      <c r="EM33" s="13"/>
      <c r="EN33" s="13"/>
      <c r="EO33" s="13"/>
      <c r="EP33" s="13"/>
      <c r="EQ33" s="13">
        <v>1.9308454117647056</v>
      </c>
      <c r="ER33" s="13"/>
      <c r="ES33" s="13"/>
      <c r="ET33" s="13"/>
      <c r="EU33" s="13">
        <v>1.325655058823529</v>
      </c>
      <c r="EV33" s="13">
        <v>2.6224915294117643</v>
      </c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>
        <v>5.1297087058823525</v>
      </c>
      <c r="FV33" s="13"/>
      <c r="FW33" s="13"/>
      <c r="FX33" s="13"/>
      <c r="FY33" s="13"/>
      <c r="FZ33" s="13">
        <v>0.40346023529411756</v>
      </c>
      <c r="GA33" s="13">
        <v>0.40346023529411756</v>
      </c>
      <c r="GB33" s="13"/>
      <c r="GC33" s="13"/>
      <c r="GD33" s="13"/>
      <c r="GE33" s="13">
        <v>0.40346023529411756</v>
      </c>
      <c r="GF33" s="13">
        <v>1.0374691764705881</v>
      </c>
      <c r="GG33" s="13">
        <v>0.20173011764705878</v>
      </c>
      <c r="GH33" s="13">
        <v>0.83573905882352928</v>
      </c>
      <c r="GI33" s="13">
        <v>0.20173011764705878</v>
      </c>
      <c r="GJ33" s="13">
        <v>0.40346023529411756</v>
      </c>
      <c r="GK33" s="13">
        <v>0.20173011764705878</v>
      </c>
      <c r="GL33" s="13">
        <v>0.20173011764705878</v>
      </c>
      <c r="GM33" s="13">
        <v>0.20173011764705878</v>
      </c>
      <c r="GN33" s="13"/>
      <c r="GO33" s="13"/>
      <c r="GP33" s="13">
        <v>0.63400894117647055</v>
      </c>
      <c r="GQ33" s="13">
        <v>0.83573905882352928</v>
      </c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>
        <v>0.6051903529411764</v>
      </c>
      <c r="HI33" s="13">
        <v>2.9971331764705877</v>
      </c>
      <c r="HJ33" s="13">
        <v>5.3890759999999984</v>
      </c>
      <c r="HK33" s="13">
        <v>3.4005934117647056</v>
      </c>
      <c r="HL33" s="13"/>
      <c r="HM33" s="13">
        <v>4.4380625882352902</v>
      </c>
      <c r="HN33" s="13">
        <v>4.3804254117647003</v>
      </c>
      <c r="HO33" s="13">
        <v>8.6455764705882301E-2</v>
      </c>
      <c r="HP33" s="13">
        <v>6.3689080000000002</v>
      </c>
      <c r="HQ33" s="13">
        <v>1.26801788235294</v>
      </c>
      <c r="HR33" s="13"/>
      <c r="HS33" s="13"/>
      <c r="HT33" s="13"/>
      <c r="HU33" s="13"/>
      <c r="HV33" s="13"/>
      <c r="HW33" s="13"/>
      <c r="HX33" s="13">
        <v>1.90202682352941</v>
      </c>
      <c r="HY33" s="13">
        <v>3.1700447058823502</v>
      </c>
      <c r="HZ33" s="13"/>
      <c r="IA33" s="13"/>
      <c r="IB33" s="13"/>
      <c r="IC33" s="13"/>
      <c r="ID33" s="13"/>
      <c r="IE33" s="13"/>
      <c r="IF33" s="13"/>
      <c r="IG33" s="13"/>
      <c r="IH33" s="13"/>
      <c r="II33" s="13">
        <v>718.96613929411706</v>
      </c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>
        <v>1440.929411764705</v>
      </c>
      <c r="JD33" s="13"/>
      <c r="JE33" s="13"/>
      <c r="JF33" s="13">
        <v>1380.0645534117639</v>
      </c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>
        <v>2.8818588235294099E-2</v>
      </c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>
        <v>0.4799172789115646</v>
      </c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</row>
    <row r="34" spans="1:341" s="14" customFormat="1">
      <c r="A34" s="12" t="s">
        <v>32</v>
      </c>
      <c r="B34" s="13">
        <f t="shared" si="7"/>
        <v>0</v>
      </c>
      <c r="C34" s="13">
        <f t="shared" si="8"/>
        <v>0</v>
      </c>
      <c r="D34" s="13">
        <f t="shared" si="9"/>
        <v>0</v>
      </c>
      <c r="E34" s="13">
        <f t="shared" si="10"/>
        <v>0</v>
      </c>
      <c r="F34" s="13">
        <f t="shared" si="11"/>
        <v>0</v>
      </c>
      <c r="G34" s="13">
        <f t="shared" si="12"/>
        <v>1.6426595294117645E-3</v>
      </c>
      <c r="H34" s="13">
        <f t="shared" si="13"/>
        <v>0</v>
      </c>
      <c r="I34" s="13">
        <f t="shared" si="14"/>
        <v>0</v>
      </c>
      <c r="J34" s="13">
        <f t="shared" si="15"/>
        <v>0</v>
      </c>
      <c r="K34" s="13">
        <f t="shared" si="16"/>
        <v>0</v>
      </c>
      <c r="L34" s="13">
        <f t="shared" si="17"/>
        <v>0</v>
      </c>
      <c r="M34" s="13">
        <f t="shared" si="18"/>
        <v>0</v>
      </c>
      <c r="N34" s="13">
        <f t="shared" si="19"/>
        <v>0.27458350870588233</v>
      </c>
      <c r="O34" s="13">
        <f t="shared" si="20"/>
        <v>0.34616888188235284</v>
      </c>
      <c r="P34" s="13">
        <f t="shared" si="21"/>
        <v>0.26994371599999994</v>
      </c>
      <c r="Q34" s="13">
        <f t="shared" si="22"/>
        <v>0.12394874799999998</v>
      </c>
      <c r="R34" s="13">
        <f t="shared" si="23"/>
        <v>8.170069764705877E-2</v>
      </c>
      <c r="S34" s="13">
        <f t="shared" si="24"/>
        <v>3.5446863529411746E-2</v>
      </c>
      <c r="T34" s="13">
        <f t="shared" si="25"/>
        <v>0</v>
      </c>
      <c r="U34" s="13">
        <f t="shared" si="26"/>
        <v>0</v>
      </c>
      <c r="V34" s="13">
        <f t="shared" si="27"/>
        <v>0</v>
      </c>
      <c r="W34" s="13">
        <f t="shared" si="28"/>
        <v>0</v>
      </c>
      <c r="X34" s="13">
        <f t="shared" si="29"/>
        <v>0</v>
      </c>
      <c r="Y34" s="13">
        <f t="shared" si="30"/>
        <v>0</v>
      </c>
      <c r="Z34" s="13">
        <f t="shared" si="31"/>
        <v>0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>
        <v>1.6426595294117645</v>
      </c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>
        <v>17.291152941176467</v>
      </c>
      <c r="FS34" s="13">
        <v>45.129909176470576</v>
      </c>
      <c r="FT34" s="13">
        <v>10.201780235294116</v>
      </c>
      <c r="FU34" s="13">
        <v>20.403560470588232</v>
      </c>
      <c r="FV34" s="13">
        <v>20.461197647058821</v>
      </c>
      <c r="FW34" s="13">
        <v>25.590906352941172</v>
      </c>
      <c r="FX34" s="13">
        <v>40.66302799999999</v>
      </c>
      <c r="FY34" s="13">
        <v>43.948347058823522</v>
      </c>
      <c r="FZ34" s="13">
        <v>25.417994823529408</v>
      </c>
      <c r="GA34" s="13">
        <v>25.475631999999997</v>
      </c>
      <c r="GB34" s="13">
        <v>30.028968941176466</v>
      </c>
      <c r="GC34" s="13">
        <v>15.27385176470588</v>
      </c>
      <c r="GD34" s="13">
        <v>50.893626823529402</v>
      </c>
      <c r="GE34" s="13">
        <v>28.760951058823522</v>
      </c>
      <c r="GF34" s="13">
        <v>10.08650588235294</v>
      </c>
      <c r="GG34" s="13">
        <v>35.619775058823521</v>
      </c>
      <c r="GH34" s="13">
        <v>25.273901882352938</v>
      </c>
      <c r="GI34" s="13">
        <v>30.374791999999996</v>
      </c>
      <c r="GJ34" s="13">
        <v>35.33158917647058</v>
      </c>
      <c r="GK34" s="13">
        <v>13.400643529411763</v>
      </c>
      <c r="GL34" s="13">
        <v>40.634209411764701</v>
      </c>
      <c r="GM34" s="13">
        <v>30.49006635294117</v>
      </c>
      <c r="GN34" s="13">
        <v>10.172961647058822</v>
      </c>
      <c r="GO34" s="13">
        <v>29.856057411764699</v>
      </c>
      <c r="GP34" s="13">
        <v>15.187395999999998</v>
      </c>
      <c r="GQ34" s="13">
        <v>35.129859058823527</v>
      </c>
      <c r="GR34" s="13">
        <v>25.216264705882349</v>
      </c>
      <c r="GS34" s="13">
        <v>15.245033176470585</v>
      </c>
      <c r="GT34" s="13">
        <v>45.129909176470576</v>
      </c>
      <c r="GU34" s="13">
        <v>15.100940235294114</v>
      </c>
      <c r="GV34" s="13">
        <v>18.299803529411761</v>
      </c>
      <c r="GW34" s="13">
        <v>20.259467529411761</v>
      </c>
      <c r="GX34" s="13">
        <v>20.288286117647058</v>
      </c>
      <c r="GY34" s="13">
        <v>20.057737411764702</v>
      </c>
      <c r="GZ34" s="13">
        <v>5.1297087058823525</v>
      </c>
      <c r="HA34" s="13">
        <v>9.6542270588235279</v>
      </c>
      <c r="HB34" s="13">
        <v>8.4438463529411756</v>
      </c>
      <c r="HC34" s="13">
        <v>8.4726649411764683</v>
      </c>
      <c r="HD34" s="13">
        <v>5.0144343529411755</v>
      </c>
      <c r="HE34" s="13">
        <v>5.0720715294117644</v>
      </c>
      <c r="HF34" s="13">
        <v>18.21334776470588</v>
      </c>
      <c r="HG34" s="13">
        <v>17.953980470588231</v>
      </c>
      <c r="HH34" s="13">
        <v>10.317054588235292</v>
      </c>
      <c r="HI34" s="13">
        <v>4.9856157647058819</v>
      </c>
      <c r="HJ34" s="13">
        <v>10.08650588235294</v>
      </c>
      <c r="HK34" s="13">
        <v>20.605290588235292</v>
      </c>
      <c r="HL34" s="13">
        <v>12.881908941176462</v>
      </c>
      <c r="HM34" s="13">
        <v>15.187395999999991</v>
      </c>
      <c r="HN34" s="13">
        <v>5.3314388235294103</v>
      </c>
      <c r="HO34" s="13">
        <v>5.1008901176470562</v>
      </c>
      <c r="HP34" s="13">
        <v>10.115324470588229</v>
      </c>
      <c r="HQ34" s="13">
        <v>15.590856235294108</v>
      </c>
      <c r="HR34" s="13">
        <v>4.9856157647058801</v>
      </c>
      <c r="HS34" s="13">
        <v>7.49283294117647</v>
      </c>
      <c r="HT34" s="13"/>
      <c r="HU34" s="13"/>
      <c r="HV34" s="13">
        <v>5.0144343529411701</v>
      </c>
      <c r="HW34" s="13"/>
      <c r="HX34" s="13">
        <v>9.1643110588235199</v>
      </c>
      <c r="HY34" s="13">
        <v>4.9856157647058801</v>
      </c>
      <c r="HZ34" s="13"/>
      <c r="IA34" s="13"/>
      <c r="IB34" s="13"/>
      <c r="IC34" s="13"/>
      <c r="ID34" s="13"/>
      <c r="IE34" s="13"/>
      <c r="IF34" s="13"/>
      <c r="IG34" s="13">
        <v>5.1873458823529397</v>
      </c>
      <c r="IH34" s="13">
        <v>16.109590823529402</v>
      </c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</row>
    <row r="35" spans="1:341" s="14" customFormat="1">
      <c r="A35" s="12" t="s">
        <v>33</v>
      </c>
      <c r="B35" s="13">
        <f t="shared" si="7"/>
        <v>0</v>
      </c>
      <c r="C35" s="13">
        <f t="shared" si="8"/>
        <v>0</v>
      </c>
      <c r="D35" s="13">
        <f t="shared" si="9"/>
        <v>0</v>
      </c>
      <c r="E35" s="13">
        <f t="shared" si="10"/>
        <v>0</v>
      </c>
      <c r="F35" s="13">
        <f t="shared" si="11"/>
        <v>0</v>
      </c>
      <c r="G35" s="13">
        <f t="shared" si="12"/>
        <v>0.10366046188235292</v>
      </c>
      <c r="H35" s="13">
        <f t="shared" si="13"/>
        <v>0.84954316258823515</v>
      </c>
      <c r="I35" s="13">
        <f t="shared" si="14"/>
        <v>7.5764068470588211E-2</v>
      </c>
      <c r="J35" s="13">
        <f t="shared" si="15"/>
        <v>0.38784056047058824</v>
      </c>
      <c r="K35" s="13">
        <f t="shared" si="16"/>
        <v>1.1729165411764704E-2</v>
      </c>
      <c r="L35" s="13">
        <f t="shared" si="17"/>
        <v>3.1700447058823522E-2</v>
      </c>
      <c r="M35" s="13">
        <f t="shared" si="18"/>
        <v>1.1527435294117646E-4</v>
      </c>
      <c r="N35" s="13">
        <f t="shared" si="19"/>
        <v>8.5591207058823525E-3</v>
      </c>
      <c r="O35" s="13">
        <f t="shared" si="20"/>
        <v>8.9049437647058822E-3</v>
      </c>
      <c r="P35" s="13">
        <f t="shared" si="21"/>
        <v>2.8818588235294114E-4</v>
      </c>
      <c r="Q35" s="13">
        <f t="shared" si="22"/>
        <v>1.1527435294117646E-3</v>
      </c>
      <c r="R35" s="13">
        <f t="shared" si="23"/>
        <v>1.1902076941176461E-2</v>
      </c>
      <c r="S35" s="13">
        <f t="shared" si="24"/>
        <v>3.1501310614117619</v>
      </c>
      <c r="T35" s="13">
        <f t="shared" si="25"/>
        <v>1.1700058637647051</v>
      </c>
      <c r="U35" s="13">
        <f t="shared" si="26"/>
        <v>1.168939575999999</v>
      </c>
      <c r="V35" s="13">
        <f t="shared" si="27"/>
        <v>7.7810188235294072E-4</v>
      </c>
      <c r="W35" s="13">
        <f t="shared" si="28"/>
        <v>1.4409294117647052E-4</v>
      </c>
      <c r="X35" s="13">
        <f t="shared" si="29"/>
        <v>0</v>
      </c>
      <c r="Y35" s="13">
        <f t="shared" si="30"/>
        <v>7.1987657142857139E-4</v>
      </c>
      <c r="Z35" s="13">
        <f t="shared" si="31"/>
        <v>0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>
        <v>0.74928329411764694</v>
      </c>
      <c r="CK35" s="13">
        <v>12.507267294117645</v>
      </c>
      <c r="CL35" s="13">
        <v>6.1959964705882342</v>
      </c>
      <c r="CM35" s="13">
        <v>6.9740983529411746</v>
      </c>
      <c r="CN35" s="13">
        <v>12.420811529411763</v>
      </c>
      <c r="CO35" s="13">
        <v>0.5475531764705881</v>
      </c>
      <c r="CP35" s="13">
        <v>8.242116235294116</v>
      </c>
      <c r="CQ35" s="13">
        <v>13.861740941176469</v>
      </c>
      <c r="CR35" s="13">
        <v>10.144143058823529</v>
      </c>
      <c r="CS35" s="13">
        <v>7.1758284705882334</v>
      </c>
      <c r="CT35" s="13">
        <v>7.8962931764705866</v>
      </c>
      <c r="CU35" s="13">
        <v>16.945329882352937</v>
      </c>
      <c r="CV35" s="13">
        <v>4.2651510588235286</v>
      </c>
      <c r="CW35" s="13">
        <v>14.034652470588233</v>
      </c>
      <c r="CX35" s="13">
        <v>11.873258352941175</v>
      </c>
      <c r="CY35" s="13">
        <v>11.786802588235291</v>
      </c>
      <c r="CZ35" s="13">
        <v>5.5619875294117636</v>
      </c>
      <c r="DA35" s="13">
        <v>13.371824941176468</v>
      </c>
      <c r="DB35" s="13">
        <v>5.100890117647058</v>
      </c>
      <c r="DC35" s="13">
        <v>736.63193388235277</v>
      </c>
      <c r="DD35" s="13">
        <v>16.167227999999998</v>
      </c>
      <c r="DE35" s="13">
        <v>11.585072470588234</v>
      </c>
      <c r="DF35" s="13">
        <v>7.5216515294117636</v>
      </c>
      <c r="DG35" s="13">
        <v>11.642709647058821</v>
      </c>
      <c r="DH35" s="13">
        <v>4.3804254117647048</v>
      </c>
      <c r="DI35" s="13"/>
      <c r="DJ35" s="13">
        <v>12.68017882352941</v>
      </c>
      <c r="DK35" s="13">
        <v>8.4150277647058811</v>
      </c>
      <c r="DL35" s="13">
        <v>14.29401976470588</v>
      </c>
      <c r="DM35" s="13">
        <v>5.1297087058823525</v>
      </c>
      <c r="DN35" s="13">
        <v>5.3026202352941159</v>
      </c>
      <c r="DO35" s="13">
        <v>0.74928329411764694</v>
      </c>
      <c r="DP35" s="13">
        <v>3.3141376470588231</v>
      </c>
      <c r="DQ35" s="13">
        <v>2.334305647058823</v>
      </c>
      <c r="DR35" s="13">
        <v>14.582205647058821</v>
      </c>
      <c r="DS35" s="13">
        <v>4.5821555294117644</v>
      </c>
      <c r="DT35" s="13">
        <v>5.7348990588235278</v>
      </c>
      <c r="DU35" s="13">
        <v>0.20173011764705878</v>
      </c>
      <c r="DV35" s="13">
        <v>2.7377658823529405</v>
      </c>
      <c r="DW35" s="13">
        <v>2.0749383529411762</v>
      </c>
      <c r="DX35" s="13">
        <v>7.0029169411764691</v>
      </c>
      <c r="DY35" s="13">
        <v>6.9452797647058819</v>
      </c>
      <c r="DZ35" s="13">
        <v>2.3919428235294116</v>
      </c>
      <c r="EA35" s="13"/>
      <c r="EB35" s="13">
        <v>3.4582305882352937</v>
      </c>
      <c r="EC35" s="13">
        <v>1.815571058823529</v>
      </c>
      <c r="ED35" s="13">
        <v>352.94125011764703</v>
      </c>
      <c r="EE35" s="13">
        <v>2.5360357647058822</v>
      </c>
      <c r="EF35" s="13"/>
      <c r="EG35" s="13"/>
      <c r="EH35" s="13"/>
      <c r="EI35" s="13"/>
      <c r="EJ35" s="13"/>
      <c r="EK35" s="13"/>
      <c r="EL35" s="13"/>
      <c r="EM35" s="13">
        <v>2.0173011764705877</v>
      </c>
      <c r="EN35" s="13">
        <v>3.8040536470588227</v>
      </c>
      <c r="EO35" s="13"/>
      <c r="EP35" s="13">
        <v>5.6196247058823516</v>
      </c>
      <c r="EQ35" s="13">
        <v>0.28818588235294113</v>
      </c>
      <c r="ER35" s="13"/>
      <c r="ES35" s="13">
        <v>0.28818588235294113</v>
      </c>
      <c r="ET35" s="13">
        <v>0.28818588235294113</v>
      </c>
      <c r="EU35" s="13"/>
      <c r="EV35" s="13"/>
      <c r="EW35" s="13">
        <v>28.242216470588229</v>
      </c>
      <c r="EX35" s="13"/>
      <c r="EY35" s="13"/>
      <c r="EZ35" s="13"/>
      <c r="FA35" s="13">
        <v>2.8818588235294111</v>
      </c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>
        <v>0.11527435294117645</v>
      </c>
      <c r="FM35" s="13"/>
      <c r="FN35" s="13"/>
      <c r="FO35" s="13"/>
      <c r="FP35" s="13"/>
      <c r="FQ35" s="13"/>
      <c r="FR35" s="13"/>
      <c r="FS35" s="13"/>
      <c r="FT35" s="13"/>
      <c r="FU35" s="13">
        <v>0.66282752941176448</v>
      </c>
      <c r="FV35" s="13"/>
      <c r="FW35" s="13">
        <v>4.1498767058823525</v>
      </c>
      <c r="FX35" s="13"/>
      <c r="FY35" s="13"/>
      <c r="FZ35" s="13">
        <v>0.28818588235294113</v>
      </c>
      <c r="GA35" s="13">
        <v>3.4582305882352937</v>
      </c>
      <c r="GB35" s="13"/>
      <c r="GC35" s="13"/>
      <c r="GD35" s="13">
        <v>6.455363764705881</v>
      </c>
      <c r="GE35" s="13"/>
      <c r="GF35" s="13">
        <v>0.28818588235294113</v>
      </c>
      <c r="GG35" s="13">
        <v>0.72046470588235278</v>
      </c>
      <c r="GH35" s="13">
        <v>1.2391992941176468</v>
      </c>
      <c r="GI35" s="13"/>
      <c r="GJ35" s="13">
        <v>0.20173011764705878</v>
      </c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>
        <v>0.28818588235294113</v>
      </c>
      <c r="GX35" s="13"/>
      <c r="GY35" s="13"/>
      <c r="GZ35" s="13"/>
      <c r="HA35" s="13">
        <v>0.57637176470588225</v>
      </c>
      <c r="HB35" s="13"/>
      <c r="HC35" s="13">
        <v>0.57637176470588225</v>
      </c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>
        <v>1.0374691764705899</v>
      </c>
      <c r="HP35" s="13">
        <v>5.07207152941176</v>
      </c>
      <c r="HQ35" s="13">
        <v>5.7925362352941097</v>
      </c>
      <c r="HR35" s="13"/>
      <c r="HS35" s="13"/>
      <c r="HT35" s="13"/>
      <c r="HU35" s="13"/>
      <c r="HV35" s="13"/>
      <c r="HW35" s="13"/>
      <c r="HX35" s="13">
        <v>5.7637176470588199E-2</v>
      </c>
      <c r="HY35" s="13"/>
      <c r="HZ35" s="13"/>
      <c r="IA35" s="13">
        <v>0.86455764705882299</v>
      </c>
      <c r="IB35" s="13"/>
      <c r="IC35" s="13">
        <v>1.7002967058823499</v>
      </c>
      <c r="ID35" s="13"/>
      <c r="IE35" s="13"/>
      <c r="IF35" s="13"/>
      <c r="IG35" s="13">
        <v>1152.9740781176499</v>
      </c>
      <c r="IH35" s="13"/>
      <c r="II35" s="13">
        <v>1994.5344917647001</v>
      </c>
      <c r="IJ35" s="13"/>
      <c r="IK35" s="13">
        <v>1170.0058637647051</v>
      </c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>
        <v>1168.9395759999991</v>
      </c>
      <c r="JD35" s="13"/>
      <c r="JE35" s="13"/>
      <c r="JF35" s="13"/>
      <c r="JG35" s="13"/>
      <c r="JH35" s="13">
        <v>0.1729115294117646</v>
      </c>
      <c r="JI35" s="13"/>
      <c r="JJ35" s="13"/>
      <c r="JK35" s="13"/>
      <c r="JL35" s="13"/>
      <c r="JM35" s="13"/>
      <c r="JN35" s="13"/>
      <c r="JO35" s="13"/>
      <c r="JP35" s="13">
        <v>0.28818588235294101</v>
      </c>
      <c r="JQ35" s="13">
        <v>8.6455764705882301E-2</v>
      </c>
      <c r="JR35" s="13"/>
      <c r="JS35" s="13">
        <v>0.23054870588235279</v>
      </c>
      <c r="JT35" s="13"/>
      <c r="JU35" s="13"/>
      <c r="JV35" s="13"/>
      <c r="JW35" s="13"/>
      <c r="JX35" s="13">
        <v>0.14409294117647051</v>
      </c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>
        <v>0.71987657142857142</v>
      </c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</row>
    <row r="36" spans="1:341" s="14" customForma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</row>
    <row r="37" spans="1:341" s="14" customFormat="1">
      <c r="A37" s="12" t="s">
        <v>34</v>
      </c>
      <c r="B37" s="13">
        <f t="shared" ref="B37:Z37" si="32">SUM(B38:B57)</f>
        <v>0</v>
      </c>
      <c r="C37" s="13">
        <f t="shared" si="32"/>
        <v>0</v>
      </c>
      <c r="D37" s="13">
        <f t="shared" si="32"/>
        <v>0</v>
      </c>
      <c r="E37" s="13">
        <f t="shared" si="32"/>
        <v>0</v>
      </c>
      <c r="F37" s="13">
        <f t="shared" si="32"/>
        <v>0</v>
      </c>
      <c r="G37" s="13">
        <f t="shared" si="32"/>
        <v>5.6772618823529401E-2</v>
      </c>
      <c r="H37" s="13">
        <f t="shared" si="32"/>
        <v>0.16247920047058817</v>
      </c>
      <c r="I37" s="13">
        <f t="shared" si="32"/>
        <v>0.1548422745882353</v>
      </c>
      <c r="J37" s="13">
        <f t="shared" si="32"/>
        <v>0.18781073952941174</v>
      </c>
      <c r="K37" s="13">
        <f t="shared" si="32"/>
        <v>0.15005838894117646</v>
      </c>
      <c r="L37" s="13">
        <f t="shared" si="32"/>
        <v>7.6628626117647022E-2</v>
      </c>
      <c r="M37" s="13">
        <f t="shared" si="32"/>
        <v>0.10700341811764703</v>
      </c>
      <c r="N37" s="13">
        <f t="shared" si="32"/>
        <v>0.11902076941176468</v>
      </c>
      <c r="O37" s="13">
        <f t="shared" si="32"/>
        <v>0.31784020964705872</v>
      </c>
      <c r="P37" s="13">
        <f t="shared" si="32"/>
        <v>0.28077950517647055</v>
      </c>
      <c r="Q37" s="13">
        <f t="shared" si="32"/>
        <v>0.26052003764705878</v>
      </c>
      <c r="R37" s="13">
        <f t="shared" si="32"/>
        <v>0.16392012988235288</v>
      </c>
      <c r="S37" s="13">
        <f t="shared" si="32"/>
        <v>8.1844790588235253E-2</v>
      </c>
      <c r="T37" s="13">
        <f t="shared" si="32"/>
        <v>4.2265072298823503</v>
      </c>
      <c r="U37" s="13">
        <f t="shared" si="32"/>
        <v>8.4030626938823474</v>
      </c>
      <c r="V37" s="13">
        <f t="shared" si="32"/>
        <v>1.0659419416470579</v>
      </c>
      <c r="W37" s="13">
        <f t="shared" si="32"/>
        <v>1.2391992941176463E-3</v>
      </c>
      <c r="X37" s="13">
        <f t="shared" si="32"/>
        <v>0</v>
      </c>
      <c r="Y37" s="13">
        <f t="shared" si="32"/>
        <v>1.7996914285714285E-3</v>
      </c>
      <c r="Z37" s="13">
        <f t="shared" si="32"/>
        <v>0</v>
      </c>
      <c r="AB37" s="13">
        <f t="shared" ref="AB37:CM37" si="33">SUM(AB38:AB57)</f>
        <v>0</v>
      </c>
      <c r="AC37" s="13">
        <f t="shared" si="33"/>
        <v>0</v>
      </c>
      <c r="AD37" s="13">
        <f t="shared" si="33"/>
        <v>0</v>
      </c>
      <c r="AE37" s="13">
        <f t="shared" si="33"/>
        <v>0</v>
      </c>
      <c r="AF37" s="13">
        <f t="shared" si="33"/>
        <v>0</v>
      </c>
      <c r="AG37" s="13">
        <f t="shared" si="33"/>
        <v>0</v>
      </c>
      <c r="AH37" s="13">
        <f t="shared" si="33"/>
        <v>0</v>
      </c>
      <c r="AI37" s="13">
        <f t="shared" si="33"/>
        <v>0</v>
      </c>
      <c r="AJ37" s="13">
        <f t="shared" si="33"/>
        <v>0</v>
      </c>
      <c r="AK37" s="13">
        <f t="shared" si="33"/>
        <v>0</v>
      </c>
      <c r="AL37" s="13">
        <f t="shared" si="33"/>
        <v>0</v>
      </c>
      <c r="AM37" s="13">
        <f t="shared" si="33"/>
        <v>0</v>
      </c>
      <c r="AN37" s="13">
        <f t="shared" si="33"/>
        <v>0</v>
      </c>
      <c r="AO37" s="13">
        <f t="shared" si="33"/>
        <v>0</v>
      </c>
      <c r="AP37" s="13">
        <f t="shared" si="33"/>
        <v>0</v>
      </c>
      <c r="AQ37" s="13">
        <f t="shared" si="33"/>
        <v>0</v>
      </c>
      <c r="AR37" s="13">
        <f t="shared" si="33"/>
        <v>0</v>
      </c>
      <c r="AS37" s="13">
        <f t="shared" si="33"/>
        <v>0</v>
      </c>
      <c r="AT37" s="13">
        <f t="shared" si="33"/>
        <v>0</v>
      </c>
      <c r="AU37" s="13">
        <f t="shared" si="33"/>
        <v>0</v>
      </c>
      <c r="AV37" s="13">
        <f t="shared" si="33"/>
        <v>0</v>
      </c>
      <c r="AW37" s="13">
        <f t="shared" si="33"/>
        <v>0</v>
      </c>
      <c r="AX37" s="13">
        <f t="shared" si="33"/>
        <v>0</v>
      </c>
      <c r="AY37" s="13">
        <f t="shared" si="33"/>
        <v>0</v>
      </c>
      <c r="AZ37" s="13">
        <f t="shared" si="33"/>
        <v>0</v>
      </c>
      <c r="BA37" s="13">
        <f t="shared" si="33"/>
        <v>0</v>
      </c>
      <c r="BB37" s="13">
        <f t="shared" si="33"/>
        <v>0</v>
      </c>
      <c r="BC37" s="13">
        <f t="shared" si="33"/>
        <v>0</v>
      </c>
      <c r="BD37" s="13">
        <f t="shared" si="33"/>
        <v>0</v>
      </c>
      <c r="BE37" s="13">
        <f t="shared" si="33"/>
        <v>0</v>
      </c>
      <c r="BF37" s="13">
        <f t="shared" si="33"/>
        <v>0</v>
      </c>
      <c r="BG37" s="13">
        <f t="shared" si="33"/>
        <v>0</v>
      </c>
      <c r="BH37" s="13">
        <f t="shared" si="33"/>
        <v>0</v>
      </c>
      <c r="BI37" s="13">
        <f t="shared" si="33"/>
        <v>0</v>
      </c>
      <c r="BJ37" s="13">
        <f t="shared" si="33"/>
        <v>0</v>
      </c>
      <c r="BK37" s="13">
        <f t="shared" si="33"/>
        <v>0</v>
      </c>
      <c r="BL37" s="13">
        <f t="shared" si="33"/>
        <v>0</v>
      </c>
      <c r="BM37" s="13">
        <f t="shared" si="33"/>
        <v>0</v>
      </c>
      <c r="BN37" s="13">
        <f t="shared" si="33"/>
        <v>0</v>
      </c>
      <c r="BO37" s="13">
        <f t="shared" si="33"/>
        <v>0</v>
      </c>
      <c r="BP37" s="13">
        <f t="shared" si="33"/>
        <v>0</v>
      </c>
      <c r="BQ37" s="13">
        <f t="shared" si="33"/>
        <v>0</v>
      </c>
      <c r="BR37" s="13">
        <f t="shared" si="33"/>
        <v>0</v>
      </c>
      <c r="BS37" s="13">
        <f t="shared" si="33"/>
        <v>0</v>
      </c>
      <c r="BT37" s="13">
        <f t="shared" si="33"/>
        <v>0</v>
      </c>
      <c r="BU37" s="13">
        <f t="shared" si="33"/>
        <v>0</v>
      </c>
      <c r="BV37" s="13">
        <f t="shared" si="33"/>
        <v>0</v>
      </c>
      <c r="BW37" s="13">
        <f t="shared" si="33"/>
        <v>0</v>
      </c>
      <c r="BX37" s="13">
        <f t="shared" si="33"/>
        <v>0</v>
      </c>
      <c r="BY37" s="13">
        <f t="shared" si="33"/>
        <v>0</v>
      </c>
      <c r="BZ37" s="13">
        <f t="shared" si="33"/>
        <v>0</v>
      </c>
      <c r="CA37" s="13">
        <f t="shared" si="33"/>
        <v>0</v>
      </c>
      <c r="CB37" s="13">
        <f t="shared" si="33"/>
        <v>0</v>
      </c>
      <c r="CC37" s="13">
        <f t="shared" si="33"/>
        <v>0</v>
      </c>
      <c r="CD37" s="13">
        <f t="shared" si="33"/>
        <v>0</v>
      </c>
      <c r="CE37" s="13">
        <f t="shared" si="33"/>
        <v>0</v>
      </c>
      <c r="CF37" s="13">
        <f t="shared" si="33"/>
        <v>0</v>
      </c>
      <c r="CG37" s="13">
        <f t="shared" si="33"/>
        <v>0</v>
      </c>
      <c r="CH37" s="13">
        <f t="shared" si="33"/>
        <v>0</v>
      </c>
      <c r="CI37" s="13">
        <f t="shared" si="33"/>
        <v>0</v>
      </c>
      <c r="CJ37" s="13">
        <f t="shared" si="33"/>
        <v>0</v>
      </c>
      <c r="CK37" s="13">
        <f t="shared" si="33"/>
        <v>8.6455764705882329E-2</v>
      </c>
      <c r="CL37" s="13">
        <f t="shared" si="33"/>
        <v>1.7579338823529407</v>
      </c>
      <c r="CM37" s="13">
        <f t="shared" si="33"/>
        <v>0</v>
      </c>
      <c r="CN37" s="13">
        <f t="shared" ref="CN37:EY37" si="34">SUM(CN38:CN57)</f>
        <v>2.5072171764705877</v>
      </c>
      <c r="CO37" s="13">
        <f t="shared" si="34"/>
        <v>1.0374691764705881</v>
      </c>
      <c r="CP37" s="13">
        <f t="shared" si="34"/>
        <v>4.0057837647058818</v>
      </c>
      <c r="CQ37" s="13">
        <f t="shared" si="34"/>
        <v>0</v>
      </c>
      <c r="CR37" s="13">
        <f t="shared" si="34"/>
        <v>0.23054870588235291</v>
      </c>
      <c r="CS37" s="13">
        <f t="shared" si="34"/>
        <v>10.345873176470587</v>
      </c>
      <c r="CT37" s="13">
        <f t="shared" si="34"/>
        <v>12.82427176470588</v>
      </c>
      <c r="CU37" s="13">
        <f t="shared" si="34"/>
        <v>23.977065411764702</v>
      </c>
      <c r="CV37" s="13">
        <f t="shared" si="34"/>
        <v>22.449680235294114</v>
      </c>
      <c r="CW37" s="13">
        <f t="shared" si="34"/>
        <v>17.80988752941176</v>
      </c>
      <c r="CX37" s="13">
        <f t="shared" si="34"/>
        <v>14.466931294117645</v>
      </c>
      <c r="CY37" s="13">
        <f t="shared" si="34"/>
        <v>16.368958117647054</v>
      </c>
      <c r="CZ37" s="13">
        <f t="shared" si="34"/>
        <v>10.806970588235291</v>
      </c>
      <c r="DA37" s="13">
        <f t="shared" si="34"/>
        <v>14.236382588235291</v>
      </c>
      <c r="DB37" s="13">
        <f t="shared" si="34"/>
        <v>15.014484470588233</v>
      </c>
      <c r="DC37" s="13">
        <f t="shared" si="34"/>
        <v>0</v>
      </c>
      <c r="DD37" s="13">
        <f t="shared" si="34"/>
        <v>9.6254084705882335</v>
      </c>
      <c r="DE37" s="13">
        <f t="shared" si="34"/>
        <v>12.795453176470586</v>
      </c>
      <c r="DF37" s="13">
        <f t="shared" si="34"/>
        <v>9.6254084705882335</v>
      </c>
      <c r="DG37" s="13">
        <f t="shared" si="34"/>
        <v>19.279635529411763</v>
      </c>
      <c r="DH37" s="13">
        <f t="shared" si="34"/>
        <v>12.997183294117646</v>
      </c>
      <c r="DI37" s="13">
        <f t="shared" si="34"/>
        <v>5.3602574117647057</v>
      </c>
      <c r="DJ37" s="13">
        <f t="shared" si="34"/>
        <v>11.095156470588233</v>
      </c>
      <c r="DK37" s="13">
        <f t="shared" si="34"/>
        <v>15.014484470588233</v>
      </c>
      <c r="DL37" s="13">
        <f t="shared" si="34"/>
        <v>12.82427176470588</v>
      </c>
      <c r="DM37" s="13">
        <f t="shared" si="34"/>
        <v>5.3602574117647057</v>
      </c>
      <c r="DN37" s="13">
        <f t="shared" si="34"/>
        <v>36.455514117647056</v>
      </c>
      <c r="DO37" s="13">
        <f t="shared" si="34"/>
        <v>11.268067999999998</v>
      </c>
      <c r="DP37" s="13">
        <f t="shared" si="34"/>
        <v>3.5158677647058814</v>
      </c>
      <c r="DQ37" s="13">
        <f t="shared" si="34"/>
        <v>21.469848235294116</v>
      </c>
      <c r="DR37" s="13">
        <f t="shared" si="34"/>
        <v>15.100940235294114</v>
      </c>
      <c r="DS37" s="13">
        <f t="shared" si="34"/>
        <v>4.3804254117647048</v>
      </c>
      <c r="DT37" s="13">
        <f t="shared" si="34"/>
        <v>25.994366588235291</v>
      </c>
      <c r="DU37" s="13">
        <f t="shared" si="34"/>
        <v>9.7406828235294096</v>
      </c>
      <c r="DV37" s="13">
        <f t="shared" si="34"/>
        <v>13.141276235294116</v>
      </c>
      <c r="DW37" s="13">
        <f t="shared" si="34"/>
        <v>12.103807058823527</v>
      </c>
      <c r="DX37" s="13">
        <f t="shared" si="34"/>
        <v>12.132625647058822</v>
      </c>
      <c r="DY37" s="13">
        <f t="shared" si="34"/>
        <v>2.9683145882352937</v>
      </c>
      <c r="DZ37" s="13">
        <f t="shared" si="34"/>
        <v>18.242166352941172</v>
      </c>
      <c r="EA37" s="13">
        <f t="shared" si="34"/>
        <v>20.749383529411762</v>
      </c>
      <c r="EB37" s="13">
        <f t="shared" si="34"/>
        <v>15.734949176470586</v>
      </c>
      <c r="EC37" s="13">
        <f t="shared" si="34"/>
        <v>11.671528235294115</v>
      </c>
      <c r="ED37" s="13">
        <f t="shared" si="34"/>
        <v>33.71774823529411</v>
      </c>
      <c r="EE37" s="13">
        <f t="shared" si="34"/>
        <v>11.613891058823526</v>
      </c>
      <c r="EF37" s="13">
        <f t="shared" si="34"/>
        <v>4.3804254117647048</v>
      </c>
      <c r="EG37" s="13">
        <f t="shared" si="34"/>
        <v>10.374691764705881</v>
      </c>
      <c r="EH37" s="13">
        <f t="shared" si="34"/>
        <v>14.005833882352938</v>
      </c>
      <c r="EI37" s="13">
        <f t="shared" si="34"/>
        <v>7.5792887058823517</v>
      </c>
      <c r="EJ37" s="13">
        <f t="shared" si="34"/>
        <v>9.2507668235294105</v>
      </c>
      <c r="EK37" s="13">
        <f t="shared" si="34"/>
        <v>10.259417411764705</v>
      </c>
      <c r="EL37" s="13">
        <f t="shared" si="34"/>
        <v>18.386259294117643</v>
      </c>
      <c r="EM37" s="13">
        <f t="shared" si="34"/>
        <v>21.556303999999994</v>
      </c>
      <c r="EN37" s="13">
        <f t="shared" si="34"/>
        <v>4.3804254117647048</v>
      </c>
      <c r="EO37" s="13">
        <f t="shared" si="34"/>
        <v>18.55917082352941</v>
      </c>
      <c r="EP37" s="13">
        <f t="shared" si="34"/>
        <v>16.657143999999995</v>
      </c>
      <c r="EQ37" s="13">
        <f t="shared" si="34"/>
        <v>14.668661411764703</v>
      </c>
      <c r="ER37" s="13">
        <f t="shared" si="34"/>
        <v>7.9827489411764692</v>
      </c>
      <c r="ES37" s="13">
        <f t="shared" si="34"/>
        <v>8.0980232941176453</v>
      </c>
      <c r="ET37" s="13">
        <f t="shared" si="34"/>
        <v>5.7925362352941168</v>
      </c>
      <c r="EU37" s="13">
        <f t="shared" si="34"/>
        <v>8.0692047058823508</v>
      </c>
      <c r="EV37" s="13">
        <f t="shared" si="34"/>
        <v>3.8905094117647052</v>
      </c>
      <c r="EW37" s="13">
        <f t="shared" si="34"/>
        <v>8.5879392941176462</v>
      </c>
      <c r="EX37" s="13">
        <f t="shared" si="34"/>
        <v>7.867474588235293</v>
      </c>
      <c r="EY37" s="13">
        <f t="shared" si="34"/>
        <v>5.7060804705882342</v>
      </c>
      <c r="EZ37" s="13">
        <f t="shared" ref="EZ37:HK37" si="35">SUM(EZ38:EZ57)</f>
        <v>1.7002967058823528</v>
      </c>
      <c r="FA37" s="13">
        <f t="shared" si="35"/>
        <v>16.743599764705881</v>
      </c>
      <c r="FB37" s="13">
        <f t="shared" si="35"/>
        <v>0</v>
      </c>
      <c r="FC37" s="13">
        <f t="shared" si="35"/>
        <v>2.1902127058823524</v>
      </c>
      <c r="FD37" s="13">
        <f t="shared" si="35"/>
        <v>3.2276818823529405</v>
      </c>
      <c r="FE37" s="13">
        <f t="shared" si="35"/>
        <v>9.279585411764705</v>
      </c>
      <c r="FF37" s="13">
        <f t="shared" si="35"/>
        <v>6.5706381176470581</v>
      </c>
      <c r="FG37" s="13">
        <f t="shared" si="35"/>
        <v>12.334355764705879</v>
      </c>
      <c r="FH37" s="13">
        <f t="shared" si="35"/>
        <v>15.331488941176469</v>
      </c>
      <c r="FI37" s="13">
        <f t="shared" si="35"/>
        <v>3.4294119999999997</v>
      </c>
      <c r="FJ37" s="13">
        <f t="shared" si="35"/>
        <v>6.5706381176470581</v>
      </c>
      <c r="FK37" s="13">
        <f t="shared" si="35"/>
        <v>8.8761251764705875</v>
      </c>
      <c r="FL37" s="13">
        <f t="shared" si="35"/>
        <v>10.951063529411762</v>
      </c>
      <c r="FM37" s="13">
        <f t="shared" si="35"/>
        <v>20.028918823529409</v>
      </c>
      <c r="FN37" s="13">
        <f t="shared" si="35"/>
        <v>6.0230849411764691</v>
      </c>
      <c r="FO37" s="13">
        <f t="shared" si="35"/>
        <v>4.3804254117647048</v>
      </c>
      <c r="FP37" s="13">
        <f t="shared" si="35"/>
        <v>2.4207614117647056</v>
      </c>
      <c r="FQ37" s="13">
        <f t="shared" si="35"/>
        <v>8.7608508235294096</v>
      </c>
      <c r="FR37" s="13">
        <f t="shared" si="35"/>
        <v>8.7608508235294096</v>
      </c>
      <c r="FS37" s="13">
        <f t="shared" si="35"/>
        <v>10.951063529411762</v>
      </c>
      <c r="FT37" s="13">
        <f t="shared" si="35"/>
        <v>10.951063529411762</v>
      </c>
      <c r="FU37" s="13">
        <f t="shared" si="35"/>
        <v>21.902127058823524</v>
      </c>
      <c r="FV37" s="13">
        <f t="shared" si="35"/>
        <v>2.1902127058823524</v>
      </c>
      <c r="FW37" s="13">
        <f t="shared" si="35"/>
        <v>17.521701647058819</v>
      </c>
      <c r="FX37" s="13">
        <f t="shared" si="35"/>
        <v>2.1902127058823524</v>
      </c>
      <c r="FY37" s="13">
        <f t="shared" si="35"/>
        <v>13.832922352941175</v>
      </c>
      <c r="FZ37" s="13">
        <f t="shared" si="35"/>
        <v>4.3804254117647048</v>
      </c>
      <c r="GA37" s="13">
        <f t="shared" si="35"/>
        <v>15.158577411764703</v>
      </c>
      <c r="GB37" s="13">
        <f t="shared" si="35"/>
        <v>4.4956997647058818</v>
      </c>
      <c r="GC37" s="13">
        <f t="shared" si="35"/>
        <v>14.985665882352938</v>
      </c>
      <c r="GD37" s="13">
        <f t="shared" si="35"/>
        <v>39.337372941176461</v>
      </c>
      <c r="GE37" s="13">
        <f t="shared" si="35"/>
        <v>23.717698117647053</v>
      </c>
      <c r="GF37" s="13">
        <f t="shared" si="35"/>
        <v>11.613891058823526</v>
      </c>
      <c r="GG37" s="13">
        <f t="shared" si="35"/>
        <v>19.020268235294115</v>
      </c>
      <c r="GH37" s="13">
        <f t="shared" si="35"/>
        <v>81.700697647058803</v>
      </c>
      <c r="GI37" s="13">
        <f t="shared" si="35"/>
        <v>14.668661411764703</v>
      </c>
      <c r="GJ37" s="13">
        <f t="shared" si="35"/>
        <v>27.66584470588235</v>
      </c>
      <c r="GK37" s="13">
        <f t="shared" si="35"/>
        <v>19.539002823529408</v>
      </c>
      <c r="GL37" s="13">
        <f t="shared" si="35"/>
        <v>37.809987764705873</v>
      </c>
      <c r="GM37" s="13">
        <f t="shared" si="35"/>
        <v>23.285419294117641</v>
      </c>
      <c r="GN37" s="13">
        <f t="shared" si="35"/>
        <v>26.224915294117643</v>
      </c>
      <c r="GO37" s="13">
        <f t="shared" si="35"/>
        <v>35.879142352941173</v>
      </c>
      <c r="GP37" s="13">
        <f t="shared" si="35"/>
        <v>26.974198588235289</v>
      </c>
      <c r="GQ37" s="13">
        <f t="shared" si="35"/>
        <v>14.899210117647057</v>
      </c>
      <c r="GR37" s="13">
        <f t="shared" si="35"/>
        <v>31.268168235294112</v>
      </c>
      <c r="GS37" s="13">
        <f t="shared" si="35"/>
        <v>4.3804254117647048</v>
      </c>
      <c r="GT37" s="13">
        <f t="shared" si="35"/>
        <v>28.386309411764699</v>
      </c>
      <c r="GU37" s="13">
        <f t="shared" si="35"/>
        <v>8.0692047058823508</v>
      </c>
      <c r="GV37" s="13">
        <f t="shared" si="35"/>
        <v>40.720665176470582</v>
      </c>
      <c r="GW37" s="13">
        <f t="shared" si="35"/>
        <v>27.550570352941168</v>
      </c>
      <c r="GX37" s="13">
        <f t="shared" si="35"/>
        <v>13.832922352941175</v>
      </c>
      <c r="GY37" s="13">
        <f t="shared" si="35"/>
        <v>22.593773176470584</v>
      </c>
      <c r="GZ37" s="13">
        <f t="shared" si="35"/>
        <v>14.611024235294115</v>
      </c>
      <c r="HA37" s="13">
        <f t="shared" si="35"/>
        <v>19.020268235294115</v>
      </c>
      <c r="HB37" s="13">
        <f t="shared" si="35"/>
        <v>5.9366291764705874</v>
      </c>
      <c r="HC37" s="13">
        <f t="shared" si="35"/>
        <v>8.7608508235294096</v>
      </c>
      <c r="HD37" s="13">
        <f t="shared" si="35"/>
        <v>14.063471058823525</v>
      </c>
      <c r="HE37" s="13">
        <f t="shared" si="35"/>
        <v>16.974148470588233</v>
      </c>
      <c r="HF37" s="13">
        <f t="shared" si="35"/>
        <v>32.046270117647055</v>
      </c>
      <c r="HG37" s="13">
        <f t="shared" si="35"/>
        <v>27.492933176470583</v>
      </c>
      <c r="HH37" s="13">
        <f t="shared" si="35"/>
        <v>18.55917082352941</v>
      </c>
      <c r="HI37" s="13">
        <f t="shared" si="35"/>
        <v>33.141376470588227</v>
      </c>
      <c r="HJ37" s="13">
        <f t="shared" si="35"/>
        <v>18.55917082352941</v>
      </c>
      <c r="HK37" s="13">
        <f t="shared" si="35"/>
        <v>51.354724235294107</v>
      </c>
      <c r="HL37" s="13">
        <f t="shared" ref="HL37:JW37" si="36">SUM(HL38:HL57)</f>
        <v>13.141276235294109</v>
      </c>
      <c r="HM37" s="13">
        <f t="shared" si="36"/>
        <v>19.308454117647045</v>
      </c>
      <c r="HN37" s="13">
        <f t="shared" si="36"/>
        <v>28.011667764705866</v>
      </c>
      <c r="HO37" s="13">
        <f t="shared" si="36"/>
        <v>38.357540941176445</v>
      </c>
      <c r="HP37" s="13">
        <f t="shared" si="36"/>
        <v>29.39495999999998</v>
      </c>
      <c r="HQ37" s="13">
        <f t="shared" si="36"/>
        <v>33.343106588235301</v>
      </c>
      <c r="HR37" s="13">
        <f t="shared" si="36"/>
        <v>0</v>
      </c>
      <c r="HS37" s="13">
        <f t="shared" si="36"/>
        <v>0</v>
      </c>
      <c r="HT37" s="13">
        <f t="shared" si="36"/>
        <v>0</v>
      </c>
      <c r="HU37" s="13">
        <f t="shared" si="36"/>
        <v>0</v>
      </c>
      <c r="HV37" s="13">
        <f t="shared" si="36"/>
        <v>0</v>
      </c>
      <c r="HW37" s="13">
        <f t="shared" si="36"/>
        <v>2.3631242352941202</v>
      </c>
      <c r="HX37" s="13">
        <f t="shared" si="36"/>
        <v>6.7435496470588197</v>
      </c>
      <c r="HY37" s="13">
        <f t="shared" si="36"/>
        <v>3.6023235294117599</v>
      </c>
      <c r="HZ37" s="13">
        <f t="shared" si="36"/>
        <v>8.3285719999999905</v>
      </c>
      <c r="IA37" s="13">
        <f t="shared" si="36"/>
        <v>0</v>
      </c>
      <c r="IB37" s="13">
        <f t="shared" si="36"/>
        <v>11.4409795294118</v>
      </c>
      <c r="IC37" s="13">
        <f t="shared" si="36"/>
        <v>5.7637176470588196</v>
      </c>
      <c r="ID37" s="13">
        <f t="shared" si="36"/>
        <v>3.4005934117646999</v>
      </c>
      <c r="IE37" s="13">
        <f t="shared" si="36"/>
        <v>13.688829411764701</v>
      </c>
      <c r="IF37" s="13">
        <f t="shared" si="36"/>
        <v>2.6224915294117599</v>
      </c>
      <c r="IG37" s="13">
        <f t="shared" si="36"/>
        <v>9.7983199999999897</v>
      </c>
      <c r="IH37" s="13">
        <f t="shared" si="36"/>
        <v>15.043303058823501</v>
      </c>
      <c r="II37" s="13">
        <f t="shared" si="36"/>
        <v>1.4121108235294109</v>
      </c>
      <c r="IJ37" s="13">
        <f t="shared" si="36"/>
        <v>2.1902127058823515</v>
      </c>
      <c r="IK37" s="13">
        <f t="shared" si="36"/>
        <v>1.8732082352941164</v>
      </c>
      <c r="IL37" s="13">
        <f t="shared" si="36"/>
        <v>0</v>
      </c>
      <c r="IM37" s="13">
        <f t="shared" si="36"/>
        <v>0</v>
      </c>
      <c r="IN37" s="13">
        <f t="shared" si="36"/>
        <v>0</v>
      </c>
      <c r="IO37" s="13">
        <f t="shared" si="36"/>
        <v>1196.5785000000001</v>
      </c>
      <c r="IP37" s="13">
        <f t="shared" si="36"/>
        <v>0</v>
      </c>
      <c r="IQ37" s="13">
        <f t="shared" si="36"/>
        <v>0</v>
      </c>
      <c r="IR37" s="13">
        <f t="shared" si="36"/>
        <v>1444.0994564705875</v>
      </c>
      <c r="IS37" s="13">
        <f t="shared" si="36"/>
        <v>0</v>
      </c>
      <c r="IT37" s="13">
        <f t="shared" si="36"/>
        <v>0</v>
      </c>
      <c r="IU37" s="13">
        <f t="shared" si="36"/>
        <v>1581.7658524705871</v>
      </c>
      <c r="IV37" s="13">
        <f t="shared" si="36"/>
        <v>0</v>
      </c>
      <c r="IW37" s="13">
        <f t="shared" si="36"/>
        <v>0</v>
      </c>
      <c r="IX37" s="13">
        <f t="shared" si="36"/>
        <v>3.12</v>
      </c>
      <c r="IY37" s="13">
        <f t="shared" si="36"/>
        <v>0</v>
      </c>
      <c r="IZ37" s="13">
        <f t="shared" si="36"/>
        <v>0</v>
      </c>
      <c r="JA37" s="13">
        <f t="shared" si="36"/>
        <v>0</v>
      </c>
      <c r="JB37" s="13">
        <f t="shared" si="36"/>
        <v>1350.7430999999999</v>
      </c>
      <c r="JC37" s="13">
        <f t="shared" si="36"/>
        <v>1512.3418734117638</v>
      </c>
      <c r="JD37" s="13">
        <f t="shared" si="36"/>
        <v>0</v>
      </c>
      <c r="JE37" s="13">
        <f t="shared" si="36"/>
        <v>2009.0014230588224</v>
      </c>
      <c r="JF37" s="13">
        <f t="shared" si="36"/>
        <v>3527.3951999999981</v>
      </c>
      <c r="JG37" s="13">
        <f t="shared" si="36"/>
        <v>0.46109741176470559</v>
      </c>
      <c r="JH37" s="13">
        <f t="shared" si="36"/>
        <v>1044.1262703529405</v>
      </c>
      <c r="JI37" s="13">
        <f t="shared" si="36"/>
        <v>0.46109741176470559</v>
      </c>
      <c r="JJ37" s="13">
        <f t="shared" si="36"/>
        <v>0</v>
      </c>
      <c r="JK37" s="13">
        <f t="shared" si="36"/>
        <v>0</v>
      </c>
      <c r="JL37" s="13">
        <f t="shared" si="36"/>
        <v>0</v>
      </c>
      <c r="JM37" s="13">
        <f t="shared" si="36"/>
        <v>0</v>
      </c>
      <c r="JN37" s="13">
        <f t="shared" si="36"/>
        <v>0.48991599999999969</v>
      </c>
      <c r="JO37" s="13">
        <f t="shared" si="36"/>
        <v>0</v>
      </c>
      <c r="JP37" s="13">
        <f t="shared" si="36"/>
        <v>7.0317355294117601</v>
      </c>
      <c r="JQ37" s="13">
        <f t="shared" si="36"/>
        <v>0</v>
      </c>
      <c r="JR37" s="13">
        <f t="shared" si="36"/>
        <v>13.832922352941168</v>
      </c>
      <c r="JS37" s="13">
        <f t="shared" si="36"/>
        <v>0</v>
      </c>
      <c r="JT37" s="13">
        <f t="shared" si="36"/>
        <v>0</v>
      </c>
      <c r="JU37" s="13">
        <f t="shared" si="36"/>
        <v>0</v>
      </c>
      <c r="JV37" s="13">
        <f t="shared" si="36"/>
        <v>0</v>
      </c>
      <c r="JW37" s="13">
        <f t="shared" si="36"/>
        <v>0</v>
      </c>
      <c r="JX37" s="13">
        <f t="shared" ref="JX37:MC37" si="37">SUM(JX38:JX57)</f>
        <v>0.43227882352941149</v>
      </c>
      <c r="JY37" s="13">
        <f t="shared" si="37"/>
        <v>0.43227882352941149</v>
      </c>
      <c r="JZ37" s="13">
        <f t="shared" si="37"/>
        <v>0</v>
      </c>
      <c r="KA37" s="13">
        <f t="shared" si="37"/>
        <v>0.3746416470588233</v>
      </c>
      <c r="KB37" s="13">
        <f t="shared" si="37"/>
        <v>0</v>
      </c>
      <c r="KC37" s="13">
        <f t="shared" si="37"/>
        <v>0</v>
      </c>
      <c r="KD37" s="13">
        <f t="shared" si="37"/>
        <v>0</v>
      </c>
      <c r="KE37" s="13">
        <f t="shared" si="37"/>
        <v>0</v>
      </c>
      <c r="KF37" s="13">
        <f t="shared" si="37"/>
        <v>0</v>
      </c>
      <c r="KG37" s="13">
        <f t="shared" si="37"/>
        <v>0</v>
      </c>
      <c r="KH37" s="13">
        <f t="shared" si="37"/>
        <v>0</v>
      </c>
      <c r="KI37" s="13">
        <f t="shared" si="37"/>
        <v>0</v>
      </c>
      <c r="KJ37" s="13">
        <f t="shared" si="37"/>
        <v>0</v>
      </c>
      <c r="KK37" s="13">
        <f t="shared" si="37"/>
        <v>0</v>
      </c>
      <c r="KL37" s="13">
        <f t="shared" si="37"/>
        <v>0</v>
      </c>
      <c r="KM37" s="13">
        <f t="shared" si="37"/>
        <v>0</v>
      </c>
      <c r="KN37" s="13">
        <f t="shared" si="37"/>
        <v>0</v>
      </c>
      <c r="KO37" s="13">
        <f t="shared" si="37"/>
        <v>0</v>
      </c>
      <c r="KP37" s="13">
        <f t="shared" si="37"/>
        <v>0</v>
      </c>
      <c r="KQ37" s="13">
        <f t="shared" si="37"/>
        <v>0</v>
      </c>
      <c r="KR37" s="13">
        <f t="shared" si="37"/>
        <v>0</v>
      </c>
      <c r="KS37" s="13">
        <f t="shared" si="37"/>
        <v>0</v>
      </c>
      <c r="KT37" s="13">
        <f t="shared" si="37"/>
        <v>0</v>
      </c>
      <c r="KU37" s="13">
        <f t="shared" si="37"/>
        <v>0</v>
      </c>
      <c r="KV37" s="13">
        <f t="shared" si="37"/>
        <v>0</v>
      </c>
      <c r="KW37" s="13">
        <f t="shared" si="37"/>
        <v>0</v>
      </c>
      <c r="KX37" s="13">
        <f t="shared" si="37"/>
        <v>0</v>
      </c>
      <c r="KY37" s="13">
        <f t="shared" si="37"/>
        <v>0</v>
      </c>
      <c r="KZ37" s="13">
        <f t="shared" si="37"/>
        <v>0</v>
      </c>
      <c r="LA37" s="13">
        <f t="shared" si="37"/>
        <v>1.7996914285714285</v>
      </c>
      <c r="LB37" s="13">
        <f t="shared" si="37"/>
        <v>0</v>
      </c>
      <c r="LC37" s="13">
        <f t="shared" si="37"/>
        <v>0</v>
      </c>
      <c r="LD37" s="13">
        <f t="shared" si="37"/>
        <v>0</v>
      </c>
      <c r="LE37" s="13">
        <f t="shared" si="37"/>
        <v>0</v>
      </c>
      <c r="LF37" s="13">
        <f t="shared" si="37"/>
        <v>0</v>
      </c>
      <c r="LG37" s="13">
        <f t="shared" si="37"/>
        <v>0</v>
      </c>
      <c r="LH37" s="13">
        <f t="shared" si="37"/>
        <v>0</v>
      </c>
      <c r="LI37" s="13">
        <f t="shared" si="37"/>
        <v>0</v>
      </c>
      <c r="LJ37" s="13">
        <f t="shared" si="37"/>
        <v>0</v>
      </c>
      <c r="LK37" s="13">
        <f t="shared" si="37"/>
        <v>0</v>
      </c>
      <c r="LL37" s="13">
        <f t="shared" si="37"/>
        <v>0</v>
      </c>
      <c r="LM37" s="13">
        <f t="shared" si="37"/>
        <v>0</v>
      </c>
      <c r="LN37" s="13">
        <f t="shared" si="37"/>
        <v>0</v>
      </c>
      <c r="LO37" s="13">
        <f t="shared" si="37"/>
        <v>0</v>
      </c>
      <c r="LP37" s="13">
        <f t="shared" si="37"/>
        <v>0</v>
      </c>
      <c r="LQ37" s="13">
        <f t="shared" si="37"/>
        <v>0</v>
      </c>
      <c r="LR37" s="13">
        <f t="shared" si="37"/>
        <v>0</v>
      </c>
      <c r="LS37" s="13">
        <f t="shared" si="37"/>
        <v>0</v>
      </c>
      <c r="LT37" s="13">
        <f t="shared" si="37"/>
        <v>0</v>
      </c>
      <c r="LU37" s="13">
        <f t="shared" si="37"/>
        <v>0</v>
      </c>
      <c r="LV37" s="13">
        <f t="shared" si="37"/>
        <v>0</v>
      </c>
      <c r="LW37" s="13">
        <f t="shared" si="37"/>
        <v>0</v>
      </c>
      <c r="LX37" s="13">
        <f t="shared" si="37"/>
        <v>0</v>
      </c>
      <c r="LY37" s="13">
        <f t="shared" si="37"/>
        <v>0</v>
      </c>
      <c r="LZ37" s="13">
        <f t="shared" si="37"/>
        <v>0</v>
      </c>
      <c r="MA37" s="13">
        <f t="shared" si="37"/>
        <v>0</v>
      </c>
      <c r="MB37" s="13">
        <f t="shared" si="37"/>
        <v>0</v>
      </c>
      <c r="MC37" s="13">
        <f t="shared" si="37"/>
        <v>0</v>
      </c>
    </row>
    <row r="38" spans="1:341" s="14" customFormat="1">
      <c r="A38" s="15" t="s">
        <v>35</v>
      </c>
      <c r="B38" s="13">
        <f t="shared" ref="B38:B57" si="38">SUM(AB38:AM38)/1000</f>
        <v>0</v>
      </c>
      <c r="C38" s="13">
        <f t="shared" ref="C38:C57" si="39">SUM(AN38:AY38)/1000</f>
        <v>0</v>
      </c>
      <c r="D38" s="13">
        <f t="shared" ref="D38:D57" si="40">SUM(AZ38:BK38)/1000</f>
        <v>0</v>
      </c>
      <c r="E38" s="13">
        <f t="shared" ref="E38:E57" si="41">SUM(BL38:BW38)/1000</f>
        <v>0</v>
      </c>
      <c r="F38" s="13">
        <f t="shared" ref="F38:F57" si="42">SUM(BX38:CI38)/1000</f>
        <v>0</v>
      </c>
      <c r="G38" s="13">
        <f t="shared" ref="G38:G57" si="43">SUM(CJ38:CU38)/1000</f>
        <v>0</v>
      </c>
      <c r="H38" s="13">
        <f t="shared" ref="H38:H57" si="44">SUM(CV38:DG38)/1000</f>
        <v>0</v>
      </c>
      <c r="I38" s="13">
        <f t="shared" ref="I38:I57" si="45">SUM(DH38:DS38)/1000</f>
        <v>0</v>
      </c>
      <c r="J38" s="13">
        <f t="shared" ref="J38:J57" si="46">SUM(DT38:EE38)/1000</f>
        <v>0</v>
      </c>
      <c r="K38" s="13">
        <f t="shared" ref="K38:K57" si="47">SUM(EF38:EQ38)/1000</f>
        <v>0</v>
      </c>
      <c r="L38" s="13">
        <f t="shared" ref="L38:L57" si="48">SUM(ER38:FC38)/1000</f>
        <v>0</v>
      </c>
      <c r="M38" s="13">
        <f t="shared" ref="M38:M57" si="49">SUM(FD38:FO38)/1000</f>
        <v>0</v>
      </c>
      <c r="N38" s="13">
        <f t="shared" ref="N38:N57" si="50">SUM(FP38:GA38)/1000</f>
        <v>0</v>
      </c>
      <c r="O38" s="13">
        <f t="shared" ref="O38:O57" si="51">SUM(GB38:GM38)/1000</f>
        <v>0</v>
      </c>
      <c r="P38" s="13">
        <f t="shared" ref="P38:P57" si="52">SUM(GN38:GY38)/1000</f>
        <v>0</v>
      </c>
      <c r="Q38" s="13">
        <f t="shared" ref="Q38:Q57" si="53">SUM(GZ38:HK38)/1000</f>
        <v>0</v>
      </c>
      <c r="R38" s="13">
        <f t="shared" ref="R38:R57" si="54">SUM(HL38:HW38)/1000</f>
        <v>0</v>
      </c>
      <c r="S38" s="13">
        <f t="shared" ref="S38:S57" si="55">SUM(HX38:II38)/1000</f>
        <v>0</v>
      </c>
      <c r="T38" s="13">
        <f t="shared" ref="T38:T57" si="56">SUM(IJ38:IU38)/1000</f>
        <v>0</v>
      </c>
      <c r="U38" s="13">
        <f t="shared" ref="U38:U57" si="57">SUM(IV38:JG38)/1000</f>
        <v>0</v>
      </c>
      <c r="V38" s="13">
        <f t="shared" ref="V38:V57" si="58">SUM(JH38:JS38)/1000</f>
        <v>0</v>
      </c>
      <c r="W38" s="13">
        <f t="shared" ref="W38:W57" si="59">SUM(JT38:KE38)/1000</f>
        <v>0</v>
      </c>
      <c r="X38" s="13">
        <f t="shared" ref="X38:X57" si="60">SUM(KF38:KQ38)/1000</f>
        <v>0</v>
      </c>
      <c r="Y38" s="13">
        <f t="shared" ref="Y38:Y57" si="61">SUM(KR38:LC38)/1000</f>
        <v>0</v>
      </c>
      <c r="Z38" s="13">
        <f t="shared" ref="Z38:Z57" si="62">SUM(LD38:LO38)/1000</f>
        <v>0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</row>
    <row r="39" spans="1:341" s="14" customFormat="1">
      <c r="A39" s="12" t="s">
        <v>36</v>
      </c>
      <c r="B39" s="13">
        <f t="shared" si="38"/>
        <v>0</v>
      </c>
      <c r="C39" s="13">
        <f t="shared" si="39"/>
        <v>0</v>
      </c>
      <c r="D39" s="13">
        <f t="shared" si="40"/>
        <v>0</v>
      </c>
      <c r="E39" s="13">
        <f t="shared" si="41"/>
        <v>0</v>
      </c>
      <c r="F39" s="13">
        <f t="shared" si="42"/>
        <v>0</v>
      </c>
      <c r="G39" s="13">
        <f t="shared" si="43"/>
        <v>0</v>
      </c>
      <c r="H39" s="13">
        <f t="shared" si="44"/>
        <v>0</v>
      </c>
      <c r="I39" s="13">
        <f t="shared" si="45"/>
        <v>0</v>
      </c>
      <c r="J39" s="13">
        <f t="shared" si="46"/>
        <v>0</v>
      </c>
      <c r="K39" s="13">
        <f t="shared" si="47"/>
        <v>0</v>
      </c>
      <c r="L39" s="13">
        <f t="shared" si="48"/>
        <v>0</v>
      </c>
      <c r="M39" s="13">
        <f t="shared" si="49"/>
        <v>0</v>
      </c>
      <c r="N39" s="13">
        <f t="shared" si="50"/>
        <v>0</v>
      </c>
      <c r="O39" s="13">
        <f t="shared" si="51"/>
        <v>0</v>
      </c>
      <c r="P39" s="13">
        <f t="shared" si="52"/>
        <v>0</v>
      </c>
      <c r="Q39" s="13">
        <f t="shared" si="53"/>
        <v>0</v>
      </c>
      <c r="R39" s="13">
        <f t="shared" si="54"/>
        <v>0</v>
      </c>
      <c r="S39" s="13">
        <f t="shared" si="55"/>
        <v>0</v>
      </c>
      <c r="T39" s="13">
        <f t="shared" si="56"/>
        <v>0</v>
      </c>
      <c r="U39" s="13">
        <f t="shared" si="57"/>
        <v>0</v>
      </c>
      <c r="V39" s="13">
        <f t="shared" si="58"/>
        <v>0</v>
      </c>
      <c r="W39" s="13">
        <f t="shared" si="59"/>
        <v>0</v>
      </c>
      <c r="X39" s="13">
        <f t="shared" si="60"/>
        <v>0</v>
      </c>
      <c r="Y39" s="13">
        <f t="shared" si="61"/>
        <v>0</v>
      </c>
      <c r="Z39" s="13">
        <f t="shared" si="62"/>
        <v>0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</row>
    <row r="40" spans="1:341" s="14" customFormat="1">
      <c r="A40" s="12" t="s">
        <v>37</v>
      </c>
      <c r="B40" s="13">
        <f t="shared" si="38"/>
        <v>0</v>
      </c>
      <c r="C40" s="13">
        <f t="shared" si="39"/>
        <v>0</v>
      </c>
      <c r="D40" s="13">
        <f t="shared" si="40"/>
        <v>0</v>
      </c>
      <c r="E40" s="13">
        <f t="shared" si="41"/>
        <v>0</v>
      </c>
      <c r="F40" s="13">
        <f t="shared" si="42"/>
        <v>0</v>
      </c>
      <c r="G40" s="13">
        <f t="shared" si="43"/>
        <v>0</v>
      </c>
      <c r="H40" s="13">
        <f t="shared" si="44"/>
        <v>0</v>
      </c>
      <c r="I40" s="13">
        <f t="shared" si="45"/>
        <v>0</v>
      </c>
      <c r="J40" s="13">
        <f t="shared" si="46"/>
        <v>0</v>
      </c>
      <c r="K40" s="13">
        <f t="shared" si="47"/>
        <v>0</v>
      </c>
      <c r="L40" s="13">
        <f t="shared" si="48"/>
        <v>0</v>
      </c>
      <c r="M40" s="13">
        <f t="shared" si="49"/>
        <v>0</v>
      </c>
      <c r="N40" s="13">
        <f t="shared" si="50"/>
        <v>0</v>
      </c>
      <c r="O40" s="13">
        <f t="shared" si="51"/>
        <v>0</v>
      </c>
      <c r="P40" s="13">
        <f t="shared" si="52"/>
        <v>0</v>
      </c>
      <c r="Q40" s="13">
        <f t="shared" si="53"/>
        <v>0</v>
      </c>
      <c r="R40" s="13">
        <f t="shared" si="54"/>
        <v>0</v>
      </c>
      <c r="S40" s="13">
        <f t="shared" si="55"/>
        <v>0</v>
      </c>
      <c r="T40" s="13">
        <f t="shared" si="56"/>
        <v>0</v>
      </c>
      <c r="U40" s="13">
        <f t="shared" si="57"/>
        <v>0</v>
      </c>
      <c r="V40" s="13">
        <f t="shared" si="58"/>
        <v>0</v>
      </c>
      <c r="W40" s="13">
        <f t="shared" si="59"/>
        <v>0</v>
      </c>
      <c r="X40" s="13">
        <f t="shared" si="60"/>
        <v>0</v>
      </c>
      <c r="Y40" s="13">
        <f t="shared" si="61"/>
        <v>0</v>
      </c>
      <c r="Z40" s="13">
        <f t="shared" si="62"/>
        <v>0</v>
      </c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</row>
    <row r="41" spans="1:341" s="14" customFormat="1">
      <c r="A41" s="15" t="s">
        <v>38</v>
      </c>
      <c r="B41" s="13">
        <f t="shared" si="38"/>
        <v>0</v>
      </c>
      <c r="C41" s="13">
        <f t="shared" si="39"/>
        <v>0</v>
      </c>
      <c r="D41" s="13">
        <f t="shared" si="40"/>
        <v>0</v>
      </c>
      <c r="E41" s="13">
        <f t="shared" si="41"/>
        <v>0</v>
      </c>
      <c r="F41" s="13">
        <f t="shared" si="42"/>
        <v>0</v>
      </c>
      <c r="G41" s="13">
        <f t="shared" si="43"/>
        <v>0</v>
      </c>
      <c r="H41" s="13">
        <f t="shared" si="44"/>
        <v>0</v>
      </c>
      <c r="I41" s="13">
        <f t="shared" si="45"/>
        <v>0</v>
      </c>
      <c r="J41" s="13">
        <f t="shared" si="46"/>
        <v>0</v>
      </c>
      <c r="K41" s="13">
        <f t="shared" si="47"/>
        <v>0</v>
      </c>
      <c r="L41" s="13">
        <f t="shared" si="48"/>
        <v>0</v>
      </c>
      <c r="M41" s="13">
        <f t="shared" si="49"/>
        <v>0</v>
      </c>
      <c r="N41" s="13">
        <f t="shared" si="50"/>
        <v>0</v>
      </c>
      <c r="O41" s="13">
        <f t="shared" si="51"/>
        <v>0</v>
      </c>
      <c r="P41" s="13">
        <f t="shared" si="52"/>
        <v>0</v>
      </c>
      <c r="Q41" s="13">
        <f t="shared" si="53"/>
        <v>0</v>
      </c>
      <c r="R41" s="13">
        <f t="shared" si="54"/>
        <v>0</v>
      </c>
      <c r="S41" s="13">
        <f t="shared" si="55"/>
        <v>0</v>
      </c>
      <c r="T41" s="13">
        <f t="shared" si="56"/>
        <v>0</v>
      </c>
      <c r="U41" s="13">
        <f t="shared" si="57"/>
        <v>0</v>
      </c>
      <c r="V41" s="13">
        <f t="shared" si="58"/>
        <v>0</v>
      </c>
      <c r="W41" s="13">
        <f t="shared" si="59"/>
        <v>0</v>
      </c>
      <c r="X41" s="13">
        <f t="shared" si="60"/>
        <v>0</v>
      </c>
      <c r="Y41" s="13">
        <f t="shared" si="61"/>
        <v>0</v>
      </c>
      <c r="Z41" s="13">
        <f t="shared" si="62"/>
        <v>0</v>
      </c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</row>
    <row r="42" spans="1:341" s="14" customFormat="1">
      <c r="A42" s="12" t="s">
        <v>39</v>
      </c>
      <c r="B42" s="13">
        <f t="shared" si="38"/>
        <v>0</v>
      </c>
      <c r="C42" s="13">
        <f t="shared" si="39"/>
        <v>0</v>
      </c>
      <c r="D42" s="13">
        <f t="shared" si="40"/>
        <v>0</v>
      </c>
      <c r="E42" s="13">
        <f t="shared" si="41"/>
        <v>0</v>
      </c>
      <c r="F42" s="13">
        <f t="shared" si="42"/>
        <v>0</v>
      </c>
      <c r="G42" s="13">
        <f t="shared" si="43"/>
        <v>0</v>
      </c>
      <c r="H42" s="13">
        <f t="shared" si="44"/>
        <v>0</v>
      </c>
      <c r="I42" s="13">
        <f t="shared" si="45"/>
        <v>0</v>
      </c>
      <c r="J42" s="13">
        <f t="shared" si="46"/>
        <v>0</v>
      </c>
      <c r="K42" s="13">
        <f t="shared" si="47"/>
        <v>0</v>
      </c>
      <c r="L42" s="13">
        <f t="shared" si="48"/>
        <v>0</v>
      </c>
      <c r="M42" s="13">
        <f t="shared" si="49"/>
        <v>0</v>
      </c>
      <c r="N42" s="13">
        <f t="shared" si="50"/>
        <v>0</v>
      </c>
      <c r="O42" s="13">
        <f t="shared" si="51"/>
        <v>0</v>
      </c>
      <c r="P42" s="13">
        <f t="shared" si="52"/>
        <v>0</v>
      </c>
      <c r="Q42" s="13">
        <f t="shared" si="53"/>
        <v>0</v>
      </c>
      <c r="R42" s="13">
        <f t="shared" si="54"/>
        <v>0</v>
      </c>
      <c r="S42" s="13">
        <f t="shared" si="55"/>
        <v>0</v>
      </c>
      <c r="T42" s="13">
        <f t="shared" si="56"/>
        <v>0</v>
      </c>
      <c r="U42" s="13">
        <f t="shared" si="57"/>
        <v>0</v>
      </c>
      <c r="V42" s="13">
        <f t="shared" si="58"/>
        <v>0</v>
      </c>
      <c r="W42" s="13">
        <f t="shared" si="59"/>
        <v>0</v>
      </c>
      <c r="X42" s="13">
        <f t="shared" si="60"/>
        <v>0</v>
      </c>
      <c r="Y42" s="13">
        <f t="shared" si="61"/>
        <v>0</v>
      </c>
      <c r="Z42" s="13">
        <f t="shared" si="62"/>
        <v>0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</row>
    <row r="43" spans="1:341" s="14" customFormat="1">
      <c r="A43" s="12" t="s">
        <v>40</v>
      </c>
      <c r="B43" s="13">
        <f t="shared" si="38"/>
        <v>0</v>
      </c>
      <c r="C43" s="13">
        <f t="shared" si="39"/>
        <v>0</v>
      </c>
      <c r="D43" s="13">
        <f t="shared" si="40"/>
        <v>0</v>
      </c>
      <c r="E43" s="13">
        <f t="shared" si="41"/>
        <v>0</v>
      </c>
      <c r="F43" s="13">
        <f t="shared" si="42"/>
        <v>0</v>
      </c>
      <c r="G43" s="13">
        <f t="shared" si="43"/>
        <v>0</v>
      </c>
      <c r="H43" s="13">
        <f t="shared" si="44"/>
        <v>0</v>
      </c>
      <c r="I43" s="13">
        <f t="shared" si="45"/>
        <v>0</v>
      </c>
      <c r="J43" s="13">
        <f t="shared" si="46"/>
        <v>0</v>
      </c>
      <c r="K43" s="13">
        <f t="shared" si="47"/>
        <v>0</v>
      </c>
      <c r="L43" s="13">
        <f t="shared" si="48"/>
        <v>0</v>
      </c>
      <c r="M43" s="13">
        <f t="shared" si="49"/>
        <v>0</v>
      </c>
      <c r="N43" s="13">
        <f t="shared" si="50"/>
        <v>0</v>
      </c>
      <c r="O43" s="13">
        <f t="shared" si="51"/>
        <v>0</v>
      </c>
      <c r="P43" s="13">
        <f t="shared" si="52"/>
        <v>0</v>
      </c>
      <c r="Q43" s="13">
        <f t="shared" si="53"/>
        <v>0</v>
      </c>
      <c r="R43" s="13">
        <f t="shared" si="54"/>
        <v>0</v>
      </c>
      <c r="S43" s="13">
        <f t="shared" si="55"/>
        <v>0</v>
      </c>
      <c r="T43" s="13">
        <f t="shared" si="56"/>
        <v>0</v>
      </c>
      <c r="U43" s="13">
        <f t="shared" si="57"/>
        <v>0</v>
      </c>
      <c r="V43" s="13">
        <f t="shared" si="58"/>
        <v>0</v>
      </c>
      <c r="W43" s="13">
        <f t="shared" si="59"/>
        <v>0</v>
      </c>
      <c r="X43" s="13">
        <f t="shared" si="60"/>
        <v>0</v>
      </c>
      <c r="Y43" s="13">
        <f t="shared" si="61"/>
        <v>0</v>
      </c>
      <c r="Z43" s="13">
        <f t="shared" si="62"/>
        <v>0</v>
      </c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</row>
    <row r="44" spans="1:341" s="14" customFormat="1">
      <c r="A44" s="12" t="s">
        <v>41</v>
      </c>
      <c r="B44" s="13">
        <f t="shared" si="38"/>
        <v>0</v>
      </c>
      <c r="C44" s="13">
        <f t="shared" si="39"/>
        <v>0</v>
      </c>
      <c r="D44" s="13">
        <f t="shared" si="40"/>
        <v>0</v>
      </c>
      <c r="E44" s="13">
        <f t="shared" si="41"/>
        <v>0</v>
      </c>
      <c r="F44" s="13">
        <f t="shared" si="42"/>
        <v>0</v>
      </c>
      <c r="G44" s="13">
        <f t="shared" si="43"/>
        <v>0</v>
      </c>
      <c r="H44" s="13">
        <f t="shared" si="44"/>
        <v>0</v>
      </c>
      <c r="I44" s="13">
        <f t="shared" si="45"/>
        <v>0</v>
      </c>
      <c r="J44" s="13">
        <f t="shared" si="46"/>
        <v>0</v>
      </c>
      <c r="K44" s="13">
        <f t="shared" si="47"/>
        <v>0</v>
      </c>
      <c r="L44" s="13">
        <f t="shared" si="48"/>
        <v>0</v>
      </c>
      <c r="M44" s="13">
        <f t="shared" si="49"/>
        <v>0</v>
      </c>
      <c r="N44" s="13">
        <f t="shared" si="50"/>
        <v>0</v>
      </c>
      <c r="O44" s="13">
        <f t="shared" si="51"/>
        <v>0</v>
      </c>
      <c r="P44" s="13">
        <f t="shared" si="52"/>
        <v>0</v>
      </c>
      <c r="Q44" s="13">
        <f t="shared" si="53"/>
        <v>0</v>
      </c>
      <c r="R44" s="13">
        <f t="shared" si="54"/>
        <v>0</v>
      </c>
      <c r="S44" s="13">
        <f t="shared" si="55"/>
        <v>0</v>
      </c>
      <c r="T44" s="13">
        <f t="shared" si="56"/>
        <v>0</v>
      </c>
      <c r="U44" s="13">
        <f t="shared" si="57"/>
        <v>0</v>
      </c>
      <c r="V44" s="13">
        <f t="shared" si="58"/>
        <v>0</v>
      </c>
      <c r="W44" s="13">
        <f t="shared" si="59"/>
        <v>0</v>
      </c>
      <c r="X44" s="13">
        <f t="shared" si="60"/>
        <v>0</v>
      </c>
      <c r="Y44" s="13">
        <f t="shared" si="61"/>
        <v>0</v>
      </c>
      <c r="Z44" s="13">
        <f t="shared" si="62"/>
        <v>0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</row>
    <row r="45" spans="1:341" s="14" customFormat="1">
      <c r="A45" s="12" t="s">
        <v>42</v>
      </c>
      <c r="B45" s="13">
        <f t="shared" si="38"/>
        <v>0</v>
      </c>
      <c r="C45" s="13">
        <f t="shared" si="39"/>
        <v>0</v>
      </c>
      <c r="D45" s="13">
        <f t="shared" si="40"/>
        <v>0</v>
      </c>
      <c r="E45" s="13">
        <f t="shared" si="41"/>
        <v>0</v>
      </c>
      <c r="F45" s="13">
        <f t="shared" si="42"/>
        <v>0</v>
      </c>
      <c r="G45" s="13">
        <f t="shared" si="43"/>
        <v>0</v>
      </c>
      <c r="H45" s="13">
        <f t="shared" si="44"/>
        <v>0</v>
      </c>
      <c r="I45" s="13">
        <f t="shared" si="45"/>
        <v>0</v>
      </c>
      <c r="J45" s="13">
        <f t="shared" si="46"/>
        <v>0</v>
      </c>
      <c r="K45" s="13">
        <f t="shared" si="47"/>
        <v>0</v>
      </c>
      <c r="L45" s="13">
        <f t="shared" si="48"/>
        <v>0</v>
      </c>
      <c r="M45" s="13">
        <f t="shared" si="49"/>
        <v>0</v>
      </c>
      <c r="N45" s="13">
        <f t="shared" si="50"/>
        <v>0</v>
      </c>
      <c r="O45" s="13">
        <f t="shared" si="51"/>
        <v>0</v>
      </c>
      <c r="P45" s="13">
        <f t="shared" si="52"/>
        <v>0</v>
      </c>
      <c r="Q45" s="13">
        <f t="shared" si="53"/>
        <v>0</v>
      </c>
      <c r="R45" s="13">
        <f t="shared" si="54"/>
        <v>0</v>
      </c>
      <c r="S45" s="13">
        <f t="shared" si="55"/>
        <v>0</v>
      </c>
      <c r="T45" s="13">
        <f t="shared" si="56"/>
        <v>0</v>
      </c>
      <c r="U45" s="13">
        <f t="shared" si="57"/>
        <v>0</v>
      </c>
      <c r="V45" s="13">
        <f t="shared" si="58"/>
        <v>0</v>
      </c>
      <c r="W45" s="13">
        <f t="shared" si="59"/>
        <v>0</v>
      </c>
      <c r="X45" s="13">
        <f t="shared" si="60"/>
        <v>0</v>
      </c>
      <c r="Y45" s="13">
        <f t="shared" si="61"/>
        <v>0</v>
      </c>
      <c r="Z45" s="13">
        <f t="shared" si="62"/>
        <v>0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</row>
    <row r="46" spans="1:341" s="14" customFormat="1">
      <c r="A46" s="12" t="s">
        <v>43</v>
      </c>
      <c r="B46" s="13">
        <f t="shared" si="38"/>
        <v>0</v>
      </c>
      <c r="C46" s="13">
        <f t="shared" si="39"/>
        <v>0</v>
      </c>
      <c r="D46" s="13">
        <f t="shared" si="40"/>
        <v>0</v>
      </c>
      <c r="E46" s="13">
        <f t="shared" si="41"/>
        <v>0</v>
      </c>
      <c r="F46" s="13">
        <f t="shared" si="42"/>
        <v>0</v>
      </c>
      <c r="G46" s="13">
        <f t="shared" si="43"/>
        <v>0</v>
      </c>
      <c r="H46" s="13">
        <f t="shared" si="44"/>
        <v>0</v>
      </c>
      <c r="I46" s="13">
        <f t="shared" si="45"/>
        <v>0</v>
      </c>
      <c r="J46" s="13">
        <f t="shared" si="46"/>
        <v>0</v>
      </c>
      <c r="K46" s="13">
        <f t="shared" si="47"/>
        <v>0</v>
      </c>
      <c r="L46" s="13">
        <f t="shared" si="48"/>
        <v>0</v>
      </c>
      <c r="M46" s="13">
        <f t="shared" si="49"/>
        <v>0</v>
      </c>
      <c r="N46" s="13">
        <f t="shared" si="50"/>
        <v>0</v>
      </c>
      <c r="O46" s="13">
        <f t="shared" si="51"/>
        <v>0</v>
      </c>
      <c r="P46" s="13">
        <f t="shared" si="52"/>
        <v>0</v>
      </c>
      <c r="Q46" s="13">
        <f t="shared" si="53"/>
        <v>0</v>
      </c>
      <c r="R46" s="13">
        <f t="shared" si="54"/>
        <v>0</v>
      </c>
      <c r="S46" s="13">
        <f t="shared" si="55"/>
        <v>0</v>
      </c>
      <c r="T46" s="13">
        <f t="shared" si="56"/>
        <v>0</v>
      </c>
      <c r="U46" s="13">
        <f t="shared" si="57"/>
        <v>0</v>
      </c>
      <c r="V46" s="13">
        <f t="shared" si="58"/>
        <v>0</v>
      </c>
      <c r="W46" s="13">
        <f t="shared" si="59"/>
        <v>0</v>
      </c>
      <c r="X46" s="13">
        <f t="shared" si="60"/>
        <v>0</v>
      </c>
      <c r="Y46" s="13">
        <f t="shared" si="61"/>
        <v>0</v>
      </c>
      <c r="Z46" s="13">
        <f t="shared" si="62"/>
        <v>0</v>
      </c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</row>
    <row r="47" spans="1:341" s="14" customFormat="1">
      <c r="A47" s="15" t="s">
        <v>44</v>
      </c>
      <c r="B47" s="13">
        <f t="shared" si="38"/>
        <v>0</v>
      </c>
      <c r="C47" s="13">
        <f t="shared" si="39"/>
        <v>0</v>
      </c>
      <c r="D47" s="13">
        <f t="shared" si="40"/>
        <v>0</v>
      </c>
      <c r="E47" s="13">
        <f t="shared" si="41"/>
        <v>0</v>
      </c>
      <c r="F47" s="13">
        <f t="shared" si="42"/>
        <v>0</v>
      </c>
      <c r="G47" s="13">
        <f t="shared" si="43"/>
        <v>0</v>
      </c>
      <c r="H47" s="13">
        <f t="shared" si="44"/>
        <v>0</v>
      </c>
      <c r="I47" s="13">
        <f t="shared" si="45"/>
        <v>0</v>
      </c>
      <c r="J47" s="13">
        <f t="shared" si="46"/>
        <v>0</v>
      </c>
      <c r="K47" s="13">
        <f t="shared" si="47"/>
        <v>0</v>
      </c>
      <c r="L47" s="13">
        <f t="shared" si="48"/>
        <v>0</v>
      </c>
      <c r="M47" s="13">
        <f t="shared" si="49"/>
        <v>0</v>
      </c>
      <c r="N47" s="13">
        <f t="shared" si="50"/>
        <v>0</v>
      </c>
      <c r="O47" s="13">
        <f t="shared" si="51"/>
        <v>0</v>
      </c>
      <c r="P47" s="13">
        <f t="shared" si="52"/>
        <v>0</v>
      </c>
      <c r="Q47" s="13">
        <f t="shared" si="53"/>
        <v>0</v>
      </c>
      <c r="R47" s="13">
        <f t="shared" si="54"/>
        <v>0</v>
      </c>
      <c r="S47" s="13">
        <f t="shared" si="55"/>
        <v>0</v>
      </c>
      <c r="T47" s="13">
        <f t="shared" si="56"/>
        <v>0</v>
      </c>
      <c r="U47" s="13">
        <f t="shared" si="57"/>
        <v>0</v>
      </c>
      <c r="V47" s="13">
        <f t="shared" si="58"/>
        <v>0</v>
      </c>
      <c r="W47" s="13">
        <f t="shared" si="59"/>
        <v>0</v>
      </c>
      <c r="X47" s="13">
        <f t="shared" si="60"/>
        <v>0</v>
      </c>
      <c r="Y47" s="13">
        <f t="shared" si="61"/>
        <v>0</v>
      </c>
      <c r="Z47" s="13">
        <f t="shared" si="62"/>
        <v>0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</row>
    <row r="48" spans="1:341" s="14" customFormat="1">
      <c r="A48" s="12" t="s">
        <v>45</v>
      </c>
      <c r="B48" s="13">
        <f t="shared" si="38"/>
        <v>0</v>
      </c>
      <c r="C48" s="13">
        <f t="shared" si="39"/>
        <v>0</v>
      </c>
      <c r="D48" s="13">
        <f t="shared" si="40"/>
        <v>0</v>
      </c>
      <c r="E48" s="13">
        <f t="shared" si="41"/>
        <v>0</v>
      </c>
      <c r="F48" s="13">
        <f t="shared" si="42"/>
        <v>0</v>
      </c>
      <c r="G48" s="13">
        <f t="shared" si="43"/>
        <v>0</v>
      </c>
      <c r="H48" s="13">
        <f t="shared" si="44"/>
        <v>0</v>
      </c>
      <c r="I48" s="13">
        <f t="shared" si="45"/>
        <v>0</v>
      </c>
      <c r="J48" s="13">
        <f t="shared" si="46"/>
        <v>0</v>
      </c>
      <c r="K48" s="13">
        <f t="shared" si="47"/>
        <v>0</v>
      </c>
      <c r="L48" s="13">
        <f t="shared" si="48"/>
        <v>0</v>
      </c>
      <c r="M48" s="13">
        <f t="shared" si="49"/>
        <v>0</v>
      </c>
      <c r="N48" s="13">
        <f t="shared" si="50"/>
        <v>0</v>
      </c>
      <c r="O48" s="13">
        <f t="shared" si="51"/>
        <v>0</v>
      </c>
      <c r="P48" s="13">
        <f t="shared" si="52"/>
        <v>0</v>
      </c>
      <c r="Q48" s="13">
        <f t="shared" si="53"/>
        <v>0</v>
      </c>
      <c r="R48" s="13">
        <f t="shared" si="54"/>
        <v>0</v>
      </c>
      <c r="S48" s="13">
        <f t="shared" si="55"/>
        <v>0</v>
      </c>
      <c r="T48" s="13">
        <f t="shared" si="56"/>
        <v>0</v>
      </c>
      <c r="U48" s="13">
        <f t="shared" si="57"/>
        <v>0</v>
      </c>
      <c r="V48" s="13">
        <f t="shared" si="58"/>
        <v>0</v>
      </c>
      <c r="W48" s="13">
        <f t="shared" si="59"/>
        <v>0</v>
      </c>
      <c r="X48" s="13">
        <f t="shared" si="60"/>
        <v>0</v>
      </c>
      <c r="Y48" s="13">
        <f t="shared" si="61"/>
        <v>0</v>
      </c>
      <c r="Z48" s="13">
        <f t="shared" si="62"/>
        <v>0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</row>
    <row r="49" spans="1:341" s="14" customFormat="1">
      <c r="A49" s="12" t="s">
        <v>46</v>
      </c>
      <c r="B49" s="13">
        <f t="shared" si="38"/>
        <v>0</v>
      </c>
      <c r="C49" s="13">
        <f t="shared" si="39"/>
        <v>0</v>
      </c>
      <c r="D49" s="13">
        <f t="shared" si="40"/>
        <v>0</v>
      </c>
      <c r="E49" s="13">
        <f t="shared" si="41"/>
        <v>0</v>
      </c>
      <c r="F49" s="13">
        <f t="shared" si="42"/>
        <v>0</v>
      </c>
      <c r="G49" s="13">
        <f t="shared" si="43"/>
        <v>0</v>
      </c>
      <c r="H49" s="13">
        <f t="shared" si="44"/>
        <v>0</v>
      </c>
      <c r="I49" s="13">
        <f t="shared" si="45"/>
        <v>0</v>
      </c>
      <c r="J49" s="13">
        <f t="shared" si="46"/>
        <v>0</v>
      </c>
      <c r="K49" s="13">
        <f t="shared" si="47"/>
        <v>0</v>
      </c>
      <c r="L49" s="13">
        <f t="shared" si="48"/>
        <v>0</v>
      </c>
      <c r="M49" s="13">
        <f t="shared" si="49"/>
        <v>0</v>
      </c>
      <c r="N49" s="13">
        <f t="shared" si="50"/>
        <v>0</v>
      </c>
      <c r="O49" s="13">
        <f t="shared" si="51"/>
        <v>0</v>
      </c>
      <c r="P49" s="13">
        <f t="shared" si="52"/>
        <v>0</v>
      </c>
      <c r="Q49" s="13">
        <f t="shared" si="53"/>
        <v>0</v>
      </c>
      <c r="R49" s="13">
        <f t="shared" si="54"/>
        <v>0</v>
      </c>
      <c r="S49" s="13">
        <f t="shared" si="55"/>
        <v>0</v>
      </c>
      <c r="T49" s="13">
        <f t="shared" si="56"/>
        <v>0</v>
      </c>
      <c r="U49" s="13">
        <f t="shared" si="57"/>
        <v>0</v>
      </c>
      <c r="V49" s="13">
        <f t="shared" si="58"/>
        <v>0</v>
      </c>
      <c r="W49" s="13">
        <f t="shared" si="59"/>
        <v>0</v>
      </c>
      <c r="X49" s="13">
        <f t="shared" si="60"/>
        <v>0</v>
      </c>
      <c r="Y49" s="13">
        <f t="shared" si="61"/>
        <v>0</v>
      </c>
      <c r="Z49" s="13">
        <f t="shared" si="62"/>
        <v>0</v>
      </c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</row>
    <row r="50" spans="1:341" s="14" customFormat="1">
      <c r="A50" s="12" t="s">
        <v>47</v>
      </c>
      <c r="B50" s="13">
        <f t="shared" si="38"/>
        <v>0</v>
      </c>
      <c r="C50" s="13">
        <f t="shared" si="39"/>
        <v>0</v>
      </c>
      <c r="D50" s="13">
        <f t="shared" si="40"/>
        <v>0</v>
      </c>
      <c r="E50" s="13">
        <f t="shared" si="41"/>
        <v>0</v>
      </c>
      <c r="F50" s="13">
        <f t="shared" si="42"/>
        <v>0</v>
      </c>
      <c r="G50" s="13">
        <f t="shared" si="43"/>
        <v>5.6657344470588226E-2</v>
      </c>
      <c r="H50" s="13">
        <f t="shared" si="44"/>
        <v>0.16247920047058817</v>
      </c>
      <c r="I50" s="13">
        <f t="shared" si="45"/>
        <v>0.1548422745882353</v>
      </c>
      <c r="J50" s="13">
        <f t="shared" si="46"/>
        <v>0.1855628896470588</v>
      </c>
      <c r="K50" s="13">
        <f t="shared" si="47"/>
        <v>0.15005838894117646</v>
      </c>
      <c r="L50" s="13">
        <f t="shared" si="48"/>
        <v>7.5216515294117617E-2</v>
      </c>
      <c r="M50" s="13">
        <f t="shared" si="49"/>
        <v>0.10440974517647056</v>
      </c>
      <c r="N50" s="13">
        <f t="shared" si="50"/>
        <v>0.11832912329411761</v>
      </c>
      <c r="O50" s="13">
        <f t="shared" si="51"/>
        <v>0.31784020964705872</v>
      </c>
      <c r="P50" s="13">
        <f t="shared" si="52"/>
        <v>0.28077950517647055</v>
      </c>
      <c r="Q50" s="13">
        <f t="shared" si="53"/>
        <v>0.26034712611764699</v>
      </c>
      <c r="R50" s="13">
        <f t="shared" si="54"/>
        <v>0.16392012988235288</v>
      </c>
      <c r="S50" s="13">
        <f t="shared" si="55"/>
        <v>8.1844790588235253E-2</v>
      </c>
      <c r="T50" s="13">
        <f t="shared" si="56"/>
        <v>4.2265072298823503</v>
      </c>
      <c r="U50" s="13">
        <f t="shared" si="57"/>
        <v>8.4030626938823474</v>
      </c>
      <c r="V50" s="13">
        <f t="shared" si="58"/>
        <v>1.0659419416470579</v>
      </c>
      <c r="W50" s="13">
        <f t="shared" si="59"/>
        <v>1.2391992941176463E-3</v>
      </c>
      <c r="X50" s="13">
        <f t="shared" si="60"/>
        <v>0</v>
      </c>
      <c r="Y50" s="13">
        <f t="shared" si="61"/>
        <v>1.7996914285714285E-3</v>
      </c>
      <c r="Z50" s="13">
        <f t="shared" si="62"/>
        <v>0</v>
      </c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>
        <v>1.7579338823529407</v>
      </c>
      <c r="CM50" s="13"/>
      <c r="CN50" s="13">
        <v>2.4783985882352937</v>
      </c>
      <c r="CO50" s="13">
        <v>1.0374691764705881</v>
      </c>
      <c r="CP50" s="13">
        <v>4.0057837647058818</v>
      </c>
      <c r="CQ50" s="13"/>
      <c r="CR50" s="13">
        <v>0.23054870588235291</v>
      </c>
      <c r="CS50" s="13">
        <v>10.345873176470587</v>
      </c>
      <c r="CT50" s="13">
        <v>12.82427176470588</v>
      </c>
      <c r="CU50" s="13">
        <v>23.977065411764702</v>
      </c>
      <c r="CV50" s="13">
        <v>22.449680235294114</v>
      </c>
      <c r="CW50" s="13">
        <v>17.80988752941176</v>
      </c>
      <c r="CX50" s="13">
        <v>14.466931294117645</v>
      </c>
      <c r="CY50" s="13">
        <v>16.368958117647054</v>
      </c>
      <c r="CZ50" s="13">
        <v>10.806970588235291</v>
      </c>
      <c r="DA50" s="13">
        <v>14.236382588235291</v>
      </c>
      <c r="DB50" s="13">
        <v>15.014484470588233</v>
      </c>
      <c r="DC50" s="13"/>
      <c r="DD50" s="13">
        <v>9.6254084705882335</v>
      </c>
      <c r="DE50" s="13">
        <v>12.795453176470586</v>
      </c>
      <c r="DF50" s="13">
        <v>9.6254084705882335</v>
      </c>
      <c r="DG50" s="13">
        <v>19.279635529411763</v>
      </c>
      <c r="DH50" s="13">
        <v>12.997183294117646</v>
      </c>
      <c r="DI50" s="13">
        <v>5.3602574117647057</v>
      </c>
      <c r="DJ50" s="13">
        <v>11.095156470588233</v>
      </c>
      <c r="DK50" s="13">
        <v>15.014484470588233</v>
      </c>
      <c r="DL50" s="13">
        <v>12.82427176470588</v>
      </c>
      <c r="DM50" s="13">
        <v>5.3602574117647057</v>
      </c>
      <c r="DN50" s="13">
        <v>36.455514117647056</v>
      </c>
      <c r="DO50" s="13">
        <v>11.268067999999998</v>
      </c>
      <c r="DP50" s="13">
        <v>3.5158677647058814</v>
      </c>
      <c r="DQ50" s="13">
        <v>21.469848235294116</v>
      </c>
      <c r="DR50" s="13">
        <v>15.100940235294114</v>
      </c>
      <c r="DS50" s="13">
        <v>4.3804254117647048</v>
      </c>
      <c r="DT50" s="13">
        <v>25.994366588235291</v>
      </c>
      <c r="DU50" s="13">
        <v>9.7406828235294096</v>
      </c>
      <c r="DV50" s="13">
        <v>13.141276235294116</v>
      </c>
      <c r="DW50" s="13">
        <v>12.103807058823527</v>
      </c>
      <c r="DX50" s="13">
        <v>12.132625647058822</v>
      </c>
      <c r="DY50" s="13">
        <v>2.9683145882352937</v>
      </c>
      <c r="DZ50" s="13">
        <v>18.242166352941172</v>
      </c>
      <c r="EA50" s="13">
        <v>18.501533647058821</v>
      </c>
      <c r="EB50" s="13">
        <v>15.734949176470586</v>
      </c>
      <c r="EC50" s="13">
        <v>11.671528235294115</v>
      </c>
      <c r="ED50" s="13">
        <v>33.71774823529411</v>
      </c>
      <c r="EE50" s="13">
        <v>11.613891058823526</v>
      </c>
      <c r="EF50" s="13">
        <v>4.3804254117647048</v>
      </c>
      <c r="EG50" s="13">
        <v>10.374691764705881</v>
      </c>
      <c r="EH50" s="13">
        <v>14.005833882352938</v>
      </c>
      <c r="EI50" s="13">
        <v>7.5792887058823517</v>
      </c>
      <c r="EJ50" s="13">
        <v>9.2507668235294105</v>
      </c>
      <c r="EK50" s="13">
        <v>10.259417411764705</v>
      </c>
      <c r="EL50" s="13">
        <v>18.386259294117643</v>
      </c>
      <c r="EM50" s="13">
        <v>21.556303999999994</v>
      </c>
      <c r="EN50" s="13">
        <v>4.3804254117647048</v>
      </c>
      <c r="EO50" s="13">
        <v>18.55917082352941</v>
      </c>
      <c r="EP50" s="13">
        <v>16.657143999999995</v>
      </c>
      <c r="EQ50" s="13">
        <v>14.668661411764703</v>
      </c>
      <c r="ER50" s="13">
        <v>7.9827489411764692</v>
      </c>
      <c r="ES50" s="13">
        <v>8.0980232941176453</v>
      </c>
      <c r="ET50" s="13">
        <v>5.7925362352941168</v>
      </c>
      <c r="EU50" s="13">
        <v>8.0692047058823508</v>
      </c>
      <c r="EV50" s="13">
        <v>3.8905094117647052</v>
      </c>
      <c r="EW50" s="13">
        <v>8.5879392941176462</v>
      </c>
      <c r="EX50" s="13">
        <v>6.455363764705881</v>
      </c>
      <c r="EY50" s="13">
        <v>5.7060804705882342</v>
      </c>
      <c r="EZ50" s="13">
        <v>1.7002967058823528</v>
      </c>
      <c r="FA50" s="13">
        <v>16.743599764705881</v>
      </c>
      <c r="FB50" s="13"/>
      <c r="FC50" s="13">
        <v>2.1902127058823524</v>
      </c>
      <c r="FD50" s="13">
        <v>3.2276818823529405</v>
      </c>
      <c r="FE50" s="13">
        <v>9.279585411764705</v>
      </c>
      <c r="FF50" s="13">
        <v>6.5706381176470581</v>
      </c>
      <c r="FG50" s="13">
        <v>9.7406828235294096</v>
      </c>
      <c r="FH50" s="13">
        <v>15.331488941176469</v>
      </c>
      <c r="FI50" s="13">
        <v>3.4294119999999997</v>
      </c>
      <c r="FJ50" s="13">
        <v>6.5706381176470581</v>
      </c>
      <c r="FK50" s="13">
        <v>8.8761251764705875</v>
      </c>
      <c r="FL50" s="13">
        <v>10.951063529411762</v>
      </c>
      <c r="FM50" s="13">
        <v>20.028918823529409</v>
      </c>
      <c r="FN50" s="13">
        <v>6.0230849411764691</v>
      </c>
      <c r="FO50" s="13">
        <v>4.3804254117647048</v>
      </c>
      <c r="FP50" s="13">
        <v>2.4207614117647056</v>
      </c>
      <c r="FQ50" s="13">
        <v>8.7608508235294096</v>
      </c>
      <c r="FR50" s="13">
        <v>8.7608508235294096</v>
      </c>
      <c r="FS50" s="13">
        <v>10.951063529411762</v>
      </c>
      <c r="FT50" s="13">
        <v>10.951063529411762</v>
      </c>
      <c r="FU50" s="13">
        <v>21.902127058823524</v>
      </c>
      <c r="FV50" s="13">
        <v>2.1902127058823524</v>
      </c>
      <c r="FW50" s="13">
        <v>17.521701647058819</v>
      </c>
      <c r="FX50" s="13">
        <v>2.1902127058823524</v>
      </c>
      <c r="FY50" s="13">
        <v>13.141276235294116</v>
      </c>
      <c r="FZ50" s="13">
        <v>4.3804254117647048</v>
      </c>
      <c r="GA50" s="13">
        <v>15.158577411764703</v>
      </c>
      <c r="GB50" s="13">
        <v>4.4956997647058818</v>
      </c>
      <c r="GC50" s="13">
        <v>14.985665882352938</v>
      </c>
      <c r="GD50" s="13">
        <v>39.337372941176461</v>
      </c>
      <c r="GE50" s="13">
        <v>23.717698117647053</v>
      </c>
      <c r="GF50" s="13">
        <v>11.613891058823526</v>
      </c>
      <c r="GG50" s="13">
        <v>19.020268235294115</v>
      </c>
      <c r="GH50" s="13">
        <v>81.700697647058803</v>
      </c>
      <c r="GI50" s="13">
        <v>14.668661411764703</v>
      </c>
      <c r="GJ50" s="13">
        <v>27.66584470588235</v>
      </c>
      <c r="GK50" s="13">
        <v>19.539002823529408</v>
      </c>
      <c r="GL50" s="13">
        <v>37.809987764705873</v>
      </c>
      <c r="GM50" s="13">
        <v>23.285419294117641</v>
      </c>
      <c r="GN50" s="13">
        <v>26.224915294117643</v>
      </c>
      <c r="GO50" s="13">
        <v>35.879142352941173</v>
      </c>
      <c r="GP50" s="13">
        <v>26.974198588235289</v>
      </c>
      <c r="GQ50" s="13">
        <v>14.899210117647057</v>
      </c>
      <c r="GR50" s="13">
        <v>31.268168235294112</v>
      </c>
      <c r="GS50" s="13">
        <v>4.3804254117647048</v>
      </c>
      <c r="GT50" s="13">
        <v>28.386309411764699</v>
      </c>
      <c r="GU50" s="13">
        <v>8.0692047058823508</v>
      </c>
      <c r="GV50" s="13">
        <v>40.720665176470582</v>
      </c>
      <c r="GW50" s="13">
        <v>27.550570352941168</v>
      </c>
      <c r="GX50" s="13">
        <v>13.832922352941175</v>
      </c>
      <c r="GY50" s="13">
        <v>22.593773176470584</v>
      </c>
      <c r="GZ50" s="13">
        <v>14.611024235294115</v>
      </c>
      <c r="HA50" s="13">
        <v>19.020268235294115</v>
      </c>
      <c r="HB50" s="13">
        <v>5.9366291764705874</v>
      </c>
      <c r="HC50" s="13">
        <v>8.7608508235294096</v>
      </c>
      <c r="HD50" s="13">
        <v>14.063471058823525</v>
      </c>
      <c r="HE50" s="13">
        <v>16.974148470588233</v>
      </c>
      <c r="HF50" s="13">
        <v>32.046270117647055</v>
      </c>
      <c r="HG50" s="13">
        <v>27.32002164705882</v>
      </c>
      <c r="HH50" s="13">
        <v>18.55917082352941</v>
      </c>
      <c r="HI50" s="13">
        <v>33.141376470588227</v>
      </c>
      <c r="HJ50" s="13">
        <v>18.55917082352941</v>
      </c>
      <c r="HK50" s="13">
        <v>51.354724235294107</v>
      </c>
      <c r="HL50" s="13">
        <v>13.141276235294109</v>
      </c>
      <c r="HM50" s="13">
        <v>19.308454117647045</v>
      </c>
      <c r="HN50" s="13">
        <v>28.011667764705866</v>
      </c>
      <c r="HO50" s="13">
        <v>38.357540941176445</v>
      </c>
      <c r="HP50" s="13">
        <v>29.39495999999998</v>
      </c>
      <c r="HQ50" s="13">
        <v>33.343106588235301</v>
      </c>
      <c r="HR50" s="13"/>
      <c r="HS50" s="13"/>
      <c r="HT50" s="13"/>
      <c r="HU50" s="13"/>
      <c r="HV50" s="13"/>
      <c r="HW50" s="13">
        <v>2.3631242352941202</v>
      </c>
      <c r="HX50" s="13">
        <v>6.7435496470588197</v>
      </c>
      <c r="HY50" s="13">
        <v>3.6023235294117599</v>
      </c>
      <c r="HZ50" s="13">
        <v>8.3285719999999905</v>
      </c>
      <c r="IA50" s="13"/>
      <c r="IB50" s="13">
        <v>11.4409795294118</v>
      </c>
      <c r="IC50" s="13">
        <v>5.7637176470588196</v>
      </c>
      <c r="ID50" s="13">
        <v>3.4005934117646999</v>
      </c>
      <c r="IE50" s="13">
        <v>13.688829411764701</v>
      </c>
      <c r="IF50" s="13">
        <v>2.6224915294117599</v>
      </c>
      <c r="IG50" s="13">
        <v>9.7983199999999897</v>
      </c>
      <c r="IH50" s="13">
        <v>15.043303058823501</v>
      </c>
      <c r="II50" s="13">
        <v>1.4121108235294109</v>
      </c>
      <c r="IJ50" s="13">
        <v>2.1902127058823515</v>
      </c>
      <c r="IK50" s="13">
        <v>1.8732082352941164</v>
      </c>
      <c r="IL50" s="13"/>
      <c r="IM50" s="13"/>
      <c r="IN50" s="13"/>
      <c r="IO50" s="13">
        <v>1196.5785000000001</v>
      </c>
      <c r="IP50" s="13"/>
      <c r="IQ50" s="13"/>
      <c r="IR50" s="13">
        <v>1444.0994564705875</v>
      </c>
      <c r="IS50" s="13"/>
      <c r="IT50" s="13"/>
      <c r="IU50" s="13">
        <v>1581.7658524705871</v>
      </c>
      <c r="IV50" s="13"/>
      <c r="IW50" s="13"/>
      <c r="IX50" s="13">
        <v>3.12</v>
      </c>
      <c r="IY50" s="13"/>
      <c r="IZ50" s="13"/>
      <c r="JA50" s="13"/>
      <c r="JB50" s="13">
        <v>1350.7430999999999</v>
      </c>
      <c r="JC50" s="13">
        <v>1512.3418734117638</v>
      </c>
      <c r="JD50" s="13"/>
      <c r="JE50" s="13">
        <v>2009.0014230588224</v>
      </c>
      <c r="JF50" s="13">
        <v>3527.3951999999981</v>
      </c>
      <c r="JG50" s="13">
        <v>0.46109741176470559</v>
      </c>
      <c r="JH50" s="13">
        <v>1044.1262703529405</v>
      </c>
      <c r="JI50" s="13">
        <v>0.46109741176470559</v>
      </c>
      <c r="JJ50" s="13"/>
      <c r="JK50" s="13"/>
      <c r="JL50" s="13"/>
      <c r="JM50" s="13"/>
      <c r="JN50" s="13">
        <v>0.48991599999999969</v>
      </c>
      <c r="JO50" s="13"/>
      <c r="JP50" s="13">
        <v>7.0317355294117601</v>
      </c>
      <c r="JQ50" s="13"/>
      <c r="JR50" s="13">
        <v>13.832922352941168</v>
      </c>
      <c r="JS50" s="13"/>
      <c r="JT50" s="13"/>
      <c r="JU50" s="13"/>
      <c r="JV50" s="13"/>
      <c r="JW50" s="13"/>
      <c r="JX50" s="13">
        <v>0.43227882352941149</v>
      </c>
      <c r="JY50" s="13">
        <v>0.43227882352941149</v>
      </c>
      <c r="JZ50" s="13"/>
      <c r="KA50" s="13">
        <v>0.3746416470588233</v>
      </c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>
        <v>1.7996914285714285</v>
      </c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</row>
    <row r="51" spans="1:341" s="14" customFormat="1">
      <c r="A51" s="12" t="s">
        <v>48</v>
      </c>
      <c r="B51" s="13">
        <f t="shared" si="38"/>
        <v>0</v>
      </c>
      <c r="C51" s="13">
        <f t="shared" si="39"/>
        <v>0</v>
      </c>
      <c r="D51" s="13">
        <f t="shared" si="40"/>
        <v>0</v>
      </c>
      <c r="E51" s="13">
        <f t="shared" si="41"/>
        <v>0</v>
      </c>
      <c r="F51" s="13">
        <f t="shared" si="42"/>
        <v>0</v>
      </c>
      <c r="G51" s="13">
        <f t="shared" si="43"/>
        <v>0</v>
      </c>
      <c r="H51" s="13">
        <f t="shared" si="44"/>
        <v>0</v>
      </c>
      <c r="I51" s="13">
        <f t="shared" si="45"/>
        <v>0</v>
      </c>
      <c r="J51" s="13">
        <f t="shared" si="46"/>
        <v>0</v>
      </c>
      <c r="K51" s="13">
        <f t="shared" si="47"/>
        <v>0</v>
      </c>
      <c r="L51" s="13">
        <f t="shared" si="48"/>
        <v>0</v>
      </c>
      <c r="M51" s="13">
        <f t="shared" si="49"/>
        <v>0</v>
      </c>
      <c r="N51" s="13">
        <f t="shared" si="50"/>
        <v>0</v>
      </c>
      <c r="O51" s="13">
        <f t="shared" si="51"/>
        <v>0</v>
      </c>
      <c r="P51" s="13">
        <f t="shared" si="52"/>
        <v>0</v>
      </c>
      <c r="Q51" s="13">
        <f t="shared" si="53"/>
        <v>0</v>
      </c>
      <c r="R51" s="13">
        <f t="shared" si="54"/>
        <v>0</v>
      </c>
      <c r="S51" s="13">
        <f t="shared" si="55"/>
        <v>0</v>
      </c>
      <c r="T51" s="13">
        <f t="shared" si="56"/>
        <v>0</v>
      </c>
      <c r="U51" s="13">
        <f t="shared" si="57"/>
        <v>0</v>
      </c>
      <c r="V51" s="13">
        <f t="shared" si="58"/>
        <v>0</v>
      </c>
      <c r="W51" s="13">
        <f t="shared" si="59"/>
        <v>0</v>
      </c>
      <c r="X51" s="13">
        <f t="shared" si="60"/>
        <v>0</v>
      </c>
      <c r="Y51" s="13">
        <f t="shared" si="61"/>
        <v>0</v>
      </c>
      <c r="Z51" s="13">
        <f t="shared" si="62"/>
        <v>0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</row>
    <row r="52" spans="1:341" s="14" customFormat="1">
      <c r="A52" s="12" t="s">
        <v>49</v>
      </c>
      <c r="B52" s="13">
        <f t="shared" si="38"/>
        <v>0</v>
      </c>
      <c r="C52" s="13">
        <f t="shared" si="39"/>
        <v>0</v>
      </c>
      <c r="D52" s="13">
        <f t="shared" si="40"/>
        <v>0</v>
      </c>
      <c r="E52" s="13">
        <f t="shared" si="41"/>
        <v>0</v>
      </c>
      <c r="F52" s="13">
        <f t="shared" si="42"/>
        <v>0</v>
      </c>
      <c r="G52" s="13">
        <f t="shared" si="43"/>
        <v>0</v>
      </c>
      <c r="H52" s="13">
        <f t="shared" si="44"/>
        <v>0</v>
      </c>
      <c r="I52" s="13">
        <f t="shared" si="45"/>
        <v>0</v>
      </c>
      <c r="J52" s="13">
        <f t="shared" si="46"/>
        <v>0</v>
      </c>
      <c r="K52" s="13">
        <f t="shared" si="47"/>
        <v>0</v>
      </c>
      <c r="L52" s="13">
        <f t="shared" si="48"/>
        <v>0</v>
      </c>
      <c r="M52" s="13">
        <f t="shared" si="49"/>
        <v>0</v>
      </c>
      <c r="N52" s="13">
        <f t="shared" si="50"/>
        <v>0</v>
      </c>
      <c r="O52" s="13">
        <f t="shared" si="51"/>
        <v>0</v>
      </c>
      <c r="P52" s="13">
        <f t="shared" si="52"/>
        <v>0</v>
      </c>
      <c r="Q52" s="13">
        <f t="shared" si="53"/>
        <v>0</v>
      </c>
      <c r="R52" s="13">
        <f t="shared" si="54"/>
        <v>0</v>
      </c>
      <c r="S52" s="13">
        <f t="shared" si="55"/>
        <v>0</v>
      </c>
      <c r="T52" s="13">
        <f t="shared" si="56"/>
        <v>0</v>
      </c>
      <c r="U52" s="13">
        <f t="shared" si="57"/>
        <v>0</v>
      </c>
      <c r="V52" s="13">
        <f t="shared" si="58"/>
        <v>0</v>
      </c>
      <c r="W52" s="13">
        <f t="shared" si="59"/>
        <v>0</v>
      </c>
      <c r="X52" s="13">
        <f t="shared" si="60"/>
        <v>0</v>
      </c>
      <c r="Y52" s="13">
        <f t="shared" si="61"/>
        <v>0</v>
      </c>
      <c r="Z52" s="13">
        <f t="shared" si="62"/>
        <v>0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</row>
    <row r="53" spans="1:341" s="14" customFormat="1">
      <c r="A53" s="12" t="s">
        <v>50</v>
      </c>
      <c r="B53" s="13">
        <f t="shared" si="38"/>
        <v>0</v>
      </c>
      <c r="C53" s="13">
        <f t="shared" si="39"/>
        <v>0</v>
      </c>
      <c r="D53" s="13">
        <f t="shared" si="40"/>
        <v>0</v>
      </c>
      <c r="E53" s="13">
        <f t="shared" si="41"/>
        <v>0</v>
      </c>
      <c r="F53" s="13">
        <f t="shared" si="42"/>
        <v>0</v>
      </c>
      <c r="G53" s="13">
        <f t="shared" si="43"/>
        <v>0</v>
      </c>
      <c r="H53" s="13">
        <f t="shared" si="44"/>
        <v>0</v>
      </c>
      <c r="I53" s="13">
        <f t="shared" si="45"/>
        <v>0</v>
      </c>
      <c r="J53" s="13">
        <f t="shared" si="46"/>
        <v>0</v>
      </c>
      <c r="K53" s="13">
        <f t="shared" si="47"/>
        <v>0</v>
      </c>
      <c r="L53" s="13">
        <f t="shared" si="48"/>
        <v>0</v>
      </c>
      <c r="M53" s="13">
        <f t="shared" si="49"/>
        <v>0</v>
      </c>
      <c r="N53" s="13">
        <f t="shared" si="50"/>
        <v>0</v>
      </c>
      <c r="O53" s="13">
        <f t="shared" si="51"/>
        <v>0</v>
      </c>
      <c r="P53" s="13">
        <f t="shared" si="52"/>
        <v>0</v>
      </c>
      <c r="Q53" s="13">
        <f t="shared" si="53"/>
        <v>0</v>
      </c>
      <c r="R53" s="13">
        <f t="shared" si="54"/>
        <v>0</v>
      </c>
      <c r="S53" s="13">
        <f t="shared" si="55"/>
        <v>0</v>
      </c>
      <c r="T53" s="13">
        <f t="shared" si="56"/>
        <v>0</v>
      </c>
      <c r="U53" s="13">
        <f t="shared" si="57"/>
        <v>0</v>
      </c>
      <c r="V53" s="13">
        <f t="shared" si="58"/>
        <v>0</v>
      </c>
      <c r="W53" s="13">
        <f t="shared" si="59"/>
        <v>0</v>
      </c>
      <c r="X53" s="13">
        <f t="shared" si="60"/>
        <v>0</v>
      </c>
      <c r="Y53" s="13">
        <f t="shared" si="61"/>
        <v>0</v>
      </c>
      <c r="Z53" s="13">
        <f t="shared" si="62"/>
        <v>0</v>
      </c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</row>
    <row r="54" spans="1:341" s="14" customFormat="1">
      <c r="A54" s="12" t="s">
        <v>51</v>
      </c>
      <c r="B54" s="13">
        <f t="shared" si="38"/>
        <v>0</v>
      </c>
      <c r="C54" s="13">
        <f t="shared" si="39"/>
        <v>0</v>
      </c>
      <c r="D54" s="13">
        <f t="shared" si="40"/>
        <v>0</v>
      </c>
      <c r="E54" s="13">
        <f t="shared" si="41"/>
        <v>0</v>
      </c>
      <c r="F54" s="13">
        <f t="shared" si="42"/>
        <v>0</v>
      </c>
      <c r="G54" s="13">
        <f t="shared" si="43"/>
        <v>0</v>
      </c>
      <c r="H54" s="13">
        <f t="shared" si="44"/>
        <v>0</v>
      </c>
      <c r="I54" s="13">
        <f t="shared" si="45"/>
        <v>0</v>
      </c>
      <c r="J54" s="13">
        <f t="shared" si="46"/>
        <v>0</v>
      </c>
      <c r="K54" s="13">
        <f t="shared" si="47"/>
        <v>0</v>
      </c>
      <c r="L54" s="13">
        <f t="shared" si="48"/>
        <v>0</v>
      </c>
      <c r="M54" s="13">
        <f t="shared" si="49"/>
        <v>0</v>
      </c>
      <c r="N54" s="13">
        <f t="shared" si="50"/>
        <v>0</v>
      </c>
      <c r="O54" s="13">
        <f t="shared" si="51"/>
        <v>0</v>
      </c>
      <c r="P54" s="13">
        <f t="shared" si="52"/>
        <v>0</v>
      </c>
      <c r="Q54" s="13">
        <f t="shared" si="53"/>
        <v>0</v>
      </c>
      <c r="R54" s="13">
        <f t="shared" si="54"/>
        <v>0</v>
      </c>
      <c r="S54" s="13">
        <f t="shared" si="55"/>
        <v>0</v>
      </c>
      <c r="T54" s="13">
        <f t="shared" si="56"/>
        <v>0</v>
      </c>
      <c r="U54" s="13">
        <f t="shared" si="57"/>
        <v>0</v>
      </c>
      <c r="V54" s="13">
        <f t="shared" si="58"/>
        <v>0</v>
      </c>
      <c r="W54" s="13">
        <f t="shared" si="59"/>
        <v>0</v>
      </c>
      <c r="X54" s="13">
        <f t="shared" si="60"/>
        <v>0</v>
      </c>
      <c r="Y54" s="13">
        <f t="shared" si="61"/>
        <v>0</v>
      </c>
      <c r="Z54" s="13">
        <f t="shared" si="62"/>
        <v>0</v>
      </c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</row>
    <row r="55" spans="1:341" s="14" customFormat="1">
      <c r="A55" s="12" t="s">
        <v>52</v>
      </c>
      <c r="B55" s="13">
        <f t="shared" si="38"/>
        <v>0</v>
      </c>
      <c r="C55" s="13">
        <f t="shared" si="39"/>
        <v>0</v>
      </c>
      <c r="D55" s="13">
        <f t="shared" si="40"/>
        <v>0</v>
      </c>
      <c r="E55" s="13">
        <f t="shared" si="41"/>
        <v>0</v>
      </c>
      <c r="F55" s="13">
        <f t="shared" si="42"/>
        <v>0</v>
      </c>
      <c r="G55" s="13">
        <f t="shared" si="43"/>
        <v>1.1527435294117644E-4</v>
      </c>
      <c r="H55" s="13">
        <f t="shared" si="44"/>
        <v>0</v>
      </c>
      <c r="I55" s="13">
        <f t="shared" si="45"/>
        <v>0</v>
      </c>
      <c r="J55" s="13">
        <f t="shared" si="46"/>
        <v>2.2478498823529408E-3</v>
      </c>
      <c r="K55" s="13">
        <f t="shared" si="47"/>
        <v>0</v>
      </c>
      <c r="L55" s="13">
        <f t="shared" si="48"/>
        <v>1.4121108235294116E-3</v>
      </c>
      <c r="M55" s="13">
        <f t="shared" si="49"/>
        <v>2.5936729411764701E-3</v>
      </c>
      <c r="N55" s="13">
        <f t="shared" si="50"/>
        <v>6.9164611764705862E-4</v>
      </c>
      <c r="O55" s="13">
        <f t="shared" si="51"/>
        <v>0</v>
      </c>
      <c r="P55" s="13">
        <f t="shared" si="52"/>
        <v>0</v>
      </c>
      <c r="Q55" s="13">
        <f t="shared" si="53"/>
        <v>1.7291152941176466E-4</v>
      </c>
      <c r="R55" s="13">
        <f t="shared" si="54"/>
        <v>0</v>
      </c>
      <c r="S55" s="13">
        <f t="shared" si="55"/>
        <v>0</v>
      </c>
      <c r="T55" s="13">
        <f t="shared" si="56"/>
        <v>0</v>
      </c>
      <c r="U55" s="13">
        <f t="shared" si="57"/>
        <v>0</v>
      </c>
      <c r="V55" s="13">
        <f t="shared" si="58"/>
        <v>0</v>
      </c>
      <c r="W55" s="13">
        <f t="shared" si="59"/>
        <v>0</v>
      </c>
      <c r="X55" s="13">
        <f t="shared" si="60"/>
        <v>0</v>
      </c>
      <c r="Y55" s="13">
        <f t="shared" si="61"/>
        <v>0</v>
      </c>
      <c r="Z55" s="13">
        <f t="shared" si="62"/>
        <v>0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>
        <v>8.6455764705882329E-2</v>
      </c>
      <c r="CL55" s="13"/>
      <c r="CM55" s="13"/>
      <c r="CN55" s="13">
        <v>2.8818588235294113E-2</v>
      </c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>
        <v>2.2478498823529409</v>
      </c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>
        <v>1.4121108235294115</v>
      </c>
      <c r="EY55" s="13"/>
      <c r="EZ55" s="13"/>
      <c r="FA55" s="13"/>
      <c r="FB55" s="13"/>
      <c r="FC55" s="13"/>
      <c r="FD55" s="13"/>
      <c r="FE55" s="13"/>
      <c r="FF55" s="13"/>
      <c r="FG55" s="13">
        <v>2.5936729411764703</v>
      </c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>
        <v>0.69164611764705863</v>
      </c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>
        <v>0.17291152941176466</v>
      </c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</row>
    <row r="56" spans="1:341" s="14" customFormat="1">
      <c r="A56" s="12" t="s">
        <v>53</v>
      </c>
      <c r="B56" s="13">
        <f t="shared" si="38"/>
        <v>0</v>
      </c>
      <c r="C56" s="13">
        <f t="shared" si="39"/>
        <v>0</v>
      </c>
      <c r="D56" s="13">
        <f t="shared" si="40"/>
        <v>0</v>
      </c>
      <c r="E56" s="13">
        <f t="shared" si="41"/>
        <v>0</v>
      </c>
      <c r="F56" s="13">
        <f t="shared" si="42"/>
        <v>0</v>
      </c>
      <c r="G56" s="13">
        <f t="shared" si="43"/>
        <v>0</v>
      </c>
      <c r="H56" s="13">
        <f t="shared" si="44"/>
        <v>0</v>
      </c>
      <c r="I56" s="13">
        <f t="shared" si="45"/>
        <v>0</v>
      </c>
      <c r="J56" s="13">
        <f t="shared" si="46"/>
        <v>0</v>
      </c>
      <c r="K56" s="13">
        <f t="shared" si="47"/>
        <v>0</v>
      </c>
      <c r="L56" s="13">
        <f t="shared" si="48"/>
        <v>0</v>
      </c>
      <c r="M56" s="13">
        <f t="shared" si="49"/>
        <v>0</v>
      </c>
      <c r="N56" s="13">
        <f t="shared" si="50"/>
        <v>0</v>
      </c>
      <c r="O56" s="13">
        <f t="shared" si="51"/>
        <v>0</v>
      </c>
      <c r="P56" s="13">
        <f t="shared" si="52"/>
        <v>0</v>
      </c>
      <c r="Q56" s="13">
        <f t="shared" si="53"/>
        <v>0</v>
      </c>
      <c r="R56" s="13">
        <f t="shared" si="54"/>
        <v>0</v>
      </c>
      <c r="S56" s="13">
        <f t="shared" si="55"/>
        <v>0</v>
      </c>
      <c r="T56" s="13">
        <f t="shared" si="56"/>
        <v>0</v>
      </c>
      <c r="U56" s="13">
        <f t="shared" si="57"/>
        <v>0</v>
      </c>
      <c r="V56" s="13">
        <f t="shared" si="58"/>
        <v>0</v>
      </c>
      <c r="W56" s="13">
        <f t="shared" si="59"/>
        <v>0</v>
      </c>
      <c r="X56" s="13">
        <f t="shared" si="60"/>
        <v>0</v>
      </c>
      <c r="Y56" s="13">
        <f t="shared" si="61"/>
        <v>0</v>
      </c>
      <c r="Z56" s="13">
        <f t="shared" si="62"/>
        <v>0</v>
      </c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</row>
    <row r="57" spans="1:341" s="14" customFormat="1">
      <c r="A57" s="15" t="s">
        <v>54</v>
      </c>
      <c r="B57" s="13">
        <f t="shared" si="38"/>
        <v>0</v>
      </c>
      <c r="C57" s="13">
        <f t="shared" si="39"/>
        <v>0</v>
      </c>
      <c r="D57" s="13">
        <f t="shared" si="40"/>
        <v>0</v>
      </c>
      <c r="E57" s="13">
        <f t="shared" si="41"/>
        <v>0</v>
      </c>
      <c r="F57" s="13">
        <f t="shared" si="42"/>
        <v>0</v>
      </c>
      <c r="G57" s="13">
        <f t="shared" si="43"/>
        <v>0</v>
      </c>
      <c r="H57" s="13">
        <f t="shared" si="44"/>
        <v>0</v>
      </c>
      <c r="I57" s="13">
        <f t="shared" si="45"/>
        <v>0</v>
      </c>
      <c r="J57" s="13">
        <f t="shared" si="46"/>
        <v>0</v>
      </c>
      <c r="K57" s="13">
        <f t="shared" si="47"/>
        <v>0</v>
      </c>
      <c r="L57" s="13">
        <f t="shared" si="48"/>
        <v>0</v>
      </c>
      <c r="M57" s="13">
        <f t="shared" si="49"/>
        <v>0</v>
      </c>
      <c r="N57" s="13">
        <f t="shared" si="50"/>
        <v>0</v>
      </c>
      <c r="O57" s="13">
        <f t="shared" si="51"/>
        <v>0</v>
      </c>
      <c r="P57" s="13">
        <f t="shared" si="52"/>
        <v>0</v>
      </c>
      <c r="Q57" s="13">
        <f t="shared" si="53"/>
        <v>0</v>
      </c>
      <c r="R57" s="13">
        <f t="shared" si="54"/>
        <v>0</v>
      </c>
      <c r="S57" s="13">
        <f t="shared" si="55"/>
        <v>0</v>
      </c>
      <c r="T57" s="13">
        <f t="shared" si="56"/>
        <v>0</v>
      </c>
      <c r="U57" s="13">
        <f t="shared" si="57"/>
        <v>0</v>
      </c>
      <c r="V57" s="13">
        <f t="shared" si="58"/>
        <v>0</v>
      </c>
      <c r="W57" s="13">
        <f t="shared" si="59"/>
        <v>0</v>
      </c>
      <c r="X57" s="13">
        <f t="shared" si="60"/>
        <v>0</v>
      </c>
      <c r="Y57" s="13">
        <f t="shared" si="61"/>
        <v>0</v>
      </c>
      <c r="Z57" s="13">
        <f t="shared" si="62"/>
        <v>0</v>
      </c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</row>
    <row r="58" spans="1:341" s="14" customFormat="1">
      <c r="A58" s="1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</row>
    <row r="59" spans="1:341" s="14" customFormat="1">
      <c r="A59" s="12" t="s">
        <v>55</v>
      </c>
      <c r="B59" s="13">
        <f t="shared" ref="B59:Z59" si="63">SUM(B60:B72)</f>
        <v>0</v>
      </c>
      <c r="C59" s="13">
        <f t="shared" si="63"/>
        <v>0</v>
      </c>
      <c r="D59" s="13">
        <f t="shared" si="63"/>
        <v>0</v>
      </c>
      <c r="E59" s="13">
        <f t="shared" si="63"/>
        <v>0</v>
      </c>
      <c r="F59" s="13">
        <f t="shared" si="63"/>
        <v>0</v>
      </c>
      <c r="G59" s="13">
        <f t="shared" si="63"/>
        <v>0</v>
      </c>
      <c r="H59" s="13">
        <f t="shared" si="63"/>
        <v>1.4409294117647055E-3</v>
      </c>
      <c r="I59" s="13">
        <f t="shared" si="63"/>
        <v>0</v>
      </c>
      <c r="J59" s="13">
        <f t="shared" si="63"/>
        <v>0</v>
      </c>
      <c r="K59" s="13">
        <f t="shared" si="63"/>
        <v>0</v>
      </c>
      <c r="L59" s="13">
        <f t="shared" si="63"/>
        <v>0</v>
      </c>
      <c r="M59" s="13">
        <f t="shared" si="63"/>
        <v>0</v>
      </c>
      <c r="N59" s="13">
        <f t="shared" si="63"/>
        <v>0</v>
      </c>
      <c r="O59" s="13">
        <f t="shared" si="63"/>
        <v>0</v>
      </c>
      <c r="P59" s="13">
        <f t="shared" si="63"/>
        <v>0</v>
      </c>
      <c r="Q59" s="13">
        <f t="shared" si="63"/>
        <v>0</v>
      </c>
      <c r="R59" s="13">
        <f t="shared" si="63"/>
        <v>0</v>
      </c>
      <c r="S59" s="13">
        <f t="shared" si="63"/>
        <v>0</v>
      </c>
      <c r="T59" s="13">
        <f t="shared" si="63"/>
        <v>0</v>
      </c>
      <c r="U59" s="13">
        <f t="shared" si="63"/>
        <v>0</v>
      </c>
      <c r="V59" s="13">
        <f t="shared" si="63"/>
        <v>0</v>
      </c>
      <c r="W59" s="13">
        <f t="shared" si="63"/>
        <v>0</v>
      </c>
      <c r="X59" s="13">
        <f t="shared" si="63"/>
        <v>0</v>
      </c>
      <c r="Y59" s="13">
        <f t="shared" si="63"/>
        <v>0</v>
      </c>
      <c r="Z59" s="13">
        <f t="shared" si="63"/>
        <v>0</v>
      </c>
      <c r="AB59" s="13">
        <f t="shared" ref="AB59:CM59" si="64">SUM(AB60:AB72)</f>
        <v>0</v>
      </c>
      <c r="AC59" s="13">
        <f t="shared" si="64"/>
        <v>0</v>
      </c>
      <c r="AD59" s="13">
        <f t="shared" si="64"/>
        <v>0</v>
      </c>
      <c r="AE59" s="13">
        <f t="shared" si="64"/>
        <v>0</v>
      </c>
      <c r="AF59" s="13">
        <f t="shared" si="64"/>
        <v>0</v>
      </c>
      <c r="AG59" s="13">
        <f t="shared" si="64"/>
        <v>0</v>
      </c>
      <c r="AH59" s="13">
        <f t="shared" si="64"/>
        <v>0</v>
      </c>
      <c r="AI59" s="13">
        <f t="shared" si="64"/>
        <v>0</v>
      </c>
      <c r="AJ59" s="13">
        <f t="shared" si="64"/>
        <v>0</v>
      </c>
      <c r="AK59" s="13">
        <f t="shared" si="64"/>
        <v>0</v>
      </c>
      <c r="AL59" s="13">
        <f t="shared" si="64"/>
        <v>0</v>
      </c>
      <c r="AM59" s="13">
        <f t="shared" si="64"/>
        <v>0</v>
      </c>
      <c r="AN59" s="13">
        <f t="shared" si="64"/>
        <v>0</v>
      </c>
      <c r="AO59" s="13">
        <f t="shared" si="64"/>
        <v>0</v>
      </c>
      <c r="AP59" s="13">
        <f t="shared" si="64"/>
        <v>0</v>
      </c>
      <c r="AQ59" s="13">
        <f t="shared" si="64"/>
        <v>0</v>
      </c>
      <c r="AR59" s="13">
        <f t="shared" si="64"/>
        <v>0</v>
      </c>
      <c r="AS59" s="13">
        <f t="shared" si="64"/>
        <v>0</v>
      </c>
      <c r="AT59" s="13">
        <f t="shared" si="64"/>
        <v>0</v>
      </c>
      <c r="AU59" s="13">
        <f t="shared" si="64"/>
        <v>0</v>
      </c>
      <c r="AV59" s="13">
        <f t="shared" si="64"/>
        <v>0</v>
      </c>
      <c r="AW59" s="13">
        <f t="shared" si="64"/>
        <v>0</v>
      </c>
      <c r="AX59" s="13">
        <f t="shared" si="64"/>
        <v>0</v>
      </c>
      <c r="AY59" s="13">
        <f t="shared" si="64"/>
        <v>0</v>
      </c>
      <c r="AZ59" s="13">
        <f t="shared" si="64"/>
        <v>0</v>
      </c>
      <c r="BA59" s="13">
        <f t="shared" si="64"/>
        <v>0</v>
      </c>
      <c r="BB59" s="13">
        <f t="shared" si="64"/>
        <v>0</v>
      </c>
      <c r="BC59" s="13">
        <f t="shared" si="64"/>
        <v>0</v>
      </c>
      <c r="BD59" s="13">
        <f t="shared" si="64"/>
        <v>0</v>
      </c>
      <c r="BE59" s="13">
        <f t="shared" si="64"/>
        <v>0</v>
      </c>
      <c r="BF59" s="13">
        <f t="shared" si="64"/>
        <v>0</v>
      </c>
      <c r="BG59" s="13">
        <f t="shared" si="64"/>
        <v>0</v>
      </c>
      <c r="BH59" s="13">
        <f t="shared" si="64"/>
        <v>0</v>
      </c>
      <c r="BI59" s="13">
        <f t="shared" si="64"/>
        <v>0</v>
      </c>
      <c r="BJ59" s="13">
        <f t="shared" si="64"/>
        <v>0</v>
      </c>
      <c r="BK59" s="13">
        <f t="shared" si="64"/>
        <v>0</v>
      </c>
      <c r="BL59" s="13">
        <f t="shared" si="64"/>
        <v>0</v>
      </c>
      <c r="BM59" s="13">
        <f t="shared" si="64"/>
        <v>0</v>
      </c>
      <c r="BN59" s="13">
        <f t="shared" si="64"/>
        <v>0</v>
      </c>
      <c r="BO59" s="13">
        <f t="shared" si="64"/>
        <v>0</v>
      </c>
      <c r="BP59" s="13">
        <f t="shared" si="64"/>
        <v>0</v>
      </c>
      <c r="BQ59" s="13">
        <f t="shared" si="64"/>
        <v>0</v>
      </c>
      <c r="BR59" s="13">
        <f t="shared" si="64"/>
        <v>0</v>
      </c>
      <c r="BS59" s="13">
        <f t="shared" si="64"/>
        <v>0</v>
      </c>
      <c r="BT59" s="13">
        <f t="shared" si="64"/>
        <v>0</v>
      </c>
      <c r="BU59" s="13">
        <f t="shared" si="64"/>
        <v>0</v>
      </c>
      <c r="BV59" s="13">
        <f t="shared" si="64"/>
        <v>0</v>
      </c>
      <c r="BW59" s="13">
        <f t="shared" si="64"/>
        <v>0</v>
      </c>
      <c r="BX59" s="13">
        <f t="shared" si="64"/>
        <v>0</v>
      </c>
      <c r="BY59" s="13">
        <f t="shared" si="64"/>
        <v>0</v>
      </c>
      <c r="BZ59" s="13">
        <f t="shared" si="64"/>
        <v>0</v>
      </c>
      <c r="CA59" s="13">
        <f t="shared" si="64"/>
        <v>0</v>
      </c>
      <c r="CB59" s="13">
        <f t="shared" si="64"/>
        <v>0</v>
      </c>
      <c r="CC59" s="13">
        <f t="shared" si="64"/>
        <v>0</v>
      </c>
      <c r="CD59" s="13">
        <f t="shared" si="64"/>
        <v>0</v>
      </c>
      <c r="CE59" s="13">
        <f t="shared" si="64"/>
        <v>0</v>
      </c>
      <c r="CF59" s="13">
        <f t="shared" si="64"/>
        <v>0</v>
      </c>
      <c r="CG59" s="13">
        <f t="shared" si="64"/>
        <v>0</v>
      </c>
      <c r="CH59" s="13">
        <f t="shared" si="64"/>
        <v>0</v>
      </c>
      <c r="CI59" s="13">
        <f t="shared" si="64"/>
        <v>0</v>
      </c>
      <c r="CJ59" s="13">
        <f t="shared" si="64"/>
        <v>0</v>
      </c>
      <c r="CK59" s="13">
        <f t="shared" si="64"/>
        <v>0</v>
      </c>
      <c r="CL59" s="13">
        <f t="shared" si="64"/>
        <v>0</v>
      </c>
      <c r="CM59" s="13">
        <f t="shared" si="64"/>
        <v>0</v>
      </c>
      <c r="CN59" s="13">
        <f t="shared" ref="CN59:EY59" si="65">SUM(CN60:CN72)</f>
        <v>0</v>
      </c>
      <c r="CO59" s="13">
        <f t="shared" si="65"/>
        <v>0</v>
      </c>
      <c r="CP59" s="13">
        <f t="shared" si="65"/>
        <v>0</v>
      </c>
      <c r="CQ59" s="13">
        <f t="shared" si="65"/>
        <v>0</v>
      </c>
      <c r="CR59" s="13">
        <f t="shared" si="65"/>
        <v>0</v>
      </c>
      <c r="CS59" s="13">
        <f t="shared" si="65"/>
        <v>0</v>
      </c>
      <c r="CT59" s="13">
        <f t="shared" si="65"/>
        <v>0</v>
      </c>
      <c r="CU59" s="13">
        <f t="shared" si="65"/>
        <v>0</v>
      </c>
      <c r="CV59" s="13">
        <f t="shared" si="65"/>
        <v>0</v>
      </c>
      <c r="CW59" s="13">
        <f t="shared" si="65"/>
        <v>0</v>
      </c>
      <c r="CX59" s="13">
        <f t="shared" si="65"/>
        <v>0</v>
      </c>
      <c r="CY59" s="13">
        <f t="shared" si="65"/>
        <v>0</v>
      </c>
      <c r="CZ59" s="13">
        <f t="shared" si="65"/>
        <v>0</v>
      </c>
      <c r="DA59" s="13">
        <f t="shared" si="65"/>
        <v>0</v>
      </c>
      <c r="DB59" s="13">
        <f t="shared" si="65"/>
        <v>0</v>
      </c>
      <c r="DC59" s="13">
        <f t="shared" si="65"/>
        <v>0</v>
      </c>
      <c r="DD59" s="13">
        <f t="shared" si="65"/>
        <v>0</v>
      </c>
      <c r="DE59" s="13">
        <f t="shared" si="65"/>
        <v>0</v>
      </c>
      <c r="DF59" s="13">
        <f t="shared" si="65"/>
        <v>1.4409294117647056</v>
      </c>
      <c r="DG59" s="13">
        <f t="shared" si="65"/>
        <v>0</v>
      </c>
      <c r="DH59" s="13">
        <f t="shared" si="65"/>
        <v>0</v>
      </c>
      <c r="DI59" s="13">
        <f t="shared" si="65"/>
        <v>0</v>
      </c>
      <c r="DJ59" s="13">
        <f t="shared" si="65"/>
        <v>0</v>
      </c>
      <c r="DK59" s="13">
        <f t="shared" si="65"/>
        <v>0</v>
      </c>
      <c r="DL59" s="13">
        <f t="shared" si="65"/>
        <v>0</v>
      </c>
      <c r="DM59" s="13">
        <f t="shared" si="65"/>
        <v>0</v>
      </c>
      <c r="DN59" s="13">
        <f t="shared" si="65"/>
        <v>0</v>
      </c>
      <c r="DO59" s="13">
        <f t="shared" si="65"/>
        <v>0</v>
      </c>
      <c r="DP59" s="13">
        <f t="shared" si="65"/>
        <v>0</v>
      </c>
      <c r="DQ59" s="13">
        <f t="shared" si="65"/>
        <v>0</v>
      </c>
      <c r="DR59" s="13">
        <f t="shared" si="65"/>
        <v>0</v>
      </c>
      <c r="DS59" s="13">
        <f t="shared" si="65"/>
        <v>0</v>
      </c>
      <c r="DT59" s="13">
        <f t="shared" si="65"/>
        <v>0</v>
      </c>
      <c r="DU59" s="13">
        <f t="shared" si="65"/>
        <v>0</v>
      </c>
      <c r="DV59" s="13">
        <f t="shared" si="65"/>
        <v>0</v>
      </c>
      <c r="DW59" s="13">
        <f t="shared" si="65"/>
        <v>0</v>
      </c>
      <c r="DX59" s="13">
        <f t="shared" si="65"/>
        <v>0</v>
      </c>
      <c r="DY59" s="13">
        <f t="shared" si="65"/>
        <v>0</v>
      </c>
      <c r="DZ59" s="13">
        <f t="shared" si="65"/>
        <v>0</v>
      </c>
      <c r="EA59" s="13">
        <f t="shared" si="65"/>
        <v>0</v>
      </c>
      <c r="EB59" s="13">
        <f t="shared" si="65"/>
        <v>0</v>
      </c>
      <c r="EC59" s="13">
        <f t="shared" si="65"/>
        <v>0</v>
      </c>
      <c r="ED59" s="13">
        <f t="shared" si="65"/>
        <v>0</v>
      </c>
      <c r="EE59" s="13">
        <f t="shared" si="65"/>
        <v>0</v>
      </c>
      <c r="EF59" s="13">
        <f t="shared" si="65"/>
        <v>0</v>
      </c>
      <c r="EG59" s="13">
        <f t="shared" si="65"/>
        <v>0</v>
      </c>
      <c r="EH59" s="13">
        <f t="shared" si="65"/>
        <v>0</v>
      </c>
      <c r="EI59" s="13">
        <f t="shared" si="65"/>
        <v>0</v>
      </c>
      <c r="EJ59" s="13">
        <f t="shared" si="65"/>
        <v>0</v>
      </c>
      <c r="EK59" s="13">
        <f t="shared" si="65"/>
        <v>0</v>
      </c>
      <c r="EL59" s="13">
        <f t="shared" si="65"/>
        <v>0</v>
      </c>
      <c r="EM59" s="13">
        <f t="shared" si="65"/>
        <v>0</v>
      </c>
      <c r="EN59" s="13">
        <f t="shared" si="65"/>
        <v>0</v>
      </c>
      <c r="EO59" s="13">
        <f t="shared" si="65"/>
        <v>0</v>
      </c>
      <c r="EP59" s="13">
        <f t="shared" si="65"/>
        <v>0</v>
      </c>
      <c r="EQ59" s="13">
        <f t="shared" si="65"/>
        <v>0</v>
      </c>
      <c r="ER59" s="13">
        <f t="shared" si="65"/>
        <v>0</v>
      </c>
      <c r="ES59" s="13">
        <f t="shared" si="65"/>
        <v>0</v>
      </c>
      <c r="ET59" s="13">
        <f t="shared" si="65"/>
        <v>0</v>
      </c>
      <c r="EU59" s="13">
        <f t="shared" si="65"/>
        <v>0</v>
      </c>
      <c r="EV59" s="13">
        <f t="shared" si="65"/>
        <v>0</v>
      </c>
      <c r="EW59" s="13">
        <f t="shared" si="65"/>
        <v>0</v>
      </c>
      <c r="EX59" s="13">
        <f t="shared" si="65"/>
        <v>0</v>
      </c>
      <c r="EY59" s="13">
        <f t="shared" si="65"/>
        <v>0</v>
      </c>
      <c r="EZ59" s="13">
        <f t="shared" ref="EZ59:HK59" si="66">SUM(EZ60:EZ72)</f>
        <v>0</v>
      </c>
      <c r="FA59" s="13">
        <f t="shared" si="66"/>
        <v>0</v>
      </c>
      <c r="FB59" s="13">
        <f t="shared" si="66"/>
        <v>0</v>
      </c>
      <c r="FC59" s="13">
        <f t="shared" si="66"/>
        <v>0</v>
      </c>
      <c r="FD59" s="13">
        <f t="shared" si="66"/>
        <v>0</v>
      </c>
      <c r="FE59" s="13">
        <f t="shared" si="66"/>
        <v>0</v>
      </c>
      <c r="FF59" s="13">
        <f t="shared" si="66"/>
        <v>0</v>
      </c>
      <c r="FG59" s="13">
        <f t="shared" si="66"/>
        <v>0</v>
      </c>
      <c r="FH59" s="13">
        <f t="shared" si="66"/>
        <v>0</v>
      </c>
      <c r="FI59" s="13">
        <f t="shared" si="66"/>
        <v>0</v>
      </c>
      <c r="FJ59" s="13">
        <f t="shared" si="66"/>
        <v>0</v>
      </c>
      <c r="FK59" s="13">
        <f t="shared" si="66"/>
        <v>0</v>
      </c>
      <c r="FL59" s="13">
        <f t="shared" si="66"/>
        <v>0</v>
      </c>
      <c r="FM59" s="13">
        <f t="shared" si="66"/>
        <v>0</v>
      </c>
      <c r="FN59" s="13">
        <f t="shared" si="66"/>
        <v>0</v>
      </c>
      <c r="FO59" s="13">
        <f t="shared" si="66"/>
        <v>0</v>
      </c>
      <c r="FP59" s="13">
        <f t="shared" si="66"/>
        <v>0</v>
      </c>
      <c r="FQ59" s="13">
        <f t="shared" si="66"/>
        <v>0</v>
      </c>
      <c r="FR59" s="13">
        <f t="shared" si="66"/>
        <v>0</v>
      </c>
      <c r="FS59" s="13">
        <f t="shared" si="66"/>
        <v>0</v>
      </c>
      <c r="FT59" s="13">
        <f t="shared" si="66"/>
        <v>0</v>
      </c>
      <c r="FU59" s="13">
        <f t="shared" si="66"/>
        <v>0</v>
      </c>
      <c r="FV59" s="13">
        <f t="shared" si="66"/>
        <v>0</v>
      </c>
      <c r="FW59" s="13">
        <f t="shared" si="66"/>
        <v>0</v>
      </c>
      <c r="FX59" s="13">
        <f t="shared" si="66"/>
        <v>0</v>
      </c>
      <c r="FY59" s="13">
        <f t="shared" si="66"/>
        <v>0</v>
      </c>
      <c r="FZ59" s="13">
        <f t="shared" si="66"/>
        <v>0</v>
      </c>
      <c r="GA59" s="13">
        <f t="shared" si="66"/>
        <v>0</v>
      </c>
      <c r="GB59" s="13">
        <f t="shared" si="66"/>
        <v>0</v>
      </c>
      <c r="GC59" s="13">
        <f t="shared" si="66"/>
        <v>0</v>
      </c>
      <c r="GD59" s="13">
        <f t="shared" si="66"/>
        <v>0</v>
      </c>
      <c r="GE59" s="13">
        <f t="shared" si="66"/>
        <v>0</v>
      </c>
      <c r="GF59" s="13">
        <f t="shared" si="66"/>
        <v>0</v>
      </c>
      <c r="GG59" s="13">
        <f t="shared" si="66"/>
        <v>0</v>
      </c>
      <c r="GH59" s="13">
        <f t="shared" si="66"/>
        <v>0</v>
      </c>
      <c r="GI59" s="13">
        <f t="shared" si="66"/>
        <v>0</v>
      </c>
      <c r="GJ59" s="13">
        <f t="shared" si="66"/>
        <v>0</v>
      </c>
      <c r="GK59" s="13">
        <f t="shared" si="66"/>
        <v>0</v>
      </c>
      <c r="GL59" s="13">
        <f t="shared" si="66"/>
        <v>0</v>
      </c>
      <c r="GM59" s="13">
        <f t="shared" si="66"/>
        <v>0</v>
      </c>
      <c r="GN59" s="13">
        <f t="shared" si="66"/>
        <v>0</v>
      </c>
      <c r="GO59" s="13">
        <f t="shared" si="66"/>
        <v>0</v>
      </c>
      <c r="GP59" s="13">
        <f t="shared" si="66"/>
        <v>0</v>
      </c>
      <c r="GQ59" s="13">
        <f t="shared" si="66"/>
        <v>0</v>
      </c>
      <c r="GR59" s="13">
        <f t="shared" si="66"/>
        <v>0</v>
      </c>
      <c r="GS59" s="13">
        <f t="shared" si="66"/>
        <v>0</v>
      </c>
      <c r="GT59" s="13">
        <f t="shared" si="66"/>
        <v>0</v>
      </c>
      <c r="GU59" s="13">
        <f t="shared" si="66"/>
        <v>0</v>
      </c>
      <c r="GV59" s="13">
        <f t="shared" si="66"/>
        <v>0</v>
      </c>
      <c r="GW59" s="13">
        <f t="shared" si="66"/>
        <v>0</v>
      </c>
      <c r="GX59" s="13">
        <f t="shared" si="66"/>
        <v>0</v>
      </c>
      <c r="GY59" s="13">
        <f t="shared" si="66"/>
        <v>0</v>
      </c>
      <c r="GZ59" s="13">
        <f t="shared" si="66"/>
        <v>0</v>
      </c>
      <c r="HA59" s="13">
        <f t="shared" si="66"/>
        <v>0</v>
      </c>
      <c r="HB59" s="13">
        <f t="shared" si="66"/>
        <v>0</v>
      </c>
      <c r="HC59" s="13">
        <f t="shared" si="66"/>
        <v>0</v>
      </c>
      <c r="HD59" s="13">
        <f t="shared" si="66"/>
        <v>0</v>
      </c>
      <c r="HE59" s="13">
        <f t="shared" si="66"/>
        <v>0</v>
      </c>
      <c r="HF59" s="13">
        <f t="shared" si="66"/>
        <v>0</v>
      </c>
      <c r="HG59" s="13">
        <f t="shared" si="66"/>
        <v>0</v>
      </c>
      <c r="HH59" s="13">
        <f t="shared" si="66"/>
        <v>0</v>
      </c>
      <c r="HI59" s="13">
        <f t="shared" si="66"/>
        <v>0</v>
      </c>
      <c r="HJ59" s="13">
        <f t="shared" si="66"/>
        <v>0</v>
      </c>
      <c r="HK59" s="13">
        <f t="shared" si="66"/>
        <v>0</v>
      </c>
      <c r="HL59" s="13">
        <f t="shared" ref="HL59:JW59" si="67">SUM(HL60:HL72)</f>
        <v>0</v>
      </c>
      <c r="HM59" s="13">
        <f t="shared" si="67"/>
        <v>0</v>
      </c>
      <c r="HN59" s="13">
        <f t="shared" si="67"/>
        <v>0</v>
      </c>
      <c r="HO59" s="13">
        <f t="shared" si="67"/>
        <v>0</v>
      </c>
      <c r="HP59" s="13">
        <f t="shared" si="67"/>
        <v>0</v>
      </c>
      <c r="HQ59" s="13">
        <f t="shared" si="67"/>
        <v>0</v>
      </c>
      <c r="HR59" s="13">
        <f t="shared" si="67"/>
        <v>0</v>
      </c>
      <c r="HS59" s="13">
        <f t="shared" si="67"/>
        <v>0</v>
      </c>
      <c r="HT59" s="13">
        <f t="shared" si="67"/>
        <v>0</v>
      </c>
      <c r="HU59" s="13">
        <f t="shared" si="67"/>
        <v>0</v>
      </c>
      <c r="HV59" s="13">
        <f t="shared" si="67"/>
        <v>0</v>
      </c>
      <c r="HW59" s="13">
        <f t="shared" si="67"/>
        <v>0</v>
      </c>
      <c r="HX59" s="13">
        <f t="shared" si="67"/>
        <v>0</v>
      </c>
      <c r="HY59" s="13">
        <f t="shared" si="67"/>
        <v>0</v>
      </c>
      <c r="HZ59" s="13">
        <f t="shared" si="67"/>
        <v>0</v>
      </c>
      <c r="IA59" s="13">
        <f t="shared" si="67"/>
        <v>0</v>
      </c>
      <c r="IB59" s="13">
        <f t="shared" si="67"/>
        <v>0</v>
      </c>
      <c r="IC59" s="13">
        <f t="shared" si="67"/>
        <v>0</v>
      </c>
      <c r="ID59" s="13">
        <f t="shared" si="67"/>
        <v>0</v>
      </c>
      <c r="IE59" s="13">
        <f t="shared" si="67"/>
        <v>0</v>
      </c>
      <c r="IF59" s="13">
        <f t="shared" si="67"/>
        <v>0</v>
      </c>
      <c r="IG59" s="13">
        <f t="shared" si="67"/>
        <v>0</v>
      </c>
      <c r="IH59" s="13">
        <f t="shared" si="67"/>
        <v>0</v>
      </c>
      <c r="II59" s="13">
        <f t="shared" si="67"/>
        <v>0</v>
      </c>
      <c r="IJ59" s="13">
        <f t="shared" si="67"/>
        <v>0</v>
      </c>
      <c r="IK59" s="13">
        <f t="shared" si="67"/>
        <v>0</v>
      </c>
      <c r="IL59" s="13">
        <f t="shared" si="67"/>
        <v>0</v>
      </c>
      <c r="IM59" s="13">
        <f t="shared" si="67"/>
        <v>0</v>
      </c>
      <c r="IN59" s="13">
        <f t="shared" si="67"/>
        <v>0</v>
      </c>
      <c r="IO59" s="13">
        <f t="shared" si="67"/>
        <v>0</v>
      </c>
      <c r="IP59" s="13">
        <f t="shared" si="67"/>
        <v>0</v>
      </c>
      <c r="IQ59" s="13">
        <f t="shared" si="67"/>
        <v>0</v>
      </c>
      <c r="IR59" s="13">
        <f t="shared" si="67"/>
        <v>0</v>
      </c>
      <c r="IS59" s="13">
        <f t="shared" si="67"/>
        <v>0</v>
      </c>
      <c r="IT59" s="13">
        <f t="shared" si="67"/>
        <v>0</v>
      </c>
      <c r="IU59" s="13">
        <f t="shared" si="67"/>
        <v>0</v>
      </c>
      <c r="IV59" s="13">
        <f t="shared" si="67"/>
        <v>0</v>
      </c>
      <c r="IW59" s="13">
        <f t="shared" si="67"/>
        <v>0</v>
      </c>
      <c r="IX59" s="13">
        <f t="shared" si="67"/>
        <v>0</v>
      </c>
      <c r="IY59" s="13">
        <f t="shared" si="67"/>
        <v>0</v>
      </c>
      <c r="IZ59" s="13">
        <f t="shared" si="67"/>
        <v>0</v>
      </c>
      <c r="JA59" s="13">
        <f t="shared" si="67"/>
        <v>0</v>
      </c>
      <c r="JB59" s="13">
        <f t="shared" si="67"/>
        <v>0</v>
      </c>
      <c r="JC59" s="13">
        <f t="shared" si="67"/>
        <v>0</v>
      </c>
      <c r="JD59" s="13">
        <f t="shared" si="67"/>
        <v>0</v>
      </c>
      <c r="JE59" s="13">
        <f t="shared" si="67"/>
        <v>0</v>
      </c>
      <c r="JF59" s="13">
        <f t="shared" si="67"/>
        <v>0</v>
      </c>
      <c r="JG59" s="13">
        <f t="shared" si="67"/>
        <v>0</v>
      </c>
      <c r="JH59" s="13">
        <f t="shared" si="67"/>
        <v>0</v>
      </c>
      <c r="JI59" s="13">
        <f t="shared" si="67"/>
        <v>0</v>
      </c>
      <c r="JJ59" s="13">
        <f t="shared" si="67"/>
        <v>0</v>
      </c>
      <c r="JK59" s="13">
        <f t="shared" si="67"/>
        <v>0</v>
      </c>
      <c r="JL59" s="13">
        <f t="shared" si="67"/>
        <v>0</v>
      </c>
      <c r="JM59" s="13">
        <f t="shared" si="67"/>
        <v>0</v>
      </c>
      <c r="JN59" s="13">
        <f t="shared" si="67"/>
        <v>0</v>
      </c>
      <c r="JO59" s="13">
        <f t="shared" si="67"/>
        <v>0</v>
      </c>
      <c r="JP59" s="13">
        <f t="shared" si="67"/>
        <v>0</v>
      </c>
      <c r="JQ59" s="13">
        <f t="shared" si="67"/>
        <v>0</v>
      </c>
      <c r="JR59" s="13">
        <f t="shared" si="67"/>
        <v>0</v>
      </c>
      <c r="JS59" s="13">
        <f t="shared" si="67"/>
        <v>0</v>
      </c>
      <c r="JT59" s="13">
        <f t="shared" si="67"/>
        <v>0</v>
      </c>
      <c r="JU59" s="13">
        <f t="shared" si="67"/>
        <v>0</v>
      </c>
      <c r="JV59" s="13">
        <f t="shared" si="67"/>
        <v>0</v>
      </c>
      <c r="JW59" s="13">
        <f t="shared" si="67"/>
        <v>0</v>
      </c>
      <c r="JX59" s="13">
        <f t="shared" ref="JX59:MC59" si="68">SUM(JX60:JX72)</f>
        <v>0</v>
      </c>
      <c r="JY59" s="13">
        <f t="shared" si="68"/>
        <v>0</v>
      </c>
      <c r="JZ59" s="13">
        <f t="shared" si="68"/>
        <v>0</v>
      </c>
      <c r="KA59" s="13">
        <f t="shared" si="68"/>
        <v>0</v>
      </c>
      <c r="KB59" s="13">
        <f t="shared" si="68"/>
        <v>0</v>
      </c>
      <c r="KC59" s="13">
        <f t="shared" si="68"/>
        <v>0</v>
      </c>
      <c r="KD59" s="13">
        <f t="shared" si="68"/>
        <v>0</v>
      </c>
      <c r="KE59" s="13">
        <f t="shared" si="68"/>
        <v>0</v>
      </c>
      <c r="KF59" s="13">
        <f t="shared" si="68"/>
        <v>0</v>
      </c>
      <c r="KG59" s="13">
        <f t="shared" si="68"/>
        <v>0</v>
      </c>
      <c r="KH59" s="13">
        <f t="shared" si="68"/>
        <v>0</v>
      </c>
      <c r="KI59" s="13">
        <f t="shared" si="68"/>
        <v>0</v>
      </c>
      <c r="KJ59" s="13">
        <f t="shared" si="68"/>
        <v>0</v>
      </c>
      <c r="KK59" s="13">
        <f t="shared" si="68"/>
        <v>0</v>
      </c>
      <c r="KL59" s="13">
        <f t="shared" si="68"/>
        <v>0</v>
      </c>
      <c r="KM59" s="13">
        <f t="shared" si="68"/>
        <v>0</v>
      </c>
      <c r="KN59" s="13">
        <f t="shared" si="68"/>
        <v>0</v>
      </c>
      <c r="KO59" s="13">
        <f t="shared" si="68"/>
        <v>0</v>
      </c>
      <c r="KP59" s="13">
        <f t="shared" si="68"/>
        <v>0</v>
      </c>
      <c r="KQ59" s="13">
        <f t="shared" si="68"/>
        <v>0</v>
      </c>
      <c r="KR59" s="13">
        <f t="shared" si="68"/>
        <v>0</v>
      </c>
      <c r="KS59" s="13">
        <f t="shared" si="68"/>
        <v>0</v>
      </c>
      <c r="KT59" s="13">
        <f t="shared" si="68"/>
        <v>0</v>
      </c>
      <c r="KU59" s="13">
        <f t="shared" si="68"/>
        <v>0</v>
      </c>
      <c r="KV59" s="13">
        <f t="shared" si="68"/>
        <v>0</v>
      </c>
      <c r="KW59" s="13">
        <f t="shared" si="68"/>
        <v>0</v>
      </c>
      <c r="KX59" s="13">
        <f t="shared" si="68"/>
        <v>0</v>
      </c>
      <c r="KY59" s="13">
        <f t="shared" si="68"/>
        <v>0</v>
      </c>
      <c r="KZ59" s="13">
        <f t="shared" si="68"/>
        <v>0</v>
      </c>
      <c r="LA59" s="13">
        <f t="shared" si="68"/>
        <v>0</v>
      </c>
      <c r="LB59" s="13">
        <f t="shared" si="68"/>
        <v>0</v>
      </c>
      <c r="LC59" s="13">
        <f t="shared" si="68"/>
        <v>0</v>
      </c>
      <c r="LD59" s="13">
        <f t="shared" si="68"/>
        <v>0</v>
      </c>
      <c r="LE59" s="13">
        <f t="shared" si="68"/>
        <v>0</v>
      </c>
      <c r="LF59" s="13">
        <f t="shared" si="68"/>
        <v>0</v>
      </c>
      <c r="LG59" s="13">
        <f t="shared" si="68"/>
        <v>0</v>
      </c>
      <c r="LH59" s="13">
        <f t="shared" si="68"/>
        <v>0</v>
      </c>
      <c r="LI59" s="13">
        <f t="shared" si="68"/>
        <v>0</v>
      </c>
      <c r="LJ59" s="13">
        <f t="shared" si="68"/>
        <v>0</v>
      </c>
      <c r="LK59" s="13">
        <f t="shared" si="68"/>
        <v>0</v>
      </c>
      <c r="LL59" s="13">
        <f t="shared" si="68"/>
        <v>0</v>
      </c>
      <c r="LM59" s="13">
        <f t="shared" si="68"/>
        <v>0</v>
      </c>
      <c r="LN59" s="13">
        <f t="shared" si="68"/>
        <v>0</v>
      </c>
      <c r="LO59" s="13">
        <f t="shared" si="68"/>
        <v>0</v>
      </c>
      <c r="LP59" s="13">
        <f t="shared" si="68"/>
        <v>0</v>
      </c>
      <c r="LQ59" s="13">
        <f t="shared" si="68"/>
        <v>0</v>
      </c>
      <c r="LR59" s="13">
        <f t="shared" si="68"/>
        <v>0</v>
      </c>
      <c r="LS59" s="13">
        <f t="shared" si="68"/>
        <v>0</v>
      </c>
      <c r="LT59" s="13">
        <f t="shared" si="68"/>
        <v>0</v>
      </c>
      <c r="LU59" s="13">
        <f t="shared" si="68"/>
        <v>0</v>
      </c>
      <c r="LV59" s="13">
        <f t="shared" si="68"/>
        <v>0</v>
      </c>
      <c r="LW59" s="13">
        <f t="shared" si="68"/>
        <v>0</v>
      </c>
      <c r="LX59" s="13">
        <f t="shared" si="68"/>
        <v>0</v>
      </c>
      <c r="LY59" s="13">
        <f t="shared" si="68"/>
        <v>0</v>
      </c>
      <c r="LZ59" s="13">
        <f t="shared" si="68"/>
        <v>0</v>
      </c>
      <c r="MA59" s="13">
        <f t="shared" si="68"/>
        <v>0</v>
      </c>
      <c r="MB59" s="13">
        <f t="shared" si="68"/>
        <v>0</v>
      </c>
      <c r="MC59" s="13">
        <f t="shared" si="68"/>
        <v>0</v>
      </c>
    </row>
    <row r="60" spans="1:341" s="14" customFormat="1">
      <c r="A60" s="15" t="s">
        <v>56</v>
      </c>
      <c r="B60" s="13">
        <f t="shared" ref="B60:B72" si="69">SUM(AB60:AM60)/1000</f>
        <v>0</v>
      </c>
      <c r="C60" s="13">
        <f t="shared" ref="C60:C72" si="70">SUM(AN60:AY60)/1000</f>
        <v>0</v>
      </c>
      <c r="D60" s="13">
        <f t="shared" ref="D60:D72" si="71">SUM(AZ60:BK60)/1000</f>
        <v>0</v>
      </c>
      <c r="E60" s="13">
        <f t="shared" ref="E60:E72" si="72">SUM(BL60:BW60)/1000</f>
        <v>0</v>
      </c>
      <c r="F60" s="13">
        <f t="shared" ref="F60:F72" si="73">SUM(BX60:CI60)/1000</f>
        <v>0</v>
      </c>
      <c r="G60" s="13">
        <f t="shared" ref="G60:G72" si="74">SUM(CJ60:CU60)/1000</f>
        <v>0</v>
      </c>
      <c r="H60" s="13">
        <f t="shared" ref="H60:H72" si="75">SUM(CV60:DG60)/1000</f>
        <v>0</v>
      </c>
      <c r="I60" s="13">
        <f t="shared" ref="I60:I72" si="76">SUM(DH60:DS60)/1000</f>
        <v>0</v>
      </c>
      <c r="J60" s="13">
        <f t="shared" ref="J60:J72" si="77">SUM(DT60:EE60)/1000</f>
        <v>0</v>
      </c>
      <c r="K60" s="13">
        <f t="shared" ref="K60:K72" si="78">SUM(EF60:EQ60)/1000</f>
        <v>0</v>
      </c>
      <c r="L60" s="13">
        <f t="shared" ref="L60:L72" si="79">SUM(ER60:FC60)/1000</f>
        <v>0</v>
      </c>
      <c r="M60" s="13">
        <f t="shared" ref="M60:M72" si="80">SUM(FD60:FO60)/1000</f>
        <v>0</v>
      </c>
      <c r="N60" s="13">
        <f t="shared" ref="N60:N72" si="81">SUM(FP60:GA60)/1000</f>
        <v>0</v>
      </c>
      <c r="O60" s="13">
        <f t="shared" ref="O60:O72" si="82">SUM(GB60:GM60)/1000</f>
        <v>0</v>
      </c>
      <c r="P60" s="13">
        <f t="shared" ref="P60:P72" si="83">SUM(GN60:GY60)/1000</f>
        <v>0</v>
      </c>
      <c r="Q60" s="13">
        <f t="shared" ref="Q60:Q72" si="84">SUM(GZ60:HK60)/1000</f>
        <v>0</v>
      </c>
      <c r="R60" s="13">
        <f t="shared" ref="R60:R72" si="85">SUM(HL60:HW60)/1000</f>
        <v>0</v>
      </c>
      <c r="S60" s="13">
        <f t="shared" ref="S60:S72" si="86">SUM(HX60:II60)/1000</f>
        <v>0</v>
      </c>
      <c r="T60" s="13">
        <f t="shared" ref="T60:T72" si="87">SUM(IJ60:IU60)/1000</f>
        <v>0</v>
      </c>
      <c r="U60" s="13">
        <f t="shared" ref="U60:U72" si="88">SUM(IV60:JG60)/1000</f>
        <v>0</v>
      </c>
      <c r="V60" s="13">
        <f t="shared" ref="V60:V72" si="89">SUM(JH60:JS60)/1000</f>
        <v>0</v>
      </c>
      <c r="W60" s="13">
        <f t="shared" ref="W60:W72" si="90">SUM(JT60:KE60)/1000</f>
        <v>0</v>
      </c>
      <c r="X60" s="13">
        <f t="shared" ref="X60:X72" si="91">SUM(KF60:KQ60)/1000</f>
        <v>0</v>
      </c>
      <c r="Y60" s="13">
        <f t="shared" ref="Y60:Y72" si="92">SUM(KR60:LC60)/1000</f>
        <v>0</v>
      </c>
      <c r="Z60" s="13">
        <f t="shared" ref="Z60:Z72" si="93">SUM(LD60:LO60)/1000</f>
        <v>0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</row>
    <row r="61" spans="1:341" s="14" customFormat="1">
      <c r="A61" s="15" t="s">
        <v>57</v>
      </c>
      <c r="B61" s="13">
        <f t="shared" si="69"/>
        <v>0</v>
      </c>
      <c r="C61" s="13">
        <f t="shared" si="70"/>
        <v>0</v>
      </c>
      <c r="D61" s="13">
        <f t="shared" si="71"/>
        <v>0</v>
      </c>
      <c r="E61" s="13">
        <f t="shared" si="72"/>
        <v>0</v>
      </c>
      <c r="F61" s="13">
        <f t="shared" si="73"/>
        <v>0</v>
      </c>
      <c r="G61" s="13">
        <f t="shared" si="74"/>
        <v>0</v>
      </c>
      <c r="H61" s="13">
        <f t="shared" si="75"/>
        <v>0</v>
      </c>
      <c r="I61" s="13">
        <f t="shared" si="76"/>
        <v>0</v>
      </c>
      <c r="J61" s="13">
        <f t="shared" si="77"/>
        <v>0</v>
      </c>
      <c r="K61" s="13">
        <f t="shared" si="78"/>
        <v>0</v>
      </c>
      <c r="L61" s="13">
        <f t="shared" si="79"/>
        <v>0</v>
      </c>
      <c r="M61" s="13">
        <f t="shared" si="80"/>
        <v>0</v>
      </c>
      <c r="N61" s="13">
        <f t="shared" si="81"/>
        <v>0</v>
      </c>
      <c r="O61" s="13">
        <f t="shared" si="82"/>
        <v>0</v>
      </c>
      <c r="P61" s="13">
        <f t="shared" si="83"/>
        <v>0</v>
      </c>
      <c r="Q61" s="13">
        <f t="shared" si="84"/>
        <v>0</v>
      </c>
      <c r="R61" s="13">
        <f t="shared" si="85"/>
        <v>0</v>
      </c>
      <c r="S61" s="13">
        <f t="shared" si="86"/>
        <v>0</v>
      </c>
      <c r="T61" s="13">
        <f t="shared" si="87"/>
        <v>0</v>
      </c>
      <c r="U61" s="13">
        <f t="shared" si="88"/>
        <v>0</v>
      </c>
      <c r="V61" s="13">
        <f t="shared" si="89"/>
        <v>0</v>
      </c>
      <c r="W61" s="13">
        <f t="shared" si="90"/>
        <v>0</v>
      </c>
      <c r="X61" s="13">
        <f t="shared" si="91"/>
        <v>0</v>
      </c>
      <c r="Y61" s="13">
        <f t="shared" si="92"/>
        <v>0</v>
      </c>
      <c r="Z61" s="13">
        <f t="shared" si="93"/>
        <v>0</v>
      </c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</row>
    <row r="62" spans="1:341" s="14" customFormat="1">
      <c r="A62" s="12" t="s">
        <v>58</v>
      </c>
      <c r="B62" s="13">
        <f t="shared" si="69"/>
        <v>0</v>
      </c>
      <c r="C62" s="13">
        <f t="shared" si="70"/>
        <v>0</v>
      </c>
      <c r="D62" s="13">
        <f t="shared" si="71"/>
        <v>0</v>
      </c>
      <c r="E62" s="13">
        <f t="shared" si="72"/>
        <v>0</v>
      </c>
      <c r="F62" s="13">
        <f t="shared" si="73"/>
        <v>0</v>
      </c>
      <c r="G62" s="13">
        <f t="shared" si="74"/>
        <v>0</v>
      </c>
      <c r="H62" s="13">
        <f t="shared" si="75"/>
        <v>0</v>
      </c>
      <c r="I62" s="13">
        <f t="shared" si="76"/>
        <v>0</v>
      </c>
      <c r="J62" s="13">
        <f t="shared" si="77"/>
        <v>0</v>
      </c>
      <c r="K62" s="13">
        <f t="shared" si="78"/>
        <v>0</v>
      </c>
      <c r="L62" s="13">
        <f t="shared" si="79"/>
        <v>0</v>
      </c>
      <c r="M62" s="13">
        <f t="shared" si="80"/>
        <v>0</v>
      </c>
      <c r="N62" s="13">
        <f t="shared" si="81"/>
        <v>0</v>
      </c>
      <c r="O62" s="13">
        <f t="shared" si="82"/>
        <v>0</v>
      </c>
      <c r="P62" s="13">
        <f t="shared" si="83"/>
        <v>0</v>
      </c>
      <c r="Q62" s="13">
        <f t="shared" si="84"/>
        <v>0</v>
      </c>
      <c r="R62" s="13">
        <f t="shared" si="85"/>
        <v>0</v>
      </c>
      <c r="S62" s="13">
        <f t="shared" si="86"/>
        <v>0</v>
      </c>
      <c r="T62" s="13">
        <f t="shared" si="87"/>
        <v>0</v>
      </c>
      <c r="U62" s="13">
        <f t="shared" si="88"/>
        <v>0</v>
      </c>
      <c r="V62" s="13">
        <f t="shared" si="89"/>
        <v>0</v>
      </c>
      <c r="W62" s="13">
        <f t="shared" si="90"/>
        <v>0</v>
      </c>
      <c r="X62" s="13">
        <f t="shared" si="91"/>
        <v>0</v>
      </c>
      <c r="Y62" s="13">
        <f t="shared" si="92"/>
        <v>0</v>
      </c>
      <c r="Z62" s="13">
        <f t="shared" si="93"/>
        <v>0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</row>
    <row r="63" spans="1:341" s="14" customFormat="1">
      <c r="A63" s="15" t="s">
        <v>59</v>
      </c>
      <c r="B63" s="13">
        <f t="shared" si="69"/>
        <v>0</v>
      </c>
      <c r="C63" s="13">
        <f t="shared" si="70"/>
        <v>0</v>
      </c>
      <c r="D63" s="13">
        <f t="shared" si="71"/>
        <v>0</v>
      </c>
      <c r="E63" s="13">
        <f t="shared" si="72"/>
        <v>0</v>
      </c>
      <c r="F63" s="13">
        <f t="shared" si="73"/>
        <v>0</v>
      </c>
      <c r="G63" s="13">
        <f t="shared" si="74"/>
        <v>0</v>
      </c>
      <c r="H63" s="13">
        <f t="shared" si="75"/>
        <v>1.4409294117647055E-3</v>
      </c>
      <c r="I63" s="13">
        <f t="shared" si="76"/>
        <v>0</v>
      </c>
      <c r="J63" s="13">
        <f t="shared" si="77"/>
        <v>0</v>
      </c>
      <c r="K63" s="13">
        <f t="shared" si="78"/>
        <v>0</v>
      </c>
      <c r="L63" s="13">
        <f t="shared" si="79"/>
        <v>0</v>
      </c>
      <c r="M63" s="13">
        <f t="shared" si="80"/>
        <v>0</v>
      </c>
      <c r="N63" s="13">
        <f t="shared" si="81"/>
        <v>0</v>
      </c>
      <c r="O63" s="13">
        <f t="shared" si="82"/>
        <v>0</v>
      </c>
      <c r="P63" s="13">
        <f t="shared" si="83"/>
        <v>0</v>
      </c>
      <c r="Q63" s="13">
        <f t="shared" si="84"/>
        <v>0</v>
      </c>
      <c r="R63" s="13">
        <f t="shared" si="85"/>
        <v>0</v>
      </c>
      <c r="S63" s="13">
        <f t="shared" si="86"/>
        <v>0</v>
      </c>
      <c r="T63" s="13">
        <f t="shared" si="87"/>
        <v>0</v>
      </c>
      <c r="U63" s="13">
        <f t="shared" si="88"/>
        <v>0</v>
      </c>
      <c r="V63" s="13">
        <f t="shared" si="89"/>
        <v>0</v>
      </c>
      <c r="W63" s="13">
        <f t="shared" si="90"/>
        <v>0</v>
      </c>
      <c r="X63" s="13">
        <f t="shared" si="91"/>
        <v>0</v>
      </c>
      <c r="Y63" s="13">
        <f t="shared" si="92"/>
        <v>0</v>
      </c>
      <c r="Z63" s="13">
        <f t="shared" si="93"/>
        <v>0</v>
      </c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>
        <v>1.4409294117647056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</row>
    <row r="64" spans="1:341" s="14" customFormat="1">
      <c r="A64" s="15" t="s">
        <v>60</v>
      </c>
      <c r="B64" s="13">
        <f t="shared" si="69"/>
        <v>0</v>
      </c>
      <c r="C64" s="13">
        <f t="shared" si="70"/>
        <v>0</v>
      </c>
      <c r="D64" s="13">
        <f t="shared" si="71"/>
        <v>0</v>
      </c>
      <c r="E64" s="13">
        <f t="shared" si="72"/>
        <v>0</v>
      </c>
      <c r="F64" s="13">
        <f t="shared" si="73"/>
        <v>0</v>
      </c>
      <c r="G64" s="13">
        <f t="shared" si="74"/>
        <v>0</v>
      </c>
      <c r="H64" s="13">
        <f t="shared" si="75"/>
        <v>0</v>
      </c>
      <c r="I64" s="13">
        <f t="shared" si="76"/>
        <v>0</v>
      </c>
      <c r="J64" s="13">
        <f t="shared" si="77"/>
        <v>0</v>
      </c>
      <c r="K64" s="13">
        <f t="shared" si="78"/>
        <v>0</v>
      </c>
      <c r="L64" s="13">
        <f t="shared" si="79"/>
        <v>0</v>
      </c>
      <c r="M64" s="13">
        <f t="shared" si="80"/>
        <v>0</v>
      </c>
      <c r="N64" s="13">
        <f t="shared" si="81"/>
        <v>0</v>
      </c>
      <c r="O64" s="13">
        <f t="shared" si="82"/>
        <v>0</v>
      </c>
      <c r="P64" s="13">
        <f t="shared" si="83"/>
        <v>0</v>
      </c>
      <c r="Q64" s="13">
        <f t="shared" si="84"/>
        <v>0</v>
      </c>
      <c r="R64" s="13">
        <f t="shared" si="85"/>
        <v>0</v>
      </c>
      <c r="S64" s="13">
        <f t="shared" si="86"/>
        <v>0</v>
      </c>
      <c r="T64" s="13">
        <f t="shared" si="87"/>
        <v>0</v>
      </c>
      <c r="U64" s="13">
        <f t="shared" si="88"/>
        <v>0</v>
      </c>
      <c r="V64" s="13">
        <f t="shared" si="89"/>
        <v>0</v>
      </c>
      <c r="W64" s="13">
        <f t="shared" si="90"/>
        <v>0</v>
      </c>
      <c r="X64" s="13">
        <f t="shared" si="91"/>
        <v>0</v>
      </c>
      <c r="Y64" s="13">
        <f t="shared" si="92"/>
        <v>0</v>
      </c>
      <c r="Z64" s="13">
        <f t="shared" si="93"/>
        <v>0</v>
      </c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</row>
    <row r="65" spans="1:341" s="14" customFormat="1">
      <c r="A65" s="15" t="s">
        <v>61</v>
      </c>
      <c r="B65" s="13">
        <f t="shared" si="69"/>
        <v>0</v>
      </c>
      <c r="C65" s="13">
        <f t="shared" si="70"/>
        <v>0</v>
      </c>
      <c r="D65" s="13">
        <f t="shared" si="71"/>
        <v>0</v>
      </c>
      <c r="E65" s="13">
        <f t="shared" si="72"/>
        <v>0</v>
      </c>
      <c r="F65" s="13">
        <f t="shared" si="73"/>
        <v>0</v>
      </c>
      <c r="G65" s="13">
        <f t="shared" si="74"/>
        <v>0</v>
      </c>
      <c r="H65" s="13">
        <f t="shared" si="75"/>
        <v>0</v>
      </c>
      <c r="I65" s="13">
        <f t="shared" si="76"/>
        <v>0</v>
      </c>
      <c r="J65" s="13">
        <f t="shared" si="77"/>
        <v>0</v>
      </c>
      <c r="K65" s="13">
        <f t="shared" si="78"/>
        <v>0</v>
      </c>
      <c r="L65" s="13">
        <f t="shared" si="79"/>
        <v>0</v>
      </c>
      <c r="M65" s="13">
        <f t="shared" si="80"/>
        <v>0</v>
      </c>
      <c r="N65" s="13">
        <f t="shared" si="81"/>
        <v>0</v>
      </c>
      <c r="O65" s="13">
        <f t="shared" si="82"/>
        <v>0</v>
      </c>
      <c r="P65" s="13">
        <f t="shared" si="83"/>
        <v>0</v>
      </c>
      <c r="Q65" s="13">
        <f t="shared" si="84"/>
        <v>0</v>
      </c>
      <c r="R65" s="13">
        <f t="shared" si="85"/>
        <v>0</v>
      </c>
      <c r="S65" s="13">
        <f t="shared" si="86"/>
        <v>0</v>
      </c>
      <c r="T65" s="13">
        <f t="shared" si="87"/>
        <v>0</v>
      </c>
      <c r="U65" s="13">
        <f t="shared" si="88"/>
        <v>0</v>
      </c>
      <c r="V65" s="13">
        <f t="shared" si="89"/>
        <v>0</v>
      </c>
      <c r="W65" s="13">
        <f t="shared" si="90"/>
        <v>0</v>
      </c>
      <c r="X65" s="13">
        <f t="shared" si="91"/>
        <v>0</v>
      </c>
      <c r="Y65" s="13">
        <f t="shared" si="92"/>
        <v>0</v>
      </c>
      <c r="Z65" s="13">
        <f t="shared" si="93"/>
        <v>0</v>
      </c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</row>
    <row r="66" spans="1:341" s="14" customFormat="1">
      <c r="A66" s="15" t="s">
        <v>62</v>
      </c>
      <c r="B66" s="13">
        <f t="shared" si="69"/>
        <v>0</v>
      </c>
      <c r="C66" s="13">
        <f t="shared" si="70"/>
        <v>0</v>
      </c>
      <c r="D66" s="13">
        <f t="shared" si="71"/>
        <v>0</v>
      </c>
      <c r="E66" s="13">
        <f t="shared" si="72"/>
        <v>0</v>
      </c>
      <c r="F66" s="13">
        <f t="shared" si="73"/>
        <v>0</v>
      </c>
      <c r="G66" s="13">
        <f t="shared" si="74"/>
        <v>0</v>
      </c>
      <c r="H66" s="13">
        <f t="shared" si="75"/>
        <v>0</v>
      </c>
      <c r="I66" s="13">
        <f t="shared" si="76"/>
        <v>0</v>
      </c>
      <c r="J66" s="13">
        <f t="shared" si="77"/>
        <v>0</v>
      </c>
      <c r="K66" s="13">
        <f t="shared" si="78"/>
        <v>0</v>
      </c>
      <c r="L66" s="13">
        <f t="shared" si="79"/>
        <v>0</v>
      </c>
      <c r="M66" s="13">
        <f t="shared" si="80"/>
        <v>0</v>
      </c>
      <c r="N66" s="13">
        <f t="shared" si="81"/>
        <v>0</v>
      </c>
      <c r="O66" s="13">
        <f t="shared" si="82"/>
        <v>0</v>
      </c>
      <c r="P66" s="13">
        <f t="shared" si="83"/>
        <v>0</v>
      </c>
      <c r="Q66" s="13">
        <f t="shared" si="84"/>
        <v>0</v>
      </c>
      <c r="R66" s="13">
        <f t="shared" si="85"/>
        <v>0</v>
      </c>
      <c r="S66" s="13">
        <f t="shared" si="86"/>
        <v>0</v>
      </c>
      <c r="T66" s="13">
        <f t="shared" si="87"/>
        <v>0</v>
      </c>
      <c r="U66" s="13">
        <f t="shared" si="88"/>
        <v>0</v>
      </c>
      <c r="V66" s="13">
        <f t="shared" si="89"/>
        <v>0</v>
      </c>
      <c r="W66" s="13">
        <f t="shared" si="90"/>
        <v>0</v>
      </c>
      <c r="X66" s="13">
        <f t="shared" si="91"/>
        <v>0</v>
      </c>
      <c r="Y66" s="13">
        <f t="shared" si="92"/>
        <v>0</v>
      </c>
      <c r="Z66" s="13">
        <f t="shared" si="93"/>
        <v>0</v>
      </c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</row>
    <row r="67" spans="1:341" s="14" customFormat="1">
      <c r="A67" s="15" t="s">
        <v>63</v>
      </c>
      <c r="B67" s="13">
        <f t="shared" si="69"/>
        <v>0</v>
      </c>
      <c r="C67" s="13">
        <f t="shared" si="70"/>
        <v>0</v>
      </c>
      <c r="D67" s="13">
        <f t="shared" si="71"/>
        <v>0</v>
      </c>
      <c r="E67" s="13">
        <f t="shared" si="72"/>
        <v>0</v>
      </c>
      <c r="F67" s="13">
        <f t="shared" si="73"/>
        <v>0</v>
      </c>
      <c r="G67" s="13">
        <f t="shared" si="74"/>
        <v>0</v>
      </c>
      <c r="H67" s="13">
        <f t="shared" si="75"/>
        <v>0</v>
      </c>
      <c r="I67" s="13">
        <f t="shared" si="76"/>
        <v>0</v>
      </c>
      <c r="J67" s="13">
        <f t="shared" si="77"/>
        <v>0</v>
      </c>
      <c r="K67" s="13">
        <f t="shared" si="78"/>
        <v>0</v>
      </c>
      <c r="L67" s="13">
        <f t="shared" si="79"/>
        <v>0</v>
      </c>
      <c r="M67" s="13">
        <f t="shared" si="80"/>
        <v>0</v>
      </c>
      <c r="N67" s="13">
        <f t="shared" si="81"/>
        <v>0</v>
      </c>
      <c r="O67" s="13">
        <f t="shared" si="82"/>
        <v>0</v>
      </c>
      <c r="P67" s="13">
        <f t="shared" si="83"/>
        <v>0</v>
      </c>
      <c r="Q67" s="13">
        <f t="shared" si="84"/>
        <v>0</v>
      </c>
      <c r="R67" s="13">
        <f t="shared" si="85"/>
        <v>0</v>
      </c>
      <c r="S67" s="13">
        <f t="shared" si="86"/>
        <v>0</v>
      </c>
      <c r="T67" s="13">
        <f t="shared" si="87"/>
        <v>0</v>
      </c>
      <c r="U67" s="13">
        <f t="shared" si="88"/>
        <v>0</v>
      </c>
      <c r="V67" s="13">
        <f t="shared" si="89"/>
        <v>0</v>
      </c>
      <c r="W67" s="13">
        <f t="shared" si="90"/>
        <v>0</v>
      </c>
      <c r="X67" s="13">
        <f t="shared" si="91"/>
        <v>0</v>
      </c>
      <c r="Y67" s="13">
        <f t="shared" si="92"/>
        <v>0</v>
      </c>
      <c r="Z67" s="13">
        <f t="shared" si="93"/>
        <v>0</v>
      </c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</row>
    <row r="68" spans="1:341" s="14" customFormat="1">
      <c r="A68" s="12" t="s">
        <v>64</v>
      </c>
      <c r="B68" s="13">
        <f t="shared" si="69"/>
        <v>0</v>
      </c>
      <c r="C68" s="13">
        <f t="shared" si="70"/>
        <v>0</v>
      </c>
      <c r="D68" s="13">
        <f t="shared" si="71"/>
        <v>0</v>
      </c>
      <c r="E68" s="13">
        <f t="shared" si="72"/>
        <v>0</v>
      </c>
      <c r="F68" s="13">
        <f t="shared" si="73"/>
        <v>0</v>
      </c>
      <c r="G68" s="13">
        <f t="shared" si="74"/>
        <v>0</v>
      </c>
      <c r="H68" s="13">
        <f t="shared" si="75"/>
        <v>0</v>
      </c>
      <c r="I68" s="13">
        <f t="shared" si="76"/>
        <v>0</v>
      </c>
      <c r="J68" s="13">
        <f t="shared" si="77"/>
        <v>0</v>
      </c>
      <c r="K68" s="13">
        <f t="shared" si="78"/>
        <v>0</v>
      </c>
      <c r="L68" s="13">
        <f t="shared" si="79"/>
        <v>0</v>
      </c>
      <c r="M68" s="13">
        <f t="shared" si="80"/>
        <v>0</v>
      </c>
      <c r="N68" s="13">
        <f t="shared" si="81"/>
        <v>0</v>
      </c>
      <c r="O68" s="13">
        <f t="shared" si="82"/>
        <v>0</v>
      </c>
      <c r="P68" s="13">
        <f t="shared" si="83"/>
        <v>0</v>
      </c>
      <c r="Q68" s="13">
        <f t="shared" si="84"/>
        <v>0</v>
      </c>
      <c r="R68" s="13">
        <f t="shared" si="85"/>
        <v>0</v>
      </c>
      <c r="S68" s="13">
        <f t="shared" si="86"/>
        <v>0</v>
      </c>
      <c r="T68" s="13">
        <f t="shared" si="87"/>
        <v>0</v>
      </c>
      <c r="U68" s="13">
        <f t="shared" si="88"/>
        <v>0</v>
      </c>
      <c r="V68" s="13">
        <f t="shared" si="89"/>
        <v>0</v>
      </c>
      <c r="W68" s="13">
        <f t="shared" si="90"/>
        <v>0</v>
      </c>
      <c r="X68" s="13">
        <f t="shared" si="91"/>
        <v>0</v>
      </c>
      <c r="Y68" s="13">
        <f t="shared" si="92"/>
        <v>0</v>
      </c>
      <c r="Z68" s="13">
        <f t="shared" si="93"/>
        <v>0</v>
      </c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</row>
    <row r="69" spans="1:341" s="14" customFormat="1">
      <c r="A69" s="15" t="s">
        <v>65</v>
      </c>
      <c r="B69" s="13">
        <f t="shared" si="69"/>
        <v>0</v>
      </c>
      <c r="C69" s="13">
        <f t="shared" si="70"/>
        <v>0</v>
      </c>
      <c r="D69" s="13">
        <f t="shared" si="71"/>
        <v>0</v>
      </c>
      <c r="E69" s="13">
        <f t="shared" si="72"/>
        <v>0</v>
      </c>
      <c r="F69" s="13">
        <f t="shared" si="73"/>
        <v>0</v>
      </c>
      <c r="G69" s="13">
        <f t="shared" si="74"/>
        <v>0</v>
      </c>
      <c r="H69" s="13">
        <f t="shared" si="75"/>
        <v>0</v>
      </c>
      <c r="I69" s="13">
        <f t="shared" si="76"/>
        <v>0</v>
      </c>
      <c r="J69" s="13">
        <f t="shared" si="77"/>
        <v>0</v>
      </c>
      <c r="K69" s="13">
        <f t="shared" si="78"/>
        <v>0</v>
      </c>
      <c r="L69" s="13">
        <f t="shared" si="79"/>
        <v>0</v>
      </c>
      <c r="M69" s="13">
        <f t="shared" si="80"/>
        <v>0</v>
      </c>
      <c r="N69" s="13">
        <f t="shared" si="81"/>
        <v>0</v>
      </c>
      <c r="O69" s="13">
        <f t="shared" si="82"/>
        <v>0</v>
      </c>
      <c r="P69" s="13">
        <f t="shared" si="83"/>
        <v>0</v>
      </c>
      <c r="Q69" s="13">
        <f t="shared" si="84"/>
        <v>0</v>
      </c>
      <c r="R69" s="13">
        <f t="shared" si="85"/>
        <v>0</v>
      </c>
      <c r="S69" s="13">
        <f t="shared" si="86"/>
        <v>0</v>
      </c>
      <c r="T69" s="13">
        <f t="shared" si="87"/>
        <v>0</v>
      </c>
      <c r="U69" s="13">
        <f t="shared" si="88"/>
        <v>0</v>
      </c>
      <c r="V69" s="13">
        <f t="shared" si="89"/>
        <v>0</v>
      </c>
      <c r="W69" s="13">
        <f t="shared" si="90"/>
        <v>0</v>
      </c>
      <c r="X69" s="13">
        <f t="shared" si="91"/>
        <v>0</v>
      </c>
      <c r="Y69" s="13">
        <f t="shared" si="92"/>
        <v>0</v>
      </c>
      <c r="Z69" s="13">
        <f t="shared" si="93"/>
        <v>0</v>
      </c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</row>
    <row r="70" spans="1:341" s="14" customFormat="1">
      <c r="A70" s="15" t="s">
        <v>66</v>
      </c>
      <c r="B70" s="13">
        <f t="shared" si="69"/>
        <v>0</v>
      </c>
      <c r="C70" s="13">
        <f t="shared" si="70"/>
        <v>0</v>
      </c>
      <c r="D70" s="13">
        <f t="shared" si="71"/>
        <v>0</v>
      </c>
      <c r="E70" s="13">
        <f t="shared" si="72"/>
        <v>0</v>
      </c>
      <c r="F70" s="13">
        <f t="shared" si="73"/>
        <v>0</v>
      </c>
      <c r="G70" s="13">
        <f t="shared" si="74"/>
        <v>0</v>
      </c>
      <c r="H70" s="13">
        <f t="shared" si="75"/>
        <v>0</v>
      </c>
      <c r="I70" s="13">
        <f t="shared" si="76"/>
        <v>0</v>
      </c>
      <c r="J70" s="13">
        <f t="shared" si="77"/>
        <v>0</v>
      </c>
      <c r="K70" s="13">
        <f t="shared" si="78"/>
        <v>0</v>
      </c>
      <c r="L70" s="13">
        <f t="shared" si="79"/>
        <v>0</v>
      </c>
      <c r="M70" s="13">
        <f t="shared" si="80"/>
        <v>0</v>
      </c>
      <c r="N70" s="13">
        <f t="shared" si="81"/>
        <v>0</v>
      </c>
      <c r="O70" s="13">
        <f t="shared" si="82"/>
        <v>0</v>
      </c>
      <c r="P70" s="13">
        <f t="shared" si="83"/>
        <v>0</v>
      </c>
      <c r="Q70" s="13">
        <f t="shared" si="84"/>
        <v>0</v>
      </c>
      <c r="R70" s="13">
        <f t="shared" si="85"/>
        <v>0</v>
      </c>
      <c r="S70" s="13">
        <f t="shared" si="86"/>
        <v>0</v>
      </c>
      <c r="T70" s="13">
        <f t="shared" si="87"/>
        <v>0</v>
      </c>
      <c r="U70" s="13">
        <f t="shared" si="88"/>
        <v>0</v>
      </c>
      <c r="V70" s="13">
        <f t="shared" si="89"/>
        <v>0</v>
      </c>
      <c r="W70" s="13">
        <f t="shared" si="90"/>
        <v>0</v>
      </c>
      <c r="X70" s="13">
        <f t="shared" si="91"/>
        <v>0</v>
      </c>
      <c r="Y70" s="13">
        <f t="shared" si="92"/>
        <v>0</v>
      </c>
      <c r="Z70" s="13">
        <f t="shared" si="93"/>
        <v>0</v>
      </c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</row>
    <row r="71" spans="1:341" s="14" customFormat="1">
      <c r="A71" s="15" t="s">
        <v>67</v>
      </c>
      <c r="B71" s="13">
        <f t="shared" si="69"/>
        <v>0</v>
      </c>
      <c r="C71" s="13">
        <f t="shared" si="70"/>
        <v>0</v>
      </c>
      <c r="D71" s="13">
        <f t="shared" si="71"/>
        <v>0</v>
      </c>
      <c r="E71" s="13">
        <f t="shared" si="72"/>
        <v>0</v>
      </c>
      <c r="F71" s="13">
        <f t="shared" si="73"/>
        <v>0</v>
      </c>
      <c r="G71" s="13">
        <f t="shared" si="74"/>
        <v>0</v>
      </c>
      <c r="H71" s="13">
        <f t="shared" si="75"/>
        <v>0</v>
      </c>
      <c r="I71" s="13">
        <f t="shared" si="76"/>
        <v>0</v>
      </c>
      <c r="J71" s="13">
        <f t="shared" si="77"/>
        <v>0</v>
      </c>
      <c r="K71" s="13">
        <f t="shared" si="78"/>
        <v>0</v>
      </c>
      <c r="L71" s="13">
        <f t="shared" si="79"/>
        <v>0</v>
      </c>
      <c r="M71" s="13">
        <f t="shared" si="80"/>
        <v>0</v>
      </c>
      <c r="N71" s="13">
        <f t="shared" si="81"/>
        <v>0</v>
      </c>
      <c r="O71" s="13">
        <f t="shared" si="82"/>
        <v>0</v>
      </c>
      <c r="P71" s="13">
        <f t="shared" si="83"/>
        <v>0</v>
      </c>
      <c r="Q71" s="13">
        <f t="shared" si="84"/>
        <v>0</v>
      </c>
      <c r="R71" s="13">
        <f t="shared" si="85"/>
        <v>0</v>
      </c>
      <c r="S71" s="13">
        <f t="shared" si="86"/>
        <v>0</v>
      </c>
      <c r="T71" s="13">
        <f t="shared" si="87"/>
        <v>0</v>
      </c>
      <c r="U71" s="13">
        <f t="shared" si="88"/>
        <v>0</v>
      </c>
      <c r="V71" s="13">
        <f t="shared" si="89"/>
        <v>0</v>
      </c>
      <c r="W71" s="13">
        <f t="shared" si="90"/>
        <v>0</v>
      </c>
      <c r="X71" s="13">
        <f t="shared" si="91"/>
        <v>0</v>
      </c>
      <c r="Y71" s="13">
        <f t="shared" si="92"/>
        <v>0</v>
      </c>
      <c r="Z71" s="13">
        <f t="shared" si="93"/>
        <v>0</v>
      </c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</row>
    <row r="72" spans="1:341" s="14" customFormat="1">
      <c r="A72" s="15" t="s">
        <v>68</v>
      </c>
      <c r="B72" s="13">
        <f t="shared" si="69"/>
        <v>0</v>
      </c>
      <c r="C72" s="13">
        <f t="shared" si="70"/>
        <v>0</v>
      </c>
      <c r="D72" s="13">
        <f t="shared" si="71"/>
        <v>0</v>
      </c>
      <c r="E72" s="13">
        <f t="shared" si="72"/>
        <v>0</v>
      </c>
      <c r="F72" s="13">
        <f t="shared" si="73"/>
        <v>0</v>
      </c>
      <c r="G72" s="13">
        <f t="shared" si="74"/>
        <v>0</v>
      </c>
      <c r="H72" s="13">
        <f t="shared" si="75"/>
        <v>0</v>
      </c>
      <c r="I72" s="13">
        <f t="shared" si="76"/>
        <v>0</v>
      </c>
      <c r="J72" s="13">
        <f t="shared" si="77"/>
        <v>0</v>
      </c>
      <c r="K72" s="13">
        <f t="shared" si="78"/>
        <v>0</v>
      </c>
      <c r="L72" s="13">
        <f t="shared" si="79"/>
        <v>0</v>
      </c>
      <c r="M72" s="13">
        <f t="shared" si="80"/>
        <v>0</v>
      </c>
      <c r="N72" s="13">
        <f t="shared" si="81"/>
        <v>0</v>
      </c>
      <c r="O72" s="13">
        <f t="shared" si="82"/>
        <v>0</v>
      </c>
      <c r="P72" s="13">
        <f t="shared" si="83"/>
        <v>0</v>
      </c>
      <c r="Q72" s="13">
        <f t="shared" si="84"/>
        <v>0</v>
      </c>
      <c r="R72" s="13">
        <f t="shared" si="85"/>
        <v>0</v>
      </c>
      <c r="S72" s="13">
        <f t="shared" si="86"/>
        <v>0</v>
      </c>
      <c r="T72" s="13">
        <f t="shared" si="87"/>
        <v>0</v>
      </c>
      <c r="U72" s="13">
        <f t="shared" si="88"/>
        <v>0</v>
      </c>
      <c r="V72" s="13">
        <f t="shared" si="89"/>
        <v>0</v>
      </c>
      <c r="W72" s="13">
        <f t="shared" si="90"/>
        <v>0</v>
      </c>
      <c r="X72" s="13">
        <f t="shared" si="91"/>
        <v>0</v>
      </c>
      <c r="Y72" s="13">
        <f t="shared" si="92"/>
        <v>0</v>
      </c>
      <c r="Z72" s="13">
        <f t="shared" si="93"/>
        <v>0</v>
      </c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</row>
    <row r="73" spans="1:341" s="14" customFormat="1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</row>
    <row r="74" spans="1:341" s="14" customFormat="1">
      <c r="A74" s="12" t="s">
        <v>69</v>
      </c>
      <c r="B74" s="13">
        <f t="shared" ref="B74:Z74" si="94">SUM(B75:B162)</f>
        <v>0</v>
      </c>
      <c r="C74" s="13">
        <f t="shared" si="94"/>
        <v>0</v>
      </c>
      <c r="D74" s="13">
        <f t="shared" si="94"/>
        <v>0</v>
      </c>
      <c r="E74" s="13">
        <f t="shared" si="94"/>
        <v>0</v>
      </c>
      <c r="F74" s="13">
        <f t="shared" si="94"/>
        <v>0</v>
      </c>
      <c r="G74" s="13">
        <f t="shared" si="94"/>
        <v>6.8758846042352921</v>
      </c>
      <c r="H74" s="13">
        <f t="shared" si="94"/>
        <v>7.4234665992941169</v>
      </c>
      <c r="I74" s="13">
        <f t="shared" si="94"/>
        <v>1.1597464463529412</v>
      </c>
      <c r="J74" s="13">
        <f t="shared" si="94"/>
        <v>2.8825504696470583</v>
      </c>
      <c r="K74" s="13">
        <f t="shared" si="94"/>
        <v>2.5292922150588231</v>
      </c>
      <c r="L74" s="13">
        <f t="shared" si="94"/>
        <v>1.6070685729411762</v>
      </c>
      <c r="M74" s="13">
        <f t="shared" si="94"/>
        <v>4.9448086437647056</v>
      </c>
      <c r="N74" s="13">
        <f t="shared" si="94"/>
        <v>24.187412287294116</v>
      </c>
      <c r="O74" s="13">
        <f t="shared" si="94"/>
        <v>102.62578810894118</v>
      </c>
      <c r="P74" s="13">
        <f t="shared" si="94"/>
        <v>130.72549666070586</v>
      </c>
      <c r="Q74" s="13">
        <f t="shared" si="94"/>
        <v>31.565633703058815</v>
      </c>
      <c r="R74" s="13">
        <f t="shared" si="94"/>
        <v>1.1421671075294106</v>
      </c>
      <c r="S74" s="13">
        <f t="shared" si="94"/>
        <v>2.40762013552941</v>
      </c>
      <c r="T74" s="13">
        <f t="shared" si="94"/>
        <v>0</v>
      </c>
      <c r="U74" s="13">
        <f t="shared" si="94"/>
        <v>93.88360949482346</v>
      </c>
      <c r="V74" s="13">
        <f t="shared" si="94"/>
        <v>58.140694844235263</v>
      </c>
      <c r="W74" s="13">
        <f t="shared" si="94"/>
        <v>83.793964622117613</v>
      </c>
      <c r="X74" s="13">
        <f t="shared" si="94"/>
        <v>134.30023729959183</v>
      </c>
      <c r="Y74" s="13">
        <f t="shared" si="94"/>
        <v>4.7089226177142853</v>
      </c>
      <c r="Z74" s="13">
        <f t="shared" si="94"/>
        <v>0.8998212000000001</v>
      </c>
      <c r="AB74" s="13">
        <f t="shared" ref="AB74:CM74" si="95">SUM(AB75:AB162)</f>
        <v>0</v>
      </c>
      <c r="AC74" s="13">
        <f t="shared" si="95"/>
        <v>0</v>
      </c>
      <c r="AD74" s="13">
        <f t="shared" si="95"/>
        <v>0</v>
      </c>
      <c r="AE74" s="13">
        <f t="shared" si="95"/>
        <v>0</v>
      </c>
      <c r="AF74" s="13">
        <f t="shared" si="95"/>
        <v>0</v>
      </c>
      <c r="AG74" s="13">
        <f t="shared" si="95"/>
        <v>0</v>
      </c>
      <c r="AH74" s="13">
        <f t="shared" si="95"/>
        <v>0</v>
      </c>
      <c r="AI74" s="13">
        <f t="shared" si="95"/>
        <v>0</v>
      </c>
      <c r="AJ74" s="13">
        <f t="shared" si="95"/>
        <v>0</v>
      </c>
      <c r="AK74" s="13">
        <f t="shared" si="95"/>
        <v>0</v>
      </c>
      <c r="AL74" s="13">
        <f t="shared" si="95"/>
        <v>0</v>
      </c>
      <c r="AM74" s="13">
        <f t="shared" si="95"/>
        <v>0</v>
      </c>
      <c r="AN74" s="13">
        <f t="shared" si="95"/>
        <v>0</v>
      </c>
      <c r="AO74" s="13">
        <f t="shared" si="95"/>
        <v>0</v>
      </c>
      <c r="AP74" s="13">
        <f t="shared" si="95"/>
        <v>0</v>
      </c>
      <c r="AQ74" s="13">
        <f t="shared" si="95"/>
        <v>0</v>
      </c>
      <c r="AR74" s="13">
        <f t="shared" si="95"/>
        <v>0</v>
      </c>
      <c r="AS74" s="13">
        <f t="shared" si="95"/>
        <v>0</v>
      </c>
      <c r="AT74" s="13">
        <f t="shared" si="95"/>
        <v>0</v>
      </c>
      <c r="AU74" s="13">
        <f t="shared" si="95"/>
        <v>0</v>
      </c>
      <c r="AV74" s="13">
        <f t="shared" si="95"/>
        <v>0</v>
      </c>
      <c r="AW74" s="13">
        <f t="shared" si="95"/>
        <v>0</v>
      </c>
      <c r="AX74" s="13">
        <f t="shared" si="95"/>
        <v>0</v>
      </c>
      <c r="AY74" s="13">
        <f t="shared" si="95"/>
        <v>0</v>
      </c>
      <c r="AZ74" s="13">
        <f t="shared" si="95"/>
        <v>0</v>
      </c>
      <c r="BA74" s="13">
        <f t="shared" si="95"/>
        <v>0</v>
      </c>
      <c r="BB74" s="13">
        <f t="shared" si="95"/>
        <v>0</v>
      </c>
      <c r="BC74" s="13">
        <f t="shared" si="95"/>
        <v>0</v>
      </c>
      <c r="BD74" s="13">
        <f t="shared" si="95"/>
        <v>0</v>
      </c>
      <c r="BE74" s="13">
        <f t="shared" si="95"/>
        <v>0</v>
      </c>
      <c r="BF74" s="13">
        <f t="shared" si="95"/>
        <v>0</v>
      </c>
      <c r="BG74" s="13">
        <f t="shared" si="95"/>
        <v>0</v>
      </c>
      <c r="BH74" s="13">
        <f t="shared" si="95"/>
        <v>0</v>
      </c>
      <c r="BI74" s="13">
        <f t="shared" si="95"/>
        <v>0</v>
      </c>
      <c r="BJ74" s="13">
        <f t="shared" si="95"/>
        <v>0</v>
      </c>
      <c r="BK74" s="13">
        <f t="shared" si="95"/>
        <v>0</v>
      </c>
      <c r="BL74" s="13">
        <f t="shared" si="95"/>
        <v>0</v>
      </c>
      <c r="BM74" s="13">
        <f t="shared" si="95"/>
        <v>0</v>
      </c>
      <c r="BN74" s="13">
        <f t="shared" si="95"/>
        <v>0</v>
      </c>
      <c r="BO74" s="13">
        <f t="shared" si="95"/>
        <v>0</v>
      </c>
      <c r="BP74" s="13">
        <f t="shared" si="95"/>
        <v>0</v>
      </c>
      <c r="BQ74" s="13">
        <f t="shared" si="95"/>
        <v>0</v>
      </c>
      <c r="BR74" s="13">
        <f t="shared" si="95"/>
        <v>0</v>
      </c>
      <c r="BS74" s="13">
        <f t="shared" si="95"/>
        <v>0</v>
      </c>
      <c r="BT74" s="13">
        <f t="shared" si="95"/>
        <v>0</v>
      </c>
      <c r="BU74" s="13">
        <f t="shared" si="95"/>
        <v>0</v>
      </c>
      <c r="BV74" s="13">
        <f t="shared" si="95"/>
        <v>0</v>
      </c>
      <c r="BW74" s="13">
        <f t="shared" si="95"/>
        <v>0</v>
      </c>
      <c r="BX74" s="13">
        <f t="shared" si="95"/>
        <v>0</v>
      </c>
      <c r="BY74" s="13">
        <f t="shared" si="95"/>
        <v>0</v>
      </c>
      <c r="BZ74" s="13">
        <f t="shared" si="95"/>
        <v>0</v>
      </c>
      <c r="CA74" s="13">
        <f t="shared" si="95"/>
        <v>0</v>
      </c>
      <c r="CB74" s="13">
        <f t="shared" si="95"/>
        <v>0</v>
      </c>
      <c r="CC74" s="13">
        <f t="shared" si="95"/>
        <v>0</v>
      </c>
      <c r="CD74" s="13">
        <f t="shared" si="95"/>
        <v>0</v>
      </c>
      <c r="CE74" s="13">
        <f t="shared" si="95"/>
        <v>0</v>
      </c>
      <c r="CF74" s="13">
        <f t="shared" si="95"/>
        <v>0</v>
      </c>
      <c r="CG74" s="13">
        <f t="shared" si="95"/>
        <v>0</v>
      </c>
      <c r="CH74" s="13">
        <f t="shared" si="95"/>
        <v>0</v>
      </c>
      <c r="CI74" s="13">
        <f t="shared" si="95"/>
        <v>0</v>
      </c>
      <c r="CJ74" s="13">
        <f t="shared" si="95"/>
        <v>948.50619458823508</v>
      </c>
      <c r="CK74" s="13">
        <f t="shared" si="95"/>
        <v>524.26775717647047</v>
      </c>
      <c r="CL74" s="13">
        <f t="shared" si="95"/>
        <v>208.12784423529408</v>
      </c>
      <c r="CM74" s="13">
        <f t="shared" si="95"/>
        <v>21.124025176470582</v>
      </c>
      <c r="CN74" s="13">
        <f t="shared" ref="CN74:EY74" si="96">SUM(CN75:CN162)</f>
        <v>905.0189449411763</v>
      </c>
      <c r="CO74" s="13">
        <f t="shared" si="96"/>
        <v>985.65335482352918</v>
      </c>
      <c r="CP74" s="13">
        <f t="shared" si="96"/>
        <v>844.96100705882338</v>
      </c>
      <c r="CQ74" s="13">
        <f t="shared" si="96"/>
        <v>1296.548284705882</v>
      </c>
      <c r="CR74" s="13">
        <f t="shared" si="96"/>
        <v>13.371824941176468</v>
      </c>
      <c r="CS74" s="13">
        <f t="shared" si="96"/>
        <v>811.87726776470572</v>
      </c>
      <c r="CT74" s="13">
        <f t="shared" si="96"/>
        <v>164.64059458823527</v>
      </c>
      <c r="CU74" s="13">
        <f t="shared" si="96"/>
        <v>151.78750423529411</v>
      </c>
      <c r="CV74" s="13">
        <f t="shared" si="96"/>
        <v>674.41260188235287</v>
      </c>
      <c r="CW74" s="13">
        <f t="shared" si="96"/>
        <v>1087.4117898823529</v>
      </c>
      <c r="CX74" s="13">
        <f t="shared" si="96"/>
        <v>1196.7783322352939</v>
      </c>
      <c r="CY74" s="13">
        <f t="shared" si="96"/>
        <v>5.6484432941176452</v>
      </c>
      <c r="CZ74" s="13">
        <f t="shared" si="96"/>
        <v>1280.8997912941174</v>
      </c>
      <c r="DA74" s="13">
        <f t="shared" si="96"/>
        <v>316.68746611764698</v>
      </c>
      <c r="DB74" s="13">
        <f t="shared" si="96"/>
        <v>1550.8146887058822</v>
      </c>
      <c r="DC74" s="13">
        <f t="shared" si="96"/>
        <v>983.26141199999984</v>
      </c>
      <c r="DD74" s="13">
        <f t="shared" si="96"/>
        <v>5.8213548235294104</v>
      </c>
      <c r="DE74" s="13">
        <f t="shared" si="96"/>
        <v>304.41074752941171</v>
      </c>
      <c r="DF74" s="13">
        <f t="shared" si="96"/>
        <v>8.2997534117647049</v>
      </c>
      <c r="DG74" s="13">
        <f t="shared" si="96"/>
        <v>9.0202181176470564</v>
      </c>
      <c r="DH74" s="13">
        <f t="shared" si="96"/>
        <v>8.6455764705882329E-2</v>
      </c>
      <c r="DI74" s="13">
        <f t="shared" si="96"/>
        <v>6.4265451764705874</v>
      </c>
      <c r="DJ74" s="13">
        <f t="shared" si="96"/>
        <v>22.363224470588229</v>
      </c>
      <c r="DK74" s="13">
        <f t="shared" si="96"/>
        <v>5.8789919999999984</v>
      </c>
      <c r="DL74" s="13">
        <f t="shared" si="96"/>
        <v>6.0519035294117636</v>
      </c>
      <c r="DM74" s="13">
        <f t="shared" si="96"/>
        <v>23.861791058823528</v>
      </c>
      <c r="DN74" s="13">
        <f t="shared" si="96"/>
        <v>5.8213548235294104</v>
      </c>
      <c r="DO74" s="13">
        <f t="shared" si="96"/>
        <v>1.3544736470588234</v>
      </c>
      <c r="DP74" s="13">
        <f t="shared" si="96"/>
        <v>5.475531764705881</v>
      </c>
      <c r="DQ74" s="13">
        <f t="shared" si="96"/>
        <v>409.33922729411762</v>
      </c>
      <c r="DR74" s="13">
        <f t="shared" si="96"/>
        <v>672.68348658823516</v>
      </c>
      <c r="DS74" s="13">
        <f t="shared" si="96"/>
        <v>0.40346023529411756</v>
      </c>
      <c r="DT74" s="13">
        <f t="shared" si="96"/>
        <v>5.9942663529411746</v>
      </c>
      <c r="DU74" s="13">
        <f t="shared" si="96"/>
        <v>404.81470894117638</v>
      </c>
      <c r="DV74" s="13">
        <f t="shared" si="96"/>
        <v>587.58219552941159</v>
      </c>
      <c r="DW74" s="13">
        <f t="shared" si="96"/>
        <v>10.835789176470588</v>
      </c>
      <c r="DX74" s="13">
        <f t="shared" si="96"/>
        <v>545.85287976470579</v>
      </c>
      <c r="DY74" s="13">
        <f t="shared" si="96"/>
        <v>322.42236517647052</v>
      </c>
      <c r="DZ74" s="13">
        <f t="shared" si="96"/>
        <v>631.78990988235284</v>
      </c>
      <c r="EA74" s="13">
        <f t="shared" si="96"/>
        <v>16.714781176470584</v>
      </c>
      <c r="EB74" s="13">
        <f t="shared" si="96"/>
        <v>2.8818588235294113E-2</v>
      </c>
      <c r="EC74" s="13">
        <f t="shared" si="96"/>
        <v>15.907860705882349</v>
      </c>
      <c r="ED74" s="13">
        <f t="shared" si="96"/>
        <v>0.5475531764705881</v>
      </c>
      <c r="EE74" s="13">
        <f t="shared" si="96"/>
        <v>340.05934117647058</v>
      </c>
      <c r="EF74" s="13">
        <f t="shared" si="96"/>
        <v>501.73162117647047</v>
      </c>
      <c r="EG74" s="13">
        <f t="shared" si="96"/>
        <v>10.115324470588234</v>
      </c>
      <c r="EH74" s="13">
        <f t="shared" si="96"/>
        <v>25.100990352941171</v>
      </c>
      <c r="EI74" s="13">
        <f t="shared" si="96"/>
        <v>24.755167294117641</v>
      </c>
      <c r="EJ74" s="13">
        <f t="shared" si="96"/>
        <v>33.487199529411761</v>
      </c>
      <c r="EK74" s="13">
        <f t="shared" si="96"/>
        <v>31.23934964705882</v>
      </c>
      <c r="EL74" s="13">
        <f t="shared" si="96"/>
        <v>33.314287999999991</v>
      </c>
      <c r="EM74" s="13">
        <f t="shared" si="96"/>
        <v>270.11662752941174</v>
      </c>
      <c r="EN74" s="13">
        <f t="shared" si="96"/>
        <v>497.49528870588227</v>
      </c>
      <c r="EO74" s="13">
        <f t="shared" si="96"/>
        <v>5.7637176470588223</v>
      </c>
      <c r="EP74" s="13">
        <f t="shared" si="96"/>
        <v>1086.6625065882351</v>
      </c>
      <c r="EQ74" s="13">
        <f t="shared" si="96"/>
        <v>9.5101341176470573</v>
      </c>
      <c r="ER74" s="13">
        <f t="shared" si="96"/>
        <v>287.86887788235288</v>
      </c>
      <c r="ES74" s="13">
        <f t="shared" si="96"/>
        <v>303.22918541176466</v>
      </c>
      <c r="ET74" s="13">
        <f t="shared" si="96"/>
        <v>7.0317355294117636</v>
      </c>
      <c r="EU74" s="13">
        <f t="shared" si="96"/>
        <v>412.42281623529408</v>
      </c>
      <c r="EV74" s="13">
        <f t="shared" si="96"/>
        <v>22.449680235294117</v>
      </c>
      <c r="EW74" s="13">
        <f t="shared" si="96"/>
        <v>11.613891058823526</v>
      </c>
      <c r="EX74" s="13">
        <f t="shared" si="96"/>
        <v>32.82437199999999</v>
      </c>
      <c r="EY74" s="13">
        <f t="shared" si="96"/>
        <v>1.1527435294117645</v>
      </c>
      <c r="EZ74" s="13">
        <f t="shared" ref="EZ74:HK74" si="97">SUM(EZ75:EZ162)</f>
        <v>267.11949435294116</v>
      </c>
      <c r="FA74" s="13">
        <f t="shared" si="97"/>
        <v>234.23748517647056</v>
      </c>
      <c r="FB74" s="13">
        <f t="shared" si="97"/>
        <v>13.054820470588233</v>
      </c>
      <c r="FC74" s="13">
        <f t="shared" si="97"/>
        <v>14.063471058823527</v>
      </c>
      <c r="FD74" s="13">
        <f t="shared" si="97"/>
        <v>447.81204258823522</v>
      </c>
      <c r="FE74" s="13">
        <f t="shared" si="97"/>
        <v>781.61775011764701</v>
      </c>
      <c r="FF74" s="13">
        <f t="shared" si="97"/>
        <v>339.13714635294116</v>
      </c>
      <c r="FG74" s="13">
        <f t="shared" si="97"/>
        <v>293.51732117647055</v>
      </c>
      <c r="FH74" s="13">
        <f t="shared" si="97"/>
        <v>61.988783294117638</v>
      </c>
      <c r="FI74" s="13">
        <f t="shared" si="97"/>
        <v>637.38071599999989</v>
      </c>
      <c r="FJ74" s="13">
        <f t="shared" si="97"/>
        <v>220.11637694117644</v>
      </c>
      <c r="FK74" s="13">
        <f t="shared" si="97"/>
        <v>1329.372656705882</v>
      </c>
      <c r="FL74" s="13">
        <f t="shared" si="97"/>
        <v>234.43921529411762</v>
      </c>
      <c r="FM74" s="13">
        <f t="shared" si="97"/>
        <v>45.129909176470584</v>
      </c>
      <c r="FN74" s="13">
        <f t="shared" si="97"/>
        <v>393.28727364705878</v>
      </c>
      <c r="FO74" s="13">
        <f t="shared" si="97"/>
        <v>161.00945247058823</v>
      </c>
      <c r="FP74" s="13">
        <f t="shared" si="97"/>
        <v>432.3652792941175</v>
      </c>
      <c r="FQ74" s="13">
        <f t="shared" si="97"/>
        <v>270.4912691764705</v>
      </c>
      <c r="FR74" s="13">
        <f t="shared" si="97"/>
        <v>844.93218847058802</v>
      </c>
      <c r="FS74" s="13">
        <f t="shared" si="97"/>
        <v>20.518834823529406</v>
      </c>
      <c r="FT74" s="13">
        <f t="shared" si="97"/>
        <v>633.20202070588232</v>
      </c>
      <c r="FU74" s="13">
        <f t="shared" si="97"/>
        <v>3506.2711748235288</v>
      </c>
      <c r="FV74" s="13">
        <f t="shared" si="97"/>
        <v>532.79805929411759</v>
      </c>
      <c r="FW74" s="13">
        <f t="shared" si="97"/>
        <v>2724.2499644705877</v>
      </c>
      <c r="FX74" s="13">
        <f t="shared" si="97"/>
        <v>2646.3821390588228</v>
      </c>
      <c r="FY74" s="13">
        <f t="shared" si="97"/>
        <v>985.99917788235291</v>
      </c>
      <c r="FZ74" s="13">
        <f t="shared" si="97"/>
        <v>6884.5013621176467</v>
      </c>
      <c r="GA74" s="13">
        <f t="shared" si="97"/>
        <v>4705.7008171764701</v>
      </c>
      <c r="GB74" s="13">
        <f t="shared" si="97"/>
        <v>6594.7592759999989</v>
      </c>
      <c r="GC74" s="13">
        <f t="shared" si="97"/>
        <v>5103.9737065882346</v>
      </c>
      <c r="GD74" s="13">
        <f t="shared" si="97"/>
        <v>3089.6120261176466</v>
      </c>
      <c r="GE74" s="13">
        <f t="shared" si="97"/>
        <v>5989.3095557647048</v>
      </c>
      <c r="GF74" s="13">
        <f t="shared" si="97"/>
        <v>2750.5901541176468</v>
      </c>
      <c r="GG74" s="13">
        <f t="shared" si="97"/>
        <v>13357.213916941175</v>
      </c>
      <c r="GH74" s="13">
        <f t="shared" si="97"/>
        <v>7277.0105338823523</v>
      </c>
      <c r="GI74" s="13">
        <f t="shared" si="97"/>
        <v>14660.563388470586</v>
      </c>
      <c r="GJ74" s="13">
        <f t="shared" si="97"/>
        <v>11352.333551999998</v>
      </c>
      <c r="GK74" s="13">
        <f t="shared" si="97"/>
        <v>13023.869306823528</v>
      </c>
      <c r="GL74" s="13">
        <f t="shared" si="97"/>
        <v>4573.6252272941174</v>
      </c>
      <c r="GM74" s="13">
        <f t="shared" si="97"/>
        <v>14852.927464941175</v>
      </c>
      <c r="GN74" s="13">
        <f t="shared" si="97"/>
        <v>9569.6445023529413</v>
      </c>
      <c r="GO74" s="13">
        <f t="shared" si="97"/>
        <v>22125.557573411756</v>
      </c>
      <c r="GP74" s="13">
        <f t="shared" si="97"/>
        <v>3031.0238362352939</v>
      </c>
      <c r="GQ74" s="13">
        <f t="shared" si="97"/>
        <v>15187.626548705881</v>
      </c>
      <c r="GR74" s="13">
        <f t="shared" si="97"/>
        <v>7325.3969435294093</v>
      </c>
      <c r="GS74" s="13">
        <f t="shared" si="97"/>
        <v>7159.142507999999</v>
      </c>
      <c r="GT74" s="13">
        <f t="shared" si="97"/>
        <v>12502.022311058821</v>
      </c>
      <c r="GU74" s="13">
        <f t="shared" si="97"/>
        <v>20158.458377647054</v>
      </c>
      <c r="GV74" s="13">
        <f t="shared" si="97"/>
        <v>5570.2584642352922</v>
      </c>
      <c r="GW74" s="13">
        <f t="shared" si="97"/>
        <v>13836.553495058819</v>
      </c>
      <c r="GX74" s="13">
        <f t="shared" si="97"/>
        <v>11529.596688235291</v>
      </c>
      <c r="GY74" s="13">
        <f t="shared" si="97"/>
        <v>2730.2154122352936</v>
      </c>
      <c r="GZ74" s="13">
        <f t="shared" si="97"/>
        <v>3869.8176654117638</v>
      </c>
      <c r="HA74" s="13">
        <f t="shared" si="97"/>
        <v>4588.4668002352937</v>
      </c>
      <c r="HB74" s="13">
        <f t="shared" si="97"/>
        <v>2965.6056409411758</v>
      </c>
      <c r="HC74" s="13">
        <f t="shared" si="97"/>
        <v>98.127292941176449</v>
      </c>
      <c r="HD74" s="13">
        <f t="shared" si="97"/>
        <v>3988.9537091764705</v>
      </c>
      <c r="HE74" s="13">
        <f t="shared" si="97"/>
        <v>3341.7746731764696</v>
      </c>
      <c r="HF74" s="13">
        <f t="shared" si="97"/>
        <v>170.92304682352935</v>
      </c>
      <c r="HG74" s="13">
        <f t="shared" si="97"/>
        <v>1232.5710188235291</v>
      </c>
      <c r="HH74" s="13">
        <f t="shared" si="97"/>
        <v>2815.1437917647049</v>
      </c>
      <c r="HI74" s="13">
        <f t="shared" si="97"/>
        <v>2246.1495856470588</v>
      </c>
      <c r="HJ74" s="13">
        <f t="shared" si="97"/>
        <v>1079.6884082352938</v>
      </c>
      <c r="HK74" s="13">
        <f t="shared" si="97"/>
        <v>5168.4120698823526</v>
      </c>
      <c r="HL74" s="13">
        <f t="shared" ref="HL74:JW74" si="98">SUM(HL75:HL162)</f>
        <v>563.83567882352895</v>
      </c>
      <c r="HM74" s="13">
        <f t="shared" si="98"/>
        <v>22.593773176470577</v>
      </c>
      <c r="HN74" s="13">
        <f t="shared" si="98"/>
        <v>97.118642352941094</v>
      </c>
      <c r="HO74" s="13">
        <f t="shared" si="98"/>
        <v>146.19669811764669</v>
      </c>
      <c r="HP74" s="13">
        <f t="shared" si="98"/>
        <v>226.39882917647026</v>
      </c>
      <c r="HQ74" s="13">
        <f t="shared" si="98"/>
        <v>72.766935294117658</v>
      </c>
      <c r="HR74" s="13">
        <f t="shared" si="98"/>
        <v>0</v>
      </c>
      <c r="HS74" s="13">
        <f t="shared" si="98"/>
        <v>0</v>
      </c>
      <c r="HT74" s="13">
        <f t="shared" si="98"/>
        <v>3.31413764705882</v>
      </c>
      <c r="HU74" s="13">
        <f t="shared" si="98"/>
        <v>3.31413764705882</v>
      </c>
      <c r="HV74" s="13">
        <f t="shared" si="98"/>
        <v>3.31413764705882</v>
      </c>
      <c r="HW74" s="13">
        <f t="shared" si="98"/>
        <v>3.31413764705882</v>
      </c>
      <c r="HX74" s="13">
        <f t="shared" si="98"/>
        <v>219.79937247058805</v>
      </c>
      <c r="HY74" s="13">
        <f t="shared" si="98"/>
        <v>64.178995999999998</v>
      </c>
      <c r="HZ74" s="13">
        <f t="shared" si="98"/>
        <v>333.3446101176466</v>
      </c>
      <c r="IA74" s="13">
        <f t="shared" si="98"/>
        <v>85.101291058823506</v>
      </c>
      <c r="IB74" s="13">
        <f t="shared" si="98"/>
        <v>101.47024917647053</v>
      </c>
      <c r="IC74" s="13">
        <f t="shared" si="98"/>
        <v>339.77115529411748</v>
      </c>
      <c r="ID74" s="13">
        <f t="shared" si="98"/>
        <v>114.75561835294151</v>
      </c>
      <c r="IE74" s="13">
        <f t="shared" si="98"/>
        <v>180.49081811764711</v>
      </c>
      <c r="IF74" s="13">
        <f t="shared" si="98"/>
        <v>314.5548905882352</v>
      </c>
      <c r="IG74" s="13">
        <f t="shared" si="98"/>
        <v>297.58074211764665</v>
      </c>
      <c r="IH74" s="13">
        <f t="shared" si="98"/>
        <v>274.52587152941157</v>
      </c>
      <c r="II74" s="13">
        <f t="shared" si="98"/>
        <v>82.046520705882287</v>
      </c>
      <c r="IJ74" s="13">
        <f t="shared" si="98"/>
        <v>0</v>
      </c>
      <c r="IK74" s="13">
        <f t="shared" si="98"/>
        <v>0</v>
      </c>
      <c r="IL74" s="13">
        <f t="shared" si="98"/>
        <v>0</v>
      </c>
      <c r="IM74" s="13">
        <f t="shared" si="98"/>
        <v>0</v>
      </c>
      <c r="IN74" s="13">
        <f t="shared" si="98"/>
        <v>0</v>
      </c>
      <c r="IO74" s="13">
        <f t="shared" si="98"/>
        <v>0</v>
      </c>
      <c r="IP74" s="13">
        <f t="shared" si="98"/>
        <v>0</v>
      </c>
      <c r="IQ74" s="13">
        <f t="shared" si="98"/>
        <v>0</v>
      </c>
      <c r="IR74" s="13">
        <f t="shared" si="98"/>
        <v>0</v>
      </c>
      <c r="IS74" s="13">
        <f t="shared" si="98"/>
        <v>0</v>
      </c>
      <c r="IT74" s="13">
        <f t="shared" si="98"/>
        <v>0</v>
      </c>
      <c r="IU74" s="13">
        <f t="shared" si="98"/>
        <v>0</v>
      </c>
      <c r="IV74" s="13">
        <f t="shared" si="98"/>
        <v>0</v>
      </c>
      <c r="IW74" s="13">
        <f t="shared" si="98"/>
        <v>0</v>
      </c>
      <c r="IX74" s="13">
        <f t="shared" si="98"/>
        <v>2946.2903999999999</v>
      </c>
      <c r="IY74" s="13">
        <f t="shared" si="98"/>
        <v>4501.3770265882331</v>
      </c>
      <c r="IZ74" s="13">
        <f t="shared" si="98"/>
        <v>10723.511956705875</v>
      </c>
      <c r="JA74" s="13">
        <f t="shared" si="98"/>
        <v>12017.985303058815</v>
      </c>
      <c r="JB74" s="13">
        <f t="shared" si="98"/>
        <v>8235.2862298823475</v>
      </c>
      <c r="JC74" s="13">
        <f t="shared" si="98"/>
        <v>7742.9494684705842</v>
      </c>
      <c r="JD74" s="13">
        <f t="shared" si="98"/>
        <v>6618.3040625882313</v>
      </c>
      <c r="JE74" s="13">
        <f t="shared" si="98"/>
        <v>15085.032374588225</v>
      </c>
      <c r="JF74" s="13">
        <f t="shared" si="98"/>
        <v>5801.2439999999997</v>
      </c>
      <c r="JG74" s="13">
        <f t="shared" si="98"/>
        <v>20211.628672941162</v>
      </c>
      <c r="JH74" s="13">
        <f t="shared" si="98"/>
        <v>1.3256550588235285</v>
      </c>
      <c r="JI74" s="13">
        <f t="shared" si="98"/>
        <v>3455.5216409411742</v>
      </c>
      <c r="JJ74" s="13">
        <f t="shared" si="98"/>
        <v>0</v>
      </c>
      <c r="JK74" s="13">
        <f t="shared" si="98"/>
        <v>1431.6210077647052</v>
      </c>
      <c r="JL74" s="13">
        <f t="shared" si="98"/>
        <v>0</v>
      </c>
      <c r="JM74" s="13">
        <f t="shared" si="98"/>
        <v>4324.574987764704</v>
      </c>
      <c r="JN74" s="13">
        <f t="shared" si="98"/>
        <v>8403.0392319999955</v>
      </c>
      <c r="JO74" s="13">
        <f t="shared" si="98"/>
        <v>11571.643008470581</v>
      </c>
      <c r="JP74" s="13">
        <f t="shared" si="98"/>
        <v>4512.8468247058809</v>
      </c>
      <c r="JQ74" s="13">
        <f t="shared" si="98"/>
        <v>10679.967069882348</v>
      </c>
      <c r="JR74" s="13">
        <f t="shared" si="98"/>
        <v>13725.169651529404</v>
      </c>
      <c r="JS74" s="13">
        <f t="shared" si="98"/>
        <v>34.985766117647039</v>
      </c>
      <c r="JT74" s="13">
        <f t="shared" si="98"/>
        <v>41.959864470588208</v>
      </c>
      <c r="JU74" s="13">
        <f t="shared" si="98"/>
        <v>8676.2682670588183</v>
      </c>
      <c r="JV74" s="13">
        <f t="shared" si="98"/>
        <v>10862.734556470581</v>
      </c>
      <c r="JW74" s="13">
        <f t="shared" si="98"/>
        <v>5227.086715529409</v>
      </c>
      <c r="JX74" s="13">
        <f t="shared" ref="JX74:MC74" si="99">SUM(JX75:JX162)</f>
        <v>5929.3380736470554</v>
      </c>
      <c r="JY74" s="13">
        <f t="shared" si="99"/>
        <v>13666.956103294109</v>
      </c>
      <c r="JZ74" s="13">
        <f t="shared" si="99"/>
        <v>10928.008658823523</v>
      </c>
      <c r="KA74" s="13">
        <f t="shared" si="99"/>
        <v>12450.638768235285</v>
      </c>
      <c r="KB74" s="13">
        <f t="shared" si="99"/>
        <v>8644.3949084705819</v>
      </c>
      <c r="KC74" s="13">
        <f t="shared" si="99"/>
        <v>6178.5324061176425</v>
      </c>
      <c r="KD74" s="13">
        <f t="shared" si="99"/>
        <v>1188.0462999999991</v>
      </c>
      <c r="KE74" s="13">
        <f t="shared" si="99"/>
        <v>0</v>
      </c>
      <c r="KF74" s="13">
        <f t="shared" si="99"/>
        <v>6.0000000000000001E-3</v>
      </c>
      <c r="KG74" s="13">
        <f t="shared" si="99"/>
        <v>0</v>
      </c>
      <c r="KH74" s="13">
        <f t="shared" si="99"/>
        <v>5196.4543115646266</v>
      </c>
      <c r="KI74" s="13">
        <f t="shared" si="99"/>
        <v>13721.584874829929</v>
      </c>
      <c r="KJ74" s="13">
        <f t="shared" si="99"/>
        <v>11317.949178231291</v>
      </c>
      <c r="KK74" s="13">
        <f t="shared" si="99"/>
        <v>20028.117847346937</v>
      </c>
      <c r="KL74" s="13">
        <f t="shared" si="99"/>
        <v>12349.411389931973</v>
      </c>
      <c r="KM74" s="13">
        <f t="shared" si="99"/>
        <v>18320.36220517007</v>
      </c>
      <c r="KN74" s="13">
        <f t="shared" si="99"/>
        <v>15372.950236734694</v>
      </c>
      <c r="KO74" s="13">
        <f t="shared" si="99"/>
        <v>12413.180398367345</v>
      </c>
      <c r="KP74" s="13">
        <f t="shared" si="99"/>
        <v>18672.681477551021</v>
      </c>
      <c r="KQ74" s="13">
        <f t="shared" si="99"/>
        <v>6907.5393798639452</v>
      </c>
      <c r="KR74" s="13">
        <f t="shared" si="99"/>
        <v>0</v>
      </c>
      <c r="KS74" s="13">
        <f t="shared" si="99"/>
        <v>0</v>
      </c>
      <c r="KT74" s="13">
        <f t="shared" si="99"/>
        <v>0</v>
      </c>
      <c r="KU74" s="13">
        <f t="shared" si="99"/>
        <v>0</v>
      </c>
      <c r="KV74" s="13">
        <f t="shared" si="99"/>
        <v>2.7895217142857147</v>
      </c>
      <c r="KW74" s="13">
        <f t="shared" si="99"/>
        <v>0</v>
      </c>
      <c r="KX74" s="13">
        <f t="shared" si="99"/>
        <v>17.996914285714283</v>
      </c>
      <c r="KY74" s="13">
        <f t="shared" si="99"/>
        <v>0</v>
      </c>
      <c r="KZ74" s="13">
        <f t="shared" si="99"/>
        <v>2283.4784794285711</v>
      </c>
      <c r="LA74" s="13">
        <f t="shared" si="99"/>
        <v>1201.2640337142859</v>
      </c>
      <c r="LB74" s="13">
        <f t="shared" si="99"/>
        <v>0.68988171428571421</v>
      </c>
      <c r="LC74" s="13">
        <f t="shared" si="99"/>
        <v>1202.7037868571429</v>
      </c>
      <c r="LD74" s="13">
        <f t="shared" si="99"/>
        <v>0</v>
      </c>
      <c r="LE74" s="13">
        <f t="shared" si="99"/>
        <v>0</v>
      </c>
      <c r="LF74" s="13">
        <f t="shared" si="99"/>
        <v>0</v>
      </c>
      <c r="LG74" s="13">
        <f t="shared" si="99"/>
        <v>0</v>
      </c>
      <c r="LH74" s="13">
        <f t="shared" si="99"/>
        <v>599.86710000000005</v>
      </c>
      <c r="LI74" s="13">
        <f t="shared" si="99"/>
        <v>0</v>
      </c>
      <c r="LJ74" s="13">
        <f t="shared" si="99"/>
        <v>0</v>
      </c>
      <c r="LK74" s="13">
        <f t="shared" si="99"/>
        <v>299.95409999999998</v>
      </c>
      <c r="LL74" s="13">
        <f t="shared" si="99"/>
        <v>0</v>
      </c>
      <c r="LM74" s="13">
        <f t="shared" si="99"/>
        <v>0</v>
      </c>
      <c r="LN74" s="13">
        <f t="shared" si="99"/>
        <v>0</v>
      </c>
      <c r="LO74" s="13">
        <f t="shared" si="99"/>
        <v>0</v>
      </c>
      <c r="LP74" s="13">
        <f t="shared" si="99"/>
        <v>0</v>
      </c>
      <c r="LQ74" s="13">
        <f t="shared" si="99"/>
        <v>0</v>
      </c>
      <c r="LR74" s="13">
        <f t="shared" si="99"/>
        <v>0</v>
      </c>
      <c r="LS74" s="13">
        <f t="shared" si="99"/>
        <v>0</v>
      </c>
      <c r="LT74" s="13">
        <f t="shared" si="99"/>
        <v>0</v>
      </c>
      <c r="LU74" s="13">
        <f t="shared" si="99"/>
        <v>0</v>
      </c>
      <c r="LV74" s="13">
        <f t="shared" si="99"/>
        <v>0</v>
      </c>
      <c r="LW74" s="13">
        <f t="shared" si="99"/>
        <v>0</v>
      </c>
      <c r="LX74" s="13">
        <f t="shared" si="99"/>
        <v>0</v>
      </c>
      <c r="LY74" s="13">
        <f t="shared" si="99"/>
        <v>0</v>
      </c>
      <c r="LZ74" s="13">
        <f t="shared" si="99"/>
        <v>0</v>
      </c>
      <c r="MA74" s="13">
        <f t="shared" si="99"/>
        <v>0</v>
      </c>
      <c r="MB74" s="13">
        <f t="shared" si="99"/>
        <v>0</v>
      </c>
      <c r="MC74" s="13">
        <f t="shared" si="99"/>
        <v>0</v>
      </c>
    </row>
    <row r="75" spans="1:341" s="14" customFormat="1">
      <c r="A75" s="15" t="s">
        <v>70</v>
      </c>
      <c r="B75" s="13">
        <f t="shared" ref="B75:B138" si="100">SUM(AB75:AM75)/1000</f>
        <v>0</v>
      </c>
      <c r="C75" s="13">
        <f t="shared" ref="C75:C138" si="101">SUM(AN75:AY75)/1000</f>
        <v>0</v>
      </c>
      <c r="D75" s="13">
        <f t="shared" ref="D75:D138" si="102">SUM(AZ75:BK75)/1000</f>
        <v>0</v>
      </c>
      <c r="E75" s="13">
        <f t="shared" ref="E75:E138" si="103">SUM(BL75:BW75)/1000</f>
        <v>0</v>
      </c>
      <c r="F75" s="13">
        <f t="shared" ref="F75:F138" si="104">SUM(BX75:CI75)/1000</f>
        <v>0</v>
      </c>
      <c r="G75" s="13">
        <f t="shared" ref="G75:G138" si="105">SUM(CJ75:CU75)/1000</f>
        <v>0</v>
      </c>
      <c r="H75" s="13">
        <f t="shared" ref="H75:H138" si="106">SUM(CV75:DG75)/1000</f>
        <v>0</v>
      </c>
      <c r="I75" s="13">
        <f t="shared" ref="I75:I138" si="107">SUM(DH75:DS75)/1000</f>
        <v>0</v>
      </c>
      <c r="J75" s="13">
        <f t="shared" ref="J75:J138" si="108">SUM(DT75:EE75)/1000</f>
        <v>0</v>
      </c>
      <c r="K75" s="13">
        <f t="shared" ref="K75:K138" si="109">SUM(EF75:EQ75)/1000</f>
        <v>0</v>
      </c>
      <c r="L75" s="13">
        <f t="shared" ref="L75:L138" si="110">SUM(ER75:FC75)/1000</f>
        <v>0</v>
      </c>
      <c r="M75" s="13">
        <f t="shared" ref="M75:M138" si="111">SUM(FD75:FO75)/1000</f>
        <v>0</v>
      </c>
      <c r="N75" s="13">
        <f t="shared" ref="N75:N138" si="112">SUM(FP75:GA75)/1000</f>
        <v>0</v>
      </c>
      <c r="O75" s="13">
        <f t="shared" ref="O75:O138" si="113">SUM(GB75:GM75)/1000</f>
        <v>0</v>
      </c>
      <c r="P75" s="13">
        <f t="shared" ref="P75:P138" si="114">SUM(GN75:GY75)/1000</f>
        <v>0</v>
      </c>
      <c r="Q75" s="13">
        <f t="shared" ref="Q75:Q138" si="115">SUM(GZ75:HK75)/1000</f>
        <v>0</v>
      </c>
      <c r="R75" s="13">
        <f t="shared" ref="R75:R138" si="116">SUM(HL75:HW75)/1000</f>
        <v>0</v>
      </c>
      <c r="S75" s="13">
        <f t="shared" ref="S75:S138" si="117">SUM(HX75:II75)/1000</f>
        <v>0</v>
      </c>
      <c r="T75" s="13">
        <f t="shared" ref="T75:T138" si="118">SUM(IJ75:IU75)/1000</f>
        <v>0</v>
      </c>
      <c r="U75" s="13">
        <f t="shared" ref="U75:U138" si="119">SUM(IV75:JG75)/1000</f>
        <v>0</v>
      </c>
      <c r="V75" s="13">
        <f t="shared" ref="V75:V138" si="120">SUM(JH75:JS75)/1000</f>
        <v>0</v>
      </c>
      <c r="W75" s="13">
        <f t="shared" ref="W75:W138" si="121">SUM(JT75:KE75)/1000</f>
        <v>0</v>
      </c>
      <c r="X75" s="13">
        <f t="shared" ref="X75:X138" si="122">SUM(KF75:KQ75)/1000</f>
        <v>0</v>
      </c>
      <c r="Y75" s="13">
        <f t="shared" ref="Y75:Y138" si="123">SUM(KR75:LC75)/1000</f>
        <v>0</v>
      </c>
      <c r="Z75" s="13">
        <f t="shared" ref="Z75:Z138" si="124">SUM(LD75:LO75)/1000</f>
        <v>0</v>
      </c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</row>
    <row r="76" spans="1:341" s="14" customFormat="1">
      <c r="A76" s="12" t="s">
        <v>71</v>
      </c>
      <c r="B76" s="13">
        <f t="shared" si="100"/>
        <v>0</v>
      </c>
      <c r="C76" s="13">
        <f t="shared" si="101"/>
        <v>0</v>
      </c>
      <c r="D76" s="13">
        <f t="shared" si="102"/>
        <v>0</v>
      </c>
      <c r="E76" s="13">
        <f t="shared" si="103"/>
        <v>0</v>
      </c>
      <c r="F76" s="13">
        <f t="shared" si="104"/>
        <v>0</v>
      </c>
      <c r="G76" s="13">
        <f t="shared" si="105"/>
        <v>0</v>
      </c>
      <c r="H76" s="13">
        <f t="shared" si="106"/>
        <v>0</v>
      </c>
      <c r="I76" s="13">
        <f t="shared" si="107"/>
        <v>0</v>
      </c>
      <c r="J76" s="13">
        <f t="shared" si="108"/>
        <v>0</v>
      </c>
      <c r="K76" s="13">
        <f t="shared" si="109"/>
        <v>0</v>
      </c>
      <c r="L76" s="13">
        <f t="shared" si="110"/>
        <v>0</v>
      </c>
      <c r="M76" s="13">
        <f t="shared" si="111"/>
        <v>0</v>
      </c>
      <c r="N76" s="13">
        <f t="shared" si="112"/>
        <v>0</v>
      </c>
      <c r="O76" s="13">
        <f t="shared" si="113"/>
        <v>0</v>
      </c>
      <c r="P76" s="13">
        <f t="shared" si="114"/>
        <v>0</v>
      </c>
      <c r="Q76" s="13">
        <f t="shared" si="115"/>
        <v>0</v>
      </c>
      <c r="R76" s="13">
        <f t="shared" si="116"/>
        <v>0</v>
      </c>
      <c r="S76" s="13">
        <f t="shared" si="117"/>
        <v>0</v>
      </c>
      <c r="T76" s="13">
        <f t="shared" si="118"/>
        <v>0</v>
      </c>
      <c r="U76" s="13">
        <f t="shared" si="119"/>
        <v>0</v>
      </c>
      <c r="V76" s="13">
        <f t="shared" si="120"/>
        <v>0</v>
      </c>
      <c r="W76" s="13">
        <f t="shared" si="121"/>
        <v>0</v>
      </c>
      <c r="X76" s="13">
        <f t="shared" si="122"/>
        <v>0</v>
      </c>
      <c r="Y76" s="13">
        <f t="shared" si="123"/>
        <v>0</v>
      </c>
      <c r="Z76" s="13">
        <f t="shared" si="124"/>
        <v>0</v>
      </c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</row>
    <row r="77" spans="1:341" s="14" customFormat="1">
      <c r="A77" s="12" t="s">
        <v>72</v>
      </c>
      <c r="B77" s="13">
        <f t="shared" si="100"/>
        <v>0</v>
      </c>
      <c r="C77" s="13">
        <f t="shared" si="101"/>
        <v>0</v>
      </c>
      <c r="D77" s="13">
        <f t="shared" si="102"/>
        <v>0</v>
      </c>
      <c r="E77" s="13">
        <f t="shared" si="103"/>
        <v>0</v>
      </c>
      <c r="F77" s="13">
        <f t="shared" si="104"/>
        <v>0</v>
      </c>
      <c r="G77" s="13">
        <f t="shared" si="105"/>
        <v>0</v>
      </c>
      <c r="H77" s="13">
        <f t="shared" si="106"/>
        <v>0</v>
      </c>
      <c r="I77" s="13">
        <f t="shared" si="107"/>
        <v>0</v>
      </c>
      <c r="J77" s="13">
        <f t="shared" si="108"/>
        <v>0</v>
      </c>
      <c r="K77" s="13">
        <f t="shared" si="109"/>
        <v>0</v>
      </c>
      <c r="L77" s="13">
        <f t="shared" si="110"/>
        <v>0</v>
      </c>
      <c r="M77" s="13">
        <f t="shared" si="111"/>
        <v>0</v>
      </c>
      <c r="N77" s="13">
        <f t="shared" si="112"/>
        <v>0</v>
      </c>
      <c r="O77" s="13">
        <f t="shared" si="113"/>
        <v>0</v>
      </c>
      <c r="P77" s="13">
        <f t="shared" si="114"/>
        <v>0</v>
      </c>
      <c r="Q77" s="13">
        <f t="shared" si="115"/>
        <v>0</v>
      </c>
      <c r="R77" s="13">
        <f t="shared" si="116"/>
        <v>0</v>
      </c>
      <c r="S77" s="13">
        <f t="shared" si="117"/>
        <v>0</v>
      </c>
      <c r="T77" s="13">
        <f t="shared" si="118"/>
        <v>0</v>
      </c>
      <c r="U77" s="13">
        <f t="shared" si="119"/>
        <v>0</v>
      </c>
      <c r="V77" s="13">
        <f t="shared" si="120"/>
        <v>0</v>
      </c>
      <c r="W77" s="13">
        <f t="shared" si="121"/>
        <v>0</v>
      </c>
      <c r="X77" s="13">
        <f t="shared" si="122"/>
        <v>0</v>
      </c>
      <c r="Y77" s="13">
        <f t="shared" si="123"/>
        <v>0</v>
      </c>
      <c r="Z77" s="13">
        <f t="shared" si="124"/>
        <v>0</v>
      </c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</row>
    <row r="78" spans="1:341" s="14" customFormat="1">
      <c r="A78" s="12" t="s">
        <v>73</v>
      </c>
      <c r="B78" s="13">
        <f t="shared" si="100"/>
        <v>0</v>
      </c>
      <c r="C78" s="13">
        <f t="shared" si="101"/>
        <v>0</v>
      </c>
      <c r="D78" s="13">
        <f t="shared" si="102"/>
        <v>0</v>
      </c>
      <c r="E78" s="13">
        <f t="shared" si="103"/>
        <v>0</v>
      </c>
      <c r="F78" s="13">
        <f t="shared" si="104"/>
        <v>0</v>
      </c>
      <c r="G78" s="13">
        <f t="shared" si="105"/>
        <v>0</v>
      </c>
      <c r="H78" s="13">
        <f t="shared" si="106"/>
        <v>0</v>
      </c>
      <c r="I78" s="13">
        <f t="shared" si="107"/>
        <v>0</v>
      </c>
      <c r="J78" s="13">
        <f t="shared" si="108"/>
        <v>0</v>
      </c>
      <c r="K78" s="13">
        <f t="shared" si="109"/>
        <v>0</v>
      </c>
      <c r="L78" s="13">
        <f t="shared" si="110"/>
        <v>0</v>
      </c>
      <c r="M78" s="13">
        <f t="shared" si="111"/>
        <v>0</v>
      </c>
      <c r="N78" s="13">
        <f t="shared" si="112"/>
        <v>0</v>
      </c>
      <c r="O78" s="13">
        <f t="shared" si="113"/>
        <v>0</v>
      </c>
      <c r="P78" s="13">
        <f t="shared" si="114"/>
        <v>0</v>
      </c>
      <c r="Q78" s="13">
        <f t="shared" si="115"/>
        <v>0</v>
      </c>
      <c r="R78" s="13">
        <f t="shared" si="116"/>
        <v>0</v>
      </c>
      <c r="S78" s="13">
        <f t="shared" si="117"/>
        <v>0</v>
      </c>
      <c r="T78" s="13">
        <f t="shared" si="118"/>
        <v>0</v>
      </c>
      <c r="U78" s="13">
        <f t="shared" si="119"/>
        <v>0</v>
      </c>
      <c r="V78" s="13">
        <f t="shared" si="120"/>
        <v>0</v>
      </c>
      <c r="W78" s="13">
        <f t="shared" si="121"/>
        <v>0</v>
      </c>
      <c r="X78" s="13">
        <f t="shared" si="122"/>
        <v>0</v>
      </c>
      <c r="Y78" s="13">
        <f t="shared" si="123"/>
        <v>0</v>
      </c>
      <c r="Z78" s="13">
        <f t="shared" si="124"/>
        <v>0</v>
      </c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</row>
    <row r="79" spans="1:341" s="14" customFormat="1">
      <c r="A79" s="12" t="s">
        <v>74</v>
      </c>
      <c r="B79" s="13">
        <f t="shared" si="100"/>
        <v>0</v>
      </c>
      <c r="C79" s="13">
        <f t="shared" si="101"/>
        <v>0</v>
      </c>
      <c r="D79" s="13">
        <f t="shared" si="102"/>
        <v>0</v>
      </c>
      <c r="E79" s="13">
        <f t="shared" si="103"/>
        <v>0</v>
      </c>
      <c r="F79" s="13">
        <f t="shared" si="104"/>
        <v>0</v>
      </c>
      <c r="G79" s="13">
        <f t="shared" si="105"/>
        <v>2.2075038588235289E-2</v>
      </c>
      <c r="H79" s="13">
        <f t="shared" si="106"/>
        <v>2.417879552941176E-2</v>
      </c>
      <c r="I79" s="13">
        <f t="shared" si="107"/>
        <v>3.0691796470588228E-2</v>
      </c>
      <c r="J79" s="13">
        <f t="shared" si="108"/>
        <v>1.198853270588235E-2</v>
      </c>
      <c r="K79" s="13">
        <f t="shared" si="109"/>
        <v>0</v>
      </c>
      <c r="L79" s="13">
        <f t="shared" si="110"/>
        <v>0</v>
      </c>
      <c r="M79" s="13">
        <f t="shared" si="111"/>
        <v>0</v>
      </c>
      <c r="N79" s="13">
        <f t="shared" si="112"/>
        <v>0</v>
      </c>
      <c r="O79" s="13">
        <f t="shared" si="113"/>
        <v>1.9538714637647054</v>
      </c>
      <c r="P79" s="13">
        <f t="shared" si="114"/>
        <v>1.2899776465882351</v>
      </c>
      <c r="Q79" s="13">
        <f t="shared" si="115"/>
        <v>0</v>
      </c>
      <c r="R79" s="13">
        <f t="shared" si="116"/>
        <v>0</v>
      </c>
      <c r="S79" s="13">
        <f t="shared" si="117"/>
        <v>0</v>
      </c>
      <c r="T79" s="13">
        <f t="shared" si="118"/>
        <v>0</v>
      </c>
      <c r="U79" s="13">
        <f t="shared" si="119"/>
        <v>1.2759465000000001</v>
      </c>
      <c r="V79" s="13">
        <f t="shared" si="120"/>
        <v>0</v>
      </c>
      <c r="W79" s="13">
        <f t="shared" si="121"/>
        <v>0</v>
      </c>
      <c r="X79" s="13">
        <f t="shared" si="122"/>
        <v>2.5201656108843538</v>
      </c>
      <c r="Y79" s="13">
        <f t="shared" si="123"/>
        <v>0</v>
      </c>
      <c r="Z79" s="13">
        <f t="shared" si="124"/>
        <v>0</v>
      </c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>
        <v>5.7348990588235278</v>
      </c>
      <c r="CL79" s="13">
        <v>5.2161644705882351</v>
      </c>
      <c r="CM79" s="13">
        <v>5.5908061176470571</v>
      </c>
      <c r="CN79" s="13">
        <v>5.5331689411764691</v>
      </c>
      <c r="CO79" s="13"/>
      <c r="CP79" s="13"/>
      <c r="CQ79" s="13"/>
      <c r="CR79" s="13"/>
      <c r="CS79" s="13"/>
      <c r="CT79" s="13"/>
      <c r="CU79" s="13"/>
      <c r="CV79" s="13"/>
      <c r="CW79" s="13"/>
      <c r="CX79" s="13">
        <v>4.6686112941176461</v>
      </c>
      <c r="CY79" s="13"/>
      <c r="CZ79" s="13"/>
      <c r="DA79" s="13">
        <v>13.371824941176468</v>
      </c>
      <c r="DB79" s="13">
        <v>6.1383592941176461</v>
      </c>
      <c r="DC79" s="13"/>
      <c r="DD79" s="13"/>
      <c r="DE79" s="13"/>
      <c r="DF79" s="13"/>
      <c r="DG79" s="13"/>
      <c r="DH79" s="13"/>
      <c r="DI79" s="13">
        <v>6.3689079999999993</v>
      </c>
      <c r="DJ79" s="13"/>
      <c r="DK79" s="13"/>
      <c r="DL79" s="13">
        <v>6.0519035294117636</v>
      </c>
      <c r="DM79" s="13">
        <v>18.270984941176469</v>
      </c>
      <c r="DN79" s="13"/>
      <c r="DO79" s="13"/>
      <c r="DP79" s="13"/>
      <c r="DQ79" s="13"/>
      <c r="DR79" s="13"/>
      <c r="DS79" s="13"/>
      <c r="DT79" s="13"/>
      <c r="DU79" s="13"/>
      <c r="DV79" s="13"/>
      <c r="DW79" s="13">
        <v>6.1383592941176461</v>
      </c>
      <c r="DX79" s="13">
        <v>5.8501734117647048</v>
      </c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>
        <v>1953.8714637647054</v>
      </c>
      <c r="GL79" s="13"/>
      <c r="GM79" s="13"/>
      <c r="GN79" s="13"/>
      <c r="GO79" s="13">
        <v>705.2196727058822</v>
      </c>
      <c r="GP79" s="13"/>
      <c r="GQ79" s="13"/>
      <c r="GR79" s="13"/>
      <c r="GS79" s="13"/>
      <c r="GT79" s="13">
        <v>584.75797388235276</v>
      </c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>
        <v>1275.9465</v>
      </c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>
        <v>2520.1656108843536</v>
      </c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</row>
    <row r="80" spans="1:341" s="14" customFormat="1">
      <c r="A80" s="12" t="s">
        <v>75</v>
      </c>
      <c r="B80" s="13">
        <f t="shared" si="100"/>
        <v>0</v>
      </c>
      <c r="C80" s="13">
        <f t="shared" si="101"/>
        <v>0</v>
      </c>
      <c r="D80" s="13">
        <f t="shared" si="102"/>
        <v>0</v>
      </c>
      <c r="E80" s="13">
        <f t="shared" si="103"/>
        <v>0</v>
      </c>
      <c r="F80" s="13">
        <f t="shared" si="104"/>
        <v>0</v>
      </c>
      <c r="G80" s="13">
        <f t="shared" si="105"/>
        <v>0</v>
      </c>
      <c r="H80" s="13">
        <f t="shared" si="106"/>
        <v>0</v>
      </c>
      <c r="I80" s="13">
        <f t="shared" si="107"/>
        <v>0</v>
      </c>
      <c r="J80" s="13">
        <f t="shared" si="108"/>
        <v>0</v>
      </c>
      <c r="K80" s="13">
        <f t="shared" si="109"/>
        <v>0</v>
      </c>
      <c r="L80" s="13">
        <f t="shared" si="110"/>
        <v>0</v>
      </c>
      <c r="M80" s="13">
        <f t="shared" si="111"/>
        <v>0</v>
      </c>
      <c r="N80" s="13">
        <f t="shared" si="112"/>
        <v>0</v>
      </c>
      <c r="O80" s="13">
        <f t="shared" si="113"/>
        <v>0</v>
      </c>
      <c r="P80" s="13">
        <f t="shared" si="114"/>
        <v>0</v>
      </c>
      <c r="Q80" s="13">
        <f t="shared" si="115"/>
        <v>0</v>
      </c>
      <c r="R80" s="13">
        <f t="shared" si="116"/>
        <v>0</v>
      </c>
      <c r="S80" s="13">
        <f t="shared" si="117"/>
        <v>0</v>
      </c>
      <c r="T80" s="13">
        <f t="shared" si="118"/>
        <v>0</v>
      </c>
      <c r="U80" s="13">
        <f t="shared" si="119"/>
        <v>0</v>
      </c>
      <c r="V80" s="13">
        <f t="shared" si="120"/>
        <v>0</v>
      </c>
      <c r="W80" s="13">
        <f t="shared" si="121"/>
        <v>0</v>
      </c>
      <c r="X80" s="13">
        <f t="shared" si="122"/>
        <v>0</v>
      </c>
      <c r="Y80" s="13">
        <f t="shared" si="123"/>
        <v>0</v>
      </c>
      <c r="Z80" s="13">
        <f t="shared" si="124"/>
        <v>0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</row>
    <row r="81" spans="1:341" s="14" customFormat="1">
      <c r="A81" s="15" t="s">
        <v>76</v>
      </c>
      <c r="B81" s="13">
        <f t="shared" si="100"/>
        <v>0</v>
      </c>
      <c r="C81" s="13">
        <f t="shared" si="101"/>
        <v>0</v>
      </c>
      <c r="D81" s="13">
        <f t="shared" si="102"/>
        <v>0</v>
      </c>
      <c r="E81" s="13">
        <f t="shared" si="103"/>
        <v>0</v>
      </c>
      <c r="F81" s="13">
        <f t="shared" si="104"/>
        <v>0</v>
      </c>
      <c r="G81" s="13">
        <f t="shared" si="105"/>
        <v>0</v>
      </c>
      <c r="H81" s="13">
        <f t="shared" si="106"/>
        <v>0</v>
      </c>
      <c r="I81" s="13">
        <f t="shared" si="107"/>
        <v>0</v>
      </c>
      <c r="J81" s="13">
        <f t="shared" si="108"/>
        <v>0</v>
      </c>
      <c r="K81" s="13">
        <f t="shared" si="109"/>
        <v>0</v>
      </c>
      <c r="L81" s="13">
        <f t="shared" si="110"/>
        <v>0</v>
      </c>
      <c r="M81" s="13">
        <f t="shared" si="111"/>
        <v>0</v>
      </c>
      <c r="N81" s="13">
        <f t="shared" si="112"/>
        <v>0</v>
      </c>
      <c r="O81" s="13">
        <f t="shared" si="113"/>
        <v>0</v>
      </c>
      <c r="P81" s="13">
        <f t="shared" si="114"/>
        <v>0</v>
      </c>
      <c r="Q81" s="13">
        <f t="shared" si="115"/>
        <v>0</v>
      </c>
      <c r="R81" s="13">
        <f t="shared" si="116"/>
        <v>0</v>
      </c>
      <c r="S81" s="13">
        <f t="shared" si="117"/>
        <v>0</v>
      </c>
      <c r="T81" s="13">
        <f t="shared" si="118"/>
        <v>0</v>
      </c>
      <c r="U81" s="13">
        <f t="shared" si="119"/>
        <v>0</v>
      </c>
      <c r="V81" s="13">
        <f t="shared" si="120"/>
        <v>0</v>
      </c>
      <c r="W81" s="13">
        <f t="shared" si="121"/>
        <v>0</v>
      </c>
      <c r="X81" s="13">
        <f t="shared" si="122"/>
        <v>0</v>
      </c>
      <c r="Y81" s="13">
        <f t="shared" si="123"/>
        <v>0</v>
      </c>
      <c r="Z81" s="13">
        <f t="shared" si="124"/>
        <v>0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</row>
    <row r="82" spans="1:341" s="14" customFormat="1">
      <c r="A82" s="15" t="s">
        <v>77</v>
      </c>
      <c r="B82" s="13">
        <f t="shared" si="100"/>
        <v>0</v>
      </c>
      <c r="C82" s="13">
        <f t="shared" si="101"/>
        <v>0</v>
      </c>
      <c r="D82" s="13">
        <f t="shared" si="102"/>
        <v>0</v>
      </c>
      <c r="E82" s="13">
        <f t="shared" si="103"/>
        <v>0</v>
      </c>
      <c r="F82" s="13">
        <f t="shared" si="104"/>
        <v>0</v>
      </c>
      <c r="G82" s="13">
        <f t="shared" si="105"/>
        <v>0</v>
      </c>
      <c r="H82" s="13">
        <f t="shared" si="106"/>
        <v>0</v>
      </c>
      <c r="I82" s="13">
        <f t="shared" si="107"/>
        <v>0</v>
      </c>
      <c r="J82" s="13">
        <f t="shared" si="108"/>
        <v>0</v>
      </c>
      <c r="K82" s="13">
        <f t="shared" si="109"/>
        <v>0</v>
      </c>
      <c r="L82" s="13">
        <f t="shared" si="110"/>
        <v>0</v>
      </c>
      <c r="M82" s="13">
        <f t="shared" si="111"/>
        <v>0</v>
      </c>
      <c r="N82" s="13">
        <f t="shared" si="112"/>
        <v>0</v>
      </c>
      <c r="O82" s="13">
        <f t="shared" si="113"/>
        <v>0</v>
      </c>
      <c r="P82" s="13">
        <f t="shared" si="114"/>
        <v>0</v>
      </c>
      <c r="Q82" s="13">
        <f t="shared" si="115"/>
        <v>0</v>
      </c>
      <c r="R82" s="13">
        <f t="shared" si="116"/>
        <v>0</v>
      </c>
      <c r="S82" s="13">
        <f t="shared" si="117"/>
        <v>0</v>
      </c>
      <c r="T82" s="13">
        <f t="shared" si="118"/>
        <v>0</v>
      </c>
      <c r="U82" s="13">
        <f t="shared" si="119"/>
        <v>0</v>
      </c>
      <c r="V82" s="13">
        <f t="shared" si="120"/>
        <v>0</v>
      </c>
      <c r="W82" s="13">
        <f t="shared" si="121"/>
        <v>0</v>
      </c>
      <c r="X82" s="13">
        <f t="shared" si="122"/>
        <v>0</v>
      </c>
      <c r="Y82" s="13">
        <f t="shared" si="123"/>
        <v>0</v>
      </c>
      <c r="Z82" s="13">
        <f t="shared" si="124"/>
        <v>0</v>
      </c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</row>
    <row r="83" spans="1:341" s="14" customFormat="1">
      <c r="A83" s="15" t="s">
        <v>78</v>
      </c>
      <c r="B83" s="13">
        <f t="shared" si="100"/>
        <v>0</v>
      </c>
      <c r="C83" s="13">
        <f t="shared" si="101"/>
        <v>0</v>
      </c>
      <c r="D83" s="13">
        <f t="shared" si="102"/>
        <v>0</v>
      </c>
      <c r="E83" s="13">
        <f t="shared" si="103"/>
        <v>0</v>
      </c>
      <c r="F83" s="13">
        <f t="shared" si="104"/>
        <v>0</v>
      </c>
      <c r="G83" s="13">
        <f t="shared" si="105"/>
        <v>0</v>
      </c>
      <c r="H83" s="13">
        <f t="shared" si="106"/>
        <v>0</v>
      </c>
      <c r="I83" s="13">
        <f t="shared" si="107"/>
        <v>0</v>
      </c>
      <c r="J83" s="13">
        <f t="shared" si="108"/>
        <v>0</v>
      </c>
      <c r="K83" s="13">
        <f t="shared" si="109"/>
        <v>0</v>
      </c>
      <c r="L83" s="13">
        <f t="shared" si="110"/>
        <v>0</v>
      </c>
      <c r="M83" s="13">
        <f t="shared" si="111"/>
        <v>0</v>
      </c>
      <c r="N83" s="13">
        <f t="shared" si="112"/>
        <v>0</v>
      </c>
      <c r="O83" s="13">
        <f t="shared" si="113"/>
        <v>0</v>
      </c>
      <c r="P83" s="13">
        <f t="shared" si="114"/>
        <v>0</v>
      </c>
      <c r="Q83" s="13">
        <f t="shared" si="115"/>
        <v>0</v>
      </c>
      <c r="R83" s="13">
        <f t="shared" si="116"/>
        <v>0</v>
      </c>
      <c r="S83" s="13">
        <f t="shared" si="117"/>
        <v>0</v>
      </c>
      <c r="T83" s="13">
        <f t="shared" si="118"/>
        <v>0</v>
      </c>
      <c r="U83" s="13">
        <f t="shared" si="119"/>
        <v>0</v>
      </c>
      <c r="V83" s="13">
        <f t="shared" si="120"/>
        <v>0</v>
      </c>
      <c r="W83" s="13">
        <f t="shared" si="121"/>
        <v>0</v>
      </c>
      <c r="X83" s="13">
        <f t="shared" si="122"/>
        <v>0</v>
      </c>
      <c r="Y83" s="13">
        <f t="shared" si="123"/>
        <v>0</v>
      </c>
      <c r="Z83" s="13">
        <f t="shared" si="124"/>
        <v>0</v>
      </c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</row>
    <row r="84" spans="1:341" s="14" customFormat="1">
      <c r="A84" s="12" t="s">
        <v>79</v>
      </c>
      <c r="B84" s="13">
        <f t="shared" si="100"/>
        <v>0</v>
      </c>
      <c r="C84" s="13">
        <f t="shared" si="101"/>
        <v>0</v>
      </c>
      <c r="D84" s="13">
        <f t="shared" si="102"/>
        <v>0</v>
      </c>
      <c r="E84" s="13">
        <f t="shared" si="103"/>
        <v>0</v>
      </c>
      <c r="F84" s="13">
        <f t="shared" si="104"/>
        <v>0</v>
      </c>
      <c r="G84" s="13">
        <f t="shared" si="105"/>
        <v>0</v>
      </c>
      <c r="H84" s="13">
        <f t="shared" si="106"/>
        <v>0</v>
      </c>
      <c r="I84" s="13">
        <f t="shared" si="107"/>
        <v>0</v>
      </c>
      <c r="J84" s="13">
        <f t="shared" si="108"/>
        <v>0</v>
      </c>
      <c r="K84" s="13">
        <f t="shared" si="109"/>
        <v>0</v>
      </c>
      <c r="L84" s="13">
        <f t="shared" si="110"/>
        <v>0</v>
      </c>
      <c r="M84" s="13">
        <f t="shared" si="111"/>
        <v>0</v>
      </c>
      <c r="N84" s="13">
        <f t="shared" si="112"/>
        <v>0</v>
      </c>
      <c r="O84" s="13">
        <f t="shared" si="113"/>
        <v>0</v>
      </c>
      <c r="P84" s="13">
        <f t="shared" si="114"/>
        <v>0</v>
      </c>
      <c r="Q84" s="13">
        <f t="shared" si="115"/>
        <v>0</v>
      </c>
      <c r="R84" s="13">
        <f t="shared" si="116"/>
        <v>0</v>
      </c>
      <c r="S84" s="13">
        <f t="shared" si="117"/>
        <v>0</v>
      </c>
      <c r="T84" s="13">
        <f t="shared" si="118"/>
        <v>0</v>
      </c>
      <c r="U84" s="13">
        <f t="shared" si="119"/>
        <v>0</v>
      </c>
      <c r="V84" s="13">
        <f t="shared" si="120"/>
        <v>0</v>
      </c>
      <c r="W84" s="13">
        <f t="shared" si="121"/>
        <v>0</v>
      </c>
      <c r="X84" s="13">
        <f t="shared" si="122"/>
        <v>0</v>
      </c>
      <c r="Y84" s="13">
        <f t="shared" si="123"/>
        <v>0</v>
      </c>
      <c r="Z84" s="13">
        <f t="shared" si="124"/>
        <v>0</v>
      </c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</row>
    <row r="85" spans="1:341" s="14" customFormat="1">
      <c r="A85" s="15" t="s">
        <v>80</v>
      </c>
      <c r="B85" s="13">
        <f t="shared" si="100"/>
        <v>0</v>
      </c>
      <c r="C85" s="13">
        <f t="shared" si="101"/>
        <v>0</v>
      </c>
      <c r="D85" s="13">
        <f t="shared" si="102"/>
        <v>0</v>
      </c>
      <c r="E85" s="13">
        <f t="shared" si="103"/>
        <v>0</v>
      </c>
      <c r="F85" s="13">
        <f t="shared" si="104"/>
        <v>0</v>
      </c>
      <c r="G85" s="13">
        <f t="shared" si="105"/>
        <v>0</v>
      </c>
      <c r="H85" s="13">
        <f t="shared" si="106"/>
        <v>0</v>
      </c>
      <c r="I85" s="13">
        <f t="shared" si="107"/>
        <v>0</v>
      </c>
      <c r="J85" s="13">
        <f t="shared" si="108"/>
        <v>0</v>
      </c>
      <c r="K85" s="13">
        <f t="shared" si="109"/>
        <v>0</v>
      </c>
      <c r="L85" s="13">
        <f t="shared" si="110"/>
        <v>0</v>
      </c>
      <c r="M85" s="13">
        <f t="shared" si="111"/>
        <v>0</v>
      </c>
      <c r="N85" s="13">
        <f t="shared" si="112"/>
        <v>0</v>
      </c>
      <c r="O85" s="13">
        <f t="shared" si="113"/>
        <v>0</v>
      </c>
      <c r="P85" s="13">
        <f t="shared" si="114"/>
        <v>0</v>
      </c>
      <c r="Q85" s="13">
        <f t="shared" si="115"/>
        <v>0</v>
      </c>
      <c r="R85" s="13">
        <f t="shared" si="116"/>
        <v>0</v>
      </c>
      <c r="S85" s="13">
        <f t="shared" si="117"/>
        <v>0</v>
      </c>
      <c r="T85" s="13">
        <f t="shared" si="118"/>
        <v>0</v>
      </c>
      <c r="U85" s="13">
        <f t="shared" si="119"/>
        <v>0</v>
      </c>
      <c r="V85" s="13">
        <f t="shared" si="120"/>
        <v>0</v>
      </c>
      <c r="W85" s="13">
        <f t="shared" si="121"/>
        <v>0</v>
      </c>
      <c r="X85" s="13">
        <f t="shared" si="122"/>
        <v>0</v>
      </c>
      <c r="Y85" s="13">
        <f t="shared" si="123"/>
        <v>0</v>
      </c>
      <c r="Z85" s="13">
        <f t="shared" si="124"/>
        <v>0</v>
      </c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</row>
    <row r="86" spans="1:341" s="14" customFormat="1">
      <c r="A86" s="15" t="s">
        <v>81</v>
      </c>
      <c r="B86" s="13">
        <f t="shared" si="100"/>
        <v>0</v>
      </c>
      <c r="C86" s="13">
        <f t="shared" si="101"/>
        <v>0</v>
      </c>
      <c r="D86" s="13">
        <f t="shared" si="102"/>
        <v>0</v>
      </c>
      <c r="E86" s="13">
        <f t="shared" si="103"/>
        <v>0</v>
      </c>
      <c r="F86" s="13">
        <f t="shared" si="104"/>
        <v>0</v>
      </c>
      <c r="G86" s="13">
        <f t="shared" si="105"/>
        <v>0</v>
      </c>
      <c r="H86" s="13">
        <f t="shared" si="106"/>
        <v>0</v>
      </c>
      <c r="I86" s="13">
        <f t="shared" si="107"/>
        <v>0</v>
      </c>
      <c r="J86" s="13">
        <f t="shared" si="108"/>
        <v>0</v>
      </c>
      <c r="K86" s="13">
        <f t="shared" si="109"/>
        <v>0</v>
      </c>
      <c r="L86" s="13">
        <f t="shared" si="110"/>
        <v>0</v>
      </c>
      <c r="M86" s="13">
        <f t="shared" si="111"/>
        <v>0</v>
      </c>
      <c r="N86" s="13">
        <f t="shared" si="112"/>
        <v>0</v>
      </c>
      <c r="O86" s="13">
        <f t="shared" si="113"/>
        <v>0</v>
      </c>
      <c r="P86" s="13">
        <f t="shared" si="114"/>
        <v>0</v>
      </c>
      <c r="Q86" s="13">
        <f t="shared" si="115"/>
        <v>0</v>
      </c>
      <c r="R86" s="13">
        <f t="shared" si="116"/>
        <v>0</v>
      </c>
      <c r="S86" s="13">
        <f t="shared" si="117"/>
        <v>0</v>
      </c>
      <c r="T86" s="13">
        <f t="shared" si="118"/>
        <v>0</v>
      </c>
      <c r="U86" s="13">
        <f t="shared" si="119"/>
        <v>0</v>
      </c>
      <c r="V86" s="13">
        <f t="shared" si="120"/>
        <v>0</v>
      </c>
      <c r="W86" s="13">
        <f t="shared" si="121"/>
        <v>0</v>
      </c>
      <c r="X86" s="13">
        <f t="shared" si="122"/>
        <v>0</v>
      </c>
      <c r="Y86" s="13">
        <f t="shared" si="123"/>
        <v>0</v>
      </c>
      <c r="Z86" s="13">
        <f t="shared" si="124"/>
        <v>0</v>
      </c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</row>
    <row r="87" spans="1:341" s="14" customFormat="1">
      <c r="A87" s="15" t="s">
        <v>82</v>
      </c>
      <c r="B87" s="13">
        <f t="shared" si="100"/>
        <v>0</v>
      </c>
      <c r="C87" s="13">
        <f t="shared" si="101"/>
        <v>0</v>
      </c>
      <c r="D87" s="13">
        <f t="shared" si="102"/>
        <v>0</v>
      </c>
      <c r="E87" s="13">
        <f t="shared" si="103"/>
        <v>0</v>
      </c>
      <c r="F87" s="13">
        <f t="shared" si="104"/>
        <v>0</v>
      </c>
      <c r="G87" s="13">
        <f t="shared" si="105"/>
        <v>0</v>
      </c>
      <c r="H87" s="13">
        <f t="shared" si="106"/>
        <v>0</v>
      </c>
      <c r="I87" s="13">
        <f t="shared" si="107"/>
        <v>0</v>
      </c>
      <c r="J87" s="13">
        <f t="shared" si="108"/>
        <v>0</v>
      </c>
      <c r="K87" s="13">
        <f t="shared" si="109"/>
        <v>0</v>
      </c>
      <c r="L87" s="13">
        <f t="shared" si="110"/>
        <v>0</v>
      </c>
      <c r="M87" s="13">
        <f t="shared" si="111"/>
        <v>0</v>
      </c>
      <c r="N87" s="13">
        <f t="shared" si="112"/>
        <v>0</v>
      </c>
      <c r="O87" s="13">
        <f t="shared" si="113"/>
        <v>0</v>
      </c>
      <c r="P87" s="13">
        <f t="shared" si="114"/>
        <v>0</v>
      </c>
      <c r="Q87" s="13">
        <f t="shared" si="115"/>
        <v>0</v>
      </c>
      <c r="R87" s="13">
        <f t="shared" si="116"/>
        <v>0</v>
      </c>
      <c r="S87" s="13">
        <f t="shared" si="117"/>
        <v>0</v>
      </c>
      <c r="T87" s="13">
        <f t="shared" si="118"/>
        <v>0</v>
      </c>
      <c r="U87" s="13">
        <f t="shared" si="119"/>
        <v>0</v>
      </c>
      <c r="V87" s="13">
        <f t="shared" si="120"/>
        <v>0</v>
      </c>
      <c r="W87" s="13">
        <f t="shared" si="121"/>
        <v>0</v>
      </c>
      <c r="X87" s="13">
        <f t="shared" si="122"/>
        <v>0</v>
      </c>
      <c r="Y87" s="13">
        <f t="shared" si="123"/>
        <v>0</v>
      </c>
      <c r="Z87" s="13">
        <f t="shared" si="124"/>
        <v>0</v>
      </c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</row>
    <row r="88" spans="1:341" s="14" customFormat="1">
      <c r="A88" s="12" t="s">
        <v>83</v>
      </c>
      <c r="B88" s="13">
        <f t="shared" si="100"/>
        <v>0</v>
      </c>
      <c r="C88" s="13">
        <f t="shared" si="101"/>
        <v>0</v>
      </c>
      <c r="D88" s="13">
        <f t="shared" si="102"/>
        <v>0</v>
      </c>
      <c r="E88" s="13">
        <f t="shared" si="103"/>
        <v>0</v>
      </c>
      <c r="F88" s="13">
        <f t="shared" si="104"/>
        <v>0</v>
      </c>
      <c r="G88" s="13">
        <f t="shared" si="105"/>
        <v>0</v>
      </c>
      <c r="H88" s="13">
        <f t="shared" si="106"/>
        <v>1.6974148470588233E-2</v>
      </c>
      <c r="I88" s="13">
        <f t="shared" si="107"/>
        <v>5.5908061176470573E-3</v>
      </c>
      <c r="J88" s="13">
        <f t="shared" si="108"/>
        <v>1.576376776470588E-2</v>
      </c>
      <c r="K88" s="13">
        <f t="shared" si="109"/>
        <v>1.5850223529411761E-2</v>
      </c>
      <c r="L88" s="13">
        <f t="shared" si="110"/>
        <v>2.6945379999999998E-2</v>
      </c>
      <c r="M88" s="13">
        <f t="shared" si="111"/>
        <v>2.3371875058823523E-2</v>
      </c>
      <c r="N88" s="13">
        <f t="shared" si="112"/>
        <v>3.3112557882352928E-2</v>
      </c>
      <c r="O88" s="13">
        <f t="shared" si="113"/>
        <v>2.1210480941176463E-2</v>
      </c>
      <c r="P88" s="13">
        <f t="shared" si="114"/>
        <v>4.2363324705882348E-3</v>
      </c>
      <c r="Q88" s="13">
        <f t="shared" si="115"/>
        <v>2.5936729411764701E-2</v>
      </c>
      <c r="R88" s="13">
        <f t="shared" si="116"/>
        <v>6.9193430352941135E-2</v>
      </c>
      <c r="S88" s="13">
        <f t="shared" si="117"/>
        <v>0.19014504517647027</v>
      </c>
      <c r="T88" s="13">
        <f t="shared" si="118"/>
        <v>0</v>
      </c>
      <c r="U88" s="13">
        <f t="shared" si="119"/>
        <v>2.88185882352941E-5</v>
      </c>
      <c r="V88" s="13">
        <f t="shared" si="120"/>
        <v>7.4928329411764658E-4</v>
      </c>
      <c r="W88" s="13">
        <f t="shared" si="121"/>
        <v>3.1700447058823512E-4</v>
      </c>
      <c r="X88" s="13">
        <f t="shared" si="122"/>
        <v>6.0000000000000002E-6</v>
      </c>
      <c r="Y88" s="13">
        <f t="shared" si="123"/>
        <v>3.7193622857142864E-3</v>
      </c>
      <c r="Z88" s="13">
        <f t="shared" si="124"/>
        <v>0</v>
      </c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>
        <v>5.475531764705881</v>
      </c>
      <c r="CY88" s="13"/>
      <c r="CZ88" s="13">
        <v>6.7147310588235287</v>
      </c>
      <c r="DA88" s="13"/>
      <c r="DB88" s="13"/>
      <c r="DC88" s="13"/>
      <c r="DD88" s="13"/>
      <c r="DE88" s="13">
        <v>2.0749383529411762</v>
      </c>
      <c r="DF88" s="13">
        <v>2.7089472941176469</v>
      </c>
      <c r="DG88" s="13"/>
      <c r="DH88" s="13"/>
      <c r="DI88" s="13"/>
      <c r="DJ88" s="13"/>
      <c r="DK88" s="13"/>
      <c r="DL88" s="13"/>
      <c r="DM88" s="13"/>
      <c r="DN88" s="13"/>
      <c r="DO88" s="13">
        <v>0.86455764705882343</v>
      </c>
      <c r="DP88" s="13"/>
      <c r="DQ88" s="13"/>
      <c r="DR88" s="13">
        <v>4.7262484705882342</v>
      </c>
      <c r="DS88" s="13"/>
      <c r="DT88" s="13"/>
      <c r="DU88" s="13"/>
      <c r="DV88" s="13"/>
      <c r="DW88" s="13"/>
      <c r="DX88" s="13"/>
      <c r="DY88" s="13"/>
      <c r="DZ88" s="13">
        <v>10.749333411764702</v>
      </c>
      <c r="EA88" s="13"/>
      <c r="EB88" s="13">
        <v>2.8818588235294113E-2</v>
      </c>
      <c r="EC88" s="13">
        <v>4.9567971764705874</v>
      </c>
      <c r="ED88" s="13"/>
      <c r="EE88" s="13">
        <v>2.8818588235294113E-2</v>
      </c>
      <c r="EF88" s="13"/>
      <c r="EG88" s="13">
        <v>5.3602574117647057</v>
      </c>
      <c r="EH88" s="13"/>
      <c r="EI88" s="13">
        <v>2.8818588235294113E-2</v>
      </c>
      <c r="EJ88" s="13"/>
      <c r="EK88" s="13">
        <v>4.9567971764705874</v>
      </c>
      <c r="EL88" s="13"/>
      <c r="EM88" s="13"/>
      <c r="EN88" s="13">
        <v>5.475531764705881</v>
      </c>
      <c r="EO88" s="13">
        <v>2.8818588235294113E-2</v>
      </c>
      <c r="EP88" s="13"/>
      <c r="EQ88" s="13"/>
      <c r="ER88" s="13">
        <v>2.8818588235294113E-2</v>
      </c>
      <c r="ES88" s="13">
        <v>5.475531764705881</v>
      </c>
      <c r="ET88" s="13">
        <v>5.475531764705881</v>
      </c>
      <c r="EU88" s="13">
        <v>4.9567971764705874</v>
      </c>
      <c r="EV88" s="13">
        <v>5.7637176470588226E-2</v>
      </c>
      <c r="EW88" s="13"/>
      <c r="EX88" s="13"/>
      <c r="EY88" s="13"/>
      <c r="EZ88" s="13">
        <v>5.475531764705881</v>
      </c>
      <c r="FA88" s="13">
        <v>5.475531764705881</v>
      </c>
      <c r="FB88" s="13"/>
      <c r="FC88" s="13"/>
      <c r="FD88" s="13"/>
      <c r="FE88" s="13">
        <v>5.7637176470588226E-2</v>
      </c>
      <c r="FF88" s="13">
        <v>5.6484432941176461</v>
      </c>
      <c r="FG88" s="13"/>
      <c r="FH88" s="13">
        <v>2.334305647058823</v>
      </c>
      <c r="FI88" s="13"/>
      <c r="FJ88" s="13">
        <v>7.5504701176470572</v>
      </c>
      <c r="FK88" s="13"/>
      <c r="FL88" s="13"/>
      <c r="FM88" s="13">
        <v>7.7810188235294104</v>
      </c>
      <c r="FN88" s="13"/>
      <c r="FO88" s="13"/>
      <c r="FP88" s="13"/>
      <c r="FQ88" s="13"/>
      <c r="FR88" s="13">
        <v>10.951063529411762</v>
      </c>
      <c r="FS88" s="13">
        <v>5.475531764705881</v>
      </c>
      <c r="FT88" s="13">
        <v>7.7522002352941159</v>
      </c>
      <c r="FU88" s="13"/>
      <c r="FV88" s="13">
        <v>5.475531764705881</v>
      </c>
      <c r="FW88" s="13">
        <v>3.4582305882352937</v>
      </c>
      <c r="FX88" s="13"/>
      <c r="FY88" s="13"/>
      <c r="FZ88" s="13"/>
      <c r="GA88" s="13"/>
      <c r="GB88" s="13">
        <v>4.8991599999999993</v>
      </c>
      <c r="GC88" s="13">
        <v>0.40346023529411756</v>
      </c>
      <c r="GD88" s="13">
        <v>0.92219482352941162</v>
      </c>
      <c r="GE88" s="13"/>
      <c r="GF88" s="13"/>
      <c r="GG88" s="13">
        <v>0.83573905882352928</v>
      </c>
      <c r="GH88" s="13"/>
      <c r="GI88" s="13">
        <v>2.5936729411764703</v>
      </c>
      <c r="GJ88" s="13">
        <v>2.6513101176470579</v>
      </c>
      <c r="GK88" s="13">
        <v>8.0692047058823508</v>
      </c>
      <c r="GL88" s="13">
        <v>0.83573905882352928</v>
      </c>
      <c r="GM88" s="13"/>
      <c r="GN88" s="13">
        <v>0.83573905882352928</v>
      </c>
      <c r="GO88" s="13"/>
      <c r="GP88" s="13"/>
      <c r="GQ88" s="13"/>
      <c r="GR88" s="13"/>
      <c r="GS88" s="13">
        <v>2.5936729411764703</v>
      </c>
      <c r="GT88" s="13"/>
      <c r="GU88" s="13"/>
      <c r="GV88" s="13">
        <v>0.6051903529411764</v>
      </c>
      <c r="GW88" s="13"/>
      <c r="GX88" s="13"/>
      <c r="GY88" s="13">
        <v>0.20173011764705878</v>
      </c>
      <c r="GZ88" s="13"/>
      <c r="HA88" s="13"/>
      <c r="HB88" s="13"/>
      <c r="HC88" s="13">
        <v>0.57637176470588225</v>
      </c>
      <c r="HD88" s="13"/>
      <c r="HE88" s="13"/>
      <c r="HF88" s="13">
        <v>0.40346023529411756</v>
      </c>
      <c r="HG88" s="13"/>
      <c r="HH88" s="13">
        <v>9.596589882352939</v>
      </c>
      <c r="HI88" s="13">
        <v>4.3804254117647048</v>
      </c>
      <c r="HJ88" s="13">
        <v>5.6196247058823516</v>
      </c>
      <c r="HK88" s="13">
        <v>5.3602574117647057</v>
      </c>
      <c r="HL88" s="13">
        <v>13.1412762352941</v>
      </c>
      <c r="HM88" s="13">
        <v>4.3804254117647003</v>
      </c>
      <c r="HN88" s="13">
        <v>4.3804254117647003</v>
      </c>
      <c r="HO88" s="13">
        <v>1.1527435294117601</v>
      </c>
      <c r="HP88" s="13">
        <v>19.0490868235294</v>
      </c>
      <c r="HQ88" s="13">
        <v>13.8329223529412</v>
      </c>
      <c r="HR88" s="13"/>
      <c r="HS88" s="13"/>
      <c r="HT88" s="13">
        <v>3.31413764705882</v>
      </c>
      <c r="HU88" s="13">
        <v>3.31413764705882</v>
      </c>
      <c r="HV88" s="13">
        <v>3.31413764705882</v>
      </c>
      <c r="HW88" s="13">
        <v>3.31413764705882</v>
      </c>
      <c r="HX88" s="13">
        <v>11.008700705882299</v>
      </c>
      <c r="HY88" s="13">
        <v>9.7695014117647005</v>
      </c>
      <c r="HZ88" s="13">
        <v>18.530352235294099</v>
      </c>
      <c r="IA88" s="13">
        <v>4.3804254117647003</v>
      </c>
      <c r="IB88" s="13">
        <v>9.7695014117647005</v>
      </c>
      <c r="IC88" s="13">
        <v>62.853340941176398</v>
      </c>
      <c r="ID88" s="13">
        <v>8.9913995294117601</v>
      </c>
      <c r="IE88" s="13">
        <v>0.89337623529411703</v>
      </c>
      <c r="IF88" s="13">
        <v>26.167278117647001</v>
      </c>
      <c r="IG88" s="13">
        <v>11.008700705882299</v>
      </c>
      <c r="IH88" s="13"/>
      <c r="II88" s="13">
        <v>26.772468470588201</v>
      </c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>
        <v>2.8818588235294099E-2</v>
      </c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>
        <v>0.7492832941176466</v>
      </c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>
        <v>0.31700447058823511</v>
      </c>
      <c r="KB88" s="13"/>
      <c r="KC88" s="13"/>
      <c r="KD88" s="13"/>
      <c r="KE88" s="13"/>
      <c r="KF88" s="13">
        <v>6.0000000000000001E-3</v>
      </c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>
        <v>2.7895217142857147</v>
      </c>
      <c r="KW88" s="13"/>
      <c r="KX88" s="13"/>
      <c r="KY88" s="13"/>
      <c r="KZ88" s="13">
        <v>0.23995885714285714</v>
      </c>
      <c r="LA88" s="13"/>
      <c r="LB88" s="13">
        <v>0.68988171428571421</v>
      </c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</row>
    <row r="89" spans="1:341" s="14" customFormat="1">
      <c r="A89" s="12" t="s">
        <v>84</v>
      </c>
      <c r="B89" s="13">
        <f t="shared" si="100"/>
        <v>0</v>
      </c>
      <c r="C89" s="13">
        <f t="shared" si="101"/>
        <v>0</v>
      </c>
      <c r="D89" s="13">
        <f t="shared" si="102"/>
        <v>0</v>
      </c>
      <c r="E89" s="13">
        <f t="shared" si="103"/>
        <v>0</v>
      </c>
      <c r="F89" s="13">
        <f t="shared" si="104"/>
        <v>0</v>
      </c>
      <c r="G89" s="13">
        <f t="shared" si="105"/>
        <v>0</v>
      </c>
      <c r="H89" s="13">
        <f t="shared" si="106"/>
        <v>0</v>
      </c>
      <c r="I89" s="13">
        <f t="shared" si="107"/>
        <v>0</v>
      </c>
      <c r="J89" s="13">
        <f t="shared" si="108"/>
        <v>0</v>
      </c>
      <c r="K89" s="13">
        <f t="shared" si="109"/>
        <v>0</v>
      </c>
      <c r="L89" s="13">
        <f t="shared" si="110"/>
        <v>0</v>
      </c>
      <c r="M89" s="13">
        <f t="shared" si="111"/>
        <v>0</v>
      </c>
      <c r="N89" s="13">
        <f t="shared" si="112"/>
        <v>0</v>
      </c>
      <c r="O89" s="13">
        <f t="shared" si="113"/>
        <v>0</v>
      </c>
      <c r="P89" s="13">
        <f t="shared" si="114"/>
        <v>0</v>
      </c>
      <c r="Q89" s="13">
        <f t="shared" si="115"/>
        <v>0</v>
      </c>
      <c r="R89" s="13">
        <f t="shared" si="116"/>
        <v>0</v>
      </c>
      <c r="S89" s="13">
        <f t="shared" si="117"/>
        <v>0</v>
      </c>
      <c r="T89" s="13">
        <f t="shared" si="118"/>
        <v>0</v>
      </c>
      <c r="U89" s="13">
        <f t="shared" si="119"/>
        <v>0</v>
      </c>
      <c r="V89" s="13">
        <f t="shared" si="120"/>
        <v>0</v>
      </c>
      <c r="W89" s="13">
        <f t="shared" si="121"/>
        <v>0</v>
      </c>
      <c r="X89" s="13">
        <f t="shared" si="122"/>
        <v>0</v>
      </c>
      <c r="Y89" s="13">
        <f t="shared" si="123"/>
        <v>0</v>
      </c>
      <c r="Z89" s="13">
        <f t="shared" si="124"/>
        <v>0</v>
      </c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</row>
    <row r="90" spans="1:341" s="14" customFormat="1">
      <c r="A90" s="12" t="s">
        <v>85</v>
      </c>
      <c r="B90" s="13">
        <f t="shared" si="100"/>
        <v>0</v>
      </c>
      <c r="C90" s="13">
        <f t="shared" si="101"/>
        <v>0</v>
      </c>
      <c r="D90" s="13">
        <f t="shared" si="102"/>
        <v>0</v>
      </c>
      <c r="E90" s="13">
        <f t="shared" si="103"/>
        <v>0</v>
      </c>
      <c r="F90" s="13">
        <f t="shared" si="104"/>
        <v>0</v>
      </c>
      <c r="G90" s="13">
        <f t="shared" si="105"/>
        <v>0</v>
      </c>
      <c r="H90" s="13">
        <f t="shared" si="106"/>
        <v>0</v>
      </c>
      <c r="I90" s="13">
        <f t="shared" si="107"/>
        <v>0</v>
      </c>
      <c r="J90" s="13">
        <f t="shared" si="108"/>
        <v>0</v>
      </c>
      <c r="K90" s="13">
        <f t="shared" si="109"/>
        <v>0</v>
      </c>
      <c r="L90" s="13">
        <f t="shared" si="110"/>
        <v>0</v>
      </c>
      <c r="M90" s="13">
        <f t="shared" si="111"/>
        <v>0</v>
      </c>
      <c r="N90" s="13">
        <f t="shared" si="112"/>
        <v>0</v>
      </c>
      <c r="O90" s="13">
        <f t="shared" si="113"/>
        <v>0</v>
      </c>
      <c r="P90" s="13">
        <f t="shared" si="114"/>
        <v>0</v>
      </c>
      <c r="Q90" s="13">
        <f t="shared" si="115"/>
        <v>0</v>
      </c>
      <c r="R90" s="13">
        <f t="shared" si="116"/>
        <v>0</v>
      </c>
      <c r="S90" s="13">
        <f t="shared" si="117"/>
        <v>0</v>
      </c>
      <c r="T90" s="13">
        <f t="shared" si="118"/>
        <v>0</v>
      </c>
      <c r="U90" s="13">
        <f t="shared" si="119"/>
        <v>0</v>
      </c>
      <c r="V90" s="13">
        <f t="shared" si="120"/>
        <v>0</v>
      </c>
      <c r="W90" s="13">
        <f t="shared" si="121"/>
        <v>0</v>
      </c>
      <c r="X90" s="13">
        <f t="shared" si="122"/>
        <v>0</v>
      </c>
      <c r="Y90" s="13">
        <f t="shared" si="123"/>
        <v>0</v>
      </c>
      <c r="Z90" s="13">
        <f t="shared" si="124"/>
        <v>0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</row>
    <row r="91" spans="1:341" s="14" customFormat="1">
      <c r="A91" s="12" t="s">
        <v>86</v>
      </c>
      <c r="B91" s="13">
        <f t="shared" si="100"/>
        <v>0</v>
      </c>
      <c r="C91" s="13">
        <f t="shared" si="101"/>
        <v>0</v>
      </c>
      <c r="D91" s="13">
        <f t="shared" si="102"/>
        <v>0</v>
      </c>
      <c r="E91" s="13">
        <f t="shared" si="103"/>
        <v>0</v>
      </c>
      <c r="F91" s="13">
        <f t="shared" si="104"/>
        <v>0</v>
      </c>
      <c r="G91" s="13">
        <f t="shared" si="105"/>
        <v>0</v>
      </c>
      <c r="H91" s="13">
        <f t="shared" si="106"/>
        <v>0</v>
      </c>
      <c r="I91" s="13">
        <f t="shared" si="107"/>
        <v>0</v>
      </c>
      <c r="J91" s="13">
        <f t="shared" si="108"/>
        <v>0</v>
      </c>
      <c r="K91" s="13">
        <f t="shared" si="109"/>
        <v>0</v>
      </c>
      <c r="L91" s="13">
        <f t="shared" si="110"/>
        <v>0</v>
      </c>
      <c r="M91" s="13">
        <f t="shared" si="111"/>
        <v>0</v>
      </c>
      <c r="N91" s="13">
        <f t="shared" si="112"/>
        <v>0</v>
      </c>
      <c r="O91" s="13">
        <f t="shared" si="113"/>
        <v>0</v>
      </c>
      <c r="P91" s="13">
        <f t="shared" si="114"/>
        <v>0</v>
      </c>
      <c r="Q91" s="13">
        <f t="shared" si="115"/>
        <v>0</v>
      </c>
      <c r="R91" s="13">
        <f t="shared" si="116"/>
        <v>0</v>
      </c>
      <c r="S91" s="13">
        <f t="shared" si="117"/>
        <v>0</v>
      </c>
      <c r="T91" s="13">
        <f t="shared" si="118"/>
        <v>0</v>
      </c>
      <c r="U91" s="13">
        <f t="shared" si="119"/>
        <v>0</v>
      </c>
      <c r="V91" s="13">
        <f t="shared" si="120"/>
        <v>0</v>
      </c>
      <c r="W91" s="13">
        <f t="shared" si="121"/>
        <v>0</v>
      </c>
      <c r="X91" s="13">
        <f t="shared" si="122"/>
        <v>0</v>
      </c>
      <c r="Y91" s="13">
        <f t="shared" si="123"/>
        <v>0</v>
      </c>
      <c r="Z91" s="13">
        <f t="shared" si="124"/>
        <v>0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</row>
    <row r="92" spans="1:341" s="14" customFormat="1">
      <c r="A92" s="12" t="s">
        <v>87</v>
      </c>
      <c r="B92" s="13">
        <f t="shared" si="100"/>
        <v>0</v>
      </c>
      <c r="C92" s="13">
        <f t="shared" si="101"/>
        <v>0</v>
      </c>
      <c r="D92" s="13">
        <f t="shared" si="102"/>
        <v>0</v>
      </c>
      <c r="E92" s="13">
        <f t="shared" si="103"/>
        <v>0</v>
      </c>
      <c r="F92" s="13">
        <f t="shared" si="104"/>
        <v>0</v>
      </c>
      <c r="G92" s="13">
        <f t="shared" si="105"/>
        <v>0</v>
      </c>
      <c r="H92" s="13">
        <f t="shared" si="106"/>
        <v>0</v>
      </c>
      <c r="I92" s="13">
        <f t="shared" si="107"/>
        <v>0</v>
      </c>
      <c r="J92" s="13">
        <f t="shared" si="108"/>
        <v>0</v>
      </c>
      <c r="K92" s="13">
        <f t="shared" si="109"/>
        <v>0</v>
      </c>
      <c r="L92" s="13">
        <f t="shared" si="110"/>
        <v>0</v>
      </c>
      <c r="M92" s="13">
        <f t="shared" si="111"/>
        <v>0</v>
      </c>
      <c r="N92" s="13">
        <f t="shared" si="112"/>
        <v>0</v>
      </c>
      <c r="O92" s="13">
        <f t="shared" si="113"/>
        <v>0</v>
      </c>
      <c r="P92" s="13">
        <f t="shared" si="114"/>
        <v>0</v>
      </c>
      <c r="Q92" s="13">
        <f t="shared" si="115"/>
        <v>0</v>
      </c>
      <c r="R92" s="13">
        <f t="shared" si="116"/>
        <v>0</v>
      </c>
      <c r="S92" s="13">
        <f t="shared" si="117"/>
        <v>0</v>
      </c>
      <c r="T92" s="13">
        <f t="shared" si="118"/>
        <v>0</v>
      </c>
      <c r="U92" s="13">
        <f t="shared" si="119"/>
        <v>0</v>
      </c>
      <c r="V92" s="13">
        <f t="shared" si="120"/>
        <v>0</v>
      </c>
      <c r="W92" s="13">
        <f t="shared" si="121"/>
        <v>0</v>
      </c>
      <c r="X92" s="13">
        <f t="shared" si="122"/>
        <v>0</v>
      </c>
      <c r="Y92" s="13">
        <f t="shared" si="123"/>
        <v>0</v>
      </c>
      <c r="Z92" s="13">
        <f t="shared" si="124"/>
        <v>0</v>
      </c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</row>
    <row r="93" spans="1:341" s="14" customFormat="1">
      <c r="A93" s="12" t="s">
        <v>88</v>
      </c>
      <c r="B93" s="13">
        <f t="shared" si="100"/>
        <v>0</v>
      </c>
      <c r="C93" s="13">
        <f t="shared" si="101"/>
        <v>0</v>
      </c>
      <c r="D93" s="13">
        <f t="shared" si="102"/>
        <v>0</v>
      </c>
      <c r="E93" s="13">
        <f t="shared" si="103"/>
        <v>0</v>
      </c>
      <c r="F93" s="13">
        <f t="shared" si="104"/>
        <v>0</v>
      </c>
      <c r="G93" s="13">
        <f t="shared" si="105"/>
        <v>0</v>
      </c>
      <c r="H93" s="13">
        <f t="shared" si="106"/>
        <v>0</v>
      </c>
      <c r="I93" s="13">
        <f t="shared" si="107"/>
        <v>0</v>
      </c>
      <c r="J93" s="13">
        <f t="shared" si="108"/>
        <v>0</v>
      </c>
      <c r="K93" s="13">
        <f t="shared" si="109"/>
        <v>0</v>
      </c>
      <c r="L93" s="13">
        <f t="shared" si="110"/>
        <v>0</v>
      </c>
      <c r="M93" s="13">
        <f t="shared" si="111"/>
        <v>0</v>
      </c>
      <c r="N93" s="13">
        <f t="shared" si="112"/>
        <v>0</v>
      </c>
      <c r="O93" s="13">
        <f t="shared" si="113"/>
        <v>0</v>
      </c>
      <c r="P93" s="13">
        <f t="shared" si="114"/>
        <v>0</v>
      </c>
      <c r="Q93" s="13">
        <f t="shared" si="115"/>
        <v>0</v>
      </c>
      <c r="R93" s="13">
        <f t="shared" si="116"/>
        <v>0</v>
      </c>
      <c r="S93" s="13">
        <f t="shared" si="117"/>
        <v>0</v>
      </c>
      <c r="T93" s="13">
        <f t="shared" si="118"/>
        <v>0</v>
      </c>
      <c r="U93" s="13">
        <f t="shared" si="119"/>
        <v>0</v>
      </c>
      <c r="V93" s="13">
        <f t="shared" si="120"/>
        <v>0</v>
      </c>
      <c r="W93" s="13">
        <f t="shared" si="121"/>
        <v>0</v>
      </c>
      <c r="X93" s="13">
        <f t="shared" si="122"/>
        <v>0</v>
      </c>
      <c r="Y93" s="13">
        <f t="shared" si="123"/>
        <v>0</v>
      </c>
      <c r="Z93" s="13">
        <f t="shared" si="124"/>
        <v>0</v>
      </c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</row>
    <row r="94" spans="1:341" s="14" customFormat="1">
      <c r="A94" s="15" t="s">
        <v>89</v>
      </c>
      <c r="B94" s="13">
        <f t="shared" si="100"/>
        <v>0</v>
      </c>
      <c r="C94" s="13">
        <f t="shared" si="101"/>
        <v>0</v>
      </c>
      <c r="D94" s="13">
        <f t="shared" si="102"/>
        <v>0</v>
      </c>
      <c r="E94" s="13">
        <f t="shared" si="103"/>
        <v>0</v>
      </c>
      <c r="F94" s="13">
        <f t="shared" si="104"/>
        <v>0</v>
      </c>
      <c r="G94" s="13">
        <f t="shared" si="105"/>
        <v>0</v>
      </c>
      <c r="H94" s="13">
        <f t="shared" si="106"/>
        <v>0</v>
      </c>
      <c r="I94" s="13">
        <f t="shared" si="107"/>
        <v>0</v>
      </c>
      <c r="J94" s="13">
        <f t="shared" si="108"/>
        <v>0</v>
      </c>
      <c r="K94" s="13">
        <f t="shared" si="109"/>
        <v>0</v>
      </c>
      <c r="L94" s="13">
        <f t="shared" si="110"/>
        <v>0</v>
      </c>
      <c r="M94" s="13">
        <f t="shared" si="111"/>
        <v>0</v>
      </c>
      <c r="N94" s="13">
        <f t="shared" si="112"/>
        <v>0</v>
      </c>
      <c r="O94" s="13">
        <f t="shared" si="113"/>
        <v>0</v>
      </c>
      <c r="P94" s="13">
        <f t="shared" si="114"/>
        <v>0</v>
      </c>
      <c r="Q94" s="13">
        <f t="shared" si="115"/>
        <v>0</v>
      </c>
      <c r="R94" s="13">
        <f t="shared" si="116"/>
        <v>0</v>
      </c>
      <c r="S94" s="13">
        <f t="shared" si="117"/>
        <v>0</v>
      </c>
      <c r="T94" s="13">
        <f t="shared" si="118"/>
        <v>0</v>
      </c>
      <c r="U94" s="13">
        <f t="shared" si="119"/>
        <v>0</v>
      </c>
      <c r="V94" s="13">
        <f t="shared" si="120"/>
        <v>0</v>
      </c>
      <c r="W94" s="13">
        <f t="shared" si="121"/>
        <v>0</v>
      </c>
      <c r="X94" s="13">
        <f t="shared" si="122"/>
        <v>0</v>
      </c>
      <c r="Y94" s="13">
        <f t="shared" si="123"/>
        <v>0</v>
      </c>
      <c r="Z94" s="13">
        <f t="shared" si="124"/>
        <v>0</v>
      </c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</row>
    <row r="95" spans="1:341" s="14" customFormat="1">
      <c r="A95" s="12" t="s">
        <v>90</v>
      </c>
      <c r="B95" s="13">
        <f t="shared" si="100"/>
        <v>0</v>
      </c>
      <c r="C95" s="13">
        <f t="shared" si="101"/>
        <v>0</v>
      </c>
      <c r="D95" s="13">
        <f t="shared" si="102"/>
        <v>0</v>
      </c>
      <c r="E95" s="13">
        <f t="shared" si="103"/>
        <v>0</v>
      </c>
      <c r="F95" s="13">
        <f t="shared" si="104"/>
        <v>0</v>
      </c>
      <c r="G95" s="13">
        <f t="shared" si="105"/>
        <v>0</v>
      </c>
      <c r="H95" s="13">
        <f t="shared" si="106"/>
        <v>0</v>
      </c>
      <c r="I95" s="13">
        <f t="shared" si="107"/>
        <v>0</v>
      </c>
      <c r="J95" s="13">
        <f t="shared" si="108"/>
        <v>0</v>
      </c>
      <c r="K95" s="13">
        <f t="shared" si="109"/>
        <v>0</v>
      </c>
      <c r="L95" s="13">
        <f t="shared" si="110"/>
        <v>0</v>
      </c>
      <c r="M95" s="13">
        <f t="shared" si="111"/>
        <v>0</v>
      </c>
      <c r="N95" s="13">
        <f t="shared" si="112"/>
        <v>0</v>
      </c>
      <c r="O95" s="13">
        <f t="shared" si="113"/>
        <v>0</v>
      </c>
      <c r="P95" s="13">
        <f t="shared" si="114"/>
        <v>0</v>
      </c>
      <c r="Q95" s="13">
        <f t="shared" si="115"/>
        <v>0</v>
      </c>
      <c r="R95" s="13">
        <f t="shared" si="116"/>
        <v>0</v>
      </c>
      <c r="S95" s="13">
        <f t="shared" si="117"/>
        <v>0</v>
      </c>
      <c r="T95" s="13">
        <f t="shared" si="118"/>
        <v>0</v>
      </c>
      <c r="U95" s="13">
        <f t="shared" si="119"/>
        <v>0</v>
      </c>
      <c r="V95" s="13">
        <f t="shared" si="120"/>
        <v>0</v>
      </c>
      <c r="W95" s="13">
        <f t="shared" si="121"/>
        <v>0</v>
      </c>
      <c r="X95" s="13">
        <f t="shared" si="122"/>
        <v>0</v>
      </c>
      <c r="Y95" s="13">
        <f t="shared" si="123"/>
        <v>0</v>
      </c>
      <c r="Z95" s="13">
        <f t="shared" si="124"/>
        <v>0</v>
      </c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</row>
    <row r="96" spans="1:341" s="14" customFormat="1">
      <c r="A96" s="12" t="s">
        <v>91</v>
      </c>
      <c r="B96" s="13">
        <f t="shared" si="100"/>
        <v>0</v>
      </c>
      <c r="C96" s="13">
        <f t="shared" si="101"/>
        <v>0</v>
      </c>
      <c r="D96" s="13">
        <f t="shared" si="102"/>
        <v>0</v>
      </c>
      <c r="E96" s="13">
        <f t="shared" si="103"/>
        <v>0</v>
      </c>
      <c r="F96" s="13">
        <f t="shared" si="104"/>
        <v>0</v>
      </c>
      <c r="G96" s="13">
        <f t="shared" si="105"/>
        <v>0</v>
      </c>
      <c r="H96" s="13">
        <f t="shared" si="106"/>
        <v>0</v>
      </c>
      <c r="I96" s="13">
        <f t="shared" si="107"/>
        <v>0</v>
      </c>
      <c r="J96" s="13">
        <f t="shared" si="108"/>
        <v>0</v>
      </c>
      <c r="K96" s="13">
        <f t="shared" si="109"/>
        <v>0</v>
      </c>
      <c r="L96" s="13">
        <f t="shared" si="110"/>
        <v>0</v>
      </c>
      <c r="M96" s="13">
        <f t="shared" si="111"/>
        <v>0</v>
      </c>
      <c r="N96" s="13">
        <f t="shared" si="112"/>
        <v>0</v>
      </c>
      <c r="O96" s="13">
        <f t="shared" si="113"/>
        <v>0</v>
      </c>
      <c r="P96" s="13">
        <f t="shared" si="114"/>
        <v>0</v>
      </c>
      <c r="Q96" s="13">
        <f t="shared" si="115"/>
        <v>0</v>
      </c>
      <c r="R96" s="13">
        <f t="shared" si="116"/>
        <v>0</v>
      </c>
      <c r="S96" s="13">
        <f t="shared" si="117"/>
        <v>0</v>
      </c>
      <c r="T96" s="13">
        <f t="shared" si="118"/>
        <v>0</v>
      </c>
      <c r="U96" s="13">
        <f t="shared" si="119"/>
        <v>0</v>
      </c>
      <c r="V96" s="13">
        <f t="shared" si="120"/>
        <v>0</v>
      </c>
      <c r="W96" s="13">
        <f t="shared" si="121"/>
        <v>0</v>
      </c>
      <c r="X96" s="13">
        <f t="shared" si="122"/>
        <v>0</v>
      </c>
      <c r="Y96" s="13">
        <f t="shared" si="123"/>
        <v>0</v>
      </c>
      <c r="Z96" s="13">
        <f t="shared" si="124"/>
        <v>0</v>
      </c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</row>
    <row r="97" spans="1:341" s="14" customFormat="1">
      <c r="A97" s="12" t="s">
        <v>92</v>
      </c>
      <c r="B97" s="13">
        <f t="shared" si="100"/>
        <v>0</v>
      </c>
      <c r="C97" s="13">
        <f t="shared" si="101"/>
        <v>0</v>
      </c>
      <c r="D97" s="13">
        <f t="shared" si="102"/>
        <v>0</v>
      </c>
      <c r="E97" s="13">
        <f t="shared" si="103"/>
        <v>0</v>
      </c>
      <c r="F97" s="13">
        <f t="shared" si="104"/>
        <v>0</v>
      </c>
      <c r="G97" s="13">
        <f t="shared" si="105"/>
        <v>0</v>
      </c>
      <c r="H97" s="13">
        <f t="shared" si="106"/>
        <v>0</v>
      </c>
      <c r="I97" s="13">
        <f t="shared" si="107"/>
        <v>0</v>
      </c>
      <c r="J97" s="13">
        <f t="shared" si="108"/>
        <v>0</v>
      </c>
      <c r="K97" s="13">
        <f t="shared" si="109"/>
        <v>0</v>
      </c>
      <c r="L97" s="13">
        <f t="shared" si="110"/>
        <v>0</v>
      </c>
      <c r="M97" s="13">
        <f t="shared" si="111"/>
        <v>0</v>
      </c>
      <c r="N97" s="13">
        <f t="shared" si="112"/>
        <v>0</v>
      </c>
      <c r="O97" s="13">
        <f t="shared" si="113"/>
        <v>0</v>
      </c>
      <c r="P97" s="13">
        <f t="shared" si="114"/>
        <v>0</v>
      </c>
      <c r="Q97" s="13">
        <f t="shared" si="115"/>
        <v>0</v>
      </c>
      <c r="R97" s="13">
        <f t="shared" si="116"/>
        <v>0</v>
      </c>
      <c r="S97" s="13">
        <f t="shared" si="117"/>
        <v>0</v>
      </c>
      <c r="T97" s="13">
        <f t="shared" si="118"/>
        <v>0</v>
      </c>
      <c r="U97" s="13">
        <f t="shared" si="119"/>
        <v>0</v>
      </c>
      <c r="V97" s="13">
        <f t="shared" si="120"/>
        <v>0</v>
      </c>
      <c r="W97" s="13">
        <f t="shared" si="121"/>
        <v>0</v>
      </c>
      <c r="X97" s="13">
        <f t="shared" si="122"/>
        <v>0</v>
      </c>
      <c r="Y97" s="13">
        <f t="shared" si="123"/>
        <v>0</v>
      </c>
      <c r="Z97" s="13">
        <f t="shared" si="124"/>
        <v>0</v>
      </c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</row>
    <row r="98" spans="1:341" s="14" customFormat="1">
      <c r="A98" s="12" t="s">
        <v>93</v>
      </c>
      <c r="B98" s="13">
        <f t="shared" si="100"/>
        <v>0</v>
      </c>
      <c r="C98" s="13">
        <f t="shared" si="101"/>
        <v>0</v>
      </c>
      <c r="D98" s="13">
        <f t="shared" si="102"/>
        <v>0</v>
      </c>
      <c r="E98" s="13">
        <f t="shared" si="103"/>
        <v>0</v>
      </c>
      <c r="F98" s="13">
        <f t="shared" si="104"/>
        <v>0</v>
      </c>
      <c r="G98" s="13">
        <f t="shared" si="105"/>
        <v>0</v>
      </c>
      <c r="H98" s="13">
        <f t="shared" si="106"/>
        <v>0</v>
      </c>
      <c r="I98" s="13">
        <f t="shared" si="107"/>
        <v>0</v>
      </c>
      <c r="J98" s="13">
        <f t="shared" si="108"/>
        <v>0</v>
      </c>
      <c r="K98" s="13">
        <f t="shared" si="109"/>
        <v>0</v>
      </c>
      <c r="L98" s="13">
        <f t="shared" si="110"/>
        <v>0</v>
      </c>
      <c r="M98" s="13">
        <f t="shared" si="111"/>
        <v>0</v>
      </c>
      <c r="N98" s="13">
        <f t="shared" si="112"/>
        <v>0</v>
      </c>
      <c r="O98" s="13">
        <f t="shared" si="113"/>
        <v>0</v>
      </c>
      <c r="P98" s="13">
        <f t="shared" si="114"/>
        <v>0</v>
      </c>
      <c r="Q98" s="13">
        <f t="shared" si="115"/>
        <v>0</v>
      </c>
      <c r="R98" s="13">
        <f t="shared" si="116"/>
        <v>0</v>
      </c>
      <c r="S98" s="13">
        <f t="shared" si="117"/>
        <v>0</v>
      </c>
      <c r="T98" s="13">
        <f t="shared" si="118"/>
        <v>0</v>
      </c>
      <c r="U98" s="13">
        <f t="shared" si="119"/>
        <v>0</v>
      </c>
      <c r="V98" s="13">
        <f t="shared" si="120"/>
        <v>0</v>
      </c>
      <c r="W98" s="13">
        <f t="shared" si="121"/>
        <v>0</v>
      </c>
      <c r="X98" s="13">
        <f t="shared" si="122"/>
        <v>0</v>
      </c>
      <c r="Y98" s="13">
        <f t="shared" si="123"/>
        <v>0</v>
      </c>
      <c r="Z98" s="13">
        <f t="shared" si="124"/>
        <v>0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</row>
    <row r="99" spans="1:341" s="14" customFormat="1">
      <c r="A99" s="12" t="s">
        <v>94</v>
      </c>
      <c r="B99" s="13">
        <f t="shared" si="100"/>
        <v>0</v>
      </c>
      <c r="C99" s="13">
        <f t="shared" si="101"/>
        <v>0</v>
      </c>
      <c r="D99" s="13">
        <f t="shared" si="102"/>
        <v>0</v>
      </c>
      <c r="E99" s="13">
        <f t="shared" si="103"/>
        <v>0</v>
      </c>
      <c r="F99" s="13">
        <f t="shared" si="104"/>
        <v>0</v>
      </c>
      <c r="G99" s="13">
        <f t="shared" si="105"/>
        <v>0</v>
      </c>
      <c r="H99" s="13">
        <f t="shared" si="106"/>
        <v>0</v>
      </c>
      <c r="I99" s="13">
        <f t="shared" si="107"/>
        <v>0</v>
      </c>
      <c r="J99" s="13">
        <f t="shared" si="108"/>
        <v>0</v>
      </c>
      <c r="K99" s="13">
        <f t="shared" si="109"/>
        <v>0</v>
      </c>
      <c r="L99" s="13">
        <f t="shared" si="110"/>
        <v>0</v>
      </c>
      <c r="M99" s="13">
        <f t="shared" si="111"/>
        <v>0</v>
      </c>
      <c r="N99" s="13">
        <f t="shared" si="112"/>
        <v>0</v>
      </c>
      <c r="O99" s="13">
        <f t="shared" si="113"/>
        <v>0</v>
      </c>
      <c r="P99" s="13">
        <f t="shared" si="114"/>
        <v>0</v>
      </c>
      <c r="Q99" s="13">
        <f t="shared" si="115"/>
        <v>0</v>
      </c>
      <c r="R99" s="13">
        <f t="shared" si="116"/>
        <v>0</v>
      </c>
      <c r="S99" s="13">
        <f t="shared" si="117"/>
        <v>0</v>
      </c>
      <c r="T99" s="13">
        <f t="shared" si="118"/>
        <v>0</v>
      </c>
      <c r="U99" s="13">
        <f t="shared" si="119"/>
        <v>0</v>
      </c>
      <c r="V99" s="13">
        <f t="shared" si="120"/>
        <v>0</v>
      </c>
      <c r="W99" s="13">
        <f t="shared" si="121"/>
        <v>0</v>
      </c>
      <c r="X99" s="13">
        <f t="shared" si="122"/>
        <v>0</v>
      </c>
      <c r="Y99" s="13">
        <f t="shared" si="123"/>
        <v>0</v>
      </c>
      <c r="Z99" s="13">
        <f t="shared" si="124"/>
        <v>0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</row>
    <row r="100" spans="1:341" s="14" customFormat="1">
      <c r="A100" s="12" t="s">
        <v>95</v>
      </c>
      <c r="B100" s="13">
        <f t="shared" si="100"/>
        <v>0</v>
      </c>
      <c r="C100" s="13">
        <f t="shared" si="101"/>
        <v>0</v>
      </c>
      <c r="D100" s="13">
        <f t="shared" si="102"/>
        <v>0</v>
      </c>
      <c r="E100" s="13">
        <f t="shared" si="103"/>
        <v>0</v>
      </c>
      <c r="F100" s="13">
        <f t="shared" si="104"/>
        <v>0</v>
      </c>
      <c r="G100" s="13">
        <f t="shared" si="105"/>
        <v>0</v>
      </c>
      <c r="H100" s="13">
        <f t="shared" si="106"/>
        <v>0</v>
      </c>
      <c r="I100" s="13">
        <f t="shared" si="107"/>
        <v>0</v>
      </c>
      <c r="J100" s="13">
        <f t="shared" si="108"/>
        <v>0</v>
      </c>
      <c r="K100" s="13">
        <f t="shared" si="109"/>
        <v>0</v>
      </c>
      <c r="L100" s="13">
        <f t="shared" si="110"/>
        <v>0</v>
      </c>
      <c r="M100" s="13">
        <f t="shared" si="111"/>
        <v>0</v>
      </c>
      <c r="N100" s="13">
        <f t="shared" si="112"/>
        <v>0</v>
      </c>
      <c r="O100" s="13">
        <f t="shared" si="113"/>
        <v>0</v>
      </c>
      <c r="P100" s="13">
        <f t="shared" si="114"/>
        <v>0</v>
      </c>
      <c r="Q100" s="13">
        <f t="shared" si="115"/>
        <v>0</v>
      </c>
      <c r="R100" s="13">
        <f t="shared" si="116"/>
        <v>0</v>
      </c>
      <c r="S100" s="13">
        <f t="shared" si="117"/>
        <v>0</v>
      </c>
      <c r="T100" s="13">
        <f t="shared" si="118"/>
        <v>0</v>
      </c>
      <c r="U100" s="13">
        <f t="shared" si="119"/>
        <v>0</v>
      </c>
      <c r="V100" s="13">
        <f t="shared" si="120"/>
        <v>0</v>
      </c>
      <c r="W100" s="13">
        <f t="shared" si="121"/>
        <v>0</v>
      </c>
      <c r="X100" s="13">
        <f t="shared" si="122"/>
        <v>0</v>
      </c>
      <c r="Y100" s="13">
        <f t="shared" si="123"/>
        <v>0</v>
      </c>
      <c r="Z100" s="13">
        <f t="shared" si="124"/>
        <v>0</v>
      </c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</row>
    <row r="101" spans="1:341" s="14" customFormat="1">
      <c r="A101" s="12" t="s">
        <v>96</v>
      </c>
      <c r="B101" s="13">
        <f t="shared" si="100"/>
        <v>0</v>
      </c>
      <c r="C101" s="13">
        <f t="shared" si="101"/>
        <v>0</v>
      </c>
      <c r="D101" s="13">
        <f t="shared" si="102"/>
        <v>0</v>
      </c>
      <c r="E101" s="13">
        <f t="shared" si="103"/>
        <v>0</v>
      </c>
      <c r="F101" s="13">
        <f t="shared" si="104"/>
        <v>0</v>
      </c>
      <c r="G101" s="13">
        <f t="shared" si="105"/>
        <v>0</v>
      </c>
      <c r="H101" s="13">
        <f t="shared" si="106"/>
        <v>0</v>
      </c>
      <c r="I101" s="13">
        <f t="shared" si="107"/>
        <v>0</v>
      </c>
      <c r="J101" s="13">
        <f t="shared" si="108"/>
        <v>0</v>
      </c>
      <c r="K101" s="13">
        <f t="shared" si="109"/>
        <v>0</v>
      </c>
      <c r="L101" s="13">
        <f t="shared" si="110"/>
        <v>0</v>
      </c>
      <c r="M101" s="13">
        <f t="shared" si="111"/>
        <v>0</v>
      </c>
      <c r="N101" s="13">
        <f t="shared" si="112"/>
        <v>0</v>
      </c>
      <c r="O101" s="13">
        <f t="shared" si="113"/>
        <v>0</v>
      </c>
      <c r="P101" s="13">
        <f t="shared" si="114"/>
        <v>0</v>
      </c>
      <c r="Q101" s="13">
        <f t="shared" si="115"/>
        <v>0</v>
      </c>
      <c r="R101" s="13">
        <f t="shared" si="116"/>
        <v>0</v>
      </c>
      <c r="S101" s="13">
        <f t="shared" si="117"/>
        <v>0</v>
      </c>
      <c r="T101" s="13">
        <f t="shared" si="118"/>
        <v>0</v>
      </c>
      <c r="U101" s="13">
        <f t="shared" si="119"/>
        <v>0</v>
      </c>
      <c r="V101" s="13">
        <f t="shared" si="120"/>
        <v>0</v>
      </c>
      <c r="W101" s="13">
        <f t="shared" si="121"/>
        <v>0</v>
      </c>
      <c r="X101" s="13">
        <f t="shared" si="122"/>
        <v>0</v>
      </c>
      <c r="Y101" s="13">
        <f t="shared" si="123"/>
        <v>0</v>
      </c>
      <c r="Z101" s="13">
        <f t="shared" si="124"/>
        <v>0</v>
      </c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</row>
    <row r="102" spans="1:341" s="14" customFormat="1">
      <c r="A102" s="12" t="s">
        <v>97</v>
      </c>
      <c r="B102" s="13">
        <f t="shared" si="100"/>
        <v>0</v>
      </c>
      <c r="C102" s="13">
        <f t="shared" si="101"/>
        <v>0</v>
      </c>
      <c r="D102" s="13">
        <f t="shared" si="102"/>
        <v>0</v>
      </c>
      <c r="E102" s="13">
        <f t="shared" si="103"/>
        <v>0</v>
      </c>
      <c r="F102" s="13">
        <f t="shared" si="104"/>
        <v>0</v>
      </c>
      <c r="G102" s="13">
        <f t="shared" si="105"/>
        <v>0</v>
      </c>
      <c r="H102" s="13">
        <f t="shared" si="106"/>
        <v>0</v>
      </c>
      <c r="I102" s="13">
        <f t="shared" si="107"/>
        <v>0</v>
      </c>
      <c r="J102" s="13">
        <f t="shared" si="108"/>
        <v>0</v>
      </c>
      <c r="K102" s="13">
        <f t="shared" si="109"/>
        <v>0</v>
      </c>
      <c r="L102" s="13">
        <f t="shared" si="110"/>
        <v>0</v>
      </c>
      <c r="M102" s="13">
        <f t="shared" si="111"/>
        <v>0</v>
      </c>
      <c r="N102" s="13">
        <f t="shared" si="112"/>
        <v>0</v>
      </c>
      <c r="O102" s="13">
        <f t="shared" si="113"/>
        <v>0</v>
      </c>
      <c r="P102" s="13">
        <f t="shared" si="114"/>
        <v>0.51657319411764702</v>
      </c>
      <c r="Q102" s="13">
        <f t="shared" si="115"/>
        <v>5.3026202352941159E-3</v>
      </c>
      <c r="R102" s="13">
        <f t="shared" si="116"/>
        <v>2.5648543529411699E-3</v>
      </c>
      <c r="S102" s="13">
        <f t="shared" si="117"/>
        <v>3.51586776470588E-3</v>
      </c>
      <c r="T102" s="13">
        <f t="shared" si="118"/>
        <v>0</v>
      </c>
      <c r="U102" s="13">
        <f t="shared" si="119"/>
        <v>0</v>
      </c>
      <c r="V102" s="13">
        <f t="shared" si="120"/>
        <v>0</v>
      </c>
      <c r="W102" s="13">
        <f t="shared" si="121"/>
        <v>0</v>
      </c>
      <c r="X102" s="13">
        <f t="shared" si="122"/>
        <v>0</v>
      </c>
      <c r="Y102" s="13">
        <f t="shared" si="123"/>
        <v>0</v>
      </c>
      <c r="Z102" s="13">
        <f t="shared" si="124"/>
        <v>0</v>
      </c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>
        <v>2.9106774117647052</v>
      </c>
      <c r="GP102" s="13"/>
      <c r="GQ102" s="13"/>
      <c r="GR102" s="13"/>
      <c r="GS102" s="13"/>
      <c r="GT102" s="13"/>
      <c r="GU102" s="13"/>
      <c r="GV102" s="13"/>
      <c r="GW102" s="13">
        <v>513.37433082352936</v>
      </c>
      <c r="GX102" s="13">
        <v>0.28818588235294113</v>
      </c>
      <c r="GY102" s="13"/>
      <c r="GZ102" s="13">
        <v>2.6513101176470579</v>
      </c>
      <c r="HA102" s="13"/>
      <c r="HB102" s="13"/>
      <c r="HC102" s="13"/>
      <c r="HD102" s="13"/>
      <c r="HE102" s="13">
        <v>2.6513101176470579</v>
      </c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>
        <v>2.56485435294117</v>
      </c>
      <c r="HQ102" s="13"/>
      <c r="HR102" s="13"/>
      <c r="HS102" s="13"/>
      <c r="HT102" s="13"/>
      <c r="HU102" s="13"/>
      <c r="HV102" s="13"/>
      <c r="HW102" s="13"/>
      <c r="HX102" s="13">
        <v>0.66282752941176426</v>
      </c>
      <c r="HY102" s="13"/>
      <c r="HZ102" s="13">
        <v>0.317004470588235</v>
      </c>
      <c r="IA102" s="13">
        <v>0.40346023529411701</v>
      </c>
      <c r="IB102" s="13">
        <v>0.3746416470588233</v>
      </c>
      <c r="IC102" s="13">
        <v>0.40346023529411701</v>
      </c>
      <c r="ID102" s="13"/>
      <c r="IE102" s="13"/>
      <c r="IF102" s="13">
        <v>0.60519035294117607</v>
      </c>
      <c r="IG102" s="13"/>
      <c r="IH102" s="13">
        <v>0.74928329411764705</v>
      </c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</row>
    <row r="103" spans="1:341" s="14" customFormat="1">
      <c r="A103" s="15" t="s">
        <v>98</v>
      </c>
      <c r="B103" s="13">
        <f t="shared" si="100"/>
        <v>0</v>
      </c>
      <c r="C103" s="13">
        <f t="shared" si="101"/>
        <v>0</v>
      </c>
      <c r="D103" s="13">
        <f t="shared" si="102"/>
        <v>0</v>
      </c>
      <c r="E103" s="13">
        <f t="shared" si="103"/>
        <v>0</v>
      </c>
      <c r="F103" s="13">
        <f t="shared" si="104"/>
        <v>0</v>
      </c>
      <c r="G103" s="13">
        <f t="shared" si="105"/>
        <v>0</v>
      </c>
      <c r="H103" s="13">
        <f t="shared" si="106"/>
        <v>0</v>
      </c>
      <c r="I103" s="13">
        <f t="shared" si="107"/>
        <v>0</v>
      </c>
      <c r="J103" s="13">
        <f t="shared" si="108"/>
        <v>0</v>
      </c>
      <c r="K103" s="13">
        <f t="shared" si="109"/>
        <v>0</v>
      </c>
      <c r="L103" s="13">
        <f t="shared" si="110"/>
        <v>0</v>
      </c>
      <c r="M103" s="13">
        <f t="shared" si="111"/>
        <v>0</v>
      </c>
      <c r="N103" s="13">
        <f t="shared" si="112"/>
        <v>7.3669245291764689</v>
      </c>
      <c r="O103" s="13">
        <f t="shared" si="113"/>
        <v>55.847570959764703</v>
      </c>
      <c r="P103" s="13">
        <f t="shared" si="114"/>
        <v>80.721989571999998</v>
      </c>
      <c r="Q103" s="13">
        <f t="shared" si="115"/>
        <v>3.6205945143529408</v>
      </c>
      <c r="R103" s="13">
        <f t="shared" si="116"/>
        <v>3.9625558823529382E-2</v>
      </c>
      <c r="S103" s="13">
        <f t="shared" si="117"/>
        <v>1.6858874117647048E-2</v>
      </c>
      <c r="T103" s="13">
        <f t="shared" si="118"/>
        <v>0</v>
      </c>
      <c r="U103" s="13">
        <f t="shared" si="119"/>
        <v>72.910128072235239</v>
      </c>
      <c r="V103" s="13">
        <f t="shared" si="120"/>
        <v>49.268719544470564</v>
      </c>
      <c r="W103" s="13">
        <f t="shared" si="121"/>
        <v>64.587730036941139</v>
      </c>
      <c r="X103" s="13">
        <f t="shared" si="122"/>
        <v>110.88317758721087</v>
      </c>
      <c r="Y103" s="13">
        <f t="shared" si="123"/>
        <v>1.7996914285714281E-2</v>
      </c>
      <c r="Z103" s="13">
        <f t="shared" si="124"/>
        <v>0</v>
      </c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>
        <v>1899.5484249411761</v>
      </c>
      <c r="FV103" s="13"/>
      <c r="FW103" s="13">
        <v>1388.9406785882352</v>
      </c>
      <c r="FX103" s="13">
        <v>1493.4656981176468</v>
      </c>
      <c r="FY103" s="13"/>
      <c r="FZ103" s="13">
        <v>1719.9509830588231</v>
      </c>
      <c r="GA103" s="13">
        <v>865.0187444705881</v>
      </c>
      <c r="GB103" s="13">
        <v>868.7651609411763</v>
      </c>
      <c r="GC103" s="13">
        <v>642.91388494117643</v>
      </c>
      <c r="GD103" s="13">
        <v>656.97735599999987</v>
      </c>
      <c r="GE103" s="13">
        <v>3389.4694367058814</v>
      </c>
      <c r="GF103" s="13"/>
      <c r="GG103" s="13">
        <v>5479.6528228235284</v>
      </c>
      <c r="GH103" s="13">
        <v>3520.3922830588231</v>
      </c>
      <c r="GI103" s="13">
        <v>8928.0562724705869</v>
      </c>
      <c r="GJ103" s="13">
        <v>9328.4617374117624</v>
      </c>
      <c r="GK103" s="13">
        <v>10881.005541411763</v>
      </c>
      <c r="GL103" s="13">
        <v>4330.1081567058818</v>
      </c>
      <c r="GM103" s="13">
        <v>7821.7683072941163</v>
      </c>
      <c r="GN103" s="13">
        <v>8562.6653922352925</v>
      </c>
      <c r="GO103" s="13">
        <v>13496.811158352937</v>
      </c>
      <c r="GP103" s="13">
        <v>848.64978635294108</v>
      </c>
      <c r="GQ103" s="13">
        <v>12158.735287999998</v>
      </c>
      <c r="GR103" s="13">
        <v>4.3804254117647048</v>
      </c>
      <c r="GS103" s="13">
        <v>2883.8473061176464</v>
      </c>
      <c r="GT103" s="13">
        <v>11340.80611670588</v>
      </c>
      <c r="GU103" s="13">
        <v>15671.029547764701</v>
      </c>
      <c r="GV103" s="13">
        <v>2644.7682981176463</v>
      </c>
      <c r="GW103" s="13">
        <v>9195.9250501176448</v>
      </c>
      <c r="GX103" s="13">
        <v>3904.7457943529403</v>
      </c>
      <c r="GY103" s="13">
        <v>9.6254084705882335</v>
      </c>
      <c r="GZ103" s="13">
        <v>10.403510352941176</v>
      </c>
      <c r="HA103" s="13"/>
      <c r="HB103" s="13">
        <v>5.100890117647058</v>
      </c>
      <c r="HC103" s="13">
        <v>5.2449830588235287</v>
      </c>
      <c r="HD103" s="13">
        <v>5.1873458823529406</v>
      </c>
      <c r="HE103" s="13">
        <v>9.596589882352939</v>
      </c>
      <c r="HF103" s="13">
        <v>9.596589882352939</v>
      </c>
      <c r="HG103" s="13">
        <v>5.1873458823529406</v>
      </c>
      <c r="HH103" s="13">
        <v>9.1354924705882343</v>
      </c>
      <c r="HI103" s="13">
        <v>2105.6589679999997</v>
      </c>
      <c r="HJ103" s="13">
        <v>4.3804254117647048</v>
      </c>
      <c r="HK103" s="13">
        <v>1451.1023734117646</v>
      </c>
      <c r="HL103" s="13"/>
      <c r="HM103" s="13">
        <v>5.2161644705882297</v>
      </c>
      <c r="HN103" s="13">
        <v>5.6772618823529379</v>
      </c>
      <c r="HO103" s="13">
        <v>14.783935764705872</v>
      </c>
      <c r="HP103" s="13">
        <v>8.7896694117647005</v>
      </c>
      <c r="HQ103" s="13">
        <v>5.1585272941176399</v>
      </c>
      <c r="HR103" s="13"/>
      <c r="HS103" s="13"/>
      <c r="HT103" s="13"/>
      <c r="HU103" s="13"/>
      <c r="HV103" s="13"/>
      <c r="HW103" s="13"/>
      <c r="HX103" s="13"/>
      <c r="HY103" s="13"/>
      <c r="HZ103" s="13">
        <v>5.9078105882352903</v>
      </c>
      <c r="IA103" s="13"/>
      <c r="IB103" s="13"/>
      <c r="IC103" s="13"/>
      <c r="ID103" s="13"/>
      <c r="IE103" s="13"/>
      <c r="IF103" s="13"/>
      <c r="IG103" s="13"/>
      <c r="IH103" s="13">
        <v>10.951063529411758</v>
      </c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>
        <v>2946.2903999999999</v>
      </c>
      <c r="IY103" s="13">
        <v>3348.3164927058806</v>
      </c>
      <c r="IZ103" s="13">
        <v>9557.1948722352881</v>
      </c>
      <c r="JA103" s="13">
        <v>10576.56597529411</v>
      </c>
      <c r="JB103" s="13">
        <v>8235.2862298823475</v>
      </c>
      <c r="JC103" s="13">
        <v>5092.0428110588209</v>
      </c>
      <c r="JD103" s="13">
        <v>6005.6496952941143</v>
      </c>
      <c r="JE103" s="13">
        <v>11656.167927764698</v>
      </c>
      <c r="JF103" s="13"/>
      <c r="JG103" s="13">
        <v>15492.613667999989</v>
      </c>
      <c r="JH103" s="13"/>
      <c r="JI103" s="13">
        <v>3455.5216409411742</v>
      </c>
      <c r="JJ103" s="13"/>
      <c r="JK103" s="13"/>
      <c r="JL103" s="13"/>
      <c r="JM103" s="13">
        <v>4319.0706374117626</v>
      </c>
      <c r="JN103" s="13">
        <v>6929.1125367058785</v>
      </c>
      <c r="JO103" s="13">
        <v>10079.013049411758</v>
      </c>
      <c r="JP103" s="13">
        <v>4481.7515679999979</v>
      </c>
      <c r="JQ103" s="13">
        <v>10648.151348470583</v>
      </c>
      <c r="JR103" s="13">
        <v>9356.0987635294059</v>
      </c>
      <c r="JS103" s="13"/>
      <c r="JT103" s="13"/>
      <c r="JU103" s="13">
        <v>7194.5317343529368</v>
      </c>
      <c r="JV103" s="13">
        <v>9663.7083743529347</v>
      </c>
      <c r="JW103" s="13">
        <v>3746.0994661176451</v>
      </c>
      <c r="JX103" s="13">
        <v>2154.4488378823517</v>
      </c>
      <c r="JY103" s="13">
        <v>12178.504839529405</v>
      </c>
      <c r="JZ103" s="13">
        <v>8271.9146555294064</v>
      </c>
      <c r="KA103" s="13">
        <v>9816.9656265882295</v>
      </c>
      <c r="KB103" s="13">
        <v>6782.1953738823486</v>
      </c>
      <c r="KC103" s="13">
        <v>4779.3611287058793</v>
      </c>
      <c r="KD103" s="13"/>
      <c r="KE103" s="13"/>
      <c r="KF103" s="13"/>
      <c r="KG103" s="13"/>
      <c r="KH103" s="13">
        <v>5196.4543115646266</v>
      </c>
      <c r="KI103" s="13">
        <v>8950.6972103401349</v>
      </c>
      <c r="KJ103" s="13">
        <v>11317.949178231291</v>
      </c>
      <c r="KK103" s="13">
        <v>17933.188940408163</v>
      </c>
      <c r="KL103" s="13">
        <v>9921.0899482993191</v>
      </c>
      <c r="KM103" s="13">
        <v>13506.311980408163</v>
      </c>
      <c r="KN103" s="13">
        <v>15372.950236734694</v>
      </c>
      <c r="KO103" s="13">
        <v>10013.863957278911</v>
      </c>
      <c r="KP103" s="13">
        <v>15820.893026938775</v>
      </c>
      <c r="KQ103" s="13">
        <v>2849.7787970068025</v>
      </c>
      <c r="KR103" s="13"/>
      <c r="KS103" s="13"/>
      <c r="KT103" s="13"/>
      <c r="KU103" s="13"/>
      <c r="KV103" s="13"/>
      <c r="KW103" s="13"/>
      <c r="KX103" s="13">
        <v>17.996914285714283</v>
      </c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</row>
    <row r="104" spans="1:341" s="14" customFormat="1">
      <c r="A104" s="15" t="s">
        <v>99</v>
      </c>
      <c r="B104" s="13">
        <f t="shared" si="100"/>
        <v>0</v>
      </c>
      <c r="C104" s="13">
        <f t="shared" si="101"/>
        <v>0</v>
      </c>
      <c r="D104" s="13">
        <f t="shared" si="102"/>
        <v>0</v>
      </c>
      <c r="E104" s="13">
        <f t="shared" si="103"/>
        <v>0</v>
      </c>
      <c r="F104" s="13">
        <f t="shared" si="104"/>
        <v>0</v>
      </c>
      <c r="G104" s="13">
        <f t="shared" si="105"/>
        <v>0</v>
      </c>
      <c r="H104" s="13">
        <f t="shared" si="106"/>
        <v>0</v>
      </c>
      <c r="I104" s="13">
        <f t="shared" si="107"/>
        <v>0</v>
      </c>
      <c r="J104" s="13">
        <f t="shared" si="108"/>
        <v>0</v>
      </c>
      <c r="K104" s="13">
        <f t="shared" si="109"/>
        <v>0</v>
      </c>
      <c r="L104" s="13">
        <f t="shared" si="110"/>
        <v>0</v>
      </c>
      <c r="M104" s="13">
        <f t="shared" si="111"/>
        <v>0</v>
      </c>
      <c r="N104" s="13">
        <f t="shared" si="112"/>
        <v>0</v>
      </c>
      <c r="O104" s="13">
        <f t="shared" si="113"/>
        <v>0</v>
      </c>
      <c r="P104" s="13">
        <f t="shared" si="114"/>
        <v>0</v>
      </c>
      <c r="Q104" s="13">
        <f t="shared" si="115"/>
        <v>0</v>
      </c>
      <c r="R104" s="13">
        <f t="shared" si="116"/>
        <v>0</v>
      </c>
      <c r="S104" s="13">
        <f t="shared" si="117"/>
        <v>0</v>
      </c>
      <c r="T104" s="13">
        <f t="shared" si="118"/>
        <v>0</v>
      </c>
      <c r="U104" s="13">
        <f t="shared" si="119"/>
        <v>0</v>
      </c>
      <c r="V104" s="13">
        <f t="shared" si="120"/>
        <v>0</v>
      </c>
      <c r="W104" s="13">
        <f t="shared" si="121"/>
        <v>0</v>
      </c>
      <c r="X104" s="13">
        <f t="shared" si="122"/>
        <v>0</v>
      </c>
      <c r="Y104" s="13">
        <f t="shared" si="123"/>
        <v>0</v>
      </c>
      <c r="Z104" s="13">
        <f t="shared" si="124"/>
        <v>0</v>
      </c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</row>
    <row r="105" spans="1:341" s="14" customFormat="1">
      <c r="A105" s="15" t="s">
        <v>100</v>
      </c>
      <c r="B105" s="13">
        <f t="shared" si="100"/>
        <v>0</v>
      </c>
      <c r="C105" s="13">
        <f t="shared" si="101"/>
        <v>0</v>
      </c>
      <c r="D105" s="13">
        <f t="shared" si="102"/>
        <v>0</v>
      </c>
      <c r="E105" s="13">
        <f t="shared" si="103"/>
        <v>0</v>
      </c>
      <c r="F105" s="13">
        <f t="shared" si="104"/>
        <v>0</v>
      </c>
      <c r="G105" s="13">
        <f t="shared" si="105"/>
        <v>0</v>
      </c>
      <c r="H105" s="13">
        <f t="shared" si="106"/>
        <v>0</v>
      </c>
      <c r="I105" s="13">
        <f t="shared" si="107"/>
        <v>0</v>
      </c>
      <c r="J105" s="13">
        <f t="shared" si="108"/>
        <v>0</v>
      </c>
      <c r="K105" s="13">
        <f t="shared" si="109"/>
        <v>0</v>
      </c>
      <c r="L105" s="13">
        <f t="shared" si="110"/>
        <v>0</v>
      </c>
      <c r="M105" s="13">
        <f t="shared" si="111"/>
        <v>0</v>
      </c>
      <c r="N105" s="13">
        <f t="shared" si="112"/>
        <v>0</v>
      </c>
      <c r="O105" s="13">
        <f t="shared" si="113"/>
        <v>0</v>
      </c>
      <c r="P105" s="13">
        <f t="shared" si="114"/>
        <v>0</v>
      </c>
      <c r="Q105" s="13">
        <f t="shared" si="115"/>
        <v>0</v>
      </c>
      <c r="R105" s="13">
        <f t="shared" si="116"/>
        <v>0</v>
      </c>
      <c r="S105" s="13">
        <f t="shared" si="117"/>
        <v>0</v>
      </c>
      <c r="T105" s="13">
        <f t="shared" si="118"/>
        <v>0</v>
      </c>
      <c r="U105" s="13">
        <f t="shared" si="119"/>
        <v>0</v>
      </c>
      <c r="V105" s="13">
        <f t="shared" si="120"/>
        <v>0</v>
      </c>
      <c r="W105" s="13">
        <f t="shared" si="121"/>
        <v>0</v>
      </c>
      <c r="X105" s="13">
        <f t="shared" si="122"/>
        <v>0</v>
      </c>
      <c r="Y105" s="13">
        <f t="shared" si="123"/>
        <v>0</v>
      </c>
      <c r="Z105" s="13">
        <f t="shared" si="124"/>
        <v>0</v>
      </c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</row>
    <row r="106" spans="1:341" s="14" customFormat="1">
      <c r="A106" s="12" t="s">
        <v>101</v>
      </c>
      <c r="B106" s="13">
        <f t="shared" si="100"/>
        <v>0</v>
      </c>
      <c r="C106" s="13">
        <f t="shared" si="101"/>
        <v>0</v>
      </c>
      <c r="D106" s="13">
        <f t="shared" si="102"/>
        <v>0</v>
      </c>
      <c r="E106" s="13">
        <f t="shared" si="103"/>
        <v>0</v>
      </c>
      <c r="F106" s="13">
        <f t="shared" si="104"/>
        <v>0</v>
      </c>
      <c r="G106" s="13">
        <f t="shared" si="105"/>
        <v>0</v>
      </c>
      <c r="H106" s="13">
        <f t="shared" si="106"/>
        <v>0</v>
      </c>
      <c r="I106" s="13">
        <f t="shared" si="107"/>
        <v>0</v>
      </c>
      <c r="J106" s="13">
        <f t="shared" si="108"/>
        <v>0</v>
      </c>
      <c r="K106" s="13">
        <f t="shared" si="109"/>
        <v>0</v>
      </c>
      <c r="L106" s="13">
        <f t="shared" si="110"/>
        <v>0</v>
      </c>
      <c r="M106" s="13">
        <f t="shared" si="111"/>
        <v>0</v>
      </c>
      <c r="N106" s="13">
        <f t="shared" si="112"/>
        <v>0</v>
      </c>
      <c r="O106" s="13">
        <f t="shared" si="113"/>
        <v>0</v>
      </c>
      <c r="P106" s="13">
        <f t="shared" si="114"/>
        <v>0</v>
      </c>
      <c r="Q106" s="13">
        <f t="shared" si="115"/>
        <v>0</v>
      </c>
      <c r="R106" s="13">
        <f t="shared" si="116"/>
        <v>0</v>
      </c>
      <c r="S106" s="13">
        <f t="shared" si="117"/>
        <v>0</v>
      </c>
      <c r="T106" s="13">
        <f t="shared" si="118"/>
        <v>0</v>
      </c>
      <c r="U106" s="13">
        <f t="shared" si="119"/>
        <v>0</v>
      </c>
      <c r="V106" s="13">
        <f t="shared" si="120"/>
        <v>0</v>
      </c>
      <c r="W106" s="13">
        <f t="shared" si="121"/>
        <v>0</v>
      </c>
      <c r="X106" s="13">
        <f t="shared" si="122"/>
        <v>0</v>
      </c>
      <c r="Y106" s="13">
        <f t="shared" si="123"/>
        <v>0</v>
      </c>
      <c r="Z106" s="13">
        <f t="shared" si="124"/>
        <v>0</v>
      </c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</row>
    <row r="107" spans="1:341" s="14" customFormat="1">
      <c r="A107" s="15" t="s">
        <v>102</v>
      </c>
      <c r="B107" s="13">
        <f t="shared" si="100"/>
        <v>0</v>
      </c>
      <c r="C107" s="13">
        <f t="shared" si="101"/>
        <v>0</v>
      </c>
      <c r="D107" s="13">
        <f t="shared" si="102"/>
        <v>0</v>
      </c>
      <c r="E107" s="13">
        <f t="shared" si="103"/>
        <v>0</v>
      </c>
      <c r="F107" s="13">
        <f t="shared" si="104"/>
        <v>0</v>
      </c>
      <c r="G107" s="13">
        <f t="shared" si="105"/>
        <v>0</v>
      </c>
      <c r="H107" s="13">
        <f t="shared" si="106"/>
        <v>0</v>
      </c>
      <c r="I107" s="13">
        <f t="shared" si="107"/>
        <v>0</v>
      </c>
      <c r="J107" s="13">
        <f t="shared" si="108"/>
        <v>0</v>
      </c>
      <c r="K107" s="13">
        <f t="shared" si="109"/>
        <v>0</v>
      </c>
      <c r="L107" s="13">
        <f t="shared" si="110"/>
        <v>0</v>
      </c>
      <c r="M107" s="13">
        <f t="shared" si="111"/>
        <v>0</v>
      </c>
      <c r="N107" s="13">
        <f t="shared" si="112"/>
        <v>0</v>
      </c>
      <c r="O107" s="13">
        <f t="shared" si="113"/>
        <v>0</v>
      </c>
      <c r="P107" s="13">
        <f t="shared" si="114"/>
        <v>0</v>
      </c>
      <c r="Q107" s="13">
        <f t="shared" si="115"/>
        <v>0</v>
      </c>
      <c r="R107" s="13">
        <f t="shared" si="116"/>
        <v>0</v>
      </c>
      <c r="S107" s="13">
        <f t="shared" si="117"/>
        <v>0</v>
      </c>
      <c r="T107" s="13">
        <f t="shared" si="118"/>
        <v>0</v>
      </c>
      <c r="U107" s="13">
        <f t="shared" si="119"/>
        <v>0</v>
      </c>
      <c r="V107" s="13">
        <f t="shared" si="120"/>
        <v>0</v>
      </c>
      <c r="W107" s="13">
        <f t="shared" si="121"/>
        <v>0</v>
      </c>
      <c r="X107" s="13">
        <f t="shared" si="122"/>
        <v>0</v>
      </c>
      <c r="Y107" s="13">
        <f t="shared" si="123"/>
        <v>0</v>
      </c>
      <c r="Z107" s="13">
        <f t="shared" si="124"/>
        <v>0</v>
      </c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</row>
    <row r="108" spans="1:341" s="14" customFormat="1">
      <c r="A108" s="12" t="s">
        <v>103</v>
      </c>
      <c r="B108" s="13">
        <f t="shared" si="100"/>
        <v>0</v>
      </c>
      <c r="C108" s="13">
        <f t="shared" si="101"/>
        <v>0</v>
      </c>
      <c r="D108" s="13">
        <f t="shared" si="102"/>
        <v>0</v>
      </c>
      <c r="E108" s="13">
        <f t="shared" si="103"/>
        <v>0</v>
      </c>
      <c r="F108" s="13">
        <f t="shared" si="104"/>
        <v>0</v>
      </c>
      <c r="G108" s="13">
        <f t="shared" si="105"/>
        <v>2.2939596235294107E-2</v>
      </c>
      <c r="H108" s="13">
        <f t="shared" si="106"/>
        <v>7.7522002352941157E-3</v>
      </c>
      <c r="I108" s="13">
        <f t="shared" si="107"/>
        <v>1.7579338823529409E-3</v>
      </c>
      <c r="J108" s="13">
        <f t="shared" si="108"/>
        <v>2.115284376470588E-2</v>
      </c>
      <c r="K108" s="13">
        <f t="shared" si="109"/>
        <v>1.5245033176470588E-2</v>
      </c>
      <c r="L108" s="13">
        <f t="shared" si="110"/>
        <v>8.7608508235294119E-3</v>
      </c>
      <c r="M108" s="13">
        <f t="shared" si="111"/>
        <v>3.1124075294117642E-3</v>
      </c>
      <c r="N108" s="13">
        <f t="shared" si="112"/>
        <v>0.23870436635294115</v>
      </c>
      <c r="O108" s="13">
        <f t="shared" si="113"/>
        <v>1.1181612235294115E-2</v>
      </c>
      <c r="P108" s="13">
        <f t="shared" si="114"/>
        <v>1.1354523764705882E-2</v>
      </c>
      <c r="Q108" s="13">
        <f t="shared" si="115"/>
        <v>4.2075138823529402E-3</v>
      </c>
      <c r="R108" s="13">
        <f t="shared" si="116"/>
        <v>4.4092439999999945E-3</v>
      </c>
      <c r="S108" s="13">
        <f t="shared" si="117"/>
        <v>1.2680178823529359E-3</v>
      </c>
      <c r="T108" s="13">
        <f t="shared" si="118"/>
        <v>0</v>
      </c>
      <c r="U108" s="13">
        <f t="shared" si="119"/>
        <v>0</v>
      </c>
      <c r="V108" s="13">
        <f t="shared" si="120"/>
        <v>0</v>
      </c>
      <c r="W108" s="13">
        <f t="shared" si="121"/>
        <v>0</v>
      </c>
      <c r="X108" s="13">
        <f t="shared" si="122"/>
        <v>0</v>
      </c>
      <c r="Y108" s="13">
        <f t="shared" si="123"/>
        <v>0</v>
      </c>
      <c r="Z108" s="13">
        <f t="shared" si="124"/>
        <v>0</v>
      </c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>
        <v>0.51873458823529406</v>
      </c>
      <c r="CK108" s="13"/>
      <c r="CL108" s="13">
        <v>0.66282752941176448</v>
      </c>
      <c r="CM108" s="13">
        <v>0.14409294117647056</v>
      </c>
      <c r="CN108" s="13">
        <v>11.49861670588235</v>
      </c>
      <c r="CO108" s="13">
        <v>0.20173011764705878</v>
      </c>
      <c r="CP108" s="13">
        <v>7.5504701176470572</v>
      </c>
      <c r="CQ108" s="13">
        <v>0.17291152941176466</v>
      </c>
      <c r="CR108" s="13">
        <v>1.1239249411764705</v>
      </c>
      <c r="CS108" s="13"/>
      <c r="CT108" s="13">
        <v>0.31700447058823528</v>
      </c>
      <c r="CU108" s="13">
        <v>0.74928329411764694</v>
      </c>
      <c r="CV108" s="13">
        <v>8.6455764705882329E-2</v>
      </c>
      <c r="CW108" s="13">
        <v>1.2968364705882351</v>
      </c>
      <c r="CX108" s="13">
        <v>5.7637176470588226E-2</v>
      </c>
      <c r="CY108" s="13">
        <v>0.17291152941176466</v>
      </c>
      <c r="CZ108" s="13">
        <v>2.8818588235294113E-2</v>
      </c>
      <c r="DA108" s="13">
        <v>2.0749383529411762</v>
      </c>
      <c r="DB108" s="13">
        <v>0.28818588235294113</v>
      </c>
      <c r="DC108" s="13"/>
      <c r="DD108" s="13">
        <v>0.34582305882352932</v>
      </c>
      <c r="DE108" s="13">
        <v>3.1988632941176465</v>
      </c>
      <c r="DF108" s="13">
        <v>0.11527435294117645</v>
      </c>
      <c r="DG108" s="13">
        <v>8.6455764705882329E-2</v>
      </c>
      <c r="DH108" s="13">
        <v>8.6455764705882329E-2</v>
      </c>
      <c r="DI108" s="13">
        <v>5.7637176470588226E-2</v>
      </c>
      <c r="DJ108" s="13"/>
      <c r="DK108" s="13">
        <v>0.40346023529411756</v>
      </c>
      <c r="DL108" s="13"/>
      <c r="DM108" s="13">
        <v>0.11527435294117645</v>
      </c>
      <c r="DN108" s="13">
        <v>0.34582305882352932</v>
      </c>
      <c r="DO108" s="13"/>
      <c r="DP108" s="13"/>
      <c r="DQ108" s="13">
        <v>0.34582305882352932</v>
      </c>
      <c r="DR108" s="13"/>
      <c r="DS108" s="13">
        <v>0.40346023529411756</v>
      </c>
      <c r="DT108" s="13">
        <v>0.51873458823529406</v>
      </c>
      <c r="DU108" s="13">
        <v>0.28818588235294113</v>
      </c>
      <c r="DV108" s="13">
        <v>0.34582305882352932</v>
      </c>
      <c r="DW108" s="13">
        <v>4.6974298823529406</v>
      </c>
      <c r="DX108" s="13">
        <v>0.14409294117647056</v>
      </c>
      <c r="DY108" s="13">
        <v>5.5619875294117636</v>
      </c>
      <c r="DZ108" s="13">
        <v>8.7608508235294096</v>
      </c>
      <c r="EA108" s="13">
        <v>0.28818588235294113</v>
      </c>
      <c r="EB108" s="13"/>
      <c r="EC108" s="13"/>
      <c r="ED108" s="13">
        <v>0.5475531764705881</v>
      </c>
      <c r="EE108" s="13"/>
      <c r="EF108" s="13">
        <v>5.965447764705881</v>
      </c>
      <c r="EG108" s="13">
        <v>0.48991599999999991</v>
      </c>
      <c r="EH108" s="13"/>
      <c r="EI108" s="13">
        <v>0.86455764705882343</v>
      </c>
      <c r="EJ108" s="13">
        <v>5.1873458823529406</v>
      </c>
      <c r="EK108" s="13">
        <v>0.14409294117647056</v>
      </c>
      <c r="EL108" s="13">
        <v>0.14409294117647056</v>
      </c>
      <c r="EM108" s="13">
        <v>1.4409294117647056</v>
      </c>
      <c r="EN108" s="13">
        <v>0.31700447058823528</v>
      </c>
      <c r="EO108" s="13">
        <v>0.25936729411764703</v>
      </c>
      <c r="EP108" s="13">
        <v>0.14409294117647056</v>
      </c>
      <c r="EQ108" s="13">
        <v>0.28818588235294113</v>
      </c>
      <c r="ER108" s="13">
        <v>0.14409294117647056</v>
      </c>
      <c r="ES108" s="13">
        <v>1.1527435294117645</v>
      </c>
      <c r="ET108" s="13">
        <v>1.5562037647058822</v>
      </c>
      <c r="EU108" s="13">
        <v>1.1527435294117645</v>
      </c>
      <c r="EV108" s="13">
        <v>1.2968364705882351</v>
      </c>
      <c r="EW108" s="13"/>
      <c r="EX108" s="13">
        <v>0.14409294117647056</v>
      </c>
      <c r="EY108" s="13"/>
      <c r="EZ108" s="13">
        <v>1.4697479999999996</v>
      </c>
      <c r="FA108" s="13"/>
      <c r="FB108" s="13">
        <v>1.5850223529411762</v>
      </c>
      <c r="FC108" s="13">
        <v>0.25936729411764703</v>
      </c>
      <c r="FD108" s="13"/>
      <c r="FE108" s="13"/>
      <c r="FF108" s="13"/>
      <c r="FG108" s="13"/>
      <c r="FH108" s="13">
        <v>1.2391992941176468</v>
      </c>
      <c r="FI108" s="13">
        <v>0.14409294117647056</v>
      </c>
      <c r="FJ108" s="13">
        <v>0.17291152941176466</v>
      </c>
      <c r="FK108" s="13">
        <v>5.7637176470588226E-2</v>
      </c>
      <c r="FL108" s="13">
        <v>1.2680178823529411</v>
      </c>
      <c r="FM108" s="13">
        <v>5.7637176470588226E-2</v>
      </c>
      <c r="FN108" s="13"/>
      <c r="FO108" s="13">
        <v>0.17291152941176466</v>
      </c>
      <c r="FP108" s="13">
        <v>5.7637176470588226E-2</v>
      </c>
      <c r="FQ108" s="13">
        <v>1.3832922352941173</v>
      </c>
      <c r="FR108" s="13">
        <v>0.20173011764705878</v>
      </c>
      <c r="FS108" s="13">
        <v>1.0086505882352939</v>
      </c>
      <c r="FT108" s="13">
        <v>1.1239249411764705</v>
      </c>
      <c r="FU108" s="13"/>
      <c r="FV108" s="13">
        <v>1.2103807058823528</v>
      </c>
      <c r="FW108" s="13">
        <v>231.87436094117643</v>
      </c>
      <c r="FX108" s="13">
        <v>5.7637176470588226E-2</v>
      </c>
      <c r="FY108" s="13">
        <v>0.11527435294117645</v>
      </c>
      <c r="FZ108" s="13">
        <v>1.6138409411764703</v>
      </c>
      <c r="GA108" s="13">
        <v>5.7637176470588226E-2</v>
      </c>
      <c r="GB108" s="13">
        <v>1.1239249411764705</v>
      </c>
      <c r="GC108" s="13"/>
      <c r="GD108" s="13">
        <v>1.1239249411764705</v>
      </c>
      <c r="GE108" s="13">
        <v>5.7637176470588226E-2</v>
      </c>
      <c r="GF108" s="13">
        <v>1.4409294117647056</v>
      </c>
      <c r="GG108" s="13">
        <v>0.28818588235294113</v>
      </c>
      <c r="GH108" s="13">
        <v>1.6138409411764703</v>
      </c>
      <c r="GI108" s="13">
        <v>0.74928329411764694</v>
      </c>
      <c r="GJ108" s="13">
        <v>1.4121108235294115</v>
      </c>
      <c r="GK108" s="13">
        <v>1.2680178823529411</v>
      </c>
      <c r="GL108" s="13">
        <v>0.48991599999999991</v>
      </c>
      <c r="GM108" s="13">
        <v>1.6138409411764703</v>
      </c>
      <c r="GN108" s="13">
        <v>0.92219482352941162</v>
      </c>
      <c r="GO108" s="13">
        <v>1.1239249411764705</v>
      </c>
      <c r="GP108" s="13">
        <v>0.95101341176470566</v>
      </c>
      <c r="GQ108" s="13">
        <v>1.9596639999999996</v>
      </c>
      <c r="GR108" s="13">
        <v>5.7637176470588226E-2</v>
      </c>
      <c r="GS108" s="13">
        <v>0.6051903529411764</v>
      </c>
      <c r="GT108" s="13">
        <v>0.95101341176470566</v>
      </c>
      <c r="GU108" s="13">
        <v>0.69164611764705863</v>
      </c>
      <c r="GV108" s="13">
        <v>1.1527435294117645</v>
      </c>
      <c r="GW108" s="13">
        <v>0.66282752941176448</v>
      </c>
      <c r="GX108" s="13">
        <v>1.2391992941176468</v>
      </c>
      <c r="GY108" s="13">
        <v>1.0374691764705881</v>
      </c>
      <c r="GZ108" s="13"/>
      <c r="HA108" s="13">
        <v>0.48991599999999991</v>
      </c>
      <c r="HB108" s="13">
        <v>0.28818588235294113</v>
      </c>
      <c r="HC108" s="13">
        <v>0.23054870588235291</v>
      </c>
      <c r="HD108" s="13">
        <v>0.28818588235294113</v>
      </c>
      <c r="HE108" s="13">
        <v>1.1527435294117645</v>
      </c>
      <c r="HF108" s="13">
        <v>0.31700447058823528</v>
      </c>
      <c r="HG108" s="13">
        <v>5.7637176470588226E-2</v>
      </c>
      <c r="HH108" s="13">
        <v>0.5475531764705881</v>
      </c>
      <c r="HI108" s="13">
        <v>0.28818588235294113</v>
      </c>
      <c r="HJ108" s="13">
        <v>0.34582305882352932</v>
      </c>
      <c r="HK108" s="13">
        <v>0.20173011764705878</v>
      </c>
      <c r="HL108" s="13">
        <v>8.6455764705882301E-2</v>
      </c>
      <c r="HM108" s="13">
        <v>1.7002967058823499</v>
      </c>
      <c r="HN108" s="13">
        <v>0.23054870588235299</v>
      </c>
      <c r="HO108" s="13">
        <v>0.69164611764705797</v>
      </c>
      <c r="HP108" s="13">
        <v>0.97983199999999904</v>
      </c>
      <c r="HQ108" s="13">
        <v>0.72046470588235201</v>
      </c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>
        <v>1.1527435294117601</v>
      </c>
      <c r="IE108" s="13"/>
      <c r="IF108" s="13"/>
      <c r="IG108" s="13"/>
      <c r="IH108" s="13">
        <v>0.11527435294117599</v>
      </c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</row>
    <row r="109" spans="1:341" s="14" customFormat="1">
      <c r="A109" s="15" t="s">
        <v>104</v>
      </c>
      <c r="B109" s="13">
        <f t="shared" si="100"/>
        <v>0</v>
      </c>
      <c r="C109" s="13">
        <f t="shared" si="101"/>
        <v>0</v>
      </c>
      <c r="D109" s="13">
        <f t="shared" si="102"/>
        <v>0</v>
      </c>
      <c r="E109" s="13">
        <f t="shared" si="103"/>
        <v>0</v>
      </c>
      <c r="F109" s="13">
        <f t="shared" si="104"/>
        <v>0</v>
      </c>
      <c r="G109" s="13">
        <f t="shared" si="105"/>
        <v>0</v>
      </c>
      <c r="H109" s="13">
        <f t="shared" si="106"/>
        <v>0</v>
      </c>
      <c r="I109" s="13">
        <f t="shared" si="107"/>
        <v>0</v>
      </c>
      <c r="J109" s="13">
        <f t="shared" si="108"/>
        <v>0</v>
      </c>
      <c r="K109" s="13">
        <f t="shared" si="109"/>
        <v>0</v>
      </c>
      <c r="L109" s="13">
        <f t="shared" si="110"/>
        <v>0</v>
      </c>
      <c r="M109" s="13">
        <f t="shared" si="111"/>
        <v>0</v>
      </c>
      <c r="N109" s="13">
        <f t="shared" si="112"/>
        <v>0</v>
      </c>
      <c r="O109" s="13">
        <f t="shared" si="113"/>
        <v>0</v>
      </c>
      <c r="P109" s="13">
        <f t="shared" si="114"/>
        <v>0</v>
      </c>
      <c r="Q109" s="13">
        <f t="shared" si="115"/>
        <v>0</v>
      </c>
      <c r="R109" s="13">
        <f t="shared" si="116"/>
        <v>0</v>
      </c>
      <c r="S109" s="13">
        <f t="shared" si="117"/>
        <v>0</v>
      </c>
      <c r="T109" s="13">
        <f t="shared" si="118"/>
        <v>0</v>
      </c>
      <c r="U109" s="13">
        <f t="shared" si="119"/>
        <v>0</v>
      </c>
      <c r="V109" s="13">
        <f t="shared" si="120"/>
        <v>0</v>
      </c>
      <c r="W109" s="13">
        <f t="shared" si="121"/>
        <v>0</v>
      </c>
      <c r="X109" s="13">
        <f t="shared" si="122"/>
        <v>0</v>
      </c>
      <c r="Y109" s="13">
        <f t="shared" si="123"/>
        <v>0</v>
      </c>
      <c r="Z109" s="13">
        <f t="shared" si="124"/>
        <v>0</v>
      </c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</row>
    <row r="110" spans="1:341" s="14" customFormat="1">
      <c r="A110" s="15" t="s">
        <v>105</v>
      </c>
      <c r="B110" s="13">
        <f t="shared" si="100"/>
        <v>0</v>
      </c>
      <c r="C110" s="13">
        <f t="shared" si="101"/>
        <v>0</v>
      </c>
      <c r="D110" s="13">
        <f t="shared" si="102"/>
        <v>0</v>
      </c>
      <c r="E110" s="13">
        <f t="shared" si="103"/>
        <v>0</v>
      </c>
      <c r="F110" s="13">
        <f t="shared" si="104"/>
        <v>0</v>
      </c>
      <c r="G110" s="13">
        <f t="shared" si="105"/>
        <v>0</v>
      </c>
      <c r="H110" s="13">
        <f t="shared" si="106"/>
        <v>0</v>
      </c>
      <c r="I110" s="13">
        <f t="shared" si="107"/>
        <v>0</v>
      </c>
      <c r="J110" s="13">
        <f t="shared" si="108"/>
        <v>0</v>
      </c>
      <c r="K110" s="13">
        <f t="shared" si="109"/>
        <v>0</v>
      </c>
      <c r="L110" s="13">
        <f t="shared" si="110"/>
        <v>0</v>
      </c>
      <c r="M110" s="13">
        <f t="shared" si="111"/>
        <v>0</v>
      </c>
      <c r="N110" s="13">
        <f t="shared" si="112"/>
        <v>0</v>
      </c>
      <c r="O110" s="13">
        <f t="shared" si="113"/>
        <v>0</v>
      </c>
      <c r="P110" s="13">
        <f t="shared" si="114"/>
        <v>0</v>
      </c>
      <c r="Q110" s="13">
        <f t="shared" si="115"/>
        <v>0</v>
      </c>
      <c r="R110" s="13">
        <f t="shared" si="116"/>
        <v>0</v>
      </c>
      <c r="S110" s="13">
        <f t="shared" si="117"/>
        <v>0</v>
      </c>
      <c r="T110" s="13">
        <f t="shared" si="118"/>
        <v>0</v>
      </c>
      <c r="U110" s="13">
        <f t="shared" si="119"/>
        <v>0</v>
      </c>
      <c r="V110" s="13">
        <f t="shared" si="120"/>
        <v>0</v>
      </c>
      <c r="W110" s="13">
        <f t="shared" si="121"/>
        <v>0</v>
      </c>
      <c r="X110" s="13">
        <f t="shared" si="122"/>
        <v>0</v>
      </c>
      <c r="Y110" s="13">
        <f t="shared" si="123"/>
        <v>0</v>
      </c>
      <c r="Z110" s="13">
        <f t="shared" si="124"/>
        <v>0</v>
      </c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</row>
    <row r="111" spans="1:341" s="14" customFormat="1">
      <c r="A111" s="12" t="s">
        <v>106</v>
      </c>
      <c r="B111" s="13">
        <f t="shared" si="100"/>
        <v>0</v>
      </c>
      <c r="C111" s="13">
        <f t="shared" si="101"/>
        <v>0</v>
      </c>
      <c r="D111" s="13">
        <f t="shared" si="102"/>
        <v>0</v>
      </c>
      <c r="E111" s="13">
        <f t="shared" si="103"/>
        <v>0</v>
      </c>
      <c r="F111" s="13">
        <f t="shared" si="104"/>
        <v>0</v>
      </c>
      <c r="G111" s="13">
        <f t="shared" si="105"/>
        <v>0</v>
      </c>
      <c r="H111" s="13">
        <f t="shared" si="106"/>
        <v>0</v>
      </c>
      <c r="I111" s="13">
        <f t="shared" si="107"/>
        <v>0</v>
      </c>
      <c r="J111" s="13">
        <f t="shared" si="108"/>
        <v>0</v>
      </c>
      <c r="K111" s="13">
        <f t="shared" si="109"/>
        <v>0</v>
      </c>
      <c r="L111" s="13">
        <f t="shared" si="110"/>
        <v>0</v>
      </c>
      <c r="M111" s="13">
        <f t="shared" si="111"/>
        <v>0</v>
      </c>
      <c r="N111" s="13">
        <f t="shared" si="112"/>
        <v>0</v>
      </c>
      <c r="O111" s="13">
        <f t="shared" si="113"/>
        <v>0</v>
      </c>
      <c r="P111" s="13">
        <f t="shared" si="114"/>
        <v>0</v>
      </c>
      <c r="Q111" s="13">
        <f t="shared" si="115"/>
        <v>0</v>
      </c>
      <c r="R111" s="13">
        <f t="shared" si="116"/>
        <v>0</v>
      </c>
      <c r="S111" s="13">
        <f t="shared" si="117"/>
        <v>0</v>
      </c>
      <c r="T111" s="13">
        <f t="shared" si="118"/>
        <v>0</v>
      </c>
      <c r="U111" s="13">
        <f t="shared" si="119"/>
        <v>0</v>
      </c>
      <c r="V111" s="13">
        <f t="shared" si="120"/>
        <v>0</v>
      </c>
      <c r="W111" s="13">
        <f t="shared" si="121"/>
        <v>0</v>
      </c>
      <c r="X111" s="13">
        <f t="shared" si="122"/>
        <v>0</v>
      </c>
      <c r="Y111" s="13">
        <f t="shared" si="123"/>
        <v>0</v>
      </c>
      <c r="Z111" s="13">
        <f t="shared" si="124"/>
        <v>0</v>
      </c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</row>
    <row r="112" spans="1:341" s="14" customFormat="1">
      <c r="A112" s="12" t="s">
        <v>107</v>
      </c>
      <c r="B112" s="13">
        <f t="shared" si="100"/>
        <v>0</v>
      </c>
      <c r="C112" s="13">
        <f t="shared" si="101"/>
        <v>0</v>
      </c>
      <c r="D112" s="13">
        <f t="shared" si="102"/>
        <v>0</v>
      </c>
      <c r="E112" s="13">
        <f t="shared" si="103"/>
        <v>0</v>
      </c>
      <c r="F112" s="13">
        <f t="shared" si="104"/>
        <v>0</v>
      </c>
      <c r="G112" s="13">
        <f t="shared" si="105"/>
        <v>0</v>
      </c>
      <c r="H112" s="13">
        <f t="shared" si="106"/>
        <v>0</v>
      </c>
      <c r="I112" s="13">
        <f t="shared" si="107"/>
        <v>0</v>
      </c>
      <c r="J112" s="13">
        <f t="shared" si="108"/>
        <v>0</v>
      </c>
      <c r="K112" s="13">
        <f t="shared" si="109"/>
        <v>0</v>
      </c>
      <c r="L112" s="13">
        <f t="shared" si="110"/>
        <v>0</v>
      </c>
      <c r="M112" s="13">
        <f t="shared" si="111"/>
        <v>0</v>
      </c>
      <c r="N112" s="13">
        <f t="shared" si="112"/>
        <v>1.7291152941176466E-4</v>
      </c>
      <c r="O112" s="13">
        <f t="shared" si="113"/>
        <v>5.3890759999999996E-3</v>
      </c>
      <c r="P112" s="13">
        <f t="shared" si="114"/>
        <v>0</v>
      </c>
      <c r="Q112" s="13">
        <f t="shared" si="115"/>
        <v>2.8134434950588232</v>
      </c>
      <c r="R112" s="13">
        <f t="shared" si="116"/>
        <v>0</v>
      </c>
      <c r="S112" s="13">
        <f t="shared" si="117"/>
        <v>0</v>
      </c>
      <c r="T112" s="13">
        <f t="shared" si="118"/>
        <v>0</v>
      </c>
      <c r="U112" s="13">
        <f t="shared" si="119"/>
        <v>19.12784907035293</v>
      </c>
      <c r="V112" s="13">
        <f t="shared" si="120"/>
        <v>7.2271543762352897</v>
      </c>
      <c r="W112" s="13">
        <f t="shared" si="121"/>
        <v>17.366254182117636</v>
      </c>
      <c r="X112" s="13">
        <f t="shared" si="122"/>
        <v>20.895208391020411</v>
      </c>
      <c r="Y112" s="13">
        <f t="shared" si="123"/>
        <v>4.6872063411428568</v>
      </c>
      <c r="Z112" s="13">
        <f t="shared" si="124"/>
        <v>0</v>
      </c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>
        <v>0.17291152941176466</v>
      </c>
      <c r="FZ112" s="13"/>
      <c r="GA112" s="13"/>
      <c r="GB112" s="13"/>
      <c r="GC112" s="13"/>
      <c r="GD112" s="13"/>
      <c r="GE112" s="13"/>
      <c r="GF112" s="13">
        <v>0.20173011764705878</v>
      </c>
      <c r="GG112" s="13"/>
      <c r="GH112" s="13"/>
      <c r="GI112" s="13"/>
      <c r="GJ112" s="13"/>
      <c r="GK112" s="13"/>
      <c r="GL112" s="13"/>
      <c r="GM112" s="13">
        <v>5.1873458823529406</v>
      </c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>
        <v>5.1873458823529406</v>
      </c>
      <c r="HA112" s="13">
        <v>10.374691764705881</v>
      </c>
      <c r="HB112" s="13"/>
      <c r="HC112" s="13">
        <v>5.1873458823529406</v>
      </c>
      <c r="HD112" s="13">
        <v>5.1873458823529406</v>
      </c>
      <c r="HE112" s="13"/>
      <c r="HF112" s="13">
        <v>5.1873458823529406</v>
      </c>
      <c r="HG112" s="13"/>
      <c r="HH112" s="13">
        <v>10.374691764705881</v>
      </c>
      <c r="HI112" s="13">
        <v>5.1873458823529406</v>
      </c>
      <c r="HJ112" s="13">
        <v>8.6455764705882334</v>
      </c>
      <c r="HK112" s="13">
        <v>2758.1118056470586</v>
      </c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>
        <v>1153.0605338823523</v>
      </c>
      <c r="IZ112" s="13">
        <v>1166.3170844705874</v>
      </c>
      <c r="JA112" s="13">
        <v>1441.3905091764698</v>
      </c>
      <c r="JB112" s="13"/>
      <c r="JC112" s="13">
        <v>2650.9066574117628</v>
      </c>
      <c r="JD112" s="13">
        <v>612.65436729411726</v>
      </c>
      <c r="JE112" s="13">
        <v>3428.864446823527</v>
      </c>
      <c r="JF112" s="13">
        <v>4525.2974999999997</v>
      </c>
      <c r="JG112" s="13">
        <v>4149.3579712941155</v>
      </c>
      <c r="JH112" s="13">
        <v>1.3256550588235285</v>
      </c>
      <c r="JI112" s="13"/>
      <c r="JJ112" s="13"/>
      <c r="JK112" s="13">
        <v>1431.6210077647052</v>
      </c>
      <c r="JL112" s="13"/>
      <c r="JM112" s="13"/>
      <c r="JN112" s="13">
        <v>1437.7881856470578</v>
      </c>
      <c r="JO112" s="13">
        <v>1464.3301054117637</v>
      </c>
      <c r="JP112" s="13"/>
      <c r="JQ112" s="13"/>
      <c r="JR112" s="13">
        <v>2892.0894223529394</v>
      </c>
      <c r="JS112" s="13"/>
      <c r="JT112" s="13"/>
      <c r="JU112" s="13">
        <v>1436.8083536470579</v>
      </c>
      <c r="JV112" s="13">
        <v>1150.2651308235288</v>
      </c>
      <c r="JW112" s="13"/>
      <c r="JX112" s="13">
        <v>3765.1773715294094</v>
      </c>
      <c r="JY112" s="13">
        <v>1441.0446861176461</v>
      </c>
      <c r="JZ112" s="13">
        <v>2600.15712352941</v>
      </c>
      <c r="KA112" s="13">
        <v>2616.2955329411748</v>
      </c>
      <c r="KB112" s="13">
        <v>1838.078376235293</v>
      </c>
      <c r="KC112" s="13">
        <v>1371.4189769411755</v>
      </c>
      <c r="KD112" s="13">
        <v>1147.0086303529404</v>
      </c>
      <c r="KE112" s="13"/>
      <c r="KF112" s="13"/>
      <c r="KG112" s="13"/>
      <c r="KH112" s="13"/>
      <c r="KI112" s="13">
        <v>2250.7220536054419</v>
      </c>
      <c r="KJ112" s="13"/>
      <c r="KK112" s="13">
        <v>2094.9289069387755</v>
      </c>
      <c r="KL112" s="13">
        <v>2428.3214416326532</v>
      </c>
      <c r="KM112" s="13">
        <v>4812.3705142857143</v>
      </c>
      <c r="KN112" s="13"/>
      <c r="KO112" s="13">
        <v>2399.3164410884356</v>
      </c>
      <c r="KP112" s="13">
        <v>2851.788450612245</v>
      </c>
      <c r="KQ112" s="13">
        <v>4057.7605828571432</v>
      </c>
      <c r="KR112" s="13"/>
      <c r="KS112" s="13"/>
      <c r="KT112" s="13"/>
      <c r="KU112" s="13"/>
      <c r="KV112" s="13"/>
      <c r="KW112" s="13"/>
      <c r="KX112" s="13"/>
      <c r="KY112" s="13"/>
      <c r="KZ112" s="13">
        <v>2283.2385205714281</v>
      </c>
      <c r="LA112" s="13">
        <v>1201.2640337142859</v>
      </c>
      <c r="LB112" s="13"/>
      <c r="LC112" s="13">
        <v>1202.7037868571429</v>
      </c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</row>
    <row r="113" spans="1:341" s="14" customFormat="1">
      <c r="A113" s="15" t="s">
        <v>108</v>
      </c>
      <c r="B113" s="13">
        <f t="shared" si="100"/>
        <v>0</v>
      </c>
      <c r="C113" s="13">
        <f t="shared" si="101"/>
        <v>0</v>
      </c>
      <c r="D113" s="13">
        <f t="shared" si="102"/>
        <v>0</v>
      </c>
      <c r="E113" s="13">
        <f t="shared" si="103"/>
        <v>0</v>
      </c>
      <c r="F113" s="13">
        <f t="shared" si="104"/>
        <v>0</v>
      </c>
      <c r="G113" s="13">
        <f t="shared" si="105"/>
        <v>0</v>
      </c>
      <c r="H113" s="13">
        <f t="shared" si="106"/>
        <v>0</v>
      </c>
      <c r="I113" s="13">
        <f t="shared" si="107"/>
        <v>0</v>
      </c>
      <c r="J113" s="13">
        <f t="shared" si="108"/>
        <v>0</v>
      </c>
      <c r="K113" s="13">
        <f t="shared" si="109"/>
        <v>0</v>
      </c>
      <c r="L113" s="13">
        <f t="shared" si="110"/>
        <v>0</v>
      </c>
      <c r="M113" s="13">
        <f t="shared" si="111"/>
        <v>0</v>
      </c>
      <c r="N113" s="13">
        <f t="shared" si="112"/>
        <v>0</v>
      </c>
      <c r="O113" s="13">
        <f t="shared" si="113"/>
        <v>0</v>
      </c>
      <c r="P113" s="13">
        <f t="shared" si="114"/>
        <v>0</v>
      </c>
      <c r="Q113" s="13">
        <f t="shared" si="115"/>
        <v>0</v>
      </c>
      <c r="R113" s="13">
        <f t="shared" si="116"/>
        <v>0</v>
      </c>
      <c r="S113" s="13">
        <f t="shared" si="117"/>
        <v>0</v>
      </c>
      <c r="T113" s="13">
        <f t="shared" si="118"/>
        <v>0</v>
      </c>
      <c r="U113" s="13">
        <f t="shared" si="119"/>
        <v>0</v>
      </c>
      <c r="V113" s="13">
        <f t="shared" si="120"/>
        <v>0</v>
      </c>
      <c r="W113" s="13">
        <f t="shared" si="121"/>
        <v>0</v>
      </c>
      <c r="X113" s="13">
        <f t="shared" si="122"/>
        <v>0</v>
      </c>
      <c r="Y113" s="13">
        <f t="shared" si="123"/>
        <v>0</v>
      </c>
      <c r="Z113" s="13">
        <f t="shared" si="124"/>
        <v>0</v>
      </c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</row>
    <row r="114" spans="1:341" s="14" customFormat="1">
      <c r="A114" s="15" t="s">
        <v>109</v>
      </c>
      <c r="B114" s="13">
        <f t="shared" si="100"/>
        <v>0</v>
      </c>
      <c r="C114" s="13">
        <f t="shared" si="101"/>
        <v>0</v>
      </c>
      <c r="D114" s="13">
        <f t="shared" si="102"/>
        <v>0</v>
      </c>
      <c r="E114" s="13">
        <f t="shared" si="103"/>
        <v>0</v>
      </c>
      <c r="F114" s="13">
        <f t="shared" si="104"/>
        <v>0</v>
      </c>
      <c r="G114" s="13">
        <f t="shared" si="105"/>
        <v>0</v>
      </c>
      <c r="H114" s="13">
        <f t="shared" si="106"/>
        <v>0</v>
      </c>
      <c r="I114" s="13">
        <f t="shared" si="107"/>
        <v>0</v>
      </c>
      <c r="J114" s="13">
        <f t="shared" si="108"/>
        <v>0</v>
      </c>
      <c r="K114" s="13">
        <f t="shared" si="109"/>
        <v>0</v>
      </c>
      <c r="L114" s="13">
        <f t="shared" si="110"/>
        <v>0</v>
      </c>
      <c r="M114" s="13">
        <f t="shared" si="111"/>
        <v>0</v>
      </c>
      <c r="N114" s="13">
        <f t="shared" si="112"/>
        <v>0</v>
      </c>
      <c r="O114" s="13">
        <f t="shared" si="113"/>
        <v>0</v>
      </c>
      <c r="P114" s="13">
        <f t="shared" si="114"/>
        <v>0</v>
      </c>
      <c r="Q114" s="13">
        <f t="shared" si="115"/>
        <v>0</v>
      </c>
      <c r="R114" s="13">
        <f t="shared" si="116"/>
        <v>0</v>
      </c>
      <c r="S114" s="13">
        <f t="shared" si="117"/>
        <v>0</v>
      </c>
      <c r="T114" s="13">
        <f t="shared" si="118"/>
        <v>0</v>
      </c>
      <c r="U114" s="13">
        <f t="shared" si="119"/>
        <v>0</v>
      </c>
      <c r="V114" s="13">
        <f t="shared" si="120"/>
        <v>0</v>
      </c>
      <c r="W114" s="13">
        <f t="shared" si="121"/>
        <v>0</v>
      </c>
      <c r="X114" s="13">
        <f t="shared" si="122"/>
        <v>0</v>
      </c>
      <c r="Y114" s="13">
        <f t="shared" si="123"/>
        <v>0</v>
      </c>
      <c r="Z114" s="13">
        <f t="shared" si="124"/>
        <v>0</v>
      </c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</row>
    <row r="115" spans="1:341" s="14" customFormat="1">
      <c r="A115" s="15" t="s">
        <v>110</v>
      </c>
      <c r="B115" s="13">
        <f t="shared" si="100"/>
        <v>0</v>
      </c>
      <c r="C115" s="13">
        <f t="shared" si="101"/>
        <v>0</v>
      </c>
      <c r="D115" s="13">
        <f t="shared" si="102"/>
        <v>0</v>
      </c>
      <c r="E115" s="13">
        <f t="shared" si="103"/>
        <v>0</v>
      </c>
      <c r="F115" s="13">
        <f t="shared" si="104"/>
        <v>0</v>
      </c>
      <c r="G115" s="13">
        <f t="shared" si="105"/>
        <v>0</v>
      </c>
      <c r="H115" s="13">
        <f t="shared" si="106"/>
        <v>0</v>
      </c>
      <c r="I115" s="13">
        <f t="shared" si="107"/>
        <v>0</v>
      </c>
      <c r="J115" s="13">
        <f t="shared" si="108"/>
        <v>0</v>
      </c>
      <c r="K115" s="13">
        <f t="shared" si="109"/>
        <v>0</v>
      </c>
      <c r="L115" s="13">
        <f t="shared" si="110"/>
        <v>0</v>
      </c>
      <c r="M115" s="13">
        <f t="shared" si="111"/>
        <v>0</v>
      </c>
      <c r="N115" s="13">
        <f t="shared" si="112"/>
        <v>0</v>
      </c>
      <c r="O115" s="13">
        <f t="shared" si="113"/>
        <v>0</v>
      </c>
      <c r="P115" s="13">
        <f t="shared" si="114"/>
        <v>0</v>
      </c>
      <c r="Q115" s="13">
        <f t="shared" si="115"/>
        <v>0</v>
      </c>
      <c r="R115" s="13">
        <f t="shared" si="116"/>
        <v>0</v>
      </c>
      <c r="S115" s="13">
        <f t="shared" si="117"/>
        <v>0</v>
      </c>
      <c r="T115" s="13">
        <f t="shared" si="118"/>
        <v>0</v>
      </c>
      <c r="U115" s="13">
        <f t="shared" si="119"/>
        <v>0</v>
      </c>
      <c r="V115" s="13">
        <f t="shared" si="120"/>
        <v>0</v>
      </c>
      <c r="W115" s="13">
        <f t="shared" si="121"/>
        <v>0</v>
      </c>
      <c r="X115" s="13">
        <f t="shared" si="122"/>
        <v>0</v>
      </c>
      <c r="Y115" s="13">
        <f t="shared" si="123"/>
        <v>0</v>
      </c>
      <c r="Z115" s="13">
        <f t="shared" si="124"/>
        <v>0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</row>
    <row r="116" spans="1:341" s="14" customFormat="1">
      <c r="A116" s="15" t="s">
        <v>111</v>
      </c>
      <c r="B116" s="13">
        <f t="shared" si="100"/>
        <v>0</v>
      </c>
      <c r="C116" s="13">
        <f t="shared" si="101"/>
        <v>0</v>
      </c>
      <c r="D116" s="13">
        <f t="shared" si="102"/>
        <v>0</v>
      </c>
      <c r="E116" s="13">
        <f t="shared" si="103"/>
        <v>0</v>
      </c>
      <c r="F116" s="13">
        <f t="shared" si="104"/>
        <v>0</v>
      </c>
      <c r="G116" s="13">
        <f t="shared" si="105"/>
        <v>0</v>
      </c>
      <c r="H116" s="13">
        <f t="shared" si="106"/>
        <v>0</v>
      </c>
      <c r="I116" s="13">
        <f t="shared" si="107"/>
        <v>0</v>
      </c>
      <c r="J116" s="13">
        <f t="shared" si="108"/>
        <v>0</v>
      </c>
      <c r="K116" s="13">
        <f t="shared" si="109"/>
        <v>0</v>
      </c>
      <c r="L116" s="13">
        <f t="shared" si="110"/>
        <v>0</v>
      </c>
      <c r="M116" s="13">
        <f t="shared" si="111"/>
        <v>0</v>
      </c>
      <c r="N116" s="13">
        <f t="shared" si="112"/>
        <v>0</v>
      </c>
      <c r="O116" s="13">
        <f t="shared" si="113"/>
        <v>0</v>
      </c>
      <c r="P116" s="13">
        <f t="shared" si="114"/>
        <v>0</v>
      </c>
      <c r="Q116" s="13">
        <f t="shared" si="115"/>
        <v>0</v>
      </c>
      <c r="R116" s="13">
        <f t="shared" si="116"/>
        <v>0</v>
      </c>
      <c r="S116" s="13">
        <f t="shared" si="117"/>
        <v>0</v>
      </c>
      <c r="T116" s="13">
        <f t="shared" si="118"/>
        <v>0</v>
      </c>
      <c r="U116" s="13">
        <f t="shared" si="119"/>
        <v>0</v>
      </c>
      <c r="V116" s="13">
        <f t="shared" si="120"/>
        <v>0</v>
      </c>
      <c r="W116" s="13">
        <f t="shared" si="121"/>
        <v>0</v>
      </c>
      <c r="X116" s="13">
        <f t="shared" si="122"/>
        <v>0</v>
      </c>
      <c r="Y116" s="13">
        <f t="shared" si="123"/>
        <v>0</v>
      </c>
      <c r="Z116" s="13">
        <f t="shared" si="124"/>
        <v>0</v>
      </c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</row>
    <row r="117" spans="1:341" s="14" customFormat="1">
      <c r="A117" s="15" t="s">
        <v>112</v>
      </c>
      <c r="B117" s="13">
        <f t="shared" si="100"/>
        <v>0</v>
      </c>
      <c r="C117" s="13">
        <f t="shared" si="101"/>
        <v>0</v>
      </c>
      <c r="D117" s="13">
        <f t="shared" si="102"/>
        <v>0</v>
      </c>
      <c r="E117" s="13">
        <f t="shared" si="103"/>
        <v>0</v>
      </c>
      <c r="F117" s="13">
        <f t="shared" si="104"/>
        <v>0</v>
      </c>
      <c r="G117" s="13">
        <f t="shared" si="105"/>
        <v>6.8308699694117632</v>
      </c>
      <c r="H117" s="13">
        <f t="shared" si="106"/>
        <v>7.3745614550588225</v>
      </c>
      <c r="I117" s="13">
        <f t="shared" si="107"/>
        <v>1.1212159938823529</v>
      </c>
      <c r="J117" s="13">
        <f t="shared" si="108"/>
        <v>2.8336453254117644</v>
      </c>
      <c r="K117" s="13">
        <f t="shared" si="109"/>
        <v>2.4981969583529406</v>
      </c>
      <c r="L117" s="13">
        <f t="shared" si="110"/>
        <v>1.569921412705882</v>
      </c>
      <c r="M117" s="13">
        <f t="shared" si="111"/>
        <v>4.9088142270588229</v>
      </c>
      <c r="N117" s="13">
        <f t="shared" si="112"/>
        <v>15.634631670823529</v>
      </c>
      <c r="O117" s="13">
        <f t="shared" si="113"/>
        <v>35.364471185647055</v>
      </c>
      <c r="P117" s="13">
        <f t="shared" si="114"/>
        <v>18.67888323905882</v>
      </c>
      <c r="Q117" s="13">
        <f t="shared" si="115"/>
        <v>22.248526489411759</v>
      </c>
      <c r="R117" s="13">
        <f t="shared" si="116"/>
        <v>1.0223394176470577</v>
      </c>
      <c r="S117" s="13">
        <f t="shared" si="117"/>
        <v>2.1906449847058811</v>
      </c>
      <c r="T117" s="13">
        <f t="shared" si="118"/>
        <v>0</v>
      </c>
      <c r="U117" s="13">
        <f t="shared" si="119"/>
        <v>0</v>
      </c>
      <c r="V117" s="13">
        <f t="shared" si="120"/>
        <v>0.21066387999999989</v>
      </c>
      <c r="W117" s="13">
        <f t="shared" si="121"/>
        <v>0.37743705011764683</v>
      </c>
      <c r="X117" s="13">
        <f t="shared" si="122"/>
        <v>1.6797104761904762E-3</v>
      </c>
      <c r="Y117" s="13">
        <f t="shared" si="123"/>
        <v>0</v>
      </c>
      <c r="Z117" s="13">
        <f t="shared" si="124"/>
        <v>0.8998212000000001</v>
      </c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>
        <v>947.98745999999983</v>
      </c>
      <c r="CK117" s="13">
        <v>518.53285811764692</v>
      </c>
      <c r="CL117" s="13">
        <v>202.24885223529407</v>
      </c>
      <c r="CM117" s="13">
        <v>15.389126117647056</v>
      </c>
      <c r="CN117" s="13">
        <v>887.98715929411753</v>
      </c>
      <c r="CO117" s="13">
        <v>985.45162470588218</v>
      </c>
      <c r="CP117" s="13">
        <v>837.41053694117636</v>
      </c>
      <c r="CQ117" s="13">
        <v>1296.3753731764702</v>
      </c>
      <c r="CR117" s="13">
        <v>12.247899999999998</v>
      </c>
      <c r="CS117" s="13">
        <v>811.87726776470572</v>
      </c>
      <c r="CT117" s="13">
        <v>164.32359011764703</v>
      </c>
      <c r="CU117" s="13">
        <v>151.03822094117646</v>
      </c>
      <c r="CV117" s="13">
        <v>674.326146117647</v>
      </c>
      <c r="CW117" s="13">
        <v>1086.1149534117646</v>
      </c>
      <c r="CX117" s="13">
        <v>1186.5765519999998</v>
      </c>
      <c r="CY117" s="13">
        <v>5.475531764705881</v>
      </c>
      <c r="CZ117" s="13">
        <v>1274.1562416470586</v>
      </c>
      <c r="DA117" s="13">
        <v>301.24070282352932</v>
      </c>
      <c r="DB117" s="13">
        <v>1544.3881435294115</v>
      </c>
      <c r="DC117" s="13">
        <v>983.26141199999984</v>
      </c>
      <c r="DD117" s="13">
        <v>5.475531764705881</v>
      </c>
      <c r="DE117" s="13">
        <v>299.1369458823529</v>
      </c>
      <c r="DF117" s="13">
        <v>5.475531764705881</v>
      </c>
      <c r="DG117" s="13">
        <v>8.9337623529411747</v>
      </c>
      <c r="DH117" s="13"/>
      <c r="DI117" s="13"/>
      <c r="DJ117" s="13">
        <v>22.363224470588229</v>
      </c>
      <c r="DK117" s="13">
        <v>5.475531764705881</v>
      </c>
      <c r="DL117" s="13"/>
      <c r="DM117" s="13">
        <v>5.475531764705881</v>
      </c>
      <c r="DN117" s="13">
        <v>5.475531764705881</v>
      </c>
      <c r="DO117" s="13"/>
      <c r="DP117" s="13">
        <v>5.475531764705881</v>
      </c>
      <c r="DQ117" s="13">
        <v>408.99340423529407</v>
      </c>
      <c r="DR117" s="13">
        <v>667.95723811764697</v>
      </c>
      <c r="DS117" s="13"/>
      <c r="DT117" s="13">
        <v>5.475531764705881</v>
      </c>
      <c r="DU117" s="13">
        <v>404.52652305882344</v>
      </c>
      <c r="DV117" s="13">
        <v>587.23637247058809</v>
      </c>
      <c r="DW117" s="13"/>
      <c r="DX117" s="13">
        <v>539.85861341176462</v>
      </c>
      <c r="DY117" s="13">
        <v>316.86037764705878</v>
      </c>
      <c r="DZ117" s="13">
        <v>612.27972564705874</v>
      </c>
      <c r="EA117" s="13">
        <v>16.426595294117643</v>
      </c>
      <c r="EB117" s="13"/>
      <c r="EC117" s="13">
        <v>10.951063529411762</v>
      </c>
      <c r="ED117" s="13"/>
      <c r="EE117" s="13">
        <v>340.03052258823527</v>
      </c>
      <c r="EF117" s="13">
        <v>495.76617341176461</v>
      </c>
      <c r="EG117" s="13">
        <v>4.2651510588235286</v>
      </c>
      <c r="EH117" s="13">
        <v>25.100990352941171</v>
      </c>
      <c r="EI117" s="13">
        <v>23.861791058823524</v>
      </c>
      <c r="EJ117" s="13">
        <v>28.299853647058818</v>
      </c>
      <c r="EK117" s="13">
        <v>26.138459529411762</v>
      </c>
      <c r="EL117" s="13">
        <v>33.170195058823523</v>
      </c>
      <c r="EM117" s="13">
        <v>268.67569811764702</v>
      </c>
      <c r="EN117" s="13">
        <v>491.70275247058817</v>
      </c>
      <c r="EO117" s="13">
        <v>5.475531764705881</v>
      </c>
      <c r="EP117" s="13">
        <v>1086.5184136470587</v>
      </c>
      <c r="EQ117" s="13">
        <v>9.221948235294116</v>
      </c>
      <c r="ER117" s="13">
        <v>287.69596635294113</v>
      </c>
      <c r="ES117" s="13">
        <v>296.600910117647</v>
      </c>
      <c r="ET117" s="13"/>
      <c r="EU117" s="13">
        <v>406.31327552941173</v>
      </c>
      <c r="EV117" s="13">
        <v>21.095206588235293</v>
      </c>
      <c r="EW117" s="13">
        <v>11.613891058823526</v>
      </c>
      <c r="EX117" s="13">
        <v>32.680279058823523</v>
      </c>
      <c r="EY117" s="13">
        <v>1.1527435294117645</v>
      </c>
      <c r="EZ117" s="13">
        <v>260.17421458823526</v>
      </c>
      <c r="FA117" s="13">
        <v>228.76195341176467</v>
      </c>
      <c r="FB117" s="13">
        <v>11.469798117647056</v>
      </c>
      <c r="FC117" s="13">
        <v>12.363174352941174</v>
      </c>
      <c r="FD117" s="13">
        <v>447.81204258823522</v>
      </c>
      <c r="FE117" s="13">
        <v>778.67825411764693</v>
      </c>
      <c r="FF117" s="13">
        <v>333.48870305882349</v>
      </c>
      <c r="FG117" s="13">
        <v>293.51732117647055</v>
      </c>
      <c r="FH117" s="13">
        <v>58.415278352941165</v>
      </c>
      <c r="FI117" s="13">
        <v>637.2366230588234</v>
      </c>
      <c r="FJ117" s="13">
        <v>205.76471999999995</v>
      </c>
      <c r="FK117" s="13">
        <v>1329.3150195294115</v>
      </c>
      <c r="FL117" s="13">
        <v>233.17119741176467</v>
      </c>
      <c r="FM117" s="13">
        <v>37.291253176470583</v>
      </c>
      <c r="FN117" s="13">
        <v>393.28727364705878</v>
      </c>
      <c r="FO117" s="13">
        <v>160.83654094117645</v>
      </c>
      <c r="FP117" s="13">
        <v>432.30764211764694</v>
      </c>
      <c r="FQ117" s="13">
        <v>269.10797694117639</v>
      </c>
      <c r="FR117" s="13">
        <v>833.77939482352917</v>
      </c>
      <c r="FS117" s="13">
        <v>14.034652470588233</v>
      </c>
      <c r="FT117" s="13">
        <v>624.3258955294117</v>
      </c>
      <c r="FU117" s="13">
        <v>1606.7227498823527</v>
      </c>
      <c r="FV117" s="13">
        <v>526.11214682352932</v>
      </c>
      <c r="FW117" s="13">
        <v>1099.976694352941</v>
      </c>
      <c r="FX117" s="13">
        <v>1152.8588037647057</v>
      </c>
      <c r="FY117" s="13">
        <v>973.60718494117634</v>
      </c>
      <c r="FZ117" s="13">
        <v>4261.1740936470587</v>
      </c>
      <c r="GA117" s="13">
        <v>3840.6244355294111</v>
      </c>
      <c r="GB117" s="13">
        <v>3586.5885802352932</v>
      </c>
      <c r="GC117" s="13">
        <v>773.75027552941162</v>
      </c>
      <c r="GD117" s="13">
        <v>262.24915294117642</v>
      </c>
      <c r="GE117" s="13">
        <v>2595.8055167058819</v>
      </c>
      <c r="GF117" s="13">
        <v>2748.9474945882348</v>
      </c>
      <c r="GG117" s="13">
        <v>7872.4025668235272</v>
      </c>
      <c r="GH117" s="13">
        <v>2899.4381623529407</v>
      </c>
      <c r="GI117" s="13">
        <v>5729.1641597647049</v>
      </c>
      <c r="GJ117" s="13">
        <v>1453.897776470588</v>
      </c>
      <c r="GK117" s="13">
        <v>175.6781138823529</v>
      </c>
      <c r="GL117" s="13">
        <v>242.19141552941173</v>
      </c>
      <c r="GM117" s="13">
        <v>7024.3579708235284</v>
      </c>
      <c r="GN117" s="13">
        <v>1005.2211762352939</v>
      </c>
      <c r="GO117" s="13">
        <v>435.50650541176464</v>
      </c>
      <c r="GP117" s="13">
        <v>154.43881435294114</v>
      </c>
      <c r="GQ117" s="13">
        <v>146.16787952941175</v>
      </c>
      <c r="GR117" s="13">
        <v>4189.9057249411753</v>
      </c>
      <c r="GS117" s="13">
        <v>1923.525490352941</v>
      </c>
      <c r="GT117" s="13">
        <v>575.50720705882338</v>
      </c>
      <c r="GU117" s="13">
        <v>1621.1032254117645</v>
      </c>
      <c r="GV117" s="13">
        <v>9.4524969411764683</v>
      </c>
      <c r="GW117" s="13">
        <v>2169.6074152941173</v>
      </c>
      <c r="GX117" s="13">
        <v>3729.0964990588227</v>
      </c>
      <c r="GY117" s="13">
        <v>2719.3508044705877</v>
      </c>
      <c r="GZ117" s="13">
        <v>3851.5754990588225</v>
      </c>
      <c r="HA117" s="13">
        <v>4577.6021924705874</v>
      </c>
      <c r="HB117" s="13">
        <v>1504.2726687058821</v>
      </c>
      <c r="HC117" s="13">
        <v>86.888043529411746</v>
      </c>
      <c r="HD117" s="13">
        <v>2603.0678009411763</v>
      </c>
      <c r="HE117" s="13">
        <v>3324.3394272941168</v>
      </c>
      <c r="HF117" s="13">
        <v>151.38404399999996</v>
      </c>
      <c r="HG117" s="13">
        <v>1223.1185218823528</v>
      </c>
      <c r="HH117" s="13">
        <v>2781.5124992941169</v>
      </c>
      <c r="HI117" s="13">
        <v>130.63466047058822</v>
      </c>
      <c r="HJ117" s="13">
        <v>1060.495228470588</v>
      </c>
      <c r="HK117" s="13">
        <v>953.6359032941175</v>
      </c>
      <c r="HL117" s="13">
        <v>550.60794682352901</v>
      </c>
      <c r="HM117" s="13">
        <v>11.296886588235299</v>
      </c>
      <c r="HN117" s="13">
        <v>86.830406352941097</v>
      </c>
      <c r="HO117" s="13">
        <v>129.56837270588201</v>
      </c>
      <c r="HP117" s="13">
        <v>195.015386588235</v>
      </c>
      <c r="HQ117" s="13">
        <v>49.020418588235302</v>
      </c>
      <c r="HR117" s="13"/>
      <c r="HS117" s="13"/>
      <c r="HT117" s="13"/>
      <c r="HU117" s="13"/>
      <c r="HV117" s="13"/>
      <c r="HW117" s="13"/>
      <c r="HX117" s="13">
        <v>208.12784423529399</v>
      </c>
      <c r="HY117" s="13">
        <v>54.409494588235297</v>
      </c>
      <c r="HZ117" s="13">
        <v>308.589442823529</v>
      </c>
      <c r="IA117" s="13">
        <v>80.317405411764696</v>
      </c>
      <c r="IB117" s="13">
        <v>91.326106117647001</v>
      </c>
      <c r="IC117" s="13">
        <v>276.51435411764697</v>
      </c>
      <c r="ID117" s="13">
        <v>104.61147529411799</v>
      </c>
      <c r="IE117" s="13">
        <v>179.597441882353</v>
      </c>
      <c r="IF117" s="13">
        <v>287.782422117647</v>
      </c>
      <c r="IG117" s="13">
        <v>282.42216470588198</v>
      </c>
      <c r="IH117" s="13">
        <v>262.71025035294099</v>
      </c>
      <c r="II117" s="13">
        <v>54.236583058823499</v>
      </c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>
        <v>5.5043503529411728</v>
      </c>
      <c r="JN117" s="13">
        <v>36.138509647058804</v>
      </c>
      <c r="JO117" s="13">
        <v>28.299853647058807</v>
      </c>
      <c r="JP117" s="13">
        <v>30.345973411764685</v>
      </c>
      <c r="JQ117" s="13">
        <v>31.815721411764684</v>
      </c>
      <c r="JR117" s="13">
        <v>43.573705411764678</v>
      </c>
      <c r="JS117" s="13">
        <v>34.985766117647039</v>
      </c>
      <c r="JT117" s="13">
        <v>41.959864470588208</v>
      </c>
      <c r="JU117" s="13">
        <v>44.928179058823503</v>
      </c>
      <c r="JV117" s="13">
        <v>48.761051294117621</v>
      </c>
      <c r="JW117" s="13">
        <v>18.760900941176459</v>
      </c>
      <c r="JX117" s="13">
        <v>9.7118642352941116</v>
      </c>
      <c r="JY117" s="13">
        <v>47.406577647058796</v>
      </c>
      <c r="JZ117" s="13">
        <v>55.93687976470585</v>
      </c>
      <c r="KA117" s="13">
        <v>17.060604235294104</v>
      </c>
      <c r="KB117" s="13">
        <v>24.121158352941162</v>
      </c>
      <c r="KC117" s="13">
        <v>27.752300470588217</v>
      </c>
      <c r="KD117" s="13">
        <v>41.037669647058799</v>
      </c>
      <c r="KE117" s="13"/>
      <c r="KF117" s="13"/>
      <c r="KG117" s="13"/>
      <c r="KH117" s="13"/>
      <c r="KI117" s="13"/>
      <c r="KJ117" s="13"/>
      <c r="KK117" s="13"/>
      <c r="KL117" s="13"/>
      <c r="KM117" s="13">
        <v>1.6797104761904762</v>
      </c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>
        <v>599.86710000000005</v>
      </c>
      <c r="LI117" s="13"/>
      <c r="LJ117" s="13"/>
      <c r="LK117" s="13">
        <v>299.95409999999998</v>
      </c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</row>
    <row r="118" spans="1:341" s="14" customFormat="1">
      <c r="A118" s="15" t="s">
        <v>113</v>
      </c>
      <c r="B118" s="13">
        <f t="shared" si="100"/>
        <v>0</v>
      </c>
      <c r="C118" s="13">
        <f t="shared" si="101"/>
        <v>0</v>
      </c>
      <c r="D118" s="13">
        <f t="shared" si="102"/>
        <v>0</v>
      </c>
      <c r="E118" s="13">
        <f t="shared" si="103"/>
        <v>0</v>
      </c>
      <c r="F118" s="13">
        <f t="shared" si="104"/>
        <v>0</v>
      </c>
      <c r="G118" s="13">
        <f t="shared" si="105"/>
        <v>0</v>
      </c>
      <c r="H118" s="13">
        <f t="shared" si="106"/>
        <v>0</v>
      </c>
      <c r="I118" s="13">
        <f t="shared" si="107"/>
        <v>0</v>
      </c>
      <c r="J118" s="13">
        <f t="shared" si="108"/>
        <v>0</v>
      </c>
      <c r="K118" s="13">
        <f t="shared" si="109"/>
        <v>0</v>
      </c>
      <c r="L118" s="13">
        <f t="shared" si="110"/>
        <v>0</v>
      </c>
      <c r="M118" s="13">
        <f t="shared" si="111"/>
        <v>0</v>
      </c>
      <c r="N118" s="13">
        <f t="shared" si="112"/>
        <v>0</v>
      </c>
      <c r="O118" s="13">
        <f t="shared" si="113"/>
        <v>0</v>
      </c>
      <c r="P118" s="13">
        <f t="shared" si="114"/>
        <v>0</v>
      </c>
      <c r="Q118" s="13">
        <f t="shared" si="115"/>
        <v>0</v>
      </c>
      <c r="R118" s="13">
        <f t="shared" si="116"/>
        <v>0</v>
      </c>
      <c r="S118" s="13">
        <f t="shared" si="117"/>
        <v>0</v>
      </c>
      <c r="T118" s="13">
        <f t="shared" si="118"/>
        <v>0</v>
      </c>
      <c r="U118" s="13">
        <f t="shared" si="119"/>
        <v>0</v>
      </c>
      <c r="V118" s="13">
        <f t="shared" si="120"/>
        <v>0</v>
      </c>
      <c r="W118" s="13">
        <f t="shared" si="121"/>
        <v>0</v>
      </c>
      <c r="X118" s="13">
        <f t="shared" si="122"/>
        <v>0</v>
      </c>
      <c r="Y118" s="13">
        <f t="shared" si="123"/>
        <v>0</v>
      </c>
      <c r="Z118" s="13">
        <f t="shared" si="124"/>
        <v>0</v>
      </c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</row>
    <row r="119" spans="1:341" s="14" customFormat="1">
      <c r="A119" s="15" t="s">
        <v>114</v>
      </c>
      <c r="B119" s="13">
        <f t="shared" si="100"/>
        <v>0</v>
      </c>
      <c r="C119" s="13">
        <f t="shared" si="101"/>
        <v>0</v>
      </c>
      <c r="D119" s="13">
        <f t="shared" si="102"/>
        <v>0</v>
      </c>
      <c r="E119" s="13">
        <f t="shared" si="103"/>
        <v>0</v>
      </c>
      <c r="F119" s="13">
        <f t="shared" si="104"/>
        <v>0</v>
      </c>
      <c r="G119" s="13">
        <f t="shared" si="105"/>
        <v>0</v>
      </c>
      <c r="H119" s="13">
        <f t="shared" si="106"/>
        <v>0</v>
      </c>
      <c r="I119" s="13">
        <f t="shared" si="107"/>
        <v>0</v>
      </c>
      <c r="J119" s="13">
        <f t="shared" si="108"/>
        <v>0</v>
      </c>
      <c r="K119" s="13">
        <f t="shared" si="109"/>
        <v>0</v>
      </c>
      <c r="L119" s="13">
        <f t="shared" si="110"/>
        <v>0</v>
      </c>
      <c r="M119" s="13">
        <f t="shared" si="111"/>
        <v>0</v>
      </c>
      <c r="N119" s="13">
        <f t="shared" si="112"/>
        <v>0</v>
      </c>
      <c r="O119" s="13">
        <f t="shared" si="113"/>
        <v>0</v>
      </c>
      <c r="P119" s="13">
        <f t="shared" si="114"/>
        <v>0</v>
      </c>
      <c r="Q119" s="13">
        <f t="shared" si="115"/>
        <v>0</v>
      </c>
      <c r="R119" s="13">
        <f t="shared" si="116"/>
        <v>0</v>
      </c>
      <c r="S119" s="13">
        <f t="shared" si="117"/>
        <v>0</v>
      </c>
      <c r="T119" s="13">
        <f t="shared" si="118"/>
        <v>0</v>
      </c>
      <c r="U119" s="13">
        <f t="shared" si="119"/>
        <v>0</v>
      </c>
      <c r="V119" s="13">
        <f t="shared" si="120"/>
        <v>0</v>
      </c>
      <c r="W119" s="13">
        <f t="shared" si="121"/>
        <v>0</v>
      </c>
      <c r="X119" s="13">
        <f t="shared" si="122"/>
        <v>0</v>
      </c>
      <c r="Y119" s="13">
        <f t="shared" si="123"/>
        <v>0</v>
      </c>
      <c r="Z119" s="13">
        <f t="shared" si="124"/>
        <v>0</v>
      </c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</row>
    <row r="120" spans="1:341" s="14" customFormat="1">
      <c r="A120" s="15" t="s">
        <v>115</v>
      </c>
      <c r="B120" s="13">
        <f t="shared" si="100"/>
        <v>0</v>
      </c>
      <c r="C120" s="13">
        <f t="shared" si="101"/>
        <v>0</v>
      </c>
      <c r="D120" s="13">
        <f t="shared" si="102"/>
        <v>0</v>
      </c>
      <c r="E120" s="13">
        <f t="shared" si="103"/>
        <v>0</v>
      </c>
      <c r="F120" s="13">
        <f t="shared" si="104"/>
        <v>0</v>
      </c>
      <c r="G120" s="13">
        <f t="shared" si="105"/>
        <v>0</v>
      </c>
      <c r="H120" s="13">
        <f t="shared" si="106"/>
        <v>0</v>
      </c>
      <c r="I120" s="13">
        <f t="shared" si="107"/>
        <v>0</v>
      </c>
      <c r="J120" s="13">
        <f t="shared" si="108"/>
        <v>0</v>
      </c>
      <c r="K120" s="13">
        <f t="shared" si="109"/>
        <v>0</v>
      </c>
      <c r="L120" s="13">
        <f t="shared" si="110"/>
        <v>0</v>
      </c>
      <c r="M120" s="13">
        <f t="shared" si="111"/>
        <v>0</v>
      </c>
      <c r="N120" s="13">
        <f t="shared" si="112"/>
        <v>0</v>
      </c>
      <c r="O120" s="13">
        <f t="shared" si="113"/>
        <v>0</v>
      </c>
      <c r="P120" s="13">
        <f t="shared" si="114"/>
        <v>0</v>
      </c>
      <c r="Q120" s="13">
        <f t="shared" si="115"/>
        <v>0</v>
      </c>
      <c r="R120" s="13">
        <f t="shared" si="116"/>
        <v>0</v>
      </c>
      <c r="S120" s="13">
        <f t="shared" si="117"/>
        <v>0</v>
      </c>
      <c r="T120" s="13">
        <f t="shared" si="118"/>
        <v>0</v>
      </c>
      <c r="U120" s="13">
        <f t="shared" si="119"/>
        <v>0</v>
      </c>
      <c r="V120" s="13">
        <f t="shared" si="120"/>
        <v>0</v>
      </c>
      <c r="W120" s="13">
        <f t="shared" si="121"/>
        <v>0</v>
      </c>
      <c r="X120" s="13">
        <f t="shared" si="122"/>
        <v>0</v>
      </c>
      <c r="Y120" s="13">
        <f t="shared" si="123"/>
        <v>0</v>
      </c>
      <c r="Z120" s="13">
        <f t="shared" si="124"/>
        <v>0</v>
      </c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</row>
    <row r="121" spans="1:341" s="14" customFormat="1">
      <c r="A121" s="12" t="s">
        <v>116</v>
      </c>
      <c r="B121" s="13">
        <f t="shared" si="100"/>
        <v>0</v>
      </c>
      <c r="C121" s="13">
        <f t="shared" si="101"/>
        <v>0</v>
      </c>
      <c r="D121" s="13">
        <f t="shared" si="102"/>
        <v>0</v>
      </c>
      <c r="E121" s="13">
        <f t="shared" si="103"/>
        <v>0</v>
      </c>
      <c r="F121" s="13">
        <f t="shared" si="104"/>
        <v>0</v>
      </c>
      <c r="G121" s="13">
        <f t="shared" si="105"/>
        <v>0</v>
      </c>
      <c r="H121" s="13">
        <f t="shared" si="106"/>
        <v>0</v>
      </c>
      <c r="I121" s="13">
        <f t="shared" si="107"/>
        <v>0</v>
      </c>
      <c r="J121" s="13">
        <f t="shared" si="108"/>
        <v>0</v>
      </c>
      <c r="K121" s="13">
        <f t="shared" si="109"/>
        <v>0</v>
      </c>
      <c r="L121" s="13">
        <f t="shared" si="110"/>
        <v>0</v>
      </c>
      <c r="M121" s="13">
        <f t="shared" si="111"/>
        <v>0</v>
      </c>
      <c r="N121" s="13">
        <f t="shared" si="112"/>
        <v>0</v>
      </c>
      <c r="O121" s="13">
        <f t="shared" si="113"/>
        <v>0</v>
      </c>
      <c r="P121" s="13">
        <f t="shared" si="114"/>
        <v>0</v>
      </c>
      <c r="Q121" s="13">
        <f t="shared" si="115"/>
        <v>0</v>
      </c>
      <c r="R121" s="13">
        <f t="shared" si="116"/>
        <v>0</v>
      </c>
      <c r="S121" s="13">
        <f t="shared" si="117"/>
        <v>0</v>
      </c>
      <c r="T121" s="13">
        <f t="shared" si="118"/>
        <v>0</v>
      </c>
      <c r="U121" s="13">
        <f t="shared" si="119"/>
        <v>0</v>
      </c>
      <c r="V121" s="13">
        <f t="shared" si="120"/>
        <v>0</v>
      </c>
      <c r="W121" s="13">
        <f t="shared" si="121"/>
        <v>0</v>
      </c>
      <c r="X121" s="13">
        <f t="shared" si="122"/>
        <v>0</v>
      </c>
      <c r="Y121" s="13">
        <f t="shared" si="123"/>
        <v>0</v>
      </c>
      <c r="Z121" s="13">
        <f t="shared" si="124"/>
        <v>0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</row>
    <row r="122" spans="1:341" s="14" customFormat="1">
      <c r="A122" s="15" t="s">
        <v>117</v>
      </c>
      <c r="B122" s="13">
        <f t="shared" si="100"/>
        <v>0</v>
      </c>
      <c r="C122" s="13">
        <f t="shared" si="101"/>
        <v>0</v>
      </c>
      <c r="D122" s="13">
        <f t="shared" si="102"/>
        <v>0</v>
      </c>
      <c r="E122" s="13">
        <f t="shared" si="103"/>
        <v>0</v>
      </c>
      <c r="F122" s="13">
        <f t="shared" si="104"/>
        <v>0</v>
      </c>
      <c r="G122" s="13">
        <f t="shared" si="105"/>
        <v>0</v>
      </c>
      <c r="H122" s="13">
        <f t="shared" si="106"/>
        <v>0</v>
      </c>
      <c r="I122" s="13">
        <f t="shared" si="107"/>
        <v>0</v>
      </c>
      <c r="J122" s="13">
        <f t="shared" si="108"/>
        <v>0</v>
      </c>
      <c r="K122" s="13">
        <f t="shared" si="109"/>
        <v>0</v>
      </c>
      <c r="L122" s="13">
        <f t="shared" si="110"/>
        <v>0</v>
      </c>
      <c r="M122" s="13">
        <f t="shared" si="111"/>
        <v>0</v>
      </c>
      <c r="N122" s="13">
        <f t="shared" si="112"/>
        <v>0</v>
      </c>
      <c r="O122" s="13">
        <f t="shared" si="113"/>
        <v>0</v>
      </c>
      <c r="P122" s="13">
        <f t="shared" si="114"/>
        <v>0</v>
      </c>
      <c r="Q122" s="13">
        <f t="shared" si="115"/>
        <v>0</v>
      </c>
      <c r="R122" s="13">
        <f t="shared" si="116"/>
        <v>0</v>
      </c>
      <c r="S122" s="13">
        <f t="shared" si="117"/>
        <v>0</v>
      </c>
      <c r="T122" s="13">
        <f t="shared" si="118"/>
        <v>0</v>
      </c>
      <c r="U122" s="13">
        <f t="shared" si="119"/>
        <v>0</v>
      </c>
      <c r="V122" s="13">
        <f t="shared" si="120"/>
        <v>0</v>
      </c>
      <c r="W122" s="13">
        <f t="shared" si="121"/>
        <v>0</v>
      </c>
      <c r="X122" s="13">
        <f t="shared" si="122"/>
        <v>0</v>
      </c>
      <c r="Y122" s="13">
        <f t="shared" si="123"/>
        <v>0</v>
      </c>
      <c r="Z122" s="13">
        <f t="shared" si="124"/>
        <v>0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</row>
    <row r="123" spans="1:341" s="14" customFormat="1">
      <c r="A123" s="15" t="s">
        <v>118</v>
      </c>
      <c r="B123" s="13">
        <f t="shared" si="100"/>
        <v>0</v>
      </c>
      <c r="C123" s="13">
        <f t="shared" si="101"/>
        <v>0</v>
      </c>
      <c r="D123" s="13">
        <f t="shared" si="102"/>
        <v>0</v>
      </c>
      <c r="E123" s="13">
        <f t="shared" si="103"/>
        <v>0</v>
      </c>
      <c r="F123" s="13">
        <f t="shared" si="104"/>
        <v>0</v>
      </c>
      <c r="G123" s="13">
        <f t="shared" si="105"/>
        <v>0</v>
      </c>
      <c r="H123" s="13">
        <f t="shared" si="106"/>
        <v>0</v>
      </c>
      <c r="I123" s="13">
        <f t="shared" si="107"/>
        <v>0</v>
      </c>
      <c r="J123" s="13">
        <f t="shared" si="108"/>
        <v>0</v>
      </c>
      <c r="K123" s="13">
        <f t="shared" si="109"/>
        <v>0</v>
      </c>
      <c r="L123" s="13">
        <f t="shared" si="110"/>
        <v>0</v>
      </c>
      <c r="M123" s="13">
        <f t="shared" si="111"/>
        <v>0</v>
      </c>
      <c r="N123" s="13">
        <f t="shared" si="112"/>
        <v>0</v>
      </c>
      <c r="O123" s="13">
        <f t="shared" si="113"/>
        <v>0</v>
      </c>
      <c r="P123" s="13">
        <f t="shared" si="114"/>
        <v>0</v>
      </c>
      <c r="Q123" s="13">
        <f t="shared" si="115"/>
        <v>0</v>
      </c>
      <c r="R123" s="13">
        <f t="shared" si="116"/>
        <v>0</v>
      </c>
      <c r="S123" s="13">
        <f t="shared" si="117"/>
        <v>0</v>
      </c>
      <c r="T123" s="13">
        <f t="shared" si="118"/>
        <v>0</v>
      </c>
      <c r="U123" s="13">
        <f t="shared" si="119"/>
        <v>0</v>
      </c>
      <c r="V123" s="13">
        <f t="shared" si="120"/>
        <v>0</v>
      </c>
      <c r="W123" s="13">
        <f t="shared" si="121"/>
        <v>0</v>
      </c>
      <c r="X123" s="13">
        <f t="shared" si="122"/>
        <v>0</v>
      </c>
      <c r="Y123" s="13">
        <f t="shared" si="123"/>
        <v>0</v>
      </c>
      <c r="Z123" s="13">
        <f t="shared" si="124"/>
        <v>0</v>
      </c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</row>
    <row r="124" spans="1:341" s="14" customFormat="1">
      <c r="A124" s="15" t="s">
        <v>119</v>
      </c>
      <c r="B124" s="13">
        <f t="shared" si="100"/>
        <v>0</v>
      </c>
      <c r="C124" s="13">
        <f t="shared" si="101"/>
        <v>0</v>
      </c>
      <c r="D124" s="13">
        <f t="shared" si="102"/>
        <v>0</v>
      </c>
      <c r="E124" s="13">
        <f t="shared" si="103"/>
        <v>0</v>
      </c>
      <c r="F124" s="13">
        <f t="shared" si="104"/>
        <v>0</v>
      </c>
      <c r="G124" s="13">
        <f t="shared" si="105"/>
        <v>0</v>
      </c>
      <c r="H124" s="13">
        <f t="shared" si="106"/>
        <v>0</v>
      </c>
      <c r="I124" s="13">
        <f t="shared" si="107"/>
        <v>0</v>
      </c>
      <c r="J124" s="13">
        <f t="shared" si="108"/>
        <v>0</v>
      </c>
      <c r="K124" s="13">
        <f t="shared" si="109"/>
        <v>0</v>
      </c>
      <c r="L124" s="13">
        <f t="shared" si="110"/>
        <v>0</v>
      </c>
      <c r="M124" s="13">
        <f t="shared" si="111"/>
        <v>0</v>
      </c>
      <c r="N124" s="13">
        <f t="shared" si="112"/>
        <v>0</v>
      </c>
      <c r="O124" s="13">
        <f t="shared" si="113"/>
        <v>0</v>
      </c>
      <c r="P124" s="13">
        <f t="shared" si="114"/>
        <v>0</v>
      </c>
      <c r="Q124" s="13">
        <f t="shared" si="115"/>
        <v>0</v>
      </c>
      <c r="R124" s="13">
        <f t="shared" si="116"/>
        <v>0</v>
      </c>
      <c r="S124" s="13">
        <f t="shared" si="117"/>
        <v>0</v>
      </c>
      <c r="T124" s="13">
        <f t="shared" si="118"/>
        <v>0</v>
      </c>
      <c r="U124" s="13">
        <f t="shared" si="119"/>
        <v>0</v>
      </c>
      <c r="V124" s="13">
        <f t="shared" si="120"/>
        <v>0</v>
      </c>
      <c r="W124" s="13">
        <f t="shared" si="121"/>
        <v>0</v>
      </c>
      <c r="X124" s="13">
        <f t="shared" si="122"/>
        <v>0</v>
      </c>
      <c r="Y124" s="13">
        <f t="shared" si="123"/>
        <v>0</v>
      </c>
      <c r="Z124" s="13">
        <f t="shared" si="124"/>
        <v>0</v>
      </c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</row>
    <row r="125" spans="1:341" s="14" customFormat="1">
      <c r="A125" s="15" t="s">
        <v>120</v>
      </c>
      <c r="B125" s="13">
        <f t="shared" si="100"/>
        <v>0</v>
      </c>
      <c r="C125" s="13">
        <f t="shared" si="101"/>
        <v>0</v>
      </c>
      <c r="D125" s="13">
        <f t="shared" si="102"/>
        <v>0</v>
      </c>
      <c r="E125" s="13">
        <f t="shared" si="103"/>
        <v>0</v>
      </c>
      <c r="F125" s="13">
        <f t="shared" si="104"/>
        <v>0</v>
      </c>
      <c r="G125" s="13">
        <f t="shared" si="105"/>
        <v>0</v>
      </c>
      <c r="H125" s="13">
        <f t="shared" si="106"/>
        <v>0</v>
      </c>
      <c r="I125" s="13">
        <f t="shared" si="107"/>
        <v>0</v>
      </c>
      <c r="J125" s="13">
        <f t="shared" si="108"/>
        <v>0</v>
      </c>
      <c r="K125" s="13">
        <f t="shared" si="109"/>
        <v>0</v>
      </c>
      <c r="L125" s="13">
        <f t="shared" si="110"/>
        <v>0</v>
      </c>
      <c r="M125" s="13">
        <f t="shared" si="111"/>
        <v>0</v>
      </c>
      <c r="N125" s="13">
        <f t="shared" si="112"/>
        <v>0</v>
      </c>
      <c r="O125" s="13">
        <f t="shared" si="113"/>
        <v>0</v>
      </c>
      <c r="P125" s="13">
        <f t="shared" si="114"/>
        <v>0</v>
      </c>
      <c r="Q125" s="13">
        <f t="shared" si="115"/>
        <v>0</v>
      </c>
      <c r="R125" s="13">
        <f t="shared" si="116"/>
        <v>0</v>
      </c>
      <c r="S125" s="13">
        <f t="shared" si="117"/>
        <v>0</v>
      </c>
      <c r="T125" s="13">
        <f t="shared" si="118"/>
        <v>0</v>
      </c>
      <c r="U125" s="13">
        <f t="shared" si="119"/>
        <v>0</v>
      </c>
      <c r="V125" s="13">
        <f t="shared" si="120"/>
        <v>0</v>
      </c>
      <c r="W125" s="13">
        <f t="shared" si="121"/>
        <v>0</v>
      </c>
      <c r="X125" s="13">
        <f t="shared" si="122"/>
        <v>0</v>
      </c>
      <c r="Y125" s="13">
        <f t="shared" si="123"/>
        <v>0</v>
      </c>
      <c r="Z125" s="13">
        <f t="shared" si="124"/>
        <v>0</v>
      </c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</row>
    <row r="126" spans="1:341" s="14" customFormat="1">
      <c r="A126" s="12" t="s">
        <v>121</v>
      </c>
      <c r="B126" s="13">
        <f t="shared" si="100"/>
        <v>0</v>
      </c>
      <c r="C126" s="13">
        <f t="shared" si="101"/>
        <v>0</v>
      </c>
      <c r="D126" s="13">
        <f t="shared" si="102"/>
        <v>0</v>
      </c>
      <c r="E126" s="13">
        <f t="shared" si="103"/>
        <v>0</v>
      </c>
      <c r="F126" s="13">
        <f t="shared" si="104"/>
        <v>0</v>
      </c>
      <c r="G126" s="13">
        <f t="shared" si="105"/>
        <v>0</v>
      </c>
      <c r="H126" s="13">
        <f t="shared" si="106"/>
        <v>0</v>
      </c>
      <c r="I126" s="13">
        <f t="shared" si="107"/>
        <v>0</v>
      </c>
      <c r="J126" s="13">
        <f t="shared" si="108"/>
        <v>0</v>
      </c>
      <c r="K126" s="13">
        <f t="shared" si="109"/>
        <v>0</v>
      </c>
      <c r="L126" s="13">
        <f t="shared" si="110"/>
        <v>0</v>
      </c>
      <c r="M126" s="13">
        <f t="shared" si="111"/>
        <v>0</v>
      </c>
      <c r="N126" s="13">
        <f t="shared" si="112"/>
        <v>0</v>
      </c>
      <c r="O126" s="13">
        <f t="shared" si="113"/>
        <v>0</v>
      </c>
      <c r="P126" s="13">
        <f t="shared" si="114"/>
        <v>0</v>
      </c>
      <c r="Q126" s="13">
        <f t="shared" si="115"/>
        <v>0</v>
      </c>
      <c r="R126" s="13">
        <f t="shared" si="116"/>
        <v>0</v>
      </c>
      <c r="S126" s="13">
        <f t="shared" si="117"/>
        <v>0</v>
      </c>
      <c r="T126" s="13">
        <f t="shared" si="118"/>
        <v>0</v>
      </c>
      <c r="U126" s="13">
        <f t="shared" si="119"/>
        <v>0</v>
      </c>
      <c r="V126" s="13">
        <f t="shared" si="120"/>
        <v>0</v>
      </c>
      <c r="W126" s="13">
        <f t="shared" si="121"/>
        <v>0</v>
      </c>
      <c r="X126" s="13">
        <f t="shared" si="122"/>
        <v>0</v>
      </c>
      <c r="Y126" s="13">
        <f t="shared" si="123"/>
        <v>0</v>
      </c>
      <c r="Z126" s="13">
        <f t="shared" si="124"/>
        <v>0</v>
      </c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</row>
    <row r="127" spans="1:341" s="14" customFormat="1">
      <c r="A127" s="12" t="s">
        <v>122</v>
      </c>
      <c r="B127" s="13">
        <f t="shared" si="100"/>
        <v>0</v>
      </c>
      <c r="C127" s="13">
        <f t="shared" si="101"/>
        <v>0</v>
      </c>
      <c r="D127" s="13">
        <f t="shared" si="102"/>
        <v>0</v>
      </c>
      <c r="E127" s="13">
        <f t="shared" si="103"/>
        <v>0</v>
      </c>
      <c r="F127" s="13">
        <f t="shared" si="104"/>
        <v>0</v>
      </c>
      <c r="G127" s="13">
        <f t="shared" si="105"/>
        <v>0</v>
      </c>
      <c r="H127" s="13">
        <f t="shared" si="106"/>
        <v>0</v>
      </c>
      <c r="I127" s="13">
        <f t="shared" si="107"/>
        <v>0</v>
      </c>
      <c r="J127" s="13">
        <f t="shared" si="108"/>
        <v>0</v>
      </c>
      <c r="K127" s="13">
        <f t="shared" si="109"/>
        <v>0</v>
      </c>
      <c r="L127" s="13">
        <f t="shared" si="110"/>
        <v>0</v>
      </c>
      <c r="M127" s="13">
        <f t="shared" si="111"/>
        <v>0</v>
      </c>
      <c r="N127" s="13">
        <f t="shared" si="112"/>
        <v>0</v>
      </c>
      <c r="O127" s="13">
        <f t="shared" si="113"/>
        <v>0</v>
      </c>
      <c r="P127" s="13">
        <f t="shared" si="114"/>
        <v>0</v>
      </c>
      <c r="Q127" s="13">
        <f t="shared" si="115"/>
        <v>0</v>
      </c>
      <c r="R127" s="13">
        <f t="shared" si="116"/>
        <v>0</v>
      </c>
      <c r="S127" s="13">
        <f t="shared" si="117"/>
        <v>0</v>
      </c>
      <c r="T127" s="13">
        <f t="shared" si="118"/>
        <v>0</v>
      </c>
      <c r="U127" s="13">
        <f t="shared" si="119"/>
        <v>0</v>
      </c>
      <c r="V127" s="13">
        <f t="shared" si="120"/>
        <v>0</v>
      </c>
      <c r="W127" s="13">
        <f t="shared" si="121"/>
        <v>0</v>
      </c>
      <c r="X127" s="13">
        <f t="shared" si="122"/>
        <v>0</v>
      </c>
      <c r="Y127" s="13">
        <f t="shared" si="123"/>
        <v>0</v>
      </c>
      <c r="Z127" s="13">
        <f t="shared" si="124"/>
        <v>0</v>
      </c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</row>
    <row r="128" spans="1:341" s="14" customFormat="1">
      <c r="A128" s="12" t="s">
        <v>123</v>
      </c>
      <c r="B128" s="13">
        <f t="shared" si="100"/>
        <v>0</v>
      </c>
      <c r="C128" s="13">
        <f t="shared" si="101"/>
        <v>0</v>
      </c>
      <c r="D128" s="13">
        <f t="shared" si="102"/>
        <v>0</v>
      </c>
      <c r="E128" s="13">
        <f t="shared" si="103"/>
        <v>0</v>
      </c>
      <c r="F128" s="13">
        <f t="shared" si="104"/>
        <v>0</v>
      </c>
      <c r="G128" s="13">
        <f t="shared" si="105"/>
        <v>0</v>
      </c>
      <c r="H128" s="13">
        <f t="shared" si="106"/>
        <v>0</v>
      </c>
      <c r="I128" s="13">
        <f t="shared" si="107"/>
        <v>0</v>
      </c>
      <c r="J128" s="13">
        <f t="shared" si="108"/>
        <v>0</v>
      </c>
      <c r="K128" s="13">
        <f t="shared" si="109"/>
        <v>0</v>
      </c>
      <c r="L128" s="13">
        <f t="shared" si="110"/>
        <v>0</v>
      </c>
      <c r="M128" s="13">
        <f t="shared" si="111"/>
        <v>0</v>
      </c>
      <c r="N128" s="13">
        <f t="shared" si="112"/>
        <v>0</v>
      </c>
      <c r="O128" s="13">
        <f t="shared" si="113"/>
        <v>0</v>
      </c>
      <c r="P128" s="13">
        <f t="shared" si="114"/>
        <v>0</v>
      </c>
      <c r="Q128" s="13">
        <f t="shared" si="115"/>
        <v>0</v>
      </c>
      <c r="R128" s="13">
        <f t="shared" si="116"/>
        <v>0</v>
      </c>
      <c r="S128" s="13">
        <f t="shared" si="117"/>
        <v>0</v>
      </c>
      <c r="T128" s="13">
        <f t="shared" si="118"/>
        <v>0</v>
      </c>
      <c r="U128" s="13">
        <f t="shared" si="119"/>
        <v>0</v>
      </c>
      <c r="V128" s="13">
        <f t="shared" si="120"/>
        <v>0</v>
      </c>
      <c r="W128" s="13">
        <f t="shared" si="121"/>
        <v>0</v>
      </c>
      <c r="X128" s="13">
        <f t="shared" si="122"/>
        <v>0</v>
      </c>
      <c r="Y128" s="13">
        <f t="shared" si="123"/>
        <v>0</v>
      </c>
      <c r="Z128" s="13">
        <f t="shared" si="124"/>
        <v>0</v>
      </c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</row>
    <row r="129" spans="1:341" s="14" customFormat="1">
      <c r="A129" s="12" t="s">
        <v>124</v>
      </c>
      <c r="B129" s="13">
        <f t="shared" si="100"/>
        <v>0</v>
      </c>
      <c r="C129" s="13">
        <f t="shared" si="101"/>
        <v>0</v>
      </c>
      <c r="D129" s="13">
        <f t="shared" si="102"/>
        <v>0</v>
      </c>
      <c r="E129" s="13">
        <f t="shared" si="103"/>
        <v>0</v>
      </c>
      <c r="F129" s="13">
        <f t="shared" si="104"/>
        <v>0</v>
      </c>
      <c r="G129" s="13">
        <f t="shared" si="105"/>
        <v>0</v>
      </c>
      <c r="H129" s="13">
        <f t="shared" si="106"/>
        <v>0</v>
      </c>
      <c r="I129" s="13">
        <f t="shared" si="107"/>
        <v>0</v>
      </c>
      <c r="J129" s="13">
        <f t="shared" si="108"/>
        <v>0</v>
      </c>
      <c r="K129" s="13">
        <f t="shared" si="109"/>
        <v>0</v>
      </c>
      <c r="L129" s="13">
        <f t="shared" si="110"/>
        <v>0</v>
      </c>
      <c r="M129" s="13">
        <f t="shared" si="111"/>
        <v>0</v>
      </c>
      <c r="N129" s="13">
        <f t="shared" si="112"/>
        <v>0</v>
      </c>
      <c r="O129" s="13">
        <f t="shared" si="113"/>
        <v>0</v>
      </c>
      <c r="P129" s="13">
        <f t="shared" si="114"/>
        <v>0</v>
      </c>
      <c r="Q129" s="13">
        <f t="shared" si="115"/>
        <v>0</v>
      </c>
      <c r="R129" s="13">
        <f t="shared" si="116"/>
        <v>0</v>
      </c>
      <c r="S129" s="13">
        <f t="shared" si="117"/>
        <v>0</v>
      </c>
      <c r="T129" s="13">
        <f t="shared" si="118"/>
        <v>0</v>
      </c>
      <c r="U129" s="13">
        <f t="shared" si="119"/>
        <v>0</v>
      </c>
      <c r="V129" s="13">
        <f t="shared" si="120"/>
        <v>0</v>
      </c>
      <c r="W129" s="13">
        <f t="shared" si="121"/>
        <v>0</v>
      </c>
      <c r="X129" s="13">
        <f t="shared" si="122"/>
        <v>0</v>
      </c>
      <c r="Y129" s="13">
        <f t="shared" si="123"/>
        <v>0</v>
      </c>
      <c r="Z129" s="13">
        <f t="shared" si="124"/>
        <v>0</v>
      </c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</row>
    <row r="130" spans="1:341" s="14" customFormat="1">
      <c r="A130" s="15" t="s">
        <v>125</v>
      </c>
      <c r="B130" s="13">
        <f t="shared" si="100"/>
        <v>0</v>
      </c>
      <c r="C130" s="13">
        <f t="shared" si="101"/>
        <v>0</v>
      </c>
      <c r="D130" s="13">
        <f t="shared" si="102"/>
        <v>0</v>
      </c>
      <c r="E130" s="13">
        <f t="shared" si="103"/>
        <v>0</v>
      </c>
      <c r="F130" s="13">
        <f t="shared" si="104"/>
        <v>0</v>
      </c>
      <c r="G130" s="13">
        <f t="shared" si="105"/>
        <v>0</v>
      </c>
      <c r="H130" s="13">
        <f t="shared" si="106"/>
        <v>0</v>
      </c>
      <c r="I130" s="13">
        <f t="shared" si="107"/>
        <v>0</v>
      </c>
      <c r="J130" s="13">
        <f t="shared" si="108"/>
        <v>0</v>
      </c>
      <c r="K130" s="13">
        <f t="shared" si="109"/>
        <v>0</v>
      </c>
      <c r="L130" s="13">
        <f t="shared" si="110"/>
        <v>0</v>
      </c>
      <c r="M130" s="13">
        <f t="shared" si="111"/>
        <v>0</v>
      </c>
      <c r="N130" s="13">
        <f t="shared" si="112"/>
        <v>0</v>
      </c>
      <c r="O130" s="13">
        <f t="shared" si="113"/>
        <v>0</v>
      </c>
      <c r="P130" s="13">
        <f t="shared" si="114"/>
        <v>0</v>
      </c>
      <c r="Q130" s="13">
        <f t="shared" si="115"/>
        <v>0</v>
      </c>
      <c r="R130" s="13">
        <f t="shared" si="116"/>
        <v>0</v>
      </c>
      <c r="S130" s="13">
        <f t="shared" si="117"/>
        <v>0</v>
      </c>
      <c r="T130" s="13">
        <f t="shared" si="118"/>
        <v>0</v>
      </c>
      <c r="U130" s="13">
        <f t="shared" si="119"/>
        <v>0</v>
      </c>
      <c r="V130" s="13">
        <f t="shared" si="120"/>
        <v>0</v>
      </c>
      <c r="W130" s="13">
        <f t="shared" si="121"/>
        <v>0</v>
      </c>
      <c r="X130" s="13">
        <f t="shared" si="122"/>
        <v>0</v>
      </c>
      <c r="Y130" s="13">
        <f t="shared" si="123"/>
        <v>0</v>
      </c>
      <c r="Z130" s="13">
        <f t="shared" si="124"/>
        <v>0</v>
      </c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</row>
    <row r="131" spans="1:341" s="14" customFormat="1">
      <c r="A131" s="15" t="s">
        <v>126</v>
      </c>
      <c r="B131" s="13">
        <f t="shared" si="100"/>
        <v>0</v>
      </c>
      <c r="C131" s="13">
        <f t="shared" si="101"/>
        <v>0</v>
      </c>
      <c r="D131" s="13">
        <f t="shared" si="102"/>
        <v>0</v>
      </c>
      <c r="E131" s="13">
        <f t="shared" si="103"/>
        <v>0</v>
      </c>
      <c r="F131" s="13">
        <f t="shared" si="104"/>
        <v>0</v>
      </c>
      <c r="G131" s="13">
        <f t="shared" si="105"/>
        <v>0</v>
      </c>
      <c r="H131" s="13">
        <f t="shared" si="106"/>
        <v>0</v>
      </c>
      <c r="I131" s="13">
        <f t="shared" si="107"/>
        <v>0</v>
      </c>
      <c r="J131" s="13">
        <f t="shared" si="108"/>
        <v>0</v>
      </c>
      <c r="K131" s="13">
        <f t="shared" si="109"/>
        <v>0</v>
      </c>
      <c r="L131" s="13">
        <f t="shared" si="110"/>
        <v>0</v>
      </c>
      <c r="M131" s="13">
        <f t="shared" si="111"/>
        <v>0</v>
      </c>
      <c r="N131" s="13">
        <f t="shared" si="112"/>
        <v>0</v>
      </c>
      <c r="O131" s="13">
        <f t="shared" si="113"/>
        <v>0</v>
      </c>
      <c r="P131" s="13">
        <f t="shared" si="114"/>
        <v>0</v>
      </c>
      <c r="Q131" s="13">
        <f t="shared" si="115"/>
        <v>0</v>
      </c>
      <c r="R131" s="13">
        <f t="shared" si="116"/>
        <v>0</v>
      </c>
      <c r="S131" s="13">
        <f t="shared" si="117"/>
        <v>0</v>
      </c>
      <c r="T131" s="13">
        <f t="shared" si="118"/>
        <v>0</v>
      </c>
      <c r="U131" s="13">
        <f t="shared" si="119"/>
        <v>0</v>
      </c>
      <c r="V131" s="13">
        <f t="shared" si="120"/>
        <v>0</v>
      </c>
      <c r="W131" s="13">
        <f t="shared" si="121"/>
        <v>0</v>
      </c>
      <c r="X131" s="13">
        <f t="shared" si="122"/>
        <v>0</v>
      </c>
      <c r="Y131" s="13">
        <f t="shared" si="123"/>
        <v>0</v>
      </c>
      <c r="Z131" s="13">
        <f t="shared" si="124"/>
        <v>0</v>
      </c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</row>
    <row r="132" spans="1:341" s="14" customFormat="1">
      <c r="A132" s="15" t="s">
        <v>127</v>
      </c>
      <c r="B132" s="13">
        <f t="shared" si="100"/>
        <v>0</v>
      </c>
      <c r="C132" s="13">
        <f t="shared" si="101"/>
        <v>0</v>
      </c>
      <c r="D132" s="13">
        <f t="shared" si="102"/>
        <v>0</v>
      </c>
      <c r="E132" s="13">
        <f t="shared" si="103"/>
        <v>0</v>
      </c>
      <c r="F132" s="13">
        <f t="shared" si="104"/>
        <v>0</v>
      </c>
      <c r="G132" s="13">
        <f t="shared" si="105"/>
        <v>0</v>
      </c>
      <c r="H132" s="13">
        <f t="shared" si="106"/>
        <v>0</v>
      </c>
      <c r="I132" s="13">
        <f t="shared" si="107"/>
        <v>0</v>
      </c>
      <c r="J132" s="13">
        <f t="shared" si="108"/>
        <v>0</v>
      </c>
      <c r="K132" s="13">
        <f t="shared" si="109"/>
        <v>0</v>
      </c>
      <c r="L132" s="13">
        <f t="shared" si="110"/>
        <v>0</v>
      </c>
      <c r="M132" s="13">
        <f t="shared" si="111"/>
        <v>0</v>
      </c>
      <c r="N132" s="13">
        <f t="shared" si="112"/>
        <v>0</v>
      </c>
      <c r="O132" s="13">
        <f t="shared" si="113"/>
        <v>0</v>
      </c>
      <c r="P132" s="13">
        <f t="shared" si="114"/>
        <v>0</v>
      </c>
      <c r="Q132" s="13">
        <f t="shared" si="115"/>
        <v>0</v>
      </c>
      <c r="R132" s="13">
        <f t="shared" si="116"/>
        <v>0</v>
      </c>
      <c r="S132" s="13">
        <f t="shared" si="117"/>
        <v>0</v>
      </c>
      <c r="T132" s="13">
        <f t="shared" si="118"/>
        <v>0</v>
      </c>
      <c r="U132" s="13">
        <f t="shared" si="119"/>
        <v>0</v>
      </c>
      <c r="V132" s="13">
        <f t="shared" si="120"/>
        <v>0</v>
      </c>
      <c r="W132" s="13">
        <f t="shared" si="121"/>
        <v>0</v>
      </c>
      <c r="X132" s="13">
        <f t="shared" si="122"/>
        <v>0</v>
      </c>
      <c r="Y132" s="13">
        <f t="shared" si="123"/>
        <v>0</v>
      </c>
      <c r="Z132" s="13">
        <f t="shared" si="124"/>
        <v>0</v>
      </c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</row>
    <row r="133" spans="1:341" s="14" customFormat="1">
      <c r="A133" s="12" t="s">
        <v>128</v>
      </c>
      <c r="B133" s="13">
        <f t="shared" si="100"/>
        <v>0</v>
      </c>
      <c r="C133" s="13">
        <f t="shared" si="101"/>
        <v>0</v>
      </c>
      <c r="D133" s="13">
        <f t="shared" si="102"/>
        <v>0</v>
      </c>
      <c r="E133" s="13">
        <f t="shared" si="103"/>
        <v>0</v>
      </c>
      <c r="F133" s="13">
        <f t="shared" si="104"/>
        <v>0</v>
      </c>
      <c r="G133" s="13">
        <f t="shared" si="105"/>
        <v>0</v>
      </c>
      <c r="H133" s="13">
        <f t="shared" si="106"/>
        <v>0</v>
      </c>
      <c r="I133" s="13">
        <f t="shared" si="107"/>
        <v>0</v>
      </c>
      <c r="J133" s="13">
        <f t="shared" si="108"/>
        <v>0</v>
      </c>
      <c r="K133" s="13">
        <f t="shared" si="109"/>
        <v>0</v>
      </c>
      <c r="L133" s="13">
        <f t="shared" si="110"/>
        <v>0</v>
      </c>
      <c r="M133" s="13">
        <f t="shared" si="111"/>
        <v>0</v>
      </c>
      <c r="N133" s="13">
        <f t="shared" si="112"/>
        <v>0</v>
      </c>
      <c r="O133" s="13">
        <f t="shared" si="113"/>
        <v>0</v>
      </c>
      <c r="P133" s="13">
        <f t="shared" si="114"/>
        <v>0</v>
      </c>
      <c r="Q133" s="13">
        <f t="shared" si="115"/>
        <v>0</v>
      </c>
      <c r="R133" s="13">
        <f t="shared" si="116"/>
        <v>0</v>
      </c>
      <c r="S133" s="13">
        <f t="shared" si="117"/>
        <v>0</v>
      </c>
      <c r="T133" s="13">
        <f t="shared" si="118"/>
        <v>0</v>
      </c>
      <c r="U133" s="13">
        <f t="shared" si="119"/>
        <v>0</v>
      </c>
      <c r="V133" s="13">
        <f t="shared" si="120"/>
        <v>0</v>
      </c>
      <c r="W133" s="13">
        <f t="shared" si="121"/>
        <v>0</v>
      </c>
      <c r="X133" s="13">
        <f t="shared" si="122"/>
        <v>0</v>
      </c>
      <c r="Y133" s="13">
        <f t="shared" si="123"/>
        <v>0</v>
      </c>
      <c r="Z133" s="13">
        <f t="shared" si="124"/>
        <v>0</v>
      </c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</row>
    <row r="134" spans="1:341" s="14" customFormat="1">
      <c r="A134" s="15" t="s">
        <v>129</v>
      </c>
      <c r="B134" s="13">
        <f t="shared" si="100"/>
        <v>0</v>
      </c>
      <c r="C134" s="13">
        <f t="shared" si="101"/>
        <v>0</v>
      </c>
      <c r="D134" s="13">
        <f t="shared" si="102"/>
        <v>0</v>
      </c>
      <c r="E134" s="13">
        <f t="shared" si="103"/>
        <v>0</v>
      </c>
      <c r="F134" s="13">
        <f t="shared" si="104"/>
        <v>0</v>
      </c>
      <c r="G134" s="13">
        <f t="shared" si="105"/>
        <v>0</v>
      </c>
      <c r="H134" s="13">
        <f t="shared" si="106"/>
        <v>0</v>
      </c>
      <c r="I134" s="13">
        <f t="shared" si="107"/>
        <v>0</v>
      </c>
      <c r="J134" s="13">
        <f t="shared" si="108"/>
        <v>0</v>
      </c>
      <c r="K134" s="13">
        <f t="shared" si="109"/>
        <v>0</v>
      </c>
      <c r="L134" s="13">
        <f t="shared" si="110"/>
        <v>0</v>
      </c>
      <c r="M134" s="13">
        <f t="shared" si="111"/>
        <v>0</v>
      </c>
      <c r="N134" s="13">
        <f t="shared" si="112"/>
        <v>0</v>
      </c>
      <c r="O134" s="13">
        <f t="shared" si="113"/>
        <v>0</v>
      </c>
      <c r="P134" s="13">
        <f t="shared" si="114"/>
        <v>0</v>
      </c>
      <c r="Q134" s="13">
        <f t="shared" si="115"/>
        <v>0</v>
      </c>
      <c r="R134" s="13">
        <f t="shared" si="116"/>
        <v>0</v>
      </c>
      <c r="S134" s="13">
        <f t="shared" si="117"/>
        <v>0</v>
      </c>
      <c r="T134" s="13">
        <f t="shared" si="118"/>
        <v>0</v>
      </c>
      <c r="U134" s="13">
        <f t="shared" si="119"/>
        <v>0</v>
      </c>
      <c r="V134" s="13">
        <f t="shared" si="120"/>
        <v>0</v>
      </c>
      <c r="W134" s="13">
        <f t="shared" si="121"/>
        <v>0</v>
      </c>
      <c r="X134" s="13">
        <f t="shared" si="122"/>
        <v>0</v>
      </c>
      <c r="Y134" s="13">
        <f t="shared" si="123"/>
        <v>0</v>
      </c>
      <c r="Z134" s="13">
        <f t="shared" si="124"/>
        <v>0</v>
      </c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</row>
    <row r="135" spans="1:341" s="14" customFormat="1">
      <c r="A135" s="15" t="s">
        <v>130</v>
      </c>
      <c r="B135" s="13">
        <f t="shared" si="100"/>
        <v>0</v>
      </c>
      <c r="C135" s="13">
        <f t="shared" si="101"/>
        <v>0</v>
      </c>
      <c r="D135" s="13">
        <f t="shared" si="102"/>
        <v>0</v>
      </c>
      <c r="E135" s="13">
        <f t="shared" si="103"/>
        <v>0</v>
      </c>
      <c r="F135" s="13">
        <f t="shared" si="104"/>
        <v>0</v>
      </c>
      <c r="G135" s="13">
        <f t="shared" si="105"/>
        <v>0</v>
      </c>
      <c r="H135" s="13">
        <f t="shared" si="106"/>
        <v>0</v>
      </c>
      <c r="I135" s="13">
        <f t="shared" si="107"/>
        <v>0</v>
      </c>
      <c r="J135" s="13">
        <f t="shared" si="108"/>
        <v>0</v>
      </c>
      <c r="K135" s="13">
        <f t="shared" si="109"/>
        <v>0</v>
      </c>
      <c r="L135" s="13">
        <f t="shared" si="110"/>
        <v>0</v>
      </c>
      <c r="M135" s="13">
        <f t="shared" si="111"/>
        <v>0</v>
      </c>
      <c r="N135" s="13">
        <f t="shared" si="112"/>
        <v>0</v>
      </c>
      <c r="O135" s="13">
        <f t="shared" si="113"/>
        <v>0</v>
      </c>
      <c r="P135" s="13">
        <f t="shared" si="114"/>
        <v>0</v>
      </c>
      <c r="Q135" s="13">
        <f t="shared" si="115"/>
        <v>0</v>
      </c>
      <c r="R135" s="13">
        <f t="shared" si="116"/>
        <v>0</v>
      </c>
      <c r="S135" s="13">
        <f t="shared" si="117"/>
        <v>0</v>
      </c>
      <c r="T135" s="13">
        <f t="shared" si="118"/>
        <v>0</v>
      </c>
      <c r="U135" s="13">
        <f t="shared" si="119"/>
        <v>0</v>
      </c>
      <c r="V135" s="13">
        <f t="shared" si="120"/>
        <v>0</v>
      </c>
      <c r="W135" s="13">
        <f t="shared" si="121"/>
        <v>0</v>
      </c>
      <c r="X135" s="13">
        <f t="shared" si="122"/>
        <v>0</v>
      </c>
      <c r="Y135" s="13">
        <f t="shared" si="123"/>
        <v>0</v>
      </c>
      <c r="Z135" s="13">
        <f t="shared" si="124"/>
        <v>0</v>
      </c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</row>
    <row r="136" spans="1:341" s="14" customFormat="1">
      <c r="A136" s="15" t="s">
        <v>131</v>
      </c>
      <c r="B136" s="13">
        <f t="shared" si="100"/>
        <v>0</v>
      </c>
      <c r="C136" s="13">
        <f t="shared" si="101"/>
        <v>0</v>
      </c>
      <c r="D136" s="13">
        <f t="shared" si="102"/>
        <v>0</v>
      </c>
      <c r="E136" s="13">
        <f t="shared" si="103"/>
        <v>0</v>
      </c>
      <c r="F136" s="13">
        <f t="shared" si="104"/>
        <v>0</v>
      </c>
      <c r="G136" s="13">
        <f t="shared" si="105"/>
        <v>0</v>
      </c>
      <c r="H136" s="13">
        <f t="shared" si="106"/>
        <v>0</v>
      </c>
      <c r="I136" s="13">
        <f t="shared" si="107"/>
        <v>0</v>
      </c>
      <c r="J136" s="13">
        <f t="shared" si="108"/>
        <v>0</v>
      </c>
      <c r="K136" s="13">
        <f t="shared" si="109"/>
        <v>0</v>
      </c>
      <c r="L136" s="13">
        <f t="shared" si="110"/>
        <v>0</v>
      </c>
      <c r="M136" s="13">
        <f t="shared" si="111"/>
        <v>0</v>
      </c>
      <c r="N136" s="13">
        <f t="shared" si="112"/>
        <v>0</v>
      </c>
      <c r="O136" s="13">
        <f t="shared" si="113"/>
        <v>0</v>
      </c>
      <c r="P136" s="13">
        <f t="shared" si="114"/>
        <v>5.1873458823529402E-3</v>
      </c>
      <c r="Q136" s="13">
        <f t="shared" si="115"/>
        <v>0</v>
      </c>
      <c r="R136" s="13">
        <f t="shared" si="116"/>
        <v>0</v>
      </c>
      <c r="S136" s="13">
        <f t="shared" si="117"/>
        <v>0</v>
      </c>
      <c r="T136" s="13">
        <f t="shared" si="118"/>
        <v>0</v>
      </c>
      <c r="U136" s="13">
        <f t="shared" si="119"/>
        <v>0</v>
      </c>
      <c r="V136" s="13">
        <f t="shared" si="120"/>
        <v>0</v>
      </c>
      <c r="W136" s="13">
        <f t="shared" si="121"/>
        <v>0</v>
      </c>
      <c r="X136" s="13">
        <f t="shared" si="122"/>
        <v>0</v>
      </c>
      <c r="Y136" s="13">
        <f t="shared" si="123"/>
        <v>0</v>
      </c>
      <c r="Z136" s="13">
        <f t="shared" si="124"/>
        <v>0</v>
      </c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>
        <v>5.1873458823529406</v>
      </c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</row>
    <row r="137" spans="1:341" s="14" customFormat="1">
      <c r="A137" s="15" t="s">
        <v>132</v>
      </c>
      <c r="B137" s="13">
        <f t="shared" si="100"/>
        <v>0</v>
      </c>
      <c r="C137" s="13">
        <f t="shared" si="101"/>
        <v>0</v>
      </c>
      <c r="D137" s="13">
        <f t="shared" si="102"/>
        <v>0</v>
      </c>
      <c r="E137" s="13">
        <f t="shared" si="103"/>
        <v>0</v>
      </c>
      <c r="F137" s="13">
        <f t="shared" si="104"/>
        <v>0</v>
      </c>
      <c r="G137" s="13">
        <f t="shared" si="105"/>
        <v>0</v>
      </c>
      <c r="H137" s="13">
        <f t="shared" si="106"/>
        <v>0</v>
      </c>
      <c r="I137" s="13">
        <f t="shared" si="107"/>
        <v>0</v>
      </c>
      <c r="J137" s="13">
        <f t="shared" si="108"/>
        <v>0</v>
      </c>
      <c r="K137" s="13">
        <f t="shared" si="109"/>
        <v>0</v>
      </c>
      <c r="L137" s="13">
        <f t="shared" si="110"/>
        <v>0</v>
      </c>
      <c r="M137" s="13">
        <f t="shared" si="111"/>
        <v>0</v>
      </c>
      <c r="N137" s="13">
        <f t="shared" si="112"/>
        <v>0</v>
      </c>
      <c r="O137" s="13">
        <f t="shared" si="113"/>
        <v>0</v>
      </c>
      <c r="P137" s="13">
        <f t="shared" si="114"/>
        <v>0</v>
      </c>
      <c r="Q137" s="13">
        <f t="shared" si="115"/>
        <v>0</v>
      </c>
      <c r="R137" s="13">
        <f t="shared" si="116"/>
        <v>0</v>
      </c>
      <c r="S137" s="13">
        <f t="shared" si="117"/>
        <v>0</v>
      </c>
      <c r="T137" s="13">
        <f t="shared" si="118"/>
        <v>0</v>
      </c>
      <c r="U137" s="13">
        <f t="shared" si="119"/>
        <v>0</v>
      </c>
      <c r="V137" s="13">
        <f t="shared" si="120"/>
        <v>0</v>
      </c>
      <c r="W137" s="13">
        <f t="shared" si="121"/>
        <v>0</v>
      </c>
      <c r="X137" s="13">
        <f t="shared" si="122"/>
        <v>0</v>
      </c>
      <c r="Y137" s="13">
        <f t="shared" si="123"/>
        <v>0</v>
      </c>
      <c r="Z137" s="13">
        <f t="shared" si="124"/>
        <v>0</v>
      </c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</row>
    <row r="138" spans="1:341" s="14" customFormat="1">
      <c r="A138" s="12" t="s">
        <v>133</v>
      </c>
      <c r="B138" s="13">
        <f t="shared" si="100"/>
        <v>0</v>
      </c>
      <c r="C138" s="13">
        <f t="shared" si="101"/>
        <v>0</v>
      </c>
      <c r="D138" s="13">
        <f t="shared" si="102"/>
        <v>0</v>
      </c>
      <c r="E138" s="13">
        <f t="shared" si="103"/>
        <v>0</v>
      </c>
      <c r="F138" s="13">
        <f t="shared" si="104"/>
        <v>0</v>
      </c>
      <c r="G138" s="13">
        <f t="shared" si="105"/>
        <v>0</v>
      </c>
      <c r="H138" s="13">
        <f t="shared" si="106"/>
        <v>0</v>
      </c>
      <c r="I138" s="13">
        <f t="shared" si="107"/>
        <v>0</v>
      </c>
      <c r="J138" s="13">
        <f t="shared" si="108"/>
        <v>0</v>
      </c>
      <c r="K138" s="13">
        <f t="shared" si="109"/>
        <v>0</v>
      </c>
      <c r="L138" s="13">
        <f t="shared" si="110"/>
        <v>0</v>
      </c>
      <c r="M138" s="13">
        <f t="shared" si="111"/>
        <v>0</v>
      </c>
      <c r="N138" s="13">
        <f t="shared" si="112"/>
        <v>0</v>
      </c>
      <c r="O138" s="13">
        <f t="shared" si="113"/>
        <v>0</v>
      </c>
      <c r="P138" s="13">
        <f t="shared" si="114"/>
        <v>0</v>
      </c>
      <c r="Q138" s="13">
        <f t="shared" si="115"/>
        <v>0</v>
      </c>
      <c r="R138" s="13">
        <f t="shared" si="116"/>
        <v>0</v>
      </c>
      <c r="S138" s="13">
        <f t="shared" si="117"/>
        <v>0</v>
      </c>
      <c r="T138" s="13">
        <f t="shared" si="118"/>
        <v>0</v>
      </c>
      <c r="U138" s="13">
        <f t="shared" si="119"/>
        <v>0</v>
      </c>
      <c r="V138" s="13">
        <f t="shared" si="120"/>
        <v>0</v>
      </c>
      <c r="W138" s="13">
        <f t="shared" si="121"/>
        <v>0</v>
      </c>
      <c r="X138" s="13">
        <f t="shared" si="122"/>
        <v>0</v>
      </c>
      <c r="Y138" s="13">
        <f t="shared" si="123"/>
        <v>0</v>
      </c>
      <c r="Z138" s="13">
        <f t="shared" si="124"/>
        <v>0</v>
      </c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</row>
    <row r="139" spans="1:341" s="14" customFormat="1">
      <c r="A139" s="12" t="s">
        <v>134</v>
      </c>
      <c r="B139" s="13">
        <f t="shared" ref="B139:B162" si="125">SUM(AB139:AM139)/1000</f>
        <v>0</v>
      </c>
      <c r="C139" s="13">
        <f t="shared" ref="C139:C162" si="126">SUM(AN139:AY139)/1000</f>
        <v>0</v>
      </c>
      <c r="D139" s="13">
        <f t="shared" ref="D139:D162" si="127">SUM(AZ139:BK139)/1000</f>
        <v>0</v>
      </c>
      <c r="E139" s="13">
        <f t="shared" ref="E139:E162" si="128">SUM(BL139:BW139)/1000</f>
        <v>0</v>
      </c>
      <c r="F139" s="13">
        <f t="shared" ref="F139:F162" si="129">SUM(BX139:CI139)/1000</f>
        <v>0</v>
      </c>
      <c r="G139" s="13">
        <f t="shared" ref="G139:G162" si="130">SUM(CJ139:CU139)/1000</f>
        <v>0</v>
      </c>
      <c r="H139" s="13">
        <f t="shared" ref="H139:H162" si="131">SUM(CV139:DG139)/1000</f>
        <v>0</v>
      </c>
      <c r="I139" s="13">
        <f t="shared" ref="I139:I162" si="132">SUM(DH139:DS139)/1000</f>
        <v>0</v>
      </c>
      <c r="J139" s="13">
        <f t="shared" ref="J139:J162" si="133">SUM(DT139:EE139)/1000</f>
        <v>0</v>
      </c>
      <c r="K139" s="13">
        <f t="shared" ref="K139:K162" si="134">SUM(EF139:EQ139)/1000</f>
        <v>0</v>
      </c>
      <c r="L139" s="13">
        <f t="shared" ref="L139:L162" si="135">SUM(ER139:FC139)/1000</f>
        <v>0</v>
      </c>
      <c r="M139" s="13">
        <f t="shared" ref="M139:M162" si="136">SUM(FD139:FO139)/1000</f>
        <v>0</v>
      </c>
      <c r="N139" s="13">
        <f t="shared" ref="N139:N162" si="137">SUM(FP139:GA139)/1000</f>
        <v>0</v>
      </c>
      <c r="O139" s="13">
        <f t="shared" ref="O139:O162" si="138">SUM(GB139:GM139)/1000</f>
        <v>0</v>
      </c>
      <c r="P139" s="13">
        <f t="shared" ref="P139:P162" si="139">SUM(GN139:GY139)/1000</f>
        <v>0</v>
      </c>
      <c r="Q139" s="13">
        <f t="shared" ref="Q139:Q162" si="140">SUM(GZ139:HK139)/1000</f>
        <v>0</v>
      </c>
      <c r="R139" s="13">
        <f t="shared" ref="R139:R162" si="141">SUM(HL139:HW139)/1000</f>
        <v>0</v>
      </c>
      <c r="S139" s="13">
        <f t="shared" ref="S139:S162" si="142">SUM(HX139:II139)/1000</f>
        <v>0</v>
      </c>
      <c r="T139" s="13">
        <f t="shared" ref="T139:T162" si="143">SUM(IJ139:IU139)/1000</f>
        <v>0</v>
      </c>
      <c r="U139" s="13">
        <f t="shared" ref="U139:U162" si="144">SUM(IV139:JG139)/1000</f>
        <v>0</v>
      </c>
      <c r="V139" s="13">
        <f t="shared" ref="V139:V162" si="145">SUM(JH139:JS139)/1000</f>
        <v>0</v>
      </c>
      <c r="W139" s="13">
        <f t="shared" ref="W139:W162" si="146">SUM(JT139:KE139)/1000</f>
        <v>0</v>
      </c>
      <c r="X139" s="13">
        <f t="shared" ref="X139:X162" si="147">SUM(KF139:KQ139)/1000</f>
        <v>0</v>
      </c>
      <c r="Y139" s="13">
        <f t="shared" ref="Y139:Y162" si="148">SUM(KR139:LC139)/1000</f>
        <v>0</v>
      </c>
      <c r="Z139" s="13">
        <f t="shared" ref="Z139:Z162" si="149">SUM(LD139:LO139)/1000</f>
        <v>0</v>
      </c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</row>
    <row r="140" spans="1:341" s="14" customFormat="1">
      <c r="A140" s="12" t="s">
        <v>135</v>
      </c>
      <c r="B140" s="13">
        <f t="shared" si="125"/>
        <v>0</v>
      </c>
      <c r="C140" s="13">
        <f t="shared" si="126"/>
        <v>0</v>
      </c>
      <c r="D140" s="13">
        <f t="shared" si="127"/>
        <v>0</v>
      </c>
      <c r="E140" s="13">
        <f t="shared" si="128"/>
        <v>0</v>
      </c>
      <c r="F140" s="13">
        <f t="shared" si="129"/>
        <v>0</v>
      </c>
      <c r="G140" s="13">
        <f t="shared" si="130"/>
        <v>0</v>
      </c>
      <c r="H140" s="13">
        <f t="shared" si="131"/>
        <v>0</v>
      </c>
      <c r="I140" s="13">
        <f t="shared" si="132"/>
        <v>0</v>
      </c>
      <c r="J140" s="13">
        <f t="shared" si="133"/>
        <v>0</v>
      </c>
      <c r="K140" s="13">
        <f t="shared" si="134"/>
        <v>0</v>
      </c>
      <c r="L140" s="13">
        <f t="shared" si="135"/>
        <v>0</v>
      </c>
      <c r="M140" s="13">
        <f t="shared" si="136"/>
        <v>0</v>
      </c>
      <c r="N140" s="13">
        <f t="shared" si="137"/>
        <v>0</v>
      </c>
      <c r="O140" s="13">
        <f t="shared" si="138"/>
        <v>0</v>
      </c>
      <c r="P140" s="13">
        <f t="shared" si="139"/>
        <v>0</v>
      </c>
      <c r="Q140" s="13">
        <f t="shared" si="140"/>
        <v>0</v>
      </c>
      <c r="R140" s="13">
        <f t="shared" si="141"/>
        <v>0</v>
      </c>
      <c r="S140" s="13">
        <f t="shared" si="142"/>
        <v>0</v>
      </c>
      <c r="T140" s="13">
        <f t="shared" si="143"/>
        <v>0</v>
      </c>
      <c r="U140" s="13">
        <f t="shared" si="144"/>
        <v>0</v>
      </c>
      <c r="V140" s="13">
        <f t="shared" si="145"/>
        <v>0</v>
      </c>
      <c r="W140" s="13">
        <f t="shared" si="146"/>
        <v>0</v>
      </c>
      <c r="X140" s="13">
        <f t="shared" si="147"/>
        <v>0</v>
      </c>
      <c r="Y140" s="13">
        <f t="shared" si="148"/>
        <v>0</v>
      </c>
      <c r="Z140" s="13">
        <f t="shared" si="149"/>
        <v>0</v>
      </c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</row>
    <row r="141" spans="1:341" s="14" customFormat="1">
      <c r="A141" s="15" t="s">
        <v>136</v>
      </c>
      <c r="B141" s="13">
        <f t="shared" si="125"/>
        <v>0</v>
      </c>
      <c r="C141" s="13">
        <f t="shared" si="126"/>
        <v>0</v>
      </c>
      <c r="D141" s="13">
        <f t="shared" si="127"/>
        <v>0</v>
      </c>
      <c r="E141" s="13">
        <f t="shared" si="128"/>
        <v>0</v>
      </c>
      <c r="F141" s="13">
        <f t="shared" si="129"/>
        <v>0</v>
      </c>
      <c r="G141" s="13">
        <f t="shared" si="130"/>
        <v>0</v>
      </c>
      <c r="H141" s="13">
        <f t="shared" si="131"/>
        <v>0</v>
      </c>
      <c r="I141" s="13">
        <f t="shared" si="132"/>
        <v>0</v>
      </c>
      <c r="J141" s="13">
        <f t="shared" si="133"/>
        <v>0</v>
      </c>
      <c r="K141" s="13">
        <f t="shared" si="134"/>
        <v>0</v>
      </c>
      <c r="L141" s="13">
        <f t="shared" si="135"/>
        <v>0</v>
      </c>
      <c r="M141" s="13">
        <f t="shared" si="136"/>
        <v>0</v>
      </c>
      <c r="N141" s="13">
        <f t="shared" si="137"/>
        <v>0.90176244447058806</v>
      </c>
      <c r="O141" s="13">
        <f t="shared" si="138"/>
        <v>9.3939663884705862</v>
      </c>
      <c r="P141" s="13">
        <f t="shared" si="139"/>
        <v>29.484672265176464</v>
      </c>
      <c r="Q141" s="13">
        <f t="shared" si="140"/>
        <v>2.831368656941176</v>
      </c>
      <c r="R141" s="13">
        <f t="shared" si="141"/>
        <v>0</v>
      </c>
      <c r="S141" s="13">
        <f t="shared" si="142"/>
        <v>0</v>
      </c>
      <c r="T141" s="13">
        <f t="shared" si="143"/>
        <v>0</v>
      </c>
      <c r="U141" s="13">
        <f t="shared" si="144"/>
        <v>0</v>
      </c>
      <c r="V141" s="13">
        <f t="shared" si="145"/>
        <v>0</v>
      </c>
      <c r="W141" s="13">
        <f t="shared" si="146"/>
        <v>0</v>
      </c>
      <c r="X141" s="13">
        <f t="shared" si="147"/>
        <v>0</v>
      </c>
      <c r="Y141" s="13">
        <f t="shared" si="148"/>
        <v>0</v>
      </c>
      <c r="Z141" s="13">
        <f t="shared" si="149"/>
        <v>0</v>
      </c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>
        <v>901.76244447058809</v>
      </c>
      <c r="GA141" s="13"/>
      <c r="GB141" s="13">
        <v>2129.3478475294114</v>
      </c>
      <c r="GC141" s="13">
        <v>3686.9060858823523</v>
      </c>
      <c r="GD141" s="13">
        <v>2160.270192705882</v>
      </c>
      <c r="GE141" s="13"/>
      <c r="GF141" s="13"/>
      <c r="GG141" s="13"/>
      <c r="GH141" s="13">
        <v>855.56624752941161</v>
      </c>
      <c r="GI141" s="13"/>
      <c r="GJ141" s="13">
        <v>561.87601482352932</v>
      </c>
      <c r="GK141" s="13"/>
      <c r="GL141" s="13"/>
      <c r="GM141" s="13"/>
      <c r="GN141" s="13"/>
      <c r="GO141" s="13">
        <v>7475.3976952941166</v>
      </c>
      <c r="GP141" s="13">
        <v>2021.7968762352939</v>
      </c>
      <c r="GQ141" s="13">
        <v>2880.7637171764704</v>
      </c>
      <c r="GR141" s="13">
        <v>3131.0531559999995</v>
      </c>
      <c r="GS141" s="13">
        <v>2348.5708482352939</v>
      </c>
      <c r="GT141" s="13"/>
      <c r="GU141" s="13">
        <v>2865.6339583529407</v>
      </c>
      <c r="GV141" s="13">
        <v>2914.279735294117</v>
      </c>
      <c r="GW141" s="13">
        <v>1956.9838712941173</v>
      </c>
      <c r="GX141" s="13">
        <v>3890.1924072941169</v>
      </c>
      <c r="GY141" s="13"/>
      <c r="GZ141" s="13"/>
      <c r="HA141" s="13"/>
      <c r="HB141" s="13">
        <v>1455.943896235294</v>
      </c>
      <c r="HC141" s="13"/>
      <c r="HD141" s="13">
        <v>1375.2230305882351</v>
      </c>
      <c r="HE141" s="13"/>
      <c r="HF141" s="13"/>
      <c r="HG141" s="13"/>
      <c r="HH141" s="13"/>
      <c r="HI141" s="13"/>
      <c r="HJ141" s="13">
        <v>0.20173011764705878</v>
      </c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</row>
    <row r="142" spans="1:341" s="14" customFormat="1">
      <c r="A142" s="15" t="s">
        <v>137</v>
      </c>
      <c r="B142" s="13">
        <f t="shared" si="125"/>
        <v>0</v>
      </c>
      <c r="C142" s="13">
        <f t="shared" si="126"/>
        <v>0</v>
      </c>
      <c r="D142" s="13">
        <f t="shared" si="127"/>
        <v>0</v>
      </c>
      <c r="E142" s="13">
        <f t="shared" si="128"/>
        <v>0</v>
      </c>
      <c r="F142" s="13">
        <f t="shared" si="129"/>
        <v>0</v>
      </c>
      <c r="G142" s="13">
        <f t="shared" si="130"/>
        <v>0</v>
      </c>
      <c r="H142" s="13">
        <f t="shared" si="131"/>
        <v>0</v>
      </c>
      <c r="I142" s="13">
        <f t="shared" si="132"/>
        <v>0</v>
      </c>
      <c r="J142" s="13">
        <f t="shared" si="133"/>
        <v>0</v>
      </c>
      <c r="K142" s="13">
        <f t="shared" si="134"/>
        <v>0</v>
      </c>
      <c r="L142" s="13">
        <f t="shared" si="135"/>
        <v>0</v>
      </c>
      <c r="M142" s="13">
        <f t="shared" si="136"/>
        <v>0</v>
      </c>
      <c r="N142" s="13">
        <f t="shared" si="137"/>
        <v>0</v>
      </c>
      <c r="O142" s="13">
        <f t="shared" si="138"/>
        <v>0</v>
      </c>
      <c r="P142" s="13">
        <f t="shared" si="139"/>
        <v>0</v>
      </c>
      <c r="Q142" s="13">
        <f t="shared" si="140"/>
        <v>0</v>
      </c>
      <c r="R142" s="13">
        <f t="shared" si="141"/>
        <v>0</v>
      </c>
      <c r="S142" s="13">
        <f t="shared" si="142"/>
        <v>0</v>
      </c>
      <c r="T142" s="13">
        <f t="shared" si="143"/>
        <v>0</v>
      </c>
      <c r="U142" s="13">
        <f t="shared" si="144"/>
        <v>0</v>
      </c>
      <c r="V142" s="13">
        <f t="shared" si="145"/>
        <v>0</v>
      </c>
      <c r="W142" s="13">
        <f t="shared" si="146"/>
        <v>0</v>
      </c>
      <c r="X142" s="13">
        <f t="shared" si="147"/>
        <v>0</v>
      </c>
      <c r="Y142" s="13">
        <f t="shared" si="148"/>
        <v>0</v>
      </c>
      <c r="Z142" s="13">
        <f t="shared" si="149"/>
        <v>0</v>
      </c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</row>
    <row r="143" spans="1:341" s="14" customFormat="1">
      <c r="A143" s="12" t="s">
        <v>138</v>
      </c>
      <c r="B143" s="13">
        <f t="shared" si="125"/>
        <v>0</v>
      </c>
      <c r="C143" s="13">
        <f t="shared" si="126"/>
        <v>0</v>
      </c>
      <c r="D143" s="13">
        <f t="shared" si="127"/>
        <v>0</v>
      </c>
      <c r="E143" s="13">
        <f t="shared" si="128"/>
        <v>0</v>
      </c>
      <c r="F143" s="13">
        <f t="shared" si="129"/>
        <v>0</v>
      </c>
      <c r="G143" s="13">
        <f t="shared" si="130"/>
        <v>0</v>
      </c>
      <c r="H143" s="13">
        <f t="shared" si="131"/>
        <v>0</v>
      </c>
      <c r="I143" s="13">
        <f t="shared" si="132"/>
        <v>0</v>
      </c>
      <c r="J143" s="13">
        <f t="shared" si="133"/>
        <v>0</v>
      </c>
      <c r="K143" s="13">
        <f t="shared" si="134"/>
        <v>0</v>
      </c>
      <c r="L143" s="13">
        <f t="shared" si="135"/>
        <v>0</v>
      </c>
      <c r="M143" s="13">
        <f t="shared" si="136"/>
        <v>0</v>
      </c>
      <c r="N143" s="13">
        <f t="shared" si="137"/>
        <v>0</v>
      </c>
      <c r="O143" s="13">
        <f t="shared" si="138"/>
        <v>0</v>
      </c>
      <c r="P143" s="13">
        <f t="shared" si="139"/>
        <v>0</v>
      </c>
      <c r="Q143" s="13">
        <f t="shared" si="140"/>
        <v>0</v>
      </c>
      <c r="R143" s="13">
        <f t="shared" si="141"/>
        <v>0</v>
      </c>
      <c r="S143" s="13">
        <f t="shared" si="142"/>
        <v>0</v>
      </c>
      <c r="T143" s="13">
        <f t="shared" si="143"/>
        <v>0</v>
      </c>
      <c r="U143" s="13">
        <f t="shared" si="144"/>
        <v>0</v>
      </c>
      <c r="V143" s="13">
        <f t="shared" si="145"/>
        <v>0</v>
      </c>
      <c r="W143" s="13">
        <f t="shared" si="146"/>
        <v>0</v>
      </c>
      <c r="X143" s="13">
        <f t="shared" si="147"/>
        <v>0</v>
      </c>
      <c r="Y143" s="13">
        <f t="shared" si="148"/>
        <v>0</v>
      </c>
      <c r="Z143" s="13">
        <f t="shared" si="149"/>
        <v>0</v>
      </c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</row>
    <row r="144" spans="1:341" s="14" customFormat="1">
      <c r="A144" s="12" t="s">
        <v>139</v>
      </c>
      <c r="B144" s="13">
        <f t="shared" si="125"/>
        <v>0</v>
      </c>
      <c r="C144" s="13">
        <f t="shared" si="126"/>
        <v>0</v>
      </c>
      <c r="D144" s="13">
        <f t="shared" si="127"/>
        <v>0</v>
      </c>
      <c r="E144" s="13">
        <f t="shared" si="128"/>
        <v>0</v>
      </c>
      <c r="F144" s="13">
        <f t="shared" si="129"/>
        <v>0</v>
      </c>
      <c r="G144" s="13">
        <f t="shared" si="130"/>
        <v>0</v>
      </c>
      <c r="H144" s="13">
        <f t="shared" si="131"/>
        <v>0</v>
      </c>
      <c r="I144" s="13">
        <f t="shared" si="132"/>
        <v>0</v>
      </c>
      <c r="J144" s="13">
        <f t="shared" si="133"/>
        <v>0</v>
      </c>
      <c r="K144" s="13">
        <f t="shared" si="134"/>
        <v>0</v>
      </c>
      <c r="L144" s="13">
        <f t="shared" si="135"/>
        <v>0</v>
      </c>
      <c r="M144" s="13">
        <f t="shared" si="136"/>
        <v>0</v>
      </c>
      <c r="N144" s="13">
        <f t="shared" si="137"/>
        <v>0</v>
      </c>
      <c r="O144" s="13">
        <f t="shared" si="138"/>
        <v>0</v>
      </c>
      <c r="P144" s="13">
        <f t="shared" si="139"/>
        <v>0</v>
      </c>
      <c r="Q144" s="13">
        <f t="shared" si="140"/>
        <v>0</v>
      </c>
      <c r="R144" s="13">
        <f t="shared" si="141"/>
        <v>0</v>
      </c>
      <c r="S144" s="13">
        <f t="shared" si="142"/>
        <v>0</v>
      </c>
      <c r="T144" s="13">
        <f t="shared" si="143"/>
        <v>0</v>
      </c>
      <c r="U144" s="13">
        <f t="shared" si="144"/>
        <v>0</v>
      </c>
      <c r="V144" s="13">
        <f t="shared" si="145"/>
        <v>0</v>
      </c>
      <c r="W144" s="13">
        <f t="shared" si="146"/>
        <v>0</v>
      </c>
      <c r="X144" s="13">
        <f t="shared" si="147"/>
        <v>0</v>
      </c>
      <c r="Y144" s="13">
        <f t="shared" si="148"/>
        <v>0</v>
      </c>
      <c r="Z144" s="13">
        <f t="shared" si="149"/>
        <v>0</v>
      </c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</row>
    <row r="145" spans="1:341" s="14" customFormat="1">
      <c r="A145" s="12" t="s">
        <v>140</v>
      </c>
      <c r="B145" s="13">
        <f t="shared" si="125"/>
        <v>0</v>
      </c>
      <c r="C145" s="13">
        <f t="shared" si="126"/>
        <v>0</v>
      </c>
      <c r="D145" s="13">
        <f t="shared" si="127"/>
        <v>0</v>
      </c>
      <c r="E145" s="13">
        <f t="shared" si="128"/>
        <v>0</v>
      </c>
      <c r="F145" s="13">
        <f t="shared" si="129"/>
        <v>0</v>
      </c>
      <c r="G145" s="13">
        <f t="shared" si="130"/>
        <v>0</v>
      </c>
      <c r="H145" s="13">
        <f t="shared" si="131"/>
        <v>0</v>
      </c>
      <c r="I145" s="13">
        <f t="shared" si="132"/>
        <v>0</v>
      </c>
      <c r="J145" s="13">
        <f t="shared" si="133"/>
        <v>0</v>
      </c>
      <c r="K145" s="13">
        <f t="shared" si="134"/>
        <v>0</v>
      </c>
      <c r="L145" s="13">
        <f t="shared" si="135"/>
        <v>0</v>
      </c>
      <c r="M145" s="13">
        <f t="shared" si="136"/>
        <v>0</v>
      </c>
      <c r="N145" s="13">
        <f t="shared" si="137"/>
        <v>0</v>
      </c>
      <c r="O145" s="13">
        <f t="shared" si="138"/>
        <v>0</v>
      </c>
      <c r="P145" s="13">
        <f t="shared" si="139"/>
        <v>0</v>
      </c>
      <c r="Q145" s="13">
        <f t="shared" si="140"/>
        <v>0</v>
      </c>
      <c r="R145" s="13">
        <f t="shared" si="141"/>
        <v>0</v>
      </c>
      <c r="S145" s="13">
        <f t="shared" si="142"/>
        <v>0</v>
      </c>
      <c r="T145" s="13">
        <f t="shared" si="143"/>
        <v>0</v>
      </c>
      <c r="U145" s="13">
        <f t="shared" si="144"/>
        <v>0</v>
      </c>
      <c r="V145" s="13">
        <f t="shared" si="145"/>
        <v>0</v>
      </c>
      <c r="W145" s="13">
        <f t="shared" si="146"/>
        <v>0</v>
      </c>
      <c r="X145" s="13">
        <f t="shared" si="147"/>
        <v>0</v>
      </c>
      <c r="Y145" s="13">
        <f t="shared" si="148"/>
        <v>0</v>
      </c>
      <c r="Z145" s="13">
        <f t="shared" si="149"/>
        <v>0</v>
      </c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</row>
    <row r="146" spans="1:341" s="14" customFormat="1">
      <c r="A146" s="12" t="s">
        <v>141</v>
      </c>
      <c r="B146" s="13">
        <f t="shared" si="125"/>
        <v>0</v>
      </c>
      <c r="C146" s="13">
        <f t="shared" si="126"/>
        <v>0</v>
      </c>
      <c r="D146" s="13">
        <f t="shared" si="127"/>
        <v>0</v>
      </c>
      <c r="E146" s="13">
        <f t="shared" si="128"/>
        <v>0</v>
      </c>
      <c r="F146" s="13">
        <f t="shared" si="129"/>
        <v>0</v>
      </c>
      <c r="G146" s="13">
        <f t="shared" si="130"/>
        <v>0</v>
      </c>
      <c r="H146" s="13">
        <f t="shared" si="131"/>
        <v>0</v>
      </c>
      <c r="I146" s="13">
        <f t="shared" si="132"/>
        <v>0</v>
      </c>
      <c r="J146" s="13">
        <f t="shared" si="133"/>
        <v>0</v>
      </c>
      <c r="K146" s="13">
        <f t="shared" si="134"/>
        <v>0</v>
      </c>
      <c r="L146" s="13">
        <f t="shared" si="135"/>
        <v>0</v>
      </c>
      <c r="M146" s="13">
        <f t="shared" si="136"/>
        <v>0</v>
      </c>
      <c r="N146" s="13">
        <f t="shared" si="137"/>
        <v>0</v>
      </c>
      <c r="O146" s="13">
        <f t="shared" si="138"/>
        <v>0</v>
      </c>
      <c r="P146" s="13">
        <f t="shared" si="139"/>
        <v>0</v>
      </c>
      <c r="Q146" s="13">
        <f t="shared" si="140"/>
        <v>0</v>
      </c>
      <c r="R146" s="13">
        <f t="shared" si="141"/>
        <v>0</v>
      </c>
      <c r="S146" s="13">
        <f t="shared" si="142"/>
        <v>0</v>
      </c>
      <c r="T146" s="13">
        <f t="shared" si="143"/>
        <v>0</v>
      </c>
      <c r="U146" s="13">
        <f t="shared" si="144"/>
        <v>0</v>
      </c>
      <c r="V146" s="13">
        <f t="shared" si="145"/>
        <v>0</v>
      </c>
      <c r="W146" s="13">
        <f t="shared" si="146"/>
        <v>0</v>
      </c>
      <c r="X146" s="13">
        <f t="shared" si="147"/>
        <v>0</v>
      </c>
      <c r="Y146" s="13">
        <f t="shared" si="148"/>
        <v>0</v>
      </c>
      <c r="Z146" s="13">
        <f t="shared" si="149"/>
        <v>0</v>
      </c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</row>
    <row r="147" spans="1:341" s="14" customFormat="1">
      <c r="A147" s="12" t="s">
        <v>142</v>
      </c>
      <c r="B147" s="13">
        <f t="shared" si="125"/>
        <v>0</v>
      </c>
      <c r="C147" s="13">
        <f t="shared" si="126"/>
        <v>0</v>
      </c>
      <c r="D147" s="13">
        <f t="shared" si="127"/>
        <v>0</v>
      </c>
      <c r="E147" s="13">
        <f t="shared" si="128"/>
        <v>0</v>
      </c>
      <c r="F147" s="13">
        <f t="shared" si="129"/>
        <v>0</v>
      </c>
      <c r="G147" s="13">
        <f t="shared" si="130"/>
        <v>0</v>
      </c>
      <c r="H147" s="13">
        <f t="shared" si="131"/>
        <v>0</v>
      </c>
      <c r="I147" s="13">
        <f t="shared" si="132"/>
        <v>0</v>
      </c>
      <c r="J147" s="13">
        <f t="shared" si="133"/>
        <v>0</v>
      </c>
      <c r="K147" s="13">
        <f t="shared" si="134"/>
        <v>0</v>
      </c>
      <c r="L147" s="13">
        <f t="shared" si="135"/>
        <v>0</v>
      </c>
      <c r="M147" s="13">
        <f t="shared" si="136"/>
        <v>0</v>
      </c>
      <c r="N147" s="13">
        <f t="shared" si="137"/>
        <v>1.2103807058823527E-2</v>
      </c>
      <c r="O147" s="13">
        <f t="shared" si="138"/>
        <v>2.8126942117647054E-2</v>
      </c>
      <c r="P147" s="13">
        <f t="shared" si="139"/>
        <v>1.2622541647058821E-2</v>
      </c>
      <c r="Q147" s="13">
        <f t="shared" si="140"/>
        <v>1.625368376470588E-2</v>
      </c>
      <c r="R147" s="13">
        <f t="shared" si="141"/>
        <v>4.0346023529411702E-3</v>
      </c>
      <c r="S147" s="13">
        <f t="shared" si="142"/>
        <v>5.1873458823529376E-3</v>
      </c>
      <c r="T147" s="13">
        <f t="shared" si="143"/>
        <v>0</v>
      </c>
      <c r="U147" s="13">
        <f t="shared" si="144"/>
        <v>0.56965703364705844</v>
      </c>
      <c r="V147" s="13">
        <f t="shared" si="145"/>
        <v>1.4334077602352935</v>
      </c>
      <c r="W147" s="13">
        <f t="shared" si="146"/>
        <v>1.4622263484705875</v>
      </c>
      <c r="X147" s="13">
        <f t="shared" si="147"/>
        <v>0</v>
      </c>
      <c r="Y147" s="13">
        <f t="shared" si="148"/>
        <v>0</v>
      </c>
      <c r="Z147" s="13">
        <f t="shared" si="149"/>
        <v>0</v>
      </c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>
        <v>12.103807058823527</v>
      </c>
      <c r="FZ147" s="13"/>
      <c r="GA147" s="13"/>
      <c r="GB147" s="13">
        <v>4.0346023529411754</v>
      </c>
      <c r="GC147" s="13"/>
      <c r="GD147" s="13">
        <v>8.0692047058823508</v>
      </c>
      <c r="GE147" s="13">
        <v>3.9769651764705878</v>
      </c>
      <c r="GF147" s="13"/>
      <c r="GG147" s="13">
        <v>4.0346023529411754</v>
      </c>
      <c r="GH147" s="13"/>
      <c r="GI147" s="13"/>
      <c r="GJ147" s="13">
        <v>4.0346023529411754</v>
      </c>
      <c r="GK147" s="13">
        <v>3.9769651764705878</v>
      </c>
      <c r="GL147" s="13"/>
      <c r="GM147" s="13"/>
      <c r="GN147" s="13"/>
      <c r="GO147" s="13">
        <v>8.5879392941176462</v>
      </c>
      <c r="GP147" s="13"/>
      <c r="GQ147" s="13"/>
      <c r="GR147" s="13"/>
      <c r="GS147" s="13"/>
      <c r="GT147" s="13"/>
      <c r="GU147" s="13"/>
      <c r="GV147" s="13"/>
      <c r="GW147" s="13"/>
      <c r="GX147" s="13">
        <v>4.0346023529411754</v>
      </c>
      <c r="GY147" s="13"/>
      <c r="GZ147" s="13"/>
      <c r="HA147" s="13"/>
      <c r="HB147" s="13"/>
      <c r="HC147" s="13"/>
      <c r="HD147" s="13"/>
      <c r="HE147" s="13">
        <v>4.0346023529411754</v>
      </c>
      <c r="HF147" s="13">
        <v>4.0346023529411754</v>
      </c>
      <c r="HG147" s="13">
        <v>4.2075138823529405</v>
      </c>
      <c r="HH147" s="13">
        <v>3.9769651764705878</v>
      </c>
      <c r="HI147" s="13"/>
      <c r="HJ147" s="13"/>
      <c r="HK147" s="13"/>
      <c r="HL147" s="13"/>
      <c r="HM147" s="13"/>
      <c r="HN147" s="13"/>
      <c r="HO147" s="13"/>
      <c r="HP147" s="13"/>
      <c r="HQ147" s="13">
        <v>4.0346023529411701</v>
      </c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>
        <v>4.1498767058823507</v>
      </c>
      <c r="IH147" s="13"/>
      <c r="II147" s="13">
        <v>1.0374691764705877</v>
      </c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>
        <v>569.65703364705848</v>
      </c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>
        <v>1433.4077602352934</v>
      </c>
      <c r="JS147" s="13"/>
      <c r="JT147" s="13"/>
      <c r="JU147" s="13"/>
      <c r="JV147" s="13"/>
      <c r="JW147" s="13">
        <v>1462.2263484705875</v>
      </c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</row>
    <row r="148" spans="1:341" s="14" customFormat="1">
      <c r="A148" s="15" t="s">
        <v>143</v>
      </c>
      <c r="B148" s="13">
        <f t="shared" si="125"/>
        <v>0</v>
      </c>
      <c r="C148" s="13">
        <f t="shared" si="126"/>
        <v>0</v>
      </c>
      <c r="D148" s="13">
        <f t="shared" si="127"/>
        <v>0</v>
      </c>
      <c r="E148" s="13">
        <f t="shared" si="128"/>
        <v>0</v>
      </c>
      <c r="F148" s="13">
        <f t="shared" si="129"/>
        <v>0</v>
      </c>
      <c r="G148" s="13">
        <f t="shared" si="130"/>
        <v>0</v>
      </c>
      <c r="H148" s="13">
        <f t="shared" si="131"/>
        <v>0</v>
      </c>
      <c r="I148" s="13">
        <f t="shared" si="132"/>
        <v>0</v>
      </c>
      <c r="J148" s="13">
        <f t="shared" si="133"/>
        <v>0</v>
      </c>
      <c r="K148" s="13">
        <f t="shared" si="134"/>
        <v>0</v>
      </c>
      <c r="L148" s="13">
        <f t="shared" si="135"/>
        <v>1.4409294117647055E-3</v>
      </c>
      <c r="M148" s="13">
        <f t="shared" si="136"/>
        <v>9.510134117647057E-3</v>
      </c>
      <c r="N148" s="13">
        <f t="shared" si="137"/>
        <v>0</v>
      </c>
      <c r="O148" s="13">
        <f t="shared" si="138"/>
        <v>0</v>
      </c>
      <c r="P148" s="13">
        <f t="shared" si="139"/>
        <v>0</v>
      </c>
      <c r="Q148" s="13">
        <f t="shared" si="140"/>
        <v>0</v>
      </c>
      <c r="R148" s="13">
        <f t="shared" si="141"/>
        <v>0</v>
      </c>
      <c r="S148" s="13">
        <f t="shared" si="142"/>
        <v>0</v>
      </c>
      <c r="T148" s="13">
        <f t="shared" si="143"/>
        <v>0</v>
      </c>
      <c r="U148" s="13">
        <f t="shared" si="144"/>
        <v>0</v>
      </c>
      <c r="V148" s="13">
        <f t="shared" si="145"/>
        <v>0</v>
      </c>
      <c r="W148" s="13">
        <f t="shared" si="146"/>
        <v>0</v>
      </c>
      <c r="X148" s="13">
        <f t="shared" si="147"/>
        <v>0</v>
      </c>
      <c r="Y148" s="13">
        <f t="shared" si="148"/>
        <v>0</v>
      </c>
      <c r="Z148" s="13">
        <f t="shared" si="149"/>
        <v>0</v>
      </c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>
        <v>1.4409294117647056</v>
      </c>
      <c r="FD148" s="13"/>
      <c r="FE148" s="13">
        <v>2.8818588235294111</v>
      </c>
      <c r="FF148" s="13"/>
      <c r="FG148" s="13"/>
      <c r="FH148" s="13"/>
      <c r="FI148" s="13"/>
      <c r="FJ148" s="13">
        <v>6.6282752941176462</v>
      </c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</row>
    <row r="149" spans="1:341" s="14" customFormat="1">
      <c r="A149" s="12" t="s">
        <v>144</v>
      </c>
      <c r="B149" s="13">
        <f t="shared" si="125"/>
        <v>0</v>
      </c>
      <c r="C149" s="13">
        <f t="shared" si="126"/>
        <v>0</v>
      </c>
      <c r="D149" s="13">
        <f t="shared" si="127"/>
        <v>0</v>
      </c>
      <c r="E149" s="13">
        <f t="shared" si="128"/>
        <v>0</v>
      </c>
      <c r="F149" s="13">
        <f t="shared" si="129"/>
        <v>0</v>
      </c>
      <c r="G149" s="13">
        <f t="shared" si="130"/>
        <v>0</v>
      </c>
      <c r="H149" s="13">
        <f t="shared" si="131"/>
        <v>0</v>
      </c>
      <c r="I149" s="13">
        <f t="shared" si="132"/>
        <v>0</v>
      </c>
      <c r="J149" s="13">
        <f t="shared" si="133"/>
        <v>0</v>
      </c>
      <c r="K149" s="13">
        <f t="shared" si="134"/>
        <v>0</v>
      </c>
      <c r="L149" s="13">
        <f t="shared" si="135"/>
        <v>0</v>
      </c>
      <c r="M149" s="13">
        <f t="shared" si="136"/>
        <v>0</v>
      </c>
      <c r="N149" s="13">
        <f t="shared" si="137"/>
        <v>0</v>
      </c>
      <c r="O149" s="13">
        <f t="shared" si="138"/>
        <v>0</v>
      </c>
      <c r="P149" s="13">
        <f t="shared" si="139"/>
        <v>0</v>
      </c>
      <c r="Q149" s="13">
        <f t="shared" si="140"/>
        <v>0</v>
      </c>
      <c r="R149" s="13">
        <f t="shared" si="141"/>
        <v>0</v>
      </c>
      <c r="S149" s="13">
        <f t="shared" si="142"/>
        <v>0</v>
      </c>
      <c r="T149" s="13">
        <f t="shared" si="143"/>
        <v>0</v>
      </c>
      <c r="U149" s="13">
        <f t="shared" si="144"/>
        <v>0</v>
      </c>
      <c r="V149" s="13">
        <f t="shared" si="145"/>
        <v>0</v>
      </c>
      <c r="W149" s="13">
        <f t="shared" si="146"/>
        <v>0</v>
      </c>
      <c r="X149" s="13">
        <f t="shared" si="147"/>
        <v>0</v>
      </c>
      <c r="Y149" s="13">
        <f t="shared" si="148"/>
        <v>0</v>
      </c>
      <c r="Z149" s="13">
        <f t="shared" si="149"/>
        <v>0</v>
      </c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</row>
    <row r="150" spans="1:341" s="14" customFormat="1">
      <c r="A150" s="15" t="s">
        <v>145</v>
      </c>
      <c r="B150" s="13">
        <f t="shared" si="125"/>
        <v>0</v>
      </c>
      <c r="C150" s="13">
        <f t="shared" si="126"/>
        <v>0</v>
      </c>
      <c r="D150" s="13">
        <f t="shared" si="127"/>
        <v>0</v>
      </c>
      <c r="E150" s="13">
        <f t="shared" si="128"/>
        <v>0</v>
      </c>
      <c r="F150" s="13">
        <f t="shared" si="129"/>
        <v>0</v>
      </c>
      <c r="G150" s="13">
        <f t="shared" si="130"/>
        <v>0</v>
      </c>
      <c r="H150" s="13">
        <f t="shared" si="131"/>
        <v>0</v>
      </c>
      <c r="I150" s="13">
        <f t="shared" si="132"/>
        <v>0</v>
      </c>
      <c r="J150" s="13">
        <f t="shared" si="133"/>
        <v>0</v>
      </c>
      <c r="K150" s="13">
        <f t="shared" si="134"/>
        <v>0</v>
      </c>
      <c r="L150" s="13">
        <f t="shared" si="135"/>
        <v>0</v>
      </c>
      <c r="M150" s="13">
        <f t="shared" si="136"/>
        <v>0</v>
      </c>
      <c r="N150" s="13">
        <f t="shared" si="137"/>
        <v>0</v>
      </c>
      <c r="O150" s="13">
        <f t="shared" si="138"/>
        <v>0</v>
      </c>
      <c r="P150" s="13">
        <f t="shared" si="139"/>
        <v>0</v>
      </c>
      <c r="Q150" s="13">
        <f t="shared" si="140"/>
        <v>0</v>
      </c>
      <c r="R150" s="13">
        <f t="shared" si="141"/>
        <v>0</v>
      </c>
      <c r="S150" s="13">
        <f t="shared" si="142"/>
        <v>0</v>
      </c>
      <c r="T150" s="13">
        <f t="shared" si="143"/>
        <v>0</v>
      </c>
      <c r="U150" s="13">
        <f t="shared" si="144"/>
        <v>0</v>
      </c>
      <c r="V150" s="13">
        <f t="shared" si="145"/>
        <v>0</v>
      </c>
      <c r="W150" s="13">
        <f t="shared" si="146"/>
        <v>0</v>
      </c>
      <c r="X150" s="13">
        <f t="shared" si="147"/>
        <v>0</v>
      </c>
      <c r="Y150" s="13">
        <f t="shared" si="148"/>
        <v>0</v>
      </c>
      <c r="Z150" s="13">
        <f t="shared" si="149"/>
        <v>0</v>
      </c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</row>
    <row r="151" spans="1:341" s="14" customFormat="1">
      <c r="A151" s="15" t="s">
        <v>146</v>
      </c>
      <c r="B151" s="13">
        <f t="shared" si="125"/>
        <v>0</v>
      </c>
      <c r="C151" s="13">
        <f t="shared" si="126"/>
        <v>0</v>
      </c>
      <c r="D151" s="13">
        <f t="shared" si="127"/>
        <v>0</v>
      </c>
      <c r="E151" s="13">
        <f t="shared" si="128"/>
        <v>0</v>
      </c>
      <c r="F151" s="13">
        <f t="shared" si="129"/>
        <v>0</v>
      </c>
      <c r="G151" s="13">
        <f t="shared" si="130"/>
        <v>0</v>
      </c>
      <c r="H151" s="13">
        <f t="shared" si="131"/>
        <v>0</v>
      </c>
      <c r="I151" s="13">
        <f t="shared" si="132"/>
        <v>4.8991599999999985E-4</v>
      </c>
      <c r="J151" s="13">
        <f t="shared" si="133"/>
        <v>0</v>
      </c>
      <c r="K151" s="13">
        <f t="shared" si="134"/>
        <v>0</v>
      </c>
      <c r="L151" s="13">
        <f t="shared" si="135"/>
        <v>0</v>
      </c>
      <c r="M151" s="13">
        <f t="shared" si="136"/>
        <v>0</v>
      </c>
      <c r="N151" s="13">
        <f t="shared" si="137"/>
        <v>0</v>
      </c>
      <c r="O151" s="13">
        <f t="shared" si="138"/>
        <v>0</v>
      </c>
      <c r="P151" s="13">
        <f t="shared" si="139"/>
        <v>0</v>
      </c>
      <c r="Q151" s="13">
        <f t="shared" si="140"/>
        <v>0</v>
      </c>
      <c r="R151" s="13">
        <f t="shared" si="141"/>
        <v>0</v>
      </c>
      <c r="S151" s="13">
        <f t="shared" si="142"/>
        <v>0</v>
      </c>
      <c r="T151" s="13">
        <f t="shared" si="143"/>
        <v>0</v>
      </c>
      <c r="U151" s="13">
        <f t="shared" si="144"/>
        <v>0</v>
      </c>
      <c r="V151" s="13">
        <f t="shared" si="145"/>
        <v>0</v>
      </c>
      <c r="W151" s="13">
        <f t="shared" si="146"/>
        <v>0</v>
      </c>
      <c r="X151" s="13">
        <f t="shared" si="147"/>
        <v>0</v>
      </c>
      <c r="Y151" s="13">
        <f t="shared" si="148"/>
        <v>0</v>
      </c>
      <c r="Z151" s="13">
        <f t="shared" si="149"/>
        <v>0</v>
      </c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>
        <v>0.48991599999999991</v>
      </c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</row>
    <row r="152" spans="1:341" s="14" customFormat="1">
      <c r="A152" s="15" t="s">
        <v>147</v>
      </c>
      <c r="B152" s="13">
        <f t="shared" si="125"/>
        <v>0</v>
      </c>
      <c r="C152" s="13">
        <f t="shared" si="126"/>
        <v>0</v>
      </c>
      <c r="D152" s="13">
        <f t="shared" si="127"/>
        <v>0</v>
      </c>
      <c r="E152" s="13">
        <f t="shared" si="128"/>
        <v>0</v>
      </c>
      <c r="F152" s="13">
        <f t="shared" si="129"/>
        <v>0</v>
      </c>
      <c r="G152" s="13">
        <f t="shared" si="130"/>
        <v>0</v>
      </c>
      <c r="H152" s="13">
        <f t="shared" si="131"/>
        <v>0</v>
      </c>
      <c r="I152" s="13">
        <f t="shared" si="132"/>
        <v>0</v>
      </c>
      <c r="J152" s="13">
        <f t="shared" si="133"/>
        <v>0</v>
      </c>
      <c r="K152" s="13">
        <f t="shared" si="134"/>
        <v>0</v>
      </c>
      <c r="L152" s="13">
        <f t="shared" si="135"/>
        <v>0</v>
      </c>
      <c r="M152" s="13">
        <f t="shared" si="136"/>
        <v>0</v>
      </c>
      <c r="N152" s="13">
        <f t="shared" si="137"/>
        <v>0</v>
      </c>
      <c r="O152" s="13">
        <f t="shared" si="138"/>
        <v>0</v>
      </c>
      <c r="P152" s="13">
        <f t="shared" si="139"/>
        <v>0</v>
      </c>
      <c r="Q152" s="13">
        <f t="shared" si="140"/>
        <v>0</v>
      </c>
      <c r="R152" s="13">
        <f t="shared" si="141"/>
        <v>0</v>
      </c>
      <c r="S152" s="13">
        <f t="shared" si="142"/>
        <v>0</v>
      </c>
      <c r="T152" s="13">
        <f t="shared" si="143"/>
        <v>0</v>
      </c>
      <c r="U152" s="13">
        <f t="shared" si="144"/>
        <v>0</v>
      </c>
      <c r="V152" s="13">
        <f t="shared" si="145"/>
        <v>0</v>
      </c>
      <c r="W152" s="13">
        <f t="shared" si="146"/>
        <v>0</v>
      </c>
      <c r="X152" s="13">
        <f t="shared" si="147"/>
        <v>0</v>
      </c>
      <c r="Y152" s="13">
        <f t="shared" si="148"/>
        <v>0</v>
      </c>
      <c r="Z152" s="13">
        <f t="shared" si="149"/>
        <v>0</v>
      </c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</row>
    <row r="153" spans="1:341" s="14" customFormat="1">
      <c r="A153" s="12" t="s">
        <v>148</v>
      </c>
      <c r="B153" s="13">
        <f t="shared" si="125"/>
        <v>0</v>
      </c>
      <c r="C153" s="13">
        <f t="shared" si="126"/>
        <v>0</v>
      </c>
      <c r="D153" s="13">
        <f t="shared" si="127"/>
        <v>0</v>
      </c>
      <c r="E153" s="13">
        <f t="shared" si="128"/>
        <v>0</v>
      </c>
      <c r="F153" s="13">
        <f t="shared" si="129"/>
        <v>0</v>
      </c>
      <c r="G153" s="13">
        <f t="shared" si="130"/>
        <v>0</v>
      </c>
      <c r="H153" s="13">
        <f t="shared" si="131"/>
        <v>0</v>
      </c>
      <c r="I153" s="13">
        <f t="shared" si="132"/>
        <v>0</v>
      </c>
      <c r="J153" s="13">
        <f t="shared" si="133"/>
        <v>0</v>
      </c>
      <c r="K153" s="13">
        <f t="shared" si="134"/>
        <v>0</v>
      </c>
      <c r="L153" s="13">
        <f t="shared" si="135"/>
        <v>0</v>
      </c>
      <c r="M153" s="13">
        <f t="shared" si="136"/>
        <v>0</v>
      </c>
      <c r="N153" s="13">
        <f t="shared" si="137"/>
        <v>0</v>
      </c>
      <c r="O153" s="13">
        <f t="shared" si="138"/>
        <v>0</v>
      </c>
      <c r="P153" s="13">
        <f t="shared" si="139"/>
        <v>0</v>
      </c>
      <c r="Q153" s="13">
        <f t="shared" si="140"/>
        <v>0</v>
      </c>
      <c r="R153" s="13">
        <f t="shared" si="141"/>
        <v>0</v>
      </c>
      <c r="S153" s="13">
        <f t="shared" si="142"/>
        <v>0</v>
      </c>
      <c r="T153" s="13">
        <f t="shared" si="143"/>
        <v>0</v>
      </c>
      <c r="U153" s="13">
        <f t="shared" si="144"/>
        <v>0</v>
      </c>
      <c r="V153" s="13">
        <f t="shared" si="145"/>
        <v>0</v>
      </c>
      <c r="W153" s="13">
        <f t="shared" si="146"/>
        <v>0</v>
      </c>
      <c r="X153" s="13">
        <f t="shared" si="147"/>
        <v>0</v>
      </c>
      <c r="Y153" s="13">
        <f t="shared" si="148"/>
        <v>0</v>
      </c>
      <c r="Z153" s="13">
        <f t="shared" si="149"/>
        <v>0</v>
      </c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</row>
    <row r="154" spans="1:341" s="14" customFormat="1">
      <c r="A154" s="12" t="s">
        <v>149</v>
      </c>
      <c r="B154" s="13">
        <f t="shared" si="125"/>
        <v>0</v>
      </c>
      <c r="C154" s="13">
        <f t="shared" si="126"/>
        <v>0</v>
      </c>
      <c r="D154" s="13">
        <f t="shared" si="127"/>
        <v>0</v>
      </c>
      <c r="E154" s="13">
        <f t="shared" si="128"/>
        <v>0</v>
      </c>
      <c r="F154" s="13">
        <f t="shared" si="129"/>
        <v>0</v>
      </c>
      <c r="G154" s="13">
        <f t="shared" si="130"/>
        <v>0</v>
      </c>
      <c r="H154" s="13">
        <f t="shared" si="131"/>
        <v>0</v>
      </c>
      <c r="I154" s="13">
        <f t="shared" si="132"/>
        <v>0</v>
      </c>
      <c r="J154" s="13">
        <f t="shared" si="133"/>
        <v>0</v>
      </c>
      <c r="K154" s="13">
        <f t="shared" si="134"/>
        <v>0</v>
      </c>
      <c r="L154" s="13">
        <f t="shared" si="135"/>
        <v>0</v>
      </c>
      <c r="M154" s="13">
        <f t="shared" si="136"/>
        <v>0</v>
      </c>
      <c r="N154" s="13">
        <f t="shared" si="137"/>
        <v>0</v>
      </c>
      <c r="O154" s="13">
        <f t="shared" si="138"/>
        <v>0</v>
      </c>
      <c r="P154" s="13">
        <f t="shared" si="139"/>
        <v>0</v>
      </c>
      <c r="Q154" s="13">
        <f t="shared" si="140"/>
        <v>0</v>
      </c>
      <c r="R154" s="13">
        <f t="shared" si="141"/>
        <v>0</v>
      </c>
      <c r="S154" s="13">
        <f t="shared" si="142"/>
        <v>0</v>
      </c>
      <c r="T154" s="13">
        <f t="shared" si="143"/>
        <v>0</v>
      </c>
      <c r="U154" s="13">
        <f t="shared" si="144"/>
        <v>0</v>
      </c>
      <c r="V154" s="13">
        <f t="shared" si="145"/>
        <v>0</v>
      </c>
      <c r="W154" s="13">
        <f t="shared" si="146"/>
        <v>0</v>
      </c>
      <c r="X154" s="13">
        <f t="shared" si="147"/>
        <v>0</v>
      </c>
      <c r="Y154" s="13">
        <f t="shared" si="148"/>
        <v>0</v>
      </c>
      <c r="Z154" s="13">
        <f t="shared" si="149"/>
        <v>0</v>
      </c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</row>
    <row r="155" spans="1:341" s="14" customFormat="1">
      <c r="A155" s="12" t="s">
        <v>150</v>
      </c>
      <c r="B155" s="13">
        <f t="shared" si="125"/>
        <v>0</v>
      </c>
      <c r="C155" s="13">
        <f t="shared" si="126"/>
        <v>0</v>
      </c>
      <c r="D155" s="13">
        <f t="shared" si="127"/>
        <v>0</v>
      </c>
      <c r="E155" s="13">
        <f t="shared" si="128"/>
        <v>0</v>
      </c>
      <c r="F155" s="13">
        <f t="shared" si="129"/>
        <v>0</v>
      </c>
      <c r="G155" s="13">
        <f t="shared" si="130"/>
        <v>0</v>
      </c>
      <c r="H155" s="13">
        <f t="shared" si="131"/>
        <v>0</v>
      </c>
      <c r="I155" s="13">
        <f t="shared" si="132"/>
        <v>0</v>
      </c>
      <c r="J155" s="13">
        <f t="shared" si="133"/>
        <v>0</v>
      </c>
      <c r="K155" s="13">
        <f t="shared" si="134"/>
        <v>0</v>
      </c>
      <c r="L155" s="13">
        <f t="shared" si="135"/>
        <v>0</v>
      </c>
      <c r="M155" s="13">
        <f t="shared" si="136"/>
        <v>0</v>
      </c>
      <c r="N155" s="13">
        <f t="shared" si="137"/>
        <v>0</v>
      </c>
      <c r="O155" s="13">
        <f t="shared" si="138"/>
        <v>0</v>
      </c>
      <c r="P155" s="13">
        <f t="shared" si="139"/>
        <v>0</v>
      </c>
      <c r="Q155" s="13">
        <f t="shared" si="140"/>
        <v>0</v>
      </c>
      <c r="R155" s="13">
        <f t="shared" si="141"/>
        <v>0</v>
      </c>
      <c r="S155" s="13">
        <f t="shared" si="142"/>
        <v>0</v>
      </c>
      <c r="T155" s="13">
        <f t="shared" si="143"/>
        <v>0</v>
      </c>
      <c r="U155" s="13">
        <f t="shared" si="144"/>
        <v>0</v>
      </c>
      <c r="V155" s="13">
        <f t="shared" si="145"/>
        <v>0</v>
      </c>
      <c r="W155" s="13">
        <f t="shared" si="146"/>
        <v>0</v>
      </c>
      <c r="X155" s="13">
        <f t="shared" si="147"/>
        <v>0</v>
      </c>
      <c r="Y155" s="13">
        <f t="shared" si="148"/>
        <v>0</v>
      </c>
      <c r="Z155" s="13">
        <f t="shared" si="149"/>
        <v>0</v>
      </c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</row>
    <row r="156" spans="1:341" s="14" customFormat="1">
      <c r="A156" s="15" t="s">
        <v>151</v>
      </c>
      <c r="B156" s="13">
        <f t="shared" si="125"/>
        <v>0</v>
      </c>
      <c r="C156" s="13">
        <f t="shared" si="126"/>
        <v>0</v>
      </c>
      <c r="D156" s="13">
        <f t="shared" si="127"/>
        <v>0</v>
      </c>
      <c r="E156" s="13">
        <f t="shared" si="128"/>
        <v>0</v>
      </c>
      <c r="F156" s="13">
        <f t="shared" si="129"/>
        <v>0</v>
      </c>
      <c r="G156" s="13">
        <f t="shared" si="130"/>
        <v>0</v>
      </c>
      <c r="H156" s="13">
        <f t="shared" si="131"/>
        <v>0</v>
      </c>
      <c r="I156" s="13">
        <f t="shared" si="132"/>
        <v>0</v>
      </c>
      <c r="J156" s="13">
        <f t="shared" si="133"/>
        <v>0</v>
      </c>
      <c r="K156" s="13">
        <f t="shared" si="134"/>
        <v>0</v>
      </c>
      <c r="L156" s="13">
        <f t="shared" si="135"/>
        <v>0</v>
      </c>
      <c r="M156" s="13">
        <f t="shared" si="136"/>
        <v>0</v>
      </c>
      <c r="N156" s="13">
        <f t="shared" si="137"/>
        <v>0</v>
      </c>
      <c r="O156" s="13">
        <f t="shared" si="138"/>
        <v>0</v>
      </c>
      <c r="P156" s="13">
        <f t="shared" si="139"/>
        <v>0</v>
      </c>
      <c r="Q156" s="13">
        <f t="shared" si="140"/>
        <v>0</v>
      </c>
      <c r="R156" s="13">
        <f t="shared" si="141"/>
        <v>0</v>
      </c>
      <c r="S156" s="13">
        <f t="shared" si="142"/>
        <v>0</v>
      </c>
      <c r="T156" s="13">
        <f t="shared" si="143"/>
        <v>0</v>
      </c>
      <c r="U156" s="13">
        <f t="shared" si="144"/>
        <v>0</v>
      </c>
      <c r="V156" s="13">
        <f t="shared" si="145"/>
        <v>0</v>
      </c>
      <c r="W156" s="13">
        <f t="shared" si="146"/>
        <v>0</v>
      </c>
      <c r="X156" s="13">
        <f t="shared" si="147"/>
        <v>0</v>
      </c>
      <c r="Y156" s="13">
        <f t="shared" si="148"/>
        <v>0</v>
      </c>
      <c r="Z156" s="13">
        <f t="shared" si="149"/>
        <v>0</v>
      </c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</row>
    <row r="157" spans="1:341" s="14" customFormat="1">
      <c r="A157" s="12" t="s">
        <v>152</v>
      </c>
      <c r="B157" s="13">
        <f t="shared" si="125"/>
        <v>0</v>
      </c>
      <c r="C157" s="13">
        <f t="shared" si="126"/>
        <v>0</v>
      </c>
      <c r="D157" s="13">
        <f t="shared" si="127"/>
        <v>0</v>
      </c>
      <c r="E157" s="13">
        <f t="shared" si="128"/>
        <v>0</v>
      </c>
      <c r="F157" s="13">
        <f t="shared" si="129"/>
        <v>0</v>
      </c>
      <c r="G157" s="13">
        <f t="shared" si="130"/>
        <v>0</v>
      </c>
      <c r="H157" s="13">
        <f t="shared" si="131"/>
        <v>0</v>
      </c>
      <c r="I157" s="13">
        <f t="shared" si="132"/>
        <v>0</v>
      </c>
      <c r="J157" s="13">
        <f t="shared" si="133"/>
        <v>0</v>
      </c>
      <c r="K157" s="13">
        <f t="shared" si="134"/>
        <v>0</v>
      </c>
      <c r="L157" s="13">
        <f t="shared" si="135"/>
        <v>0</v>
      </c>
      <c r="M157" s="13">
        <f t="shared" si="136"/>
        <v>0</v>
      </c>
      <c r="N157" s="13">
        <f t="shared" si="137"/>
        <v>0</v>
      </c>
      <c r="O157" s="13">
        <f t="shared" si="138"/>
        <v>0</v>
      </c>
      <c r="P157" s="13">
        <f t="shared" si="139"/>
        <v>0</v>
      </c>
      <c r="Q157" s="13">
        <f t="shared" si="140"/>
        <v>0</v>
      </c>
      <c r="R157" s="13">
        <f t="shared" si="141"/>
        <v>0</v>
      </c>
      <c r="S157" s="13">
        <f t="shared" si="142"/>
        <v>0</v>
      </c>
      <c r="T157" s="13">
        <f t="shared" si="143"/>
        <v>0</v>
      </c>
      <c r="U157" s="13">
        <f t="shared" si="144"/>
        <v>0</v>
      </c>
      <c r="V157" s="13">
        <f t="shared" si="145"/>
        <v>0</v>
      </c>
      <c r="W157" s="13">
        <f t="shared" si="146"/>
        <v>0</v>
      </c>
      <c r="X157" s="13">
        <f t="shared" si="147"/>
        <v>0</v>
      </c>
      <c r="Y157" s="13">
        <f t="shared" si="148"/>
        <v>0</v>
      </c>
      <c r="Z157" s="13">
        <f t="shared" si="149"/>
        <v>0</v>
      </c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</row>
    <row r="158" spans="1:341" s="14" customFormat="1">
      <c r="A158" s="15" t="s">
        <v>153</v>
      </c>
      <c r="B158" s="13">
        <f t="shared" si="125"/>
        <v>0</v>
      </c>
      <c r="C158" s="13">
        <f t="shared" si="126"/>
        <v>0</v>
      </c>
      <c r="D158" s="13">
        <f t="shared" si="127"/>
        <v>0</v>
      </c>
      <c r="E158" s="13">
        <f t="shared" si="128"/>
        <v>0</v>
      </c>
      <c r="F158" s="13">
        <f t="shared" si="129"/>
        <v>0</v>
      </c>
      <c r="G158" s="13">
        <f t="shared" si="130"/>
        <v>0</v>
      </c>
      <c r="H158" s="13">
        <f t="shared" si="131"/>
        <v>0</v>
      </c>
      <c r="I158" s="13">
        <f t="shared" si="132"/>
        <v>0</v>
      </c>
      <c r="J158" s="13">
        <f t="shared" si="133"/>
        <v>0</v>
      </c>
      <c r="K158" s="13">
        <f t="shared" si="134"/>
        <v>0</v>
      </c>
      <c r="L158" s="13">
        <f t="shared" si="135"/>
        <v>0</v>
      </c>
      <c r="M158" s="13">
        <f t="shared" si="136"/>
        <v>0</v>
      </c>
      <c r="N158" s="13">
        <f t="shared" si="137"/>
        <v>0</v>
      </c>
      <c r="O158" s="13">
        <f t="shared" si="138"/>
        <v>0</v>
      </c>
      <c r="P158" s="13">
        <f t="shared" si="139"/>
        <v>0</v>
      </c>
      <c r="Q158" s="13">
        <f t="shared" si="140"/>
        <v>0</v>
      </c>
      <c r="R158" s="13">
        <f t="shared" si="141"/>
        <v>0</v>
      </c>
      <c r="S158" s="13">
        <f t="shared" si="142"/>
        <v>0</v>
      </c>
      <c r="T158" s="13">
        <f t="shared" si="143"/>
        <v>0</v>
      </c>
      <c r="U158" s="13">
        <f t="shared" si="144"/>
        <v>0</v>
      </c>
      <c r="V158" s="13">
        <f t="shared" si="145"/>
        <v>0</v>
      </c>
      <c r="W158" s="13">
        <f t="shared" si="146"/>
        <v>0</v>
      </c>
      <c r="X158" s="13">
        <f t="shared" si="147"/>
        <v>0</v>
      </c>
      <c r="Y158" s="13">
        <f t="shared" si="148"/>
        <v>0</v>
      </c>
      <c r="Z158" s="13">
        <f t="shared" si="149"/>
        <v>0</v>
      </c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</row>
    <row r="159" spans="1:341" s="14" customFormat="1">
      <c r="A159" s="15" t="s">
        <v>154</v>
      </c>
      <c r="B159" s="13">
        <f t="shared" si="125"/>
        <v>0</v>
      </c>
      <c r="C159" s="13">
        <f t="shared" si="126"/>
        <v>0</v>
      </c>
      <c r="D159" s="13">
        <f t="shared" si="127"/>
        <v>0</v>
      </c>
      <c r="E159" s="13">
        <f t="shared" si="128"/>
        <v>0</v>
      </c>
      <c r="F159" s="13">
        <f t="shared" si="129"/>
        <v>0</v>
      </c>
      <c r="G159" s="13">
        <f t="shared" si="130"/>
        <v>0</v>
      </c>
      <c r="H159" s="13">
        <f t="shared" si="131"/>
        <v>0</v>
      </c>
      <c r="I159" s="13">
        <f t="shared" si="132"/>
        <v>0</v>
      </c>
      <c r="J159" s="13">
        <f t="shared" si="133"/>
        <v>0</v>
      </c>
      <c r="K159" s="13">
        <f t="shared" si="134"/>
        <v>0</v>
      </c>
      <c r="L159" s="13">
        <f t="shared" si="135"/>
        <v>0</v>
      </c>
      <c r="M159" s="13">
        <f t="shared" si="136"/>
        <v>0</v>
      </c>
      <c r="N159" s="13">
        <f t="shared" si="137"/>
        <v>0</v>
      </c>
      <c r="O159" s="13">
        <f t="shared" si="138"/>
        <v>0</v>
      </c>
      <c r="P159" s="13">
        <f t="shared" si="139"/>
        <v>0</v>
      </c>
      <c r="Q159" s="13">
        <f t="shared" si="140"/>
        <v>0</v>
      </c>
      <c r="R159" s="13">
        <f t="shared" si="141"/>
        <v>0</v>
      </c>
      <c r="S159" s="13">
        <f t="shared" si="142"/>
        <v>0</v>
      </c>
      <c r="T159" s="13">
        <f t="shared" si="143"/>
        <v>0</v>
      </c>
      <c r="U159" s="13">
        <f t="shared" si="144"/>
        <v>0</v>
      </c>
      <c r="V159" s="13">
        <f t="shared" si="145"/>
        <v>0</v>
      </c>
      <c r="W159" s="13">
        <f t="shared" si="146"/>
        <v>0</v>
      </c>
      <c r="X159" s="13">
        <f t="shared" si="147"/>
        <v>0</v>
      </c>
      <c r="Y159" s="13">
        <f t="shared" si="148"/>
        <v>0</v>
      </c>
      <c r="Z159" s="13">
        <f t="shared" si="149"/>
        <v>0</v>
      </c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</row>
    <row r="160" spans="1:341" s="14" customFormat="1">
      <c r="A160" s="15" t="s">
        <v>155</v>
      </c>
      <c r="B160" s="13">
        <f t="shared" si="125"/>
        <v>0</v>
      </c>
      <c r="C160" s="13">
        <f t="shared" si="126"/>
        <v>0</v>
      </c>
      <c r="D160" s="13">
        <f t="shared" si="127"/>
        <v>0</v>
      </c>
      <c r="E160" s="13">
        <f t="shared" si="128"/>
        <v>0</v>
      </c>
      <c r="F160" s="13">
        <f t="shared" si="129"/>
        <v>0</v>
      </c>
      <c r="G160" s="13">
        <f t="shared" si="130"/>
        <v>0</v>
      </c>
      <c r="H160" s="13">
        <f t="shared" si="131"/>
        <v>0</v>
      </c>
      <c r="I160" s="13">
        <f t="shared" si="132"/>
        <v>0</v>
      </c>
      <c r="J160" s="13">
        <f t="shared" si="133"/>
        <v>0</v>
      </c>
      <c r="K160" s="13">
        <f t="shared" si="134"/>
        <v>0</v>
      </c>
      <c r="L160" s="13">
        <f t="shared" si="135"/>
        <v>0</v>
      </c>
      <c r="M160" s="13">
        <f t="shared" si="136"/>
        <v>0</v>
      </c>
      <c r="N160" s="13">
        <f t="shared" si="137"/>
        <v>0</v>
      </c>
      <c r="O160" s="13">
        <f t="shared" si="138"/>
        <v>0</v>
      </c>
      <c r="P160" s="13">
        <f t="shared" si="139"/>
        <v>0</v>
      </c>
      <c r="Q160" s="13">
        <f t="shared" si="140"/>
        <v>0</v>
      </c>
      <c r="R160" s="13">
        <f t="shared" si="141"/>
        <v>0</v>
      </c>
      <c r="S160" s="13">
        <f t="shared" si="142"/>
        <v>0</v>
      </c>
      <c r="T160" s="13">
        <f t="shared" si="143"/>
        <v>0</v>
      </c>
      <c r="U160" s="13">
        <f t="shared" si="144"/>
        <v>0</v>
      </c>
      <c r="V160" s="13">
        <f t="shared" si="145"/>
        <v>0</v>
      </c>
      <c r="W160" s="13">
        <f t="shared" si="146"/>
        <v>0</v>
      </c>
      <c r="X160" s="13">
        <f t="shared" si="147"/>
        <v>0</v>
      </c>
      <c r="Y160" s="13">
        <f t="shared" si="148"/>
        <v>0</v>
      </c>
      <c r="Z160" s="13">
        <f t="shared" si="149"/>
        <v>0</v>
      </c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</row>
    <row r="161" spans="1:341" s="14" customFormat="1">
      <c r="A161" s="12" t="s">
        <v>156</v>
      </c>
      <c r="B161" s="13">
        <f t="shared" si="125"/>
        <v>0</v>
      </c>
      <c r="C161" s="13">
        <f t="shared" si="126"/>
        <v>0</v>
      </c>
      <c r="D161" s="13">
        <f t="shared" si="127"/>
        <v>0</v>
      </c>
      <c r="E161" s="13">
        <f t="shared" si="128"/>
        <v>0</v>
      </c>
      <c r="F161" s="13">
        <f t="shared" si="129"/>
        <v>0</v>
      </c>
      <c r="G161" s="13">
        <f t="shared" si="130"/>
        <v>0</v>
      </c>
      <c r="H161" s="13">
        <f t="shared" si="131"/>
        <v>0</v>
      </c>
      <c r="I161" s="13">
        <f t="shared" si="132"/>
        <v>0</v>
      </c>
      <c r="J161" s="13">
        <f t="shared" si="133"/>
        <v>0</v>
      </c>
      <c r="K161" s="13">
        <f t="shared" si="134"/>
        <v>0</v>
      </c>
      <c r="L161" s="13">
        <f t="shared" si="135"/>
        <v>0</v>
      </c>
      <c r="M161" s="13">
        <f t="shared" si="136"/>
        <v>0</v>
      </c>
      <c r="N161" s="13">
        <f t="shared" si="137"/>
        <v>0</v>
      </c>
      <c r="O161" s="13">
        <f t="shared" si="138"/>
        <v>0</v>
      </c>
      <c r="P161" s="13">
        <f t="shared" si="139"/>
        <v>0</v>
      </c>
      <c r="Q161" s="13">
        <f t="shared" si="140"/>
        <v>0</v>
      </c>
      <c r="R161" s="13">
        <f t="shared" si="141"/>
        <v>0</v>
      </c>
      <c r="S161" s="13">
        <f t="shared" si="142"/>
        <v>0</v>
      </c>
      <c r="T161" s="13">
        <f t="shared" si="143"/>
        <v>0</v>
      </c>
      <c r="U161" s="13">
        <f t="shared" si="144"/>
        <v>0</v>
      </c>
      <c r="V161" s="13">
        <f t="shared" si="145"/>
        <v>0</v>
      </c>
      <c r="W161" s="13">
        <f t="shared" si="146"/>
        <v>0</v>
      </c>
      <c r="X161" s="13">
        <f t="shared" si="147"/>
        <v>0</v>
      </c>
      <c r="Y161" s="13">
        <f t="shared" si="148"/>
        <v>0</v>
      </c>
      <c r="Z161" s="13">
        <f t="shared" si="149"/>
        <v>0</v>
      </c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</row>
    <row r="162" spans="1:341" s="14" customFormat="1">
      <c r="A162" s="15" t="s">
        <v>157</v>
      </c>
      <c r="B162" s="13">
        <f t="shared" si="125"/>
        <v>0</v>
      </c>
      <c r="C162" s="13">
        <f t="shared" si="126"/>
        <v>0</v>
      </c>
      <c r="D162" s="13">
        <f t="shared" si="127"/>
        <v>0</v>
      </c>
      <c r="E162" s="13">
        <f t="shared" si="128"/>
        <v>0</v>
      </c>
      <c r="F162" s="13">
        <f t="shared" si="129"/>
        <v>0</v>
      </c>
      <c r="G162" s="13">
        <f t="shared" si="130"/>
        <v>0</v>
      </c>
      <c r="H162" s="13">
        <f t="shared" si="131"/>
        <v>0</v>
      </c>
      <c r="I162" s="13">
        <f t="shared" si="132"/>
        <v>0</v>
      </c>
      <c r="J162" s="13">
        <f t="shared" si="133"/>
        <v>0</v>
      </c>
      <c r="K162" s="13">
        <f t="shared" si="134"/>
        <v>0</v>
      </c>
      <c r="L162" s="13">
        <f t="shared" si="135"/>
        <v>0</v>
      </c>
      <c r="M162" s="13">
        <f t="shared" si="136"/>
        <v>0</v>
      </c>
      <c r="N162" s="13">
        <f t="shared" si="137"/>
        <v>0</v>
      </c>
      <c r="O162" s="13">
        <f t="shared" si="138"/>
        <v>0</v>
      </c>
      <c r="P162" s="13">
        <f t="shared" si="139"/>
        <v>0</v>
      </c>
      <c r="Q162" s="13">
        <f t="shared" si="140"/>
        <v>0</v>
      </c>
      <c r="R162" s="13">
        <f t="shared" si="141"/>
        <v>0</v>
      </c>
      <c r="S162" s="13">
        <f t="shared" si="142"/>
        <v>0</v>
      </c>
      <c r="T162" s="13">
        <f t="shared" si="143"/>
        <v>0</v>
      </c>
      <c r="U162" s="13">
        <f t="shared" si="144"/>
        <v>0</v>
      </c>
      <c r="V162" s="13">
        <f t="shared" si="145"/>
        <v>0</v>
      </c>
      <c r="W162" s="13">
        <f t="shared" si="146"/>
        <v>0</v>
      </c>
      <c r="X162" s="13">
        <f t="shared" si="147"/>
        <v>0</v>
      </c>
      <c r="Y162" s="13">
        <f t="shared" si="148"/>
        <v>0</v>
      </c>
      <c r="Z162" s="13">
        <f t="shared" si="149"/>
        <v>0</v>
      </c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</row>
    <row r="163" spans="1:341" s="14" customForma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</row>
    <row r="164" spans="1:341" s="14" customFormat="1">
      <c r="A164" s="15" t="s">
        <v>158</v>
      </c>
      <c r="B164" s="13">
        <f t="shared" ref="B164:Z164" si="150">SUM(B165:B229)</f>
        <v>0</v>
      </c>
      <c r="C164" s="13">
        <f t="shared" si="150"/>
        <v>0</v>
      </c>
      <c r="D164" s="13">
        <f t="shared" si="150"/>
        <v>0</v>
      </c>
      <c r="E164" s="13">
        <f t="shared" si="150"/>
        <v>0</v>
      </c>
      <c r="F164" s="13">
        <f t="shared" si="150"/>
        <v>0</v>
      </c>
      <c r="G164" s="13">
        <f t="shared" si="150"/>
        <v>0</v>
      </c>
      <c r="H164" s="13">
        <f t="shared" si="150"/>
        <v>0</v>
      </c>
      <c r="I164" s="13">
        <f t="shared" si="150"/>
        <v>0</v>
      </c>
      <c r="J164" s="13">
        <f t="shared" si="150"/>
        <v>0</v>
      </c>
      <c r="K164" s="13">
        <f t="shared" si="150"/>
        <v>0</v>
      </c>
      <c r="L164" s="13">
        <f t="shared" si="150"/>
        <v>0</v>
      </c>
      <c r="M164" s="13">
        <f t="shared" si="150"/>
        <v>0</v>
      </c>
      <c r="N164" s="13">
        <f t="shared" si="150"/>
        <v>0</v>
      </c>
      <c r="O164" s="13">
        <f t="shared" si="150"/>
        <v>0</v>
      </c>
      <c r="P164" s="13">
        <f t="shared" si="150"/>
        <v>0</v>
      </c>
      <c r="Q164" s="13">
        <f t="shared" si="150"/>
        <v>0</v>
      </c>
      <c r="R164" s="13">
        <f t="shared" si="150"/>
        <v>0</v>
      </c>
      <c r="S164" s="13">
        <f t="shared" si="150"/>
        <v>0</v>
      </c>
      <c r="T164" s="13">
        <f t="shared" si="150"/>
        <v>0</v>
      </c>
      <c r="U164" s="13">
        <f t="shared" si="150"/>
        <v>0</v>
      </c>
      <c r="V164" s="13">
        <f t="shared" si="150"/>
        <v>0</v>
      </c>
      <c r="W164" s="13">
        <f t="shared" si="150"/>
        <v>0</v>
      </c>
      <c r="X164" s="13">
        <f t="shared" si="150"/>
        <v>0</v>
      </c>
      <c r="Y164" s="13">
        <f t="shared" si="150"/>
        <v>0</v>
      </c>
      <c r="Z164" s="13">
        <f t="shared" si="150"/>
        <v>0</v>
      </c>
      <c r="AB164" s="13">
        <f t="shared" ref="AB164:CM164" si="151">SUM(AB165:AB229)</f>
        <v>0</v>
      </c>
      <c r="AC164" s="13">
        <f t="shared" si="151"/>
        <v>0</v>
      </c>
      <c r="AD164" s="13">
        <f t="shared" si="151"/>
        <v>0</v>
      </c>
      <c r="AE164" s="13">
        <f t="shared" si="151"/>
        <v>0</v>
      </c>
      <c r="AF164" s="13">
        <f t="shared" si="151"/>
        <v>0</v>
      </c>
      <c r="AG164" s="13">
        <f t="shared" si="151"/>
        <v>0</v>
      </c>
      <c r="AH164" s="13">
        <f t="shared" si="151"/>
        <v>0</v>
      </c>
      <c r="AI164" s="13">
        <f t="shared" si="151"/>
        <v>0</v>
      </c>
      <c r="AJ164" s="13">
        <f t="shared" si="151"/>
        <v>0</v>
      </c>
      <c r="AK164" s="13">
        <f t="shared" si="151"/>
        <v>0</v>
      </c>
      <c r="AL164" s="13">
        <f t="shared" si="151"/>
        <v>0</v>
      </c>
      <c r="AM164" s="13">
        <f t="shared" si="151"/>
        <v>0</v>
      </c>
      <c r="AN164" s="13">
        <f t="shared" si="151"/>
        <v>0</v>
      </c>
      <c r="AO164" s="13">
        <f t="shared" si="151"/>
        <v>0</v>
      </c>
      <c r="AP164" s="13">
        <f t="shared" si="151"/>
        <v>0</v>
      </c>
      <c r="AQ164" s="13">
        <f t="shared" si="151"/>
        <v>0</v>
      </c>
      <c r="AR164" s="13">
        <f t="shared" si="151"/>
        <v>0</v>
      </c>
      <c r="AS164" s="13">
        <f t="shared" si="151"/>
        <v>0</v>
      </c>
      <c r="AT164" s="13">
        <f t="shared" si="151"/>
        <v>0</v>
      </c>
      <c r="AU164" s="13">
        <f t="shared" si="151"/>
        <v>0</v>
      </c>
      <c r="AV164" s="13">
        <f t="shared" si="151"/>
        <v>0</v>
      </c>
      <c r="AW164" s="13">
        <f t="shared" si="151"/>
        <v>0</v>
      </c>
      <c r="AX164" s="13">
        <f t="shared" si="151"/>
        <v>0</v>
      </c>
      <c r="AY164" s="13">
        <f t="shared" si="151"/>
        <v>0</v>
      </c>
      <c r="AZ164" s="13">
        <f t="shared" si="151"/>
        <v>0</v>
      </c>
      <c r="BA164" s="13">
        <f t="shared" si="151"/>
        <v>0</v>
      </c>
      <c r="BB164" s="13">
        <f t="shared" si="151"/>
        <v>0</v>
      </c>
      <c r="BC164" s="13">
        <f t="shared" si="151"/>
        <v>0</v>
      </c>
      <c r="BD164" s="13">
        <f t="shared" si="151"/>
        <v>0</v>
      </c>
      <c r="BE164" s="13">
        <f t="shared" si="151"/>
        <v>0</v>
      </c>
      <c r="BF164" s="13">
        <f t="shared" si="151"/>
        <v>0</v>
      </c>
      <c r="BG164" s="13">
        <f t="shared" si="151"/>
        <v>0</v>
      </c>
      <c r="BH164" s="13">
        <f t="shared" si="151"/>
        <v>0</v>
      </c>
      <c r="BI164" s="13">
        <f t="shared" si="151"/>
        <v>0</v>
      </c>
      <c r="BJ164" s="13">
        <f t="shared" si="151"/>
        <v>0</v>
      </c>
      <c r="BK164" s="13">
        <f t="shared" si="151"/>
        <v>0</v>
      </c>
      <c r="BL164" s="13">
        <f t="shared" si="151"/>
        <v>0</v>
      </c>
      <c r="BM164" s="13">
        <f t="shared" si="151"/>
        <v>0</v>
      </c>
      <c r="BN164" s="13">
        <f t="shared" si="151"/>
        <v>0</v>
      </c>
      <c r="BO164" s="13">
        <f t="shared" si="151"/>
        <v>0</v>
      </c>
      <c r="BP164" s="13">
        <f t="shared" si="151"/>
        <v>0</v>
      </c>
      <c r="BQ164" s="13">
        <f t="shared" si="151"/>
        <v>0</v>
      </c>
      <c r="BR164" s="13">
        <f t="shared" si="151"/>
        <v>0</v>
      </c>
      <c r="BS164" s="13">
        <f t="shared" si="151"/>
        <v>0</v>
      </c>
      <c r="BT164" s="13">
        <f t="shared" si="151"/>
        <v>0</v>
      </c>
      <c r="BU164" s="13">
        <f t="shared" si="151"/>
        <v>0</v>
      </c>
      <c r="BV164" s="13">
        <f t="shared" si="151"/>
        <v>0</v>
      </c>
      <c r="BW164" s="13">
        <f t="shared" si="151"/>
        <v>0</v>
      </c>
      <c r="BX164" s="13">
        <f t="shared" si="151"/>
        <v>0</v>
      </c>
      <c r="BY164" s="13">
        <f t="shared" si="151"/>
        <v>0</v>
      </c>
      <c r="BZ164" s="13">
        <f t="shared" si="151"/>
        <v>0</v>
      </c>
      <c r="CA164" s="13">
        <f t="shared" si="151"/>
        <v>0</v>
      </c>
      <c r="CB164" s="13">
        <f t="shared" si="151"/>
        <v>0</v>
      </c>
      <c r="CC164" s="13">
        <f t="shared" si="151"/>
        <v>0</v>
      </c>
      <c r="CD164" s="13">
        <f t="shared" si="151"/>
        <v>0</v>
      </c>
      <c r="CE164" s="13">
        <f t="shared" si="151"/>
        <v>0</v>
      </c>
      <c r="CF164" s="13">
        <f t="shared" si="151"/>
        <v>0</v>
      </c>
      <c r="CG164" s="13">
        <f t="shared" si="151"/>
        <v>0</v>
      </c>
      <c r="CH164" s="13">
        <f t="shared" si="151"/>
        <v>0</v>
      </c>
      <c r="CI164" s="13">
        <f t="shared" si="151"/>
        <v>0</v>
      </c>
      <c r="CJ164" s="13">
        <f t="shared" si="151"/>
        <v>0</v>
      </c>
      <c r="CK164" s="13">
        <f t="shared" si="151"/>
        <v>0</v>
      </c>
      <c r="CL164" s="13">
        <f t="shared" si="151"/>
        <v>0</v>
      </c>
      <c r="CM164" s="13">
        <f t="shared" si="151"/>
        <v>0</v>
      </c>
      <c r="CN164" s="13">
        <f t="shared" ref="CN164:EY164" si="152">SUM(CN165:CN229)</f>
        <v>0</v>
      </c>
      <c r="CO164" s="13">
        <f t="shared" si="152"/>
        <v>0</v>
      </c>
      <c r="CP164" s="13">
        <f t="shared" si="152"/>
        <v>0</v>
      </c>
      <c r="CQ164" s="13">
        <f t="shared" si="152"/>
        <v>0</v>
      </c>
      <c r="CR164" s="13">
        <f t="shared" si="152"/>
        <v>0</v>
      </c>
      <c r="CS164" s="13">
        <f t="shared" si="152"/>
        <v>0</v>
      </c>
      <c r="CT164" s="13">
        <f t="shared" si="152"/>
        <v>0</v>
      </c>
      <c r="CU164" s="13">
        <f t="shared" si="152"/>
        <v>0</v>
      </c>
      <c r="CV164" s="13">
        <f t="shared" si="152"/>
        <v>0</v>
      </c>
      <c r="CW164" s="13">
        <f t="shared" si="152"/>
        <v>0</v>
      </c>
      <c r="CX164" s="13">
        <f t="shared" si="152"/>
        <v>0</v>
      </c>
      <c r="CY164" s="13">
        <f t="shared" si="152"/>
        <v>0</v>
      </c>
      <c r="CZ164" s="13">
        <f t="shared" si="152"/>
        <v>0</v>
      </c>
      <c r="DA164" s="13">
        <f t="shared" si="152"/>
        <v>0</v>
      </c>
      <c r="DB164" s="13">
        <f t="shared" si="152"/>
        <v>0</v>
      </c>
      <c r="DC164" s="13">
        <f t="shared" si="152"/>
        <v>0</v>
      </c>
      <c r="DD164" s="13">
        <f t="shared" si="152"/>
        <v>0</v>
      </c>
      <c r="DE164" s="13">
        <f t="shared" si="152"/>
        <v>0</v>
      </c>
      <c r="DF164" s="13">
        <f t="shared" si="152"/>
        <v>0</v>
      </c>
      <c r="DG164" s="13">
        <f t="shared" si="152"/>
        <v>0</v>
      </c>
      <c r="DH164" s="13">
        <f t="shared" si="152"/>
        <v>0</v>
      </c>
      <c r="DI164" s="13">
        <f t="shared" si="152"/>
        <v>0</v>
      </c>
      <c r="DJ164" s="13">
        <f t="shared" si="152"/>
        <v>0</v>
      </c>
      <c r="DK164" s="13">
        <f t="shared" si="152"/>
        <v>0</v>
      </c>
      <c r="DL164" s="13">
        <f t="shared" si="152"/>
        <v>0</v>
      </c>
      <c r="DM164" s="13">
        <f t="shared" si="152"/>
        <v>0</v>
      </c>
      <c r="DN164" s="13">
        <f t="shared" si="152"/>
        <v>0</v>
      </c>
      <c r="DO164" s="13">
        <f t="shared" si="152"/>
        <v>0</v>
      </c>
      <c r="DP164" s="13">
        <f t="shared" si="152"/>
        <v>0</v>
      </c>
      <c r="DQ164" s="13">
        <f t="shared" si="152"/>
        <v>0</v>
      </c>
      <c r="DR164" s="13">
        <f t="shared" si="152"/>
        <v>0</v>
      </c>
      <c r="DS164" s="13">
        <f t="shared" si="152"/>
        <v>0</v>
      </c>
      <c r="DT164" s="13">
        <f t="shared" si="152"/>
        <v>0</v>
      </c>
      <c r="DU164" s="13">
        <f t="shared" si="152"/>
        <v>0</v>
      </c>
      <c r="DV164" s="13">
        <f t="shared" si="152"/>
        <v>0</v>
      </c>
      <c r="DW164" s="13">
        <f t="shared" si="152"/>
        <v>0</v>
      </c>
      <c r="DX164" s="13">
        <f t="shared" si="152"/>
        <v>0</v>
      </c>
      <c r="DY164" s="13">
        <f t="shared" si="152"/>
        <v>0</v>
      </c>
      <c r="DZ164" s="13">
        <f t="shared" si="152"/>
        <v>0</v>
      </c>
      <c r="EA164" s="13">
        <f t="shared" si="152"/>
        <v>0</v>
      </c>
      <c r="EB164" s="13">
        <f t="shared" si="152"/>
        <v>0</v>
      </c>
      <c r="EC164" s="13">
        <f t="shared" si="152"/>
        <v>0</v>
      </c>
      <c r="ED164" s="13">
        <f t="shared" si="152"/>
        <v>0</v>
      </c>
      <c r="EE164" s="13">
        <f t="shared" si="152"/>
        <v>0</v>
      </c>
      <c r="EF164" s="13">
        <f t="shared" si="152"/>
        <v>0</v>
      </c>
      <c r="EG164" s="13">
        <f t="shared" si="152"/>
        <v>0</v>
      </c>
      <c r="EH164" s="13">
        <f t="shared" si="152"/>
        <v>0</v>
      </c>
      <c r="EI164" s="13">
        <f t="shared" si="152"/>
        <v>0</v>
      </c>
      <c r="EJ164" s="13">
        <f t="shared" si="152"/>
        <v>0</v>
      </c>
      <c r="EK164" s="13">
        <f t="shared" si="152"/>
        <v>0</v>
      </c>
      <c r="EL164" s="13">
        <f t="shared" si="152"/>
        <v>0</v>
      </c>
      <c r="EM164" s="13">
        <f t="shared" si="152"/>
        <v>0</v>
      </c>
      <c r="EN164" s="13">
        <f t="shared" si="152"/>
        <v>0</v>
      </c>
      <c r="EO164" s="13">
        <f t="shared" si="152"/>
        <v>0</v>
      </c>
      <c r="EP164" s="13">
        <f t="shared" si="152"/>
        <v>0</v>
      </c>
      <c r="EQ164" s="13">
        <f t="shared" si="152"/>
        <v>0</v>
      </c>
      <c r="ER164" s="13">
        <f t="shared" si="152"/>
        <v>0</v>
      </c>
      <c r="ES164" s="13">
        <f t="shared" si="152"/>
        <v>0</v>
      </c>
      <c r="ET164" s="13">
        <f t="shared" si="152"/>
        <v>0</v>
      </c>
      <c r="EU164" s="13">
        <f t="shared" si="152"/>
        <v>0</v>
      </c>
      <c r="EV164" s="13">
        <f t="shared" si="152"/>
        <v>0</v>
      </c>
      <c r="EW164" s="13">
        <f t="shared" si="152"/>
        <v>0</v>
      </c>
      <c r="EX164" s="13">
        <f t="shared" si="152"/>
        <v>0</v>
      </c>
      <c r="EY164" s="13">
        <f t="shared" si="152"/>
        <v>0</v>
      </c>
      <c r="EZ164" s="13">
        <f t="shared" ref="EZ164:HK164" si="153">SUM(EZ165:EZ229)</f>
        <v>0</v>
      </c>
      <c r="FA164" s="13">
        <f t="shared" si="153"/>
        <v>0</v>
      </c>
      <c r="FB164" s="13">
        <f t="shared" si="153"/>
        <v>0</v>
      </c>
      <c r="FC164" s="13">
        <f t="shared" si="153"/>
        <v>0</v>
      </c>
      <c r="FD164" s="13">
        <f t="shared" si="153"/>
        <v>0</v>
      </c>
      <c r="FE164" s="13">
        <f t="shared" si="153"/>
        <v>0</v>
      </c>
      <c r="FF164" s="13">
        <f t="shared" si="153"/>
        <v>0</v>
      </c>
      <c r="FG164" s="13">
        <f t="shared" si="153"/>
        <v>0</v>
      </c>
      <c r="FH164" s="13">
        <f t="shared" si="153"/>
        <v>0</v>
      </c>
      <c r="FI164" s="13">
        <f t="shared" si="153"/>
        <v>0</v>
      </c>
      <c r="FJ164" s="13">
        <f t="shared" si="153"/>
        <v>0</v>
      </c>
      <c r="FK164" s="13">
        <f t="shared" si="153"/>
        <v>0</v>
      </c>
      <c r="FL164" s="13">
        <f t="shared" si="153"/>
        <v>0</v>
      </c>
      <c r="FM164" s="13">
        <f t="shared" si="153"/>
        <v>0</v>
      </c>
      <c r="FN164" s="13">
        <f t="shared" si="153"/>
        <v>0</v>
      </c>
      <c r="FO164" s="13">
        <f t="shared" si="153"/>
        <v>0</v>
      </c>
      <c r="FP164" s="13">
        <f t="shared" si="153"/>
        <v>0</v>
      </c>
      <c r="FQ164" s="13">
        <f t="shared" si="153"/>
        <v>0</v>
      </c>
      <c r="FR164" s="13">
        <f t="shared" si="153"/>
        <v>0</v>
      </c>
      <c r="FS164" s="13">
        <f t="shared" si="153"/>
        <v>0</v>
      </c>
      <c r="FT164" s="13">
        <f t="shared" si="153"/>
        <v>0</v>
      </c>
      <c r="FU164" s="13">
        <f t="shared" si="153"/>
        <v>0</v>
      </c>
      <c r="FV164" s="13">
        <f t="shared" si="153"/>
        <v>0</v>
      </c>
      <c r="FW164" s="13">
        <f t="shared" si="153"/>
        <v>0</v>
      </c>
      <c r="FX164" s="13">
        <f t="shared" si="153"/>
        <v>0</v>
      </c>
      <c r="FY164" s="13">
        <f t="shared" si="153"/>
        <v>0</v>
      </c>
      <c r="FZ164" s="13">
        <f t="shared" si="153"/>
        <v>0</v>
      </c>
      <c r="GA164" s="13">
        <f t="shared" si="153"/>
        <v>0</v>
      </c>
      <c r="GB164" s="13">
        <f t="shared" si="153"/>
        <v>0</v>
      </c>
      <c r="GC164" s="13">
        <f t="shared" si="153"/>
        <v>0</v>
      </c>
      <c r="GD164" s="13">
        <f t="shared" si="153"/>
        <v>0</v>
      </c>
      <c r="GE164" s="13">
        <f t="shared" si="153"/>
        <v>0</v>
      </c>
      <c r="GF164" s="13">
        <f t="shared" si="153"/>
        <v>0</v>
      </c>
      <c r="GG164" s="13">
        <f t="shared" si="153"/>
        <v>0</v>
      </c>
      <c r="GH164" s="13">
        <f t="shared" si="153"/>
        <v>0</v>
      </c>
      <c r="GI164" s="13">
        <f t="shared" si="153"/>
        <v>0</v>
      </c>
      <c r="GJ164" s="13">
        <f t="shared" si="153"/>
        <v>0</v>
      </c>
      <c r="GK164" s="13">
        <f t="shared" si="153"/>
        <v>0</v>
      </c>
      <c r="GL164" s="13">
        <f t="shared" si="153"/>
        <v>0</v>
      </c>
      <c r="GM164" s="13">
        <f t="shared" si="153"/>
        <v>0</v>
      </c>
      <c r="GN164" s="13">
        <f t="shared" si="153"/>
        <v>0</v>
      </c>
      <c r="GO164" s="13">
        <f t="shared" si="153"/>
        <v>0</v>
      </c>
      <c r="GP164" s="13">
        <f t="shared" si="153"/>
        <v>0</v>
      </c>
      <c r="GQ164" s="13">
        <f t="shared" si="153"/>
        <v>0</v>
      </c>
      <c r="GR164" s="13">
        <f t="shared" si="153"/>
        <v>0</v>
      </c>
      <c r="GS164" s="13">
        <f t="shared" si="153"/>
        <v>0</v>
      </c>
      <c r="GT164" s="13">
        <f t="shared" si="153"/>
        <v>0</v>
      </c>
      <c r="GU164" s="13">
        <f t="shared" si="153"/>
        <v>0</v>
      </c>
      <c r="GV164" s="13">
        <f t="shared" si="153"/>
        <v>0</v>
      </c>
      <c r="GW164" s="13">
        <f t="shared" si="153"/>
        <v>0</v>
      </c>
      <c r="GX164" s="13">
        <f t="shared" si="153"/>
        <v>0</v>
      </c>
      <c r="GY164" s="13">
        <f t="shared" si="153"/>
        <v>0</v>
      </c>
      <c r="GZ164" s="13">
        <f t="shared" si="153"/>
        <v>0</v>
      </c>
      <c r="HA164" s="13">
        <f t="shared" si="153"/>
        <v>0</v>
      </c>
      <c r="HB164" s="13">
        <f t="shared" si="153"/>
        <v>0</v>
      </c>
      <c r="HC164" s="13">
        <f t="shared" si="153"/>
        <v>0</v>
      </c>
      <c r="HD164" s="13">
        <f t="shared" si="153"/>
        <v>0</v>
      </c>
      <c r="HE164" s="13">
        <f t="shared" si="153"/>
        <v>0</v>
      </c>
      <c r="HF164" s="13">
        <f t="shared" si="153"/>
        <v>0</v>
      </c>
      <c r="HG164" s="13">
        <f t="shared" si="153"/>
        <v>0</v>
      </c>
      <c r="HH164" s="13">
        <f t="shared" si="153"/>
        <v>0</v>
      </c>
      <c r="HI164" s="13">
        <f t="shared" si="153"/>
        <v>0</v>
      </c>
      <c r="HJ164" s="13">
        <f t="shared" si="153"/>
        <v>0</v>
      </c>
      <c r="HK164" s="13">
        <f t="shared" si="153"/>
        <v>0</v>
      </c>
      <c r="HL164" s="13">
        <f t="shared" ref="HL164:JW164" si="154">SUM(HL165:HL229)</f>
        <v>0</v>
      </c>
      <c r="HM164" s="13">
        <f t="shared" si="154"/>
        <v>0</v>
      </c>
      <c r="HN164" s="13">
        <f t="shared" si="154"/>
        <v>0</v>
      </c>
      <c r="HO164" s="13">
        <f t="shared" si="154"/>
        <v>0</v>
      </c>
      <c r="HP164" s="13">
        <f t="shared" si="154"/>
        <v>0</v>
      </c>
      <c r="HQ164" s="13">
        <f t="shared" si="154"/>
        <v>0</v>
      </c>
      <c r="HR164" s="13">
        <f t="shared" si="154"/>
        <v>0</v>
      </c>
      <c r="HS164" s="13">
        <f t="shared" si="154"/>
        <v>0</v>
      </c>
      <c r="HT164" s="13">
        <f t="shared" si="154"/>
        <v>0</v>
      </c>
      <c r="HU164" s="13">
        <f t="shared" si="154"/>
        <v>0</v>
      </c>
      <c r="HV164" s="13">
        <f t="shared" si="154"/>
        <v>0</v>
      </c>
      <c r="HW164" s="13">
        <f t="shared" si="154"/>
        <v>0</v>
      </c>
      <c r="HX164" s="13">
        <f t="shared" si="154"/>
        <v>0</v>
      </c>
      <c r="HY164" s="13">
        <f t="shared" si="154"/>
        <v>0</v>
      </c>
      <c r="HZ164" s="13">
        <f t="shared" si="154"/>
        <v>0</v>
      </c>
      <c r="IA164" s="13">
        <f t="shared" si="154"/>
        <v>0</v>
      </c>
      <c r="IB164" s="13">
        <f t="shared" si="154"/>
        <v>0</v>
      </c>
      <c r="IC164" s="13">
        <f t="shared" si="154"/>
        <v>0</v>
      </c>
      <c r="ID164" s="13">
        <f t="shared" si="154"/>
        <v>0</v>
      </c>
      <c r="IE164" s="13">
        <f t="shared" si="154"/>
        <v>0</v>
      </c>
      <c r="IF164" s="13">
        <f t="shared" si="154"/>
        <v>0</v>
      </c>
      <c r="IG164" s="13">
        <f t="shared" si="154"/>
        <v>0</v>
      </c>
      <c r="IH164" s="13">
        <f t="shared" si="154"/>
        <v>0</v>
      </c>
      <c r="II164" s="13">
        <f t="shared" si="154"/>
        <v>0</v>
      </c>
      <c r="IJ164" s="13">
        <f t="shared" si="154"/>
        <v>0</v>
      </c>
      <c r="IK164" s="13">
        <f t="shared" si="154"/>
        <v>0</v>
      </c>
      <c r="IL164" s="13">
        <f t="shared" si="154"/>
        <v>0</v>
      </c>
      <c r="IM164" s="13">
        <f t="shared" si="154"/>
        <v>0</v>
      </c>
      <c r="IN164" s="13">
        <f t="shared" si="154"/>
        <v>0</v>
      </c>
      <c r="IO164" s="13">
        <f t="shared" si="154"/>
        <v>0</v>
      </c>
      <c r="IP164" s="13">
        <f t="shared" si="154"/>
        <v>0</v>
      </c>
      <c r="IQ164" s="13">
        <f t="shared" si="154"/>
        <v>0</v>
      </c>
      <c r="IR164" s="13">
        <f t="shared" si="154"/>
        <v>0</v>
      </c>
      <c r="IS164" s="13">
        <f t="shared" si="154"/>
        <v>0</v>
      </c>
      <c r="IT164" s="13">
        <f t="shared" si="154"/>
        <v>0</v>
      </c>
      <c r="IU164" s="13">
        <f t="shared" si="154"/>
        <v>0</v>
      </c>
      <c r="IV164" s="13">
        <f t="shared" si="154"/>
        <v>0</v>
      </c>
      <c r="IW164" s="13">
        <f t="shared" si="154"/>
        <v>0</v>
      </c>
      <c r="IX164" s="13">
        <f t="shared" si="154"/>
        <v>0</v>
      </c>
      <c r="IY164" s="13">
        <f t="shared" si="154"/>
        <v>0</v>
      </c>
      <c r="IZ164" s="13">
        <f t="shared" si="154"/>
        <v>0</v>
      </c>
      <c r="JA164" s="13">
        <f t="shared" si="154"/>
        <v>0</v>
      </c>
      <c r="JB164" s="13">
        <f t="shared" si="154"/>
        <v>0</v>
      </c>
      <c r="JC164" s="13">
        <f t="shared" si="154"/>
        <v>0</v>
      </c>
      <c r="JD164" s="13">
        <f t="shared" si="154"/>
        <v>0</v>
      </c>
      <c r="JE164" s="13">
        <f t="shared" si="154"/>
        <v>0</v>
      </c>
      <c r="JF164" s="13">
        <f t="shared" si="154"/>
        <v>0</v>
      </c>
      <c r="JG164" s="13">
        <f t="shared" si="154"/>
        <v>0</v>
      </c>
      <c r="JH164" s="13">
        <f t="shared" si="154"/>
        <v>0</v>
      </c>
      <c r="JI164" s="13">
        <f t="shared" si="154"/>
        <v>0</v>
      </c>
      <c r="JJ164" s="13">
        <f t="shared" si="154"/>
        <v>0</v>
      </c>
      <c r="JK164" s="13">
        <f t="shared" si="154"/>
        <v>0</v>
      </c>
      <c r="JL164" s="13">
        <f t="shared" si="154"/>
        <v>0</v>
      </c>
      <c r="JM164" s="13">
        <f t="shared" si="154"/>
        <v>0</v>
      </c>
      <c r="JN164" s="13">
        <f t="shared" si="154"/>
        <v>0</v>
      </c>
      <c r="JO164" s="13">
        <f t="shared" si="154"/>
        <v>0</v>
      </c>
      <c r="JP164" s="13">
        <f t="shared" si="154"/>
        <v>0</v>
      </c>
      <c r="JQ164" s="13">
        <f t="shared" si="154"/>
        <v>0</v>
      </c>
      <c r="JR164" s="13">
        <f t="shared" si="154"/>
        <v>0</v>
      </c>
      <c r="JS164" s="13">
        <f t="shared" si="154"/>
        <v>0</v>
      </c>
      <c r="JT164" s="13">
        <f t="shared" si="154"/>
        <v>0</v>
      </c>
      <c r="JU164" s="13">
        <f t="shared" si="154"/>
        <v>0</v>
      </c>
      <c r="JV164" s="13">
        <f t="shared" si="154"/>
        <v>0</v>
      </c>
      <c r="JW164" s="13">
        <f t="shared" si="154"/>
        <v>0</v>
      </c>
      <c r="JX164" s="13">
        <f t="shared" ref="JX164:MC164" si="155">SUM(JX165:JX229)</f>
        <v>0</v>
      </c>
      <c r="JY164" s="13">
        <f t="shared" si="155"/>
        <v>0</v>
      </c>
      <c r="JZ164" s="13">
        <f t="shared" si="155"/>
        <v>0</v>
      </c>
      <c r="KA164" s="13">
        <f t="shared" si="155"/>
        <v>0</v>
      </c>
      <c r="KB164" s="13">
        <f t="shared" si="155"/>
        <v>0</v>
      </c>
      <c r="KC164" s="13">
        <f t="shared" si="155"/>
        <v>0</v>
      </c>
      <c r="KD164" s="13">
        <f t="shared" si="155"/>
        <v>0</v>
      </c>
      <c r="KE164" s="13">
        <f t="shared" si="155"/>
        <v>0</v>
      </c>
      <c r="KF164" s="13">
        <f t="shared" si="155"/>
        <v>0</v>
      </c>
      <c r="KG164" s="13">
        <f t="shared" si="155"/>
        <v>0</v>
      </c>
      <c r="KH164" s="13">
        <f t="shared" si="155"/>
        <v>0</v>
      </c>
      <c r="KI164" s="13">
        <f t="shared" si="155"/>
        <v>0</v>
      </c>
      <c r="KJ164" s="13">
        <f t="shared" si="155"/>
        <v>0</v>
      </c>
      <c r="KK164" s="13">
        <f t="shared" si="155"/>
        <v>0</v>
      </c>
      <c r="KL164" s="13">
        <f t="shared" si="155"/>
        <v>0</v>
      </c>
      <c r="KM164" s="13">
        <f t="shared" si="155"/>
        <v>0</v>
      </c>
      <c r="KN164" s="13">
        <f t="shared" si="155"/>
        <v>0</v>
      </c>
      <c r="KO164" s="13">
        <f t="shared" si="155"/>
        <v>0</v>
      </c>
      <c r="KP164" s="13">
        <f t="shared" si="155"/>
        <v>0</v>
      </c>
      <c r="KQ164" s="13">
        <f t="shared" si="155"/>
        <v>0</v>
      </c>
      <c r="KR164" s="13">
        <f t="shared" si="155"/>
        <v>0</v>
      </c>
      <c r="KS164" s="13">
        <f t="shared" si="155"/>
        <v>0</v>
      </c>
      <c r="KT164" s="13">
        <f t="shared" si="155"/>
        <v>0</v>
      </c>
      <c r="KU164" s="13">
        <f t="shared" si="155"/>
        <v>0</v>
      </c>
      <c r="KV164" s="13">
        <f t="shared" si="155"/>
        <v>0</v>
      </c>
      <c r="KW164" s="13">
        <f t="shared" si="155"/>
        <v>0</v>
      </c>
      <c r="KX164" s="13">
        <f t="shared" si="155"/>
        <v>0</v>
      </c>
      <c r="KY164" s="13">
        <f t="shared" si="155"/>
        <v>0</v>
      </c>
      <c r="KZ164" s="13">
        <f t="shared" si="155"/>
        <v>0</v>
      </c>
      <c r="LA164" s="13">
        <f t="shared" si="155"/>
        <v>0</v>
      </c>
      <c r="LB164" s="13">
        <f t="shared" si="155"/>
        <v>0</v>
      </c>
      <c r="LC164" s="13">
        <f t="shared" si="155"/>
        <v>0</v>
      </c>
      <c r="LD164" s="13">
        <f t="shared" si="155"/>
        <v>0</v>
      </c>
      <c r="LE164" s="13">
        <f t="shared" si="155"/>
        <v>0</v>
      </c>
      <c r="LF164" s="13">
        <f t="shared" si="155"/>
        <v>0</v>
      </c>
      <c r="LG164" s="13">
        <f t="shared" si="155"/>
        <v>0</v>
      </c>
      <c r="LH164" s="13">
        <f t="shared" si="155"/>
        <v>0</v>
      </c>
      <c r="LI164" s="13">
        <f t="shared" si="155"/>
        <v>0</v>
      </c>
      <c r="LJ164" s="13">
        <f t="shared" si="155"/>
        <v>0</v>
      </c>
      <c r="LK164" s="13">
        <f t="shared" si="155"/>
        <v>0</v>
      </c>
      <c r="LL164" s="13">
        <f t="shared" si="155"/>
        <v>0</v>
      </c>
      <c r="LM164" s="13">
        <f t="shared" si="155"/>
        <v>0</v>
      </c>
      <c r="LN164" s="13">
        <f t="shared" si="155"/>
        <v>0</v>
      </c>
      <c r="LO164" s="13">
        <f t="shared" si="155"/>
        <v>0</v>
      </c>
      <c r="LP164" s="13">
        <f t="shared" si="155"/>
        <v>0</v>
      </c>
      <c r="LQ164" s="13">
        <f t="shared" si="155"/>
        <v>0</v>
      </c>
      <c r="LR164" s="13">
        <f t="shared" si="155"/>
        <v>0</v>
      </c>
      <c r="LS164" s="13">
        <f t="shared" si="155"/>
        <v>0</v>
      </c>
      <c r="LT164" s="13">
        <f t="shared" si="155"/>
        <v>0</v>
      </c>
      <c r="LU164" s="13">
        <f t="shared" si="155"/>
        <v>0</v>
      </c>
      <c r="LV164" s="13">
        <f t="shared" si="155"/>
        <v>0</v>
      </c>
      <c r="LW164" s="13">
        <f t="shared" si="155"/>
        <v>0</v>
      </c>
      <c r="LX164" s="13">
        <f t="shared" si="155"/>
        <v>0</v>
      </c>
      <c r="LY164" s="13">
        <f t="shared" si="155"/>
        <v>0</v>
      </c>
      <c r="LZ164" s="13">
        <f t="shared" si="155"/>
        <v>0</v>
      </c>
      <c r="MA164" s="13">
        <f t="shared" si="155"/>
        <v>0</v>
      </c>
      <c r="MB164" s="13">
        <f t="shared" si="155"/>
        <v>0</v>
      </c>
      <c r="MC164" s="13">
        <f t="shared" si="155"/>
        <v>0</v>
      </c>
    </row>
    <row r="165" spans="1:341" s="14" customFormat="1">
      <c r="A165" s="15" t="s">
        <v>159</v>
      </c>
      <c r="B165" s="13">
        <f t="shared" ref="B165:B228" si="156">SUM(AB165:AM165)/1000</f>
        <v>0</v>
      </c>
      <c r="C165" s="13">
        <f t="shared" ref="C165:C228" si="157">SUM(AN165:AY165)/1000</f>
        <v>0</v>
      </c>
      <c r="D165" s="13">
        <f t="shared" ref="D165:D228" si="158">SUM(AZ165:BK165)/1000</f>
        <v>0</v>
      </c>
      <c r="E165" s="13">
        <f t="shared" ref="E165:E228" si="159">SUM(BL165:BW165)/1000</f>
        <v>0</v>
      </c>
      <c r="F165" s="13">
        <f t="shared" ref="F165:F228" si="160">SUM(BX165:CI165)/1000</f>
        <v>0</v>
      </c>
      <c r="G165" s="13">
        <f t="shared" ref="G165:G228" si="161">SUM(CJ165:CU165)/1000</f>
        <v>0</v>
      </c>
      <c r="H165" s="13">
        <f t="shared" ref="H165:H228" si="162">SUM(CV165:DG165)/1000</f>
        <v>0</v>
      </c>
      <c r="I165" s="13">
        <f t="shared" ref="I165:I228" si="163">SUM(DH165:DS165)/1000</f>
        <v>0</v>
      </c>
      <c r="J165" s="13">
        <f t="shared" ref="J165:J228" si="164">SUM(DT165:EE165)/1000</f>
        <v>0</v>
      </c>
      <c r="K165" s="13">
        <f t="shared" ref="K165:K228" si="165">SUM(EF165:EQ165)/1000</f>
        <v>0</v>
      </c>
      <c r="L165" s="13">
        <f t="shared" ref="L165:L228" si="166">SUM(ER165:FC165)/1000</f>
        <v>0</v>
      </c>
      <c r="M165" s="13">
        <f t="shared" ref="M165:M228" si="167">SUM(FD165:FO165)/1000</f>
        <v>0</v>
      </c>
      <c r="N165" s="13">
        <f t="shared" ref="N165:N228" si="168">SUM(FP165:GA165)/1000</f>
        <v>0</v>
      </c>
      <c r="O165" s="13">
        <f t="shared" ref="O165:O228" si="169">SUM(GB165:GM165)/1000</f>
        <v>0</v>
      </c>
      <c r="P165" s="13">
        <f t="shared" ref="P165:P228" si="170">SUM(GN165:GY165)/1000</f>
        <v>0</v>
      </c>
      <c r="Q165" s="13">
        <f t="shared" ref="Q165:Q228" si="171">SUM(GZ165:HK165)/1000</f>
        <v>0</v>
      </c>
      <c r="R165" s="13">
        <f t="shared" ref="R165:R228" si="172">SUM(HL165:HW165)/1000</f>
        <v>0</v>
      </c>
      <c r="S165" s="13">
        <f t="shared" ref="S165:S228" si="173">SUM(HX165:II165)/1000</f>
        <v>0</v>
      </c>
      <c r="T165" s="13">
        <f t="shared" ref="T165:T228" si="174">SUM(IJ165:IU165)/1000</f>
        <v>0</v>
      </c>
      <c r="U165" s="13">
        <f t="shared" ref="U165:U228" si="175">SUM(IV165:JG165)/1000</f>
        <v>0</v>
      </c>
      <c r="V165" s="13">
        <f t="shared" ref="V165:V228" si="176">SUM(JH165:JS165)/1000</f>
        <v>0</v>
      </c>
      <c r="W165" s="13">
        <f t="shared" ref="W165:W228" si="177">SUM(JT165:KE165)/1000</f>
        <v>0</v>
      </c>
      <c r="X165" s="13">
        <f t="shared" ref="X165:X228" si="178">SUM(KF165:KQ165)/1000</f>
        <v>0</v>
      </c>
      <c r="Y165" s="13">
        <f t="shared" ref="Y165:Y228" si="179">SUM(KR165:LC165)/1000</f>
        <v>0</v>
      </c>
      <c r="Z165" s="13">
        <f t="shared" ref="Z165:Z228" si="180">SUM(LD165:LO165)/1000</f>
        <v>0</v>
      </c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</row>
    <row r="166" spans="1:341" s="14" customFormat="1">
      <c r="A166" s="15" t="s">
        <v>160</v>
      </c>
      <c r="B166" s="13">
        <f t="shared" si="156"/>
        <v>0</v>
      </c>
      <c r="C166" s="13">
        <f t="shared" si="157"/>
        <v>0</v>
      </c>
      <c r="D166" s="13">
        <f t="shared" si="158"/>
        <v>0</v>
      </c>
      <c r="E166" s="13">
        <f t="shared" si="159"/>
        <v>0</v>
      </c>
      <c r="F166" s="13">
        <f t="shared" si="160"/>
        <v>0</v>
      </c>
      <c r="G166" s="13">
        <f t="shared" si="161"/>
        <v>0</v>
      </c>
      <c r="H166" s="13">
        <f t="shared" si="162"/>
        <v>0</v>
      </c>
      <c r="I166" s="13">
        <f t="shared" si="163"/>
        <v>0</v>
      </c>
      <c r="J166" s="13">
        <f t="shared" si="164"/>
        <v>0</v>
      </c>
      <c r="K166" s="13">
        <f t="shared" si="165"/>
        <v>0</v>
      </c>
      <c r="L166" s="13">
        <f t="shared" si="166"/>
        <v>0</v>
      </c>
      <c r="M166" s="13">
        <f t="shared" si="167"/>
        <v>0</v>
      </c>
      <c r="N166" s="13">
        <f t="shared" si="168"/>
        <v>0</v>
      </c>
      <c r="O166" s="13">
        <f t="shared" si="169"/>
        <v>0</v>
      </c>
      <c r="P166" s="13">
        <f t="shared" si="170"/>
        <v>0</v>
      </c>
      <c r="Q166" s="13">
        <f t="shared" si="171"/>
        <v>0</v>
      </c>
      <c r="R166" s="13">
        <f t="shared" si="172"/>
        <v>0</v>
      </c>
      <c r="S166" s="13">
        <f t="shared" si="173"/>
        <v>0</v>
      </c>
      <c r="T166" s="13">
        <f t="shared" si="174"/>
        <v>0</v>
      </c>
      <c r="U166" s="13">
        <f t="shared" si="175"/>
        <v>0</v>
      </c>
      <c r="V166" s="13">
        <f t="shared" si="176"/>
        <v>0</v>
      </c>
      <c r="W166" s="13">
        <f t="shared" si="177"/>
        <v>0</v>
      </c>
      <c r="X166" s="13">
        <f t="shared" si="178"/>
        <v>0</v>
      </c>
      <c r="Y166" s="13">
        <f t="shared" si="179"/>
        <v>0</v>
      </c>
      <c r="Z166" s="13">
        <f t="shared" si="180"/>
        <v>0</v>
      </c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</row>
    <row r="167" spans="1:341" s="14" customFormat="1">
      <c r="A167" s="12" t="s">
        <v>161</v>
      </c>
      <c r="B167" s="13">
        <f t="shared" si="156"/>
        <v>0</v>
      </c>
      <c r="C167" s="13">
        <f t="shared" si="157"/>
        <v>0</v>
      </c>
      <c r="D167" s="13">
        <f t="shared" si="158"/>
        <v>0</v>
      </c>
      <c r="E167" s="13">
        <f t="shared" si="159"/>
        <v>0</v>
      </c>
      <c r="F167" s="13">
        <f t="shared" si="160"/>
        <v>0</v>
      </c>
      <c r="G167" s="13">
        <f t="shared" si="161"/>
        <v>0</v>
      </c>
      <c r="H167" s="13">
        <f t="shared" si="162"/>
        <v>0</v>
      </c>
      <c r="I167" s="13">
        <f t="shared" si="163"/>
        <v>0</v>
      </c>
      <c r="J167" s="13">
        <f t="shared" si="164"/>
        <v>0</v>
      </c>
      <c r="K167" s="13">
        <f t="shared" si="165"/>
        <v>0</v>
      </c>
      <c r="L167" s="13">
        <f t="shared" si="166"/>
        <v>0</v>
      </c>
      <c r="M167" s="13">
        <f t="shared" si="167"/>
        <v>0</v>
      </c>
      <c r="N167" s="13">
        <f t="shared" si="168"/>
        <v>0</v>
      </c>
      <c r="O167" s="13">
        <f t="shared" si="169"/>
        <v>0</v>
      </c>
      <c r="P167" s="13">
        <f t="shared" si="170"/>
        <v>0</v>
      </c>
      <c r="Q167" s="13">
        <f t="shared" si="171"/>
        <v>0</v>
      </c>
      <c r="R167" s="13">
        <f t="shared" si="172"/>
        <v>0</v>
      </c>
      <c r="S167" s="13">
        <f t="shared" si="173"/>
        <v>0</v>
      </c>
      <c r="T167" s="13">
        <f t="shared" si="174"/>
        <v>0</v>
      </c>
      <c r="U167" s="13">
        <f t="shared" si="175"/>
        <v>0</v>
      </c>
      <c r="V167" s="13">
        <f t="shared" si="176"/>
        <v>0</v>
      </c>
      <c r="W167" s="13">
        <f t="shared" si="177"/>
        <v>0</v>
      </c>
      <c r="X167" s="13">
        <f t="shared" si="178"/>
        <v>0</v>
      </c>
      <c r="Y167" s="13">
        <f t="shared" si="179"/>
        <v>0</v>
      </c>
      <c r="Z167" s="13">
        <f t="shared" si="180"/>
        <v>0</v>
      </c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</row>
    <row r="168" spans="1:341" s="14" customFormat="1">
      <c r="A168" s="15" t="s">
        <v>162</v>
      </c>
      <c r="B168" s="13">
        <f t="shared" si="156"/>
        <v>0</v>
      </c>
      <c r="C168" s="13">
        <f t="shared" si="157"/>
        <v>0</v>
      </c>
      <c r="D168" s="13">
        <f t="shared" si="158"/>
        <v>0</v>
      </c>
      <c r="E168" s="13">
        <f t="shared" si="159"/>
        <v>0</v>
      </c>
      <c r="F168" s="13">
        <f t="shared" si="160"/>
        <v>0</v>
      </c>
      <c r="G168" s="13">
        <f t="shared" si="161"/>
        <v>0</v>
      </c>
      <c r="H168" s="13">
        <f t="shared" si="162"/>
        <v>0</v>
      </c>
      <c r="I168" s="13">
        <f t="shared" si="163"/>
        <v>0</v>
      </c>
      <c r="J168" s="13">
        <f t="shared" si="164"/>
        <v>0</v>
      </c>
      <c r="K168" s="13">
        <f t="shared" si="165"/>
        <v>0</v>
      </c>
      <c r="L168" s="13">
        <f t="shared" si="166"/>
        <v>0</v>
      </c>
      <c r="M168" s="13">
        <f t="shared" si="167"/>
        <v>0</v>
      </c>
      <c r="N168" s="13">
        <f t="shared" si="168"/>
        <v>0</v>
      </c>
      <c r="O168" s="13">
        <f t="shared" si="169"/>
        <v>0</v>
      </c>
      <c r="P168" s="13">
        <f t="shared" si="170"/>
        <v>0</v>
      </c>
      <c r="Q168" s="13">
        <f t="shared" si="171"/>
        <v>0</v>
      </c>
      <c r="R168" s="13">
        <f t="shared" si="172"/>
        <v>0</v>
      </c>
      <c r="S168" s="13">
        <f t="shared" si="173"/>
        <v>0</v>
      </c>
      <c r="T168" s="13">
        <f t="shared" si="174"/>
        <v>0</v>
      </c>
      <c r="U168" s="13">
        <f t="shared" si="175"/>
        <v>0</v>
      </c>
      <c r="V168" s="13">
        <f t="shared" si="176"/>
        <v>0</v>
      </c>
      <c r="W168" s="13">
        <f t="shared" si="177"/>
        <v>0</v>
      </c>
      <c r="X168" s="13">
        <f t="shared" si="178"/>
        <v>0</v>
      </c>
      <c r="Y168" s="13">
        <f t="shared" si="179"/>
        <v>0</v>
      </c>
      <c r="Z168" s="13">
        <f t="shared" si="180"/>
        <v>0</v>
      </c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</row>
    <row r="169" spans="1:341" s="14" customFormat="1">
      <c r="A169" s="15" t="s">
        <v>163</v>
      </c>
      <c r="B169" s="13">
        <f t="shared" si="156"/>
        <v>0</v>
      </c>
      <c r="C169" s="13">
        <f t="shared" si="157"/>
        <v>0</v>
      </c>
      <c r="D169" s="13">
        <f t="shared" si="158"/>
        <v>0</v>
      </c>
      <c r="E169" s="13">
        <f t="shared" si="159"/>
        <v>0</v>
      </c>
      <c r="F169" s="13">
        <f t="shared" si="160"/>
        <v>0</v>
      </c>
      <c r="G169" s="13">
        <f t="shared" si="161"/>
        <v>0</v>
      </c>
      <c r="H169" s="13">
        <f t="shared" si="162"/>
        <v>0</v>
      </c>
      <c r="I169" s="13">
        <f t="shared" si="163"/>
        <v>0</v>
      </c>
      <c r="J169" s="13">
        <f t="shared" si="164"/>
        <v>0</v>
      </c>
      <c r="K169" s="13">
        <f t="shared" si="165"/>
        <v>0</v>
      </c>
      <c r="L169" s="13">
        <f t="shared" si="166"/>
        <v>0</v>
      </c>
      <c r="M169" s="13">
        <f t="shared" si="167"/>
        <v>0</v>
      </c>
      <c r="N169" s="13">
        <f t="shared" si="168"/>
        <v>0</v>
      </c>
      <c r="O169" s="13">
        <f t="shared" si="169"/>
        <v>0</v>
      </c>
      <c r="P169" s="13">
        <f t="shared" si="170"/>
        <v>0</v>
      </c>
      <c r="Q169" s="13">
        <f t="shared" si="171"/>
        <v>0</v>
      </c>
      <c r="R169" s="13">
        <f t="shared" si="172"/>
        <v>0</v>
      </c>
      <c r="S169" s="13">
        <f t="shared" si="173"/>
        <v>0</v>
      </c>
      <c r="T169" s="13">
        <f t="shared" si="174"/>
        <v>0</v>
      </c>
      <c r="U169" s="13">
        <f t="shared" si="175"/>
        <v>0</v>
      </c>
      <c r="V169" s="13">
        <f t="shared" si="176"/>
        <v>0</v>
      </c>
      <c r="W169" s="13">
        <f t="shared" si="177"/>
        <v>0</v>
      </c>
      <c r="X169" s="13">
        <f t="shared" si="178"/>
        <v>0</v>
      </c>
      <c r="Y169" s="13">
        <f t="shared" si="179"/>
        <v>0</v>
      </c>
      <c r="Z169" s="13">
        <f t="shared" si="180"/>
        <v>0</v>
      </c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</row>
    <row r="170" spans="1:341" s="14" customFormat="1">
      <c r="A170" s="15" t="s">
        <v>164</v>
      </c>
      <c r="B170" s="13">
        <f t="shared" si="156"/>
        <v>0</v>
      </c>
      <c r="C170" s="13">
        <f t="shared" si="157"/>
        <v>0</v>
      </c>
      <c r="D170" s="13">
        <f t="shared" si="158"/>
        <v>0</v>
      </c>
      <c r="E170" s="13">
        <f t="shared" si="159"/>
        <v>0</v>
      </c>
      <c r="F170" s="13">
        <f t="shared" si="160"/>
        <v>0</v>
      </c>
      <c r="G170" s="13">
        <f t="shared" si="161"/>
        <v>0</v>
      </c>
      <c r="H170" s="13">
        <f t="shared" si="162"/>
        <v>0</v>
      </c>
      <c r="I170" s="13">
        <f t="shared" si="163"/>
        <v>0</v>
      </c>
      <c r="J170" s="13">
        <f t="shared" si="164"/>
        <v>0</v>
      </c>
      <c r="K170" s="13">
        <f t="shared" si="165"/>
        <v>0</v>
      </c>
      <c r="L170" s="13">
        <f t="shared" si="166"/>
        <v>0</v>
      </c>
      <c r="M170" s="13">
        <f t="shared" si="167"/>
        <v>0</v>
      </c>
      <c r="N170" s="13">
        <f t="shared" si="168"/>
        <v>0</v>
      </c>
      <c r="O170" s="13">
        <f t="shared" si="169"/>
        <v>0</v>
      </c>
      <c r="P170" s="13">
        <f t="shared" si="170"/>
        <v>0</v>
      </c>
      <c r="Q170" s="13">
        <f t="shared" si="171"/>
        <v>0</v>
      </c>
      <c r="R170" s="13">
        <f t="shared" si="172"/>
        <v>0</v>
      </c>
      <c r="S170" s="13">
        <f t="shared" si="173"/>
        <v>0</v>
      </c>
      <c r="T170" s="13">
        <f t="shared" si="174"/>
        <v>0</v>
      </c>
      <c r="U170" s="13">
        <f t="shared" si="175"/>
        <v>0</v>
      </c>
      <c r="V170" s="13">
        <f t="shared" si="176"/>
        <v>0</v>
      </c>
      <c r="W170" s="13">
        <f t="shared" si="177"/>
        <v>0</v>
      </c>
      <c r="X170" s="13">
        <f t="shared" si="178"/>
        <v>0</v>
      </c>
      <c r="Y170" s="13">
        <f t="shared" si="179"/>
        <v>0</v>
      </c>
      <c r="Z170" s="13">
        <f t="shared" si="180"/>
        <v>0</v>
      </c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</row>
    <row r="171" spans="1:341" s="14" customFormat="1">
      <c r="A171" s="15" t="s">
        <v>165</v>
      </c>
      <c r="B171" s="13">
        <f t="shared" si="156"/>
        <v>0</v>
      </c>
      <c r="C171" s="13">
        <f t="shared" si="157"/>
        <v>0</v>
      </c>
      <c r="D171" s="13">
        <f t="shared" si="158"/>
        <v>0</v>
      </c>
      <c r="E171" s="13">
        <f t="shared" si="159"/>
        <v>0</v>
      </c>
      <c r="F171" s="13">
        <f t="shared" si="160"/>
        <v>0</v>
      </c>
      <c r="G171" s="13">
        <f t="shared" si="161"/>
        <v>0</v>
      </c>
      <c r="H171" s="13">
        <f t="shared" si="162"/>
        <v>0</v>
      </c>
      <c r="I171" s="13">
        <f t="shared" si="163"/>
        <v>0</v>
      </c>
      <c r="J171" s="13">
        <f t="shared" si="164"/>
        <v>0</v>
      </c>
      <c r="K171" s="13">
        <f t="shared" si="165"/>
        <v>0</v>
      </c>
      <c r="L171" s="13">
        <f t="shared" si="166"/>
        <v>0</v>
      </c>
      <c r="M171" s="13">
        <f t="shared" si="167"/>
        <v>0</v>
      </c>
      <c r="N171" s="13">
        <f t="shared" si="168"/>
        <v>0</v>
      </c>
      <c r="O171" s="13">
        <f t="shared" si="169"/>
        <v>0</v>
      </c>
      <c r="P171" s="13">
        <f t="shared" si="170"/>
        <v>0</v>
      </c>
      <c r="Q171" s="13">
        <f t="shared" si="171"/>
        <v>0</v>
      </c>
      <c r="R171" s="13">
        <f t="shared" si="172"/>
        <v>0</v>
      </c>
      <c r="S171" s="13">
        <f t="shared" si="173"/>
        <v>0</v>
      </c>
      <c r="T171" s="13">
        <f t="shared" si="174"/>
        <v>0</v>
      </c>
      <c r="U171" s="13">
        <f t="shared" si="175"/>
        <v>0</v>
      </c>
      <c r="V171" s="13">
        <f t="shared" si="176"/>
        <v>0</v>
      </c>
      <c r="W171" s="13">
        <f t="shared" si="177"/>
        <v>0</v>
      </c>
      <c r="X171" s="13">
        <f t="shared" si="178"/>
        <v>0</v>
      </c>
      <c r="Y171" s="13">
        <f t="shared" si="179"/>
        <v>0</v>
      </c>
      <c r="Z171" s="13">
        <f t="shared" si="180"/>
        <v>0</v>
      </c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</row>
    <row r="172" spans="1:341" s="14" customFormat="1">
      <c r="A172" s="15" t="s">
        <v>166</v>
      </c>
      <c r="B172" s="13">
        <f t="shared" si="156"/>
        <v>0</v>
      </c>
      <c r="C172" s="13">
        <f t="shared" si="157"/>
        <v>0</v>
      </c>
      <c r="D172" s="13">
        <f t="shared" si="158"/>
        <v>0</v>
      </c>
      <c r="E172" s="13">
        <f t="shared" si="159"/>
        <v>0</v>
      </c>
      <c r="F172" s="13">
        <f t="shared" si="160"/>
        <v>0</v>
      </c>
      <c r="G172" s="13">
        <f t="shared" si="161"/>
        <v>0</v>
      </c>
      <c r="H172" s="13">
        <f t="shared" si="162"/>
        <v>0</v>
      </c>
      <c r="I172" s="13">
        <f t="shared" si="163"/>
        <v>0</v>
      </c>
      <c r="J172" s="13">
        <f t="shared" si="164"/>
        <v>0</v>
      </c>
      <c r="K172" s="13">
        <f t="shared" si="165"/>
        <v>0</v>
      </c>
      <c r="L172" s="13">
        <f t="shared" si="166"/>
        <v>0</v>
      </c>
      <c r="M172" s="13">
        <f t="shared" si="167"/>
        <v>0</v>
      </c>
      <c r="N172" s="13">
        <f t="shared" si="168"/>
        <v>0</v>
      </c>
      <c r="O172" s="13">
        <f t="shared" si="169"/>
        <v>0</v>
      </c>
      <c r="P172" s="13">
        <f t="shared" si="170"/>
        <v>0</v>
      </c>
      <c r="Q172" s="13">
        <f t="shared" si="171"/>
        <v>0</v>
      </c>
      <c r="R172" s="13">
        <f t="shared" si="172"/>
        <v>0</v>
      </c>
      <c r="S172" s="13">
        <f t="shared" si="173"/>
        <v>0</v>
      </c>
      <c r="T172" s="13">
        <f t="shared" si="174"/>
        <v>0</v>
      </c>
      <c r="U172" s="13">
        <f t="shared" si="175"/>
        <v>0</v>
      </c>
      <c r="V172" s="13">
        <f t="shared" si="176"/>
        <v>0</v>
      </c>
      <c r="W172" s="13">
        <f t="shared" si="177"/>
        <v>0</v>
      </c>
      <c r="X172" s="13">
        <f t="shared" si="178"/>
        <v>0</v>
      </c>
      <c r="Y172" s="13">
        <f t="shared" si="179"/>
        <v>0</v>
      </c>
      <c r="Z172" s="13">
        <f t="shared" si="180"/>
        <v>0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</row>
    <row r="173" spans="1:341" s="14" customFormat="1">
      <c r="A173" s="12" t="s">
        <v>167</v>
      </c>
      <c r="B173" s="13">
        <f t="shared" si="156"/>
        <v>0</v>
      </c>
      <c r="C173" s="13">
        <f t="shared" si="157"/>
        <v>0</v>
      </c>
      <c r="D173" s="13">
        <f t="shared" si="158"/>
        <v>0</v>
      </c>
      <c r="E173" s="13">
        <f t="shared" si="159"/>
        <v>0</v>
      </c>
      <c r="F173" s="13">
        <f t="shared" si="160"/>
        <v>0</v>
      </c>
      <c r="G173" s="13">
        <f t="shared" si="161"/>
        <v>0</v>
      </c>
      <c r="H173" s="13">
        <f t="shared" si="162"/>
        <v>0</v>
      </c>
      <c r="I173" s="13">
        <f t="shared" si="163"/>
        <v>0</v>
      </c>
      <c r="J173" s="13">
        <f t="shared" si="164"/>
        <v>0</v>
      </c>
      <c r="K173" s="13">
        <f t="shared" si="165"/>
        <v>0</v>
      </c>
      <c r="L173" s="13">
        <f t="shared" si="166"/>
        <v>0</v>
      </c>
      <c r="M173" s="13">
        <f t="shared" si="167"/>
        <v>0</v>
      </c>
      <c r="N173" s="13">
        <f t="shared" si="168"/>
        <v>0</v>
      </c>
      <c r="O173" s="13">
        <f t="shared" si="169"/>
        <v>0</v>
      </c>
      <c r="P173" s="13">
        <f t="shared" si="170"/>
        <v>0</v>
      </c>
      <c r="Q173" s="13">
        <f t="shared" si="171"/>
        <v>0</v>
      </c>
      <c r="R173" s="13">
        <f t="shared" si="172"/>
        <v>0</v>
      </c>
      <c r="S173" s="13">
        <f t="shared" si="173"/>
        <v>0</v>
      </c>
      <c r="T173" s="13">
        <f t="shared" si="174"/>
        <v>0</v>
      </c>
      <c r="U173" s="13">
        <f t="shared" si="175"/>
        <v>0</v>
      </c>
      <c r="V173" s="13">
        <f t="shared" si="176"/>
        <v>0</v>
      </c>
      <c r="W173" s="13">
        <f t="shared" si="177"/>
        <v>0</v>
      </c>
      <c r="X173" s="13">
        <f t="shared" si="178"/>
        <v>0</v>
      </c>
      <c r="Y173" s="13">
        <f t="shared" si="179"/>
        <v>0</v>
      </c>
      <c r="Z173" s="13">
        <f t="shared" si="180"/>
        <v>0</v>
      </c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</row>
    <row r="174" spans="1:341" s="14" customFormat="1">
      <c r="A174" s="12" t="s">
        <v>168</v>
      </c>
      <c r="B174" s="13">
        <f t="shared" si="156"/>
        <v>0</v>
      </c>
      <c r="C174" s="13">
        <f t="shared" si="157"/>
        <v>0</v>
      </c>
      <c r="D174" s="13">
        <f t="shared" si="158"/>
        <v>0</v>
      </c>
      <c r="E174" s="13">
        <f t="shared" si="159"/>
        <v>0</v>
      </c>
      <c r="F174" s="13">
        <f t="shared" si="160"/>
        <v>0</v>
      </c>
      <c r="G174" s="13">
        <f t="shared" si="161"/>
        <v>0</v>
      </c>
      <c r="H174" s="13">
        <f t="shared" si="162"/>
        <v>0</v>
      </c>
      <c r="I174" s="13">
        <f t="shared" si="163"/>
        <v>0</v>
      </c>
      <c r="J174" s="13">
        <f t="shared" si="164"/>
        <v>0</v>
      </c>
      <c r="K174" s="13">
        <f t="shared" si="165"/>
        <v>0</v>
      </c>
      <c r="L174" s="13">
        <f t="shared" si="166"/>
        <v>0</v>
      </c>
      <c r="M174" s="13">
        <f t="shared" si="167"/>
        <v>0</v>
      </c>
      <c r="N174" s="13">
        <f t="shared" si="168"/>
        <v>0</v>
      </c>
      <c r="O174" s="13">
        <f t="shared" si="169"/>
        <v>0</v>
      </c>
      <c r="P174" s="13">
        <f t="shared" si="170"/>
        <v>0</v>
      </c>
      <c r="Q174" s="13">
        <f t="shared" si="171"/>
        <v>0</v>
      </c>
      <c r="R174" s="13">
        <f t="shared" si="172"/>
        <v>0</v>
      </c>
      <c r="S174" s="13">
        <f t="shared" si="173"/>
        <v>0</v>
      </c>
      <c r="T174" s="13">
        <f t="shared" si="174"/>
        <v>0</v>
      </c>
      <c r="U174" s="13">
        <f t="shared" si="175"/>
        <v>0</v>
      </c>
      <c r="V174" s="13">
        <f t="shared" si="176"/>
        <v>0</v>
      </c>
      <c r="W174" s="13">
        <f t="shared" si="177"/>
        <v>0</v>
      </c>
      <c r="X174" s="13">
        <f t="shared" si="178"/>
        <v>0</v>
      </c>
      <c r="Y174" s="13">
        <f t="shared" si="179"/>
        <v>0</v>
      </c>
      <c r="Z174" s="13">
        <f t="shared" si="180"/>
        <v>0</v>
      </c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</row>
    <row r="175" spans="1:341" s="14" customFormat="1">
      <c r="A175" s="15" t="s">
        <v>169</v>
      </c>
      <c r="B175" s="13">
        <f t="shared" si="156"/>
        <v>0</v>
      </c>
      <c r="C175" s="13">
        <f t="shared" si="157"/>
        <v>0</v>
      </c>
      <c r="D175" s="13">
        <f t="shared" si="158"/>
        <v>0</v>
      </c>
      <c r="E175" s="13">
        <f t="shared" si="159"/>
        <v>0</v>
      </c>
      <c r="F175" s="13">
        <f t="shared" si="160"/>
        <v>0</v>
      </c>
      <c r="G175" s="13">
        <f t="shared" si="161"/>
        <v>0</v>
      </c>
      <c r="H175" s="13">
        <f t="shared" si="162"/>
        <v>0</v>
      </c>
      <c r="I175" s="13">
        <f t="shared" si="163"/>
        <v>0</v>
      </c>
      <c r="J175" s="13">
        <f t="shared" si="164"/>
        <v>0</v>
      </c>
      <c r="K175" s="13">
        <f t="shared" si="165"/>
        <v>0</v>
      </c>
      <c r="L175" s="13">
        <f t="shared" si="166"/>
        <v>0</v>
      </c>
      <c r="M175" s="13">
        <f t="shared" si="167"/>
        <v>0</v>
      </c>
      <c r="N175" s="13">
        <f t="shared" si="168"/>
        <v>0</v>
      </c>
      <c r="O175" s="13">
        <f t="shared" si="169"/>
        <v>0</v>
      </c>
      <c r="P175" s="13">
        <f t="shared" si="170"/>
        <v>0</v>
      </c>
      <c r="Q175" s="13">
        <f t="shared" si="171"/>
        <v>0</v>
      </c>
      <c r="R175" s="13">
        <f t="shared" si="172"/>
        <v>0</v>
      </c>
      <c r="S175" s="13">
        <f t="shared" si="173"/>
        <v>0</v>
      </c>
      <c r="T175" s="13">
        <f t="shared" si="174"/>
        <v>0</v>
      </c>
      <c r="U175" s="13">
        <f t="shared" si="175"/>
        <v>0</v>
      </c>
      <c r="V175" s="13">
        <f t="shared" si="176"/>
        <v>0</v>
      </c>
      <c r="W175" s="13">
        <f t="shared" si="177"/>
        <v>0</v>
      </c>
      <c r="X175" s="13">
        <f t="shared" si="178"/>
        <v>0</v>
      </c>
      <c r="Y175" s="13">
        <f t="shared" si="179"/>
        <v>0</v>
      </c>
      <c r="Z175" s="13">
        <f t="shared" si="180"/>
        <v>0</v>
      </c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</row>
    <row r="176" spans="1:341" s="14" customFormat="1">
      <c r="A176" s="12" t="s">
        <v>170</v>
      </c>
      <c r="B176" s="13">
        <f t="shared" si="156"/>
        <v>0</v>
      </c>
      <c r="C176" s="13">
        <f t="shared" si="157"/>
        <v>0</v>
      </c>
      <c r="D176" s="13">
        <f t="shared" si="158"/>
        <v>0</v>
      </c>
      <c r="E176" s="13">
        <f t="shared" si="159"/>
        <v>0</v>
      </c>
      <c r="F176" s="13">
        <f t="shared" si="160"/>
        <v>0</v>
      </c>
      <c r="G176" s="13">
        <f t="shared" si="161"/>
        <v>0</v>
      </c>
      <c r="H176" s="13">
        <f t="shared" si="162"/>
        <v>0</v>
      </c>
      <c r="I176" s="13">
        <f t="shared" si="163"/>
        <v>0</v>
      </c>
      <c r="J176" s="13">
        <f t="shared" si="164"/>
        <v>0</v>
      </c>
      <c r="K176" s="13">
        <f t="shared" si="165"/>
        <v>0</v>
      </c>
      <c r="L176" s="13">
        <f t="shared" si="166"/>
        <v>0</v>
      </c>
      <c r="M176" s="13">
        <f t="shared" si="167"/>
        <v>0</v>
      </c>
      <c r="N176" s="13">
        <f t="shared" si="168"/>
        <v>0</v>
      </c>
      <c r="O176" s="13">
        <f t="shared" si="169"/>
        <v>0</v>
      </c>
      <c r="P176" s="13">
        <f t="shared" si="170"/>
        <v>0</v>
      </c>
      <c r="Q176" s="13">
        <f t="shared" si="171"/>
        <v>0</v>
      </c>
      <c r="R176" s="13">
        <f t="shared" si="172"/>
        <v>0</v>
      </c>
      <c r="S176" s="13">
        <f t="shared" si="173"/>
        <v>0</v>
      </c>
      <c r="T176" s="13">
        <f t="shared" si="174"/>
        <v>0</v>
      </c>
      <c r="U176" s="13">
        <f t="shared" si="175"/>
        <v>0</v>
      </c>
      <c r="V176" s="13">
        <f t="shared" si="176"/>
        <v>0</v>
      </c>
      <c r="W176" s="13">
        <f t="shared" si="177"/>
        <v>0</v>
      </c>
      <c r="X176" s="13">
        <f t="shared" si="178"/>
        <v>0</v>
      </c>
      <c r="Y176" s="13">
        <f t="shared" si="179"/>
        <v>0</v>
      </c>
      <c r="Z176" s="13">
        <f t="shared" si="180"/>
        <v>0</v>
      </c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</row>
    <row r="177" spans="1:341" s="14" customFormat="1">
      <c r="A177" s="15" t="s">
        <v>171</v>
      </c>
      <c r="B177" s="13">
        <f t="shared" si="156"/>
        <v>0</v>
      </c>
      <c r="C177" s="13">
        <f t="shared" si="157"/>
        <v>0</v>
      </c>
      <c r="D177" s="13">
        <f t="shared" si="158"/>
        <v>0</v>
      </c>
      <c r="E177" s="13">
        <f t="shared" si="159"/>
        <v>0</v>
      </c>
      <c r="F177" s="13">
        <f t="shared" si="160"/>
        <v>0</v>
      </c>
      <c r="G177" s="13">
        <f t="shared" si="161"/>
        <v>0</v>
      </c>
      <c r="H177" s="13">
        <f t="shared" si="162"/>
        <v>0</v>
      </c>
      <c r="I177" s="13">
        <f t="shared" si="163"/>
        <v>0</v>
      </c>
      <c r="J177" s="13">
        <f t="shared" si="164"/>
        <v>0</v>
      </c>
      <c r="K177" s="13">
        <f t="shared" si="165"/>
        <v>0</v>
      </c>
      <c r="L177" s="13">
        <f t="shared" si="166"/>
        <v>0</v>
      </c>
      <c r="M177" s="13">
        <f t="shared" si="167"/>
        <v>0</v>
      </c>
      <c r="N177" s="13">
        <f t="shared" si="168"/>
        <v>0</v>
      </c>
      <c r="O177" s="13">
        <f t="shared" si="169"/>
        <v>0</v>
      </c>
      <c r="P177" s="13">
        <f t="shared" si="170"/>
        <v>0</v>
      </c>
      <c r="Q177" s="13">
        <f t="shared" si="171"/>
        <v>0</v>
      </c>
      <c r="R177" s="13">
        <f t="shared" si="172"/>
        <v>0</v>
      </c>
      <c r="S177" s="13">
        <f t="shared" si="173"/>
        <v>0</v>
      </c>
      <c r="T177" s="13">
        <f t="shared" si="174"/>
        <v>0</v>
      </c>
      <c r="U177" s="13">
        <f t="shared" si="175"/>
        <v>0</v>
      </c>
      <c r="V177" s="13">
        <f t="shared" si="176"/>
        <v>0</v>
      </c>
      <c r="W177" s="13">
        <f t="shared" si="177"/>
        <v>0</v>
      </c>
      <c r="X177" s="13">
        <f t="shared" si="178"/>
        <v>0</v>
      </c>
      <c r="Y177" s="13">
        <f t="shared" si="179"/>
        <v>0</v>
      </c>
      <c r="Z177" s="13">
        <f t="shared" si="180"/>
        <v>0</v>
      </c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</row>
    <row r="178" spans="1:341" s="14" customFormat="1">
      <c r="A178" s="15" t="s">
        <v>172</v>
      </c>
      <c r="B178" s="13">
        <f t="shared" si="156"/>
        <v>0</v>
      </c>
      <c r="C178" s="13">
        <f t="shared" si="157"/>
        <v>0</v>
      </c>
      <c r="D178" s="13">
        <f t="shared" si="158"/>
        <v>0</v>
      </c>
      <c r="E178" s="13">
        <f t="shared" si="159"/>
        <v>0</v>
      </c>
      <c r="F178" s="13">
        <f t="shared" si="160"/>
        <v>0</v>
      </c>
      <c r="G178" s="13">
        <f t="shared" si="161"/>
        <v>0</v>
      </c>
      <c r="H178" s="13">
        <f t="shared" si="162"/>
        <v>0</v>
      </c>
      <c r="I178" s="13">
        <f t="shared" si="163"/>
        <v>0</v>
      </c>
      <c r="J178" s="13">
        <f t="shared" si="164"/>
        <v>0</v>
      </c>
      <c r="K178" s="13">
        <f t="shared" si="165"/>
        <v>0</v>
      </c>
      <c r="L178" s="13">
        <f t="shared" si="166"/>
        <v>0</v>
      </c>
      <c r="M178" s="13">
        <f t="shared" si="167"/>
        <v>0</v>
      </c>
      <c r="N178" s="13">
        <f t="shared" si="168"/>
        <v>0</v>
      </c>
      <c r="O178" s="13">
        <f t="shared" si="169"/>
        <v>0</v>
      </c>
      <c r="P178" s="13">
        <f t="shared" si="170"/>
        <v>0</v>
      </c>
      <c r="Q178" s="13">
        <f t="shared" si="171"/>
        <v>0</v>
      </c>
      <c r="R178" s="13">
        <f t="shared" si="172"/>
        <v>0</v>
      </c>
      <c r="S178" s="13">
        <f t="shared" si="173"/>
        <v>0</v>
      </c>
      <c r="T178" s="13">
        <f t="shared" si="174"/>
        <v>0</v>
      </c>
      <c r="U178" s="13">
        <f t="shared" si="175"/>
        <v>0</v>
      </c>
      <c r="V178" s="13">
        <f t="shared" si="176"/>
        <v>0</v>
      </c>
      <c r="W178" s="13">
        <f t="shared" si="177"/>
        <v>0</v>
      </c>
      <c r="X178" s="13">
        <f t="shared" si="178"/>
        <v>0</v>
      </c>
      <c r="Y178" s="13">
        <f t="shared" si="179"/>
        <v>0</v>
      </c>
      <c r="Z178" s="13">
        <f t="shared" si="180"/>
        <v>0</v>
      </c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</row>
    <row r="179" spans="1:341" s="14" customFormat="1">
      <c r="A179" s="15" t="s">
        <v>173</v>
      </c>
      <c r="B179" s="13">
        <f t="shared" si="156"/>
        <v>0</v>
      </c>
      <c r="C179" s="13">
        <f t="shared" si="157"/>
        <v>0</v>
      </c>
      <c r="D179" s="13">
        <f t="shared" si="158"/>
        <v>0</v>
      </c>
      <c r="E179" s="13">
        <f t="shared" si="159"/>
        <v>0</v>
      </c>
      <c r="F179" s="13">
        <f t="shared" si="160"/>
        <v>0</v>
      </c>
      <c r="G179" s="13">
        <f t="shared" si="161"/>
        <v>0</v>
      </c>
      <c r="H179" s="13">
        <f t="shared" si="162"/>
        <v>0</v>
      </c>
      <c r="I179" s="13">
        <f t="shared" si="163"/>
        <v>0</v>
      </c>
      <c r="J179" s="13">
        <f t="shared" si="164"/>
        <v>0</v>
      </c>
      <c r="K179" s="13">
        <f t="shared" si="165"/>
        <v>0</v>
      </c>
      <c r="L179" s="13">
        <f t="shared" si="166"/>
        <v>0</v>
      </c>
      <c r="M179" s="13">
        <f t="shared" si="167"/>
        <v>0</v>
      </c>
      <c r="N179" s="13">
        <f t="shared" si="168"/>
        <v>0</v>
      </c>
      <c r="O179" s="13">
        <f t="shared" si="169"/>
        <v>0</v>
      </c>
      <c r="P179" s="13">
        <f t="shared" si="170"/>
        <v>0</v>
      </c>
      <c r="Q179" s="13">
        <f t="shared" si="171"/>
        <v>0</v>
      </c>
      <c r="R179" s="13">
        <f t="shared" si="172"/>
        <v>0</v>
      </c>
      <c r="S179" s="13">
        <f t="shared" si="173"/>
        <v>0</v>
      </c>
      <c r="T179" s="13">
        <f t="shared" si="174"/>
        <v>0</v>
      </c>
      <c r="U179" s="13">
        <f t="shared" si="175"/>
        <v>0</v>
      </c>
      <c r="V179" s="13">
        <f t="shared" si="176"/>
        <v>0</v>
      </c>
      <c r="W179" s="13">
        <f t="shared" si="177"/>
        <v>0</v>
      </c>
      <c r="X179" s="13">
        <f t="shared" si="178"/>
        <v>0</v>
      </c>
      <c r="Y179" s="13">
        <f t="shared" si="179"/>
        <v>0</v>
      </c>
      <c r="Z179" s="13">
        <f t="shared" si="180"/>
        <v>0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</row>
    <row r="180" spans="1:341" s="14" customFormat="1">
      <c r="A180" s="15" t="s">
        <v>174</v>
      </c>
      <c r="B180" s="13">
        <f t="shared" si="156"/>
        <v>0</v>
      </c>
      <c r="C180" s="13">
        <f t="shared" si="157"/>
        <v>0</v>
      </c>
      <c r="D180" s="13">
        <f t="shared" si="158"/>
        <v>0</v>
      </c>
      <c r="E180" s="13">
        <f t="shared" si="159"/>
        <v>0</v>
      </c>
      <c r="F180" s="13">
        <f t="shared" si="160"/>
        <v>0</v>
      </c>
      <c r="G180" s="13">
        <f t="shared" si="161"/>
        <v>0</v>
      </c>
      <c r="H180" s="13">
        <f t="shared" si="162"/>
        <v>0</v>
      </c>
      <c r="I180" s="13">
        <f t="shared" si="163"/>
        <v>0</v>
      </c>
      <c r="J180" s="13">
        <f t="shared" si="164"/>
        <v>0</v>
      </c>
      <c r="K180" s="13">
        <f t="shared" si="165"/>
        <v>0</v>
      </c>
      <c r="L180" s="13">
        <f t="shared" si="166"/>
        <v>0</v>
      </c>
      <c r="M180" s="13">
        <f t="shared" si="167"/>
        <v>0</v>
      </c>
      <c r="N180" s="13">
        <f t="shared" si="168"/>
        <v>0</v>
      </c>
      <c r="O180" s="13">
        <f t="shared" si="169"/>
        <v>0</v>
      </c>
      <c r="P180" s="13">
        <f t="shared" si="170"/>
        <v>0</v>
      </c>
      <c r="Q180" s="13">
        <f t="shared" si="171"/>
        <v>0</v>
      </c>
      <c r="R180" s="13">
        <f t="shared" si="172"/>
        <v>0</v>
      </c>
      <c r="S180" s="13">
        <f t="shared" si="173"/>
        <v>0</v>
      </c>
      <c r="T180" s="13">
        <f t="shared" si="174"/>
        <v>0</v>
      </c>
      <c r="U180" s="13">
        <f t="shared" si="175"/>
        <v>0</v>
      </c>
      <c r="V180" s="13">
        <f t="shared" si="176"/>
        <v>0</v>
      </c>
      <c r="W180" s="13">
        <f t="shared" si="177"/>
        <v>0</v>
      </c>
      <c r="X180" s="13">
        <f t="shared" si="178"/>
        <v>0</v>
      </c>
      <c r="Y180" s="13">
        <f t="shared" si="179"/>
        <v>0</v>
      </c>
      <c r="Z180" s="13">
        <f t="shared" si="180"/>
        <v>0</v>
      </c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</row>
    <row r="181" spans="1:341" s="14" customFormat="1">
      <c r="A181" s="12" t="s">
        <v>175</v>
      </c>
      <c r="B181" s="13">
        <f t="shared" si="156"/>
        <v>0</v>
      </c>
      <c r="C181" s="13">
        <f t="shared" si="157"/>
        <v>0</v>
      </c>
      <c r="D181" s="13">
        <f t="shared" si="158"/>
        <v>0</v>
      </c>
      <c r="E181" s="13">
        <f t="shared" si="159"/>
        <v>0</v>
      </c>
      <c r="F181" s="13">
        <f t="shared" si="160"/>
        <v>0</v>
      </c>
      <c r="G181" s="13">
        <f t="shared" si="161"/>
        <v>0</v>
      </c>
      <c r="H181" s="13">
        <f t="shared" si="162"/>
        <v>0</v>
      </c>
      <c r="I181" s="13">
        <f t="shared" si="163"/>
        <v>0</v>
      </c>
      <c r="J181" s="13">
        <f t="shared" si="164"/>
        <v>0</v>
      </c>
      <c r="K181" s="13">
        <f t="shared" si="165"/>
        <v>0</v>
      </c>
      <c r="L181" s="13">
        <f t="shared" si="166"/>
        <v>0</v>
      </c>
      <c r="M181" s="13">
        <f t="shared" si="167"/>
        <v>0</v>
      </c>
      <c r="N181" s="13">
        <f t="shared" si="168"/>
        <v>0</v>
      </c>
      <c r="O181" s="13">
        <f t="shared" si="169"/>
        <v>0</v>
      </c>
      <c r="P181" s="13">
        <f t="shared" si="170"/>
        <v>0</v>
      </c>
      <c r="Q181" s="13">
        <f t="shared" si="171"/>
        <v>0</v>
      </c>
      <c r="R181" s="13">
        <f t="shared" si="172"/>
        <v>0</v>
      </c>
      <c r="S181" s="13">
        <f t="shared" si="173"/>
        <v>0</v>
      </c>
      <c r="T181" s="13">
        <f t="shared" si="174"/>
        <v>0</v>
      </c>
      <c r="U181" s="13">
        <f t="shared" si="175"/>
        <v>0</v>
      </c>
      <c r="V181" s="13">
        <f t="shared" si="176"/>
        <v>0</v>
      </c>
      <c r="W181" s="13">
        <f t="shared" si="177"/>
        <v>0</v>
      </c>
      <c r="X181" s="13">
        <f t="shared" si="178"/>
        <v>0</v>
      </c>
      <c r="Y181" s="13">
        <f t="shared" si="179"/>
        <v>0</v>
      </c>
      <c r="Z181" s="13">
        <f t="shared" si="180"/>
        <v>0</v>
      </c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</row>
    <row r="182" spans="1:341" s="14" customFormat="1">
      <c r="A182" s="12" t="s">
        <v>176</v>
      </c>
      <c r="B182" s="13">
        <f t="shared" si="156"/>
        <v>0</v>
      </c>
      <c r="C182" s="13">
        <f t="shared" si="157"/>
        <v>0</v>
      </c>
      <c r="D182" s="13">
        <f t="shared" si="158"/>
        <v>0</v>
      </c>
      <c r="E182" s="13">
        <f t="shared" si="159"/>
        <v>0</v>
      </c>
      <c r="F182" s="13">
        <f t="shared" si="160"/>
        <v>0</v>
      </c>
      <c r="G182" s="13">
        <f t="shared" si="161"/>
        <v>0</v>
      </c>
      <c r="H182" s="13">
        <f t="shared" si="162"/>
        <v>0</v>
      </c>
      <c r="I182" s="13">
        <f t="shared" si="163"/>
        <v>0</v>
      </c>
      <c r="J182" s="13">
        <f t="shared" si="164"/>
        <v>0</v>
      </c>
      <c r="K182" s="13">
        <f t="shared" si="165"/>
        <v>0</v>
      </c>
      <c r="L182" s="13">
        <f t="shared" si="166"/>
        <v>0</v>
      </c>
      <c r="M182" s="13">
        <f t="shared" si="167"/>
        <v>0</v>
      </c>
      <c r="N182" s="13">
        <f t="shared" si="168"/>
        <v>0</v>
      </c>
      <c r="O182" s="13">
        <f t="shared" si="169"/>
        <v>0</v>
      </c>
      <c r="P182" s="13">
        <f t="shared" si="170"/>
        <v>0</v>
      </c>
      <c r="Q182" s="13">
        <f t="shared" si="171"/>
        <v>0</v>
      </c>
      <c r="R182" s="13">
        <f t="shared" si="172"/>
        <v>0</v>
      </c>
      <c r="S182" s="13">
        <f t="shared" si="173"/>
        <v>0</v>
      </c>
      <c r="T182" s="13">
        <f t="shared" si="174"/>
        <v>0</v>
      </c>
      <c r="U182" s="13">
        <f t="shared" si="175"/>
        <v>0</v>
      </c>
      <c r="V182" s="13">
        <f t="shared" si="176"/>
        <v>0</v>
      </c>
      <c r="W182" s="13">
        <f t="shared" si="177"/>
        <v>0</v>
      </c>
      <c r="X182" s="13">
        <f t="shared" si="178"/>
        <v>0</v>
      </c>
      <c r="Y182" s="13">
        <f t="shared" si="179"/>
        <v>0</v>
      </c>
      <c r="Z182" s="13">
        <f t="shared" si="180"/>
        <v>0</v>
      </c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</row>
    <row r="183" spans="1:341" s="14" customFormat="1">
      <c r="A183" s="15" t="s">
        <v>177</v>
      </c>
      <c r="B183" s="13">
        <f t="shared" si="156"/>
        <v>0</v>
      </c>
      <c r="C183" s="13">
        <f t="shared" si="157"/>
        <v>0</v>
      </c>
      <c r="D183" s="13">
        <f t="shared" si="158"/>
        <v>0</v>
      </c>
      <c r="E183" s="13">
        <f t="shared" si="159"/>
        <v>0</v>
      </c>
      <c r="F183" s="13">
        <f t="shared" si="160"/>
        <v>0</v>
      </c>
      <c r="G183" s="13">
        <f t="shared" si="161"/>
        <v>0</v>
      </c>
      <c r="H183" s="13">
        <f t="shared" si="162"/>
        <v>0</v>
      </c>
      <c r="I183" s="13">
        <f t="shared" si="163"/>
        <v>0</v>
      </c>
      <c r="J183" s="13">
        <f t="shared" si="164"/>
        <v>0</v>
      </c>
      <c r="K183" s="13">
        <f t="shared" si="165"/>
        <v>0</v>
      </c>
      <c r="L183" s="13">
        <f t="shared" si="166"/>
        <v>0</v>
      </c>
      <c r="M183" s="13">
        <f t="shared" si="167"/>
        <v>0</v>
      </c>
      <c r="N183" s="13">
        <f t="shared" si="168"/>
        <v>0</v>
      </c>
      <c r="O183" s="13">
        <f t="shared" si="169"/>
        <v>0</v>
      </c>
      <c r="P183" s="13">
        <f t="shared" si="170"/>
        <v>0</v>
      </c>
      <c r="Q183" s="13">
        <f t="shared" si="171"/>
        <v>0</v>
      </c>
      <c r="R183" s="13">
        <f t="shared" si="172"/>
        <v>0</v>
      </c>
      <c r="S183" s="13">
        <f t="shared" si="173"/>
        <v>0</v>
      </c>
      <c r="T183" s="13">
        <f t="shared" si="174"/>
        <v>0</v>
      </c>
      <c r="U183" s="13">
        <f t="shared" si="175"/>
        <v>0</v>
      </c>
      <c r="V183" s="13">
        <f t="shared" si="176"/>
        <v>0</v>
      </c>
      <c r="W183" s="13">
        <f t="shared" si="177"/>
        <v>0</v>
      </c>
      <c r="X183" s="13">
        <f t="shared" si="178"/>
        <v>0</v>
      </c>
      <c r="Y183" s="13">
        <f t="shared" si="179"/>
        <v>0</v>
      </c>
      <c r="Z183" s="13">
        <f t="shared" si="180"/>
        <v>0</v>
      </c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</row>
    <row r="184" spans="1:341" s="14" customFormat="1">
      <c r="A184" s="12" t="s">
        <v>178</v>
      </c>
      <c r="B184" s="13">
        <f t="shared" si="156"/>
        <v>0</v>
      </c>
      <c r="C184" s="13">
        <f t="shared" si="157"/>
        <v>0</v>
      </c>
      <c r="D184" s="13">
        <f t="shared" si="158"/>
        <v>0</v>
      </c>
      <c r="E184" s="13">
        <f t="shared" si="159"/>
        <v>0</v>
      </c>
      <c r="F184" s="13">
        <f t="shared" si="160"/>
        <v>0</v>
      </c>
      <c r="G184" s="13">
        <f t="shared" si="161"/>
        <v>0</v>
      </c>
      <c r="H184" s="13">
        <f t="shared" si="162"/>
        <v>0</v>
      </c>
      <c r="I184" s="13">
        <f t="shared" si="163"/>
        <v>0</v>
      </c>
      <c r="J184" s="13">
        <f t="shared" si="164"/>
        <v>0</v>
      </c>
      <c r="K184" s="13">
        <f t="shared" si="165"/>
        <v>0</v>
      </c>
      <c r="L184" s="13">
        <f t="shared" si="166"/>
        <v>0</v>
      </c>
      <c r="M184" s="13">
        <f t="shared" si="167"/>
        <v>0</v>
      </c>
      <c r="N184" s="13">
        <f t="shared" si="168"/>
        <v>0</v>
      </c>
      <c r="O184" s="13">
        <f t="shared" si="169"/>
        <v>0</v>
      </c>
      <c r="P184" s="13">
        <f t="shared" si="170"/>
        <v>0</v>
      </c>
      <c r="Q184" s="13">
        <f t="shared" si="171"/>
        <v>0</v>
      </c>
      <c r="R184" s="13">
        <f t="shared" si="172"/>
        <v>0</v>
      </c>
      <c r="S184" s="13">
        <f t="shared" si="173"/>
        <v>0</v>
      </c>
      <c r="T184" s="13">
        <f t="shared" si="174"/>
        <v>0</v>
      </c>
      <c r="U184" s="13">
        <f t="shared" si="175"/>
        <v>0</v>
      </c>
      <c r="V184" s="13">
        <f t="shared" si="176"/>
        <v>0</v>
      </c>
      <c r="W184" s="13">
        <f t="shared" si="177"/>
        <v>0</v>
      </c>
      <c r="X184" s="13">
        <f t="shared" si="178"/>
        <v>0</v>
      </c>
      <c r="Y184" s="13">
        <f t="shared" si="179"/>
        <v>0</v>
      </c>
      <c r="Z184" s="13">
        <f t="shared" si="180"/>
        <v>0</v>
      </c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</row>
    <row r="185" spans="1:341" s="14" customFormat="1">
      <c r="A185" s="12" t="s">
        <v>179</v>
      </c>
      <c r="B185" s="13">
        <f t="shared" si="156"/>
        <v>0</v>
      </c>
      <c r="C185" s="13">
        <f t="shared" si="157"/>
        <v>0</v>
      </c>
      <c r="D185" s="13">
        <f t="shared" si="158"/>
        <v>0</v>
      </c>
      <c r="E185" s="13">
        <f t="shared" si="159"/>
        <v>0</v>
      </c>
      <c r="F185" s="13">
        <f t="shared" si="160"/>
        <v>0</v>
      </c>
      <c r="G185" s="13">
        <f t="shared" si="161"/>
        <v>0</v>
      </c>
      <c r="H185" s="13">
        <f t="shared" si="162"/>
        <v>0</v>
      </c>
      <c r="I185" s="13">
        <f t="shared" si="163"/>
        <v>0</v>
      </c>
      <c r="J185" s="13">
        <f t="shared" si="164"/>
        <v>0</v>
      </c>
      <c r="K185" s="13">
        <f t="shared" si="165"/>
        <v>0</v>
      </c>
      <c r="L185" s="13">
        <f t="shared" si="166"/>
        <v>0</v>
      </c>
      <c r="M185" s="13">
        <f t="shared" si="167"/>
        <v>0</v>
      </c>
      <c r="N185" s="13">
        <f t="shared" si="168"/>
        <v>0</v>
      </c>
      <c r="O185" s="13">
        <f t="shared" si="169"/>
        <v>0</v>
      </c>
      <c r="P185" s="13">
        <f t="shared" si="170"/>
        <v>0</v>
      </c>
      <c r="Q185" s="13">
        <f t="shared" si="171"/>
        <v>0</v>
      </c>
      <c r="R185" s="13">
        <f t="shared" si="172"/>
        <v>0</v>
      </c>
      <c r="S185" s="13">
        <f t="shared" si="173"/>
        <v>0</v>
      </c>
      <c r="T185" s="13">
        <f t="shared" si="174"/>
        <v>0</v>
      </c>
      <c r="U185" s="13">
        <f t="shared" si="175"/>
        <v>0</v>
      </c>
      <c r="V185" s="13">
        <f t="shared" si="176"/>
        <v>0</v>
      </c>
      <c r="W185" s="13">
        <f t="shared" si="177"/>
        <v>0</v>
      </c>
      <c r="X185" s="13">
        <f t="shared" si="178"/>
        <v>0</v>
      </c>
      <c r="Y185" s="13">
        <f t="shared" si="179"/>
        <v>0</v>
      </c>
      <c r="Z185" s="13">
        <f t="shared" si="180"/>
        <v>0</v>
      </c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</row>
    <row r="186" spans="1:341" s="14" customFormat="1">
      <c r="A186" s="15" t="s">
        <v>180</v>
      </c>
      <c r="B186" s="13">
        <f t="shared" si="156"/>
        <v>0</v>
      </c>
      <c r="C186" s="13">
        <f t="shared" si="157"/>
        <v>0</v>
      </c>
      <c r="D186" s="13">
        <f t="shared" si="158"/>
        <v>0</v>
      </c>
      <c r="E186" s="13">
        <f t="shared" si="159"/>
        <v>0</v>
      </c>
      <c r="F186" s="13">
        <f t="shared" si="160"/>
        <v>0</v>
      </c>
      <c r="G186" s="13">
        <f t="shared" si="161"/>
        <v>0</v>
      </c>
      <c r="H186" s="13">
        <f t="shared" si="162"/>
        <v>0</v>
      </c>
      <c r="I186" s="13">
        <f t="shared" si="163"/>
        <v>0</v>
      </c>
      <c r="J186" s="13">
        <f t="shared" si="164"/>
        <v>0</v>
      </c>
      <c r="K186" s="13">
        <f t="shared" si="165"/>
        <v>0</v>
      </c>
      <c r="L186" s="13">
        <f t="shared" si="166"/>
        <v>0</v>
      </c>
      <c r="M186" s="13">
        <f t="shared" si="167"/>
        <v>0</v>
      </c>
      <c r="N186" s="13">
        <f t="shared" si="168"/>
        <v>0</v>
      </c>
      <c r="O186" s="13">
        <f t="shared" si="169"/>
        <v>0</v>
      </c>
      <c r="P186" s="13">
        <f t="shared" si="170"/>
        <v>0</v>
      </c>
      <c r="Q186" s="13">
        <f t="shared" si="171"/>
        <v>0</v>
      </c>
      <c r="R186" s="13">
        <f t="shared" si="172"/>
        <v>0</v>
      </c>
      <c r="S186" s="13">
        <f t="shared" si="173"/>
        <v>0</v>
      </c>
      <c r="T186" s="13">
        <f t="shared" si="174"/>
        <v>0</v>
      </c>
      <c r="U186" s="13">
        <f t="shared" si="175"/>
        <v>0</v>
      </c>
      <c r="V186" s="13">
        <f t="shared" si="176"/>
        <v>0</v>
      </c>
      <c r="W186" s="13">
        <f t="shared" si="177"/>
        <v>0</v>
      </c>
      <c r="X186" s="13">
        <f t="shared" si="178"/>
        <v>0</v>
      </c>
      <c r="Y186" s="13">
        <f t="shared" si="179"/>
        <v>0</v>
      </c>
      <c r="Z186" s="13">
        <f t="shared" si="180"/>
        <v>0</v>
      </c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</row>
    <row r="187" spans="1:341" s="14" customFormat="1">
      <c r="A187" s="15" t="s">
        <v>181</v>
      </c>
      <c r="B187" s="13">
        <f t="shared" si="156"/>
        <v>0</v>
      </c>
      <c r="C187" s="13">
        <f t="shared" si="157"/>
        <v>0</v>
      </c>
      <c r="D187" s="13">
        <f t="shared" si="158"/>
        <v>0</v>
      </c>
      <c r="E187" s="13">
        <f t="shared" si="159"/>
        <v>0</v>
      </c>
      <c r="F187" s="13">
        <f t="shared" si="160"/>
        <v>0</v>
      </c>
      <c r="G187" s="13">
        <f t="shared" si="161"/>
        <v>0</v>
      </c>
      <c r="H187" s="13">
        <f t="shared" si="162"/>
        <v>0</v>
      </c>
      <c r="I187" s="13">
        <f t="shared" si="163"/>
        <v>0</v>
      </c>
      <c r="J187" s="13">
        <f t="shared" si="164"/>
        <v>0</v>
      </c>
      <c r="K187" s="13">
        <f t="shared" si="165"/>
        <v>0</v>
      </c>
      <c r="L187" s="13">
        <f t="shared" si="166"/>
        <v>0</v>
      </c>
      <c r="M187" s="13">
        <f t="shared" si="167"/>
        <v>0</v>
      </c>
      <c r="N187" s="13">
        <f t="shared" si="168"/>
        <v>0</v>
      </c>
      <c r="O187" s="13">
        <f t="shared" si="169"/>
        <v>0</v>
      </c>
      <c r="P187" s="13">
        <f t="shared" si="170"/>
        <v>0</v>
      </c>
      <c r="Q187" s="13">
        <f t="shared" si="171"/>
        <v>0</v>
      </c>
      <c r="R187" s="13">
        <f t="shared" si="172"/>
        <v>0</v>
      </c>
      <c r="S187" s="13">
        <f t="shared" si="173"/>
        <v>0</v>
      </c>
      <c r="T187" s="13">
        <f t="shared" si="174"/>
        <v>0</v>
      </c>
      <c r="U187" s="13">
        <f t="shared" si="175"/>
        <v>0</v>
      </c>
      <c r="V187" s="13">
        <f t="shared" si="176"/>
        <v>0</v>
      </c>
      <c r="W187" s="13">
        <f t="shared" si="177"/>
        <v>0</v>
      </c>
      <c r="X187" s="13">
        <f t="shared" si="178"/>
        <v>0</v>
      </c>
      <c r="Y187" s="13">
        <f t="shared" si="179"/>
        <v>0</v>
      </c>
      <c r="Z187" s="13">
        <f t="shared" si="180"/>
        <v>0</v>
      </c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</row>
    <row r="188" spans="1:341" s="14" customFormat="1">
      <c r="A188" s="12" t="s">
        <v>182</v>
      </c>
      <c r="B188" s="13">
        <f t="shared" si="156"/>
        <v>0</v>
      </c>
      <c r="C188" s="13">
        <f t="shared" si="157"/>
        <v>0</v>
      </c>
      <c r="D188" s="13">
        <f t="shared" si="158"/>
        <v>0</v>
      </c>
      <c r="E188" s="13">
        <f t="shared" si="159"/>
        <v>0</v>
      </c>
      <c r="F188" s="13">
        <f t="shared" si="160"/>
        <v>0</v>
      </c>
      <c r="G188" s="13">
        <f t="shared" si="161"/>
        <v>0</v>
      </c>
      <c r="H188" s="13">
        <f t="shared" si="162"/>
        <v>0</v>
      </c>
      <c r="I188" s="13">
        <f t="shared" si="163"/>
        <v>0</v>
      </c>
      <c r="J188" s="13">
        <f t="shared" si="164"/>
        <v>0</v>
      </c>
      <c r="K188" s="13">
        <f t="shared" si="165"/>
        <v>0</v>
      </c>
      <c r="L188" s="13">
        <f t="shared" si="166"/>
        <v>0</v>
      </c>
      <c r="M188" s="13">
        <f t="shared" si="167"/>
        <v>0</v>
      </c>
      <c r="N188" s="13">
        <f t="shared" si="168"/>
        <v>0</v>
      </c>
      <c r="O188" s="13">
        <f t="shared" si="169"/>
        <v>0</v>
      </c>
      <c r="P188" s="13">
        <f t="shared" si="170"/>
        <v>0</v>
      </c>
      <c r="Q188" s="13">
        <f t="shared" si="171"/>
        <v>0</v>
      </c>
      <c r="R188" s="13">
        <f t="shared" si="172"/>
        <v>0</v>
      </c>
      <c r="S188" s="13">
        <f t="shared" si="173"/>
        <v>0</v>
      </c>
      <c r="T188" s="13">
        <f t="shared" si="174"/>
        <v>0</v>
      </c>
      <c r="U188" s="13">
        <f t="shared" si="175"/>
        <v>0</v>
      </c>
      <c r="V188" s="13">
        <f t="shared" si="176"/>
        <v>0</v>
      </c>
      <c r="W188" s="13">
        <f t="shared" si="177"/>
        <v>0</v>
      </c>
      <c r="X188" s="13">
        <f t="shared" si="178"/>
        <v>0</v>
      </c>
      <c r="Y188" s="13">
        <f t="shared" si="179"/>
        <v>0</v>
      </c>
      <c r="Z188" s="13">
        <f t="shared" si="180"/>
        <v>0</v>
      </c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</row>
    <row r="189" spans="1:341" s="14" customFormat="1">
      <c r="A189" s="15" t="s">
        <v>183</v>
      </c>
      <c r="B189" s="13">
        <f t="shared" si="156"/>
        <v>0</v>
      </c>
      <c r="C189" s="13">
        <f t="shared" si="157"/>
        <v>0</v>
      </c>
      <c r="D189" s="13">
        <f t="shared" si="158"/>
        <v>0</v>
      </c>
      <c r="E189" s="13">
        <f t="shared" si="159"/>
        <v>0</v>
      </c>
      <c r="F189" s="13">
        <f t="shared" si="160"/>
        <v>0</v>
      </c>
      <c r="G189" s="13">
        <f t="shared" si="161"/>
        <v>0</v>
      </c>
      <c r="H189" s="13">
        <f t="shared" si="162"/>
        <v>0</v>
      </c>
      <c r="I189" s="13">
        <f t="shared" si="163"/>
        <v>0</v>
      </c>
      <c r="J189" s="13">
        <f t="shared" si="164"/>
        <v>0</v>
      </c>
      <c r="K189" s="13">
        <f t="shared" si="165"/>
        <v>0</v>
      </c>
      <c r="L189" s="13">
        <f t="shared" si="166"/>
        <v>0</v>
      </c>
      <c r="M189" s="13">
        <f t="shared" si="167"/>
        <v>0</v>
      </c>
      <c r="N189" s="13">
        <f t="shared" si="168"/>
        <v>0</v>
      </c>
      <c r="O189" s="13">
        <f t="shared" si="169"/>
        <v>0</v>
      </c>
      <c r="P189" s="13">
        <f t="shared" si="170"/>
        <v>0</v>
      </c>
      <c r="Q189" s="13">
        <f t="shared" si="171"/>
        <v>0</v>
      </c>
      <c r="R189" s="13">
        <f t="shared" si="172"/>
        <v>0</v>
      </c>
      <c r="S189" s="13">
        <f t="shared" si="173"/>
        <v>0</v>
      </c>
      <c r="T189" s="13">
        <f t="shared" si="174"/>
        <v>0</v>
      </c>
      <c r="U189" s="13">
        <f t="shared" si="175"/>
        <v>0</v>
      </c>
      <c r="V189" s="13">
        <f t="shared" si="176"/>
        <v>0</v>
      </c>
      <c r="W189" s="13">
        <f t="shared" si="177"/>
        <v>0</v>
      </c>
      <c r="X189" s="13">
        <f t="shared" si="178"/>
        <v>0</v>
      </c>
      <c r="Y189" s="13">
        <f t="shared" si="179"/>
        <v>0</v>
      </c>
      <c r="Z189" s="13">
        <f t="shared" si="180"/>
        <v>0</v>
      </c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</row>
    <row r="190" spans="1:341" s="14" customFormat="1">
      <c r="A190" s="15" t="s">
        <v>184</v>
      </c>
      <c r="B190" s="13">
        <f t="shared" si="156"/>
        <v>0</v>
      </c>
      <c r="C190" s="13">
        <f t="shared" si="157"/>
        <v>0</v>
      </c>
      <c r="D190" s="13">
        <f t="shared" si="158"/>
        <v>0</v>
      </c>
      <c r="E190" s="13">
        <f t="shared" si="159"/>
        <v>0</v>
      </c>
      <c r="F190" s="13">
        <f t="shared" si="160"/>
        <v>0</v>
      </c>
      <c r="G190" s="13">
        <f t="shared" si="161"/>
        <v>0</v>
      </c>
      <c r="H190" s="13">
        <f t="shared" si="162"/>
        <v>0</v>
      </c>
      <c r="I190" s="13">
        <f t="shared" si="163"/>
        <v>0</v>
      </c>
      <c r="J190" s="13">
        <f t="shared" si="164"/>
        <v>0</v>
      </c>
      <c r="K190" s="13">
        <f t="shared" si="165"/>
        <v>0</v>
      </c>
      <c r="L190" s="13">
        <f t="shared" si="166"/>
        <v>0</v>
      </c>
      <c r="M190" s="13">
        <f t="shared" si="167"/>
        <v>0</v>
      </c>
      <c r="N190" s="13">
        <f t="shared" si="168"/>
        <v>0</v>
      </c>
      <c r="O190" s="13">
        <f t="shared" si="169"/>
        <v>0</v>
      </c>
      <c r="P190" s="13">
        <f t="shared" si="170"/>
        <v>0</v>
      </c>
      <c r="Q190" s="13">
        <f t="shared" si="171"/>
        <v>0</v>
      </c>
      <c r="R190" s="13">
        <f t="shared" si="172"/>
        <v>0</v>
      </c>
      <c r="S190" s="13">
        <f t="shared" si="173"/>
        <v>0</v>
      </c>
      <c r="T190" s="13">
        <f t="shared" si="174"/>
        <v>0</v>
      </c>
      <c r="U190" s="13">
        <f t="shared" si="175"/>
        <v>0</v>
      </c>
      <c r="V190" s="13">
        <f t="shared" si="176"/>
        <v>0</v>
      </c>
      <c r="W190" s="13">
        <f t="shared" si="177"/>
        <v>0</v>
      </c>
      <c r="X190" s="13">
        <f t="shared" si="178"/>
        <v>0</v>
      </c>
      <c r="Y190" s="13">
        <f t="shared" si="179"/>
        <v>0</v>
      </c>
      <c r="Z190" s="13">
        <f t="shared" si="180"/>
        <v>0</v>
      </c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</row>
    <row r="191" spans="1:341" s="14" customFormat="1">
      <c r="A191" s="15" t="s">
        <v>185</v>
      </c>
      <c r="B191" s="13">
        <f t="shared" si="156"/>
        <v>0</v>
      </c>
      <c r="C191" s="13">
        <f t="shared" si="157"/>
        <v>0</v>
      </c>
      <c r="D191" s="13">
        <f t="shared" si="158"/>
        <v>0</v>
      </c>
      <c r="E191" s="13">
        <f t="shared" si="159"/>
        <v>0</v>
      </c>
      <c r="F191" s="13">
        <f t="shared" si="160"/>
        <v>0</v>
      </c>
      <c r="G191" s="13">
        <f t="shared" si="161"/>
        <v>0</v>
      </c>
      <c r="H191" s="13">
        <f t="shared" si="162"/>
        <v>0</v>
      </c>
      <c r="I191" s="13">
        <f t="shared" si="163"/>
        <v>0</v>
      </c>
      <c r="J191" s="13">
        <f t="shared" si="164"/>
        <v>0</v>
      </c>
      <c r="K191" s="13">
        <f t="shared" si="165"/>
        <v>0</v>
      </c>
      <c r="L191" s="13">
        <f t="shared" si="166"/>
        <v>0</v>
      </c>
      <c r="M191" s="13">
        <f t="shared" si="167"/>
        <v>0</v>
      </c>
      <c r="N191" s="13">
        <f t="shared" si="168"/>
        <v>0</v>
      </c>
      <c r="O191" s="13">
        <f t="shared" si="169"/>
        <v>0</v>
      </c>
      <c r="P191" s="13">
        <f t="shared" si="170"/>
        <v>0</v>
      </c>
      <c r="Q191" s="13">
        <f t="shared" si="171"/>
        <v>0</v>
      </c>
      <c r="R191" s="13">
        <f t="shared" si="172"/>
        <v>0</v>
      </c>
      <c r="S191" s="13">
        <f t="shared" si="173"/>
        <v>0</v>
      </c>
      <c r="T191" s="13">
        <f t="shared" si="174"/>
        <v>0</v>
      </c>
      <c r="U191" s="13">
        <f t="shared" si="175"/>
        <v>0</v>
      </c>
      <c r="V191" s="13">
        <f t="shared" si="176"/>
        <v>0</v>
      </c>
      <c r="W191" s="13">
        <f t="shared" si="177"/>
        <v>0</v>
      </c>
      <c r="X191" s="13">
        <f t="shared" si="178"/>
        <v>0</v>
      </c>
      <c r="Y191" s="13">
        <f t="shared" si="179"/>
        <v>0</v>
      </c>
      <c r="Z191" s="13">
        <f t="shared" si="180"/>
        <v>0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</row>
    <row r="192" spans="1:341" s="14" customFormat="1">
      <c r="A192" s="15" t="s">
        <v>186</v>
      </c>
      <c r="B192" s="13">
        <f t="shared" si="156"/>
        <v>0</v>
      </c>
      <c r="C192" s="13">
        <f t="shared" si="157"/>
        <v>0</v>
      </c>
      <c r="D192" s="13">
        <f t="shared" si="158"/>
        <v>0</v>
      </c>
      <c r="E192" s="13">
        <f t="shared" si="159"/>
        <v>0</v>
      </c>
      <c r="F192" s="13">
        <f t="shared" si="160"/>
        <v>0</v>
      </c>
      <c r="G192" s="13">
        <f t="shared" si="161"/>
        <v>0</v>
      </c>
      <c r="H192" s="13">
        <f t="shared" si="162"/>
        <v>0</v>
      </c>
      <c r="I192" s="13">
        <f t="shared" si="163"/>
        <v>0</v>
      </c>
      <c r="J192" s="13">
        <f t="shared" si="164"/>
        <v>0</v>
      </c>
      <c r="K192" s="13">
        <f t="shared" si="165"/>
        <v>0</v>
      </c>
      <c r="L192" s="13">
        <f t="shared" si="166"/>
        <v>0</v>
      </c>
      <c r="M192" s="13">
        <f t="shared" si="167"/>
        <v>0</v>
      </c>
      <c r="N192" s="13">
        <f t="shared" si="168"/>
        <v>0</v>
      </c>
      <c r="O192" s="13">
        <f t="shared" si="169"/>
        <v>0</v>
      </c>
      <c r="P192" s="13">
        <f t="shared" si="170"/>
        <v>0</v>
      </c>
      <c r="Q192" s="13">
        <f t="shared" si="171"/>
        <v>0</v>
      </c>
      <c r="R192" s="13">
        <f t="shared" si="172"/>
        <v>0</v>
      </c>
      <c r="S192" s="13">
        <f t="shared" si="173"/>
        <v>0</v>
      </c>
      <c r="T192" s="13">
        <f t="shared" si="174"/>
        <v>0</v>
      </c>
      <c r="U192" s="13">
        <f t="shared" si="175"/>
        <v>0</v>
      </c>
      <c r="V192" s="13">
        <f t="shared" si="176"/>
        <v>0</v>
      </c>
      <c r="W192" s="13">
        <f t="shared" si="177"/>
        <v>0</v>
      </c>
      <c r="X192" s="13">
        <f t="shared" si="178"/>
        <v>0</v>
      </c>
      <c r="Y192" s="13">
        <f t="shared" si="179"/>
        <v>0</v>
      </c>
      <c r="Z192" s="13">
        <f t="shared" si="180"/>
        <v>0</v>
      </c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</row>
    <row r="193" spans="1:341" s="14" customFormat="1">
      <c r="A193" s="15" t="s">
        <v>187</v>
      </c>
      <c r="B193" s="13">
        <f t="shared" si="156"/>
        <v>0</v>
      </c>
      <c r="C193" s="13">
        <f t="shared" si="157"/>
        <v>0</v>
      </c>
      <c r="D193" s="13">
        <f t="shared" si="158"/>
        <v>0</v>
      </c>
      <c r="E193" s="13">
        <f t="shared" si="159"/>
        <v>0</v>
      </c>
      <c r="F193" s="13">
        <f t="shared" si="160"/>
        <v>0</v>
      </c>
      <c r="G193" s="13">
        <f t="shared" si="161"/>
        <v>0</v>
      </c>
      <c r="H193" s="13">
        <f t="shared" si="162"/>
        <v>0</v>
      </c>
      <c r="I193" s="13">
        <f t="shared" si="163"/>
        <v>0</v>
      </c>
      <c r="J193" s="13">
        <f t="shared" si="164"/>
        <v>0</v>
      </c>
      <c r="K193" s="13">
        <f t="shared" si="165"/>
        <v>0</v>
      </c>
      <c r="L193" s="13">
        <f t="shared" si="166"/>
        <v>0</v>
      </c>
      <c r="M193" s="13">
        <f t="shared" si="167"/>
        <v>0</v>
      </c>
      <c r="N193" s="13">
        <f t="shared" si="168"/>
        <v>0</v>
      </c>
      <c r="O193" s="13">
        <f t="shared" si="169"/>
        <v>0</v>
      </c>
      <c r="P193" s="13">
        <f t="shared" si="170"/>
        <v>0</v>
      </c>
      <c r="Q193" s="13">
        <f t="shared" si="171"/>
        <v>0</v>
      </c>
      <c r="R193" s="13">
        <f t="shared" si="172"/>
        <v>0</v>
      </c>
      <c r="S193" s="13">
        <f t="shared" si="173"/>
        <v>0</v>
      </c>
      <c r="T193" s="13">
        <f t="shared" si="174"/>
        <v>0</v>
      </c>
      <c r="U193" s="13">
        <f t="shared" si="175"/>
        <v>0</v>
      </c>
      <c r="V193" s="13">
        <f t="shared" si="176"/>
        <v>0</v>
      </c>
      <c r="W193" s="13">
        <f t="shared" si="177"/>
        <v>0</v>
      </c>
      <c r="X193" s="13">
        <f t="shared" si="178"/>
        <v>0</v>
      </c>
      <c r="Y193" s="13">
        <f t="shared" si="179"/>
        <v>0</v>
      </c>
      <c r="Z193" s="13">
        <f t="shared" si="180"/>
        <v>0</v>
      </c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</row>
    <row r="194" spans="1:341" s="14" customFormat="1">
      <c r="A194" s="15" t="s">
        <v>188</v>
      </c>
      <c r="B194" s="13">
        <f t="shared" si="156"/>
        <v>0</v>
      </c>
      <c r="C194" s="13">
        <f t="shared" si="157"/>
        <v>0</v>
      </c>
      <c r="D194" s="13">
        <f t="shared" si="158"/>
        <v>0</v>
      </c>
      <c r="E194" s="13">
        <f t="shared" si="159"/>
        <v>0</v>
      </c>
      <c r="F194" s="13">
        <f t="shared" si="160"/>
        <v>0</v>
      </c>
      <c r="G194" s="13">
        <f t="shared" si="161"/>
        <v>0</v>
      </c>
      <c r="H194" s="13">
        <f t="shared" si="162"/>
        <v>0</v>
      </c>
      <c r="I194" s="13">
        <f t="shared" si="163"/>
        <v>0</v>
      </c>
      <c r="J194" s="13">
        <f t="shared" si="164"/>
        <v>0</v>
      </c>
      <c r="K194" s="13">
        <f t="shared" si="165"/>
        <v>0</v>
      </c>
      <c r="L194" s="13">
        <f t="shared" si="166"/>
        <v>0</v>
      </c>
      <c r="M194" s="13">
        <f t="shared" si="167"/>
        <v>0</v>
      </c>
      <c r="N194" s="13">
        <f t="shared" si="168"/>
        <v>0</v>
      </c>
      <c r="O194" s="13">
        <f t="shared" si="169"/>
        <v>0</v>
      </c>
      <c r="P194" s="13">
        <f t="shared" si="170"/>
        <v>0</v>
      </c>
      <c r="Q194" s="13">
        <f t="shared" si="171"/>
        <v>0</v>
      </c>
      <c r="R194" s="13">
        <f t="shared" si="172"/>
        <v>0</v>
      </c>
      <c r="S194" s="13">
        <f t="shared" si="173"/>
        <v>0</v>
      </c>
      <c r="T194" s="13">
        <f t="shared" si="174"/>
        <v>0</v>
      </c>
      <c r="U194" s="13">
        <f t="shared" si="175"/>
        <v>0</v>
      </c>
      <c r="V194" s="13">
        <f t="shared" si="176"/>
        <v>0</v>
      </c>
      <c r="W194" s="13">
        <f t="shared" si="177"/>
        <v>0</v>
      </c>
      <c r="X194" s="13">
        <f t="shared" si="178"/>
        <v>0</v>
      </c>
      <c r="Y194" s="13">
        <f t="shared" si="179"/>
        <v>0</v>
      </c>
      <c r="Z194" s="13">
        <f t="shared" si="180"/>
        <v>0</v>
      </c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</row>
    <row r="195" spans="1:341" s="14" customFormat="1">
      <c r="A195" s="15" t="s">
        <v>189</v>
      </c>
      <c r="B195" s="13">
        <f t="shared" si="156"/>
        <v>0</v>
      </c>
      <c r="C195" s="13">
        <f t="shared" si="157"/>
        <v>0</v>
      </c>
      <c r="D195" s="13">
        <f t="shared" si="158"/>
        <v>0</v>
      </c>
      <c r="E195" s="13">
        <f t="shared" si="159"/>
        <v>0</v>
      </c>
      <c r="F195" s="13">
        <f t="shared" si="160"/>
        <v>0</v>
      </c>
      <c r="G195" s="13">
        <f t="shared" si="161"/>
        <v>0</v>
      </c>
      <c r="H195" s="13">
        <f t="shared" si="162"/>
        <v>0</v>
      </c>
      <c r="I195" s="13">
        <f t="shared" si="163"/>
        <v>0</v>
      </c>
      <c r="J195" s="13">
        <f t="shared" si="164"/>
        <v>0</v>
      </c>
      <c r="K195" s="13">
        <f t="shared" si="165"/>
        <v>0</v>
      </c>
      <c r="L195" s="13">
        <f t="shared" si="166"/>
        <v>0</v>
      </c>
      <c r="M195" s="13">
        <f t="shared" si="167"/>
        <v>0</v>
      </c>
      <c r="N195" s="13">
        <f t="shared" si="168"/>
        <v>0</v>
      </c>
      <c r="O195" s="13">
        <f t="shared" si="169"/>
        <v>0</v>
      </c>
      <c r="P195" s="13">
        <f t="shared" si="170"/>
        <v>0</v>
      </c>
      <c r="Q195" s="13">
        <f t="shared" si="171"/>
        <v>0</v>
      </c>
      <c r="R195" s="13">
        <f t="shared" si="172"/>
        <v>0</v>
      </c>
      <c r="S195" s="13">
        <f t="shared" si="173"/>
        <v>0</v>
      </c>
      <c r="T195" s="13">
        <f t="shared" si="174"/>
        <v>0</v>
      </c>
      <c r="U195" s="13">
        <f t="shared" si="175"/>
        <v>0</v>
      </c>
      <c r="V195" s="13">
        <f t="shared" si="176"/>
        <v>0</v>
      </c>
      <c r="W195" s="13">
        <f t="shared" si="177"/>
        <v>0</v>
      </c>
      <c r="X195" s="13">
        <f t="shared" si="178"/>
        <v>0</v>
      </c>
      <c r="Y195" s="13">
        <f t="shared" si="179"/>
        <v>0</v>
      </c>
      <c r="Z195" s="13">
        <f t="shared" si="180"/>
        <v>0</v>
      </c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</row>
    <row r="196" spans="1:341" s="14" customFormat="1">
      <c r="A196" s="15" t="s">
        <v>190</v>
      </c>
      <c r="B196" s="13">
        <f t="shared" si="156"/>
        <v>0</v>
      </c>
      <c r="C196" s="13">
        <f t="shared" si="157"/>
        <v>0</v>
      </c>
      <c r="D196" s="13">
        <f t="shared" si="158"/>
        <v>0</v>
      </c>
      <c r="E196" s="13">
        <f t="shared" si="159"/>
        <v>0</v>
      </c>
      <c r="F196" s="13">
        <f t="shared" si="160"/>
        <v>0</v>
      </c>
      <c r="G196" s="13">
        <f t="shared" si="161"/>
        <v>0</v>
      </c>
      <c r="H196" s="13">
        <f t="shared" si="162"/>
        <v>0</v>
      </c>
      <c r="I196" s="13">
        <f t="shared" si="163"/>
        <v>0</v>
      </c>
      <c r="J196" s="13">
        <f t="shared" si="164"/>
        <v>0</v>
      </c>
      <c r="K196" s="13">
        <f t="shared" si="165"/>
        <v>0</v>
      </c>
      <c r="L196" s="13">
        <f t="shared" si="166"/>
        <v>0</v>
      </c>
      <c r="M196" s="13">
        <f t="shared" si="167"/>
        <v>0</v>
      </c>
      <c r="N196" s="13">
        <f t="shared" si="168"/>
        <v>0</v>
      </c>
      <c r="O196" s="13">
        <f t="shared" si="169"/>
        <v>0</v>
      </c>
      <c r="P196" s="13">
        <f t="shared" si="170"/>
        <v>0</v>
      </c>
      <c r="Q196" s="13">
        <f t="shared" si="171"/>
        <v>0</v>
      </c>
      <c r="R196" s="13">
        <f t="shared" si="172"/>
        <v>0</v>
      </c>
      <c r="S196" s="13">
        <f t="shared" si="173"/>
        <v>0</v>
      </c>
      <c r="T196" s="13">
        <f t="shared" si="174"/>
        <v>0</v>
      </c>
      <c r="U196" s="13">
        <f t="shared" si="175"/>
        <v>0</v>
      </c>
      <c r="V196" s="13">
        <f t="shared" si="176"/>
        <v>0</v>
      </c>
      <c r="W196" s="13">
        <f t="shared" si="177"/>
        <v>0</v>
      </c>
      <c r="X196" s="13">
        <f t="shared" si="178"/>
        <v>0</v>
      </c>
      <c r="Y196" s="13">
        <f t="shared" si="179"/>
        <v>0</v>
      </c>
      <c r="Z196" s="13">
        <f t="shared" si="180"/>
        <v>0</v>
      </c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</row>
    <row r="197" spans="1:341" s="14" customFormat="1">
      <c r="A197" s="15" t="s">
        <v>191</v>
      </c>
      <c r="B197" s="13">
        <f t="shared" si="156"/>
        <v>0</v>
      </c>
      <c r="C197" s="13">
        <f t="shared" si="157"/>
        <v>0</v>
      </c>
      <c r="D197" s="13">
        <f t="shared" si="158"/>
        <v>0</v>
      </c>
      <c r="E197" s="13">
        <f t="shared" si="159"/>
        <v>0</v>
      </c>
      <c r="F197" s="13">
        <f t="shared" si="160"/>
        <v>0</v>
      </c>
      <c r="G197" s="13">
        <f t="shared" si="161"/>
        <v>0</v>
      </c>
      <c r="H197" s="13">
        <f t="shared" si="162"/>
        <v>0</v>
      </c>
      <c r="I197" s="13">
        <f t="shared" si="163"/>
        <v>0</v>
      </c>
      <c r="J197" s="13">
        <f t="shared" si="164"/>
        <v>0</v>
      </c>
      <c r="K197" s="13">
        <f t="shared" si="165"/>
        <v>0</v>
      </c>
      <c r="L197" s="13">
        <f t="shared" si="166"/>
        <v>0</v>
      </c>
      <c r="M197" s="13">
        <f t="shared" si="167"/>
        <v>0</v>
      </c>
      <c r="N197" s="13">
        <f t="shared" si="168"/>
        <v>0</v>
      </c>
      <c r="O197" s="13">
        <f t="shared" si="169"/>
        <v>0</v>
      </c>
      <c r="P197" s="13">
        <f t="shared" si="170"/>
        <v>0</v>
      </c>
      <c r="Q197" s="13">
        <f t="shared" si="171"/>
        <v>0</v>
      </c>
      <c r="R197" s="13">
        <f t="shared" si="172"/>
        <v>0</v>
      </c>
      <c r="S197" s="13">
        <f t="shared" si="173"/>
        <v>0</v>
      </c>
      <c r="T197" s="13">
        <f t="shared" si="174"/>
        <v>0</v>
      </c>
      <c r="U197" s="13">
        <f t="shared" si="175"/>
        <v>0</v>
      </c>
      <c r="V197" s="13">
        <f t="shared" si="176"/>
        <v>0</v>
      </c>
      <c r="W197" s="13">
        <f t="shared" si="177"/>
        <v>0</v>
      </c>
      <c r="X197" s="13">
        <f t="shared" si="178"/>
        <v>0</v>
      </c>
      <c r="Y197" s="13">
        <f t="shared" si="179"/>
        <v>0</v>
      </c>
      <c r="Z197" s="13">
        <f t="shared" si="180"/>
        <v>0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</row>
    <row r="198" spans="1:341" s="14" customFormat="1">
      <c r="A198" s="15" t="s">
        <v>192</v>
      </c>
      <c r="B198" s="13">
        <f t="shared" si="156"/>
        <v>0</v>
      </c>
      <c r="C198" s="13">
        <f t="shared" si="157"/>
        <v>0</v>
      </c>
      <c r="D198" s="13">
        <f t="shared" si="158"/>
        <v>0</v>
      </c>
      <c r="E198" s="13">
        <f t="shared" si="159"/>
        <v>0</v>
      </c>
      <c r="F198" s="13">
        <f t="shared" si="160"/>
        <v>0</v>
      </c>
      <c r="G198" s="13">
        <f t="shared" si="161"/>
        <v>0</v>
      </c>
      <c r="H198" s="13">
        <f t="shared" si="162"/>
        <v>0</v>
      </c>
      <c r="I198" s="13">
        <f t="shared" si="163"/>
        <v>0</v>
      </c>
      <c r="J198" s="13">
        <f t="shared" si="164"/>
        <v>0</v>
      </c>
      <c r="K198" s="13">
        <f t="shared" si="165"/>
        <v>0</v>
      </c>
      <c r="L198" s="13">
        <f t="shared" si="166"/>
        <v>0</v>
      </c>
      <c r="M198" s="13">
        <f t="shared" si="167"/>
        <v>0</v>
      </c>
      <c r="N198" s="13">
        <f t="shared" si="168"/>
        <v>0</v>
      </c>
      <c r="O198" s="13">
        <f t="shared" si="169"/>
        <v>0</v>
      </c>
      <c r="P198" s="13">
        <f t="shared" si="170"/>
        <v>0</v>
      </c>
      <c r="Q198" s="13">
        <f t="shared" si="171"/>
        <v>0</v>
      </c>
      <c r="R198" s="13">
        <f t="shared" si="172"/>
        <v>0</v>
      </c>
      <c r="S198" s="13">
        <f t="shared" si="173"/>
        <v>0</v>
      </c>
      <c r="T198" s="13">
        <f t="shared" si="174"/>
        <v>0</v>
      </c>
      <c r="U198" s="13">
        <f t="shared" si="175"/>
        <v>0</v>
      </c>
      <c r="V198" s="13">
        <f t="shared" si="176"/>
        <v>0</v>
      </c>
      <c r="W198" s="13">
        <f t="shared" si="177"/>
        <v>0</v>
      </c>
      <c r="X198" s="13">
        <f t="shared" si="178"/>
        <v>0</v>
      </c>
      <c r="Y198" s="13">
        <f t="shared" si="179"/>
        <v>0</v>
      </c>
      <c r="Z198" s="13">
        <f t="shared" si="180"/>
        <v>0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</row>
    <row r="199" spans="1:341" s="14" customFormat="1">
      <c r="A199" s="15" t="s">
        <v>193</v>
      </c>
      <c r="B199" s="13">
        <f t="shared" si="156"/>
        <v>0</v>
      </c>
      <c r="C199" s="13">
        <f t="shared" si="157"/>
        <v>0</v>
      </c>
      <c r="D199" s="13">
        <f t="shared" si="158"/>
        <v>0</v>
      </c>
      <c r="E199" s="13">
        <f t="shared" si="159"/>
        <v>0</v>
      </c>
      <c r="F199" s="13">
        <f t="shared" si="160"/>
        <v>0</v>
      </c>
      <c r="G199" s="13">
        <f t="shared" si="161"/>
        <v>0</v>
      </c>
      <c r="H199" s="13">
        <f t="shared" si="162"/>
        <v>0</v>
      </c>
      <c r="I199" s="13">
        <f t="shared" si="163"/>
        <v>0</v>
      </c>
      <c r="J199" s="13">
        <f t="shared" si="164"/>
        <v>0</v>
      </c>
      <c r="K199" s="13">
        <f t="shared" si="165"/>
        <v>0</v>
      </c>
      <c r="L199" s="13">
        <f t="shared" si="166"/>
        <v>0</v>
      </c>
      <c r="M199" s="13">
        <f t="shared" si="167"/>
        <v>0</v>
      </c>
      <c r="N199" s="13">
        <f t="shared" si="168"/>
        <v>0</v>
      </c>
      <c r="O199" s="13">
        <f t="shared" si="169"/>
        <v>0</v>
      </c>
      <c r="P199" s="13">
        <f t="shared" si="170"/>
        <v>0</v>
      </c>
      <c r="Q199" s="13">
        <f t="shared" si="171"/>
        <v>0</v>
      </c>
      <c r="R199" s="13">
        <f t="shared" si="172"/>
        <v>0</v>
      </c>
      <c r="S199" s="13">
        <f t="shared" si="173"/>
        <v>0</v>
      </c>
      <c r="T199" s="13">
        <f t="shared" si="174"/>
        <v>0</v>
      </c>
      <c r="U199" s="13">
        <f t="shared" si="175"/>
        <v>0</v>
      </c>
      <c r="V199" s="13">
        <f t="shared" si="176"/>
        <v>0</v>
      </c>
      <c r="W199" s="13">
        <f t="shared" si="177"/>
        <v>0</v>
      </c>
      <c r="X199" s="13">
        <f t="shared" si="178"/>
        <v>0</v>
      </c>
      <c r="Y199" s="13">
        <f t="shared" si="179"/>
        <v>0</v>
      </c>
      <c r="Z199" s="13">
        <f t="shared" si="180"/>
        <v>0</v>
      </c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</row>
    <row r="200" spans="1:341" s="14" customFormat="1">
      <c r="A200" s="12" t="s">
        <v>194</v>
      </c>
      <c r="B200" s="13">
        <f t="shared" si="156"/>
        <v>0</v>
      </c>
      <c r="C200" s="13">
        <f t="shared" si="157"/>
        <v>0</v>
      </c>
      <c r="D200" s="13">
        <f t="shared" si="158"/>
        <v>0</v>
      </c>
      <c r="E200" s="13">
        <f t="shared" si="159"/>
        <v>0</v>
      </c>
      <c r="F200" s="13">
        <f t="shared" si="160"/>
        <v>0</v>
      </c>
      <c r="G200" s="13">
        <f t="shared" si="161"/>
        <v>0</v>
      </c>
      <c r="H200" s="13">
        <f t="shared" si="162"/>
        <v>0</v>
      </c>
      <c r="I200" s="13">
        <f t="shared" si="163"/>
        <v>0</v>
      </c>
      <c r="J200" s="13">
        <f t="shared" si="164"/>
        <v>0</v>
      </c>
      <c r="K200" s="13">
        <f t="shared" si="165"/>
        <v>0</v>
      </c>
      <c r="L200" s="13">
        <f t="shared" si="166"/>
        <v>0</v>
      </c>
      <c r="M200" s="13">
        <f t="shared" si="167"/>
        <v>0</v>
      </c>
      <c r="N200" s="13">
        <f t="shared" si="168"/>
        <v>0</v>
      </c>
      <c r="O200" s="13">
        <f t="shared" si="169"/>
        <v>0</v>
      </c>
      <c r="P200" s="13">
        <f t="shared" si="170"/>
        <v>0</v>
      </c>
      <c r="Q200" s="13">
        <f t="shared" si="171"/>
        <v>0</v>
      </c>
      <c r="R200" s="13">
        <f t="shared" si="172"/>
        <v>0</v>
      </c>
      <c r="S200" s="13">
        <f t="shared" si="173"/>
        <v>0</v>
      </c>
      <c r="T200" s="13">
        <f t="shared" si="174"/>
        <v>0</v>
      </c>
      <c r="U200" s="13">
        <f t="shared" si="175"/>
        <v>0</v>
      </c>
      <c r="V200" s="13">
        <f t="shared" si="176"/>
        <v>0</v>
      </c>
      <c r="W200" s="13">
        <f t="shared" si="177"/>
        <v>0</v>
      </c>
      <c r="X200" s="13">
        <f t="shared" si="178"/>
        <v>0</v>
      </c>
      <c r="Y200" s="13">
        <f t="shared" si="179"/>
        <v>0</v>
      </c>
      <c r="Z200" s="13">
        <f t="shared" si="180"/>
        <v>0</v>
      </c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</row>
    <row r="201" spans="1:341" s="14" customFormat="1">
      <c r="A201" s="15" t="s">
        <v>195</v>
      </c>
      <c r="B201" s="13">
        <f t="shared" si="156"/>
        <v>0</v>
      </c>
      <c r="C201" s="13">
        <f t="shared" si="157"/>
        <v>0</v>
      </c>
      <c r="D201" s="13">
        <f t="shared" si="158"/>
        <v>0</v>
      </c>
      <c r="E201" s="13">
        <f t="shared" si="159"/>
        <v>0</v>
      </c>
      <c r="F201" s="13">
        <f t="shared" si="160"/>
        <v>0</v>
      </c>
      <c r="G201" s="13">
        <f t="shared" si="161"/>
        <v>0</v>
      </c>
      <c r="H201" s="13">
        <f t="shared" si="162"/>
        <v>0</v>
      </c>
      <c r="I201" s="13">
        <f t="shared" si="163"/>
        <v>0</v>
      </c>
      <c r="J201" s="13">
        <f t="shared" si="164"/>
        <v>0</v>
      </c>
      <c r="K201" s="13">
        <f t="shared" si="165"/>
        <v>0</v>
      </c>
      <c r="L201" s="13">
        <f t="shared" si="166"/>
        <v>0</v>
      </c>
      <c r="M201" s="13">
        <f t="shared" si="167"/>
        <v>0</v>
      </c>
      <c r="N201" s="13">
        <f t="shared" si="168"/>
        <v>0</v>
      </c>
      <c r="O201" s="13">
        <f t="shared" si="169"/>
        <v>0</v>
      </c>
      <c r="P201" s="13">
        <f t="shared" si="170"/>
        <v>0</v>
      </c>
      <c r="Q201" s="13">
        <f t="shared" si="171"/>
        <v>0</v>
      </c>
      <c r="R201" s="13">
        <f t="shared" si="172"/>
        <v>0</v>
      </c>
      <c r="S201" s="13">
        <f t="shared" si="173"/>
        <v>0</v>
      </c>
      <c r="T201" s="13">
        <f t="shared" si="174"/>
        <v>0</v>
      </c>
      <c r="U201" s="13">
        <f t="shared" si="175"/>
        <v>0</v>
      </c>
      <c r="V201" s="13">
        <f t="shared" si="176"/>
        <v>0</v>
      </c>
      <c r="W201" s="13">
        <f t="shared" si="177"/>
        <v>0</v>
      </c>
      <c r="X201" s="13">
        <f t="shared" si="178"/>
        <v>0</v>
      </c>
      <c r="Y201" s="13">
        <f t="shared" si="179"/>
        <v>0</v>
      </c>
      <c r="Z201" s="13">
        <f t="shared" si="180"/>
        <v>0</v>
      </c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</row>
    <row r="202" spans="1:341" s="14" customFormat="1">
      <c r="A202" s="15" t="s">
        <v>196</v>
      </c>
      <c r="B202" s="13">
        <f t="shared" si="156"/>
        <v>0</v>
      </c>
      <c r="C202" s="13">
        <f t="shared" si="157"/>
        <v>0</v>
      </c>
      <c r="D202" s="13">
        <f t="shared" si="158"/>
        <v>0</v>
      </c>
      <c r="E202" s="13">
        <f t="shared" si="159"/>
        <v>0</v>
      </c>
      <c r="F202" s="13">
        <f t="shared" si="160"/>
        <v>0</v>
      </c>
      <c r="G202" s="13">
        <f t="shared" si="161"/>
        <v>0</v>
      </c>
      <c r="H202" s="13">
        <f t="shared" si="162"/>
        <v>0</v>
      </c>
      <c r="I202" s="13">
        <f t="shared" si="163"/>
        <v>0</v>
      </c>
      <c r="J202" s="13">
        <f t="shared" si="164"/>
        <v>0</v>
      </c>
      <c r="K202" s="13">
        <f t="shared" si="165"/>
        <v>0</v>
      </c>
      <c r="L202" s="13">
        <f t="shared" si="166"/>
        <v>0</v>
      </c>
      <c r="M202" s="13">
        <f t="shared" si="167"/>
        <v>0</v>
      </c>
      <c r="N202" s="13">
        <f t="shared" si="168"/>
        <v>0</v>
      </c>
      <c r="O202" s="13">
        <f t="shared" si="169"/>
        <v>0</v>
      </c>
      <c r="P202" s="13">
        <f t="shared" si="170"/>
        <v>0</v>
      </c>
      <c r="Q202" s="13">
        <f t="shared" si="171"/>
        <v>0</v>
      </c>
      <c r="R202" s="13">
        <f t="shared" si="172"/>
        <v>0</v>
      </c>
      <c r="S202" s="13">
        <f t="shared" si="173"/>
        <v>0</v>
      </c>
      <c r="T202" s="13">
        <f t="shared" si="174"/>
        <v>0</v>
      </c>
      <c r="U202" s="13">
        <f t="shared" si="175"/>
        <v>0</v>
      </c>
      <c r="V202" s="13">
        <f t="shared" si="176"/>
        <v>0</v>
      </c>
      <c r="W202" s="13">
        <f t="shared" si="177"/>
        <v>0</v>
      </c>
      <c r="X202" s="13">
        <f t="shared" si="178"/>
        <v>0</v>
      </c>
      <c r="Y202" s="13">
        <f t="shared" si="179"/>
        <v>0</v>
      </c>
      <c r="Z202" s="13">
        <f t="shared" si="180"/>
        <v>0</v>
      </c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</row>
    <row r="203" spans="1:341" s="14" customFormat="1">
      <c r="A203" s="15" t="s">
        <v>197</v>
      </c>
      <c r="B203" s="13">
        <f t="shared" si="156"/>
        <v>0</v>
      </c>
      <c r="C203" s="13">
        <f t="shared" si="157"/>
        <v>0</v>
      </c>
      <c r="D203" s="13">
        <f t="shared" si="158"/>
        <v>0</v>
      </c>
      <c r="E203" s="13">
        <f t="shared" si="159"/>
        <v>0</v>
      </c>
      <c r="F203" s="13">
        <f t="shared" si="160"/>
        <v>0</v>
      </c>
      <c r="G203" s="13">
        <f t="shared" si="161"/>
        <v>0</v>
      </c>
      <c r="H203" s="13">
        <f t="shared" si="162"/>
        <v>0</v>
      </c>
      <c r="I203" s="13">
        <f t="shared" si="163"/>
        <v>0</v>
      </c>
      <c r="J203" s="13">
        <f t="shared" si="164"/>
        <v>0</v>
      </c>
      <c r="K203" s="13">
        <f t="shared" si="165"/>
        <v>0</v>
      </c>
      <c r="L203" s="13">
        <f t="shared" si="166"/>
        <v>0</v>
      </c>
      <c r="M203" s="13">
        <f t="shared" si="167"/>
        <v>0</v>
      </c>
      <c r="N203" s="13">
        <f t="shared" si="168"/>
        <v>0</v>
      </c>
      <c r="O203" s="13">
        <f t="shared" si="169"/>
        <v>0</v>
      </c>
      <c r="P203" s="13">
        <f t="shared" si="170"/>
        <v>0</v>
      </c>
      <c r="Q203" s="13">
        <f t="shared" si="171"/>
        <v>0</v>
      </c>
      <c r="R203" s="13">
        <f t="shared" si="172"/>
        <v>0</v>
      </c>
      <c r="S203" s="13">
        <f t="shared" si="173"/>
        <v>0</v>
      </c>
      <c r="T203" s="13">
        <f t="shared" si="174"/>
        <v>0</v>
      </c>
      <c r="U203" s="13">
        <f t="shared" si="175"/>
        <v>0</v>
      </c>
      <c r="V203" s="13">
        <f t="shared" si="176"/>
        <v>0</v>
      </c>
      <c r="W203" s="13">
        <f t="shared" si="177"/>
        <v>0</v>
      </c>
      <c r="X203" s="13">
        <f t="shared" si="178"/>
        <v>0</v>
      </c>
      <c r="Y203" s="13">
        <f t="shared" si="179"/>
        <v>0</v>
      </c>
      <c r="Z203" s="13">
        <f t="shared" si="180"/>
        <v>0</v>
      </c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</row>
    <row r="204" spans="1:341" s="14" customFormat="1">
      <c r="A204" s="15" t="s">
        <v>198</v>
      </c>
      <c r="B204" s="13">
        <f t="shared" si="156"/>
        <v>0</v>
      </c>
      <c r="C204" s="13">
        <f t="shared" si="157"/>
        <v>0</v>
      </c>
      <c r="D204" s="13">
        <f t="shared" si="158"/>
        <v>0</v>
      </c>
      <c r="E204" s="13">
        <f t="shared" si="159"/>
        <v>0</v>
      </c>
      <c r="F204" s="13">
        <f t="shared" si="160"/>
        <v>0</v>
      </c>
      <c r="G204" s="13">
        <f t="shared" si="161"/>
        <v>0</v>
      </c>
      <c r="H204" s="13">
        <f t="shared" si="162"/>
        <v>0</v>
      </c>
      <c r="I204" s="13">
        <f t="shared" si="163"/>
        <v>0</v>
      </c>
      <c r="J204" s="13">
        <f t="shared" si="164"/>
        <v>0</v>
      </c>
      <c r="K204" s="13">
        <f t="shared" si="165"/>
        <v>0</v>
      </c>
      <c r="L204" s="13">
        <f t="shared" si="166"/>
        <v>0</v>
      </c>
      <c r="M204" s="13">
        <f t="shared" si="167"/>
        <v>0</v>
      </c>
      <c r="N204" s="13">
        <f t="shared" si="168"/>
        <v>0</v>
      </c>
      <c r="O204" s="13">
        <f t="shared" si="169"/>
        <v>0</v>
      </c>
      <c r="P204" s="13">
        <f t="shared" si="170"/>
        <v>0</v>
      </c>
      <c r="Q204" s="13">
        <f t="shared" si="171"/>
        <v>0</v>
      </c>
      <c r="R204" s="13">
        <f t="shared" si="172"/>
        <v>0</v>
      </c>
      <c r="S204" s="13">
        <f t="shared" si="173"/>
        <v>0</v>
      </c>
      <c r="T204" s="13">
        <f t="shared" si="174"/>
        <v>0</v>
      </c>
      <c r="U204" s="13">
        <f t="shared" si="175"/>
        <v>0</v>
      </c>
      <c r="V204" s="13">
        <f t="shared" si="176"/>
        <v>0</v>
      </c>
      <c r="W204" s="13">
        <f t="shared" si="177"/>
        <v>0</v>
      </c>
      <c r="X204" s="13">
        <f t="shared" si="178"/>
        <v>0</v>
      </c>
      <c r="Y204" s="13">
        <f t="shared" si="179"/>
        <v>0</v>
      </c>
      <c r="Z204" s="13">
        <f t="shared" si="180"/>
        <v>0</v>
      </c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</row>
    <row r="205" spans="1:341" s="14" customFormat="1">
      <c r="A205" s="15" t="s">
        <v>199</v>
      </c>
      <c r="B205" s="13">
        <f t="shared" si="156"/>
        <v>0</v>
      </c>
      <c r="C205" s="13">
        <f t="shared" si="157"/>
        <v>0</v>
      </c>
      <c r="D205" s="13">
        <f t="shared" si="158"/>
        <v>0</v>
      </c>
      <c r="E205" s="13">
        <f t="shared" si="159"/>
        <v>0</v>
      </c>
      <c r="F205" s="13">
        <f t="shared" si="160"/>
        <v>0</v>
      </c>
      <c r="G205" s="13">
        <f t="shared" si="161"/>
        <v>0</v>
      </c>
      <c r="H205" s="13">
        <f t="shared" si="162"/>
        <v>0</v>
      </c>
      <c r="I205" s="13">
        <f t="shared" si="163"/>
        <v>0</v>
      </c>
      <c r="J205" s="13">
        <f t="shared" si="164"/>
        <v>0</v>
      </c>
      <c r="K205" s="13">
        <f t="shared" si="165"/>
        <v>0</v>
      </c>
      <c r="L205" s="13">
        <f t="shared" si="166"/>
        <v>0</v>
      </c>
      <c r="M205" s="13">
        <f t="shared" si="167"/>
        <v>0</v>
      </c>
      <c r="N205" s="13">
        <f t="shared" si="168"/>
        <v>0</v>
      </c>
      <c r="O205" s="13">
        <f t="shared" si="169"/>
        <v>0</v>
      </c>
      <c r="P205" s="13">
        <f t="shared" si="170"/>
        <v>0</v>
      </c>
      <c r="Q205" s="13">
        <f t="shared" si="171"/>
        <v>0</v>
      </c>
      <c r="R205" s="13">
        <f t="shared" si="172"/>
        <v>0</v>
      </c>
      <c r="S205" s="13">
        <f t="shared" si="173"/>
        <v>0</v>
      </c>
      <c r="T205" s="13">
        <f t="shared" si="174"/>
        <v>0</v>
      </c>
      <c r="U205" s="13">
        <f t="shared" si="175"/>
        <v>0</v>
      </c>
      <c r="V205" s="13">
        <f t="shared" si="176"/>
        <v>0</v>
      </c>
      <c r="W205" s="13">
        <f t="shared" si="177"/>
        <v>0</v>
      </c>
      <c r="X205" s="13">
        <f t="shared" si="178"/>
        <v>0</v>
      </c>
      <c r="Y205" s="13">
        <f t="shared" si="179"/>
        <v>0</v>
      </c>
      <c r="Z205" s="13">
        <f t="shared" si="180"/>
        <v>0</v>
      </c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</row>
    <row r="206" spans="1:341" s="14" customFormat="1">
      <c r="A206" s="12" t="s">
        <v>200</v>
      </c>
      <c r="B206" s="13">
        <f t="shared" si="156"/>
        <v>0</v>
      </c>
      <c r="C206" s="13">
        <f t="shared" si="157"/>
        <v>0</v>
      </c>
      <c r="D206" s="13">
        <f t="shared" si="158"/>
        <v>0</v>
      </c>
      <c r="E206" s="13">
        <f t="shared" si="159"/>
        <v>0</v>
      </c>
      <c r="F206" s="13">
        <f t="shared" si="160"/>
        <v>0</v>
      </c>
      <c r="G206" s="13">
        <f t="shared" si="161"/>
        <v>0</v>
      </c>
      <c r="H206" s="13">
        <f t="shared" si="162"/>
        <v>0</v>
      </c>
      <c r="I206" s="13">
        <f t="shared" si="163"/>
        <v>0</v>
      </c>
      <c r="J206" s="13">
        <f t="shared" si="164"/>
        <v>0</v>
      </c>
      <c r="K206" s="13">
        <f t="shared" si="165"/>
        <v>0</v>
      </c>
      <c r="L206" s="13">
        <f t="shared" si="166"/>
        <v>0</v>
      </c>
      <c r="M206" s="13">
        <f t="shared" si="167"/>
        <v>0</v>
      </c>
      <c r="N206" s="13">
        <f t="shared" si="168"/>
        <v>0</v>
      </c>
      <c r="O206" s="13">
        <f t="shared" si="169"/>
        <v>0</v>
      </c>
      <c r="P206" s="13">
        <f t="shared" si="170"/>
        <v>0</v>
      </c>
      <c r="Q206" s="13">
        <f t="shared" si="171"/>
        <v>0</v>
      </c>
      <c r="R206" s="13">
        <f t="shared" si="172"/>
        <v>0</v>
      </c>
      <c r="S206" s="13">
        <f t="shared" si="173"/>
        <v>0</v>
      </c>
      <c r="T206" s="13">
        <f t="shared" si="174"/>
        <v>0</v>
      </c>
      <c r="U206" s="13">
        <f t="shared" si="175"/>
        <v>0</v>
      </c>
      <c r="V206" s="13">
        <f t="shared" si="176"/>
        <v>0</v>
      </c>
      <c r="W206" s="13">
        <f t="shared" si="177"/>
        <v>0</v>
      </c>
      <c r="X206" s="13">
        <f t="shared" si="178"/>
        <v>0</v>
      </c>
      <c r="Y206" s="13">
        <f t="shared" si="179"/>
        <v>0</v>
      </c>
      <c r="Z206" s="13">
        <f t="shared" si="180"/>
        <v>0</v>
      </c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</row>
    <row r="207" spans="1:341" s="14" customFormat="1">
      <c r="A207" s="15" t="s">
        <v>201</v>
      </c>
      <c r="B207" s="13">
        <f t="shared" si="156"/>
        <v>0</v>
      </c>
      <c r="C207" s="13">
        <f t="shared" si="157"/>
        <v>0</v>
      </c>
      <c r="D207" s="13">
        <f t="shared" si="158"/>
        <v>0</v>
      </c>
      <c r="E207" s="13">
        <f t="shared" si="159"/>
        <v>0</v>
      </c>
      <c r="F207" s="13">
        <f t="shared" si="160"/>
        <v>0</v>
      </c>
      <c r="G207" s="13">
        <f t="shared" si="161"/>
        <v>0</v>
      </c>
      <c r="H207" s="13">
        <f t="shared" si="162"/>
        <v>0</v>
      </c>
      <c r="I207" s="13">
        <f t="shared" si="163"/>
        <v>0</v>
      </c>
      <c r="J207" s="13">
        <f t="shared" si="164"/>
        <v>0</v>
      </c>
      <c r="K207" s="13">
        <f t="shared" si="165"/>
        <v>0</v>
      </c>
      <c r="L207" s="13">
        <f t="shared" si="166"/>
        <v>0</v>
      </c>
      <c r="M207" s="13">
        <f t="shared" si="167"/>
        <v>0</v>
      </c>
      <c r="N207" s="13">
        <f t="shared" si="168"/>
        <v>0</v>
      </c>
      <c r="O207" s="13">
        <f t="shared" si="169"/>
        <v>0</v>
      </c>
      <c r="P207" s="13">
        <f t="shared" si="170"/>
        <v>0</v>
      </c>
      <c r="Q207" s="13">
        <f t="shared" si="171"/>
        <v>0</v>
      </c>
      <c r="R207" s="13">
        <f t="shared" si="172"/>
        <v>0</v>
      </c>
      <c r="S207" s="13">
        <f t="shared" si="173"/>
        <v>0</v>
      </c>
      <c r="T207" s="13">
        <f t="shared" si="174"/>
        <v>0</v>
      </c>
      <c r="U207" s="13">
        <f t="shared" si="175"/>
        <v>0</v>
      </c>
      <c r="V207" s="13">
        <f t="shared" si="176"/>
        <v>0</v>
      </c>
      <c r="W207" s="13">
        <f t="shared" si="177"/>
        <v>0</v>
      </c>
      <c r="X207" s="13">
        <f t="shared" si="178"/>
        <v>0</v>
      </c>
      <c r="Y207" s="13">
        <f t="shared" si="179"/>
        <v>0</v>
      </c>
      <c r="Z207" s="13">
        <f t="shared" si="180"/>
        <v>0</v>
      </c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</row>
    <row r="208" spans="1:341" s="14" customFormat="1">
      <c r="A208" s="15" t="s">
        <v>202</v>
      </c>
      <c r="B208" s="13">
        <f t="shared" si="156"/>
        <v>0</v>
      </c>
      <c r="C208" s="13">
        <f t="shared" si="157"/>
        <v>0</v>
      </c>
      <c r="D208" s="13">
        <f t="shared" si="158"/>
        <v>0</v>
      </c>
      <c r="E208" s="13">
        <f t="shared" si="159"/>
        <v>0</v>
      </c>
      <c r="F208" s="13">
        <f t="shared" si="160"/>
        <v>0</v>
      </c>
      <c r="G208" s="13">
        <f t="shared" si="161"/>
        <v>0</v>
      </c>
      <c r="H208" s="13">
        <f t="shared" si="162"/>
        <v>0</v>
      </c>
      <c r="I208" s="13">
        <f t="shared" si="163"/>
        <v>0</v>
      </c>
      <c r="J208" s="13">
        <f t="shared" si="164"/>
        <v>0</v>
      </c>
      <c r="K208" s="13">
        <f t="shared" si="165"/>
        <v>0</v>
      </c>
      <c r="L208" s="13">
        <f t="shared" si="166"/>
        <v>0</v>
      </c>
      <c r="M208" s="13">
        <f t="shared" si="167"/>
        <v>0</v>
      </c>
      <c r="N208" s="13">
        <f t="shared" si="168"/>
        <v>0</v>
      </c>
      <c r="O208" s="13">
        <f t="shared" si="169"/>
        <v>0</v>
      </c>
      <c r="P208" s="13">
        <f t="shared" si="170"/>
        <v>0</v>
      </c>
      <c r="Q208" s="13">
        <f t="shared" si="171"/>
        <v>0</v>
      </c>
      <c r="R208" s="13">
        <f t="shared" si="172"/>
        <v>0</v>
      </c>
      <c r="S208" s="13">
        <f t="shared" si="173"/>
        <v>0</v>
      </c>
      <c r="T208" s="13">
        <f t="shared" si="174"/>
        <v>0</v>
      </c>
      <c r="U208" s="13">
        <f t="shared" si="175"/>
        <v>0</v>
      </c>
      <c r="V208" s="13">
        <f t="shared" si="176"/>
        <v>0</v>
      </c>
      <c r="W208" s="13">
        <f t="shared" si="177"/>
        <v>0</v>
      </c>
      <c r="X208" s="13">
        <f t="shared" si="178"/>
        <v>0</v>
      </c>
      <c r="Y208" s="13">
        <f t="shared" si="179"/>
        <v>0</v>
      </c>
      <c r="Z208" s="13">
        <f t="shared" si="180"/>
        <v>0</v>
      </c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</row>
    <row r="209" spans="1:341" s="14" customFormat="1">
      <c r="A209" s="12" t="s">
        <v>203</v>
      </c>
      <c r="B209" s="13">
        <f t="shared" si="156"/>
        <v>0</v>
      </c>
      <c r="C209" s="13">
        <f t="shared" si="157"/>
        <v>0</v>
      </c>
      <c r="D209" s="13">
        <f t="shared" si="158"/>
        <v>0</v>
      </c>
      <c r="E209" s="13">
        <f t="shared" si="159"/>
        <v>0</v>
      </c>
      <c r="F209" s="13">
        <f t="shared" si="160"/>
        <v>0</v>
      </c>
      <c r="G209" s="13">
        <f t="shared" si="161"/>
        <v>0</v>
      </c>
      <c r="H209" s="13">
        <f t="shared" si="162"/>
        <v>0</v>
      </c>
      <c r="I209" s="13">
        <f t="shared" si="163"/>
        <v>0</v>
      </c>
      <c r="J209" s="13">
        <f t="shared" si="164"/>
        <v>0</v>
      </c>
      <c r="K209" s="13">
        <f t="shared" si="165"/>
        <v>0</v>
      </c>
      <c r="L209" s="13">
        <f t="shared" si="166"/>
        <v>0</v>
      </c>
      <c r="M209" s="13">
        <f t="shared" si="167"/>
        <v>0</v>
      </c>
      <c r="N209" s="13">
        <f t="shared" si="168"/>
        <v>0</v>
      </c>
      <c r="O209" s="13">
        <f t="shared" si="169"/>
        <v>0</v>
      </c>
      <c r="P209" s="13">
        <f t="shared" si="170"/>
        <v>0</v>
      </c>
      <c r="Q209" s="13">
        <f t="shared" si="171"/>
        <v>0</v>
      </c>
      <c r="R209" s="13">
        <f t="shared" si="172"/>
        <v>0</v>
      </c>
      <c r="S209" s="13">
        <f t="shared" si="173"/>
        <v>0</v>
      </c>
      <c r="T209" s="13">
        <f t="shared" si="174"/>
        <v>0</v>
      </c>
      <c r="U209" s="13">
        <f t="shared" si="175"/>
        <v>0</v>
      </c>
      <c r="V209" s="13">
        <f t="shared" si="176"/>
        <v>0</v>
      </c>
      <c r="W209" s="13">
        <f t="shared" si="177"/>
        <v>0</v>
      </c>
      <c r="X209" s="13">
        <f t="shared" si="178"/>
        <v>0</v>
      </c>
      <c r="Y209" s="13">
        <f t="shared" si="179"/>
        <v>0</v>
      </c>
      <c r="Z209" s="13">
        <f t="shared" si="180"/>
        <v>0</v>
      </c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</row>
    <row r="210" spans="1:341" s="14" customFormat="1">
      <c r="A210" s="15" t="s">
        <v>204</v>
      </c>
      <c r="B210" s="13">
        <f t="shared" si="156"/>
        <v>0</v>
      </c>
      <c r="C210" s="13">
        <f t="shared" si="157"/>
        <v>0</v>
      </c>
      <c r="D210" s="13">
        <f t="shared" si="158"/>
        <v>0</v>
      </c>
      <c r="E210" s="13">
        <f t="shared" si="159"/>
        <v>0</v>
      </c>
      <c r="F210" s="13">
        <f t="shared" si="160"/>
        <v>0</v>
      </c>
      <c r="G210" s="13">
        <f t="shared" si="161"/>
        <v>0</v>
      </c>
      <c r="H210" s="13">
        <f t="shared" si="162"/>
        <v>0</v>
      </c>
      <c r="I210" s="13">
        <f t="shared" si="163"/>
        <v>0</v>
      </c>
      <c r="J210" s="13">
        <f t="shared" si="164"/>
        <v>0</v>
      </c>
      <c r="K210" s="13">
        <f t="shared" si="165"/>
        <v>0</v>
      </c>
      <c r="L210" s="13">
        <f t="shared" si="166"/>
        <v>0</v>
      </c>
      <c r="M210" s="13">
        <f t="shared" si="167"/>
        <v>0</v>
      </c>
      <c r="N210" s="13">
        <f t="shared" si="168"/>
        <v>0</v>
      </c>
      <c r="O210" s="13">
        <f t="shared" si="169"/>
        <v>0</v>
      </c>
      <c r="P210" s="13">
        <f t="shared" si="170"/>
        <v>0</v>
      </c>
      <c r="Q210" s="13">
        <f t="shared" si="171"/>
        <v>0</v>
      </c>
      <c r="R210" s="13">
        <f t="shared" si="172"/>
        <v>0</v>
      </c>
      <c r="S210" s="13">
        <f t="shared" si="173"/>
        <v>0</v>
      </c>
      <c r="T210" s="13">
        <f t="shared" si="174"/>
        <v>0</v>
      </c>
      <c r="U210" s="13">
        <f t="shared" si="175"/>
        <v>0</v>
      </c>
      <c r="V210" s="13">
        <f t="shared" si="176"/>
        <v>0</v>
      </c>
      <c r="W210" s="13">
        <f t="shared" si="177"/>
        <v>0</v>
      </c>
      <c r="X210" s="13">
        <f t="shared" si="178"/>
        <v>0</v>
      </c>
      <c r="Y210" s="13">
        <f t="shared" si="179"/>
        <v>0</v>
      </c>
      <c r="Z210" s="13">
        <f t="shared" si="180"/>
        <v>0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</row>
    <row r="211" spans="1:341" s="14" customFormat="1">
      <c r="A211" s="15" t="s">
        <v>205</v>
      </c>
      <c r="B211" s="13">
        <f t="shared" si="156"/>
        <v>0</v>
      </c>
      <c r="C211" s="13">
        <f t="shared" si="157"/>
        <v>0</v>
      </c>
      <c r="D211" s="13">
        <f t="shared" si="158"/>
        <v>0</v>
      </c>
      <c r="E211" s="13">
        <f t="shared" si="159"/>
        <v>0</v>
      </c>
      <c r="F211" s="13">
        <f t="shared" si="160"/>
        <v>0</v>
      </c>
      <c r="G211" s="13">
        <f t="shared" si="161"/>
        <v>0</v>
      </c>
      <c r="H211" s="13">
        <f t="shared" si="162"/>
        <v>0</v>
      </c>
      <c r="I211" s="13">
        <f t="shared" si="163"/>
        <v>0</v>
      </c>
      <c r="J211" s="13">
        <f t="shared" si="164"/>
        <v>0</v>
      </c>
      <c r="K211" s="13">
        <f t="shared" si="165"/>
        <v>0</v>
      </c>
      <c r="L211" s="13">
        <f t="shared" si="166"/>
        <v>0</v>
      </c>
      <c r="M211" s="13">
        <f t="shared" si="167"/>
        <v>0</v>
      </c>
      <c r="N211" s="13">
        <f t="shared" si="168"/>
        <v>0</v>
      </c>
      <c r="O211" s="13">
        <f t="shared" si="169"/>
        <v>0</v>
      </c>
      <c r="P211" s="13">
        <f t="shared" si="170"/>
        <v>0</v>
      </c>
      <c r="Q211" s="13">
        <f t="shared" si="171"/>
        <v>0</v>
      </c>
      <c r="R211" s="13">
        <f t="shared" si="172"/>
        <v>0</v>
      </c>
      <c r="S211" s="13">
        <f t="shared" si="173"/>
        <v>0</v>
      </c>
      <c r="T211" s="13">
        <f t="shared" si="174"/>
        <v>0</v>
      </c>
      <c r="U211" s="13">
        <f t="shared" si="175"/>
        <v>0</v>
      </c>
      <c r="V211" s="13">
        <f t="shared" si="176"/>
        <v>0</v>
      </c>
      <c r="W211" s="13">
        <f t="shared" si="177"/>
        <v>0</v>
      </c>
      <c r="X211" s="13">
        <f t="shared" si="178"/>
        <v>0</v>
      </c>
      <c r="Y211" s="13">
        <f t="shared" si="179"/>
        <v>0</v>
      </c>
      <c r="Z211" s="13">
        <f t="shared" si="180"/>
        <v>0</v>
      </c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</row>
    <row r="212" spans="1:341" s="14" customFormat="1">
      <c r="A212" s="15" t="s">
        <v>206</v>
      </c>
      <c r="B212" s="13">
        <f t="shared" si="156"/>
        <v>0</v>
      </c>
      <c r="C212" s="13">
        <f t="shared" si="157"/>
        <v>0</v>
      </c>
      <c r="D212" s="13">
        <f t="shared" si="158"/>
        <v>0</v>
      </c>
      <c r="E212" s="13">
        <f t="shared" si="159"/>
        <v>0</v>
      </c>
      <c r="F212" s="13">
        <f t="shared" si="160"/>
        <v>0</v>
      </c>
      <c r="G212" s="13">
        <f t="shared" si="161"/>
        <v>0</v>
      </c>
      <c r="H212" s="13">
        <f t="shared" si="162"/>
        <v>0</v>
      </c>
      <c r="I212" s="13">
        <f t="shared" si="163"/>
        <v>0</v>
      </c>
      <c r="J212" s="13">
        <f t="shared" si="164"/>
        <v>0</v>
      </c>
      <c r="K212" s="13">
        <f t="shared" si="165"/>
        <v>0</v>
      </c>
      <c r="L212" s="13">
        <f t="shared" si="166"/>
        <v>0</v>
      </c>
      <c r="M212" s="13">
        <f t="shared" si="167"/>
        <v>0</v>
      </c>
      <c r="N212" s="13">
        <f t="shared" si="168"/>
        <v>0</v>
      </c>
      <c r="O212" s="13">
        <f t="shared" si="169"/>
        <v>0</v>
      </c>
      <c r="P212" s="13">
        <f t="shared" si="170"/>
        <v>0</v>
      </c>
      <c r="Q212" s="13">
        <f t="shared" si="171"/>
        <v>0</v>
      </c>
      <c r="R212" s="13">
        <f t="shared" si="172"/>
        <v>0</v>
      </c>
      <c r="S212" s="13">
        <f t="shared" si="173"/>
        <v>0</v>
      </c>
      <c r="T212" s="13">
        <f t="shared" si="174"/>
        <v>0</v>
      </c>
      <c r="U212" s="13">
        <f t="shared" si="175"/>
        <v>0</v>
      </c>
      <c r="V212" s="13">
        <f t="shared" si="176"/>
        <v>0</v>
      </c>
      <c r="W212" s="13">
        <f t="shared" si="177"/>
        <v>0</v>
      </c>
      <c r="X212" s="13">
        <f t="shared" si="178"/>
        <v>0</v>
      </c>
      <c r="Y212" s="13">
        <f t="shared" si="179"/>
        <v>0</v>
      </c>
      <c r="Z212" s="13">
        <f t="shared" si="180"/>
        <v>0</v>
      </c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</row>
    <row r="213" spans="1:341" s="14" customFormat="1">
      <c r="A213" s="15" t="s">
        <v>207</v>
      </c>
      <c r="B213" s="13">
        <f t="shared" si="156"/>
        <v>0</v>
      </c>
      <c r="C213" s="13">
        <f t="shared" si="157"/>
        <v>0</v>
      </c>
      <c r="D213" s="13">
        <f t="shared" si="158"/>
        <v>0</v>
      </c>
      <c r="E213" s="13">
        <f t="shared" si="159"/>
        <v>0</v>
      </c>
      <c r="F213" s="13">
        <f t="shared" si="160"/>
        <v>0</v>
      </c>
      <c r="G213" s="13">
        <f t="shared" si="161"/>
        <v>0</v>
      </c>
      <c r="H213" s="13">
        <f t="shared" si="162"/>
        <v>0</v>
      </c>
      <c r="I213" s="13">
        <f t="shared" si="163"/>
        <v>0</v>
      </c>
      <c r="J213" s="13">
        <f t="shared" si="164"/>
        <v>0</v>
      </c>
      <c r="K213" s="13">
        <f t="shared" si="165"/>
        <v>0</v>
      </c>
      <c r="L213" s="13">
        <f t="shared" si="166"/>
        <v>0</v>
      </c>
      <c r="M213" s="13">
        <f t="shared" si="167"/>
        <v>0</v>
      </c>
      <c r="N213" s="13">
        <f t="shared" si="168"/>
        <v>0</v>
      </c>
      <c r="O213" s="13">
        <f t="shared" si="169"/>
        <v>0</v>
      </c>
      <c r="P213" s="13">
        <f t="shared" si="170"/>
        <v>0</v>
      </c>
      <c r="Q213" s="13">
        <f t="shared" si="171"/>
        <v>0</v>
      </c>
      <c r="R213" s="13">
        <f t="shared" si="172"/>
        <v>0</v>
      </c>
      <c r="S213" s="13">
        <f t="shared" si="173"/>
        <v>0</v>
      </c>
      <c r="T213" s="13">
        <f t="shared" si="174"/>
        <v>0</v>
      </c>
      <c r="U213" s="13">
        <f t="shared" si="175"/>
        <v>0</v>
      </c>
      <c r="V213" s="13">
        <f t="shared" si="176"/>
        <v>0</v>
      </c>
      <c r="W213" s="13">
        <f t="shared" si="177"/>
        <v>0</v>
      </c>
      <c r="X213" s="13">
        <f t="shared" si="178"/>
        <v>0</v>
      </c>
      <c r="Y213" s="13">
        <f t="shared" si="179"/>
        <v>0</v>
      </c>
      <c r="Z213" s="13">
        <f t="shared" si="180"/>
        <v>0</v>
      </c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</row>
    <row r="214" spans="1:341" s="14" customFormat="1">
      <c r="A214" s="15" t="s">
        <v>208</v>
      </c>
      <c r="B214" s="13">
        <f t="shared" si="156"/>
        <v>0</v>
      </c>
      <c r="C214" s="13">
        <f t="shared" si="157"/>
        <v>0</v>
      </c>
      <c r="D214" s="13">
        <f t="shared" si="158"/>
        <v>0</v>
      </c>
      <c r="E214" s="13">
        <f t="shared" si="159"/>
        <v>0</v>
      </c>
      <c r="F214" s="13">
        <f t="shared" si="160"/>
        <v>0</v>
      </c>
      <c r="G214" s="13">
        <f t="shared" si="161"/>
        <v>0</v>
      </c>
      <c r="H214" s="13">
        <f t="shared" si="162"/>
        <v>0</v>
      </c>
      <c r="I214" s="13">
        <f t="shared" si="163"/>
        <v>0</v>
      </c>
      <c r="J214" s="13">
        <f t="shared" si="164"/>
        <v>0</v>
      </c>
      <c r="K214" s="13">
        <f t="shared" si="165"/>
        <v>0</v>
      </c>
      <c r="L214" s="13">
        <f t="shared" si="166"/>
        <v>0</v>
      </c>
      <c r="M214" s="13">
        <f t="shared" si="167"/>
        <v>0</v>
      </c>
      <c r="N214" s="13">
        <f t="shared" si="168"/>
        <v>0</v>
      </c>
      <c r="O214" s="13">
        <f t="shared" si="169"/>
        <v>0</v>
      </c>
      <c r="P214" s="13">
        <f t="shared" si="170"/>
        <v>0</v>
      </c>
      <c r="Q214" s="13">
        <f t="shared" si="171"/>
        <v>0</v>
      </c>
      <c r="R214" s="13">
        <f t="shared" si="172"/>
        <v>0</v>
      </c>
      <c r="S214" s="13">
        <f t="shared" si="173"/>
        <v>0</v>
      </c>
      <c r="T214" s="13">
        <f t="shared" si="174"/>
        <v>0</v>
      </c>
      <c r="U214" s="13">
        <f t="shared" si="175"/>
        <v>0</v>
      </c>
      <c r="V214" s="13">
        <f t="shared" si="176"/>
        <v>0</v>
      </c>
      <c r="W214" s="13">
        <f t="shared" si="177"/>
        <v>0</v>
      </c>
      <c r="X214" s="13">
        <f t="shared" si="178"/>
        <v>0</v>
      </c>
      <c r="Y214" s="13">
        <f t="shared" si="179"/>
        <v>0</v>
      </c>
      <c r="Z214" s="13">
        <f t="shared" si="180"/>
        <v>0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</row>
    <row r="215" spans="1:341" s="14" customFormat="1">
      <c r="A215" s="15" t="s">
        <v>209</v>
      </c>
      <c r="B215" s="13">
        <f t="shared" si="156"/>
        <v>0</v>
      </c>
      <c r="C215" s="13">
        <f t="shared" si="157"/>
        <v>0</v>
      </c>
      <c r="D215" s="13">
        <f t="shared" si="158"/>
        <v>0</v>
      </c>
      <c r="E215" s="13">
        <f t="shared" si="159"/>
        <v>0</v>
      </c>
      <c r="F215" s="13">
        <f t="shared" si="160"/>
        <v>0</v>
      </c>
      <c r="G215" s="13">
        <f t="shared" si="161"/>
        <v>0</v>
      </c>
      <c r="H215" s="13">
        <f t="shared" si="162"/>
        <v>0</v>
      </c>
      <c r="I215" s="13">
        <f t="shared" si="163"/>
        <v>0</v>
      </c>
      <c r="J215" s="13">
        <f t="shared" si="164"/>
        <v>0</v>
      </c>
      <c r="K215" s="13">
        <f t="shared" si="165"/>
        <v>0</v>
      </c>
      <c r="L215" s="13">
        <f t="shared" si="166"/>
        <v>0</v>
      </c>
      <c r="M215" s="13">
        <f t="shared" si="167"/>
        <v>0</v>
      </c>
      <c r="N215" s="13">
        <f t="shared" si="168"/>
        <v>0</v>
      </c>
      <c r="O215" s="13">
        <f t="shared" si="169"/>
        <v>0</v>
      </c>
      <c r="P215" s="13">
        <f t="shared" si="170"/>
        <v>0</v>
      </c>
      <c r="Q215" s="13">
        <f t="shared" si="171"/>
        <v>0</v>
      </c>
      <c r="R215" s="13">
        <f t="shared" si="172"/>
        <v>0</v>
      </c>
      <c r="S215" s="13">
        <f t="shared" si="173"/>
        <v>0</v>
      </c>
      <c r="T215" s="13">
        <f t="shared" si="174"/>
        <v>0</v>
      </c>
      <c r="U215" s="13">
        <f t="shared" si="175"/>
        <v>0</v>
      </c>
      <c r="V215" s="13">
        <f t="shared" si="176"/>
        <v>0</v>
      </c>
      <c r="W215" s="13">
        <f t="shared" si="177"/>
        <v>0</v>
      </c>
      <c r="X215" s="13">
        <f t="shared" si="178"/>
        <v>0</v>
      </c>
      <c r="Y215" s="13">
        <f t="shared" si="179"/>
        <v>0</v>
      </c>
      <c r="Z215" s="13">
        <f t="shared" si="180"/>
        <v>0</v>
      </c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</row>
    <row r="216" spans="1:341" s="14" customFormat="1">
      <c r="A216" s="15" t="s">
        <v>210</v>
      </c>
      <c r="B216" s="13">
        <f t="shared" si="156"/>
        <v>0</v>
      </c>
      <c r="C216" s="13">
        <f t="shared" si="157"/>
        <v>0</v>
      </c>
      <c r="D216" s="13">
        <f t="shared" si="158"/>
        <v>0</v>
      </c>
      <c r="E216" s="13">
        <f t="shared" si="159"/>
        <v>0</v>
      </c>
      <c r="F216" s="13">
        <f t="shared" si="160"/>
        <v>0</v>
      </c>
      <c r="G216" s="13">
        <f t="shared" si="161"/>
        <v>0</v>
      </c>
      <c r="H216" s="13">
        <f t="shared" si="162"/>
        <v>0</v>
      </c>
      <c r="I216" s="13">
        <f t="shared" si="163"/>
        <v>0</v>
      </c>
      <c r="J216" s="13">
        <f t="shared" si="164"/>
        <v>0</v>
      </c>
      <c r="K216" s="13">
        <f t="shared" si="165"/>
        <v>0</v>
      </c>
      <c r="L216" s="13">
        <f t="shared" si="166"/>
        <v>0</v>
      </c>
      <c r="M216" s="13">
        <f t="shared" si="167"/>
        <v>0</v>
      </c>
      <c r="N216" s="13">
        <f t="shared" si="168"/>
        <v>0</v>
      </c>
      <c r="O216" s="13">
        <f t="shared" si="169"/>
        <v>0</v>
      </c>
      <c r="P216" s="13">
        <f t="shared" si="170"/>
        <v>0</v>
      </c>
      <c r="Q216" s="13">
        <f t="shared" si="171"/>
        <v>0</v>
      </c>
      <c r="R216" s="13">
        <f t="shared" si="172"/>
        <v>0</v>
      </c>
      <c r="S216" s="13">
        <f t="shared" si="173"/>
        <v>0</v>
      </c>
      <c r="T216" s="13">
        <f t="shared" si="174"/>
        <v>0</v>
      </c>
      <c r="U216" s="13">
        <f t="shared" si="175"/>
        <v>0</v>
      </c>
      <c r="V216" s="13">
        <f t="shared" si="176"/>
        <v>0</v>
      </c>
      <c r="W216" s="13">
        <f t="shared" si="177"/>
        <v>0</v>
      </c>
      <c r="X216" s="13">
        <f t="shared" si="178"/>
        <v>0</v>
      </c>
      <c r="Y216" s="13">
        <f t="shared" si="179"/>
        <v>0</v>
      </c>
      <c r="Z216" s="13">
        <f t="shared" si="180"/>
        <v>0</v>
      </c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</row>
    <row r="217" spans="1:341" s="14" customFormat="1">
      <c r="A217" s="12" t="s">
        <v>211</v>
      </c>
      <c r="B217" s="13">
        <f t="shared" si="156"/>
        <v>0</v>
      </c>
      <c r="C217" s="13">
        <f t="shared" si="157"/>
        <v>0</v>
      </c>
      <c r="D217" s="13">
        <f t="shared" si="158"/>
        <v>0</v>
      </c>
      <c r="E217" s="13">
        <f t="shared" si="159"/>
        <v>0</v>
      </c>
      <c r="F217" s="13">
        <f t="shared" si="160"/>
        <v>0</v>
      </c>
      <c r="G217" s="13">
        <f t="shared" si="161"/>
        <v>0</v>
      </c>
      <c r="H217" s="13">
        <f t="shared" si="162"/>
        <v>0</v>
      </c>
      <c r="I217" s="13">
        <f t="shared" si="163"/>
        <v>0</v>
      </c>
      <c r="J217" s="13">
        <f t="shared" si="164"/>
        <v>0</v>
      </c>
      <c r="K217" s="13">
        <f t="shared" si="165"/>
        <v>0</v>
      </c>
      <c r="L217" s="13">
        <f t="shared" si="166"/>
        <v>0</v>
      </c>
      <c r="M217" s="13">
        <f t="shared" si="167"/>
        <v>0</v>
      </c>
      <c r="N217" s="13">
        <f t="shared" si="168"/>
        <v>0</v>
      </c>
      <c r="O217" s="13">
        <f t="shared" si="169"/>
        <v>0</v>
      </c>
      <c r="P217" s="13">
        <f t="shared" si="170"/>
        <v>0</v>
      </c>
      <c r="Q217" s="13">
        <f t="shared" si="171"/>
        <v>0</v>
      </c>
      <c r="R217" s="13">
        <f t="shared" si="172"/>
        <v>0</v>
      </c>
      <c r="S217" s="13">
        <f t="shared" si="173"/>
        <v>0</v>
      </c>
      <c r="T217" s="13">
        <f t="shared" si="174"/>
        <v>0</v>
      </c>
      <c r="U217" s="13">
        <f t="shared" si="175"/>
        <v>0</v>
      </c>
      <c r="V217" s="13">
        <f t="shared" si="176"/>
        <v>0</v>
      </c>
      <c r="W217" s="13">
        <f t="shared" si="177"/>
        <v>0</v>
      </c>
      <c r="X217" s="13">
        <f t="shared" si="178"/>
        <v>0</v>
      </c>
      <c r="Y217" s="13">
        <f t="shared" si="179"/>
        <v>0</v>
      </c>
      <c r="Z217" s="13">
        <f t="shared" si="180"/>
        <v>0</v>
      </c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</row>
    <row r="218" spans="1:341" s="14" customFormat="1">
      <c r="A218" s="12" t="s">
        <v>212</v>
      </c>
      <c r="B218" s="13">
        <f t="shared" si="156"/>
        <v>0</v>
      </c>
      <c r="C218" s="13">
        <f t="shared" si="157"/>
        <v>0</v>
      </c>
      <c r="D218" s="13">
        <f t="shared" si="158"/>
        <v>0</v>
      </c>
      <c r="E218" s="13">
        <f t="shared" si="159"/>
        <v>0</v>
      </c>
      <c r="F218" s="13">
        <f t="shared" si="160"/>
        <v>0</v>
      </c>
      <c r="G218" s="13">
        <f t="shared" si="161"/>
        <v>0</v>
      </c>
      <c r="H218" s="13">
        <f t="shared" si="162"/>
        <v>0</v>
      </c>
      <c r="I218" s="13">
        <f t="shared" si="163"/>
        <v>0</v>
      </c>
      <c r="J218" s="13">
        <f t="shared" si="164"/>
        <v>0</v>
      </c>
      <c r="K218" s="13">
        <f t="shared" si="165"/>
        <v>0</v>
      </c>
      <c r="L218" s="13">
        <f t="shared" si="166"/>
        <v>0</v>
      </c>
      <c r="M218" s="13">
        <f t="shared" si="167"/>
        <v>0</v>
      </c>
      <c r="N218" s="13">
        <f t="shared" si="168"/>
        <v>0</v>
      </c>
      <c r="O218" s="13">
        <f t="shared" si="169"/>
        <v>0</v>
      </c>
      <c r="P218" s="13">
        <f t="shared" si="170"/>
        <v>0</v>
      </c>
      <c r="Q218" s="13">
        <f t="shared" si="171"/>
        <v>0</v>
      </c>
      <c r="R218" s="13">
        <f t="shared" si="172"/>
        <v>0</v>
      </c>
      <c r="S218" s="13">
        <f t="shared" si="173"/>
        <v>0</v>
      </c>
      <c r="T218" s="13">
        <f t="shared" si="174"/>
        <v>0</v>
      </c>
      <c r="U218" s="13">
        <f t="shared" si="175"/>
        <v>0</v>
      </c>
      <c r="V218" s="13">
        <f t="shared" si="176"/>
        <v>0</v>
      </c>
      <c r="W218" s="13">
        <f t="shared" si="177"/>
        <v>0</v>
      </c>
      <c r="X218" s="13">
        <f t="shared" si="178"/>
        <v>0</v>
      </c>
      <c r="Y218" s="13">
        <f t="shared" si="179"/>
        <v>0</v>
      </c>
      <c r="Z218" s="13">
        <f t="shared" si="180"/>
        <v>0</v>
      </c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</row>
    <row r="219" spans="1:341" s="14" customFormat="1">
      <c r="A219" s="12" t="s">
        <v>213</v>
      </c>
      <c r="B219" s="13">
        <f t="shared" si="156"/>
        <v>0</v>
      </c>
      <c r="C219" s="13">
        <f t="shared" si="157"/>
        <v>0</v>
      </c>
      <c r="D219" s="13">
        <f t="shared" si="158"/>
        <v>0</v>
      </c>
      <c r="E219" s="13">
        <f t="shared" si="159"/>
        <v>0</v>
      </c>
      <c r="F219" s="13">
        <f t="shared" si="160"/>
        <v>0</v>
      </c>
      <c r="G219" s="13">
        <f t="shared" si="161"/>
        <v>0</v>
      </c>
      <c r="H219" s="13">
        <f t="shared" si="162"/>
        <v>0</v>
      </c>
      <c r="I219" s="13">
        <f t="shared" si="163"/>
        <v>0</v>
      </c>
      <c r="J219" s="13">
        <f t="shared" si="164"/>
        <v>0</v>
      </c>
      <c r="K219" s="13">
        <f t="shared" si="165"/>
        <v>0</v>
      </c>
      <c r="L219" s="13">
        <f t="shared" si="166"/>
        <v>0</v>
      </c>
      <c r="M219" s="13">
        <f t="shared" si="167"/>
        <v>0</v>
      </c>
      <c r="N219" s="13">
        <f t="shared" si="168"/>
        <v>0</v>
      </c>
      <c r="O219" s="13">
        <f t="shared" si="169"/>
        <v>0</v>
      </c>
      <c r="P219" s="13">
        <f t="shared" si="170"/>
        <v>0</v>
      </c>
      <c r="Q219" s="13">
        <f t="shared" si="171"/>
        <v>0</v>
      </c>
      <c r="R219" s="13">
        <f t="shared" si="172"/>
        <v>0</v>
      </c>
      <c r="S219" s="13">
        <f t="shared" si="173"/>
        <v>0</v>
      </c>
      <c r="T219" s="13">
        <f t="shared" si="174"/>
        <v>0</v>
      </c>
      <c r="U219" s="13">
        <f t="shared" si="175"/>
        <v>0</v>
      </c>
      <c r="V219" s="13">
        <f t="shared" si="176"/>
        <v>0</v>
      </c>
      <c r="W219" s="13">
        <f t="shared" si="177"/>
        <v>0</v>
      </c>
      <c r="X219" s="13">
        <f t="shared" si="178"/>
        <v>0</v>
      </c>
      <c r="Y219" s="13">
        <f t="shared" si="179"/>
        <v>0</v>
      </c>
      <c r="Z219" s="13">
        <f t="shared" si="180"/>
        <v>0</v>
      </c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</row>
    <row r="220" spans="1:341" s="14" customFormat="1">
      <c r="A220" s="12" t="s">
        <v>214</v>
      </c>
      <c r="B220" s="13">
        <f t="shared" si="156"/>
        <v>0</v>
      </c>
      <c r="C220" s="13">
        <f t="shared" si="157"/>
        <v>0</v>
      </c>
      <c r="D220" s="13">
        <f t="shared" si="158"/>
        <v>0</v>
      </c>
      <c r="E220" s="13">
        <f t="shared" si="159"/>
        <v>0</v>
      </c>
      <c r="F220" s="13">
        <f t="shared" si="160"/>
        <v>0</v>
      </c>
      <c r="G220" s="13">
        <f t="shared" si="161"/>
        <v>0</v>
      </c>
      <c r="H220" s="13">
        <f t="shared" si="162"/>
        <v>0</v>
      </c>
      <c r="I220" s="13">
        <f t="shared" si="163"/>
        <v>0</v>
      </c>
      <c r="J220" s="13">
        <f t="shared" si="164"/>
        <v>0</v>
      </c>
      <c r="K220" s="13">
        <f t="shared" si="165"/>
        <v>0</v>
      </c>
      <c r="L220" s="13">
        <f t="shared" si="166"/>
        <v>0</v>
      </c>
      <c r="M220" s="13">
        <f t="shared" si="167"/>
        <v>0</v>
      </c>
      <c r="N220" s="13">
        <f t="shared" si="168"/>
        <v>0</v>
      </c>
      <c r="O220" s="13">
        <f t="shared" si="169"/>
        <v>0</v>
      </c>
      <c r="P220" s="13">
        <f t="shared" si="170"/>
        <v>0</v>
      </c>
      <c r="Q220" s="13">
        <f t="shared" si="171"/>
        <v>0</v>
      </c>
      <c r="R220" s="13">
        <f t="shared" si="172"/>
        <v>0</v>
      </c>
      <c r="S220" s="13">
        <f t="shared" si="173"/>
        <v>0</v>
      </c>
      <c r="T220" s="13">
        <f t="shared" si="174"/>
        <v>0</v>
      </c>
      <c r="U220" s="13">
        <f t="shared" si="175"/>
        <v>0</v>
      </c>
      <c r="V220" s="13">
        <f t="shared" si="176"/>
        <v>0</v>
      </c>
      <c r="W220" s="13">
        <f t="shared" si="177"/>
        <v>0</v>
      </c>
      <c r="X220" s="13">
        <f t="shared" si="178"/>
        <v>0</v>
      </c>
      <c r="Y220" s="13">
        <f t="shared" si="179"/>
        <v>0</v>
      </c>
      <c r="Z220" s="13">
        <f t="shared" si="180"/>
        <v>0</v>
      </c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</row>
    <row r="221" spans="1:341" s="14" customFormat="1">
      <c r="A221" s="15" t="s">
        <v>215</v>
      </c>
      <c r="B221" s="13">
        <f t="shared" si="156"/>
        <v>0</v>
      </c>
      <c r="C221" s="13">
        <f t="shared" si="157"/>
        <v>0</v>
      </c>
      <c r="D221" s="13">
        <f t="shared" si="158"/>
        <v>0</v>
      </c>
      <c r="E221" s="13">
        <f t="shared" si="159"/>
        <v>0</v>
      </c>
      <c r="F221" s="13">
        <f t="shared" si="160"/>
        <v>0</v>
      </c>
      <c r="G221" s="13">
        <f t="shared" si="161"/>
        <v>0</v>
      </c>
      <c r="H221" s="13">
        <f t="shared" si="162"/>
        <v>0</v>
      </c>
      <c r="I221" s="13">
        <f t="shared" si="163"/>
        <v>0</v>
      </c>
      <c r="J221" s="13">
        <f t="shared" si="164"/>
        <v>0</v>
      </c>
      <c r="K221" s="13">
        <f t="shared" si="165"/>
        <v>0</v>
      </c>
      <c r="L221" s="13">
        <f t="shared" si="166"/>
        <v>0</v>
      </c>
      <c r="M221" s="13">
        <f t="shared" si="167"/>
        <v>0</v>
      </c>
      <c r="N221" s="13">
        <f t="shared" si="168"/>
        <v>0</v>
      </c>
      <c r="O221" s="13">
        <f t="shared" si="169"/>
        <v>0</v>
      </c>
      <c r="P221" s="13">
        <f t="shared" si="170"/>
        <v>0</v>
      </c>
      <c r="Q221" s="13">
        <f t="shared" si="171"/>
        <v>0</v>
      </c>
      <c r="R221" s="13">
        <f t="shared" si="172"/>
        <v>0</v>
      </c>
      <c r="S221" s="13">
        <f t="shared" si="173"/>
        <v>0</v>
      </c>
      <c r="T221" s="13">
        <f t="shared" si="174"/>
        <v>0</v>
      </c>
      <c r="U221" s="13">
        <f t="shared" si="175"/>
        <v>0</v>
      </c>
      <c r="V221" s="13">
        <f t="shared" si="176"/>
        <v>0</v>
      </c>
      <c r="W221" s="13">
        <f t="shared" si="177"/>
        <v>0</v>
      </c>
      <c r="X221" s="13">
        <f t="shared" si="178"/>
        <v>0</v>
      </c>
      <c r="Y221" s="13">
        <f t="shared" si="179"/>
        <v>0</v>
      </c>
      <c r="Z221" s="13">
        <f t="shared" si="180"/>
        <v>0</v>
      </c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</row>
    <row r="222" spans="1:341" s="14" customFormat="1">
      <c r="A222" s="15" t="s">
        <v>216</v>
      </c>
      <c r="B222" s="13">
        <f t="shared" si="156"/>
        <v>0</v>
      </c>
      <c r="C222" s="13">
        <f t="shared" si="157"/>
        <v>0</v>
      </c>
      <c r="D222" s="13">
        <f t="shared" si="158"/>
        <v>0</v>
      </c>
      <c r="E222" s="13">
        <f t="shared" si="159"/>
        <v>0</v>
      </c>
      <c r="F222" s="13">
        <f t="shared" si="160"/>
        <v>0</v>
      </c>
      <c r="G222" s="13">
        <f t="shared" si="161"/>
        <v>0</v>
      </c>
      <c r="H222" s="13">
        <f t="shared" si="162"/>
        <v>0</v>
      </c>
      <c r="I222" s="13">
        <f t="shared" si="163"/>
        <v>0</v>
      </c>
      <c r="J222" s="13">
        <f t="shared" si="164"/>
        <v>0</v>
      </c>
      <c r="K222" s="13">
        <f t="shared" si="165"/>
        <v>0</v>
      </c>
      <c r="L222" s="13">
        <f t="shared" si="166"/>
        <v>0</v>
      </c>
      <c r="M222" s="13">
        <f t="shared" si="167"/>
        <v>0</v>
      </c>
      <c r="N222" s="13">
        <f t="shared" si="168"/>
        <v>0</v>
      </c>
      <c r="O222" s="13">
        <f t="shared" si="169"/>
        <v>0</v>
      </c>
      <c r="P222" s="13">
        <f t="shared" si="170"/>
        <v>0</v>
      </c>
      <c r="Q222" s="13">
        <f t="shared" si="171"/>
        <v>0</v>
      </c>
      <c r="R222" s="13">
        <f t="shared" si="172"/>
        <v>0</v>
      </c>
      <c r="S222" s="13">
        <f t="shared" si="173"/>
        <v>0</v>
      </c>
      <c r="T222" s="13">
        <f t="shared" si="174"/>
        <v>0</v>
      </c>
      <c r="U222" s="13">
        <f t="shared" si="175"/>
        <v>0</v>
      </c>
      <c r="V222" s="13">
        <f t="shared" si="176"/>
        <v>0</v>
      </c>
      <c r="W222" s="13">
        <f t="shared" si="177"/>
        <v>0</v>
      </c>
      <c r="X222" s="13">
        <f t="shared" si="178"/>
        <v>0</v>
      </c>
      <c r="Y222" s="13">
        <f t="shared" si="179"/>
        <v>0</v>
      </c>
      <c r="Z222" s="13">
        <f t="shared" si="180"/>
        <v>0</v>
      </c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</row>
    <row r="223" spans="1:341" s="14" customFormat="1">
      <c r="A223" s="15" t="s">
        <v>217</v>
      </c>
      <c r="B223" s="13">
        <f t="shared" si="156"/>
        <v>0</v>
      </c>
      <c r="C223" s="13">
        <f t="shared" si="157"/>
        <v>0</v>
      </c>
      <c r="D223" s="13">
        <f t="shared" si="158"/>
        <v>0</v>
      </c>
      <c r="E223" s="13">
        <f t="shared" si="159"/>
        <v>0</v>
      </c>
      <c r="F223" s="13">
        <f t="shared" si="160"/>
        <v>0</v>
      </c>
      <c r="G223" s="13">
        <f t="shared" si="161"/>
        <v>0</v>
      </c>
      <c r="H223" s="13">
        <f t="shared" si="162"/>
        <v>0</v>
      </c>
      <c r="I223" s="13">
        <f t="shared" si="163"/>
        <v>0</v>
      </c>
      <c r="J223" s="13">
        <f t="shared" si="164"/>
        <v>0</v>
      </c>
      <c r="K223" s="13">
        <f t="shared" si="165"/>
        <v>0</v>
      </c>
      <c r="L223" s="13">
        <f t="shared" si="166"/>
        <v>0</v>
      </c>
      <c r="M223" s="13">
        <f t="shared" si="167"/>
        <v>0</v>
      </c>
      <c r="N223" s="13">
        <f t="shared" si="168"/>
        <v>0</v>
      </c>
      <c r="O223" s="13">
        <f t="shared" si="169"/>
        <v>0</v>
      </c>
      <c r="P223" s="13">
        <f t="shared" si="170"/>
        <v>0</v>
      </c>
      <c r="Q223" s="13">
        <f t="shared" si="171"/>
        <v>0</v>
      </c>
      <c r="R223" s="13">
        <f t="shared" si="172"/>
        <v>0</v>
      </c>
      <c r="S223" s="13">
        <f t="shared" si="173"/>
        <v>0</v>
      </c>
      <c r="T223" s="13">
        <f t="shared" si="174"/>
        <v>0</v>
      </c>
      <c r="U223" s="13">
        <f t="shared" si="175"/>
        <v>0</v>
      </c>
      <c r="V223" s="13">
        <f t="shared" si="176"/>
        <v>0</v>
      </c>
      <c r="W223" s="13">
        <f t="shared" si="177"/>
        <v>0</v>
      </c>
      <c r="X223" s="13">
        <f t="shared" si="178"/>
        <v>0</v>
      </c>
      <c r="Y223" s="13">
        <f t="shared" si="179"/>
        <v>0</v>
      </c>
      <c r="Z223" s="13">
        <f t="shared" si="180"/>
        <v>0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</row>
    <row r="224" spans="1:341" s="14" customFormat="1">
      <c r="A224" s="15" t="s">
        <v>218</v>
      </c>
      <c r="B224" s="13">
        <f t="shared" si="156"/>
        <v>0</v>
      </c>
      <c r="C224" s="13">
        <f t="shared" si="157"/>
        <v>0</v>
      </c>
      <c r="D224" s="13">
        <f t="shared" si="158"/>
        <v>0</v>
      </c>
      <c r="E224" s="13">
        <f t="shared" si="159"/>
        <v>0</v>
      </c>
      <c r="F224" s="13">
        <f t="shared" si="160"/>
        <v>0</v>
      </c>
      <c r="G224" s="13">
        <f t="shared" si="161"/>
        <v>0</v>
      </c>
      <c r="H224" s="13">
        <f t="shared" si="162"/>
        <v>0</v>
      </c>
      <c r="I224" s="13">
        <f t="shared" si="163"/>
        <v>0</v>
      </c>
      <c r="J224" s="13">
        <f t="shared" si="164"/>
        <v>0</v>
      </c>
      <c r="K224" s="13">
        <f t="shared" si="165"/>
        <v>0</v>
      </c>
      <c r="L224" s="13">
        <f t="shared" si="166"/>
        <v>0</v>
      </c>
      <c r="M224" s="13">
        <f t="shared" si="167"/>
        <v>0</v>
      </c>
      <c r="N224" s="13">
        <f t="shared" si="168"/>
        <v>0</v>
      </c>
      <c r="O224" s="13">
        <f t="shared" si="169"/>
        <v>0</v>
      </c>
      <c r="P224" s="13">
        <f t="shared" si="170"/>
        <v>0</v>
      </c>
      <c r="Q224" s="13">
        <f t="shared" si="171"/>
        <v>0</v>
      </c>
      <c r="R224" s="13">
        <f t="shared" si="172"/>
        <v>0</v>
      </c>
      <c r="S224" s="13">
        <f t="shared" si="173"/>
        <v>0</v>
      </c>
      <c r="T224" s="13">
        <f t="shared" si="174"/>
        <v>0</v>
      </c>
      <c r="U224" s="13">
        <f t="shared" si="175"/>
        <v>0</v>
      </c>
      <c r="V224" s="13">
        <f t="shared" si="176"/>
        <v>0</v>
      </c>
      <c r="W224" s="13">
        <f t="shared" si="177"/>
        <v>0</v>
      </c>
      <c r="X224" s="13">
        <f t="shared" si="178"/>
        <v>0</v>
      </c>
      <c r="Y224" s="13">
        <f t="shared" si="179"/>
        <v>0</v>
      </c>
      <c r="Z224" s="13">
        <f t="shared" si="180"/>
        <v>0</v>
      </c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</row>
    <row r="225" spans="1:341" s="14" customFormat="1">
      <c r="A225" s="15" t="s">
        <v>219</v>
      </c>
      <c r="B225" s="13">
        <f t="shared" si="156"/>
        <v>0</v>
      </c>
      <c r="C225" s="13">
        <f t="shared" si="157"/>
        <v>0</v>
      </c>
      <c r="D225" s="13">
        <f t="shared" si="158"/>
        <v>0</v>
      </c>
      <c r="E225" s="13">
        <f t="shared" si="159"/>
        <v>0</v>
      </c>
      <c r="F225" s="13">
        <f t="shared" si="160"/>
        <v>0</v>
      </c>
      <c r="G225" s="13">
        <f t="shared" si="161"/>
        <v>0</v>
      </c>
      <c r="H225" s="13">
        <f t="shared" si="162"/>
        <v>0</v>
      </c>
      <c r="I225" s="13">
        <f t="shared" si="163"/>
        <v>0</v>
      </c>
      <c r="J225" s="13">
        <f t="shared" si="164"/>
        <v>0</v>
      </c>
      <c r="K225" s="13">
        <f t="shared" si="165"/>
        <v>0</v>
      </c>
      <c r="L225" s="13">
        <f t="shared" si="166"/>
        <v>0</v>
      </c>
      <c r="M225" s="13">
        <f t="shared" si="167"/>
        <v>0</v>
      </c>
      <c r="N225" s="13">
        <f t="shared" si="168"/>
        <v>0</v>
      </c>
      <c r="O225" s="13">
        <f t="shared" si="169"/>
        <v>0</v>
      </c>
      <c r="P225" s="13">
        <f t="shared" si="170"/>
        <v>0</v>
      </c>
      <c r="Q225" s="13">
        <f t="shared" si="171"/>
        <v>0</v>
      </c>
      <c r="R225" s="13">
        <f t="shared" si="172"/>
        <v>0</v>
      </c>
      <c r="S225" s="13">
        <f t="shared" si="173"/>
        <v>0</v>
      </c>
      <c r="T225" s="13">
        <f t="shared" si="174"/>
        <v>0</v>
      </c>
      <c r="U225" s="13">
        <f t="shared" si="175"/>
        <v>0</v>
      </c>
      <c r="V225" s="13">
        <f t="shared" si="176"/>
        <v>0</v>
      </c>
      <c r="W225" s="13">
        <f t="shared" si="177"/>
        <v>0</v>
      </c>
      <c r="X225" s="13">
        <f t="shared" si="178"/>
        <v>0</v>
      </c>
      <c r="Y225" s="13">
        <f t="shared" si="179"/>
        <v>0</v>
      </c>
      <c r="Z225" s="13">
        <f t="shared" si="180"/>
        <v>0</v>
      </c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</row>
    <row r="226" spans="1:341" s="14" customFormat="1">
      <c r="A226" s="15" t="s">
        <v>220</v>
      </c>
      <c r="B226" s="13">
        <f t="shared" si="156"/>
        <v>0</v>
      </c>
      <c r="C226" s="13">
        <f t="shared" si="157"/>
        <v>0</v>
      </c>
      <c r="D226" s="13">
        <f t="shared" si="158"/>
        <v>0</v>
      </c>
      <c r="E226" s="13">
        <f t="shared" si="159"/>
        <v>0</v>
      </c>
      <c r="F226" s="13">
        <f t="shared" si="160"/>
        <v>0</v>
      </c>
      <c r="G226" s="13">
        <f t="shared" si="161"/>
        <v>0</v>
      </c>
      <c r="H226" s="13">
        <f t="shared" si="162"/>
        <v>0</v>
      </c>
      <c r="I226" s="13">
        <f t="shared" si="163"/>
        <v>0</v>
      </c>
      <c r="J226" s="13">
        <f t="shared" si="164"/>
        <v>0</v>
      </c>
      <c r="K226" s="13">
        <f t="shared" si="165"/>
        <v>0</v>
      </c>
      <c r="L226" s="13">
        <f t="shared" si="166"/>
        <v>0</v>
      </c>
      <c r="M226" s="13">
        <f t="shared" si="167"/>
        <v>0</v>
      </c>
      <c r="N226" s="13">
        <f t="shared" si="168"/>
        <v>0</v>
      </c>
      <c r="O226" s="13">
        <f t="shared" si="169"/>
        <v>0</v>
      </c>
      <c r="P226" s="13">
        <f t="shared" si="170"/>
        <v>0</v>
      </c>
      <c r="Q226" s="13">
        <f t="shared" si="171"/>
        <v>0</v>
      </c>
      <c r="R226" s="13">
        <f t="shared" si="172"/>
        <v>0</v>
      </c>
      <c r="S226" s="13">
        <f t="shared" si="173"/>
        <v>0</v>
      </c>
      <c r="T226" s="13">
        <f t="shared" si="174"/>
        <v>0</v>
      </c>
      <c r="U226" s="13">
        <f t="shared" si="175"/>
        <v>0</v>
      </c>
      <c r="V226" s="13">
        <f t="shared" si="176"/>
        <v>0</v>
      </c>
      <c r="W226" s="13">
        <f t="shared" si="177"/>
        <v>0</v>
      </c>
      <c r="X226" s="13">
        <f t="shared" si="178"/>
        <v>0</v>
      </c>
      <c r="Y226" s="13">
        <f t="shared" si="179"/>
        <v>0</v>
      </c>
      <c r="Z226" s="13">
        <f t="shared" si="180"/>
        <v>0</v>
      </c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</row>
    <row r="227" spans="1:341" s="14" customFormat="1">
      <c r="A227" s="12" t="s">
        <v>221</v>
      </c>
      <c r="B227" s="13">
        <f t="shared" si="156"/>
        <v>0</v>
      </c>
      <c r="C227" s="13">
        <f t="shared" si="157"/>
        <v>0</v>
      </c>
      <c r="D227" s="13">
        <f t="shared" si="158"/>
        <v>0</v>
      </c>
      <c r="E227" s="13">
        <f t="shared" si="159"/>
        <v>0</v>
      </c>
      <c r="F227" s="13">
        <f t="shared" si="160"/>
        <v>0</v>
      </c>
      <c r="G227" s="13">
        <f t="shared" si="161"/>
        <v>0</v>
      </c>
      <c r="H227" s="13">
        <f t="shared" si="162"/>
        <v>0</v>
      </c>
      <c r="I227" s="13">
        <f t="shared" si="163"/>
        <v>0</v>
      </c>
      <c r="J227" s="13">
        <f t="shared" si="164"/>
        <v>0</v>
      </c>
      <c r="K227" s="13">
        <f t="shared" si="165"/>
        <v>0</v>
      </c>
      <c r="L227" s="13">
        <f t="shared" si="166"/>
        <v>0</v>
      </c>
      <c r="M227" s="13">
        <f t="shared" si="167"/>
        <v>0</v>
      </c>
      <c r="N227" s="13">
        <f t="shared" si="168"/>
        <v>0</v>
      </c>
      <c r="O227" s="13">
        <f t="shared" si="169"/>
        <v>0</v>
      </c>
      <c r="P227" s="13">
        <f t="shared" si="170"/>
        <v>0</v>
      </c>
      <c r="Q227" s="13">
        <f t="shared" si="171"/>
        <v>0</v>
      </c>
      <c r="R227" s="13">
        <f t="shared" si="172"/>
        <v>0</v>
      </c>
      <c r="S227" s="13">
        <f t="shared" si="173"/>
        <v>0</v>
      </c>
      <c r="T227" s="13">
        <f t="shared" si="174"/>
        <v>0</v>
      </c>
      <c r="U227" s="13">
        <f t="shared" si="175"/>
        <v>0</v>
      </c>
      <c r="V227" s="13">
        <f t="shared" si="176"/>
        <v>0</v>
      </c>
      <c r="W227" s="13">
        <f t="shared" si="177"/>
        <v>0</v>
      </c>
      <c r="X227" s="13">
        <f t="shared" si="178"/>
        <v>0</v>
      </c>
      <c r="Y227" s="13">
        <f t="shared" si="179"/>
        <v>0</v>
      </c>
      <c r="Z227" s="13">
        <f t="shared" si="180"/>
        <v>0</v>
      </c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</row>
    <row r="228" spans="1:341" s="14" customFormat="1">
      <c r="A228" s="15" t="s">
        <v>222</v>
      </c>
      <c r="B228" s="13">
        <f t="shared" si="156"/>
        <v>0</v>
      </c>
      <c r="C228" s="13">
        <f t="shared" si="157"/>
        <v>0</v>
      </c>
      <c r="D228" s="13">
        <f t="shared" si="158"/>
        <v>0</v>
      </c>
      <c r="E228" s="13">
        <f t="shared" si="159"/>
        <v>0</v>
      </c>
      <c r="F228" s="13">
        <f t="shared" si="160"/>
        <v>0</v>
      </c>
      <c r="G228" s="13">
        <f t="shared" si="161"/>
        <v>0</v>
      </c>
      <c r="H228" s="13">
        <f t="shared" si="162"/>
        <v>0</v>
      </c>
      <c r="I228" s="13">
        <f t="shared" si="163"/>
        <v>0</v>
      </c>
      <c r="J228" s="13">
        <f t="shared" si="164"/>
        <v>0</v>
      </c>
      <c r="K228" s="13">
        <f t="shared" si="165"/>
        <v>0</v>
      </c>
      <c r="L228" s="13">
        <f t="shared" si="166"/>
        <v>0</v>
      </c>
      <c r="M228" s="13">
        <f t="shared" si="167"/>
        <v>0</v>
      </c>
      <c r="N228" s="13">
        <f t="shared" si="168"/>
        <v>0</v>
      </c>
      <c r="O228" s="13">
        <f t="shared" si="169"/>
        <v>0</v>
      </c>
      <c r="P228" s="13">
        <f t="shared" si="170"/>
        <v>0</v>
      </c>
      <c r="Q228" s="13">
        <f t="shared" si="171"/>
        <v>0</v>
      </c>
      <c r="R228" s="13">
        <f t="shared" si="172"/>
        <v>0</v>
      </c>
      <c r="S228" s="13">
        <f t="shared" si="173"/>
        <v>0</v>
      </c>
      <c r="T228" s="13">
        <f t="shared" si="174"/>
        <v>0</v>
      </c>
      <c r="U228" s="13">
        <f t="shared" si="175"/>
        <v>0</v>
      </c>
      <c r="V228" s="13">
        <f t="shared" si="176"/>
        <v>0</v>
      </c>
      <c r="W228" s="13">
        <f t="shared" si="177"/>
        <v>0</v>
      </c>
      <c r="X228" s="13">
        <f t="shared" si="178"/>
        <v>0</v>
      </c>
      <c r="Y228" s="13">
        <f t="shared" si="179"/>
        <v>0</v>
      </c>
      <c r="Z228" s="13">
        <f t="shared" si="180"/>
        <v>0</v>
      </c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</row>
    <row r="229" spans="1:341" s="14" customFormat="1">
      <c r="A229" s="15" t="s">
        <v>223</v>
      </c>
      <c r="B229" s="13">
        <f t="shared" ref="B229" si="181">SUM(AB229:AM229)/1000</f>
        <v>0</v>
      </c>
      <c r="C229" s="13">
        <f t="shared" ref="C229" si="182">SUM(AN229:AY229)/1000</f>
        <v>0</v>
      </c>
      <c r="D229" s="13">
        <f t="shared" ref="D229" si="183">SUM(AZ229:BK229)/1000</f>
        <v>0</v>
      </c>
      <c r="E229" s="13">
        <f t="shared" ref="E229" si="184">SUM(BL229:BW229)/1000</f>
        <v>0</v>
      </c>
      <c r="F229" s="13">
        <f t="shared" ref="F229" si="185">SUM(BX229:CI229)/1000</f>
        <v>0</v>
      </c>
      <c r="G229" s="13">
        <f t="shared" ref="G229" si="186">SUM(CJ229:CU229)/1000</f>
        <v>0</v>
      </c>
      <c r="H229" s="13">
        <f t="shared" ref="H229" si="187">SUM(CV229:DG229)/1000</f>
        <v>0</v>
      </c>
      <c r="I229" s="13">
        <f t="shared" ref="I229" si="188">SUM(DH229:DS229)/1000</f>
        <v>0</v>
      </c>
      <c r="J229" s="13">
        <f t="shared" ref="J229" si="189">SUM(DT229:EE229)/1000</f>
        <v>0</v>
      </c>
      <c r="K229" s="13">
        <f t="shared" ref="K229" si="190">SUM(EF229:EQ229)/1000</f>
        <v>0</v>
      </c>
      <c r="L229" s="13">
        <f t="shared" ref="L229" si="191">SUM(ER229:FC229)/1000</f>
        <v>0</v>
      </c>
      <c r="M229" s="13">
        <f t="shared" ref="M229" si="192">SUM(FD229:FO229)/1000</f>
        <v>0</v>
      </c>
      <c r="N229" s="13">
        <f t="shared" ref="N229" si="193">SUM(FP229:GA229)/1000</f>
        <v>0</v>
      </c>
      <c r="O229" s="13">
        <f t="shared" ref="O229" si="194">SUM(GB229:GM229)/1000</f>
        <v>0</v>
      </c>
      <c r="P229" s="13">
        <f t="shared" ref="P229" si="195">SUM(GN229:GY229)/1000</f>
        <v>0</v>
      </c>
      <c r="Q229" s="13">
        <f t="shared" ref="Q229" si="196">SUM(GZ229:HK229)/1000</f>
        <v>0</v>
      </c>
      <c r="R229" s="13">
        <f t="shared" ref="R229" si="197">SUM(HL229:HW229)/1000</f>
        <v>0</v>
      </c>
      <c r="S229" s="13">
        <f t="shared" ref="S229" si="198">SUM(HX229:II229)/1000</f>
        <v>0</v>
      </c>
      <c r="T229" s="13">
        <f t="shared" ref="T229" si="199">SUM(IJ229:IU229)/1000</f>
        <v>0</v>
      </c>
      <c r="U229" s="13">
        <f t="shared" ref="U229" si="200">SUM(IV229:JG229)/1000</f>
        <v>0</v>
      </c>
      <c r="V229" s="13">
        <f t="shared" ref="V229" si="201">SUM(JH229:JS229)/1000</f>
        <v>0</v>
      </c>
      <c r="W229" s="13">
        <f t="shared" ref="W229" si="202">SUM(JT229:KE229)/1000</f>
        <v>0</v>
      </c>
      <c r="X229" s="13">
        <f t="shared" ref="X229" si="203">SUM(KF229:KQ229)/1000</f>
        <v>0</v>
      </c>
      <c r="Y229" s="13">
        <f t="shared" ref="Y229" si="204">SUM(KR229:LC229)/1000</f>
        <v>0</v>
      </c>
      <c r="Z229" s="13">
        <f t="shared" ref="Z229" si="205">SUM(LD229:LO229)/1000</f>
        <v>0</v>
      </c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</row>
    <row r="230" spans="1:341" s="14" customFormat="1">
      <c r="A230" s="15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</row>
    <row r="231" spans="1:341" s="14" customFormat="1">
      <c r="A231" s="15" t="s">
        <v>224</v>
      </c>
      <c r="B231" s="13">
        <f t="shared" ref="B231:Z231" si="206">SUM(B232:B287)</f>
        <v>1E-3</v>
      </c>
      <c r="C231" s="13">
        <f t="shared" si="206"/>
        <v>0</v>
      </c>
      <c r="D231" s="13">
        <f t="shared" si="206"/>
        <v>0</v>
      </c>
      <c r="E231" s="13">
        <f t="shared" si="206"/>
        <v>0</v>
      </c>
      <c r="F231" s="13">
        <f t="shared" si="206"/>
        <v>0</v>
      </c>
      <c r="G231" s="13">
        <f t="shared" si="206"/>
        <v>0.35997298564705882</v>
      </c>
      <c r="H231" s="13">
        <f t="shared" si="206"/>
        <v>0.31075083694117639</v>
      </c>
      <c r="I231" s="13">
        <f t="shared" si="206"/>
        <v>0.24296951741176467</v>
      </c>
      <c r="J231" s="13">
        <f t="shared" si="206"/>
        <v>0.27596680094117643</v>
      </c>
      <c r="K231" s="13">
        <f t="shared" si="206"/>
        <v>0.17040431223529409</v>
      </c>
      <c r="L231" s="13">
        <f t="shared" si="206"/>
        <v>0.49726473999999998</v>
      </c>
      <c r="M231" s="13">
        <f t="shared" si="206"/>
        <v>1.1000919687058821</v>
      </c>
      <c r="N231" s="13">
        <f t="shared" si="206"/>
        <v>17.624958648705878</v>
      </c>
      <c r="O231" s="13">
        <f t="shared" si="206"/>
        <v>35.224499302588228</v>
      </c>
      <c r="P231" s="13">
        <f t="shared" si="206"/>
        <v>181.24681614282346</v>
      </c>
      <c r="Q231" s="13">
        <f t="shared" si="206"/>
        <v>45.389564656470576</v>
      </c>
      <c r="R231" s="13">
        <f t="shared" si="206"/>
        <v>19.933586933647049</v>
      </c>
      <c r="S231" s="13">
        <f t="shared" si="206"/>
        <v>31.29223175647056</v>
      </c>
      <c r="T231" s="13">
        <f t="shared" si="206"/>
        <v>18.722157278588224</v>
      </c>
      <c r="U231" s="13">
        <f t="shared" si="206"/>
        <v>162.02680336282344</v>
      </c>
      <c r="V231" s="13">
        <f t="shared" si="206"/>
        <v>116.58542579435289</v>
      </c>
      <c r="W231" s="13">
        <f t="shared" si="206"/>
        <v>208.73493661505867</v>
      </c>
      <c r="X231" s="13">
        <f t="shared" si="206"/>
        <v>532.00360103673461</v>
      </c>
      <c r="Y231" s="13">
        <f t="shared" si="206"/>
        <v>375.65823040457138</v>
      </c>
      <c r="Z231" s="13">
        <f t="shared" si="206"/>
        <v>0</v>
      </c>
      <c r="AB231" s="13">
        <f t="shared" ref="AB231:CM231" si="207">SUM(AB232:AB287)</f>
        <v>1</v>
      </c>
      <c r="AC231" s="13">
        <f t="shared" si="207"/>
        <v>0</v>
      </c>
      <c r="AD231" s="13">
        <f t="shared" si="207"/>
        <v>0</v>
      </c>
      <c r="AE231" s="13">
        <f t="shared" si="207"/>
        <v>0</v>
      </c>
      <c r="AF231" s="13">
        <f t="shared" si="207"/>
        <v>0</v>
      </c>
      <c r="AG231" s="13">
        <f t="shared" si="207"/>
        <v>0</v>
      </c>
      <c r="AH231" s="13">
        <f t="shared" si="207"/>
        <v>0</v>
      </c>
      <c r="AI231" s="13">
        <f t="shared" si="207"/>
        <v>0</v>
      </c>
      <c r="AJ231" s="13">
        <f t="shared" si="207"/>
        <v>0</v>
      </c>
      <c r="AK231" s="13">
        <f t="shared" si="207"/>
        <v>0</v>
      </c>
      <c r="AL231" s="13">
        <f t="shared" si="207"/>
        <v>0</v>
      </c>
      <c r="AM231" s="13">
        <f t="shared" si="207"/>
        <v>0</v>
      </c>
      <c r="AN231" s="13">
        <f t="shared" si="207"/>
        <v>0</v>
      </c>
      <c r="AO231" s="13">
        <f t="shared" si="207"/>
        <v>0</v>
      </c>
      <c r="AP231" s="13">
        <f t="shared" si="207"/>
        <v>0</v>
      </c>
      <c r="AQ231" s="13">
        <f t="shared" si="207"/>
        <v>0</v>
      </c>
      <c r="AR231" s="13">
        <f t="shared" si="207"/>
        <v>0</v>
      </c>
      <c r="AS231" s="13">
        <f t="shared" si="207"/>
        <v>0</v>
      </c>
      <c r="AT231" s="13">
        <f t="shared" si="207"/>
        <v>0</v>
      </c>
      <c r="AU231" s="13">
        <f t="shared" si="207"/>
        <v>0</v>
      </c>
      <c r="AV231" s="13">
        <f t="shared" si="207"/>
        <v>0</v>
      </c>
      <c r="AW231" s="13">
        <f t="shared" si="207"/>
        <v>0</v>
      </c>
      <c r="AX231" s="13">
        <f t="shared" si="207"/>
        <v>0</v>
      </c>
      <c r="AY231" s="13">
        <f t="shared" si="207"/>
        <v>0</v>
      </c>
      <c r="AZ231" s="13">
        <f t="shared" si="207"/>
        <v>0</v>
      </c>
      <c r="BA231" s="13">
        <f t="shared" si="207"/>
        <v>0</v>
      </c>
      <c r="BB231" s="13">
        <f t="shared" si="207"/>
        <v>0</v>
      </c>
      <c r="BC231" s="13">
        <f t="shared" si="207"/>
        <v>0</v>
      </c>
      <c r="BD231" s="13">
        <f t="shared" si="207"/>
        <v>0</v>
      </c>
      <c r="BE231" s="13">
        <f t="shared" si="207"/>
        <v>0</v>
      </c>
      <c r="BF231" s="13">
        <f t="shared" si="207"/>
        <v>0</v>
      </c>
      <c r="BG231" s="13">
        <f t="shared" si="207"/>
        <v>0</v>
      </c>
      <c r="BH231" s="13">
        <f t="shared" si="207"/>
        <v>0</v>
      </c>
      <c r="BI231" s="13">
        <f t="shared" si="207"/>
        <v>0</v>
      </c>
      <c r="BJ231" s="13">
        <f t="shared" si="207"/>
        <v>0</v>
      </c>
      <c r="BK231" s="13">
        <f t="shared" si="207"/>
        <v>0</v>
      </c>
      <c r="BL231" s="13">
        <f t="shared" si="207"/>
        <v>0</v>
      </c>
      <c r="BM231" s="13">
        <f t="shared" si="207"/>
        <v>0</v>
      </c>
      <c r="BN231" s="13">
        <f t="shared" si="207"/>
        <v>0</v>
      </c>
      <c r="BO231" s="13">
        <f t="shared" si="207"/>
        <v>0</v>
      </c>
      <c r="BP231" s="13">
        <f t="shared" si="207"/>
        <v>0</v>
      </c>
      <c r="BQ231" s="13">
        <f t="shared" si="207"/>
        <v>0</v>
      </c>
      <c r="BR231" s="13">
        <f t="shared" si="207"/>
        <v>0</v>
      </c>
      <c r="BS231" s="13">
        <f t="shared" si="207"/>
        <v>0</v>
      </c>
      <c r="BT231" s="13">
        <f t="shared" si="207"/>
        <v>0</v>
      </c>
      <c r="BU231" s="13">
        <f t="shared" si="207"/>
        <v>0</v>
      </c>
      <c r="BV231" s="13">
        <f t="shared" si="207"/>
        <v>0</v>
      </c>
      <c r="BW231" s="13">
        <f t="shared" si="207"/>
        <v>0</v>
      </c>
      <c r="BX231" s="13">
        <f t="shared" si="207"/>
        <v>0</v>
      </c>
      <c r="BY231" s="13">
        <f t="shared" si="207"/>
        <v>0</v>
      </c>
      <c r="BZ231" s="13">
        <f t="shared" si="207"/>
        <v>0</v>
      </c>
      <c r="CA231" s="13">
        <f t="shared" si="207"/>
        <v>0</v>
      </c>
      <c r="CB231" s="13">
        <f t="shared" si="207"/>
        <v>0</v>
      </c>
      <c r="CC231" s="13">
        <f t="shared" si="207"/>
        <v>0</v>
      </c>
      <c r="CD231" s="13">
        <f t="shared" si="207"/>
        <v>0</v>
      </c>
      <c r="CE231" s="13">
        <f t="shared" si="207"/>
        <v>0</v>
      </c>
      <c r="CF231" s="13">
        <f t="shared" si="207"/>
        <v>0</v>
      </c>
      <c r="CG231" s="13">
        <f t="shared" si="207"/>
        <v>0</v>
      </c>
      <c r="CH231" s="13">
        <f t="shared" si="207"/>
        <v>0</v>
      </c>
      <c r="CI231" s="13">
        <f t="shared" si="207"/>
        <v>0</v>
      </c>
      <c r="CJ231" s="13">
        <f t="shared" si="207"/>
        <v>19.481365647058819</v>
      </c>
      <c r="CK231" s="13">
        <f t="shared" si="207"/>
        <v>28.732132470588233</v>
      </c>
      <c r="CL231" s="13">
        <f t="shared" si="207"/>
        <v>47.493033411764699</v>
      </c>
      <c r="CM231" s="13">
        <f t="shared" si="207"/>
        <v>26.196096705882347</v>
      </c>
      <c r="CN231" s="13">
        <f t="shared" ref="CN231:EY231" si="208">SUM(CN232:CN287)</f>
        <v>53.775485647058815</v>
      </c>
      <c r="CO231" s="13">
        <f t="shared" si="208"/>
        <v>25.907910823529406</v>
      </c>
      <c r="CP231" s="13">
        <f t="shared" si="208"/>
        <v>11.469798117647057</v>
      </c>
      <c r="CQ231" s="13">
        <f t="shared" si="208"/>
        <v>52.795653647058813</v>
      </c>
      <c r="CR231" s="13">
        <f t="shared" si="208"/>
        <v>30.662977882352934</v>
      </c>
      <c r="CS231" s="13">
        <f t="shared" si="208"/>
        <v>17.435245882352937</v>
      </c>
      <c r="CT231" s="13">
        <f t="shared" si="208"/>
        <v>34.294119999999992</v>
      </c>
      <c r="CU231" s="13">
        <f t="shared" si="208"/>
        <v>11.729165411764704</v>
      </c>
      <c r="CV231" s="13">
        <f t="shared" si="208"/>
        <v>17.175878588235289</v>
      </c>
      <c r="CW231" s="13">
        <f t="shared" si="208"/>
        <v>22.478498823529407</v>
      </c>
      <c r="CX231" s="13">
        <f t="shared" si="208"/>
        <v>19.97128164705882</v>
      </c>
      <c r="CY231" s="13">
        <f t="shared" si="208"/>
        <v>88.962981882352921</v>
      </c>
      <c r="CZ231" s="13">
        <f t="shared" si="208"/>
        <v>10.864607764705882</v>
      </c>
      <c r="DA231" s="13">
        <f t="shared" si="208"/>
        <v>10.028868705882351</v>
      </c>
      <c r="DB231" s="13">
        <f t="shared" si="208"/>
        <v>11.210430823529409</v>
      </c>
      <c r="DC231" s="13">
        <f t="shared" si="208"/>
        <v>22.737866117647055</v>
      </c>
      <c r="DD231" s="13">
        <f t="shared" si="208"/>
        <v>29.020318352941167</v>
      </c>
      <c r="DE231" s="13">
        <f t="shared" si="208"/>
        <v>5.6196247058823525</v>
      </c>
      <c r="DF231" s="13">
        <f t="shared" si="208"/>
        <v>58.87637576470587</v>
      </c>
      <c r="DG231" s="13">
        <f t="shared" si="208"/>
        <v>13.804103764705879</v>
      </c>
      <c r="DH231" s="13">
        <f t="shared" si="208"/>
        <v>11.152793647058823</v>
      </c>
      <c r="DI231" s="13">
        <f t="shared" si="208"/>
        <v>14.380475529411761</v>
      </c>
      <c r="DJ231" s="13">
        <f t="shared" si="208"/>
        <v>34.928128941176467</v>
      </c>
      <c r="DK231" s="13">
        <f t="shared" si="208"/>
        <v>11.815621176470586</v>
      </c>
      <c r="DL231" s="13">
        <f t="shared" si="208"/>
        <v>16.39777670588235</v>
      </c>
      <c r="DM231" s="13">
        <f t="shared" si="208"/>
        <v>23.314237882352938</v>
      </c>
      <c r="DN231" s="13">
        <f t="shared" si="208"/>
        <v>10.605240470588232</v>
      </c>
      <c r="DO231" s="13">
        <f t="shared" si="208"/>
        <v>16.772418352941173</v>
      </c>
      <c r="DP231" s="13">
        <f t="shared" si="208"/>
        <v>13.400643529411763</v>
      </c>
      <c r="DQ231" s="13">
        <f t="shared" si="208"/>
        <v>38.069355058823518</v>
      </c>
      <c r="DR231" s="13">
        <f t="shared" si="208"/>
        <v>18.847356705882348</v>
      </c>
      <c r="DS231" s="13">
        <f t="shared" si="208"/>
        <v>33.285469411764701</v>
      </c>
      <c r="DT231" s="13">
        <f t="shared" si="208"/>
        <v>29.567871529411761</v>
      </c>
      <c r="DU231" s="13">
        <f t="shared" si="208"/>
        <v>16.772418352941173</v>
      </c>
      <c r="DV231" s="13">
        <f t="shared" si="208"/>
        <v>24.524618588235288</v>
      </c>
      <c r="DW231" s="13">
        <f t="shared" si="208"/>
        <v>15.475581882352937</v>
      </c>
      <c r="DX231" s="13">
        <f t="shared" si="208"/>
        <v>27.809937647058817</v>
      </c>
      <c r="DY231" s="13">
        <f t="shared" si="208"/>
        <v>34.899310352941171</v>
      </c>
      <c r="DZ231" s="13">
        <f t="shared" si="208"/>
        <v>17.838706117647057</v>
      </c>
      <c r="EA231" s="13">
        <f t="shared" si="208"/>
        <v>32.593823294117641</v>
      </c>
      <c r="EB231" s="13">
        <f t="shared" si="208"/>
        <v>11.469798117647056</v>
      </c>
      <c r="EC231" s="13">
        <f t="shared" si="208"/>
        <v>17.579338823529412</v>
      </c>
      <c r="ED231" s="13">
        <f t="shared" si="208"/>
        <v>24.063521176470584</v>
      </c>
      <c r="EE231" s="13">
        <f t="shared" si="208"/>
        <v>23.371875058823527</v>
      </c>
      <c r="EF231" s="13">
        <f t="shared" si="208"/>
        <v>3.1988632941176465</v>
      </c>
      <c r="EG231" s="13">
        <f t="shared" si="208"/>
        <v>5.7637176470588223</v>
      </c>
      <c r="EH231" s="13">
        <f t="shared" si="208"/>
        <v>6.7147310588235287</v>
      </c>
      <c r="EI231" s="13">
        <f t="shared" si="208"/>
        <v>13.515917882352939</v>
      </c>
      <c r="EJ231" s="13">
        <f t="shared" si="208"/>
        <v>16.916511294117644</v>
      </c>
      <c r="EK231" s="13">
        <f t="shared" si="208"/>
        <v>18.270984941176469</v>
      </c>
      <c r="EL231" s="13">
        <f t="shared" si="208"/>
        <v>13.832922352941175</v>
      </c>
      <c r="EM231" s="13">
        <f t="shared" si="208"/>
        <v>19.683095764705882</v>
      </c>
      <c r="EN231" s="13">
        <f t="shared" si="208"/>
        <v>9.4524969411764701</v>
      </c>
      <c r="EO231" s="13">
        <f t="shared" si="208"/>
        <v>9.5677712941176445</v>
      </c>
      <c r="EP231" s="13">
        <f t="shared" si="208"/>
        <v>21.124025176470582</v>
      </c>
      <c r="EQ231" s="13">
        <f t="shared" si="208"/>
        <v>32.363274588235285</v>
      </c>
      <c r="ER231" s="13">
        <f t="shared" si="208"/>
        <v>23.141326352941171</v>
      </c>
      <c r="ES231" s="13">
        <f t="shared" si="208"/>
        <v>34.063571294117644</v>
      </c>
      <c r="ET231" s="13">
        <f t="shared" si="208"/>
        <v>29.27968564705882</v>
      </c>
      <c r="EU231" s="13">
        <f t="shared" si="208"/>
        <v>40.230749176470582</v>
      </c>
      <c r="EV231" s="13">
        <f t="shared" si="208"/>
        <v>34.582305882352934</v>
      </c>
      <c r="EW231" s="13">
        <f t="shared" si="208"/>
        <v>54.323038823529401</v>
      </c>
      <c r="EX231" s="13">
        <f t="shared" si="208"/>
        <v>145.36095905882351</v>
      </c>
      <c r="EY231" s="13">
        <f t="shared" si="208"/>
        <v>17.752250352941175</v>
      </c>
      <c r="EZ231" s="13">
        <f t="shared" ref="EZ231:HK231" si="209">SUM(EZ232:EZ287)</f>
        <v>22.132675764705876</v>
      </c>
      <c r="FA231" s="13">
        <f t="shared" si="209"/>
        <v>22.85314047058823</v>
      </c>
      <c r="FB231" s="13">
        <f t="shared" si="209"/>
        <v>39.164461411764698</v>
      </c>
      <c r="FC231" s="13">
        <f t="shared" si="209"/>
        <v>34.380575764705874</v>
      </c>
      <c r="FD231" s="13">
        <f t="shared" si="209"/>
        <v>24.985715999999996</v>
      </c>
      <c r="FE231" s="13">
        <f t="shared" si="209"/>
        <v>19.510184235294115</v>
      </c>
      <c r="FF231" s="13">
        <f t="shared" si="209"/>
        <v>24.928078823529408</v>
      </c>
      <c r="FG231" s="13">
        <f t="shared" si="209"/>
        <v>69.971532235294106</v>
      </c>
      <c r="FH231" s="13">
        <f t="shared" si="209"/>
        <v>92.450031058823512</v>
      </c>
      <c r="FI231" s="13">
        <f t="shared" si="209"/>
        <v>71.614191764705865</v>
      </c>
      <c r="FJ231" s="13">
        <f t="shared" si="209"/>
        <v>65.447013882352934</v>
      </c>
      <c r="FK231" s="13">
        <f t="shared" si="209"/>
        <v>76.369258823529393</v>
      </c>
      <c r="FL231" s="13">
        <f t="shared" si="209"/>
        <v>63.199163999999989</v>
      </c>
      <c r="FM231" s="13">
        <f t="shared" si="209"/>
        <v>167.63772776470586</v>
      </c>
      <c r="FN231" s="13">
        <f t="shared" si="209"/>
        <v>331.8460435294117</v>
      </c>
      <c r="FO231" s="13">
        <f t="shared" si="209"/>
        <v>92.133026588235282</v>
      </c>
      <c r="FP231" s="13">
        <f t="shared" si="209"/>
        <v>257.72463458823523</v>
      </c>
      <c r="FQ231" s="13">
        <f t="shared" si="209"/>
        <v>404.92998329411756</v>
      </c>
      <c r="FR231" s="13">
        <f t="shared" si="209"/>
        <v>511.81812705882351</v>
      </c>
      <c r="FS231" s="13">
        <f t="shared" si="209"/>
        <v>456.74580494117635</v>
      </c>
      <c r="FT231" s="13">
        <f t="shared" si="209"/>
        <v>2216.3799839999997</v>
      </c>
      <c r="FU231" s="13">
        <f t="shared" si="209"/>
        <v>2389.1474204705878</v>
      </c>
      <c r="FV231" s="13">
        <f t="shared" si="209"/>
        <v>2309.8098470588229</v>
      </c>
      <c r="FW231" s="13">
        <f t="shared" si="209"/>
        <v>910.17747223529386</v>
      </c>
      <c r="FX231" s="13">
        <f t="shared" si="209"/>
        <v>789.13940164705866</v>
      </c>
      <c r="FY231" s="13">
        <f t="shared" si="209"/>
        <v>2902.6658442352937</v>
      </c>
      <c r="FZ231" s="13">
        <f t="shared" si="209"/>
        <v>737.64058447058801</v>
      </c>
      <c r="GA231" s="13">
        <f t="shared" si="209"/>
        <v>3738.7795447058816</v>
      </c>
      <c r="GB231" s="13">
        <f t="shared" si="209"/>
        <v>3136.9321479999994</v>
      </c>
      <c r="GC231" s="13">
        <f t="shared" si="209"/>
        <v>846.92067105882336</v>
      </c>
      <c r="GD231" s="13">
        <f t="shared" si="209"/>
        <v>1384.531434588235</v>
      </c>
      <c r="GE231" s="13">
        <f t="shared" si="209"/>
        <v>1350.3814075294115</v>
      </c>
      <c r="GF231" s="13">
        <f t="shared" si="209"/>
        <v>1708.0200875294117</v>
      </c>
      <c r="GG231" s="13">
        <f t="shared" si="209"/>
        <v>1755.6283952941171</v>
      </c>
      <c r="GH231" s="13">
        <f t="shared" si="209"/>
        <v>3814.428338823529</v>
      </c>
      <c r="GI231" s="13">
        <f t="shared" si="209"/>
        <v>2296.8126637647056</v>
      </c>
      <c r="GJ231" s="13">
        <f t="shared" si="209"/>
        <v>992.88682047058796</v>
      </c>
      <c r="GK231" s="13">
        <f t="shared" si="209"/>
        <v>4790.9173825882344</v>
      </c>
      <c r="GL231" s="13">
        <f t="shared" si="209"/>
        <v>5492.9670105882342</v>
      </c>
      <c r="GM231" s="13">
        <f t="shared" si="209"/>
        <v>7654.072942352941</v>
      </c>
      <c r="GN231" s="13">
        <f t="shared" si="209"/>
        <v>17002.477142823525</v>
      </c>
      <c r="GO231" s="13">
        <f t="shared" si="209"/>
        <v>11265.531964235292</v>
      </c>
      <c r="GP231" s="13">
        <f t="shared" si="209"/>
        <v>8274.2489611764686</v>
      </c>
      <c r="GQ231" s="13">
        <f t="shared" si="209"/>
        <v>13602.171916941177</v>
      </c>
      <c r="GR231" s="13">
        <f t="shared" si="209"/>
        <v>13962.461907058821</v>
      </c>
      <c r="GS231" s="13">
        <f t="shared" si="209"/>
        <v>14030.87723552941</v>
      </c>
      <c r="GT231" s="13">
        <f t="shared" si="209"/>
        <v>9299.1820517647029</v>
      </c>
      <c r="GU231" s="13">
        <f t="shared" si="209"/>
        <v>17602.10550823529</v>
      </c>
      <c r="GV231" s="13">
        <f t="shared" si="209"/>
        <v>32368.66366423529</v>
      </c>
      <c r="GW231" s="13">
        <f t="shared" si="209"/>
        <v>16431.119812470588</v>
      </c>
      <c r="GX231" s="13">
        <f t="shared" si="209"/>
        <v>13503.208884941172</v>
      </c>
      <c r="GY231" s="13">
        <f t="shared" si="209"/>
        <v>13904.767093411763</v>
      </c>
      <c r="GZ231" s="13">
        <f t="shared" si="209"/>
        <v>8705.4903155294105</v>
      </c>
      <c r="HA231" s="13">
        <f t="shared" si="209"/>
        <v>1891.882680470588</v>
      </c>
      <c r="HB231" s="13">
        <f t="shared" si="209"/>
        <v>13002.111272705881</v>
      </c>
      <c r="HC231" s="13">
        <f t="shared" si="209"/>
        <v>1909.0873776470585</v>
      </c>
      <c r="HD231" s="13">
        <f t="shared" si="209"/>
        <v>755.62338352941163</v>
      </c>
      <c r="HE231" s="13">
        <f t="shared" si="209"/>
        <v>2196.898618352941</v>
      </c>
      <c r="HF231" s="13">
        <f t="shared" si="209"/>
        <v>2087.9067176470585</v>
      </c>
      <c r="HG231" s="13">
        <f t="shared" si="209"/>
        <v>3781.8633341176464</v>
      </c>
      <c r="HH231" s="13">
        <f t="shared" si="209"/>
        <v>2160.270192705882</v>
      </c>
      <c r="HI231" s="13">
        <f t="shared" si="209"/>
        <v>4204.4302934117641</v>
      </c>
      <c r="HJ231" s="13">
        <f t="shared" si="209"/>
        <v>3145.2319014117647</v>
      </c>
      <c r="HK231" s="13">
        <f t="shared" si="209"/>
        <v>1548.768568941176</v>
      </c>
      <c r="HL231" s="13">
        <f t="shared" ref="HL231:JW231" si="210">SUM(HL232:HL287)</f>
        <v>906.02759552941097</v>
      </c>
      <c r="HM231" s="13">
        <f t="shared" si="210"/>
        <v>1080.8411517647087</v>
      </c>
      <c r="HN231" s="13">
        <f t="shared" si="210"/>
        <v>2218.25319223529</v>
      </c>
      <c r="HO231" s="13">
        <f t="shared" si="210"/>
        <v>1364.7618830588201</v>
      </c>
      <c r="HP231" s="13">
        <f t="shared" si="210"/>
        <v>2797.79500164706</v>
      </c>
      <c r="HQ231" s="13">
        <f t="shared" si="210"/>
        <v>1746.6369957647</v>
      </c>
      <c r="HR231" s="13">
        <f t="shared" si="210"/>
        <v>1343.29203482353</v>
      </c>
      <c r="HS231" s="13">
        <f t="shared" si="210"/>
        <v>2172.97919011765</v>
      </c>
      <c r="HT231" s="13">
        <f t="shared" si="210"/>
        <v>2875.6916456470599</v>
      </c>
      <c r="HU231" s="13">
        <f t="shared" si="210"/>
        <v>754.84528164705796</v>
      </c>
      <c r="HV231" s="13">
        <f t="shared" si="210"/>
        <v>1249.8045345882299</v>
      </c>
      <c r="HW231" s="13">
        <f t="shared" si="210"/>
        <v>1422.6584268235299</v>
      </c>
      <c r="HX231" s="13">
        <f t="shared" si="210"/>
        <v>2312.8934359999989</v>
      </c>
      <c r="HY231" s="13">
        <f t="shared" si="210"/>
        <v>1788.8274089411734</v>
      </c>
      <c r="HZ231" s="13">
        <f t="shared" si="210"/>
        <v>2489.6666562352989</v>
      </c>
      <c r="IA231" s="13">
        <f t="shared" si="210"/>
        <v>2551.8283510588258</v>
      </c>
      <c r="IB231" s="13">
        <f t="shared" si="210"/>
        <v>2797.477997176471</v>
      </c>
      <c r="IC231" s="13">
        <f t="shared" si="210"/>
        <v>2473.55706541176</v>
      </c>
      <c r="ID231" s="13">
        <f t="shared" si="210"/>
        <v>3414.5992456470558</v>
      </c>
      <c r="IE231" s="13">
        <f t="shared" si="210"/>
        <v>2991.7152818823479</v>
      </c>
      <c r="IF231" s="13">
        <f t="shared" si="210"/>
        <v>3117.6525124705868</v>
      </c>
      <c r="IG231" s="13">
        <f t="shared" si="210"/>
        <v>2829.7836345882301</v>
      </c>
      <c r="IH231" s="13">
        <f t="shared" si="210"/>
        <v>2212.3453816470546</v>
      </c>
      <c r="II231" s="13">
        <f t="shared" si="210"/>
        <v>2311.884785411763</v>
      </c>
      <c r="IJ231" s="13">
        <f t="shared" si="210"/>
        <v>1832.8910303529401</v>
      </c>
      <c r="IK231" s="13">
        <f t="shared" si="210"/>
        <v>1258.5365668235304</v>
      </c>
      <c r="IL231" s="13">
        <f t="shared" si="210"/>
        <v>2314.9395557647008</v>
      </c>
      <c r="IM231" s="13">
        <f t="shared" si="210"/>
        <v>2076.3216451764697</v>
      </c>
      <c r="IN231" s="13">
        <f t="shared" si="210"/>
        <v>2066.0622277647044</v>
      </c>
      <c r="IO231" s="13">
        <f t="shared" si="210"/>
        <v>2501.0097000000001</v>
      </c>
      <c r="IP231" s="13">
        <f t="shared" si="210"/>
        <v>0</v>
      </c>
      <c r="IQ231" s="13">
        <f t="shared" si="210"/>
        <v>1820.0667585882341</v>
      </c>
      <c r="IR231" s="13">
        <f t="shared" si="210"/>
        <v>1949.0011223529398</v>
      </c>
      <c r="IS231" s="13">
        <f t="shared" si="210"/>
        <v>1396.2029628235287</v>
      </c>
      <c r="IT231" s="13">
        <f t="shared" si="210"/>
        <v>352.01905529411744</v>
      </c>
      <c r="IU231" s="13">
        <f t="shared" si="210"/>
        <v>1155.1066536470582</v>
      </c>
      <c r="IV231" s="13">
        <f t="shared" si="210"/>
        <v>529.0228242352938</v>
      </c>
      <c r="IW231" s="13">
        <f t="shared" si="210"/>
        <v>2106.3794327058808</v>
      </c>
      <c r="IX231" s="13">
        <f t="shared" si="210"/>
        <v>9699.7286999999997</v>
      </c>
      <c r="IY231" s="13">
        <f t="shared" si="210"/>
        <v>2323.3834021176453</v>
      </c>
      <c r="IZ231" s="13">
        <f t="shared" si="210"/>
        <v>7124.1855604705843</v>
      </c>
      <c r="JA231" s="13">
        <f t="shared" si="210"/>
        <v>7005.3953397647019</v>
      </c>
      <c r="JB231" s="13">
        <f t="shared" si="210"/>
        <v>2033.6124974117633</v>
      </c>
      <c r="JC231" s="13">
        <f t="shared" si="210"/>
        <v>2002.690152235293</v>
      </c>
      <c r="JD231" s="13">
        <f t="shared" si="210"/>
        <v>16587.02837482352</v>
      </c>
      <c r="JE231" s="13">
        <f t="shared" si="210"/>
        <v>24389.200042117634</v>
      </c>
      <c r="JF231" s="13">
        <f t="shared" si="210"/>
        <v>34352.737008470562</v>
      </c>
      <c r="JG231" s="13">
        <f t="shared" si="210"/>
        <v>53873.440028470555</v>
      </c>
      <c r="JH231" s="13">
        <f t="shared" si="210"/>
        <v>1855.5424407058813</v>
      </c>
      <c r="JI231" s="13">
        <f t="shared" si="210"/>
        <v>3762.3819684705863</v>
      </c>
      <c r="JJ231" s="13">
        <f t="shared" si="210"/>
        <v>9604.5438127058769</v>
      </c>
      <c r="JK231" s="13">
        <f t="shared" si="210"/>
        <v>4904.3473458823491</v>
      </c>
      <c r="JL231" s="13">
        <f t="shared" si="210"/>
        <v>4456.2182988235272</v>
      </c>
      <c r="JM231" s="13">
        <f t="shared" si="210"/>
        <v>3608.231339999998</v>
      </c>
      <c r="JN231" s="13">
        <f t="shared" si="210"/>
        <v>11593.08403811764</v>
      </c>
      <c r="JO231" s="13">
        <f t="shared" si="210"/>
        <v>11549.279783999993</v>
      </c>
      <c r="JP231" s="13">
        <f t="shared" si="210"/>
        <v>9609.7023399999944</v>
      </c>
      <c r="JQ231" s="13">
        <f t="shared" si="210"/>
        <v>14055.862951529403</v>
      </c>
      <c r="JR231" s="13">
        <f t="shared" si="210"/>
        <v>19742.490875058815</v>
      </c>
      <c r="JS231" s="13">
        <f t="shared" si="210"/>
        <v>21843.740599058812</v>
      </c>
      <c r="JT231" s="13">
        <f t="shared" si="210"/>
        <v>13934.680787999992</v>
      </c>
      <c r="JU231" s="13">
        <f t="shared" si="210"/>
        <v>11270.315849882347</v>
      </c>
      <c r="JV231" s="13">
        <f t="shared" si="210"/>
        <v>6346.4871383529371</v>
      </c>
      <c r="JW231" s="13">
        <f t="shared" si="210"/>
        <v>10346.363092470581</v>
      </c>
      <c r="JX231" s="13">
        <f t="shared" ref="JX231:MC231" si="211">SUM(JX232:JX287)</f>
        <v>5585.8205018823501</v>
      </c>
      <c r="JY231" s="13">
        <f t="shared" si="211"/>
        <v>13724.045726588227</v>
      </c>
      <c r="JZ231" s="13">
        <f t="shared" si="211"/>
        <v>36970.704019529388</v>
      </c>
      <c r="KA231" s="13">
        <f t="shared" si="211"/>
        <v>25563.067596705871</v>
      </c>
      <c r="KB231" s="13">
        <f t="shared" si="211"/>
        <v>28812.50751317645</v>
      </c>
      <c r="KC231" s="13">
        <f t="shared" si="211"/>
        <v>28881.873855058806</v>
      </c>
      <c r="KD231" s="13">
        <f t="shared" si="211"/>
        <v>27299.070533411752</v>
      </c>
      <c r="KE231" s="13">
        <f t="shared" si="211"/>
        <v>0</v>
      </c>
      <c r="KF231" s="13">
        <f t="shared" si="211"/>
        <v>0</v>
      </c>
      <c r="KG231" s="13">
        <f t="shared" si="211"/>
        <v>0</v>
      </c>
      <c r="KH231" s="13">
        <f t="shared" si="211"/>
        <v>19331.937844625849</v>
      </c>
      <c r="KI231" s="13">
        <f t="shared" si="211"/>
        <v>32259.949503945572</v>
      </c>
      <c r="KJ231" s="13">
        <f t="shared" si="211"/>
        <v>38818.109104761912</v>
      </c>
      <c r="KK231" s="13">
        <f t="shared" si="211"/>
        <v>44584.495179863938</v>
      </c>
      <c r="KL231" s="13">
        <f t="shared" si="211"/>
        <v>58624.565158911559</v>
      </c>
      <c r="KM231" s="13">
        <f t="shared" si="211"/>
        <v>59147.075096326524</v>
      </c>
      <c r="KN231" s="13">
        <f t="shared" si="211"/>
        <v>56615.511450068021</v>
      </c>
      <c r="KO231" s="13">
        <f t="shared" si="211"/>
        <v>61019.772308299325</v>
      </c>
      <c r="KP231" s="13">
        <f t="shared" si="211"/>
        <v>67571.842958639463</v>
      </c>
      <c r="KQ231" s="13">
        <f t="shared" si="211"/>
        <v>94030.342431292534</v>
      </c>
      <c r="KR231" s="13">
        <f t="shared" si="211"/>
        <v>4048.5558428571426</v>
      </c>
      <c r="KS231" s="13">
        <f t="shared" si="211"/>
        <v>23658.053638285714</v>
      </c>
      <c r="KT231" s="13">
        <f t="shared" si="211"/>
        <v>32666.918996571429</v>
      </c>
      <c r="KU231" s="13">
        <f t="shared" si="211"/>
        <v>29222.099638285716</v>
      </c>
      <c r="KV231" s="13">
        <f t="shared" si="211"/>
        <v>40136.148337714287</v>
      </c>
      <c r="KW231" s="13">
        <f t="shared" si="211"/>
        <v>74256.408147428563</v>
      </c>
      <c r="KX231" s="13">
        <f t="shared" si="211"/>
        <v>71428.702979999987</v>
      </c>
      <c r="KY231" s="13">
        <f t="shared" si="211"/>
        <v>65781.961158857142</v>
      </c>
      <c r="KZ231" s="13">
        <f t="shared" si="211"/>
        <v>7315.9556211428571</v>
      </c>
      <c r="LA231" s="13">
        <f t="shared" si="211"/>
        <v>11667.369536571428</v>
      </c>
      <c r="LB231" s="13">
        <f t="shared" si="211"/>
        <v>6539.2987851428579</v>
      </c>
      <c r="LC231" s="13">
        <f t="shared" si="211"/>
        <v>8936.7577217142862</v>
      </c>
      <c r="LD231" s="13">
        <f t="shared" si="211"/>
        <v>0</v>
      </c>
      <c r="LE231" s="13">
        <f t="shared" si="211"/>
        <v>0</v>
      </c>
      <c r="LF231" s="13">
        <f t="shared" si="211"/>
        <v>0</v>
      </c>
      <c r="LG231" s="13">
        <f t="shared" si="211"/>
        <v>0</v>
      </c>
      <c r="LH231" s="13">
        <f t="shared" si="211"/>
        <v>0</v>
      </c>
      <c r="LI231" s="13">
        <f t="shared" si="211"/>
        <v>0</v>
      </c>
      <c r="LJ231" s="13">
        <f t="shared" si="211"/>
        <v>0</v>
      </c>
      <c r="LK231" s="13">
        <f t="shared" si="211"/>
        <v>0</v>
      </c>
      <c r="LL231" s="13">
        <f t="shared" si="211"/>
        <v>0</v>
      </c>
      <c r="LM231" s="13">
        <f t="shared" si="211"/>
        <v>0</v>
      </c>
      <c r="LN231" s="13">
        <f t="shared" si="211"/>
        <v>0</v>
      </c>
      <c r="LO231" s="13">
        <f t="shared" si="211"/>
        <v>0</v>
      </c>
      <c r="LP231" s="13">
        <f t="shared" si="211"/>
        <v>0</v>
      </c>
      <c r="LQ231" s="13">
        <f t="shared" si="211"/>
        <v>5.94</v>
      </c>
      <c r="LR231" s="13">
        <f t="shared" si="211"/>
        <v>0</v>
      </c>
      <c r="LS231" s="13">
        <f t="shared" si="211"/>
        <v>0</v>
      </c>
      <c r="LT231" s="13">
        <f t="shared" si="211"/>
        <v>0</v>
      </c>
      <c r="LU231" s="13">
        <f t="shared" si="211"/>
        <v>0</v>
      </c>
      <c r="LV231" s="13">
        <f t="shared" si="211"/>
        <v>0</v>
      </c>
      <c r="LW231" s="13">
        <f t="shared" si="211"/>
        <v>0</v>
      </c>
      <c r="LX231" s="13">
        <f t="shared" si="211"/>
        <v>0</v>
      </c>
      <c r="LY231" s="13">
        <f t="shared" si="211"/>
        <v>0</v>
      </c>
      <c r="LZ231" s="13">
        <f t="shared" si="211"/>
        <v>0</v>
      </c>
      <c r="MA231" s="13">
        <f t="shared" si="211"/>
        <v>0</v>
      </c>
      <c r="MB231" s="13">
        <f t="shared" si="211"/>
        <v>0</v>
      </c>
      <c r="MC231" s="13">
        <f t="shared" si="211"/>
        <v>0</v>
      </c>
    </row>
    <row r="232" spans="1:341" s="14" customFormat="1">
      <c r="A232" s="15" t="s">
        <v>225</v>
      </c>
      <c r="B232" s="13">
        <f t="shared" ref="B232:B287" si="212">SUM(AB232:AM232)/1000</f>
        <v>0</v>
      </c>
      <c r="C232" s="13">
        <f t="shared" ref="C232:C287" si="213">SUM(AN232:AY232)/1000</f>
        <v>0</v>
      </c>
      <c r="D232" s="13">
        <f t="shared" ref="D232:D287" si="214">SUM(AZ232:BK232)/1000</f>
        <v>0</v>
      </c>
      <c r="E232" s="13">
        <f t="shared" ref="E232:E287" si="215">SUM(BL232:BW232)/1000</f>
        <v>0</v>
      </c>
      <c r="F232" s="13">
        <f t="shared" ref="F232:F287" si="216">SUM(BX232:CI232)/1000</f>
        <v>0</v>
      </c>
      <c r="G232" s="13">
        <f t="shared" ref="G232:G287" si="217">SUM(CJ232:CU232)/1000</f>
        <v>0</v>
      </c>
      <c r="H232" s="13">
        <f t="shared" ref="H232:H287" si="218">SUM(CV232:DG232)/1000</f>
        <v>0</v>
      </c>
      <c r="I232" s="13">
        <f t="shared" ref="I232:I287" si="219">SUM(DH232:DS232)/1000</f>
        <v>0</v>
      </c>
      <c r="J232" s="13">
        <f t="shared" ref="J232:J287" si="220">SUM(DT232:EE232)/1000</f>
        <v>0</v>
      </c>
      <c r="K232" s="13">
        <f t="shared" ref="K232:K287" si="221">SUM(EF232:EQ232)/1000</f>
        <v>0</v>
      </c>
      <c r="L232" s="13">
        <f t="shared" ref="L232:L287" si="222">SUM(ER232:FC232)/1000</f>
        <v>0</v>
      </c>
      <c r="M232" s="13">
        <f t="shared" ref="M232:M287" si="223">SUM(FD232:FO232)/1000</f>
        <v>0</v>
      </c>
      <c r="N232" s="13">
        <f t="shared" ref="N232:N287" si="224">SUM(FP232:GA232)/1000</f>
        <v>0</v>
      </c>
      <c r="O232" s="13">
        <f t="shared" ref="O232:O287" si="225">SUM(GB232:GM232)/1000</f>
        <v>0</v>
      </c>
      <c r="P232" s="13">
        <f t="shared" ref="P232:P287" si="226">SUM(GN232:GY232)/1000</f>
        <v>0</v>
      </c>
      <c r="Q232" s="13">
        <f t="shared" ref="Q232:Q287" si="227">SUM(GZ232:HK232)/1000</f>
        <v>0</v>
      </c>
      <c r="R232" s="13">
        <f t="shared" ref="R232:R287" si="228">SUM(HL232:HW232)/1000</f>
        <v>0</v>
      </c>
      <c r="S232" s="13">
        <f t="shared" ref="S232:S287" si="229">SUM(HX232:II232)/1000</f>
        <v>0</v>
      </c>
      <c r="T232" s="13">
        <f t="shared" ref="T232:T287" si="230">SUM(IJ232:IU232)/1000</f>
        <v>0</v>
      </c>
      <c r="U232" s="13">
        <f t="shared" ref="U232:U287" si="231">SUM(IV232:JG232)/1000</f>
        <v>0</v>
      </c>
      <c r="V232" s="13">
        <f t="shared" ref="V232:V287" si="232">SUM(JH232:JS232)/1000</f>
        <v>0</v>
      </c>
      <c r="W232" s="13">
        <f t="shared" ref="W232:W287" si="233">SUM(JT232:KE232)/1000</f>
        <v>0</v>
      </c>
      <c r="X232" s="13">
        <f t="shared" ref="X232:X287" si="234">SUM(KF232:KQ232)/1000</f>
        <v>0</v>
      </c>
      <c r="Y232" s="13">
        <f t="shared" ref="Y232:Y287" si="235">SUM(KR232:LC232)/1000</f>
        <v>0</v>
      </c>
      <c r="Z232" s="13">
        <f t="shared" ref="Z232:Z287" si="236">SUM(LD232:LO232)/1000</f>
        <v>0</v>
      </c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</row>
    <row r="233" spans="1:341" s="14" customFormat="1">
      <c r="A233" s="15" t="s">
        <v>226</v>
      </c>
      <c r="B233" s="13">
        <f t="shared" si="212"/>
        <v>0</v>
      </c>
      <c r="C233" s="13">
        <f t="shared" si="213"/>
        <v>0</v>
      </c>
      <c r="D233" s="13">
        <f t="shared" si="214"/>
        <v>0</v>
      </c>
      <c r="E233" s="13">
        <f t="shared" si="215"/>
        <v>0</v>
      </c>
      <c r="F233" s="13">
        <f t="shared" si="216"/>
        <v>0</v>
      </c>
      <c r="G233" s="13">
        <f t="shared" si="217"/>
        <v>0</v>
      </c>
      <c r="H233" s="13">
        <f t="shared" si="218"/>
        <v>0</v>
      </c>
      <c r="I233" s="13">
        <f t="shared" si="219"/>
        <v>0</v>
      </c>
      <c r="J233" s="13">
        <f t="shared" si="220"/>
        <v>0</v>
      </c>
      <c r="K233" s="13">
        <f t="shared" si="221"/>
        <v>0</v>
      </c>
      <c r="L233" s="13">
        <f t="shared" si="222"/>
        <v>0</v>
      </c>
      <c r="M233" s="13">
        <f t="shared" si="223"/>
        <v>0</v>
      </c>
      <c r="N233" s="13">
        <f t="shared" si="224"/>
        <v>0</v>
      </c>
      <c r="O233" s="13">
        <f t="shared" si="225"/>
        <v>0</v>
      </c>
      <c r="P233" s="13">
        <f t="shared" si="226"/>
        <v>0</v>
      </c>
      <c r="Q233" s="13">
        <f t="shared" si="227"/>
        <v>0</v>
      </c>
      <c r="R233" s="13">
        <f t="shared" si="228"/>
        <v>0</v>
      </c>
      <c r="S233" s="13">
        <f t="shared" si="229"/>
        <v>0</v>
      </c>
      <c r="T233" s="13">
        <f t="shared" si="230"/>
        <v>0</v>
      </c>
      <c r="U233" s="13">
        <f t="shared" si="231"/>
        <v>0</v>
      </c>
      <c r="V233" s="13">
        <f t="shared" si="232"/>
        <v>0</v>
      </c>
      <c r="W233" s="13">
        <f t="shared" si="233"/>
        <v>0</v>
      </c>
      <c r="X233" s="13">
        <f t="shared" si="234"/>
        <v>0</v>
      </c>
      <c r="Y233" s="13">
        <f t="shared" si="235"/>
        <v>0</v>
      </c>
      <c r="Z233" s="13">
        <f t="shared" si="236"/>
        <v>0</v>
      </c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</row>
    <row r="234" spans="1:341" s="14" customFormat="1">
      <c r="A234" s="15" t="s">
        <v>227</v>
      </c>
      <c r="B234" s="13">
        <f t="shared" si="212"/>
        <v>0</v>
      </c>
      <c r="C234" s="13">
        <f t="shared" si="213"/>
        <v>0</v>
      </c>
      <c r="D234" s="13">
        <f t="shared" si="214"/>
        <v>0</v>
      </c>
      <c r="E234" s="13">
        <f t="shared" si="215"/>
        <v>0</v>
      </c>
      <c r="F234" s="13">
        <f t="shared" si="216"/>
        <v>0</v>
      </c>
      <c r="G234" s="13">
        <f t="shared" si="217"/>
        <v>0</v>
      </c>
      <c r="H234" s="13">
        <f t="shared" si="218"/>
        <v>0</v>
      </c>
      <c r="I234" s="13">
        <f t="shared" si="219"/>
        <v>0</v>
      </c>
      <c r="J234" s="13">
        <f t="shared" si="220"/>
        <v>0</v>
      </c>
      <c r="K234" s="13">
        <f t="shared" si="221"/>
        <v>0</v>
      </c>
      <c r="L234" s="13">
        <f t="shared" si="222"/>
        <v>0</v>
      </c>
      <c r="M234" s="13">
        <f t="shared" si="223"/>
        <v>0</v>
      </c>
      <c r="N234" s="13">
        <f t="shared" si="224"/>
        <v>0</v>
      </c>
      <c r="O234" s="13">
        <f t="shared" si="225"/>
        <v>11.78913689388235</v>
      </c>
      <c r="P234" s="13">
        <f t="shared" si="226"/>
        <v>155.79219289364701</v>
      </c>
      <c r="Q234" s="13">
        <f t="shared" si="227"/>
        <v>25.95125398023529</v>
      </c>
      <c r="R234" s="13">
        <f t="shared" si="228"/>
        <v>0</v>
      </c>
      <c r="S234" s="13">
        <f t="shared" si="229"/>
        <v>0</v>
      </c>
      <c r="T234" s="13">
        <f t="shared" si="230"/>
        <v>0</v>
      </c>
      <c r="U234" s="13">
        <f t="shared" si="231"/>
        <v>127.51426560352934</v>
      </c>
      <c r="V234" s="13">
        <f t="shared" si="232"/>
        <v>45.100139574823501</v>
      </c>
      <c r="W234" s="13">
        <f t="shared" si="233"/>
        <v>155.26008648047048</v>
      </c>
      <c r="X234" s="13">
        <f t="shared" si="234"/>
        <v>434.40069439156457</v>
      </c>
      <c r="Y234" s="13">
        <f t="shared" si="235"/>
        <v>290.26134238114281</v>
      </c>
      <c r="Z234" s="13">
        <f t="shared" si="236"/>
        <v>0</v>
      </c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>
        <v>1152.7435294117645</v>
      </c>
      <c r="GI234" s="13"/>
      <c r="GJ234" s="13"/>
      <c r="GK234" s="13">
        <v>2255.6020825882347</v>
      </c>
      <c r="GL234" s="13">
        <v>2881.7147305882349</v>
      </c>
      <c r="GM234" s="13">
        <v>5499.0765512941171</v>
      </c>
      <c r="GN234" s="13">
        <v>14650.592156941175</v>
      </c>
      <c r="GO234" s="13">
        <v>9198.6916345882328</v>
      </c>
      <c r="GP234" s="13">
        <v>5928.6464275294102</v>
      </c>
      <c r="GQ234" s="13">
        <v>9969.8770557647058</v>
      </c>
      <c r="GR234" s="13">
        <v>11166.655387999997</v>
      </c>
      <c r="GS234" s="13">
        <v>12411.820129882351</v>
      </c>
      <c r="GT234" s="13">
        <v>7489.7493522352925</v>
      </c>
      <c r="GU234" s="13">
        <v>15850.828719764702</v>
      </c>
      <c r="GV234" s="13">
        <v>30413.956461411759</v>
      </c>
      <c r="GW234" s="13">
        <v>14779.267153411764</v>
      </c>
      <c r="GX234" s="13">
        <v>12290.753240705879</v>
      </c>
      <c r="GY234" s="13">
        <v>11641.355173411763</v>
      </c>
      <c r="GZ234" s="13">
        <v>7061.9085912941164</v>
      </c>
      <c r="HA234" s="13"/>
      <c r="HB234" s="13">
        <v>10939.680187058822</v>
      </c>
      <c r="HC234" s="13">
        <v>445.10309529411757</v>
      </c>
      <c r="HD234" s="13"/>
      <c r="HE234" s="13"/>
      <c r="HF234" s="13"/>
      <c r="HG234" s="13">
        <v>2020.8170442352937</v>
      </c>
      <c r="HH234" s="13"/>
      <c r="HI234" s="13">
        <v>3172.3213743529404</v>
      </c>
      <c r="HJ234" s="13">
        <v>2311.4236879999999</v>
      </c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>
        <v>6143.7726000000002</v>
      </c>
      <c r="IY234" s="13"/>
      <c r="IZ234" s="13">
        <v>5185.4150369411736</v>
      </c>
      <c r="JA234" s="13">
        <v>5043.8869501176441</v>
      </c>
      <c r="JB234" s="13"/>
      <c r="JC234" s="13"/>
      <c r="JD234" s="13">
        <v>11247.260979294111</v>
      </c>
      <c r="JE234" s="13">
        <v>22125.269387529399</v>
      </c>
      <c r="JF234" s="13">
        <v>31954.684644235273</v>
      </c>
      <c r="JG234" s="13">
        <v>45813.976005411736</v>
      </c>
      <c r="JH234" s="13"/>
      <c r="JI234" s="13"/>
      <c r="JJ234" s="13"/>
      <c r="JK234" s="13"/>
      <c r="JL234" s="13"/>
      <c r="JM234" s="13"/>
      <c r="JN234" s="13">
        <v>5250.1415861176438</v>
      </c>
      <c r="JO234" s="13">
        <v>2961.0523039999985</v>
      </c>
      <c r="JP234" s="13">
        <v>5640.8351868235259</v>
      </c>
      <c r="JQ234" s="13">
        <v>5585.0423999999966</v>
      </c>
      <c r="JR234" s="13">
        <v>11531.844538117639</v>
      </c>
      <c r="JS234" s="13">
        <v>14131.223559764698</v>
      </c>
      <c r="JT234" s="13">
        <v>12241.358180470581</v>
      </c>
      <c r="JU234" s="13">
        <v>8034.7953115294076</v>
      </c>
      <c r="JV234" s="13">
        <v>2063.1515503529399</v>
      </c>
      <c r="JW234" s="13">
        <v>7800.4713705882305</v>
      </c>
      <c r="JX234" s="13">
        <v>1031.2155428235289</v>
      </c>
      <c r="JY234" s="13">
        <v>8670.7639167058769</v>
      </c>
      <c r="JZ234" s="13">
        <v>24343.320849647043</v>
      </c>
      <c r="KA234" s="13">
        <v>20706.616744470579</v>
      </c>
      <c r="KB234" s="13">
        <v>26492.178881411746</v>
      </c>
      <c r="KC234" s="13">
        <v>22149.275271529397</v>
      </c>
      <c r="KD234" s="13">
        <v>21726.938860941165</v>
      </c>
      <c r="KE234" s="13"/>
      <c r="KF234" s="13"/>
      <c r="KG234" s="13"/>
      <c r="KH234" s="13">
        <v>10891.992598367347</v>
      </c>
      <c r="KI234" s="13">
        <v>22210.481683537411</v>
      </c>
      <c r="KJ234" s="13">
        <v>30313.105072380957</v>
      </c>
      <c r="KK234" s="13">
        <v>34591.657598367339</v>
      </c>
      <c r="KL234" s="13">
        <v>49865.444927346936</v>
      </c>
      <c r="KM234" s="13">
        <v>47910.081964081626</v>
      </c>
      <c r="KN234" s="13">
        <v>45154.456938231284</v>
      </c>
      <c r="KO234" s="13">
        <v>54650.760105034016</v>
      </c>
      <c r="KP234" s="13">
        <v>60534.57593931973</v>
      </c>
      <c r="KQ234" s="13">
        <v>78278.137564897974</v>
      </c>
      <c r="KR234" s="13"/>
      <c r="KS234" s="13">
        <v>18402.654718285714</v>
      </c>
      <c r="KT234" s="13">
        <v>28409.688932571429</v>
      </c>
      <c r="KU234" s="13">
        <v>22855.361266285716</v>
      </c>
      <c r="KV234" s="13">
        <v>32712.151241142859</v>
      </c>
      <c r="KW234" s="13">
        <v>69127.227586285706</v>
      </c>
      <c r="KX234" s="13">
        <v>64357.685362285709</v>
      </c>
      <c r="KY234" s="13">
        <v>54396.573274285714</v>
      </c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</row>
    <row r="235" spans="1:341" s="14" customFormat="1">
      <c r="A235" s="15" t="s">
        <v>228</v>
      </c>
      <c r="B235" s="13">
        <f t="shared" si="212"/>
        <v>0</v>
      </c>
      <c r="C235" s="13">
        <f t="shared" si="213"/>
        <v>0</v>
      </c>
      <c r="D235" s="13">
        <f t="shared" si="214"/>
        <v>0</v>
      </c>
      <c r="E235" s="13">
        <f t="shared" si="215"/>
        <v>0</v>
      </c>
      <c r="F235" s="13">
        <f t="shared" si="216"/>
        <v>0</v>
      </c>
      <c r="G235" s="13">
        <f t="shared" si="217"/>
        <v>0</v>
      </c>
      <c r="H235" s="13">
        <f t="shared" si="218"/>
        <v>0</v>
      </c>
      <c r="I235" s="13">
        <f t="shared" si="219"/>
        <v>0</v>
      </c>
      <c r="J235" s="13">
        <f t="shared" si="220"/>
        <v>0</v>
      </c>
      <c r="K235" s="13">
        <f t="shared" si="221"/>
        <v>0</v>
      </c>
      <c r="L235" s="13">
        <f t="shared" si="222"/>
        <v>0</v>
      </c>
      <c r="M235" s="13">
        <f t="shared" si="223"/>
        <v>0</v>
      </c>
      <c r="N235" s="13">
        <f t="shared" si="224"/>
        <v>0</v>
      </c>
      <c r="O235" s="13">
        <f t="shared" si="225"/>
        <v>0</v>
      </c>
      <c r="P235" s="13">
        <f t="shared" si="226"/>
        <v>0</v>
      </c>
      <c r="Q235" s="13">
        <f t="shared" si="227"/>
        <v>0</v>
      </c>
      <c r="R235" s="13">
        <f t="shared" si="228"/>
        <v>0</v>
      </c>
      <c r="S235" s="13">
        <f t="shared" si="229"/>
        <v>0</v>
      </c>
      <c r="T235" s="13">
        <f t="shared" si="230"/>
        <v>0</v>
      </c>
      <c r="U235" s="13">
        <f t="shared" si="231"/>
        <v>0</v>
      </c>
      <c r="V235" s="13">
        <f t="shared" si="232"/>
        <v>0</v>
      </c>
      <c r="W235" s="13">
        <f t="shared" si="233"/>
        <v>0</v>
      </c>
      <c r="X235" s="13">
        <f t="shared" si="234"/>
        <v>0</v>
      </c>
      <c r="Y235" s="13">
        <f t="shared" si="235"/>
        <v>0</v>
      </c>
      <c r="Z235" s="13">
        <f t="shared" si="236"/>
        <v>0</v>
      </c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</row>
    <row r="236" spans="1:341" s="14" customFormat="1">
      <c r="A236" s="15" t="s">
        <v>229</v>
      </c>
      <c r="B236" s="13">
        <f t="shared" si="212"/>
        <v>0</v>
      </c>
      <c r="C236" s="13">
        <f t="shared" si="213"/>
        <v>0</v>
      </c>
      <c r="D236" s="13">
        <f t="shared" si="214"/>
        <v>0</v>
      </c>
      <c r="E236" s="13">
        <f t="shared" si="215"/>
        <v>0</v>
      </c>
      <c r="F236" s="13">
        <f t="shared" si="216"/>
        <v>0</v>
      </c>
      <c r="G236" s="13">
        <f t="shared" si="217"/>
        <v>0</v>
      </c>
      <c r="H236" s="13">
        <f t="shared" si="218"/>
        <v>0</v>
      </c>
      <c r="I236" s="13">
        <f t="shared" si="219"/>
        <v>0</v>
      </c>
      <c r="J236" s="13">
        <f t="shared" si="220"/>
        <v>0</v>
      </c>
      <c r="K236" s="13">
        <f t="shared" si="221"/>
        <v>0</v>
      </c>
      <c r="L236" s="13">
        <f t="shared" si="222"/>
        <v>0</v>
      </c>
      <c r="M236" s="13">
        <f t="shared" si="223"/>
        <v>0</v>
      </c>
      <c r="N236" s="13">
        <f t="shared" si="224"/>
        <v>0</v>
      </c>
      <c r="O236" s="13">
        <f t="shared" si="225"/>
        <v>0</v>
      </c>
      <c r="P236" s="13">
        <f t="shared" si="226"/>
        <v>0</v>
      </c>
      <c r="Q236" s="13">
        <f t="shared" si="227"/>
        <v>0</v>
      </c>
      <c r="R236" s="13">
        <f t="shared" si="228"/>
        <v>0</v>
      </c>
      <c r="S236" s="13">
        <f t="shared" si="229"/>
        <v>0</v>
      </c>
      <c r="T236" s="13">
        <f t="shared" si="230"/>
        <v>0</v>
      </c>
      <c r="U236" s="13">
        <f t="shared" si="231"/>
        <v>0</v>
      </c>
      <c r="V236" s="13">
        <f t="shared" si="232"/>
        <v>0</v>
      </c>
      <c r="W236" s="13">
        <f t="shared" si="233"/>
        <v>0</v>
      </c>
      <c r="X236" s="13">
        <f t="shared" si="234"/>
        <v>0</v>
      </c>
      <c r="Y236" s="13">
        <f t="shared" si="235"/>
        <v>0</v>
      </c>
      <c r="Z236" s="13">
        <f t="shared" si="236"/>
        <v>0</v>
      </c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</row>
    <row r="237" spans="1:341" s="14" customFormat="1">
      <c r="A237" s="15" t="s">
        <v>230</v>
      </c>
      <c r="B237" s="13">
        <f t="shared" si="212"/>
        <v>0</v>
      </c>
      <c r="C237" s="13">
        <f t="shared" si="213"/>
        <v>0</v>
      </c>
      <c r="D237" s="13">
        <f t="shared" si="214"/>
        <v>0</v>
      </c>
      <c r="E237" s="13">
        <f t="shared" si="215"/>
        <v>0</v>
      </c>
      <c r="F237" s="13">
        <f t="shared" si="216"/>
        <v>0</v>
      </c>
      <c r="G237" s="13">
        <f t="shared" si="217"/>
        <v>0</v>
      </c>
      <c r="H237" s="13">
        <f t="shared" si="218"/>
        <v>0</v>
      </c>
      <c r="I237" s="13">
        <f t="shared" si="219"/>
        <v>0</v>
      </c>
      <c r="J237" s="13">
        <f t="shared" si="220"/>
        <v>0</v>
      </c>
      <c r="K237" s="13">
        <f t="shared" si="221"/>
        <v>0</v>
      </c>
      <c r="L237" s="13">
        <f t="shared" si="222"/>
        <v>0</v>
      </c>
      <c r="M237" s="13">
        <f t="shared" si="223"/>
        <v>0</v>
      </c>
      <c r="N237" s="13">
        <f t="shared" si="224"/>
        <v>0</v>
      </c>
      <c r="O237" s="13">
        <f t="shared" si="225"/>
        <v>0</v>
      </c>
      <c r="P237" s="13">
        <f t="shared" si="226"/>
        <v>0</v>
      </c>
      <c r="Q237" s="13">
        <f t="shared" si="227"/>
        <v>0</v>
      </c>
      <c r="R237" s="13">
        <f t="shared" si="228"/>
        <v>0</v>
      </c>
      <c r="S237" s="13">
        <f t="shared" si="229"/>
        <v>0</v>
      </c>
      <c r="T237" s="13">
        <f t="shared" si="230"/>
        <v>0</v>
      </c>
      <c r="U237" s="13">
        <f t="shared" si="231"/>
        <v>0</v>
      </c>
      <c r="V237" s="13">
        <f t="shared" si="232"/>
        <v>0</v>
      </c>
      <c r="W237" s="13">
        <f t="shared" si="233"/>
        <v>0</v>
      </c>
      <c r="X237" s="13">
        <f t="shared" si="234"/>
        <v>0</v>
      </c>
      <c r="Y237" s="13">
        <f t="shared" si="235"/>
        <v>0</v>
      </c>
      <c r="Z237" s="13">
        <f t="shared" si="236"/>
        <v>0</v>
      </c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</row>
    <row r="238" spans="1:341" s="14" customFormat="1">
      <c r="A238" s="15" t="s">
        <v>231</v>
      </c>
      <c r="B238" s="13">
        <f t="shared" si="212"/>
        <v>0</v>
      </c>
      <c r="C238" s="13">
        <f t="shared" si="213"/>
        <v>0</v>
      </c>
      <c r="D238" s="13">
        <f t="shared" si="214"/>
        <v>0</v>
      </c>
      <c r="E238" s="13">
        <f t="shared" si="215"/>
        <v>0</v>
      </c>
      <c r="F238" s="13">
        <f t="shared" si="216"/>
        <v>0</v>
      </c>
      <c r="G238" s="13">
        <f t="shared" si="217"/>
        <v>0</v>
      </c>
      <c r="H238" s="13">
        <f t="shared" si="218"/>
        <v>0</v>
      </c>
      <c r="I238" s="13">
        <f t="shared" si="219"/>
        <v>0</v>
      </c>
      <c r="J238" s="13">
        <f t="shared" si="220"/>
        <v>0</v>
      </c>
      <c r="K238" s="13">
        <f t="shared" si="221"/>
        <v>0</v>
      </c>
      <c r="L238" s="13">
        <f t="shared" si="222"/>
        <v>0</v>
      </c>
      <c r="M238" s="13">
        <f t="shared" si="223"/>
        <v>0</v>
      </c>
      <c r="N238" s="13">
        <f t="shared" si="224"/>
        <v>0</v>
      </c>
      <c r="O238" s="13">
        <f t="shared" si="225"/>
        <v>0</v>
      </c>
      <c r="P238" s="13">
        <f t="shared" si="226"/>
        <v>0</v>
      </c>
      <c r="Q238" s="13">
        <f t="shared" si="227"/>
        <v>0</v>
      </c>
      <c r="R238" s="13">
        <f t="shared" si="228"/>
        <v>0</v>
      </c>
      <c r="S238" s="13">
        <f t="shared" si="229"/>
        <v>0</v>
      </c>
      <c r="T238" s="13">
        <f t="shared" si="230"/>
        <v>0</v>
      </c>
      <c r="U238" s="13">
        <f t="shared" si="231"/>
        <v>0</v>
      </c>
      <c r="V238" s="13">
        <f t="shared" si="232"/>
        <v>0</v>
      </c>
      <c r="W238" s="13">
        <f t="shared" si="233"/>
        <v>0</v>
      </c>
      <c r="X238" s="13">
        <f t="shared" si="234"/>
        <v>0</v>
      </c>
      <c r="Y238" s="13">
        <f t="shared" si="235"/>
        <v>0</v>
      </c>
      <c r="Z238" s="13">
        <f t="shared" si="236"/>
        <v>0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</row>
    <row r="239" spans="1:341" s="14" customFormat="1">
      <c r="A239" s="15" t="s">
        <v>232</v>
      </c>
      <c r="B239" s="13">
        <f t="shared" si="212"/>
        <v>0</v>
      </c>
      <c r="C239" s="13">
        <f t="shared" si="213"/>
        <v>0</v>
      </c>
      <c r="D239" s="13">
        <f t="shared" si="214"/>
        <v>0</v>
      </c>
      <c r="E239" s="13">
        <f t="shared" si="215"/>
        <v>0</v>
      </c>
      <c r="F239" s="13">
        <f t="shared" si="216"/>
        <v>0</v>
      </c>
      <c r="G239" s="13">
        <f t="shared" si="217"/>
        <v>0</v>
      </c>
      <c r="H239" s="13">
        <f t="shared" si="218"/>
        <v>0</v>
      </c>
      <c r="I239" s="13">
        <f t="shared" si="219"/>
        <v>0</v>
      </c>
      <c r="J239" s="13">
        <f t="shared" si="220"/>
        <v>0</v>
      </c>
      <c r="K239" s="13">
        <f t="shared" si="221"/>
        <v>0</v>
      </c>
      <c r="L239" s="13">
        <f t="shared" si="222"/>
        <v>0</v>
      </c>
      <c r="M239" s="13">
        <f t="shared" si="223"/>
        <v>0</v>
      </c>
      <c r="N239" s="13">
        <f t="shared" si="224"/>
        <v>0</v>
      </c>
      <c r="O239" s="13">
        <f t="shared" si="225"/>
        <v>0</v>
      </c>
      <c r="P239" s="13">
        <f t="shared" si="226"/>
        <v>0</v>
      </c>
      <c r="Q239" s="13">
        <f t="shared" si="227"/>
        <v>0</v>
      </c>
      <c r="R239" s="13">
        <f t="shared" si="228"/>
        <v>0</v>
      </c>
      <c r="S239" s="13">
        <f t="shared" si="229"/>
        <v>0</v>
      </c>
      <c r="T239" s="13">
        <f t="shared" si="230"/>
        <v>0</v>
      </c>
      <c r="U239" s="13">
        <f t="shared" si="231"/>
        <v>0</v>
      </c>
      <c r="V239" s="13">
        <f t="shared" si="232"/>
        <v>0</v>
      </c>
      <c r="W239" s="13">
        <f t="shared" si="233"/>
        <v>0</v>
      </c>
      <c r="X239" s="13">
        <f t="shared" si="234"/>
        <v>0</v>
      </c>
      <c r="Y239" s="13">
        <f t="shared" si="235"/>
        <v>0</v>
      </c>
      <c r="Z239" s="13">
        <f t="shared" si="236"/>
        <v>0</v>
      </c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P239" s="13"/>
      <c r="KQ239" s="13"/>
      <c r="KR239" s="13"/>
      <c r="KS239" s="13"/>
      <c r="KT239" s="13"/>
      <c r="KU239" s="13"/>
      <c r="KV239" s="13"/>
      <c r="KW239" s="13"/>
      <c r="KX239" s="13"/>
      <c r="KY239" s="13"/>
      <c r="KZ239" s="13"/>
      <c r="LA239" s="13"/>
      <c r="LB239" s="13"/>
      <c r="LC239" s="13"/>
      <c r="LD239" s="13"/>
      <c r="LE239" s="13"/>
      <c r="LF239" s="13"/>
      <c r="LG239" s="13"/>
      <c r="LH239" s="13"/>
      <c r="LI239" s="13"/>
      <c r="LJ239" s="13"/>
      <c r="LK239" s="13"/>
      <c r="LL239" s="13"/>
      <c r="LM239" s="13"/>
      <c r="LN239" s="13"/>
      <c r="LO239" s="13"/>
      <c r="LP239" s="13"/>
      <c r="LQ239" s="13"/>
      <c r="LR239" s="13"/>
      <c r="LS239" s="13"/>
      <c r="LT239" s="13"/>
      <c r="LU239" s="13"/>
      <c r="LV239" s="13"/>
      <c r="LW239" s="13"/>
      <c r="LX239" s="13"/>
      <c r="LY239" s="13"/>
      <c r="LZ239" s="13"/>
      <c r="MA239" s="13"/>
      <c r="MB239" s="13"/>
      <c r="MC239" s="13"/>
    </row>
    <row r="240" spans="1:341" s="14" customFormat="1">
      <c r="A240" s="15" t="s">
        <v>233</v>
      </c>
      <c r="B240" s="13">
        <f t="shared" si="212"/>
        <v>0</v>
      </c>
      <c r="C240" s="13">
        <f t="shared" si="213"/>
        <v>0</v>
      </c>
      <c r="D240" s="13">
        <f t="shared" si="214"/>
        <v>0</v>
      </c>
      <c r="E240" s="13">
        <f t="shared" si="215"/>
        <v>0</v>
      </c>
      <c r="F240" s="13">
        <f t="shared" si="216"/>
        <v>0</v>
      </c>
      <c r="G240" s="13">
        <f t="shared" si="217"/>
        <v>0</v>
      </c>
      <c r="H240" s="13">
        <f t="shared" si="218"/>
        <v>0</v>
      </c>
      <c r="I240" s="13">
        <f t="shared" si="219"/>
        <v>0</v>
      </c>
      <c r="J240" s="13">
        <f t="shared" si="220"/>
        <v>0</v>
      </c>
      <c r="K240" s="13">
        <f t="shared" si="221"/>
        <v>0</v>
      </c>
      <c r="L240" s="13">
        <f t="shared" si="222"/>
        <v>0</v>
      </c>
      <c r="M240" s="13">
        <f t="shared" si="223"/>
        <v>0</v>
      </c>
      <c r="N240" s="13">
        <f t="shared" si="224"/>
        <v>0</v>
      </c>
      <c r="O240" s="13">
        <f t="shared" si="225"/>
        <v>0</v>
      </c>
      <c r="P240" s="13">
        <f t="shared" si="226"/>
        <v>0</v>
      </c>
      <c r="Q240" s="13">
        <f t="shared" si="227"/>
        <v>0</v>
      </c>
      <c r="R240" s="13">
        <f t="shared" si="228"/>
        <v>0</v>
      </c>
      <c r="S240" s="13">
        <f t="shared" si="229"/>
        <v>0</v>
      </c>
      <c r="T240" s="13">
        <f t="shared" si="230"/>
        <v>0</v>
      </c>
      <c r="U240" s="13">
        <f t="shared" si="231"/>
        <v>0</v>
      </c>
      <c r="V240" s="13">
        <f t="shared" si="232"/>
        <v>0</v>
      </c>
      <c r="W240" s="13">
        <f t="shared" si="233"/>
        <v>0</v>
      </c>
      <c r="X240" s="13">
        <f t="shared" si="234"/>
        <v>0</v>
      </c>
      <c r="Y240" s="13">
        <f t="shared" si="235"/>
        <v>0</v>
      </c>
      <c r="Z240" s="13">
        <f t="shared" si="236"/>
        <v>0</v>
      </c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13"/>
      <c r="LC240" s="13"/>
      <c r="LD240" s="13"/>
      <c r="LE240" s="13"/>
      <c r="LF240" s="13"/>
      <c r="LG240" s="13"/>
      <c r="LH240" s="13"/>
      <c r="LI240" s="13"/>
      <c r="LJ240" s="13"/>
      <c r="LK240" s="13"/>
      <c r="LL240" s="13"/>
      <c r="LM240" s="13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</row>
    <row r="241" spans="1:341" s="14" customFormat="1">
      <c r="A241" s="15" t="s">
        <v>234</v>
      </c>
      <c r="B241" s="13">
        <f t="shared" si="212"/>
        <v>0</v>
      </c>
      <c r="C241" s="13">
        <f t="shared" si="213"/>
        <v>0</v>
      </c>
      <c r="D241" s="13">
        <f t="shared" si="214"/>
        <v>0</v>
      </c>
      <c r="E241" s="13">
        <f t="shared" si="215"/>
        <v>0</v>
      </c>
      <c r="F241" s="13">
        <f t="shared" si="216"/>
        <v>0</v>
      </c>
      <c r="G241" s="13">
        <f t="shared" si="217"/>
        <v>0</v>
      </c>
      <c r="H241" s="13">
        <f t="shared" si="218"/>
        <v>0</v>
      </c>
      <c r="I241" s="13">
        <f t="shared" si="219"/>
        <v>0</v>
      </c>
      <c r="J241" s="13">
        <f t="shared" si="220"/>
        <v>0</v>
      </c>
      <c r="K241" s="13">
        <f t="shared" si="221"/>
        <v>0</v>
      </c>
      <c r="L241" s="13">
        <f t="shared" si="222"/>
        <v>0</v>
      </c>
      <c r="M241" s="13">
        <f t="shared" si="223"/>
        <v>0</v>
      </c>
      <c r="N241" s="13">
        <f t="shared" si="224"/>
        <v>0</v>
      </c>
      <c r="O241" s="13">
        <f t="shared" si="225"/>
        <v>0.60614136635294102</v>
      </c>
      <c r="P241" s="13">
        <f t="shared" si="226"/>
        <v>0</v>
      </c>
      <c r="Q241" s="13">
        <f t="shared" si="227"/>
        <v>0</v>
      </c>
      <c r="R241" s="13">
        <f t="shared" si="228"/>
        <v>0</v>
      </c>
      <c r="S241" s="13">
        <f t="shared" si="229"/>
        <v>0</v>
      </c>
      <c r="T241" s="13">
        <f t="shared" si="230"/>
        <v>0</v>
      </c>
      <c r="U241" s="13">
        <f t="shared" si="231"/>
        <v>0</v>
      </c>
      <c r="V241" s="13">
        <f t="shared" si="232"/>
        <v>0</v>
      </c>
      <c r="W241" s="13">
        <f t="shared" si="233"/>
        <v>0</v>
      </c>
      <c r="X241" s="13">
        <f t="shared" si="234"/>
        <v>0</v>
      </c>
      <c r="Y241" s="13">
        <f t="shared" si="235"/>
        <v>0</v>
      </c>
      <c r="Z241" s="13">
        <f t="shared" si="236"/>
        <v>0</v>
      </c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>
        <v>606.14136635294108</v>
      </c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13"/>
      <c r="LC241" s="13"/>
      <c r="LD241" s="13"/>
      <c r="LE241" s="13"/>
      <c r="LF241" s="13"/>
      <c r="LG241" s="13"/>
      <c r="LH241" s="13"/>
      <c r="LI241" s="13"/>
      <c r="LJ241" s="13"/>
      <c r="LK241" s="13"/>
      <c r="LL241" s="13"/>
      <c r="LM241" s="13"/>
      <c r="LN241" s="13"/>
      <c r="LO241" s="13"/>
      <c r="LP241" s="13"/>
      <c r="LQ241" s="13"/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</row>
    <row r="242" spans="1:341" s="14" customFormat="1">
      <c r="A242" s="15" t="s">
        <v>235</v>
      </c>
      <c r="B242" s="13">
        <f t="shared" si="212"/>
        <v>0</v>
      </c>
      <c r="C242" s="13">
        <f t="shared" si="213"/>
        <v>0</v>
      </c>
      <c r="D242" s="13">
        <f t="shared" si="214"/>
        <v>0</v>
      </c>
      <c r="E242" s="13">
        <f t="shared" si="215"/>
        <v>0</v>
      </c>
      <c r="F242" s="13">
        <f t="shared" si="216"/>
        <v>0</v>
      </c>
      <c r="G242" s="13">
        <f t="shared" si="217"/>
        <v>0</v>
      </c>
      <c r="H242" s="13">
        <f t="shared" si="218"/>
        <v>0</v>
      </c>
      <c r="I242" s="13">
        <f t="shared" si="219"/>
        <v>0</v>
      </c>
      <c r="J242" s="13">
        <f t="shared" si="220"/>
        <v>0</v>
      </c>
      <c r="K242" s="13">
        <f t="shared" si="221"/>
        <v>0</v>
      </c>
      <c r="L242" s="13">
        <f t="shared" si="222"/>
        <v>0</v>
      </c>
      <c r="M242" s="13">
        <f t="shared" si="223"/>
        <v>0</v>
      </c>
      <c r="N242" s="13">
        <f t="shared" si="224"/>
        <v>0</v>
      </c>
      <c r="O242" s="13">
        <f t="shared" si="225"/>
        <v>0</v>
      </c>
      <c r="P242" s="13">
        <f t="shared" si="226"/>
        <v>0</v>
      </c>
      <c r="Q242" s="13">
        <f t="shared" si="227"/>
        <v>0</v>
      </c>
      <c r="R242" s="13">
        <f t="shared" si="228"/>
        <v>0</v>
      </c>
      <c r="S242" s="13">
        <f t="shared" si="229"/>
        <v>0</v>
      </c>
      <c r="T242" s="13">
        <f t="shared" si="230"/>
        <v>0</v>
      </c>
      <c r="U242" s="13">
        <f t="shared" si="231"/>
        <v>0</v>
      </c>
      <c r="V242" s="13">
        <f t="shared" si="232"/>
        <v>0</v>
      </c>
      <c r="W242" s="13">
        <f t="shared" si="233"/>
        <v>0</v>
      </c>
      <c r="X242" s="13">
        <f t="shared" si="234"/>
        <v>0</v>
      </c>
      <c r="Y242" s="13">
        <f t="shared" si="235"/>
        <v>0</v>
      </c>
      <c r="Z242" s="13">
        <f t="shared" si="236"/>
        <v>0</v>
      </c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P242" s="13"/>
      <c r="KQ242" s="13"/>
      <c r="KR242" s="13"/>
      <c r="KS242" s="13"/>
      <c r="KT242" s="13"/>
      <c r="KU242" s="13"/>
      <c r="KV242" s="13"/>
      <c r="KW242" s="13"/>
      <c r="KX242" s="13"/>
      <c r="KY242" s="13"/>
      <c r="KZ242" s="13"/>
      <c r="LA242" s="13"/>
      <c r="LB242" s="13"/>
      <c r="LC242" s="13"/>
      <c r="LD242" s="13"/>
      <c r="LE242" s="13"/>
      <c r="LF242" s="13"/>
      <c r="LG242" s="13"/>
      <c r="LH242" s="13"/>
      <c r="LI242" s="13"/>
      <c r="LJ242" s="13"/>
      <c r="LK242" s="13"/>
      <c r="LL242" s="13"/>
      <c r="LM242" s="13"/>
      <c r="LN242" s="13"/>
      <c r="LO242" s="13"/>
      <c r="LP242" s="13"/>
      <c r="LQ242" s="13"/>
      <c r="LR242" s="13"/>
      <c r="LS242" s="13"/>
      <c r="LT242" s="13"/>
      <c r="LU242" s="13"/>
      <c r="LV242" s="13"/>
      <c r="LW242" s="13"/>
      <c r="LX242" s="13"/>
      <c r="LY242" s="13"/>
      <c r="LZ242" s="13"/>
      <c r="MA242" s="13"/>
      <c r="MB242" s="13"/>
      <c r="MC242" s="13"/>
    </row>
    <row r="243" spans="1:341" s="14" customFormat="1">
      <c r="A243" s="15" t="s">
        <v>236</v>
      </c>
      <c r="B243" s="13">
        <f t="shared" si="212"/>
        <v>0</v>
      </c>
      <c r="C243" s="13">
        <f t="shared" si="213"/>
        <v>0</v>
      </c>
      <c r="D243" s="13">
        <f t="shared" si="214"/>
        <v>0</v>
      </c>
      <c r="E243" s="13">
        <f t="shared" si="215"/>
        <v>0</v>
      </c>
      <c r="F243" s="13">
        <f t="shared" si="216"/>
        <v>0</v>
      </c>
      <c r="G243" s="13">
        <f t="shared" si="217"/>
        <v>0.20285404258823531</v>
      </c>
      <c r="H243" s="13">
        <f t="shared" si="218"/>
        <v>0.21256590682352933</v>
      </c>
      <c r="I243" s="13">
        <f t="shared" si="219"/>
        <v>9.5014885411764699E-2</v>
      </c>
      <c r="J243" s="13">
        <f t="shared" si="220"/>
        <v>0.1855628896470588</v>
      </c>
      <c r="K243" s="13">
        <f t="shared" si="221"/>
        <v>0.10556248870588233</v>
      </c>
      <c r="L243" s="13">
        <f t="shared" si="222"/>
        <v>0.4790225736470588</v>
      </c>
      <c r="M243" s="13">
        <f t="shared" si="223"/>
        <v>0.54386439717647039</v>
      </c>
      <c r="N243" s="13">
        <f t="shared" si="224"/>
        <v>2.3909341729411762</v>
      </c>
      <c r="O243" s="13">
        <f t="shared" si="225"/>
        <v>4.9991893197647048</v>
      </c>
      <c r="P243" s="13">
        <f t="shared" si="226"/>
        <v>17.013543480705877</v>
      </c>
      <c r="Q243" s="13">
        <f t="shared" si="227"/>
        <v>19.43744611858823</v>
      </c>
      <c r="R243" s="13">
        <f t="shared" si="228"/>
        <v>19.91606523199999</v>
      </c>
      <c r="S243" s="13">
        <f t="shared" si="229"/>
        <v>31.199551176705857</v>
      </c>
      <c r="T243" s="13">
        <f t="shared" si="230"/>
        <v>18.722157278588224</v>
      </c>
      <c r="U243" s="13">
        <f t="shared" si="231"/>
        <v>31.252434965176455</v>
      </c>
      <c r="V243" s="13">
        <f t="shared" si="232"/>
        <v>71.485055670823499</v>
      </c>
      <c r="W243" s="13">
        <f t="shared" si="233"/>
        <v>53.474850134588202</v>
      </c>
      <c r="X243" s="13">
        <f t="shared" si="234"/>
        <v>97.572641861768687</v>
      </c>
      <c r="Y243" s="13">
        <f t="shared" si="235"/>
        <v>85.396888023428559</v>
      </c>
      <c r="Z243" s="13">
        <f t="shared" si="236"/>
        <v>0</v>
      </c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>
        <v>11.008700705882351</v>
      </c>
      <c r="CK243" s="13">
        <v>15.590856235294115</v>
      </c>
      <c r="CL243" s="13">
        <v>38.761001176470579</v>
      </c>
      <c r="CM243" s="13">
        <v>10.749333411764702</v>
      </c>
      <c r="CN243" s="13">
        <v>33.429562352941169</v>
      </c>
      <c r="CO243" s="13">
        <v>17.636975999999997</v>
      </c>
      <c r="CP243" s="13">
        <v>2.5360357647058822</v>
      </c>
      <c r="CQ243" s="13">
        <v>32.824371999999997</v>
      </c>
      <c r="CR243" s="13">
        <v>12.074988470588233</v>
      </c>
      <c r="CS243" s="13">
        <v>5.8213548235294104</v>
      </c>
      <c r="CT243" s="13">
        <v>10.691696235294117</v>
      </c>
      <c r="CU243" s="13">
        <v>11.729165411764704</v>
      </c>
      <c r="CV243" s="13">
        <v>5.8501734117647048</v>
      </c>
      <c r="CW243" s="13">
        <v>19.106723999999996</v>
      </c>
      <c r="CX243" s="13">
        <v>12.391992941176468</v>
      </c>
      <c r="CY243" s="13">
        <v>70.807271294117626</v>
      </c>
      <c r="CZ243" s="13"/>
      <c r="DA243" s="13">
        <v>0.23054870588235291</v>
      </c>
      <c r="DB243" s="13">
        <v>11.210430823529409</v>
      </c>
      <c r="DC243" s="13">
        <v>22.161494352941173</v>
      </c>
      <c r="DD243" s="13">
        <v>23.573605176470583</v>
      </c>
      <c r="DE243" s="13">
        <v>0.43227882352941172</v>
      </c>
      <c r="DF243" s="13">
        <v>46.801387294117639</v>
      </c>
      <c r="DG243" s="13"/>
      <c r="DH243" s="13">
        <v>1.0086505882352939</v>
      </c>
      <c r="DI243" s="13"/>
      <c r="DJ243" s="13">
        <v>23.34305647058823</v>
      </c>
      <c r="DK243" s="13">
        <v>0.40346023529411756</v>
      </c>
      <c r="DL243" s="13">
        <v>5.2738016470588231</v>
      </c>
      <c r="DM243" s="13">
        <v>15.41794470588235</v>
      </c>
      <c r="DN243" s="13">
        <v>2.4207614117647056</v>
      </c>
      <c r="DO243" s="13">
        <v>6.8300054117647049</v>
      </c>
      <c r="DP243" s="13">
        <v>4.4380625882352938</v>
      </c>
      <c r="DQ243" s="13">
        <v>12.82427176470588</v>
      </c>
      <c r="DR243" s="13">
        <v>5.8789919999999984</v>
      </c>
      <c r="DS243" s="13">
        <v>17.175878588235292</v>
      </c>
      <c r="DT243" s="13">
        <v>14.409294117647056</v>
      </c>
      <c r="DU243" s="13">
        <v>1.0662877647058822</v>
      </c>
      <c r="DV243" s="13">
        <v>7.4351957647058811</v>
      </c>
      <c r="DW243" s="13">
        <v>4.6686112941176461</v>
      </c>
      <c r="DX243" s="13">
        <v>23.054870588235289</v>
      </c>
      <c r="DY243" s="13">
        <v>34.899310352941171</v>
      </c>
      <c r="DZ243" s="13">
        <v>17.838706117647057</v>
      </c>
      <c r="EA243" s="13">
        <v>32.593823294117641</v>
      </c>
      <c r="EB243" s="13">
        <v>11.469798117647056</v>
      </c>
      <c r="EC243" s="13">
        <v>13.890559529411764</v>
      </c>
      <c r="ED243" s="13">
        <v>12.997183294117646</v>
      </c>
      <c r="EE243" s="13">
        <v>11.239249411764703</v>
      </c>
      <c r="EF243" s="13">
        <v>1.9596639999999996</v>
      </c>
      <c r="EG243" s="13"/>
      <c r="EH243" s="13">
        <v>6.7147310588235287</v>
      </c>
      <c r="EI243" s="13">
        <v>13.515917882352939</v>
      </c>
      <c r="EJ243" s="13">
        <v>7.4063771764705866</v>
      </c>
      <c r="EK243" s="13">
        <v>5.0144343529411755</v>
      </c>
      <c r="EL243" s="13">
        <v>0.46109741176470581</v>
      </c>
      <c r="EM243" s="13">
        <v>10.662877647058822</v>
      </c>
      <c r="EN243" s="13">
        <v>8.2997534117647049</v>
      </c>
      <c r="EO243" s="13">
        <v>4.6686112941176461</v>
      </c>
      <c r="EP243" s="13">
        <v>18.242166352941172</v>
      </c>
      <c r="EQ243" s="13">
        <v>28.616858117647052</v>
      </c>
      <c r="ER243" s="13">
        <v>21.700396941176464</v>
      </c>
      <c r="ES243" s="13">
        <v>30.893526588235289</v>
      </c>
      <c r="ET243" s="13">
        <v>25.360357647058819</v>
      </c>
      <c r="EU243" s="13">
        <v>35.965598117647055</v>
      </c>
      <c r="EV243" s="13">
        <v>34.582305882352934</v>
      </c>
      <c r="EW243" s="13">
        <v>54.323038823529401</v>
      </c>
      <c r="EX243" s="13">
        <v>144.66931294117646</v>
      </c>
      <c r="EY243" s="13">
        <v>12.997183294117646</v>
      </c>
      <c r="EZ243" s="13">
        <v>22.132675764705876</v>
      </c>
      <c r="FA243" s="13">
        <v>22.85314047058823</v>
      </c>
      <c r="FB243" s="13">
        <v>39.164461411764698</v>
      </c>
      <c r="FC243" s="13">
        <v>34.380575764705874</v>
      </c>
      <c r="FD243" s="13">
        <v>20.374741882352939</v>
      </c>
      <c r="FE243" s="13">
        <v>19.077905411764704</v>
      </c>
      <c r="FF243" s="13">
        <v>24.928078823529408</v>
      </c>
      <c r="FG243" s="13">
        <v>69.971532235294106</v>
      </c>
      <c r="FH243" s="13">
        <v>52.132826117647049</v>
      </c>
      <c r="FI243" s="13">
        <v>71.614191764705865</v>
      </c>
      <c r="FJ243" s="13">
        <v>30.576522117647052</v>
      </c>
      <c r="FK243" s="13">
        <v>70.691996941176455</v>
      </c>
      <c r="FL243" s="13">
        <v>63.199163999999989</v>
      </c>
      <c r="FM243" s="13">
        <v>65.216465176470578</v>
      </c>
      <c r="FN243" s="13">
        <v>43.775435529411759</v>
      </c>
      <c r="FO243" s="13">
        <v>12.305537176470587</v>
      </c>
      <c r="FP243" s="13">
        <v>87.839056941176452</v>
      </c>
      <c r="FQ243" s="13">
        <v>90.202181176470575</v>
      </c>
      <c r="FR243" s="13">
        <v>76.455714588235281</v>
      </c>
      <c r="FS243" s="13">
        <v>70.05798799999998</v>
      </c>
      <c r="FT243" s="13">
        <v>110.92274611764704</v>
      </c>
      <c r="FU243" s="13">
        <v>204.6407950588235</v>
      </c>
      <c r="FV243" s="13">
        <v>441.73132047058812</v>
      </c>
      <c r="FW243" s="13">
        <v>444.3826305882352</v>
      </c>
      <c r="FX243" s="13">
        <v>304.95830070588232</v>
      </c>
      <c r="FY243" s="13">
        <v>248.32977482352939</v>
      </c>
      <c r="FZ243" s="13">
        <v>208.18548141176467</v>
      </c>
      <c r="GA243" s="13">
        <v>103.2281830588235</v>
      </c>
      <c r="GB243" s="13">
        <v>145.99496799999997</v>
      </c>
      <c r="GC243" s="13">
        <v>148.64627811764703</v>
      </c>
      <c r="GD243" s="13">
        <v>363.97876941176463</v>
      </c>
      <c r="GE243" s="13">
        <v>437.26443929411755</v>
      </c>
      <c r="GF243" s="13">
        <v>661.18486988235293</v>
      </c>
      <c r="GG243" s="13">
        <v>355.99602047058818</v>
      </c>
      <c r="GH243" s="13">
        <v>265.70738352941174</v>
      </c>
      <c r="GI243" s="13">
        <v>483.17245035294104</v>
      </c>
      <c r="GJ243" s="13">
        <v>295.59225952941171</v>
      </c>
      <c r="GK243" s="13">
        <v>632.91383482352921</v>
      </c>
      <c r="GL243" s="13">
        <v>753.86544964705877</v>
      </c>
      <c r="GM243" s="13">
        <v>454.8725967058823</v>
      </c>
      <c r="GN243" s="13">
        <v>503.60482941176463</v>
      </c>
      <c r="GO243" s="13">
        <v>300.4914195294117</v>
      </c>
      <c r="GP243" s="13">
        <v>596.28540917647047</v>
      </c>
      <c r="GQ243" s="13">
        <v>1524.5609548235291</v>
      </c>
      <c r="GR243" s="13">
        <v>1832.3722957647055</v>
      </c>
      <c r="GS243" s="13">
        <v>1619.0571056470587</v>
      </c>
      <c r="GT243" s="13">
        <v>1809.4326995294114</v>
      </c>
      <c r="GU243" s="13">
        <v>1745.311340705882</v>
      </c>
      <c r="GV243" s="13">
        <v>1954.7072028235291</v>
      </c>
      <c r="GW243" s="13">
        <v>1651.8526590588231</v>
      </c>
      <c r="GX243" s="13">
        <v>1212.4556442352939</v>
      </c>
      <c r="GY243" s="13">
        <v>2263.4119199999996</v>
      </c>
      <c r="GZ243" s="13">
        <v>1643.5817242352937</v>
      </c>
      <c r="HA243" s="13">
        <v>1891.882680470588</v>
      </c>
      <c r="HB243" s="13">
        <v>2062.4310856470584</v>
      </c>
      <c r="HC243" s="13">
        <v>1463.9842823529409</v>
      </c>
      <c r="HD243" s="13">
        <v>755.62338352941163</v>
      </c>
      <c r="HE243" s="13">
        <v>2196.898618352941</v>
      </c>
      <c r="HF243" s="13">
        <v>2087.9067176470585</v>
      </c>
      <c r="HG243" s="13">
        <v>1760.4122809411763</v>
      </c>
      <c r="HH243" s="13">
        <v>2160.270192705882</v>
      </c>
      <c r="HI243" s="13">
        <v>1032.1089190588234</v>
      </c>
      <c r="HJ243" s="13">
        <v>833.80821341176465</v>
      </c>
      <c r="HK243" s="13">
        <v>1548.5380202352937</v>
      </c>
      <c r="HL243" s="13">
        <v>906.02759552941097</v>
      </c>
      <c r="HM243" s="13">
        <v>1063.3194501176499</v>
      </c>
      <c r="HN243" s="13">
        <v>2218.25319223529</v>
      </c>
      <c r="HO243" s="13">
        <v>1364.7618830588201</v>
      </c>
      <c r="HP243" s="13">
        <v>2797.79500164706</v>
      </c>
      <c r="HQ243" s="13">
        <v>1746.6369957647</v>
      </c>
      <c r="HR243" s="13">
        <v>1343.29203482353</v>
      </c>
      <c r="HS243" s="13">
        <v>2172.97919011765</v>
      </c>
      <c r="HT243" s="13">
        <v>2875.6916456470599</v>
      </c>
      <c r="HU243" s="13">
        <v>754.84528164705796</v>
      </c>
      <c r="HV243" s="13">
        <v>1249.8045345882299</v>
      </c>
      <c r="HW243" s="13">
        <v>1422.6584268235299</v>
      </c>
      <c r="HX243" s="13">
        <v>2312.5187943529399</v>
      </c>
      <c r="HY243" s="13">
        <v>1787.9916698823499</v>
      </c>
      <c r="HZ243" s="13">
        <v>2479.49369458824</v>
      </c>
      <c r="IA243" s="13">
        <v>2529.2057592941201</v>
      </c>
      <c r="IB243" s="13">
        <v>2792.4635628235301</v>
      </c>
      <c r="IC243" s="13">
        <v>2473.55706541176</v>
      </c>
      <c r="ID243" s="13">
        <v>3405.6943018823499</v>
      </c>
      <c r="IE243" s="13">
        <v>2981.65759458823</v>
      </c>
      <c r="IF243" s="13">
        <v>3106.73026752941</v>
      </c>
      <c r="IG243" s="13">
        <v>2829.7836345882301</v>
      </c>
      <c r="IH243" s="13">
        <v>2194.2473082352899</v>
      </c>
      <c r="II243" s="13">
        <v>2306.2075235294101</v>
      </c>
      <c r="IJ243" s="13">
        <v>1832.8910303529401</v>
      </c>
      <c r="IK243" s="13">
        <v>1258.5365668235304</v>
      </c>
      <c r="IL243" s="13">
        <v>2314.9395557647008</v>
      </c>
      <c r="IM243" s="13">
        <v>2076.3216451764697</v>
      </c>
      <c r="IN243" s="13">
        <v>2066.0622277647044</v>
      </c>
      <c r="IO243" s="13">
        <v>2501.0097000000001</v>
      </c>
      <c r="IP243" s="13"/>
      <c r="IQ243" s="13">
        <v>1820.0667585882341</v>
      </c>
      <c r="IR243" s="13">
        <v>1949.0011223529398</v>
      </c>
      <c r="IS243" s="13">
        <v>1396.2029628235287</v>
      </c>
      <c r="IT243" s="13">
        <v>352.01905529411744</v>
      </c>
      <c r="IU243" s="13">
        <v>1155.1066536470582</v>
      </c>
      <c r="IV243" s="13">
        <v>529.0228242352938</v>
      </c>
      <c r="IW243" s="13">
        <v>2106.3794327058808</v>
      </c>
      <c r="IX243" s="13">
        <v>3555.9560999999999</v>
      </c>
      <c r="IY243" s="13">
        <v>2323.3834021176453</v>
      </c>
      <c r="IZ243" s="13">
        <v>1938.7705235294106</v>
      </c>
      <c r="JA243" s="13">
        <v>1961.5083896470578</v>
      </c>
      <c r="JB243" s="13">
        <v>2033.6124974117633</v>
      </c>
      <c r="JC243" s="13">
        <v>2002.690152235293</v>
      </c>
      <c r="JD243" s="13">
        <v>2079.6646014117632</v>
      </c>
      <c r="JE243" s="13">
        <v>2263.9306545882341</v>
      </c>
      <c r="JF243" s="13">
        <v>2398.0523642352928</v>
      </c>
      <c r="JG243" s="13">
        <v>8059.4640230588184</v>
      </c>
      <c r="JH243" s="13">
        <v>1855.5424407058813</v>
      </c>
      <c r="JI243" s="13">
        <v>3762.3819684705863</v>
      </c>
      <c r="JJ243" s="13">
        <v>9604.5438127058769</v>
      </c>
      <c r="JK243" s="13">
        <v>4904.3473458823491</v>
      </c>
      <c r="JL243" s="13">
        <v>4456.2182988235272</v>
      </c>
      <c r="JM243" s="13">
        <v>3608.231339999998</v>
      </c>
      <c r="JN243" s="13">
        <v>6342.9424519999966</v>
      </c>
      <c r="JO243" s="13">
        <v>8588.2274799999941</v>
      </c>
      <c r="JP243" s="13">
        <v>3968.867153176468</v>
      </c>
      <c r="JQ243" s="13">
        <v>8470.8205515294067</v>
      </c>
      <c r="JR243" s="13">
        <v>8210.6463369411758</v>
      </c>
      <c r="JS243" s="13">
        <v>7712.2864905882307</v>
      </c>
      <c r="JT243" s="13">
        <v>1693.3226075294108</v>
      </c>
      <c r="JU243" s="13">
        <v>3235.5205383529392</v>
      </c>
      <c r="JV243" s="13">
        <v>4283.3355879999972</v>
      </c>
      <c r="JW243" s="13">
        <v>2545.8917218823512</v>
      </c>
      <c r="JX243" s="13">
        <v>4554.6049590588209</v>
      </c>
      <c r="JY243" s="13">
        <v>5053.28180988235</v>
      </c>
      <c r="JZ243" s="13">
        <v>12627.383169882345</v>
      </c>
      <c r="KA243" s="13">
        <v>4856.4508522352908</v>
      </c>
      <c r="KB243" s="13">
        <v>2320.3286317647044</v>
      </c>
      <c r="KC243" s="13">
        <v>6732.5985835294077</v>
      </c>
      <c r="KD243" s="13">
        <v>5572.1316724705848</v>
      </c>
      <c r="KE243" s="13"/>
      <c r="KF243" s="13"/>
      <c r="KG243" s="13"/>
      <c r="KH243" s="13">
        <v>8439.9452462585032</v>
      </c>
      <c r="KI243" s="13">
        <v>10049.467820408161</v>
      </c>
      <c r="KJ243" s="13">
        <v>8505.0040323809517</v>
      </c>
      <c r="KK243" s="13">
        <v>9992.8375814965984</v>
      </c>
      <c r="KL243" s="13">
        <v>8759.120231564626</v>
      </c>
      <c r="KM243" s="13">
        <v>11236.993132244897</v>
      </c>
      <c r="KN243" s="13">
        <v>11461.054511836734</v>
      </c>
      <c r="KO243" s="13">
        <v>6369.0122032653062</v>
      </c>
      <c r="KP243" s="13">
        <v>7037.2670193197273</v>
      </c>
      <c r="KQ243" s="13">
        <v>15721.940082993198</v>
      </c>
      <c r="KR243" s="13">
        <v>4048.5558428571426</v>
      </c>
      <c r="KS243" s="13">
        <v>5255.3989199999996</v>
      </c>
      <c r="KT243" s="13">
        <v>4257.2300640000003</v>
      </c>
      <c r="KU243" s="13">
        <v>6366.7383719999989</v>
      </c>
      <c r="KV243" s="13">
        <v>7423.9970965714283</v>
      </c>
      <c r="KW243" s="13">
        <v>5129.1805611428572</v>
      </c>
      <c r="KX243" s="13">
        <v>7071.0176177142848</v>
      </c>
      <c r="KY243" s="13">
        <v>11385.38788457143</v>
      </c>
      <c r="KZ243" s="13">
        <v>7315.9556211428571</v>
      </c>
      <c r="LA243" s="13">
        <v>11667.369536571428</v>
      </c>
      <c r="LB243" s="13">
        <v>6539.2987851428579</v>
      </c>
      <c r="LC243" s="13">
        <v>8936.7577217142862</v>
      </c>
      <c r="LD243" s="13"/>
      <c r="LE243" s="13"/>
      <c r="LF243" s="13"/>
      <c r="LG243" s="13"/>
      <c r="LH243" s="13"/>
      <c r="LI243" s="13"/>
      <c r="LJ243" s="13"/>
      <c r="LK243" s="13"/>
      <c r="LL243" s="13"/>
      <c r="LM243" s="13"/>
      <c r="LN243" s="13"/>
      <c r="LO243" s="13"/>
      <c r="LP243" s="13"/>
      <c r="LQ243" s="13">
        <v>5.94</v>
      </c>
      <c r="LR243" s="13"/>
      <c r="LS243" s="13"/>
      <c r="LT243" s="13"/>
      <c r="LU243" s="13"/>
      <c r="LV243" s="13"/>
      <c r="LW243" s="13"/>
      <c r="LX243" s="13"/>
      <c r="LY243" s="13"/>
      <c r="LZ243" s="13"/>
      <c r="MA243" s="13"/>
      <c r="MB243" s="13"/>
      <c r="MC243" s="13"/>
    </row>
    <row r="244" spans="1:341" s="14" customFormat="1">
      <c r="A244" s="15" t="s">
        <v>237</v>
      </c>
      <c r="B244" s="13">
        <f t="shared" si="212"/>
        <v>0</v>
      </c>
      <c r="C244" s="13">
        <f t="shared" si="213"/>
        <v>0</v>
      </c>
      <c r="D244" s="13">
        <f t="shared" si="214"/>
        <v>0</v>
      </c>
      <c r="E244" s="13">
        <f t="shared" si="215"/>
        <v>0</v>
      </c>
      <c r="F244" s="13">
        <f t="shared" si="216"/>
        <v>0</v>
      </c>
      <c r="G244" s="13">
        <f t="shared" si="217"/>
        <v>0</v>
      </c>
      <c r="H244" s="13">
        <f t="shared" si="218"/>
        <v>0</v>
      </c>
      <c r="I244" s="13">
        <f t="shared" si="219"/>
        <v>0</v>
      </c>
      <c r="J244" s="13">
        <f t="shared" si="220"/>
        <v>0</v>
      </c>
      <c r="K244" s="13">
        <f t="shared" si="221"/>
        <v>0</v>
      </c>
      <c r="L244" s="13">
        <f t="shared" si="222"/>
        <v>0</v>
      </c>
      <c r="M244" s="13">
        <f t="shared" si="223"/>
        <v>0</v>
      </c>
      <c r="N244" s="13">
        <f t="shared" si="224"/>
        <v>0</v>
      </c>
      <c r="O244" s="13">
        <f t="shared" si="225"/>
        <v>0</v>
      </c>
      <c r="P244" s="13">
        <f t="shared" si="226"/>
        <v>0</v>
      </c>
      <c r="Q244" s="13">
        <f t="shared" si="227"/>
        <v>0</v>
      </c>
      <c r="R244" s="13">
        <f t="shared" si="228"/>
        <v>0</v>
      </c>
      <c r="S244" s="13">
        <f t="shared" si="229"/>
        <v>0</v>
      </c>
      <c r="T244" s="13">
        <f t="shared" si="230"/>
        <v>0</v>
      </c>
      <c r="U244" s="13">
        <f t="shared" si="231"/>
        <v>0</v>
      </c>
      <c r="V244" s="13">
        <f t="shared" si="232"/>
        <v>0</v>
      </c>
      <c r="W244" s="13">
        <f t="shared" si="233"/>
        <v>0</v>
      </c>
      <c r="X244" s="13">
        <f t="shared" si="234"/>
        <v>0</v>
      </c>
      <c r="Y244" s="13">
        <f t="shared" si="235"/>
        <v>0</v>
      </c>
      <c r="Z244" s="13">
        <f t="shared" si="236"/>
        <v>0</v>
      </c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13"/>
      <c r="LC244" s="13"/>
      <c r="LD244" s="13"/>
      <c r="LE244" s="13"/>
      <c r="LF244" s="13"/>
      <c r="LG244" s="13"/>
      <c r="LH244" s="13"/>
      <c r="LI244" s="13"/>
      <c r="LJ244" s="13"/>
      <c r="LK244" s="13"/>
      <c r="LL244" s="13"/>
      <c r="LM244" s="13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Y244" s="13"/>
      <c r="LZ244" s="13"/>
      <c r="MA244" s="13"/>
      <c r="MB244" s="13"/>
      <c r="MC244" s="13"/>
    </row>
    <row r="245" spans="1:341" s="14" customFormat="1">
      <c r="A245" s="15" t="s">
        <v>238</v>
      </c>
      <c r="B245" s="13">
        <f t="shared" si="212"/>
        <v>0</v>
      </c>
      <c r="C245" s="13">
        <f t="shared" si="213"/>
        <v>0</v>
      </c>
      <c r="D245" s="13">
        <f t="shared" si="214"/>
        <v>0</v>
      </c>
      <c r="E245" s="13">
        <f t="shared" si="215"/>
        <v>0</v>
      </c>
      <c r="F245" s="13">
        <f t="shared" si="216"/>
        <v>0</v>
      </c>
      <c r="G245" s="13">
        <f t="shared" si="217"/>
        <v>0</v>
      </c>
      <c r="H245" s="13">
        <f t="shared" si="218"/>
        <v>0</v>
      </c>
      <c r="I245" s="13">
        <f t="shared" si="219"/>
        <v>0</v>
      </c>
      <c r="J245" s="13">
        <f t="shared" si="220"/>
        <v>0</v>
      </c>
      <c r="K245" s="13">
        <f t="shared" si="221"/>
        <v>0</v>
      </c>
      <c r="L245" s="13">
        <f t="shared" si="222"/>
        <v>0</v>
      </c>
      <c r="M245" s="13">
        <f t="shared" si="223"/>
        <v>0</v>
      </c>
      <c r="N245" s="13">
        <f t="shared" si="224"/>
        <v>0</v>
      </c>
      <c r="O245" s="13">
        <f t="shared" si="225"/>
        <v>0</v>
      </c>
      <c r="P245" s="13">
        <f t="shared" si="226"/>
        <v>0</v>
      </c>
      <c r="Q245" s="13">
        <f t="shared" si="227"/>
        <v>0</v>
      </c>
      <c r="R245" s="13">
        <f t="shared" si="228"/>
        <v>0</v>
      </c>
      <c r="S245" s="13">
        <f t="shared" si="229"/>
        <v>0</v>
      </c>
      <c r="T245" s="13">
        <f t="shared" si="230"/>
        <v>0</v>
      </c>
      <c r="U245" s="13">
        <f t="shared" si="231"/>
        <v>0</v>
      </c>
      <c r="V245" s="13">
        <f t="shared" si="232"/>
        <v>0</v>
      </c>
      <c r="W245" s="13">
        <f t="shared" si="233"/>
        <v>0</v>
      </c>
      <c r="X245" s="13">
        <f t="shared" si="234"/>
        <v>0</v>
      </c>
      <c r="Y245" s="13">
        <f t="shared" si="235"/>
        <v>0</v>
      </c>
      <c r="Z245" s="13">
        <f t="shared" si="236"/>
        <v>0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3"/>
      <c r="KW245" s="13"/>
      <c r="KX245" s="13"/>
      <c r="KY245" s="13"/>
      <c r="KZ245" s="13"/>
      <c r="LA245" s="13"/>
      <c r="LB245" s="13"/>
      <c r="LC245" s="13"/>
      <c r="LD245" s="13"/>
      <c r="LE245" s="13"/>
      <c r="LF245" s="13"/>
      <c r="LG245" s="13"/>
      <c r="LH245" s="13"/>
      <c r="LI245" s="13"/>
      <c r="LJ245" s="13"/>
      <c r="LK245" s="13"/>
      <c r="LL245" s="13"/>
      <c r="LM245" s="13"/>
      <c r="LN245" s="13"/>
      <c r="LO245" s="13"/>
      <c r="LP245" s="13"/>
      <c r="LQ245" s="13"/>
      <c r="LR245" s="13"/>
      <c r="LS245" s="13"/>
      <c r="LT245" s="13"/>
      <c r="LU245" s="13"/>
      <c r="LV245" s="13"/>
      <c r="LW245" s="13"/>
      <c r="LX245" s="13"/>
      <c r="LY245" s="13"/>
      <c r="LZ245" s="13"/>
      <c r="MA245" s="13"/>
      <c r="MB245" s="13"/>
      <c r="MC245" s="13"/>
    </row>
    <row r="246" spans="1:341" s="14" customFormat="1">
      <c r="A246" s="15" t="s">
        <v>239</v>
      </c>
      <c r="B246" s="13">
        <f t="shared" si="212"/>
        <v>0</v>
      </c>
      <c r="C246" s="13">
        <f t="shared" si="213"/>
        <v>0</v>
      </c>
      <c r="D246" s="13">
        <f t="shared" si="214"/>
        <v>0</v>
      </c>
      <c r="E246" s="13">
        <f t="shared" si="215"/>
        <v>0</v>
      </c>
      <c r="F246" s="13">
        <f t="shared" si="216"/>
        <v>0</v>
      </c>
      <c r="G246" s="13">
        <f t="shared" si="217"/>
        <v>0</v>
      </c>
      <c r="H246" s="13">
        <f t="shared" si="218"/>
        <v>0</v>
      </c>
      <c r="I246" s="13">
        <f t="shared" si="219"/>
        <v>0</v>
      </c>
      <c r="J246" s="13">
        <f t="shared" si="220"/>
        <v>0</v>
      </c>
      <c r="K246" s="13">
        <f t="shared" si="221"/>
        <v>8.2132976470588228E-3</v>
      </c>
      <c r="L246" s="13">
        <f t="shared" si="222"/>
        <v>9.0202181176470587E-3</v>
      </c>
      <c r="M246" s="13">
        <f t="shared" si="223"/>
        <v>0</v>
      </c>
      <c r="N246" s="13">
        <f t="shared" si="224"/>
        <v>0</v>
      </c>
      <c r="O246" s="13">
        <f t="shared" si="225"/>
        <v>0</v>
      </c>
      <c r="P246" s="13">
        <f t="shared" si="226"/>
        <v>0</v>
      </c>
      <c r="Q246" s="13">
        <f t="shared" si="227"/>
        <v>0</v>
      </c>
      <c r="R246" s="13">
        <f t="shared" si="228"/>
        <v>0</v>
      </c>
      <c r="S246" s="13">
        <f t="shared" si="229"/>
        <v>3.4005934117647043E-3</v>
      </c>
      <c r="T246" s="13">
        <f t="shared" si="230"/>
        <v>0</v>
      </c>
      <c r="U246" s="13">
        <f t="shared" si="231"/>
        <v>0</v>
      </c>
      <c r="V246" s="13">
        <f t="shared" si="232"/>
        <v>2.305487058823528E-4</v>
      </c>
      <c r="W246" s="13">
        <f t="shared" si="233"/>
        <v>0</v>
      </c>
      <c r="X246" s="13">
        <f t="shared" si="234"/>
        <v>0</v>
      </c>
      <c r="Y246" s="13">
        <f t="shared" si="235"/>
        <v>0</v>
      </c>
      <c r="Z246" s="13">
        <f t="shared" si="236"/>
        <v>0</v>
      </c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>
        <v>3.4582305882352937</v>
      </c>
      <c r="EM246" s="13">
        <v>4.7550670588235286</v>
      </c>
      <c r="EN246" s="13"/>
      <c r="EO246" s="13"/>
      <c r="EP246" s="13"/>
      <c r="EQ246" s="13"/>
      <c r="ER246" s="13"/>
      <c r="ES246" s="13"/>
      <c r="ET246" s="13"/>
      <c r="EU246" s="13">
        <v>4.2651510588235286</v>
      </c>
      <c r="EV246" s="13"/>
      <c r="EW246" s="13"/>
      <c r="EX246" s="13"/>
      <c r="EY246" s="13">
        <v>4.7550670588235286</v>
      </c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>
        <v>0.51873458823529384</v>
      </c>
      <c r="HZ246" s="13"/>
      <c r="IA246" s="13"/>
      <c r="IB246" s="13"/>
      <c r="IC246" s="13"/>
      <c r="ID246" s="13">
        <v>1.1527435294117641</v>
      </c>
      <c r="IE246" s="13"/>
      <c r="IF246" s="13">
        <v>1.1527435294117641</v>
      </c>
      <c r="IG246" s="13"/>
      <c r="IH246" s="13"/>
      <c r="II246" s="13">
        <v>0.57637176470588203</v>
      </c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>
        <v>0.23054870588235279</v>
      </c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13"/>
      <c r="LC246" s="13"/>
      <c r="LD246" s="13"/>
      <c r="LE246" s="13"/>
      <c r="LF246" s="13"/>
      <c r="LG246" s="13"/>
      <c r="LH246" s="13"/>
      <c r="LI246" s="13"/>
      <c r="LJ246" s="13"/>
      <c r="LK246" s="13"/>
      <c r="LL246" s="13"/>
      <c r="LM246" s="13"/>
      <c r="LN246" s="13"/>
      <c r="LO246" s="13"/>
      <c r="LP246" s="13"/>
      <c r="LQ246" s="13"/>
      <c r="LR246" s="13"/>
      <c r="LS246" s="13"/>
      <c r="LT246" s="13"/>
      <c r="LU246" s="13"/>
      <c r="LV246" s="13"/>
      <c r="LW246" s="13"/>
      <c r="LX246" s="13"/>
      <c r="LY246" s="13"/>
      <c r="LZ246" s="13"/>
      <c r="MA246" s="13"/>
      <c r="MB246" s="13"/>
      <c r="MC246" s="13"/>
    </row>
    <row r="247" spans="1:341" s="14" customFormat="1">
      <c r="A247" s="12" t="s">
        <v>240</v>
      </c>
      <c r="B247" s="13">
        <f t="shared" si="212"/>
        <v>0</v>
      </c>
      <c r="C247" s="13">
        <f t="shared" si="213"/>
        <v>0</v>
      </c>
      <c r="D247" s="13">
        <f t="shared" si="214"/>
        <v>0</v>
      </c>
      <c r="E247" s="13">
        <f t="shared" si="215"/>
        <v>0</v>
      </c>
      <c r="F247" s="13">
        <f t="shared" si="216"/>
        <v>0</v>
      </c>
      <c r="G247" s="13">
        <f t="shared" si="217"/>
        <v>0</v>
      </c>
      <c r="H247" s="13">
        <f t="shared" si="218"/>
        <v>0</v>
      </c>
      <c r="I247" s="13">
        <f t="shared" si="219"/>
        <v>0</v>
      </c>
      <c r="J247" s="13">
        <f t="shared" si="220"/>
        <v>0</v>
      </c>
      <c r="K247" s="13">
        <f t="shared" si="221"/>
        <v>0</v>
      </c>
      <c r="L247" s="13">
        <f t="shared" si="222"/>
        <v>0</v>
      </c>
      <c r="M247" s="13">
        <f t="shared" si="223"/>
        <v>0</v>
      </c>
      <c r="N247" s="13">
        <f t="shared" si="224"/>
        <v>0</v>
      </c>
      <c r="O247" s="13">
        <f t="shared" si="225"/>
        <v>0</v>
      </c>
      <c r="P247" s="13">
        <f t="shared" si="226"/>
        <v>0</v>
      </c>
      <c r="Q247" s="13">
        <f t="shared" si="227"/>
        <v>0</v>
      </c>
      <c r="R247" s="13">
        <f t="shared" si="228"/>
        <v>0</v>
      </c>
      <c r="S247" s="13">
        <f t="shared" si="229"/>
        <v>0</v>
      </c>
      <c r="T247" s="13">
        <f t="shared" si="230"/>
        <v>0</v>
      </c>
      <c r="U247" s="13">
        <f t="shared" si="231"/>
        <v>0</v>
      </c>
      <c r="V247" s="13">
        <f t="shared" si="232"/>
        <v>0</v>
      </c>
      <c r="W247" s="13">
        <f t="shared" si="233"/>
        <v>0</v>
      </c>
      <c r="X247" s="13">
        <f t="shared" si="234"/>
        <v>0</v>
      </c>
      <c r="Y247" s="13">
        <f t="shared" si="235"/>
        <v>0</v>
      </c>
      <c r="Z247" s="13">
        <f t="shared" si="236"/>
        <v>0</v>
      </c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P247" s="13"/>
      <c r="KQ247" s="13"/>
      <c r="KR247" s="13"/>
      <c r="KS247" s="13"/>
      <c r="KT247" s="13"/>
      <c r="KU247" s="13"/>
      <c r="KV247" s="13"/>
      <c r="KW247" s="13"/>
      <c r="KX247" s="13"/>
      <c r="KY247" s="13"/>
      <c r="KZ247" s="13"/>
      <c r="LA247" s="13"/>
      <c r="LB247" s="13"/>
      <c r="LC247" s="13"/>
      <c r="LD247" s="13"/>
      <c r="LE247" s="13"/>
      <c r="LF247" s="13"/>
      <c r="LG247" s="13"/>
      <c r="LH247" s="13"/>
      <c r="LI247" s="13"/>
      <c r="LJ247" s="13"/>
      <c r="LK247" s="13"/>
      <c r="LL247" s="13"/>
      <c r="LM247" s="13"/>
      <c r="LN247" s="13"/>
      <c r="LO247" s="13"/>
      <c r="LP247" s="13"/>
      <c r="LQ247" s="13"/>
      <c r="LR247" s="13"/>
      <c r="LS247" s="13"/>
      <c r="LT247" s="13"/>
      <c r="LU247" s="13"/>
      <c r="LV247" s="13"/>
      <c r="LW247" s="13"/>
      <c r="LX247" s="13"/>
      <c r="LY247" s="13"/>
      <c r="LZ247" s="13"/>
      <c r="MA247" s="13"/>
      <c r="MB247" s="13"/>
      <c r="MC247" s="13"/>
    </row>
    <row r="248" spans="1:341" s="14" customFormat="1">
      <c r="A248" s="15" t="s">
        <v>241</v>
      </c>
      <c r="B248" s="13">
        <f t="shared" si="212"/>
        <v>0</v>
      </c>
      <c r="C248" s="13">
        <f t="shared" si="213"/>
        <v>0</v>
      </c>
      <c r="D248" s="13">
        <f t="shared" si="214"/>
        <v>0</v>
      </c>
      <c r="E248" s="13">
        <f t="shared" si="215"/>
        <v>0</v>
      </c>
      <c r="F248" s="13">
        <f t="shared" si="216"/>
        <v>0</v>
      </c>
      <c r="G248" s="13">
        <f t="shared" si="217"/>
        <v>0</v>
      </c>
      <c r="H248" s="13">
        <f t="shared" si="218"/>
        <v>0</v>
      </c>
      <c r="I248" s="13">
        <f t="shared" si="219"/>
        <v>0</v>
      </c>
      <c r="J248" s="13">
        <f t="shared" si="220"/>
        <v>0</v>
      </c>
      <c r="K248" s="13">
        <f t="shared" si="221"/>
        <v>0</v>
      </c>
      <c r="L248" s="13">
        <f t="shared" si="222"/>
        <v>0</v>
      </c>
      <c r="M248" s="13">
        <f t="shared" si="223"/>
        <v>0</v>
      </c>
      <c r="N248" s="13">
        <f t="shared" si="224"/>
        <v>0</v>
      </c>
      <c r="O248" s="13">
        <f t="shared" si="225"/>
        <v>0</v>
      </c>
      <c r="P248" s="13">
        <f t="shared" si="226"/>
        <v>0</v>
      </c>
      <c r="Q248" s="13">
        <f t="shared" si="227"/>
        <v>0</v>
      </c>
      <c r="R248" s="13">
        <f t="shared" si="228"/>
        <v>0</v>
      </c>
      <c r="S248" s="13">
        <f t="shared" si="229"/>
        <v>0</v>
      </c>
      <c r="T248" s="13">
        <f t="shared" si="230"/>
        <v>0</v>
      </c>
      <c r="U248" s="13">
        <f t="shared" si="231"/>
        <v>0</v>
      </c>
      <c r="V248" s="13">
        <f t="shared" si="232"/>
        <v>0</v>
      </c>
      <c r="W248" s="13">
        <f t="shared" si="233"/>
        <v>0</v>
      </c>
      <c r="X248" s="13">
        <f t="shared" si="234"/>
        <v>0</v>
      </c>
      <c r="Y248" s="13">
        <f t="shared" si="235"/>
        <v>0</v>
      </c>
      <c r="Z248" s="13">
        <f t="shared" si="236"/>
        <v>0</v>
      </c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3"/>
      <c r="IN248" s="13"/>
      <c r="IO248" s="13"/>
      <c r="IP248" s="13"/>
      <c r="IQ248" s="13"/>
      <c r="IR248" s="13"/>
      <c r="IS248" s="13"/>
      <c r="IT248" s="13"/>
      <c r="IU248" s="13"/>
      <c r="IV248" s="13"/>
      <c r="IW248" s="13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3"/>
      <c r="KG248" s="13"/>
      <c r="KH248" s="13"/>
      <c r="KI248" s="13"/>
      <c r="KJ248" s="13"/>
      <c r="KK248" s="13"/>
      <c r="KL248" s="13"/>
      <c r="KM248" s="13"/>
      <c r="KN248" s="13"/>
      <c r="KO248" s="13"/>
      <c r="KP248" s="13"/>
      <c r="KQ248" s="13"/>
      <c r="KR248" s="13"/>
      <c r="KS248" s="13"/>
      <c r="KT248" s="13"/>
      <c r="KU248" s="13"/>
      <c r="KV248" s="13"/>
      <c r="KW248" s="13"/>
      <c r="KX248" s="13"/>
      <c r="KY248" s="13"/>
      <c r="KZ248" s="13"/>
      <c r="LA248" s="13"/>
      <c r="LB248" s="13"/>
      <c r="LC248" s="13"/>
      <c r="LD248" s="13"/>
      <c r="LE248" s="13"/>
      <c r="LF248" s="13"/>
      <c r="LG248" s="13"/>
      <c r="LH248" s="13"/>
      <c r="LI248" s="13"/>
      <c r="LJ248" s="13"/>
      <c r="LK248" s="13"/>
      <c r="LL248" s="13"/>
      <c r="LM248" s="13"/>
      <c r="LN248" s="13"/>
      <c r="LO248" s="13"/>
      <c r="LP248" s="13"/>
      <c r="LQ248" s="13"/>
      <c r="LR248" s="13"/>
      <c r="LS248" s="13"/>
      <c r="LT248" s="13"/>
      <c r="LU248" s="13"/>
      <c r="LV248" s="13"/>
      <c r="LW248" s="13"/>
      <c r="LX248" s="13"/>
      <c r="LY248" s="13"/>
      <c r="LZ248" s="13"/>
      <c r="MA248" s="13"/>
      <c r="MB248" s="13"/>
      <c r="MC248" s="13"/>
    </row>
    <row r="249" spans="1:341" s="14" customFormat="1">
      <c r="A249" s="15" t="s">
        <v>242</v>
      </c>
      <c r="B249" s="13">
        <f t="shared" si="212"/>
        <v>0</v>
      </c>
      <c r="C249" s="13">
        <f t="shared" si="213"/>
        <v>0</v>
      </c>
      <c r="D249" s="13">
        <f t="shared" si="214"/>
        <v>0</v>
      </c>
      <c r="E249" s="13">
        <f t="shared" si="215"/>
        <v>0</v>
      </c>
      <c r="F249" s="13">
        <f t="shared" si="216"/>
        <v>0</v>
      </c>
      <c r="G249" s="13">
        <f t="shared" si="217"/>
        <v>0</v>
      </c>
      <c r="H249" s="13">
        <f t="shared" si="218"/>
        <v>0</v>
      </c>
      <c r="I249" s="13">
        <f t="shared" si="219"/>
        <v>0</v>
      </c>
      <c r="J249" s="13">
        <f t="shared" si="220"/>
        <v>0</v>
      </c>
      <c r="K249" s="13">
        <f t="shared" si="221"/>
        <v>0</v>
      </c>
      <c r="L249" s="13">
        <f t="shared" si="222"/>
        <v>0</v>
      </c>
      <c r="M249" s="13">
        <f t="shared" si="223"/>
        <v>0</v>
      </c>
      <c r="N249" s="13">
        <f t="shared" si="224"/>
        <v>0</v>
      </c>
      <c r="O249" s="13">
        <f t="shared" si="225"/>
        <v>0</v>
      </c>
      <c r="P249" s="13">
        <f t="shared" si="226"/>
        <v>0</v>
      </c>
      <c r="Q249" s="13">
        <f t="shared" si="227"/>
        <v>0</v>
      </c>
      <c r="R249" s="13">
        <f t="shared" si="228"/>
        <v>0</v>
      </c>
      <c r="S249" s="13">
        <f t="shared" si="229"/>
        <v>0</v>
      </c>
      <c r="T249" s="13">
        <f t="shared" si="230"/>
        <v>0</v>
      </c>
      <c r="U249" s="13">
        <f t="shared" si="231"/>
        <v>0</v>
      </c>
      <c r="V249" s="13">
        <f t="shared" si="232"/>
        <v>0</v>
      </c>
      <c r="W249" s="13">
        <f t="shared" si="233"/>
        <v>0</v>
      </c>
      <c r="X249" s="13">
        <f t="shared" si="234"/>
        <v>0</v>
      </c>
      <c r="Y249" s="13">
        <f t="shared" si="235"/>
        <v>0</v>
      </c>
      <c r="Z249" s="13">
        <f t="shared" si="236"/>
        <v>0</v>
      </c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13"/>
      <c r="IN249" s="13"/>
      <c r="IO249" s="13"/>
      <c r="IP249" s="13"/>
      <c r="IQ249" s="13"/>
      <c r="IR249" s="13"/>
      <c r="IS249" s="13"/>
      <c r="IT249" s="13"/>
      <c r="IU249" s="13"/>
      <c r="IV249" s="13"/>
      <c r="IW249" s="13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3"/>
      <c r="KG249" s="13"/>
      <c r="KH249" s="13"/>
      <c r="KI249" s="13"/>
      <c r="KJ249" s="13"/>
      <c r="KK249" s="13"/>
      <c r="KL249" s="13"/>
      <c r="KM249" s="13"/>
      <c r="KN249" s="13"/>
      <c r="KO249" s="13"/>
      <c r="KP249" s="13"/>
      <c r="KQ249" s="13"/>
      <c r="KR249" s="13"/>
      <c r="KS249" s="13"/>
      <c r="KT249" s="13"/>
      <c r="KU249" s="13"/>
      <c r="KV249" s="13"/>
      <c r="KW249" s="13"/>
      <c r="KX249" s="13"/>
      <c r="KY249" s="13"/>
      <c r="KZ249" s="13"/>
      <c r="LA249" s="13"/>
      <c r="LB249" s="13"/>
      <c r="LC249" s="13"/>
      <c r="LD249" s="13"/>
      <c r="LE249" s="13"/>
      <c r="LF249" s="13"/>
      <c r="LG249" s="13"/>
      <c r="LH249" s="13"/>
      <c r="LI249" s="13"/>
      <c r="LJ249" s="13"/>
      <c r="LK249" s="13"/>
      <c r="LL249" s="13"/>
      <c r="LM249" s="13"/>
      <c r="LN249" s="13"/>
      <c r="LO249" s="13"/>
      <c r="LP249" s="13"/>
      <c r="LQ249" s="13"/>
      <c r="LR249" s="13"/>
      <c r="LS249" s="13"/>
      <c r="LT249" s="13"/>
      <c r="LU249" s="13"/>
      <c r="LV249" s="13"/>
      <c r="LW249" s="13"/>
      <c r="LX249" s="13"/>
      <c r="LY249" s="13"/>
      <c r="LZ249" s="13"/>
      <c r="MA249" s="13"/>
      <c r="MB249" s="13"/>
      <c r="MC249" s="13"/>
    </row>
    <row r="250" spans="1:341" s="14" customFormat="1">
      <c r="A250" s="12" t="s">
        <v>243</v>
      </c>
      <c r="B250" s="13">
        <f t="shared" si="212"/>
        <v>0</v>
      </c>
      <c r="C250" s="13">
        <f t="shared" si="213"/>
        <v>0</v>
      </c>
      <c r="D250" s="13">
        <f t="shared" si="214"/>
        <v>0</v>
      </c>
      <c r="E250" s="13">
        <f t="shared" si="215"/>
        <v>0</v>
      </c>
      <c r="F250" s="13">
        <f t="shared" si="216"/>
        <v>0</v>
      </c>
      <c r="G250" s="13">
        <f t="shared" si="217"/>
        <v>0</v>
      </c>
      <c r="H250" s="13">
        <f t="shared" si="218"/>
        <v>0</v>
      </c>
      <c r="I250" s="13">
        <f t="shared" si="219"/>
        <v>0</v>
      </c>
      <c r="J250" s="13">
        <f t="shared" si="220"/>
        <v>0</v>
      </c>
      <c r="K250" s="13">
        <f t="shared" si="221"/>
        <v>0</v>
      </c>
      <c r="L250" s="13">
        <f t="shared" si="222"/>
        <v>0</v>
      </c>
      <c r="M250" s="13">
        <f t="shared" si="223"/>
        <v>0</v>
      </c>
      <c r="N250" s="13">
        <f t="shared" si="224"/>
        <v>0</v>
      </c>
      <c r="O250" s="13">
        <f t="shared" si="225"/>
        <v>0</v>
      </c>
      <c r="P250" s="13">
        <f t="shared" si="226"/>
        <v>0</v>
      </c>
      <c r="Q250" s="13">
        <f t="shared" si="227"/>
        <v>0</v>
      </c>
      <c r="R250" s="13">
        <f t="shared" si="228"/>
        <v>0</v>
      </c>
      <c r="S250" s="13">
        <f t="shared" si="229"/>
        <v>0</v>
      </c>
      <c r="T250" s="13">
        <f t="shared" si="230"/>
        <v>0</v>
      </c>
      <c r="U250" s="13">
        <f t="shared" si="231"/>
        <v>0</v>
      </c>
      <c r="V250" s="13">
        <f t="shared" si="232"/>
        <v>0</v>
      </c>
      <c r="W250" s="13">
        <f t="shared" si="233"/>
        <v>0</v>
      </c>
      <c r="X250" s="13">
        <f t="shared" si="234"/>
        <v>0</v>
      </c>
      <c r="Y250" s="13">
        <f t="shared" si="235"/>
        <v>0</v>
      </c>
      <c r="Z250" s="13">
        <f t="shared" si="236"/>
        <v>0</v>
      </c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13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3"/>
      <c r="KG250" s="13"/>
      <c r="KH250" s="13"/>
      <c r="KI250" s="13"/>
      <c r="KJ250" s="13"/>
      <c r="KK250" s="13"/>
      <c r="KL250" s="13"/>
      <c r="KM250" s="13"/>
      <c r="KN250" s="13"/>
      <c r="KO250" s="13"/>
      <c r="KP250" s="13"/>
      <c r="KQ250" s="13"/>
      <c r="KR250" s="13"/>
      <c r="KS250" s="13"/>
      <c r="KT250" s="13"/>
      <c r="KU250" s="13"/>
      <c r="KV250" s="13"/>
      <c r="KW250" s="13"/>
      <c r="KX250" s="13"/>
      <c r="KY250" s="13"/>
      <c r="KZ250" s="13"/>
      <c r="LA250" s="13"/>
      <c r="LB250" s="13"/>
      <c r="LC250" s="13"/>
      <c r="LD250" s="13"/>
      <c r="LE250" s="13"/>
      <c r="LF250" s="13"/>
      <c r="LG250" s="13"/>
      <c r="LH250" s="13"/>
      <c r="LI250" s="13"/>
      <c r="LJ250" s="13"/>
      <c r="LK250" s="13"/>
      <c r="LL250" s="13"/>
      <c r="LM250" s="13"/>
      <c r="LN250" s="13"/>
      <c r="LO250" s="13"/>
      <c r="LP250" s="13"/>
      <c r="LQ250" s="13"/>
      <c r="LR250" s="13"/>
      <c r="LS250" s="13"/>
      <c r="LT250" s="13"/>
      <c r="LU250" s="13"/>
      <c r="LV250" s="13"/>
      <c r="LW250" s="13"/>
      <c r="LX250" s="13"/>
      <c r="LY250" s="13"/>
      <c r="LZ250" s="13"/>
      <c r="MA250" s="13"/>
      <c r="MB250" s="13"/>
      <c r="MC250" s="13"/>
    </row>
    <row r="251" spans="1:341" s="14" customFormat="1">
      <c r="A251" s="15" t="s">
        <v>244</v>
      </c>
      <c r="B251" s="13">
        <f t="shared" si="212"/>
        <v>0</v>
      </c>
      <c r="C251" s="13">
        <f t="shared" si="213"/>
        <v>0</v>
      </c>
      <c r="D251" s="13">
        <f t="shared" si="214"/>
        <v>0</v>
      </c>
      <c r="E251" s="13">
        <f t="shared" si="215"/>
        <v>0</v>
      </c>
      <c r="F251" s="13">
        <f t="shared" si="216"/>
        <v>0</v>
      </c>
      <c r="G251" s="13">
        <f t="shared" si="217"/>
        <v>0</v>
      </c>
      <c r="H251" s="13">
        <f t="shared" si="218"/>
        <v>0</v>
      </c>
      <c r="I251" s="13">
        <f t="shared" si="219"/>
        <v>0</v>
      </c>
      <c r="J251" s="13">
        <f t="shared" si="220"/>
        <v>0</v>
      </c>
      <c r="K251" s="13">
        <f t="shared" si="221"/>
        <v>0</v>
      </c>
      <c r="L251" s="13">
        <f t="shared" si="222"/>
        <v>0</v>
      </c>
      <c r="M251" s="13">
        <f t="shared" si="223"/>
        <v>0</v>
      </c>
      <c r="N251" s="13">
        <f t="shared" si="224"/>
        <v>9.8850063134117629</v>
      </c>
      <c r="O251" s="13">
        <f t="shared" si="225"/>
        <v>2.0162925258823523</v>
      </c>
      <c r="P251" s="13">
        <f t="shared" si="226"/>
        <v>0</v>
      </c>
      <c r="Q251" s="13">
        <f t="shared" si="227"/>
        <v>0</v>
      </c>
      <c r="R251" s="13">
        <f t="shared" si="228"/>
        <v>0</v>
      </c>
      <c r="S251" s="13">
        <f t="shared" si="229"/>
        <v>6.265161082352938E-2</v>
      </c>
      <c r="T251" s="13">
        <f t="shared" si="230"/>
        <v>0</v>
      </c>
      <c r="U251" s="13">
        <f t="shared" si="231"/>
        <v>0</v>
      </c>
      <c r="V251" s="13">
        <f t="shared" si="232"/>
        <v>0</v>
      </c>
      <c r="W251" s="13">
        <f t="shared" si="233"/>
        <v>0</v>
      </c>
      <c r="X251" s="13">
        <f t="shared" si="234"/>
        <v>0</v>
      </c>
      <c r="Y251" s="13">
        <f t="shared" si="235"/>
        <v>0</v>
      </c>
      <c r="Z251" s="13">
        <f t="shared" si="236"/>
        <v>0</v>
      </c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>
        <v>1684.3023894117644</v>
      </c>
      <c r="FU251" s="13">
        <v>1729.6628472941172</v>
      </c>
      <c r="FV251" s="13">
        <v>1441.3905091764705</v>
      </c>
      <c r="FW251" s="13"/>
      <c r="FX251" s="13"/>
      <c r="FY251" s="13">
        <v>2153.7571917647056</v>
      </c>
      <c r="FZ251" s="13"/>
      <c r="GA251" s="13">
        <v>2875.8933757647051</v>
      </c>
      <c r="GB251" s="13">
        <v>2016.2925258823525</v>
      </c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>
        <v>10.172961647058818</v>
      </c>
      <c r="IA251" s="13">
        <v>22.62259176470587</v>
      </c>
      <c r="IB251" s="13">
        <v>5.0144343529411737</v>
      </c>
      <c r="IC251" s="13"/>
      <c r="ID251" s="13">
        <v>5.0144343529411737</v>
      </c>
      <c r="IE251" s="13">
        <v>10.057687294117642</v>
      </c>
      <c r="IF251" s="13">
        <v>9.7695014117646988</v>
      </c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13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3"/>
      <c r="KG251" s="13"/>
      <c r="KH251" s="13"/>
      <c r="KI251" s="13"/>
      <c r="KJ251" s="13"/>
      <c r="KK251" s="13"/>
      <c r="KL251" s="13"/>
      <c r="KM251" s="13"/>
      <c r="KN251" s="13"/>
      <c r="KO251" s="13"/>
      <c r="KP251" s="13"/>
      <c r="KQ251" s="13"/>
      <c r="KR251" s="13"/>
      <c r="KS251" s="13"/>
      <c r="KT251" s="13"/>
      <c r="KU251" s="13"/>
      <c r="KV251" s="13"/>
      <c r="KW251" s="13"/>
      <c r="KX251" s="13"/>
      <c r="KY251" s="13"/>
      <c r="KZ251" s="13"/>
      <c r="LA251" s="13"/>
      <c r="LB251" s="13"/>
      <c r="LC251" s="13"/>
      <c r="LD251" s="13"/>
      <c r="LE251" s="13"/>
      <c r="LF251" s="13"/>
      <c r="LG251" s="13"/>
      <c r="LH251" s="13"/>
      <c r="LI251" s="13"/>
      <c r="LJ251" s="13"/>
      <c r="LK251" s="13"/>
      <c r="LL251" s="13"/>
      <c r="LM251" s="13"/>
      <c r="LN251" s="13"/>
      <c r="LO251" s="13"/>
      <c r="LP251" s="13"/>
      <c r="LQ251" s="13"/>
      <c r="LR251" s="13"/>
      <c r="LS251" s="13"/>
      <c r="LT251" s="13"/>
      <c r="LU251" s="13"/>
      <c r="LV251" s="13"/>
      <c r="LW251" s="13"/>
      <c r="LX251" s="13"/>
      <c r="LY251" s="13"/>
      <c r="LZ251" s="13"/>
      <c r="MA251" s="13"/>
      <c r="MB251" s="13"/>
      <c r="MC251" s="13"/>
    </row>
    <row r="252" spans="1:341" s="14" customFormat="1">
      <c r="A252" s="12" t="s">
        <v>245</v>
      </c>
      <c r="B252" s="13">
        <f t="shared" si="212"/>
        <v>0</v>
      </c>
      <c r="C252" s="13">
        <f t="shared" si="213"/>
        <v>0</v>
      </c>
      <c r="D252" s="13">
        <f t="shared" si="214"/>
        <v>0</v>
      </c>
      <c r="E252" s="13">
        <f t="shared" si="215"/>
        <v>0</v>
      </c>
      <c r="F252" s="13">
        <f t="shared" si="216"/>
        <v>0</v>
      </c>
      <c r="G252" s="13">
        <f t="shared" si="217"/>
        <v>0</v>
      </c>
      <c r="H252" s="13">
        <f t="shared" si="218"/>
        <v>0</v>
      </c>
      <c r="I252" s="13">
        <f t="shared" si="219"/>
        <v>0</v>
      </c>
      <c r="J252" s="13">
        <f t="shared" si="220"/>
        <v>0</v>
      </c>
      <c r="K252" s="13">
        <f t="shared" si="221"/>
        <v>0</v>
      </c>
      <c r="L252" s="13">
        <f t="shared" si="222"/>
        <v>0</v>
      </c>
      <c r="M252" s="13">
        <f t="shared" si="223"/>
        <v>0</v>
      </c>
      <c r="N252" s="13">
        <f t="shared" si="224"/>
        <v>0</v>
      </c>
      <c r="O252" s="13">
        <f t="shared" si="225"/>
        <v>0</v>
      </c>
      <c r="P252" s="13">
        <f t="shared" si="226"/>
        <v>0</v>
      </c>
      <c r="Q252" s="13">
        <f t="shared" si="227"/>
        <v>0</v>
      </c>
      <c r="R252" s="13">
        <f t="shared" si="228"/>
        <v>0</v>
      </c>
      <c r="S252" s="13">
        <f t="shared" si="229"/>
        <v>0</v>
      </c>
      <c r="T252" s="13">
        <f t="shared" si="230"/>
        <v>0</v>
      </c>
      <c r="U252" s="13">
        <f t="shared" si="231"/>
        <v>0</v>
      </c>
      <c r="V252" s="13">
        <f t="shared" si="232"/>
        <v>0</v>
      </c>
      <c r="W252" s="13">
        <f t="shared" si="233"/>
        <v>0</v>
      </c>
      <c r="X252" s="13">
        <f t="shared" si="234"/>
        <v>0</v>
      </c>
      <c r="Y252" s="13">
        <f t="shared" si="235"/>
        <v>0</v>
      </c>
      <c r="Z252" s="13">
        <f t="shared" si="236"/>
        <v>0</v>
      </c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/>
      <c r="HY252" s="13"/>
      <c r="HZ252" s="13"/>
      <c r="IA252" s="13"/>
      <c r="IB252" s="13"/>
      <c r="IC252" s="13"/>
      <c r="ID252" s="13"/>
      <c r="IE252" s="13"/>
      <c r="IF252" s="13"/>
      <c r="IG252" s="13"/>
      <c r="IH252" s="13"/>
      <c r="II252" s="13"/>
      <c r="IJ252" s="13"/>
      <c r="IK252" s="13"/>
      <c r="IL252" s="13"/>
      <c r="IM252" s="13"/>
      <c r="IN252" s="13"/>
      <c r="IO252" s="13"/>
      <c r="IP252" s="13"/>
      <c r="IQ252" s="13"/>
      <c r="IR252" s="13"/>
      <c r="IS252" s="13"/>
      <c r="IT252" s="13"/>
      <c r="IU252" s="13"/>
      <c r="IV252" s="13"/>
      <c r="IW252" s="13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3"/>
      <c r="KG252" s="13"/>
      <c r="KH252" s="13"/>
      <c r="KI252" s="13"/>
      <c r="KJ252" s="13"/>
      <c r="KK252" s="13"/>
      <c r="KL252" s="13"/>
      <c r="KM252" s="13"/>
      <c r="KN252" s="13"/>
      <c r="KO252" s="13"/>
      <c r="KP252" s="13"/>
      <c r="KQ252" s="13"/>
      <c r="KR252" s="13"/>
      <c r="KS252" s="13"/>
      <c r="KT252" s="13"/>
      <c r="KU252" s="13"/>
      <c r="KV252" s="13"/>
      <c r="KW252" s="13"/>
      <c r="KX252" s="13"/>
      <c r="KY252" s="13"/>
      <c r="KZ252" s="13"/>
      <c r="LA252" s="13"/>
      <c r="LB252" s="13"/>
      <c r="LC252" s="13"/>
      <c r="LD252" s="13"/>
      <c r="LE252" s="13"/>
      <c r="LF252" s="13"/>
      <c r="LG252" s="13"/>
      <c r="LH252" s="13"/>
      <c r="LI252" s="13"/>
      <c r="LJ252" s="13"/>
      <c r="LK252" s="13"/>
      <c r="LL252" s="13"/>
      <c r="LM252" s="13"/>
      <c r="LN252" s="13"/>
      <c r="LO252" s="13"/>
      <c r="LP252" s="13"/>
      <c r="LQ252" s="13"/>
      <c r="LR252" s="13"/>
      <c r="LS252" s="13"/>
      <c r="LT252" s="13"/>
      <c r="LU252" s="13"/>
      <c r="LV252" s="13"/>
      <c r="LW252" s="13"/>
      <c r="LX252" s="13"/>
      <c r="LY252" s="13"/>
      <c r="LZ252" s="13"/>
      <c r="MA252" s="13"/>
      <c r="MB252" s="13"/>
      <c r="MC252" s="13"/>
    </row>
    <row r="253" spans="1:341" s="14" customFormat="1">
      <c r="A253" s="12" t="s">
        <v>246</v>
      </c>
      <c r="B253" s="13">
        <f t="shared" si="212"/>
        <v>0</v>
      </c>
      <c r="C253" s="13">
        <f t="shared" si="213"/>
        <v>0</v>
      </c>
      <c r="D253" s="13">
        <f t="shared" si="214"/>
        <v>0</v>
      </c>
      <c r="E253" s="13">
        <f t="shared" si="215"/>
        <v>0</v>
      </c>
      <c r="F253" s="13">
        <f t="shared" si="216"/>
        <v>0</v>
      </c>
      <c r="G253" s="13">
        <f t="shared" si="217"/>
        <v>0</v>
      </c>
      <c r="H253" s="13">
        <f t="shared" si="218"/>
        <v>0</v>
      </c>
      <c r="I253" s="13">
        <f t="shared" si="219"/>
        <v>0</v>
      </c>
      <c r="J253" s="13">
        <f t="shared" si="220"/>
        <v>0</v>
      </c>
      <c r="K253" s="13">
        <f t="shared" si="221"/>
        <v>0</v>
      </c>
      <c r="L253" s="13">
        <f t="shared" si="222"/>
        <v>0</v>
      </c>
      <c r="M253" s="13">
        <f t="shared" si="223"/>
        <v>0</v>
      </c>
      <c r="N253" s="13">
        <f t="shared" si="224"/>
        <v>0</v>
      </c>
      <c r="O253" s="13">
        <f t="shared" si="225"/>
        <v>0</v>
      </c>
      <c r="P253" s="13">
        <f t="shared" si="226"/>
        <v>0</v>
      </c>
      <c r="Q253" s="13">
        <f t="shared" si="227"/>
        <v>0</v>
      </c>
      <c r="R253" s="13">
        <f t="shared" si="228"/>
        <v>0</v>
      </c>
      <c r="S253" s="13">
        <f t="shared" si="229"/>
        <v>0</v>
      </c>
      <c r="T253" s="13">
        <f t="shared" si="230"/>
        <v>0</v>
      </c>
      <c r="U253" s="13">
        <f t="shared" si="231"/>
        <v>0</v>
      </c>
      <c r="V253" s="13">
        <f t="shared" si="232"/>
        <v>0</v>
      </c>
      <c r="W253" s="13">
        <f t="shared" si="233"/>
        <v>0</v>
      </c>
      <c r="X253" s="13">
        <f t="shared" si="234"/>
        <v>0</v>
      </c>
      <c r="Y253" s="13">
        <f t="shared" si="235"/>
        <v>0</v>
      </c>
      <c r="Z253" s="13">
        <f t="shared" si="236"/>
        <v>0</v>
      </c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  <c r="HQ253" s="13"/>
      <c r="HR253" s="13"/>
      <c r="HS253" s="13"/>
      <c r="HT253" s="13"/>
      <c r="HU253" s="13"/>
      <c r="HV253" s="13"/>
      <c r="HW253" s="13"/>
      <c r="HX253" s="13"/>
      <c r="HY253" s="13"/>
      <c r="HZ253" s="13"/>
      <c r="IA253" s="13"/>
      <c r="IB253" s="13"/>
      <c r="IC253" s="13"/>
      <c r="ID253" s="13"/>
      <c r="IE253" s="13"/>
      <c r="IF253" s="13"/>
      <c r="IG253" s="13"/>
      <c r="IH253" s="13"/>
      <c r="II253" s="13"/>
      <c r="IJ253" s="13"/>
      <c r="IK253" s="13"/>
      <c r="IL253" s="13"/>
      <c r="IM253" s="13"/>
      <c r="IN253" s="13"/>
      <c r="IO253" s="13"/>
      <c r="IP253" s="13"/>
      <c r="IQ253" s="13"/>
      <c r="IR253" s="13"/>
      <c r="IS253" s="13"/>
      <c r="IT253" s="13"/>
      <c r="IU253" s="13"/>
      <c r="IV253" s="13"/>
      <c r="IW253" s="13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3"/>
      <c r="KG253" s="13"/>
      <c r="KH253" s="13"/>
      <c r="KI253" s="13"/>
      <c r="KJ253" s="13"/>
      <c r="KK253" s="13"/>
      <c r="KL253" s="13"/>
      <c r="KM253" s="13"/>
      <c r="KN253" s="13"/>
      <c r="KO253" s="13"/>
      <c r="KP253" s="13"/>
      <c r="KQ253" s="13"/>
      <c r="KR253" s="13"/>
      <c r="KS253" s="13"/>
      <c r="KT253" s="13"/>
      <c r="KU253" s="13"/>
      <c r="KV253" s="13"/>
      <c r="KW253" s="13"/>
      <c r="KX253" s="13"/>
      <c r="KY253" s="13"/>
      <c r="KZ253" s="13"/>
      <c r="LA253" s="13"/>
      <c r="LB253" s="13"/>
      <c r="LC253" s="13"/>
      <c r="LD253" s="13"/>
      <c r="LE253" s="13"/>
      <c r="LF253" s="13"/>
      <c r="LG253" s="13"/>
      <c r="LH253" s="13"/>
      <c r="LI253" s="13"/>
      <c r="LJ253" s="13"/>
      <c r="LK253" s="13"/>
      <c r="LL253" s="13"/>
      <c r="LM253" s="13"/>
      <c r="LN253" s="13"/>
      <c r="LO253" s="13"/>
      <c r="LP253" s="13"/>
      <c r="LQ253" s="13"/>
      <c r="LR253" s="13"/>
      <c r="LS253" s="13"/>
      <c r="LT253" s="13"/>
      <c r="LU253" s="13"/>
      <c r="LV253" s="13"/>
      <c r="LW253" s="13"/>
      <c r="LX253" s="13"/>
      <c r="LY253" s="13"/>
      <c r="LZ253" s="13"/>
      <c r="MA253" s="13"/>
      <c r="MB253" s="13"/>
      <c r="MC253" s="13"/>
    </row>
    <row r="254" spans="1:341" s="14" customFormat="1">
      <c r="A254" s="15" t="s">
        <v>247</v>
      </c>
      <c r="B254" s="13">
        <f t="shared" si="212"/>
        <v>0</v>
      </c>
      <c r="C254" s="13">
        <f t="shared" si="213"/>
        <v>0</v>
      </c>
      <c r="D254" s="13">
        <f t="shared" si="214"/>
        <v>0</v>
      </c>
      <c r="E254" s="13">
        <f t="shared" si="215"/>
        <v>0</v>
      </c>
      <c r="F254" s="13">
        <f t="shared" si="216"/>
        <v>0</v>
      </c>
      <c r="G254" s="13">
        <f t="shared" si="217"/>
        <v>0</v>
      </c>
      <c r="H254" s="13">
        <f t="shared" si="218"/>
        <v>0</v>
      </c>
      <c r="I254" s="13">
        <f t="shared" si="219"/>
        <v>0</v>
      </c>
      <c r="J254" s="13">
        <f t="shared" si="220"/>
        <v>0</v>
      </c>
      <c r="K254" s="13">
        <f t="shared" si="221"/>
        <v>0</v>
      </c>
      <c r="L254" s="13">
        <f t="shared" si="222"/>
        <v>0</v>
      </c>
      <c r="M254" s="13">
        <f t="shared" si="223"/>
        <v>0</v>
      </c>
      <c r="N254" s="13">
        <f t="shared" si="224"/>
        <v>0</v>
      </c>
      <c r="O254" s="13">
        <f t="shared" si="225"/>
        <v>0</v>
      </c>
      <c r="P254" s="13">
        <f t="shared" si="226"/>
        <v>0</v>
      </c>
      <c r="Q254" s="13">
        <f t="shared" si="227"/>
        <v>0</v>
      </c>
      <c r="R254" s="13">
        <f t="shared" si="228"/>
        <v>0</v>
      </c>
      <c r="S254" s="13">
        <f t="shared" si="229"/>
        <v>0</v>
      </c>
      <c r="T254" s="13">
        <f t="shared" si="230"/>
        <v>0</v>
      </c>
      <c r="U254" s="13">
        <f t="shared" si="231"/>
        <v>0</v>
      </c>
      <c r="V254" s="13">
        <f t="shared" si="232"/>
        <v>0</v>
      </c>
      <c r="W254" s="13">
        <f t="shared" si="233"/>
        <v>0</v>
      </c>
      <c r="X254" s="13">
        <f t="shared" si="234"/>
        <v>0</v>
      </c>
      <c r="Y254" s="13">
        <f t="shared" si="235"/>
        <v>0</v>
      </c>
      <c r="Z254" s="13">
        <f t="shared" si="236"/>
        <v>0</v>
      </c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/>
      <c r="HY254" s="13"/>
      <c r="HZ254" s="13"/>
      <c r="IA254" s="13"/>
      <c r="IB254" s="13"/>
      <c r="IC254" s="13"/>
      <c r="ID254" s="13"/>
      <c r="IE254" s="13"/>
      <c r="IF254" s="13"/>
      <c r="IG254" s="13"/>
      <c r="IH254" s="13"/>
      <c r="II254" s="13"/>
      <c r="IJ254" s="13"/>
      <c r="IK254" s="13"/>
      <c r="IL254" s="13"/>
      <c r="IM254" s="13"/>
      <c r="IN254" s="13"/>
      <c r="IO254" s="13"/>
      <c r="IP254" s="13"/>
      <c r="IQ254" s="13"/>
      <c r="IR254" s="13"/>
      <c r="IS254" s="13"/>
      <c r="IT254" s="13"/>
      <c r="IU254" s="13"/>
      <c r="IV254" s="13"/>
      <c r="IW254" s="13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3"/>
      <c r="KG254" s="13"/>
      <c r="KH254" s="13"/>
      <c r="KI254" s="13"/>
      <c r="KJ254" s="13"/>
      <c r="KK254" s="13"/>
      <c r="KL254" s="13"/>
      <c r="KM254" s="13"/>
      <c r="KN254" s="13"/>
      <c r="KO254" s="13"/>
      <c r="KP254" s="13"/>
      <c r="KQ254" s="13"/>
      <c r="KR254" s="13"/>
      <c r="KS254" s="13"/>
      <c r="KT254" s="13"/>
      <c r="KU254" s="13"/>
      <c r="KV254" s="13"/>
      <c r="KW254" s="13"/>
      <c r="KX254" s="13"/>
      <c r="KY254" s="13"/>
      <c r="KZ254" s="13"/>
      <c r="LA254" s="13"/>
      <c r="LB254" s="13"/>
      <c r="LC254" s="13"/>
      <c r="LD254" s="13"/>
      <c r="LE254" s="13"/>
      <c r="LF254" s="13"/>
      <c r="LG254" s="13"/>
      <c r="LH254" s="13"/>
      <c r="LI254" s="13"/>
      <c r="LJ254" s="13"/>
      <c r="LK254" s="13"/>
      <c r="LL254" s="13"/>
      <c r="LM254" s="13"/>
      <c r="LN254" s="13"/>
      <c r="LO254" s="13"/>
      <c r="LP254" s="13"/>
      <c r="LQ254" s="13"/>
      <c r="LR254" s="13"/>
      <c r="LS254" s="13"/>
      <c r="LT254" s="13"/>
      <c r="LU254" s="13"/>
      <c r="LV254" s="13"/>
      <c r="LW254" s="13"/>
      <c r="LX254" s="13"/>
      <c r="LY254" s="13"/>
      <c r="LZ254" s="13"/>
      <c r="MA254" s="13"/>
      <c r="MB254" s="13"/>
      <c r="MC254" s="13"/>
    </row>
    <row r="255" spans="1:341" s="14" customFormat="1">
      <c r="A255" s="12" t="s">
        <v>248</v>
      </c>
      <c r="B255" s="13">
        <f t="shared" si="212"/>
        <v>0</v>
      </c>
      <c r="C255" s="13">
        <f t="shared" si="213"/>
        <v>0</v>
      </c>
      <c r="D255" s="13">
        <f t="shared" si="214"/>
        <v>0</v>
      </c>
      <c r="E255" s="13">
        <f t="shared" si="215"/>
        <v>0</v>
      </c>
      <c r="F255" s="13">
        <f t="shared" si="216"/>
        <v>0</v>
      </c>
      <c r="G255" s="13">
        <f t="shared" si="217"/>
        <v>0</v>
      </c>
      <c r="H255" s="13">
        <f t="shared" si="218"/>
        <v>0</v>
      </c>
      <c r="I255" s="13">
        <f t="shared" si="219"/>
        <v>0</v>
      </c>
      <c r="J255" s="13">
        <f t="shared" si="220"/>
        <v>0</v>
      </c>
      <c r="K255" s="13">
        <f t="shared" si="221"/>
        <v>0</v>
      </c>
      <c r="L255" s="13">
        <f t="shared" si="222"/>
        <v>0</v>
      </c>
      <c r="M255" s="13">
        <f t="shared" si="223"/>
        <v>0</v>
      </c>
      <c r="N255" s="13">
        <f t="shared" si="224"/>
        <v>0</v>
      </c>
      <c r="O255" s="13">
        <f t="shared" si="225"/>
        <v>0</v>
      </c>
      <c r="P255" s="13">
        <f t="shared" si="226"/>
        <v>0</v>
      </c>
      <c r="Q255" s="13">
        <f t="shared" si="227"/>
        <v>0</v>
      </c>
      <c r="R255" s="13">
        <f t="shared" si="228"/>
        <v>0</v>
      </c>
      <c r="S255" s="13">
        <f t="shared" si="229"/>
        <v>0</v>
      </c>
      <c r="T255" s="13">
        <f t="shared" si="230"/>
        <v>0</v>
      </c>
      <c r="U255" s="13">
        <f t="shared" si="231"/>
        <v>0</v>
      </c>
      <c r="V255" s="13">
        <f t="shared" si="232"/>
        <v>0</v>
      </c>
      <c r="W255" s="13">
        <f t="shared" si="233"/>
        <v>0</v>
      </c>
      <c r="X255" s="13">
        <f t="shared" si="234"/>
        <v>0</v>
      </c>
      <c r="Y255" s="13">
        <f t="shared" si="235"/>
        <v>0</v>
      </c>
      <c r="Z255" s="13">
        <f t="shared" si="236"/>
        <v>0</v>
      </c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/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  <c r="HQ255" s="13"/>
      <c r="HR255" s="13"/>
      <c r="HS255" s="13"/>
      <c r="HT255" s="13"/>
      <c r="HU255" s="13"/>
      <c r="HV255" s="13"/>
      <c r="HW255" s="13"/>
      <c r="HX255" s="13"/>
      <c r="HY255" s="13"/>
      <c r="HZ255" s="13"/>
      <c r="IA255" s="13"/>
      <c r="IB255" s="13"/>
      <c r="IC255" s="13"/>
      <c r="ID255" s="13"/>
      <c r="IE255" s="13"/>
      <c r="IF255" s="13"/>
      <c r="IG255" s="13"/>
      <c r="IH255" s="13"/>
      <c r="II255" s="13"/>
      <c r="IJ255" s="13"/>
      <c r="IK255" s="13"/>
      <c r="IL255" s="13"/>
      <c r="IM255" s="13"/>
      <c r="IN255" s="13"/>
      <c r="IO255" s="13"/>
      <c r="IP255" s="13"/>
      <c r="IQ255" s="13"/>
      <c r="IR255" s="13"/>
      <c r="IS255" s="13"/>
      <c r="IT255" s="13"/>
      <c r="IU255" s="13"/>
      <c r="IV255" s="13"/>
      <c r="IW255" s="13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3"/>
      <c r="KG255" s="13"/>
      <c r="KH255" s="13"/>
      <c r="KI255" s="13"/>
      <c r="KJ255" s="13"/>
      <c r="KK255" s="13"/>
      <c r="KL255" s="13"/>
      <c r="KM255" s="13"/>
      <c r="KN255" s="13"/>
      <c r="KO255" s="13"/>
      <c r="KP255" s="13"/>
      <c r="KQ255" s="13"/>
      <c r="KR255" s="13"/>
      <c r="KS255" s="13"/>
      <c r="KT255" s="13"/>
      <c r="KU255" s="13"/>
      <c r="KV255" s="13"/>
      <c r="KW255" s="13"/>
      <c r="KX255" s="13"/>
      <c r="KY255" s="13"/>
      <c r="KZ255" s="13"/>
      <c r="LA255" s="13"/>
      <c r="LB255" s="13"/>
      <c r="LC255" s="13"/>
      <c r="LD255" s="13"/>
      <c r="LE255" s="13"/>
      <c r="LF255" s="13"/>
      <c r="LG255" s="13"/>
      <c r="LH255" s="13"/>
      <c r="LI255" s="13"/>
      <c r="LJ255" s="13"/>
      <c r="LK255" s="13"/>
      <c r="LL255" s="13"/>
      <c r="LM255" s="13"/>
      <c r="LN255" s="13"/>
      <c r="LO255" s="13"/>
      <c r="LP255" s="13"/>
      <c r="LQ255" s="13"/>
      <c r="LR255" s="13"/>
      <c r="LS255" s="13"/>
      <c r="LT255" s="13"/>
      <c r="LU255" s="13"/>
      <c r="LV255" s="13"/>
      <c r="LW255" s="13"/>
      <c r="LX255" s="13"/>
      <c r="LY255" s="13"/>
      <c r="LZ255" s="13"/>
      <c r="MA255" s="13"/>
      <c r="MB255" s="13"/>
      <c r="MC255" s="13"/>
    </row>
    <row r="256" spans="1:341" s="14" customFormat="1">
      <c r="A256" s="12" t="s">
        <v>249</v>
      </c>
      <c r="B256" s="13">
        <f t="shared" si="212"/>
        <v>0</v>
      </c>
      <c r="C256" s="13">
        <f t="shared" si="213"/>
        <v>0</v>
      </c>
      <c r="D256" s="13">
        <f t="shared" si="214"/>
        <v>0</v>
      </c>
      <c r="E256" s="13">
        <f t="shared" si="215"/>
        <v>0</v>
      </c>
      <c r="F256" s="13">
        <f t="shared" si="216"/>
        <v>0</v>
      </c>
      <c r="G256" s="13">
        <f t="shared" si="217"/>
        <v>0</v>
      </c>
      <c r="H256" s="13">
        <f t="shared" si="218"/>
        <v>0</v>
      </c>
      <c r="I256" s="13">
        <f t="shared" si="219"/>
        <v>0</v>
      </c>
      <c r="J256" s="13">
        <f t="shared" si="220"/>
        <v>0</v>
      </c>
      <c r="K256" s="13">
        <f t="shared" si="221"/>
        <v>0</v>
      </c>
      <c r="L256" s="13">
        <f t="shared" si="222"/>
        <v>0</v>
      </c>
      <c r="M256" s="13">
        <f t="shared" si="223"/>
        <v>0</v>
      </c>
      <c r="N256" s="13">
        <f t="shared" si="224"/>
        <v>0</v>
      </c>
      <c r="O256" s="13">
        <f t="shared" si="225"/>
        <v>0</v>
      </c>
      <c r="P256" s="13">
        <f t="shared" si="226"/>
        <v>0</v>
      </c>
      <c r="Q256" s="13">
        <f t="shared" si="227"/>
        <v>0</v>
      </c>
      <c r="R256" s="13">
        <f t="shared" si="228"/>
        <v>0</v>
      </c>
      <c r="S256" s="13">
        <f t="shared" si="229"/>
        <v>0</v>
      </c>
      <c r="T256" s="13">
        <f t="shared" si="230"/>
        <v>0</v>
      </c>
      <c r="U256" s="13">
        <f t="shared" si="231"/>
        <v>0</v>
      </c>
      <c r="V256" s="13">
        <f t="shared" si="232"/>
        <v>0</v>
      </c>
      <c r="W256" s="13">
        <f t="shared" si="233"/>
        <v>0</v>
      </c>
      <c r="X256" s="13">
        <f t="shared" si="234"/>
        <v>0</v>
      </c>
      <c r="Y256" s="13">
        <f t="shared" si="235"/>
        <v>0</v>
      </c>
      <c r="Z256" s="13">
        <f t="shared" si="236"/>
        <v>0</v>
      </c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/>
      <c r="HY256" s="13"/>
      <c r="HZ256" s="13"/>
      <c r="IA256" s="13"/>
      <c r="IB256" s="13"/>
      <c r="IC256" s="13"/>
      <c r="ID256" s="13"/>
      <c r="IE256" s="13"/>
      <c r="IF256" s="13"/>
      <c r="IG256" s="13"/>
      <c r="IH256" s="13"/>
      <c r="II256" s="13"/>
      <c r="IJ256" s="13"/>
      <c r="IK256" s="13"/>
      <c r="IL256" s="13"/>
      <c r="IM256" s="13"/>
      <c r="IN256" s="13"/>
      <c r="IO256" s="13"/>
      <c r="IP256" s="13"/>
      <c r="IQ256" s="13"/>
      <c r="IR256" s="13"/>
      <c r="IS256" s="13"/>
      <c r="IT256" s="13"/>
      <c r="IU256" s="13"/>
      <c r="IV256" s="13"/>
      <c r="IW256" s="13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3"/>
      <c r="KG256" s="13"/>
      <c r="KH256" s="13"/>
      <c r="KI256" s="13"/>
      <c r="KJ256" s="13"/>
      <c r="KK256" s="13"/>
      <c r="KL256" s="13"/>
      <c r="KM256" s="13"/>
      <c r="KN256" s="13"/>
      <c r="KO256" s="13"/>
      <c r="KP256" s="13"/>
      <c r="KQ256" s="13"/>
      <c r="KR256" s="13"/>
      <c r="KS256" s="13"/>
      <c r="KT256" s="13"/>
      <c r="KU256" s="13"/>
      <c r="KV256" s="13"/>
      <c r="KW256" s="13"/>
      <c r="KX256" s="13"/>
      <c r="KY256" s="13"/>
      <c r="KZ256" s="13"/>
      <c r="LA256" s="13"/>
      <c r="LB256" s="13"/>
      <c r="LC256" s="13"/>
      <c r="LD256" s="13"/>
      <c r="LE256" s="13"/>
      <c r="LF256" s="13"/>
      <c r="LG256" s="13"/>
      <c r="LH256" s="13"/>
      <c r="LI256" s="13"/>
      <c r="LJ256" s="13"/>
      <c r="LK256" s="13"/>
      <c r="LL256" s="13"/>
      <c r="LM256" s="13"/>
      <c r="LN256" s="13"/>
      <c r="LO256" s="13"/>
      <c r="LP256" s="13"/>
      <c r="LQ256" s="13"/>
      <c r="LR256" s="13"/>
      <c r="LS256" s="13"/>
      <c r="LT256" s="13"/>
      <c r="LU256" s="13"/>
      <c r="LV256" s="13"/>
      <c r="LW256" s="13"/>
      <c r="LX256" s="13"/>
      <c r="LY256" s="13"/>
      <c r="LZ256" s="13"/>
      <c r="MA256" s="13"/>
      <c r="MB256" s="13"/>
      <c r="MC256" s="13"/>
    </row>
    <row r="257" spans="1:341" s="14" customFormat="1">
      <c r="A257" s="15" t="s">
        <v>250</v>
      </c>
      <c r="B257" s="13">
        <f t="shared" si="212"/>
        <v>0</v>
      </c>
      <c r="C257" s="13">
        <f t="shared" si="213"/>
        <v>0</v>
      </c>
      <c r="D257" s="13">
        <f t="shared" si="214"/>
        <v>0</v>
      </c>
      <c r="E257" s="13">
        <f t="shared" si="215"/>
        <v>0</v>
      </c>
      <c r="F257" s="13">
        <f t="shared" si="216"/>
        <v>0</v>
      </c>
      <c r="G257" s="13">
        <f t="shared" si="217"/>
        <v>0</v>
      </c>
      <c r="H257" s="13">
        <f t="shared" si="218"/>
        <v>0</v>
      </c>
      <c r="I257" s="13">
        <f t="shared" si="219"/>
        <v>0</v>
      </c>
      <c r="J257" s="13">
        <f t="shared" si="220"/>
        <v>0</v>
      </c>
      <c r="K257" s="13">
        <f t="shared" si="221"/>
        <v>0</v>
      </c>
      <c r="L257" s="13">
        <f t="shared" si="222"/>
        <v>0</v>
      </c>
      <c r="M257" s="13">
        <f t="shared" si="223"/>
        <v>0</v>
      </c>
      <c r="N257" s="13">
        <f t="shared" si="224"/>
        <v>0</v>
      </c>
      <c r="O257" s="13">
        <f t="shared" si="225"/>
        <v>0</v>
      </c>
      <c r="P257" s="13">
        <f t="shared" si="226"/>
        <v>0</v>
      </c>
      <c r="Q257" s="13">
        <f t="shared" si="227"/>
        <v>0</v>
      </c>
      <c r="R257" s="13">
        <f t="shared" si="228"/>
        <v>0</v>
      </c>
      <c r="S257" s="13">
        <f t="shared" si="229"/>
        <v>0</v>
      </c>
      <c r="T257" s="13">
        <f t="shared" si="230"/>
        <v>0</v>
      </c>
      <c r="U257" s="13">
        <f t="shared" si="231"/>
        <v>0</v>
      </c>
      <c r="V257" s="13">
        <f t="shared" si="232"/>
        <v>0</v>
      </c>
      <c r="W257" s="13">
        <f t="shared" si="233"/>
        <v>0</v>
      </c>
      <c r="X257" s="13">
        <f t="shared" si="234"/>
        <v>0</v>
      </c>
      <c r="Y257" s="13">
        <f t="shared" si="235"/>
        <v>0</v>
      </c>
      <c r="Z257" s="13">
        <f t="shared" si="236"/>
        <v>0</v>
      </c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/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  <c r="HQ257" s="13"/>
      <c r="HR257" s="13"/>
      <c r="HS257" s="13"/>
      <c r="HT257" s="13"/>
      <c r="HU257" s="13"/>
      <c r="HV257" s="13"/>
      <c r="HW257" s="13"/>
      <c r="HX257" s="13"/>
      <c r="HY257" s="13"/>
      <c r="HZ257" s="13"/>
      <c r="IA257" s="13"/>
      <c r="IB257" s="13"/>
      <c r="IC257" s="13"/>
      <c r="ID257" s="13"/>
      <c r="IE257" s="13"/>
      <c r="IF257" s="13"/>
      <c r="IG257" s="13"/>
      <c r="IH257" s="13"/>
      <c r="II257" s="13"/>
      <c r="IJ257" s="13"/>
      <c r="IK257" s="13"/>
      <c r="IL257" s="13"/>
      <c r="IM257" s="13"/>
      <c r="IN257" s="13"/>
      <c r="IO257" s="13"/>
      <c r="IP257" s="13"/>
      <c r="IQ257" s="13"/>
      <c r="IR257" s="13"/>
      <c r="IS257" s="13"/>
      <c r="IT257" s="13"/>
      <c r="IU257" s="13"/>
      <c r="IV257" s="13"/>
      <c r="IW257" s="13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3"/>
      <c r="KG257" s="13"/>
      <c r="KH257" s="13"/>
      <c r="KI257" s="13"/>
      <c r="KJ257" s="13"/>
      <c r="KK257" s="13"/>
      <c r="KL257" s="13"/>
      <c r="KM257" s="13"/>
      <c r="KN257" s="13"/>
      <c r="KO257" s="13"/>
      <c r="KP257" s="13"/>
      <c r="KQ257" s="13"/>
      <c r="KR257" s="13"/>
      <c r="KS257" s="13"/>
      <c r="KT257" s="13"/>
      <c r="KU257" s="13"/>
      <c r="KV257" s="13"/>
      <c r="KW257" s="13"/>
      <c r="KX257" s="13"/>
      <c r="KY257" s="13"/>
      <c r="KZ257" s="13"/>
      <c r="LA257" s="13"/>
      <c r="LB257" s="13"/>
      <c r="LC257" s="13"/>
      <c r="LD257" s="13"/>
      <c r="LE257" s="13"/>
      <c r="LF257" s="13"/>
      <c r="LG257" s="13"/>
      <c r="LH257" s="13"/>
      <c r="LI257" s="13"/>
      <c r="LJ257" s="13"/>
      <c r="LK257" s="13"/>
      <c r="LL257" s="13"/>
      <c r="LM257" s="13"/>
      <c r="LN257" s="13"/>
      <c r="LO257" s="13"/>
      <c r="LP257" s="13"/>
      <c r="LQ257" s="13"/>
      <c r="LR257" s="13"/>
      <c r="LS257" s="13"/>
      <c r="LT257" s="13"/>
      <c r="LU257" s="13"/>
      <c r="LV257" s="13"/>
      <c r="LW257" s="13"/>
      <c r="LX257" s="13"/>
      <c r="LY257" s="13"/>
      <c r="LZ257" s="13"/>
      <c r="MA257" s="13"/>
      <c r="MB257" s="13"/>
      <c r="MC257" s="13"/>
    </row>
    <row r="258" spans="1:341" s="14" customFormat="1">
      <c r="A258" s="15" t="s">
        <v>251</v>
      </c>
      <c r="B258" s="13">
        <f t="shared" si="212"/>
        <v>0</v>
      </c>
      <c r="C258" s="13">
        <f t="shared" si="213"/>
        <v>0</v>
      </c>
      <c r="D258" s="13">
        <f t="shared" si="214"/>
        <v>0</v>
      </c>
      <c r="E258" s="13">
        <f t="shared" si="215"/>
        <v>0</v>
      </c>
      <c r="F258" s="13">
        <f t="shared" si="216"/>
        <v>0</v>
      </c>
      <c r="G258" s="13">
        <f t="shared" si="217"/>
        <v>0</v>
      </c>
      <c r="H258" s="13">
        <f t="shared" si="218"/>
        <v>0</v>
      </c>
      <c r="I258" s="13">
        <f t="shared" si="219"/>
        <v>0</v>
      </c>
      <c r="J258" s="13">
        <f t="shared" si="220"/>
        <v>0</v>
      </c>
      <c r="K258" s="13">
        <f t="shared" si="221"/>
        <v>0</v>
      </c>
      <c r="L258" s="13">
        <f t="shared" si="222"/>
        <v>0</v>
      </c>
      <c r="M258" s="13">
        <f t="shared" si="223"/>
        <v>0</v>
      </c>
      <c r="N258" s="13">
        <f t="shared" si="224"/>
        <v>0</v>
      </c>
      <c r="O258" s="13">
        <f t="shared" si="225"/>
        <v>0</v>
      </c>
      <c r="P258" s="13">
        <f t="shared" si="226"/>
        <v>0</v>
      </c>
      <c r="Q258" s="13">
        <f t="shared" si="227"/>
        <v>0</v>
      </c>
      <c r="R258" s="13">
        <f t="shared" si="228"/>
        <v>0</v>
      </c>
      <c r="S258" s="13">
        <f t="shared" si="229"/>
        <v>0</v>
      </c>
      <c r="T258" s="13">
        <f t="shared" si="230"/>
        <v>0</v>
      </c>
      <c r="U258" s="13">
        <f t="shared" si="231"/>
        <v>0</v>
      </c>
      <c r="V258" s="13">
        <f t="shared" si="232"/>
        <v>0</v>
      </c>
      <c r="W258" s="13">
        <f t="shared" si="233"/>
        <v>0</v>
      </c>
      <c r="X258" s="13">
        <f t="shared" si="234"/>
        <v>0</v>
      </c>
      <c r="Y258" s="13">
        <f t="shared" si="235"/>
        <v>0</v>
      </c>
      <c r="Z258" s="13">
        <f t="shared" si="236"/>
        <v>0</v>
      </c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/>
      <c r="HY258" s="13"/>
      <c r="HZ258" s="13"/>
      <c r="IA258" s="13"/>
      <c r="IB258" s="13"/>
      <c r="IC258" s="13"/>
      <c r="ID258" s="13"/>
      <c r="IE258" s="13"/>
      <c r="IF258" s="13"/>
      <c r="IG258" s="13"/>
      <c r="IH258" s="13"/>
      <c r="II258" s="13"/>
      <c r="IJ258" s="13"/>
      <c r="IK258" s="13"/>
      <c r="IL258" s="13"/>
      <c r="IM258" s="13"/>
      <c r="IN258" s="13"/>
      <c r="IO258" s="13"/>
      <c r="IP258" s="13"/>
      <c r="IQ258" s="13"/>
      <c r="IR258" s="13"/>
      <c r="IS258" s="13"/>
      <c r="IT258" s="13"/>
      <c r="IU258" s="13"/>
      <c r="IV258" s="13"/>
      <c r="IW258" s="13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3"/>
      <c r="KG258" s="13"/>
      <c r="KH258" s="13"/>
      <c r="KI258" s="13"/>
      <c r="KJ258" s="13"/>
      <c r="KK258" s="13"/>
      <c r="KL258" s="13"/>
      <c r="KM258" s="13"/>
      <c r="KN258" s="13"/>
      <c r="KO258" s="13"/>
      <c r="KP258" s="13"/>
      <c r="KQ258" s="13"/>
      <c r="KR258" s="13"/>
      <c r="KS258" s="13"/>
      <c r="KT258" s="13"/>
      <c r="KU258" s="13"/>
      <c r="KV258" s="13"/>
      <c r="KW258" s="13"/>
      <c r="KX258" s="13"/>
      <c r="KY258" s="13"/>
      <c r="KZ258" s="13"/>
      <c r="LA258" s="13"/>
      <c r="LB258" s="13"/>
      <c r="LC258" s="13"/>
      <c r="LD258" s="13"/>
      <c r="LE258" s="13"/>
      <c r="LF258" s="13"/>
      <c r="LG258" s="13"/>
      <c r="LH258" s="13"/>
      <c r="LI258" s="13"/>
      <c r="LJ258" s="13"/>
      <c r="LK258" s="13"/>
      <c r="LL258" s="13"/>
      <c r="LM258" s="13"/>
      <c r="LN258" s="13"/>
      <c r="LO258" s="13"/>
      <c r="LP258" s="13"/>
      <c r="LQ258" s="13"/>
      <c r="LR258" s="13"/>
      <c r="LS258" s="13"/>
      <c r="LT258" s="13"/>
      <c r="LU258" s="13"/>
      <c r="LV258" s="13"/>
      <c r="LW258" s="13"/>
      <c r="LX258" s="13"/>
      <c r="LY258" s="13"/>
      <c r="LZ258" s="13"/>
      <c r="MA258" s="13"/>
      <c r="MB258" s="13"/>
      <c r="MC258" s="13"/>
    </row>
    <row r="259" spans="1:341" s="14" customFormat="1">
      <c r="A259" s="15" t="s">
        <v>252</v>
      </c>
      <c r="B259" s="13">
        <f t="shared" si="212"/>
        <v>0</v>
      </c>
      <c r="C259" s="13">
        <f t="shared" si="213"/>
        <v>0</v>
      </c>
      <c r="D259" s="13">
        <f t="shared" si="214"/>
        <v>0</v>
      </c>
      <c r="E259" s="13">
        <f t="shared" si="215"/>
        <v>0</v>
      </c>
      <c r="F259" s="13">
        <f t="shared" si="216"/>
        <v>0</v>
      </c>
      <c r="G259" s="13">
        <f t="shared" si="217"/>
        <v>0</v>
      </c>
      <c r="H259" s="13">
        <f t="shared" si="218"/>
        <v>0</v>
      </c>
      <c r="I259" s="13">
        <f t="shared" si="219"/>
        <v>0</v>
      </c>
      <c r="J259" s="13">
        <f t="shared" si="220"/>
        <v>0</v>
      </c>
      <c r="K259" s="13">
        <f t="shared" si="221"/>
        <v>0</v>
      </c>
      <c r="L259" s="13">
        <f t="shared" si="222"/>
        <v>0</v>
      </c>
      <c r="M259" s="13">
        <f t="shared" si="223"/>
        <v>0</v>
      </c>
      <c r="N259" s="13">
        <f t="shared" si="224"/>
        <v>0</v>
      </c>
      <c r="O259" s="13">
        <f t="shared" si="225"/>
        <v>0</v>
      </c>
      <c r="P259" s="13">
        <f t="shared" si="226"/>
        <v>0</v>
      </c>
      <c r="Q259" s="13">
        <f t="shared" si="227"/>
        <v>0</v>
      </c>
      <c r="R259" s="13">
        <f t="shared" si="228"/>
        <v>0</v>
      </c>
      <c r="S259" s="13">
        <f t="shared" si="229"/>
        <v>0</v>
      </c>
      <c r="T259" s="13">
        <f t="shared" si="230"/>
        <v>0</v>
      </c>
      <c r="U259" s="13">
        <f t="shared" si="231"/>
        <v>0</v>
      </c>
      <c r="V259" s="13">
        <f t="shared" si="232"/>
        <v>0</v>
      </c>
      <c r="W259" s="13">
        <f t="shared" si="233"/>
        <v>0</v>
      </c>
      <c r="X259" s="13">
        <f t="shared" si="234"/>
        <v>0</v>
      </c>
      <c r="Y259" s="13">
        <f t="shared" si="235"/>
        <v>0</v>
      </c>
      <c r="Z259" s="13">
        <f t="shared" si="236"/>
        <v>0</v>
      </c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  <c r="HQ259" s="13"/>
      <c r="HR259" s="13"/>
      <c r="HS259" s="13"/>
      <c r="HT259" s="13"/>
      <c r="HU259" s="13"/>
      <c r="HV259" s="13"/>
      <c r="HW259" s="13"/>
      <c r="HX259" s="13"/>
      <c r="HY259" s="13"/>
      <c r="HZ259" s="13"/>
      <c r="IA259" s="13"/>
      <c r="IB259" s="13"/>
      <c r="IC259" s="13"/>
      <c r="ID259" s="13"/>
      <c r="IE259" s="13"/>
      <c r="IF259" s="13"/>
      <c r="IG259" s="13"/>
      <c r="IH259" s="13"/>
      <c r="II259" s="13"/>
      <c r="IJ259" s="13"/>
      <c r="IK259" s="13"/>
      <c r="IL259" s="13"/>
      <c r="IM259" s="13"/>
      <c r="IN259" s="13"/>
      <c r="IO259" s="13"/>
      <c r="IP259" s="13"/>
      <c r="IQ259" s="13"/>
      <c r="IR259" s="13"/>
      <c r="IS259" s="13"/>
      <c r="IT259" s="13"/>
      <c r="IU259" s="13"/>
      <c r="IV259" s="13"/>
      <c r="IW259" s="13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3"/>
      <c r="KG259" s="13"/>
      <c r="KH259" s="13"/>
      <c r="KI259" s="13"/>
      <c r="KJ259" s="13"/>
      <c r="KK259" s="13"/>
      <c r="KL259" s="13"/>
      <c r="KM259" s="13"/>
      <c r="KN259" s="13"/>
      <c r="KO259" s="13"/>
      <c r="KP259" s="13"/>
      <c r="KQ259" s="13"/>
      <c r="KR259" s="13"/>
      <c r="KS259" s="13"/>
      <c r="KT259" s="13"/>
      <c r="KU259" s="13"/>
      <c r="KV259" s="13"/>
      <c r="KW259" s="13"/>
      <c r="KX259" s="13"/>
      <c r="KY259" s="13"/>
      <c r="KZ259" s="13"/>
      <c r="LA259" s="13"/>
      <c r="LB259" s="13"/>
      <c r="LC259" s="13"/>
      <c r="LD259" s="13"/>
      <c r="LE259" s="13"/>
      <c r="LF259" s="13"/>
      <c r="LG259" s="13"/>
      <c r="LH259" s="13"/>
      <c r="LI259" s="13"/>
      <c r="LJ259" s="13"/>
      <c r="LK259" s="13"/>
      <c r="LL259" s="13"/>
      <c r="LM259" s="13"/>
      <c r="LN259" s="13"/>
      <c r="LO259" s="13"/>
      <c r="LP259" s="13"/>
      <c r="LQ259" s="13"/>
      <c r="LR259" s="13"/>
      <c r="LS259" s="13"/>
      <c r="LT259" s="13"/>
      <c r="LU259" s="13"/>
      <c r="LV259" s="13"/>
      <c r="LW259" s="13"/>
      <c r="LX259" s="13"/>
      <c r="LY259" s="13"/>
      <c r="LZ259" s="13"/>
      <c r="MA259" s="13"/>
      <c r="MB259" s="13"/>
      <c r="MC259" s="13"/>
    </row>
    <row r="260" spans="1:341" s="14" customFormat="1">
      <c r="A260" s="15" t="s">
        <v>253</v>
      </c>
      <c r="B260" s="13">
        <f t="shared" si="212"/>
        <v>0</v>
      </c>
      <c r="C260" s="13">
        <f t="shared" si="213"/>
        <v>0</v>
      </c>
      <c r="D260" s="13">
        <f t="shared" si="214"/>
        <v>0</v>
      </c>
      <c r="E260" s="13">
        <f t="shared" si="215"/>
        <v>0</v>
      </c>
      <c r="F260" s="13">
        <f t="shared" si="216"/>
        <v>0</v>
      </c>
      <c r="G260" s="13">
        <f t="shared" si="217"/>
        <v>0</v>
      </c>
      <c r="H260" s="13">
        <f t="shared" si="218"/>
        <v>0</v>
      </c>
      <c r="I260" s="13">
        <f t="shared" si="219"/>
        <v>0</v>
      </c>
      <c r="J260" s="13">
        <f t="shared" si="220"/>
        <v>0</v>
      </c>
      <c r="K260" s="13">
        <f t="shared" si="221"/>
        <v>0</v>
      </c>
      <c r="L260" s="13">
        <f t="shared" si="222"/>
        <v>0</v>
      </c>
      <c r="M260" s="13">
        <f t="shared" si="223"/>
        <v>0</v>
      </c>
      <c r="N260" s="13">
        <f t="shared" si="224"/>
        <v>0</v>
      </c>
      <c r="O260" s="13">
        <f t="shared" si="225"/>
        <v>0</v>
      </c>
      <c r="P260" s="13">
        <f t="shared" si="226"/>
        <v>0</v>
      </c>
      <c r="Q260" s="13">
        <f t="shared" si="227"/>
        <v>0</v>
      </c>
      <c r="R260" s="13">
        <f t="shared" si="228"/>
        <v>0</v>
      </c>
      <c r="S260" s="13">
        <f t="shared" si="229"/>
        <v>0</v>
      </c>
      <c r="T260" s="13">
        <f t="shared" si="230"/>
        <v>0</v>
      </c>
      <c r="U260" s="13">
        <f t="shared" si="231"/>
        <v>0</v>
      </c>
      <c r="V260" s="13">
        <f t="shared" si="232"/>
        <v>0</v>
      </c>
      <c r="W260" s="13">
        <f t="shared" si="233"/>
        <v>0</v>
      </c>
      <c r="X260" s="13">
        <f t="shared" si="234"/>
        <v>0</v>
      </c>
      <c r="Y260" s="13">
        <f t="shared" si="235"/>
        <v>0</v>
      </c>
      <c r="Z260" s="13">
        <f t="shared" si="236"/>
        <v>0</v>
      </c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/>
      <c r="HY260" s="13"/>
      <c r="HZ260" s="13"/>
      <c r="IA260" s="13"/>
      <c r="IB260" s="13"/>
      <c r="IC260" s="13"/>
      <c r="ID260" s="13"/>
      <c r="IE260" s="13"/>
      <c r="IF260" s="13"/>
      <c r="IG260" s="13"/>
      <c r="IH260" s="13"/>
      <c r="II260" s="13"/>
      <c r="IJ260" s="13"/>
      <c r="IK260" s="13"/>
      <c r="IL260" s="13"/>
      <c r="IM260" s="13"/>
      <c r="IN260" s="13"/>
      <c r="IO260" s="13"/>
      <c r="IP260" s="13"/>
      <c r="IQ260" s="13"/>
      <c r="IR260" s="13"/>
      <c r="IS260" s="13"/>
      <c r="IT260" s="13"/>
      <c r="IU260" s="13"/>
      <c r="IV260" s="13"/>
      <c r="IW260" s="13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3"/>
      <c r="KG260" s="13"/>
      <c r="KH260" s="13"/>
      <c r="KI260" s="13"/>
      <c r="KJ260" s="13"/>
      <c r="KK260" s="13"/>
      <c r="KL260" s="13"/>
      <c r="KM260" s="13"/>
      <c r="KN260" s="13"/>
      <c r="KO260" s="13"/>
      <c r="KP260" s="13"/>
      <c r="KQ260" s="13"/>
      <c r="KR260" s="13"/>
      <c r="KS260" s="13"/>
      <c r="KT260" s="13"/>
      <c r="KU260" s="13"/>
      <c r="KV260" s="13"/>
      <c r="KW260" s="13"/>
      <c r="KX260" s="13"/>
      <c r="KY260" s="13"/>
      <c r="KZ260" s="13"/>
      <c r="LA260" s="13"/>
      <c r="LB260" s="13"/>
      <c r="LC260" s="13"/>
      <c r="LD260" s="13"/>
      <c r="LE260" s="13"/>
      <c r="LF260" s="13"/>
      <c r="LG260" s="13"/>
      <c r="LH260" s="13"/>
      <c r="LI260" s="13"/>
      <c r="LJ260" s="13"/>
      <c r="LK260" s="13"/>
      <c r="LL260" s="13"/>
      <c r="LM260" s="13"/>
      <c r="LN260" s="13"/>
      <c r="LO260" s="13"/>
      <c r="LP260" s="13"/>
      <c r="LQ260" s="13"/>
      <c r="LR260" s="13"/>
      <c r="LS260" s="13"/>
      <c r="LT260" s="13"/>
      <c r="LU260" s="13"/>
      <c r="LV260" s="13"/>
      <c r="LW260" s="13"/>
      <c r="LX260" s="13"/>
      <c r="LY260" s="13"/>
      <c r="LZ260" s="13"/>
      <c r="MA260" s="13"/>
      <c r="MB260" s="13"/>
      <c r="MC260" s="13"/>
    </row>
    <row r="261" spans="1:341" s="14" customFormat="1">
      <c r="A261" s="15" t="s">
        <v>254</v>
      </c>
      <c r="B261" s="13">
        <f t="shared" si="212"/>
        <v>0</v>
      </c>
      <c r="C261" s="13">
        <f t="shared" si="213"/>
        <v>0</v>
      </c>
      <c r="D261" s="13">
        <f t="shared" si="214"/>
        <v>0</v>
      </c>
      <c r="E261" s="13">
        <f t="shared" si="215"/>
        <v>0</v>
      </c>
      <c r="F261" s="13">
        <f t="shared" si="216"/>
        <v>0</v>
      </c>
      <c r="G261" s="13">
        <f t="shared" si="217"/>
        <v>0</v>
      </c>
      <c r="H261" s="13">
        <f t="shared" si="218"/>
        <v>0</v>
      </c>
      <c r="I261" s="13">
        <f t="shared" si="219"/>
        <v>0</v>
      </c>
      <c r="J261" s="13">
        <f t="shared" si="220"/>
        <v>0</v>
      </c>
      <c r="K261" s="13">
        <f t="shared" si="221"/>
        <v>0</v>
      </c>
      <c r="L261" s="13">
        <f t="shared" si="222"/>
        <v>0</v>
      </c>
      <c r="M261" s="13">
        <f t="shared" si="223"/>
        <v>0</v>
      </c>
      <c r="N261" s="13">
        <f t="shared" si="224"/>
        <v>0</v>
      </c>
      <c r="O261" s="13">
        <f t="shared" si="225"/>
        <v>0</v>
      </c>
      <c r="P261" s="13">
        <f t="shared" si="226"/>
        <v>0</v>
      </c>
      <c r="Q261" s="13">
        <f t="shared" si="227"/>
        <v>0</v>
      </c>
      <c r="R261" s="13">
        <f t="shared" si="228"/>
        <v>0</v>
      </c>
      <c r="S261" s="13">
        <f t="shared" si="229"/>
        <v>0</v>
      </c>
      <c r="T261" s="13">
        <f t="shared" si="230"/>
        <v>0</v>
      </c>
      <c r="U261" s="13">
        <f t="shared" si="231"/>
        <v>0</v>
      </c>
      <c r="V261" s="13">
        <f t="shared" si="232"/>
        <v>0</v>
      </c>
      <c r="W261" s="13">
        <f t="shared" si="233"/>
        <v>0</v>
      </c>
      <c r="X261" s="13">
        <f t="shared" si="234"/>
        <v>0</v>
      </c>
      <c r="Y261" s="13">
        <f t="shared" si="235"/>
        <v>0</v>
      </c>
      <c r="Z261" s="13">
        <f t="shared" si="236"/>
        <v>0</v>
      </c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13"/>
      <c r="IK261" s="13"/>
      <c r="IL261" s="13"/>
      <c r="IM261" s="13"/>
      <c r="IN261" s="13"/>
      <c r="IO261" s="13"/>
      <c r="IP261" s="13"/>
      <c r="IQ261" s="13"/>
      <c r="IR261" s="13"/>
      <c r="IS261" s="13"/>
      <c r="IT261" s="13"/>
      <c r="IU261" s="13"/>
      <c r="IV261" s="13"/>
      <c r="IW261" s="13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3"/>
      <c r="KG261" s="13"/>
      <c r="KH261" s="13"/>
      <c r="KI261" s="13"/>
      <c r="KJ261" s="13"/>
      <c r="KK261" s="13"/>
      <c r="KL261" s="13"/>
      <c r="KM261" s="13"/>
      <c r="KN261" s="13"/>
      <c r="KO261" s="13"/>
      <c r="KP261" s="13"/>
      <c r="KQ261" s="13"/>
      <c r="KR261" s="13"/>
      <c r="KS261" s="13"/>
      <c r="KT261" s="13"/>
      <c r="KU261" s="13"/>
      <c r="KV261" s="13"/>
      <c r="KW261" s="13"/>
      <c r="KX261" s="13"/>
      <c r="KY261" s="13"/>
      <c r="KZ261" s="13"/>
      <c r="LA261" s="13"/>
      <c r="LB261" s="13"/>
      <c r="LC261" s="13"/>
      <c r="LD261" s="13"/>
      <c r="LE261" s="13"/>
      <c r="LF261" s="13"/>
      <c r="LG261" s="13"/>
      <c r="LH261" s="13"/>
      <c r="LI261" s="13"/>
      <c r="LJ261" s="13"/>
      <c r="LK261" s="13"/>
      <c r="LL261" s="13"/>
      <c r="LM261" s="13"/>
      <c r="LN261" s="13"/>
      <c r="LO261" s="13"/>
      <c r="LP261" s="13"/>
      <c r="LQ261" s="13"/>
      <c r="LR261" s="13"/>
      <c r="LS261" s="13"/>
      <c r="LT261" s="13"/>
      <c r="LU261" s="13"/>
      <c r="LV261" s="13"/>
      <c r="LW261" s="13"/>
      <c r="LX261" s="13"/>
      <c r="LY261" s="13"/>
      <c r="LZ261" s="13"/>
      <c r="MA261" s="13"/>
      <c r="MB261" s="13"/>
      <c r="MC261" s="13"/>
    </row>
    <row r="262" spans="1:341" s="14" customFormat="1">
      <c r="A262" s="15" t="s">
        <v>255</v>
      </c>
      <c r="B262" s="13">
        <f t="shared" si="212"/>
        <v>0</v>
      </c>
      <c r="C262" s="13">
        <f t="shared" si="213"/>
        <v>0</v>
      </c>
      <c r="D262" s="13">
        <f t="shared" si="214"/>
        <v>0</v>
      </c>
      <c r="E262" s="13">
        <f t="shared" si="215"/>
        <v>0</v>
      </c>
      <c r="F262" s="13">
        <f t="shared" si="216"/>
        <v>0</v>
      </c>
      <c r="G262" s="13">
        <f t="shared" si="217"/>
        <v>0</v>
      </c>
      <c r="H262" s="13">
        <f t="shared" si="218"/>
        <v>0</v>
      </c>
      <c r="I262" s="13">
        <f t="shared" si="219"/>
        <v>0</v>
      </c>
      <c r="J262" s="13">
        <f t="shared" si="220"/>
        <v>0</v>
      </c>
      <c r="K262" s="13">
        <f t="shared" si="221"/>
        <v>0</v>
      </c>
      <c r="L262" s="13">
        <f t="shared" si="222"/>
        <v>0</v>
      </c>
      <c r="M262" s="13">
        <f t="shared" si="223"/>
        <v>0</v>
      </c>
      <c r="N262" s="13">
        <f t="shared" si="224"/>
        <v>0</v>
      </c>
      <c r="O262" s="13">
        <f t="shared" si="225"/>
        <v>0</v>
      </c>
      <c r="P262" s="13">
        <f t="shared" si="226"/>
        <v>0</v>
      </c>
      <c r="Q262" s="13">
        <f t="shared" si="227"/>
        <v>0</v>
      </c>
      <c r="R262" s="13">
        <f t="shared" si="228"/>
        <v>0</v>
      </c>
      <c r="S262" s="13">
        <f t="shared" si="229"/>
        <v>0</v>
      </c>
      <c r="T262" s="13">
        <f t="shared" si="230"/>
        <v>0</v>
      </c>
      <c r="U262" s="13">
        <f t="shared" si="231"/>
        <v>0</v>
      </c>
      <c r="V262" s="13">
        <f t="shared" si="232"/>
        <v>0</v>
      </c>
      <c r="W262" s="13">
        <f t="shared" si="233"/>
        <v>0</v>
      </c>
      <c r="X262" s="13">
        <f t="shared" si="234"/>
        <v>0</v>
      </c>
      <c r="Y262" s="13">
        <f t="shared" si="235"/>
        <v>0</v>
      </c>
      <c r="Z262" s="13">
        <f t="shared" si="236"/>
        <v>0</v>
      </c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/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  <c r="IW262" s="13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3"/>
      <c r="KG262" s="13"/>
      <c r="KH262" s="13"/>
      <c r="KI262" s="13"/>
      <c r="KJ262" s="13"/>
      <c r="KK262" s="13"/>
      <c r="KL262" s="13"/>
      <c r="KM262" s="13"/>
      <c r="KN262" s="13"/>
      <c r="KO262" s="13"/>
      <c r="KP262" s="13"/>
      <c r="KQ262" s="13"/>
      <c r="KR262" s="13"/>
      <c r="KS262" s="13"/>
      <c r="KT262" s="13"/>
      <c r="KU262" s="13"/>
      <c r="KV262" s="13"/>
      <c r="KW262" s="13"/>
      <c r="KX262" s="13"/>
      <c r="KY262" s="13"/>
      <c r="KZ262" s="13"/>
      <c r="LA262" s="13"/>
      <c r="LB262" s="13"/>
      <c r="LC262" s="13"/>
      <c r="LD262" s="13"/>
      <c r="LE262" s="13"/>
      <c r="LF262" s="13"/>
      <c r="LG262" s="13"/>
      <c r="LH262" s="13"/>
      <c r="LI262" s="13"/>
      <c r="LJ262" s="13"/>
      <c r="LK262" s="13"/>
      <c r="LL262" s="13"/>
      <c r="LM262" s="13"/>
      <c r="LN262" s="13"/>
      <c r="LO262" s="13"/>
      <c r="LP262" s="13"/>
      <c r="LQ262" s="13"/>
      <c r="LR262" s="13"/>
      <c r="LS262" s="13"/>
      <c r="LT262" s="13"/>
      <c r="LU262" s="13"/>
      <c r="LV262" s="13"/>
      <c r="LW262" s="13"/>
      <c r="LX262" s="13"/>
      <c r="LY262" s="13"/>
      <c r="LZ262" s="13"/>
      <c r="MA262" s="13"/>
      <c r="MB262" s="13"/>
      <c r="MC262" s="13"/>
    </row>
    <row r="263" spans="1:341" s="14" customFormat="1">
      <c r="A263" s="15" t="s">
        <v>256</v>
      </c>
      <c r="B263" s="13">
        <f t="shared" si="212"/>
        <v>0</v>
      </c>
      <c r="C263" s="13">
        <f t="shared" si="213"/>
        <v>0</v>
      </c>
      <c r="D263" s="13">
        <f t="shared" si="214"/>
        <v>0</v>
      </c>
      <c r="E263" s="13">
        <f t="shared" si="215"/>
        <v>0</v>
      </c>
      <c r="F263" s="13">
        <f t="shared" si="216"/>
        <v>0</v>
      </c>
      <c r="G263" s="13">
        <f t="shared" si="217"/>
        <v>0</v>
      </c>
      <c r="H263" s="13">
        <f t="shared" si="218"/>
        <v>0</v>
      </c>
      <c r="I263" s="13">
        <f t="shared" si="219"/>
        <v>0</v>
      </c>
      <c r="J263" s="13">
        <f t="shared" si="220"/>
        <v>0</v>
      </c>
      <c r="K263" s="13">
        <f t="shared" si="221"/>
        <v>0</v>
      </c>
      <c r="L263" s="13">
        <f t="shared" si="222"/>
        <v>0</v>
      </c>
      <c r="M263" s="13">
        <f t="shared" si="223"/>
        <v>0</v>
      </c>
      <c r="N263" s="13">
        <f t="shared" si="224"/>
        <v>0</v>
      </c>
      <c r="O263" s="13">
        <f t="shared" si="225"/>
        <v>0</v>
      </c>
      <c r="P263" s="13">
        <f t="shared" si="226"/>
        <v>0</v>
      </c>
      <c r="Q263" s="13">
        <f t="shared" si="227"/>
        <v>0</v>
      </c>
      <c r="R263" s="13">
        <f t="shared" si="228"/>
        <v>0</v>
      </c>
      <c r="S263" s="13">
        <f t="shared" si="229"/>
        <v>0</v>
      </c>
      <c r="T263" s="13">
        <f t="shared" si="230"/>
        <v>0</v>
      </c>
      <c r="U263" s="13">
        <f t="shared" si="231"/>
        <v>0</v>
      </c>
      <c r="V263" s="13">
        <f t="shared" si="232"/>
        <v>0</v>
      </c>
      <c r="W263" s="13">
        <f t="shared" si="233"/>
        <v>0</v>
      </c>
      <c r="X263" s="13">
        <f t="shared" si="234"/>
        <v>0</v>
      </c>
      <c r="Y263" s="13">
        <f t="shared" si="235"/>
        <v>0</v>
      </c>
      <c r="Z263" s="13">
        <f t="shared" si="236"/>
        <v>0</v>
      </c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13"/>
      <c r="IK263" s="13"/>
      <c r="IL263" s="13"/>
      <c r="IM263" s="13"/>
      <c r="IN263" s="13"/>
      <c r="IO263" s="13"/>
      <c r="IP263" s="13"/>
      <c r="IQ263" s="13"/>
      <c r="IR263" s="13"/>
      <c r="IS263" s="13"/>
      <c r="IT263" s="13"/>
      <c r="IU263" s="13"/>
      <c r="IV263" s="13"/>
      <c r="IW263" s="13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3"/>
      <c r="KG263" s="13"/>
      <c r="KH263" s="13"/>
      <c r="KI263" s="13"/>
      <c r="KJ263" s="13"/>
      <c r="KK263" s="13"/>
      <c r="KL263" s="13"/>
      <c r="KM263" s="13"/>
      <c r="KN263" s="13"/>
      <c r="KO263" s="13"/>
      <c r="KP263" s="13"/>
      <c r="KQ263" s="13"/>
      <c r="KR263" s="13"/>
      <c r="KS263" s="13"/>
      <c r="KT263" s="13"/>
      <c r="KU263" s="13"/>
      <c r="KV263" s="13"/>
      <c r="KW263" s="13"/>
      <c r="KX263" s="13"/>
      <c r="KY263" s="13"/>
      <c r="KZ263" s="13"/>
      <c r="LA263" s="13"/>
      <c r="LB263" s="13"/>
      <c r="LC263" s="13"/>
      <c r="LD263" s="13"/>
      <c r="LE263" s="13"/>
      <c r="LF263" s="13"/>
      <c r="LG263" s="13"/>
      <c r="LH263" s="13"/>
      <c r="LI263" s="13"/>
      <c r="LJ263" s="13"/>
      <c r="LK263" s="13"/>
      <c r="LL263" s="13"/>
      <c r="LM263" s="13"/>
      <c r="LN263" s="13"/>
      <c r="LO263" s="13"/>
      <c r="LP263" s="13"/>
      <c r="LQ263" s="13"/>
      <c r="LR263" s="13"/>
      <c r="LS263" s="13"/>
      <c r="LT263" s="13"/>
      <c r="LU263" s="13"/>
      <c r="LV263" s="13"/>
      <c r="LW263" s="13"/>
      <c r="LX263" s="13"/>
      <c r="LY263" s="13"/>
      <c r="LZ263" s="13"/>
      <c r="MA263" s="13"/>
      <c r="MB263" s="13"/>
      <c r="MC263" s="13"/>
    </row>
    <row r="264" spans="1:341" s="14" customFormat="1">
      <c r="A264" s="12" t="s">
        <v>257</v>
      </c>
      <c r="B264" s="13">
        <f t="shared" si="212"/>
        <v>0</v>
      </c>
      <c r="C264" s="13">
        <f t="shared" si="213"/>
        <v>0</v>
      </c>
      <c r="D264" s="13">
        <f t="shared" si="214"/>
        <v>0</v>
      </c>
      <c r="E264" s="13">
        <f t="shared" si="215"/>
        <v>0</v>
      </c>
      <c r="F264" s="13">
        <f t="shared" si="216"/>
        <v>0</v>
      </c>
      <c r="G264" s="13">
        <f t="shared" si="217"/>
        <v>0</v>
      </c>
      <c r="H264" s="13">
        <f t="shared" si="218"/>
        <v>0</v>
      </c>
      <c r="I264" s="13">
        <f t="shared" si="219"/>
        <v>0</v>
      </c>
      <c r="J264" s="13">
        <f t="shared" si="220"/>
        <v>0</v>
      </c>
      <c r="K264" s="13">
        <f t="shared" si="221"/>
        <v>0</v>
      </c>
      <c r="L264" s="13">
        <f t="shared" si="222"/>
        <v>0</v>
      </c>
      <c r="M264" s="13">
        <f t="shared" si="223"/>
        <v>0</v>
      </c>
      <c r="N264" s="13">
        <f t="shared" si="224"/>
        <v>0</v>
      </c>
      <c r="O264" s="13">
        <f t="shared" si="225"/>
        <v>0</v>
      </c>
      <c r="P264" s="13">
        <f t="shared" si="226"/>
        <v>0</v>
      </c>
      <c r="Q264" s="13">
        <f t="shared" si="227"/>
        <v>0</v>
      </c>
      <c r="R264" s="13">
        <f t="shared" si="228"/>
        <v>0</v>
      </c>
      <c r="S264" s="13">
        <f t="shared" si="229"/>
        <v>0</v>
      </c>
      <c r="T264" s="13">
        <f t="shared" si="230"/>
        <v>0</v>
      </c>
      <c r="U264" s="13">
        <f t="shared" si="231"/>
        <v>0</v>
      </c>
      <c r="V264" s="13">
        <f t="shared" si="232"/>
        <v>0</v>
      </c>
      <c r="W264" s="13">
        <f t="shared" si="233"/>
        <v>0</v>
      </c>
      <c r="X264" s="13">
        <f t="shared" si="234"/>
        <v>0</v>
      </c>
      <c r="Y264" s="13">
        <f t="shared" si="235"/>
        <v>0</v>
      </c>
      <c r="Z264" s="13">
        <f t="shared" si="236"/>
        <v>0</v>
      </c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  <c r="HQ264" s="13"/>
      <c r="HR264" s="13"/>
      <c r="HS264" s="13"/>
      <c r="HT264" s="13"/>
      <c r="HU264" s="13"/>
      <c r="HV264" s="13"/>
      <c r="HW264" s="13"/>
      <c r="HX264" s="13"/>
      <c r="HY264" s="13"/>
      <c r="HZ264" s="13"/>
      <c r="IA264" s="13"/>
      <c r="IB264" s="13"/>
      <c r="IC264" s="13"/>
      <c r="ID264" s="13"/>
      <c r="IE264" s="13"/>
      <c r="IF264" s="13"/>
      <c r="IG264" s="13"/>
      <c r="IH264" s="13"/>
      <c r="II264" s="13"/>
      <c r="IJ264" s="13"/>
      <c r="IK264" s="13"/>
      <c r="IL264" s="13"/>
      <c r="IM264" s="13"/>
      <c r="IN264" s="13"/>
      <c r="IO264" s="13"/>
      <c r="IP264" s="13"/>
      <c r="IQ264" s="13"/>
      <c r="IR264" s="13"/>
      <c r="IS264" s="13"/>
      <c r="IT264" s="13"/>
      <c r="IU264" s="13"/>
      <c r="IV264" s="13"/>
      <c r="IW264" s="13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3"/>
      <c r="KG264" s="13"/>
      <c r="KH264" s="13"/>
      <c r="KI264" s="13"/>
      <c r="KJ264" s="13"/>
      <c r="KK264" s="13"/>
      <c r="KL264" s="13"/>
      <c r="KM264" s="13"/>
      <c r="KN264" s="13"/>
      <c r="KO264" s="13"/>
      <c r="KP264" s="13"/>
      <c r="KQ264" s="13"/>
      <c r="KR264" s="13"/>
      <c r="KS264" s="13"/>
      <c r="KT264" s="13"/>
      <c r="KU264" s="13"/>
      <c r="KV264" s="13"/>
      <c r="KW264" s="13"/>
      <c r="KX264" s="13"/>
      <c r="KY264" s="13"/>
      <c r="KZ264" s="13"/>
      <c r="LA264" s="13"/>
      <c r="LB264" s="13"/>
      <c r="LC264" s="13"/>
      <c r="LD264" s="13"/>
      <c r="LE264" s="13"/>
      <c r="LF264" s="13"/>
      <c r="LG264" s="13"/>
      <c r="LH264" s="13"/>
      <c r="LI264" s="13"/>
      <c r="LJ264" s="13"/>
      <c r="LK264" s="13"/>
      <c r="LL264" s="13"/>
      <c r="LM264" s="13"/>
      <c r="LN264" s="13"/>
      <c r="LO264" s="13"/>
      <c r="LP264" s="13"/>
      <c r="LQ264" s="13"/>
      <c r="LR264" s="13"/>
      <c r="LS264" s="13"/>
      <c r="LT264" s="13"/>
      <c r="LU264" s="13"/>
      <c r="LV264" s="13"/>
      <c r="LW264" s="13"/>
      <c r="LX264" s="13"/>
      <c r="LY264" s="13"/>
      <c r="LZ264" s="13"/>
      <c r="MA264" s="13"/>
      <c r="MB264" s="13"/>
      <c r="MC264" s="13"/>
    </row>
    <row r="265" spans="1:341" s="14" customFormat="1">
      <c r="A265" s="15" t="s">
        <v>258</v>
      </c>
      <c r="B265" s="13">
        <f t="shared" si="212"/>
        <v>0</v>
      </c>
      <c r="C265" s="13">
        <f t="shared" si="213"/>
        <v>0</v>
      </c>
      <c r="D265" s="13">
        <f t="shared" si="214"/>
        <v>0</v>
      </c>
      <c r="E265" s="13">
        <f t="shared" si="215"/>
        <v>0</v>
      </c>
      <c r="F265" s="13">
        <f t="shared" si="216"/>
        <v>0</v>
      </c>
      <c r="G265" s="13">
        <f t="shared" si="217"/>
        <v>0</v>
      </c>
      <c r="H265" s="13">
        <f t="shared" si="218"/>
        <v>0</v>
      </c>
      <c r="I265" s="13">
        <f t="shared" si="219"/>
        <v>0</v>
      </c>
      <c r="J265" s="13">
        <f t="shared" si="220"/>
        <v>0</v>
      </c>
      <c r="K265" s="13">
        <f t="shared" si="221"/>
        <v>0</v>
      </c>
      <c r="L265" s="13">
        <f t="shared" si="222"/>
        <v>0</v>
      </c>
      <c r="M265" s="13">
        <f t="shared" si="223"/>
        <v>0</v>
      </c>
      <c r="N265" s="13">
        <f t="shared" si="224"/>
        <v>0</v>
      </c>
      <c r="O265" s="13">
        <f t="shared" si="225"/>
        <v>0</v>
      </c>
      <c r="P265" s="13">
        <f t="shared" si="226"/>
        <v>0</v>
      </c>
      <c r="Q265" s="13">
        <f t="shared" si="227"/>
        <v>0</v>
      </c>
      <c r="R265" s="13">
        <f t="shared" si="228"/>
        <v>0</v>
      </c>
      <c r="S265" s="13">
        <f t="shared" si="229"/>
        <v>0</v>
      </c>
      <c r="T265" s="13">
        <f t="shared" si="230"/>
        <v>0</v>
      </c>
      <c r="U265" s="13">
        <f t="shared" si="231"/>
        <v>0</v>
      </c>
      <c r="V265" s="13">
        <f t="shared" si="232"/>
        <v>0</v>
      </c>
      <c r="W265" s="13">
        <f t="shared" si="233"/>
        <v>0</v>
      </c>
      <c r="X265" s="13">
        <f t="shared" si="234"/>
        <v>0</v>
      </c>
      <c r="Y265" s="13">
        <f t="shared" si="235"/>
        <v>0</v>
      </c>
      <c r="Z265" s="13">
        <f t="shared" si="236"/>
        <v>0</v>
      </c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  <c r="HQ265" s="13"/>
      <c r="HR265" s="13"/>
      <c r="HS265" s="13"/>
      <c r="HT265" s="13"/>
      <c r="HU265" s="13"/>
      <c r="HV265" s="13"/>
      <c r="HW265" s="13"/>
      <c r="HX265" s="13"/>
      <c r="HY265" s="13"/>
      <c r="HZ265" s="13"/>
      <c r="IA265" s="13"/>
      <c r="IB265" s="13"/>
      <c r="IC265" s="13"/>
      <c r="ID265" s="13"/>
      <c r="IE265" s="13"/>
      <c r="IF265" s="13"/>
      <c r="IG265" s="13"/>
      <c r="IH265" s="13"/>
      <c r="II265" s="13"/>
      <c r="IJ265" s="13"/>
      <c r="IK265" s="13"/>
      <c r="IL265" s="13"/>
      <c r="IM265" s="13"/>
      <c r="IN265" s="13"/>
      <c r="IO265" s="13"/>
      <c r="IP265" s="13"/>
      <c r="IQ265" s="13"/>
      <c r="IR265" s="13"/>
      <c r="IS265" s="13"/>
      <c r="IT265" s="13"/>
      <c r="IU265" s="13"/>
      <c r="IV265" s="13"/>
      <c r="IW265" s="13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3"/>
      <c r="KG265" s="13"/>
      <c r="KH265" s="13"/>
      <c r="KI265" s="13"/>
      <c r="KJ265" s="13"/>
      <c r="KK265" s="13"/>
      <c r="KL265" s="13"/>
      <c r="KM265" s="13"/>
      <c r="KN265" s="13"/>
      <c r="KO265" s="13"/>
      <c r="KP265" s="13"/>
      <c r="KQ265" s="13"/>
      <c r="KR265" s="13"/>
      <c r="KS265" s="13"/>
      <c r="KT265" s="13"/>
      <c r="KU265" s="13"/>
      <c r="KV265" s="13"/>
      <c r="KW265" s="13"/>
      <c r="KX265" s="13"/>
      <c r="KY265" s="13"/>
      <c r="KZ265" s="13"/>
      <c r="LA265" s="13"/>
      <c r="LB265" s="13"/>
      <c r="LC265" s="13"/>
      <c r="LD265" s="13"/>
      <c r="LE265" s="13"/>
      <c r="LF265" s="13"/>
      <c r="LG265" s="13"/>
      <c r="LH265" s="13"/>
      <c r="LI265" s="13"/>
      <c r="LJ265" s="13"/>
      <c r="LK265" s="13"/>
      <c r="LL265" s="13"/>
      <c r="LM265" s="13"/>
      <c r="LN265" s="13"/>
      <c r="LO265" s="13"/>
      <c r="LP265" s="13"/>
      <c r="LQ265" s="13"/>
      <c r="LR265" s="13"/>
      <c r="LS265" s="13"/>
      <c r="LT265" s="13"/>
      <c r="LU265" s="13"/>
      <c r="LV265" s="13"/>
      <c r="LW265" s="13"/>
      <c r="LX265" s="13"/>
      <c r="LY265" s="13"/>
      <c r="LZ265" s="13"/>
      <c r="MA265" s="13"/>
      <c r="MB265" s="13"/>
      <c r="MC265" s="13"/>
    </row>
    <row r="266" spans="1:341" s="14" customFormat="1">
      <c r="A266" s="15" t="s">
        <v>259</v>
      </c>
      <c r="B266" s="13">
        <f t="shared" si="212"/>
        <v>0</v>
      </c>
      <c r="C266" s="13">
        <f t="shared" si="213"/>
        <v>0</v>
      </c>
      <c r="D266" s="13">
        <f t="shared" si="214"/>
        <v>0</v>
      </c>
      <c r="E266" s="13">
        <f t="shared" si="215"/>
        <v>0</v>
      </c>
      <c r="F266" s="13">
        <f t="shared" si="216"/>
        <v>0</v>
      </c>
      <c r="G266" s="13">
        <f t="shared" si="217"/>
        <v>0.15711894305882351</v>
      </c>
      <c r="H266" s="13">
        <f t="shared" si="218"/>
        <v>9.8184930117647048E-2</v>
      </c>
      <c r="I266" s="13">
        <f t="shared" si="219"/>
        <v>0.14795463199999997</v>
      </c>
      <c r="J266" s="13">
        <f t="shared" si="220"/>
        <v>9.0403911294117623E-2</v>
      </c>
      <c r="K266" s="13">
        <f t="shared" si="221"/>
        <v>5.662852588235294E-2</v>
      </c>
      <c r="L266" s="13">
        <f t="shared" si="222"/>
        <v>9.2219482352941164E-3</v>
      </c>
      <c r="M266" s="13">
        <f t="shared" si="223"/>
        <v>0.5562275715294116</v>
      </c>
      <c r="N266" s="13">
        <f t="shared" si="224"/>
        <v>5.34901816235294</v>
      </c>
      <c r="O266" s="13">
        <f t="shared" si="225"/>
        <v>15.813739196705882</v>
      </c>
      <c r="P266" s="13">
        <f t="shared" si="226"/>
        <v>8.4410797684705869</v>
      </c>
      <c r="Q266" s="13">
        <f t="shared" si="227"/>
        <v>8.6455764705882347E-4</v>
      </c>
      <c r="R266" s="13">
        <f t="shared" si="228"/>
        <v>0</v>
      </c>
      <c r="S266" s="13">
        <f t="shared" si="229"/>
        <v>4.7838856470588187E-3</v>
      </c>
      <c r="T266" s="13">
        <f t="shared" si="230"/>
        <v>0</v>
      </c>
      <c r="U266" s="13">
        <f t="shared" si="231"/>
        <v>0</v>
      </c>
      <c r="V266" s="13">
        <f t="shared" si="232"/>
        <v>0</v>
      </c>
      <c r="W266" s="13">
        <f t="shared" si="233"/>
        <v>0</v>
      </c>
      <c r="X266" s="13">
        <f t="shared" si="234"/>
        <v>3.0264783401360545E-2</v>
      </c>
      <c r="Y266" s="13">
        <f t="shared" si="235"/>
        <v>0</v>
      </c>
      <c r="Z266" s="13">
        <f t="shared" si="236"/>
        <v>0</v>
      </c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>
        <v>8.4726649411764683</v>
      </c>
      <c r="CK266" s="13">
        <v>13.141276235294116</v>
      </c>
      <c r="CL266" s="13">
        <v>8.7320322352941169</v>
      </c>
      <c r="CM266" s="13">
        <v>15.446763294117645</v>
      </c>
      <c r="CN266" s="13">
        <v>20.345923294117643</v>
      </c>
      <c r="CO266" s="13">
        <v>8.2709348235294105</v>
      </c>
      <c r="CP266" s="13">
        <v>8.9337623529411747</v>
      </c>
      <c r="CQ266" s="13">
        <v>19.97128164705882</v>
      </c>
      <c r="CR266" s="13">
        <v>18.587989411764703</v>
      </c>
      <c r="CS266" s="13">
        <v>11.613891058823526</v>
      </c>
      <c r="CT266" s="13">
        <v>23.602423764705879</v>
      </c>
      <c r="CU266" s="13"/>
      <c r="CV266" s="13">
        <v>11.325705176470585</v>
      </c>
      <c r="CW266" s="13">
        <v>3.3717748235294112</v>
      </c>
      <c r="CX266" s="13">
        <v>7.5792887058823517</v>
      </c>
      <c r="CY266" s="13">
        <v>18.155710588235291</v>
      </c>
      <c r="CZ266" s="13">
        <v>10.864607764705882</v>
      </c>
      <c r="DA266" s="13">
        <v>9.7983199999999986</v>
      </c>
      <c r="DB266" s="13"/>
      <c r="DC266" s="13">
        <v>0.57637176470588225</v>
      </c>
      <c r="DD266" s="13">
        <v>5.4467131764705865</v>
      </c>
      <c r="DE266" s="13">
        <v>5.1873458823529406</v>
      </c>
      <c r="DF266" s="13">
        <v>12.074988470588233</v>
      </c>
      <c r="DG266" s="13">
        <v>13.804103764705879</v>
      </c>
      <c r="DH266" s="13">
        <v>10.144143058823529</v>
      </c>
      <c r="DI266" s="13">
        <v>14.380475529411761</v>
      </c>
      <c r="DJ266" s="13">
        <v>11.585072470588234</v>
      </c>
      <c r="DK266" s="13">
        <v>11.412160941176468</v>
      </c>
      <c r="DL266" s="13">
        <v>11.123975058823527</v>
      </c>
      <c r="DM266" s="13">
        <v>7.8962931764705866</v>
      </c>
      <c r="DN266" s="13">
        <v>8.184479058823527</v>
      </c>
      <c r="DO266" s="13">
        <v>9.9424129411764692</v>
      </c>
      <c r="DP266" s="13">
        <v>8.9625809411764692</v>
      </c>
      <c r="DQ266" s="13">
        <v>25.245083294117642</v>
      </c>
      <c r="DR266" s="13">
        <v>12.968364705882351</v>
      </c>
      <c r="DS266" s="13">
        <v>16.109590823529409</v>
      </c>
      <c r="DT266" s="13">
        <v>15.158577411764703</v>
      </c>
      <c r="DU266" s="13">
        <v>15.706130588235292</v>
      </c>
      <c r="DV266" s="13">
        <v>17.089422823529407</v>
      </c>
      <c r="DW266" s="13">
        <v>10.806970588235291</v>
      </c>
      <c r="DX266" s="13">
        <v>4.7550670588235286</v>
      </c>
      <c r="DY266" s="13"/>
      <c r="DZ266" s="13"/>
      <c r="EA266" s="13"/>
      <c r="EB266" s="13"/>
      <c r="EC266" s="13">
        <v>3.6887792941176465</v>
      </c>
      <c r="ED266" s="13">
        <v>11.066337882352938</v>
      </c>
      <c r="EE266" s="13">
        <v>12.132625647058822</v>
      </c>
      <c r="EF266" s="13">
        <v>1.2391992941176468</v>
      </c>
      <c r="EG266" s="13">
        <v>5.7637176470588223</v>
      </c>
      <c r="EH266" s="13"/>
      <c r="EI266" s="13"/>
      <c r="EJ266" s="13">
        <v>9.5101341176470573</v>
      </c>
      <c r="EK266" s="13">
        <v>13.256550588235292</v>
      </c>
      <c r="EL266" s="13">
        <v>9.9135943529411747</v>
      </c>
      <c r="EM266" s="13">
        <v>4.2651510588235286</v>
      </c>
      <c r="EN266" s="13">
        <v>1.1527435294117645</v>
      </c>
      <c r="EO266" s="13">
        <v>4.8991599999999993</v>
      </c>
      <c r="EP266" s="13">
        <v>2.8818588235294111</v>
      </c>
      <c r="EQ266" s="13">
        <v>3.7464164705882346</v>
      </c>
      <c r="ER266" s="13">
        <v>1.4409294117647056</v>
      </c>
      <c r="ES266" s="13">
        <v>3.1700447058823524</v>
      </c>
      <c r="ET266" s="13">
        <v>3.9193279999999993</v>
      </c>
      <c r="EU266" s="13"/>
      <c r="EV266" s="13"/>
      <c r="EW266" s="13"/>
      <c r="EX266" s="13">
        <v>0.69164611764705863</v>
      </c>
      <c r="EY266" s="13"/>
      <c r="EZ266" s="13"/>
      <c r="FA266" s="13"/>
      <c r="FB266" s="13"/>
      <c r="FC266" s="13"/>
      <c r="FD266" s="13">
        <v>4.610974117647058</v>
      </c>
      <c r="FE266" s="13">
        <v>0.43227882352941172</v>
      </c>
      <c r="FF266" s="13"/>
      <c r="FG266" s="13"/>
      <c r="FH266" s="13">
        <v>40.317204941176463</v>
      </c>
      <c r="FI266" s="13"/>
      <c r="FJ266" s="13">
        <v>34.870491764705875</v>
      </c>
      <c r="FK266" s="13">
        <v>5.6772618823529397</v>
      </c>
      <c r="FL266" s="13"/>
      <c r="FM266" s="13">
        <v>102.42126258823527</v>
      </c>
      <c r="FN266" s="13">
        <v>288.07060799999994</v>
      </c>
      <c r="FO266" s="13">
        <v>79.827489411764688</v>
      </c>
      <c r="FP266" s="13">
        <v>169.8855776470588</v>
      </c>
      <c r="FQ266" s="13">
        <v>314.727802117647</v>
      </c>
      <c r="FR266" s="13">
        <v>435.3624124705882</v>
      </c>
      <c r="FS266" s="13">
        <v>386.68781694117638</v>
      </c>
      <c r="FT266" s="13">
        <v>421.15484847058821</v>
      </c>
      <c r="FU266" s="13">
        <v>454.84377811764699</v>
      </c>
      <c r="FV266" s="13">
        <v>426.68801741176458</v>
      </c>
      <c r="FW266" s="13">
        <v>465.79484164705872</v>
      </c>
      <c r="FX266" s="13">
        <v>484.18110094117634</v>
      </c>
      <c r="FY266" s="13">
        <v>500.57887764705873</v>
      </c>
      <c r="FZ266" s="13">
        <v>529.4551030588234</v>
      </c>
      <c r="GA266" s="13">
        <v>759.65798588235282</v>
      </c>
      <c r="GB266" s="13">
        <v>974.64465411764684</v>
      </c>
      <c r="GC266" s="13">
        <v>698.2743929411763</v>
      </c>
      <c r="GD266" s="13">
        <v>1020.5526651764704</v>
      </c>
      <c r="GE266" s="13">
        <v>913.11696823529394</v>
      </c>
      <c r="GF266" s="13">
        <v>1046.8352176470587</v>
      </c>
      <c r="GG266" s="13">
        <v>1399.6323748235291</v>
      </c>
      <c r="GH266" s="13">
        <v>1789.8360595294114</v>
      </c>
      <c r="GI266" s="13">
        <v>1813.6402134117645</v>
      </c>
      <c r="GJ266" s="13">
        <v>697.29456094117631</v>
      </c>
      <c r="GK266" s="13">
        <v>1902.4014651764703</v>
      </c>
      <c r="GL266" s="13">
        <v>1857.3868303529409</v>
      </c>
      <c r="GM266" s="13">
        <v>1700.1237943529409</v>
      </c>
      <c r="GN266" s="13">
        <v>1848.2801564705878</v>
      </c>
      <c r="GO266" s="13">
        <v>1766.3489101176467</v>
      </c>
      <c r="GP266" s="13">
        <v>1749.3171244705879</v>
      </c>
      <c r="GQ266" s="13">
        <v>2107.7339063529407</v>
      </c>
      <c r="GR266" s="13">
        <v>963.43422329411749</v>
      </c>
      <c r="GS266" s="13"/>
      <c r="GT266" s="13"/>
      <c r="GU266" s="13">
        <v>5.965447764705881</v>
      </c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>
        <v>0.63400894117647055</v>
      </c>
      <c r="HH266" s="13"/>
      <c r="HI266" s="13"/>
      <c r="HJ266" s="13"/>
      <c r="HK266" s="13">
        <v>0.23054870588235291</v>
      </c>
      <c r="HL266" s="13"/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>
        <v>0.37464164705882302</v>
      </c>
      <c r="HY266" s="13">
        <v>0.317004470588235</v>
      </c>
      <c r="HZ266" s="13"/>
      <c r="IA266" s="13"/>
      <c r="IB266" s="13"/>
      <c r="IC266" s="13"/>
      <c r="ID266" s="13">
        <v>2.7377658823529401</v>
      </c>
      <c r="IE266" s="13"/>
      <c r="IF266" s="13"/>
      <c r="IG266" s="13"/>
      <c r="IH266" s="13">
        <v>1.3544736470588199</v>
      </c>
      <c r="II266" s="13"/>
      <c r="IJ266" s="13"/>
      <c r="IK266" s="13"/>
      <c r="IL266" s="13"/>
      <c r="IM266" s="13"/>
      <c r="IN266" s="13"/>
      <c r="IO266" s="13"/>
      <c r="IP266" s="13"/>
      <c r="IQ266" s="13"/>
      <c r="IR266" s="13"/>
      <c r="IS266" s="13"/>
      <c r="IT266" s="13"/>
      <c r="IU266" s="13"/>
      <c r="IV266" s="13"/>
      <c r="IW266" s="13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3"/>
      <c r="KG266" s="13"/>
      <c r="KH266" s="13"/>
      <c r="KI266" s="13"/>
      <c r="KJ266" s="13"/>
      <c r="KK266" s="13"/>
      <c r="KL266" s="13"/>
      <c r="KM266" s="13"/>
      <c r="KN266" s="13"/>
      <c r="KO266" s="13"/>
      <c r="KP266" s="13"/>
      <c r="KQ266" s="13">
        <v>30.264783401360546</v>
      </c>
      <c r="KR266" s="13"/>
      <c r="KS266" s="13"/>
      <c r="KT266" s="13"/>
      <c r="KU266" s="13"/>
      <c r="KV266" s="13"/>
      <c r="KW266" s="13"/>
      <c r="KX266" s="13"/>
      <c r="KY266" s="13"/>
      <c r="KZ266" s="13"/>
      <c r="LA266" s="13"/>
      <c r="LB266" s="13"/>
      <c r="LC266" s="13"/>
      <c r="LD266" s="13"/>
      <c r="LE266" s="13"/>
      <c r="LF266" s="13"/>
      <c r="LG266" s="13"/>
      <c r="LH266" s="13"/>
      <c r="LI266" s="13"/>
      <c r="LJ266" s="13"/>
      <c r="LK266" s="13"/>
      <c r="LL266" s="13"/>
      <c r="LM266" s="13"/>
      <c r="LN266" s="13"/>
      <c r="LO266" s="13"/>
      <c r="LP266" s="13"/>
      <c r="LQ266" s="13"/>
      <c r="LR266" s="13"/>
      <c r="LS266" s="13"/>
      <c r="LT266" s="13"/>
      <c r="LU266" s="13"/>
      <c r="LV266" s="13"/>
      <c r="LW266" s="13"/>
      <c r="LX266" s="13"/>
      <c r="LY266" s="13"/>
      <c r="LZ266" s="13"/>
      <c r="MA266" s="13"/>
      <c r="MB266" s="13"/>
      <c r="MC266" s="13"/>
    </row>
    <row r="267" spans="1:341" s="14" customFormat="1">
      <c r="A267" s="15" t="s">
        <v>260</v>
      </c>
      <c r="B267" s="13">
        <f t="shared" si="212"/>
        <v>0</v>
      </c>
      <c r="C267" s="13">
        <f t="shared" si="213"/>
        <v>0</v>
      </c>
      <c r="D267" s="13">
        <f t="shared" si="214"/>
        <v>0</v>
      </c>
      <c r="E267" s="13">
        <f t="shared" si="215"/>
        <v>0</v>
      </c>
      <c r="F267" s="13">
        <f t="shared" si="216"/>
        <v>0</v>
      </c>
      <c r="G267" s="13">
        <f t="shared" si="217"/>
        <v>0</v>
      </c>
      <c r="H267" s="13">
        <f t="shared" si="218"/>
        <v>0</v>
      </c>
      <c r="I267" s="13">
        <f t="shared" si="219"/>
        <v>0</v>
      </c>
      <c r="J267" s="13">
        <f t="shared" si="220"/>
        <v>0</v>
      </c>
      <c r="K267" s="13">
        <f t="shared" si="221"/>
        <v>0</v>
      </c>
      <c r="L267" s="13">
        <f t="shared" si="222"/>
        <v>0</v>
      </c>
      <c r="M267" s="13">
        <f t="shared" si="223"/>
        <v>0</v>
      </c>
      <c r="N267" s="13">
        <f t="shared" si="224"/>
        <v>0</v>
      </c>
      <c r="O267" s="13">
        <f t="shared" si="225"/>
        <v>0</v>
      </c>
      <c r="P267" s="13">
        <f t="shared" si="226"/>
        <v>0</v>
      </c>
      <c r="Q267" s="13">
        <f t="shared" si="227"/>
        <v>0</v>
      </c>
      <c r="R267" s="13">
        <f t="shared" si="228"/>
        <v>0</v>
      </c>
      <c r="S267" s="13">
        <f t="shared" si="229"/>
        <v>0</v>
      </c>
      <c r="T267" s="13">
        <f t="shared" si="230"/>
        <v>0</v>
      </c>
      <c r="U267" s="13">
        <f t="shared" si="231"/>
        <v>0</v>
      </c>
      <c r="V267" s="13">
        <f t="shared" si="232"/>
        <v>0</v>
      </c>
      <c r="W267" s="13">
        <f t="shared" si="233"/>
        <v>0</v>
      </c>
      <c r="X267" s="13">
        <f t="shared" si="234"/>
        <v>0</v>
      </c>
      <c r="Y267" s="13">
        <f t="shared" si="235"/>
        <v>0</v>
      </c>
      <c r="Z267" s="13">
        <f t="shared" si="236"/>
        <v>0</v>
      </c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  <c r="HQ267" s="13"/>
      <c r="HR267" s="13"/>
      <c r="HS267" s="13"/>
      <c r="HT267" s="13"/>
      <c r="HU267" s="13"/>
      <c r="HV267" s="13"/>
      <c r="HW267" s="13"/>
      <c r="HX267" s="13"/>
      <c r="HY267" s="13"/>
      <c r="HZ267" s="13"/>
      <c r="IA267" s="13"/>
      <c r="IB267" s="13"/>
      <c r="IC267" s="13"/>
      <c r="ID267" s="13"/>
      <c r="IE267" s="13"/>
      <c r="IF267" s="13"/>
      <c r="IG267" s="13"/>
      <c r="IH267" s="13"/>
      <c r="II267" s="13"/>
      <c r="IJ267" s="13"/>
      <c r="IK267" s="13"/>
      <c r="IL267" s="13"/>
      <c r="IM267" s="13"/>
      <c r="IN267" s="13"/>
      <c r="IO267" s="13"/>
      <c r="IP267" s="13"/>
      <c r="IQ267" s="13"/>
      <c r="IR267" s="13"/>
      <c r="IS267" s="13"/>
      <c r="IT267" s="13"/>
      <c r="IU267" s="13"/>
      <c r="IV267" s="13"/>
      <c r="IW267" s="13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3"/>
      <c r="KG267" s="13"/>
      <c r="KH267" s="13"/>
      <c r="KI267" s="13"/>
      <c r="KJ267" s="13"/>
      <c r="KK267" s="13"/>
      <c r="KL267" s="13"/>
      <c r="KM267" s="13"/>
      <c r="KN267" s="13"/>
      <c r="KO267" s="13"/>
      <c r="KP267" s="13"/>
      <c r="KQ267" s="13"/>
      <c r="KR267" s="13"/>
      <c r="KS267" s="13"/>
      <c r="KT267" s="13"/>
      <c r="KU267" s="13"/>
      <c r="KV267" s="13"/>
      <c r="KW267" s="13"/>
      <c r="KX267" s="13"/>
      <c r="KY267" s="13"/>
      <c r="KZ267" s="13"/>
      <c r="LA267" s="13"/>
      <c r="LB267" s="13"/>
      <c r="LC267" s="13"/>
      <c r="LD267" s="13"/>
      <c r="LE267" s="13"/>
      <c r="LF267" s="13"/>
      <c r="LG267" s="13"/>
      <c r="LH267" s="13"/>
      <c r="LI267" s="13"/>
      <c r="LJ267" s="13"/>
      <c r="LK267" s="13"/>
      <c r="LL267" s="13"/>
      <c r="LM267" s="13"/>
      <c r="LN267" s="13"/>
      <c r="LO267" s="13"/>
      <c r="LP267" s="13"/>
      <c r="LQ267" s="13"/>
      <c r="LR267" s="13"/>
      <c r="LS267" s="13"/>
      <c r="LT267" s="13"/>
      <c r="LU267" s="13"/>
      <c r="LV267" s="13"/>
      <c r="LW267" s="13"/>
      <c r="LX267" s="13"/>
      <c r="LY267" s="13"/>
      <c r="LZ267" s="13"/>
      <c r="MA267" s="13"/>
      <c r="MB267" s="13"/>
      <c r="MC267" s="13"/>
    </row>
    <row r="268" spans="1:341" s="14" customFormat="1">
      <c r="A268" s="12" t="s">
        <v>261</v>
      </c>
      <c r="B268" s="13">
        <f t="shared" si="212"/>
        <v>0</v>
      </c>
      <c r="C268" s="13">
        <f t="shared" si="213"/>
        <v>0</v>
      </c>
      <c r="D268" s="13">
        <f t="shared" si="214"/>
        <v>0</v>
      </c>
      <c r="E268" s="13">
        <f t="shared" si="215"/>
        <v>0</v>
      </c>
      <c r="F268" s="13">
        <f t="shared" si="216"/>
        <v>0</v>
      </c>
      <c r="G268" s="13">
        <f t="shared" si="217"/>
        <v>0</v>
      </c>
      <c r="H268" s="13">
        <f t="shared" si="218"/>
        <v>0</v>
      </c>
      <c r="I268" s="13">
        <f t="shared" si="219"/>
        <v>0</v>
      </c>
      <c r="J268" s="13">
        <f t="shared" si="220"/>
        <v>0</v>
      </c>
      <c r="K268" s="13">
        <f t="shared" si="221"/>
        <v>0</v>
      </c>
      <c r="L268" s="13">
        <f t="shared" si="222"/>
        <v>0</v>
      </c>
      <c r="M268" s="13">
        <f t="shared" si="223"/>
        <v>0</v>
      </c>
      <c r="N268" s="13">
        <f t="shared" si="224"/>
        <v>0</v>
      </c>
      <c r="O268" s="13">
        <f t="shared" si="225"/>
        <v>0</v>
      </c>
      <c r="P268" s="13">
        <f t="shared" si="226"/>
        <v>0</v>
      </c>
      <c r="Q268" s="13">
        <f t="shared" si="227"/>
        <v>0</v>
      </c>
      <c r="R268" s="13">
        <f t="shared" si="228"/>
        <v>0</v>
      </c>
      <c r="S268" s="13">
        <f t="shared" si="229"/>
        <v>0</v>
      </c>
      <c r="T268" s="13">
        <f t="shared" si="230"/>
        <v>0</v>
      </c>
      <c r="U268" s="13">
        <f t="shared" si="231"/>
        <v>0</v>
      </c>
      <c r="V268" s="13">
        <f t="shared" si="232"/>
        <v>0</v>
      </c>
      <c r="W268" s="13">
        <f t="shared" si="233"/>
        <v>0</v>
      </c>
      <c r="X268" s="13">
        <f t="shared" si="234"/>
        <v>0</v>
      </c>
      <c r="Y268" s="13">
        <f t="shared" si="235"/>
        <v>0</v>
      </c>
      <c r="Z268" s="13">
        <f t="shared" si="236"/>
        <v>0</v>
      </c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/>
      <c r="II268" s="13"/>
      <c r="IJ268" s="13"/>
      <c r="IK268" s="13"/>
      <c r="IL268" s="13"/>
      <c r="IM268" s="13"/>
      <c r="IN268" s="13"/>
      <c r="IO268" s="13"/>
      <c r="IP268" s="13"/>
      <c r="IQ268" s="13"/>
      <c r="IR268" s="13"/>
      <c r="IS268" s="13"/>
      <c r="IT268" s="13"/>
      <c r="IU268" s="13"/>
      <c r="IV268" s="13"/>
      <c r="IW268" s="13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3"/>
      <c r="KG268" s="13"/>
      <c r="KH268" s="13"/>
      <c r="KI268" s="13"/>
      <c r="KJ268" s="13"/>
      <c r="KK268" s="13"/>
      <c r="KL268" s="13"/>
      <c r="KM268" s="13"/>
      <c r="KN268" s="13"/>
      <c r="KO268" s="13"/>
      <c r="KP268" s="13"/>
      <c r="KQ268" s="13"/>
      <c r="KR268" s="13"/>
      <c r="KS268" s="13"/>
      <c r="KT268" s="13"/>
      <c r="KU268" s="13"/>
      <c r="KV268" s="13"/>
      <c r="KW268" s="13"/>
      <c r="KX268" s="13"/>
      <c r="KY268" s="13"/>
      <c r="KZ268" s="13"/>
      <c r="LA268" s="13"/>
      <c r="LB268" s="13"/>
      <c r="LC268" s="13"/>
      <c r="LD268" s="13"/>
      <c r="LE268" s="13"/>
      <c r="LF268" s="13"/>
      <c r="LG268" s="13"/>
      <c r="LH268" s="13"/>
      <c r="LI268" s="13"/>
      <c r="LJ268" s="13"/>
      <c r="LK268" s="13"/>
      <c r="LL268" s="13"/>
      <c r="LM268" s="13"/>
      <c r="LN268" s="13"/>
      <c r="LO268" s="13"/>
      <c r="LP268" s="13"/>
      <c r="LQ268" s="13"/>
      <c r="LR268" s="13"/>
      <c r="LS268" s="13"/>
      <c r="LT268" s="13"/>
      <c r="LU268" s="13"/>
      <c r="LV268" s="13"/>
      <c r="LW268" s="13"/>
      <c r="LX268" s="13"/>
      <c r="LY268" s="13"/>
      <c r="LZ268" s="13"/>
      <c r="MA268" s="13"/>
      <c r="MB268" s="13"/>
      <c r="MC268" s="13"/>
    </row>
    <row r="269" spans="1:341" s="14" customFormat="1">
      <c r="A269" s="12" t="s">
        <v>262</v>
      </c>
      <c r="B269" s="13">
        <f t="shared" si="212"/>
        <v>0</v>
      </c>
      <c r="C269" s="13">
        <f t="shared" si="213"/>
        <v>0</v>
      </c>
      <c r="D269" s="13">
        <f t="shared" si="214"/>
        <v>0</v>
      </c>
      <c r="E269" s="13">
        <f t="shared" si="215"/>
        <v>0</v>
      </c>
      <c r="F269" s="13">
        <f t="shared" si="216"/>
        <v>0</v>
      </c>
      <c r="G269" s="13">
        <f t="shared" si="217"/>
        <v>0</v>
      </c>
      <c r="H269" s="13">
        <f t="shared" si="218"/>
        <v>0</v>
      </c>
      <c r="I269" s="13">
        <f t="shared" si="219"/>
        <v>0</v>
      </c>
      <c r="J269" s="13">
        <f t="shared" si="220"/>
        <v>0</v>
      </c>
      <c r="K269" s="13">
        <f t="shared" si="221"/>
        <v>0</v>
      </c>
      <c r="L269" s="13">
        <f t="shared" si="222"/>
        <v>0</v>
      </c>
      <c r="M269" s="13">
        <f t="shared" si="223"/>
        <v>0</v>
      </c>
      <c r="N269" s="13">
        <f t="shared" si="224"/>
        <v>0</v>
      </c>
      <c r="O269" s="13">
        <f t="shared" si="225"/>
        <v>0</v>
      </c>
      <c r="P269" s="13">
        <f t="shared" si="226"/>
        <v>0</v>
      </c>
      <c r="Q269" s="13">
        <f t="shared" si="227"/>
        <v>0</v>
      </c>
      <c r="R269" s="13">
        <f t="shared" si="228"/>
        <v>0</v>
      </c>
      <c r="S269" s="13">
        <f t="shared" si="229"/>
        <v>0</v>
      </c>
      <c r="T269" s="13">
        <f t="shared" si="230"/>
        <v>0</v>
      </c>
      <c r="U269" s="13">
        <f t="shared" si="231"/>
        <v>0</v>
      </c>
      <c r="V269" s="13">
        <f t="shared" si="232"/>
        <v>0</v>
      </c>
      <c r="W269" s="13">
        <f t="shared" si="233"/>
        <v>0</v>
      </c>
      <c r="X269" s="13">
        <f t="shared" si="234"/>
        <v>0</v>
      </c>
      <c r="Y269" s="13">
        <f t="shared" si="235"/>
        <v>0</v>
      </c>
      <c r="Z269" s="13">
        <f t="shared" si="236"/>
        <v>0</v>
      </c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/>
      <c r="II269" s="13"/>
      <c r="IJ269" s="13"/>
      <c r="IK269" s="13"/>
      <c r="IL269" s="13"/>
      <c r="IM269" s="13"/>
      <c r="IN269" s="13"/>
      <c r="IO269" s="13"/>
      <c r="IP269" s="13"/>
      <c r="IQ269" s="13"/>
      <c r="IR269" s="13"/>
      <c r="IS269" s="13"/>
      <c r="IT269" s="13"/>
      <c r="IU269" s="13"/>
      <c r="IV269" s="13"/>
      <c r="IW269" s="13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3"/>
      <c r="KG269" s="13"/>
      <c r="KH269" s="13"/>
      <c r="KI269" s="13"/>
      <c r="KJ269" s="13"/>
      <c r="KK269" s="13"/>
      <c r="KL269" s="13"/>
      <c r="KM269" s="13"/>
      <c r="KN269" s="13"/>
      <c r="KO269" s="13"/>
      <c r="KP269" s="13"/>
      <c r="KQ269" s="13"/>
      <c r="KR269" s="13"/>
      <c r="KS269" s="13"/>
      <c r="KT269" s="13"/>
      <c r="KU269" s="13"/>
      <c r="KV269" s="13"/>
      <c r="KW269" s="13"/>
      <c r="KX269" s="13"/>
      <c r="KY269" s="13"/>
      <c r="KZ269" s="13"/>
      <c r="LA269" s="13"/>
      <c r="LB269" s="13"/>
      <c r="LC269" s="13"/>
      <c r="LD269" s="13"/>
      <c r="LE269" s="13"/>
      <c r="LF269" s="13"/>
      <c r="LG269" s="13"/>
      <c r="LH269" s="13"/>
      <c r="LI269" s="13"/>
      <c r="LJ269" s="13"/>
      <c r="LK269" s="13"/>
      <c r="LL269" s="13"/>
      <c r="LM269" s="13"/>
      <c r="LN269" s="13"/>
      <c r="LO269" s="13"/>
      <c r="LP269" s="13"/>
      <c r="LQ269" s="13"/>
      <c r="LR269" s="13"/>
      <c r="LS269" s="13"/>
      <c r="LT269" s="13"/>
      <c r="LU269" s="13"/>
      <c r="LV269" s="13"/>
      <c r="LW269" s="13"/>
      <c r="LX269" s="13"/>
      <c r="LY269" s="13"/>
      <c r="LZ269" s="13"/>
      <c r="MA269" s="13"/>
      <c r="MB269" s="13"/>
      <c r="MC269" s="13"/>
    </row>
    <row r="270" spans="1:341" s="14" customFormat="1">
      <c r="A270" s="15" t="s">
        <v>263</v>
      </c>
      <c r="B270" s="13">
        <f t="shared" si="212"/>
        <v>0</v>
      </c>
      <c r="C270" s="13">
        <f t="shared" si="213"/>
        <v>0</v>
      </c>
      <c r="D270" s="13">
        <f t="shared" si="214"/>
        <v>0</v>
      </c>
      <c r="E270" s="13">
        <f t="shared" si="215"/>
        <v>0</v>
      </c>
      <c r="F270" s="13">
        <f t="shared" si="216"/>
        <v>0</v>
      </c>
      <c r="G270" s="13">
        <f t="shared" si="217"/>
        <v>0</v>
      </c>
      <c r="H270" s="13">
        <f t="shared" si="218"/>
        <v>0</v>
      </c>
      <c r="I270" s="13">
        <f t="shared" si="219"/>
        <v>0</v>
      </c>
      <c r="J270" s="13">
        <f t="shared" si="220"/>
        <v>0</v>
      </c>
      <c r="K270" s="13">
        <f t="shared" si="221"/>
        <v>0</v>
      </c>
      <c r="L270" s="13">
        <f t="shared" si="222"/>
        <v>0</v>
      </c>
      <c r="M270" s="13">
        <f t="shared" si="223"/>
        <v>0</v>
      </c>
      <c r="N270" s="13">
        <f t="shared" si="224"/>
        <v>0</v>
      </c>
      <c r="O270" s="13">
        <f t="shared" si="225"/>
        <v>0</v>
      </c>
      <c r="P270" s="13">
        <f t="shared" si="226"/>
        <v>0</v>
      </c>
      <c r="Q270" s="13">
        <f t="shared" si="227"/>
        <v>0</v>
      </c>
      <c r="R270" s="13">
        <f t="shared" si="228"/>
        <v>0</v>
      </c>
      <c r="S270" s="13">
        <f t="shared" si="229"/>
        <v>0</v>
      </c>
      <c r="T270" s="13">
        <f t="shared" si="230"/>
        <v>0</v>
      </c>
      <c r="U270" s="13">
        <f t="shared" si="231"/>
        <v>0</v>
      </c>
      <c r="V270" s="13">
        <f t="shared" si="232"/>
        <v>0</v>
      </c>
      <c r="W270" s="13">
        <f t="shared" si="233"/>
        <v>0</v>
      </c>
      <c r="X270" s="13">
        <f t="shared" si="234"/>
        <v>0</v>
      </c>
      <c r="Y270" s="13">
        <f t="shared" si="235"/>
        <v>0</v>
      </c>
      <c r="Z270" s="13">
        <f t="shared" si="236"/>
        <v>0</v>
      </c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/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  <c r="IW270" s="13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3"/>
      <c r="KG270" s="13"/>
      <c r="KH270" s="13"/>
      <c r="KI270" s="13"/>
      <c r="KJ270" s="13"/>
      <c r="KK270" s="13"/>
      <c r="KL270" s="13"/>
      <c r="KM270" s="13"/>
      <c r="KN270" s="13"/>
      <c r="KO270" s="13"/>
      <c r="KP270" s="13"/>
      <c r="KQ270" s="13"/>
      <c r="KR270" s="13"/>
      <c r="KS270" s="13"/>
      <c r="KT270" s="13"/>
      <c r="KU270" s="13"/>
      <c r="KV270" s="13"/>
      <c r="KW270" s="13"/>
      <c r="KX270" s="13"/>
      <c r="KY270" s="13"/>
      <c r="KZ270" s="13"/>
      <c r="LA270" s="13"/>
      <c r="LB270" s="13"/>
      <c r="LC270" s="13"/>
      <c r="LD270" s="13"/>
      <c r="LE270" s="13"/>
      <c r="LF270" s="13"/>
      <c r="LG270" s="13"/>
      <c r="LH270" s="13"/>
      <c r="LI270" s="13"/>
      <c r="LJ270" s="13"/>
      <c r="LK270" s="13"/>
      <c r="LL270" s="13"/>
      <c r="LM270" s="13"/>
      <c r="LN270" s="13"/>
      <c r="LO270" s="13"/>
      <c r="LP270" s="13"/>
      <c r="LQ270" s="13"/>
      <c r="LR270" s="13"/>
      <c r="LS270" s="13"/>
      <c r="LT270" s="13"/>
      <c r="LU270" s="13"/>
      <c r="LV270" s="13"/>
      <c r="LW270" s="13"/>
      <c r="LX270" s="13"/>
      <c r="LY270" s="13"/>
      <c r="LZ270" s="13"/>
      <c r="MA270" s="13"/>
      <c r="MB270" s="13"/>
      <c r="MC270" s="13"/>
    </row>
    <row r="271" spans="1:341" s="14" customFormat="1">
      <c r="A271" s="15" t="s">
        <v>264</v>
      </c>
      <c r="B271" s="13">
        <f t="shared" si="212"/>
        <v>0</v>
      </c>
      <c r="C271" s="13">
        <f t="shared" si="213"/>
        <v>0</v>
      </c>
      <c r="D271" s="13">
        <f t="shared" si="214"/>
        <v>0</v>
      </c>
      <c r="E271" s="13">
        <f t="shared" si="215"/>
        <v>0</v>
      </c>
      <c r="F271" s="13">
        <f t="shared" si="216"/>
        <v>0</v>
      </c>
      <c r="G271" s="13">
        <f t="shared" si="217"/>
        <v>0</v>
      </c>
      <c r="H271" s="13">
        <f t="shared" si="218"/>
        <v>0</v>
      </c>
      <c r="I271" s="13">
        <f t="shared" si="219"/>
        <v>0</v>
      </c>
      <c r="J271" s="13">
        <f t="shared" si="220"/>
        <v>0</v>
      </c>
      <c r="K271" s="13">
        <f t="shared" si="221"/>
        <v>0</v>
      </c>
      <c r="L271" s="13">
        <f t="shared" si="222"/>
        <v>0</v>
      </c>
      <c r="M271" s="13">
        <f t="shared" si="223"/>
        <v>0</v>
      </c>
      <c r="N271" s="13">
        <f t="shared" si="224"/>
        <v>0</v>
      </c>
      <c r="O271" s="13">
        <f t="shared" si="225"/>
        <v>0</v>
      </c>
      <c r="P271" s="13">
        <f t="shared" si="226"/>
        <v>0</v>
      </c>
      <c r="Q271" s="13">
        <f t="shared" si="227"/>
        <v>0</v>
      </c>
      <c r="R271" s="13">
        <f t="shared" si="228"/>
        <v>0</v>
      </c>
      <c r="S271" s="13">
        <f t="shared" si="229"/>
        <v>0</v>
      </c>
      <c r="T271" s="13">
        <f t="shared" si="230"/>
        <v>0</v>
      </c>
      <c r="U271" s="13">
        <f t="shared" si="231"/>
        <v>3.2601027941176453</v>
      </c>
      <c r="V271" s="13">
        <f t="shared" si="232"/>
        <v>0</v>
      </c>
      <c r="W271" s="13">
        <f t="shared" si="233"/>
        <v>0</v>
      </c>
      <c r="X271" s="13">
        <f t="shared" si="234"/>
        <v>0</v>
      </c>
      <c r="Y271" s="13">
        <f t="shared" si="235"/>
        <v>0</v>
      </c>
      <c r="Z271" s="13">
        <f t="shared" si="236"/>
        <v>0</v>
      </c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  <c r="HQ271" s="13"/>
      <c r="HR271" s="13"/>
      <c r="HS271" s="13"/>
      <c r="HT271" s="13"/>
      <c r="HU271" s="13"/>
      <c r="HV271" s="13"/>
      <c r="HW271" s="13"/>
      <c r="HX271" s="13"/>
      <c r="HY271" s="13"/>
      <c r="HZ271" s="13"/>
      <c r="IA271" s="13"/>
      <c r="IB271" s="13"/>
      <c r="IC271" s="13"/>
      <c r="ID271" s="13"/>
      <c r="IE271" s="13"/>
      <c r="IF271" s="13"/>
      <c r="IG271" s="13"/>
      <c r="IH271" s="13"/>
      <c r="II271" s="13"/>
      <c r="IJ271" s="13"/>
      <c r="IK271" s="13"/>
      <c r="IL271" s="13"/>
      <c r="IM271" s="13"/>
      <c r="IN271" s="13"/>
      <c r="IO271" s="13"/>
      <c r="IP271" s="13"/>
      <c r="IQ271" s="13"/>
      <c r="IR271" s="13"/>
      <c r="IS271" s="13"/>
      <c r="IT271" s="13"/>
      <c r="IU271" s="13"/>
      <c r="IV271" s="13"/>
      <c r="IW271" s="13"/>
      <c r="IX271" s="13"/>
      <c r="IY271" s="13"/>
      <c r="IZ271" s="13"/>
      <c r="JA271" s="13"/>
      <c r="JB271" s="13"/>
      <c r="JC271" s="13"/>
      <c r="JD271" s="13">
        <v>3260.1027941176453</v>
      </c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3"/>
      <c r="KG271" s="13"/>
      <c r="KH271" s="13"/>
      <c r="KI271" s="13"/>
      <c r="KJ271" s="13"/>
      <c r="KK271" s="13"/>
      <c r="KL271" s="13"/>
      <c r="KM271" s="13"/>
      <c r="KN271" s="13"/>
      <c r="KO271" s="13"/>
      <c r="KP271" s="13"/>
      <c r="KQ271" s="13"/>
      <c r="KR271" s="13"/>
      <c r="KS271" s="13"/>
      <c r="KT271" s="13"/>
      <c r="KU271" s="13"/>
      <c r="KV271" s="13"/>
      <c r="KW271" s="13"/>
      <c r="KX271" s="13"/>
      <c r="KY271" s="13"/>
      <c r="KZ271" s="13"/>
      <c r="LA271" s="13"/>
      <c r="LB271" s="13"/>
      <c r="LC271" s="13"/>
      <c r="LD271" s="13"/>
      <c r="LE271" s="13"/>
      <c r="LF271" s="13"/>
      <c r="LG271" s="13"/>
      <c r="LH271" s="13"/>
      <c r="LI271" s="13"/>
      <c r="LJ271" s="13"/>
      <c r="LK271" s="13"/>
      <c r="LL271" s="13"/>
      <c r="LM271" s="13"/>
      <c r="LN271" s="13"/>
      <c r="LO271" s="13"/>
      <c r="LP271" s="13"/>
      <c r="LQ271" s="13"/>
      <c r="LR271" s="13"/>
      <c r="LS271" s="13"/>
      <c r="LT271" s="13"/>
      <c r="LU271" s="13"/>
      <c r="LV271" s="13"/>
      <c r="LW271" s="13"/>
      <c r="LX271" s="13"/>
      <c r="LY271" s="13"/>
      <c r="LZ271" s="13"/>
      <c r="MA271" s="13"/>
      <c r="MB271" s="13"/>
      <c r="MC271" s="13"/>
    </row>
    <row r="272" spans="1:341" s="14" customFormat="1">
      <c r="A272" s="12" t="s">
        <v>265</v>
      </c>
      <c r="B272" s="13">
        <f t="shared" si="212"/>
        <v>0</v>
      </c>
      <c r="C272" s="13">
        <f t="shared" si="213"/>
        <v>0</v>
      </c>
      <c r="D272" s="13">
        <f t="shared" si="214"/>
        <v>0</v>
      </c>
      <c r="E272" s="13">
        <f t="shared" si="215"/>
        <v>0</v>
      </c>
      <c r="F272" s="13">
        <f t="shared" si="216"/>
        <v>0</v>
      </c>
      <c r="G272" s="13">
        <f t="shared" si="217"/>
        <v>0</v>
      </c>
      <c r="H272" s="13">
        <f t="shared" si="218"/>
        <v>0</v>
      </c>
      <c r="I272" s="13">
        <f t="shared" si="219"/>
        <v>0</v>
      </c>
      <c r="J272" s="13">
        <f t="shared" si="220"/>
        <v>0</v>
      </c>
      <c r="K272" s="13">
        <f t="shared" si="221"/>
        <v>0</v>
      </c>
      <c r="L272" s="13">
        <f t="shared" si="222"/>
        <v>0</v>
      </c>
      <c r="M272" s="13">
        <f t="shared" si="223"/>
        <v>0</v>
      </c>
      <c r="N272" s="13">
        <f t="shared" si="224"/>
        <v>0</v>
      </c>
      <c r="O272" s="13">
        <f t="shared" si="225"/>
        <v>0</v>
      </c>
      <c r="P272" s="13">
        <f t="shared" si="226"/>
        <v>0</v>
      </c>
      <c r="Q272" s="13">
        <f t="shared" si="227"/>
        <v>0</v>
      </c>
      <c r="R272" s="13">
        <f t="shared" si="228"/>
        <v>0</v>
      </c>
      <c r="S272" s="13">
        <f t="shared" si="229"/>
        <v>0</v>
      </c>
      <c r="T272" s="13">
        <f t="shared" si="230"/>
        <v>0</v>
      </c>
      <c r="U272" s="13">
        <f t="shared" si="231"/>
        <v>0</v>
      </c>
      <c r="V272" s="13">
        <f t="shared" si="232"/>
        <v>0</v>
      </c>
      <c r="W272" s="13">
        <f t="shared" si="233"/>
        <v>0</v>
      </c>
      <c r="X272" s="13">
        <f t="shared" si="234"/>
        <v>0</v>
      </c>
      <c r="Y272" s="13">
        <f t="shared" si="235"/>
        <v>0</v>
      </c>
      <c r="Z272" s="13">
        <f t="shared" si="236"/>
        <v>0</v>
      </c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3"/>
      <c r="HY272" s="13"/>
      <c r="HZ272" s="13"/>
      <c r="IA272" s="13"/>
      <c r="IB272" s="13"/>
      <c r="IC272" s="13"/>
      <c r="ID272" s="13"/>
      <c r="IE272" s="13"/>
      <c r="IF272" s="13"/>
      <c r="IG272" s="13"/>
      <c r="IH272" s="13"/>
      <c r="II272" s="13"/>
      <c r="IJ272" s="13"/>
      <c r="IK272" s="13"/>
      <c r="IL272" s="13"/>
      <c r="IM272" s="13"/>
      <c r="IN272" s="13"/>
      <c r="IO272" s="13"/>
      <c r="IP272" s="13"/>
      <c r="IQ272" s="13"/>
      <c r="IR272" s="13"/>
      <c r="IS272" s="13"/>
      <c r="IT272" s="13"/>
      <c r="IU272" s="13"/>
      <c r="IV272" s="13"/>
      <c r="IW272" s="13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3"/>
      <c r="KG272" s="13"/>
      <c r="KH272" s="13"/>
      <c r="KI272" s="13"/>
      <c r="KJ272" s="13"/>
      <c r="KK272" s="13"/>
      <c r="KL272" s="13"/>
      <c r="KM272" s="13"/>
      <c r="KN272" s="13"/>
      <c r="KO272" s="13"/>
      <c r="KP272" s="13"/>
      <c r="KQ272" s="13"/>
      <c r="KR272" s="13"/>
      <c r="KS272" s="13"/>
      <c r="KT272" s="13"/>
      <c r="KU272" s="13"/>
      <c r="KV272" s="13"/>
      <c r="KW272" s="13"/>
      <c r="KX272" s="13"/>
      <c r="KY272" s="13"/>
      <c r="KZ272" s="13"/>
      <c r="LA272" s="13"/>
      <c r="LB272" s="13"/>
      <c r="LC272" s="13"/>
      <c r="LD272" s="13"/>
      <c r="LE272" s="13"/>
      <c r="LF272" s="13"/>
      <c r="LG272" s="13"/>
      <c r="LH272" s="13"/>
      <c r="LI272" s="13"/>
      <c r="LJ272" s="13"/>
      <c r="LK272" s="13"/>
      <c r="LL272" s="13"/>
      <c r="LM272" s="13"/>
      <c r="LN272" s="13"/>
      <c r="LO272" s="13"/>
      <c r="LP272" s="13"/>
      <c r="LQ272" s="13"/>
      <c r="LR272" s="13"/>
      <c r="LS272" s="13"/>
      <c r="LT272" s="13"/>
      <c r="LU272" s="13"/>
      <c r="LV272" s="13"/>
      <c r="LW272" s="13"/>
      <c r="LX272" s="13"/>
      <c r="LY272" s="13"/>
      <c r="LZ272" s="13"/>
      <c r="MA272" s="13"/>
      <c r="MB272" s="13"/>
      <c r="MC272" s="13"/>
    </row>
    <row r="273" spans="1:341" s="14" customFormat="1">
      <c r="A273" s="15" t="s">
        <v>266</v>
      </c>
      <c r="B273" s="13">
        <f t="shared" si="212"/>
        <v>0</v>
      </c>
      <c r="C273" s="13">
        <f t="shared" si="213"/>
        <v>0</v>
      </c>
      <c r="D273" s="13">
        <f t="shared" si="214"/>
        <v>0</v>
      </c>
      <c r="E273" s="13">
        <f t="shared" si="215"/>
        <v>0</v>
      </c>
      <c r="F273" s="13">
        <f t="shared" si="216"/>
        <v>0</v>
      </c>
      <c r="G273" s="13">
        <f t="shared" si="217"/>
        <v>0</v>
      </c>
      <c r="H273" s="13">
        <f t="shared" si="218"/>
        <v>0</v>
      </c>
      <c r="I273" s="13">
        <f t="shared" si="219"/>
        <v>0</v>
      </c>
      <c r="J273" s="13">
        <f t="shared" si="220"/>
        <v>0</v>
      </c>
      <c r="K273" s="13">
        <f t="shared" si="221"/>
        <v>0</v>
      </c>
      <c r="L273" s="13">
        <f t="shared" si="222"/>
        <v>0</v>
      </c>
      <c r="M273" s="13">
        <f t="shared" si="223"/>
        <v>0</v>
      </c>
      <c r="N273" s="13">
        <f t="shared" si="224"/>
        <v>0</v>
      </c>
      <c r="O273" s="13">
        <f t="shared" si="225"/>
        <v>0</v>
      </c>
      <c r="P273" s="13">
        <f t="shared" si="226"/>
        <v>0</v>
      </c>
      <c r="Q273" s="13">
        <f t="shared" si="227"/>
        <v>0</v>
      </c>
      <c r="R273" s="13">
        <f t="shared" si="228"/>
        <v>0</v>
      </c>
      <c r="S273" s="13">
        <f t="shared" si="229"/>
        <v>0</v>
      </c>
      <c r="T273" s="13">
        <f t="shared" si="230"/>
        <v>0</v>
      </c>
      <c r="U273" s="13">
        <f t="shared" si="231"/>
        <v>0</v>
      </c>
      <c r="V273" s="13">
        <f t="shared" si="232"/>
        <v>0</v>
      </c>
      <c r="W273" s="13">
        <f t="shared" si="233"/>
        <v>0</v>
      </c>
      <c r="X273" s="13">
        <f t="shared" si="234"/>
        <v>0</v>
      </c>
      <c r="Y273" s="13">
        <f t="shared" si="235"/>
        <v>0</v>
      </c>
      <c r="Z273" s="13">
        <f t="shared" si="236"/>
        <v>0</v>
      </c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  <c r="HQ273" s="13"/>
      <c r="HR273" s="13"/>
      <c r="HS273" s="13"/>
      <c r="HT273" s="13"/>
      <c r="HU273" s="13"/>
      <c r="HV273" s="13"/>
      <c r="HW273" s="13"/>
      <c r="HX273" s="13"/>
      <c r="HY273" s="13"/>
      <c r="HZ273" s="13"/>
      <c r="IA273" s="13"/>
      <c r="IB273" s="13"/>
      <c r="IC273" s="13"/>
      <c r="ID273" s="13"/>
      <c r="IE273" s="13"/>
      <c r="IF273" s="13"/>
      <c r="IG273" s="13"/>
      <c r="IH273" s="13"/>
      <c r="II273" s="13"/>
      <c r="IJ273" s="13"/>
      <c r="IK273" s="13"/>
      <c r="IL273" s="13"/>
      <c r="IM273" s="13"/>
      <c r="IN273" s="13"/>
      <c r="IO273" s="13"/>
      <c r="IP273" s="13"/>
      <c r="IQ273" s="13"/>
      <c r="IR273" s="13"/>
      <c r="IS273" s="13"/>
      <c r="IT273" s="13"/>
      <c r="IU273" s="13"/>
      <c r="IV273" s="13"/>
      <c r="IW273" s="13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3"/>
      <c r="KG273" s="13"/>
      <c r="KH273" s="13"/>
      <c r="KI273" s="13"/>
      <c r="KJ273" s="13"/>
      <c r="KK273" s="13"/>
      <c r="KL273" s="13"/>
      <c r="KM273" s="13"/>
      <c r="KN273" s="13"/>
      <c r="KO273" s="13"/>
      <c r="KP273" s="13"/>
      <c r="KQ273" s="13"/>
      <c r="KR273" s="13"/>
      <c r="KS273" s="13"/>
      <c r="KT273" s="13"/>
      <c r="KU273" s="13"/>
      <c r="KV273" s="13"/>
      <c r="KW273" s="13"/>
      <c r="KX273" s="13"/>
      <c r="KY273" s="13"/>
      <c r="KZ273" s="13"/>
      <c r="LA273" s="13"/>
      <c r="LB273" s="13"/>
      <c r="LC273" s="13"/>
      <c r="LD273" s="13"/>
      <c r="LE273" s="13"/>
      <c r="LF273" s="13"/>
      <c r="LG273" s="13"/>
      <c r="LH273" s="13"/>
      <c r="LI273" s="13"/>
      <c r="LJ273" s="13"/>
      <c r="LK273" s="13"/>
      <c r="LL273" s="13"/>
      <c r="LM273" s="13"/>
      <c r="LN273" s="13"/>
      <c r="LO273" s="13"/>
      <c r="LP273" s="13"/>
      <c r="LQ273" s="13"/>
      <c r="LR273" s="13"/>
      <c r="LS273" s="13"/>
      <c r="LT273" s="13"/>
      <c r="LU273" s="13"/>
      <c r="LV273" s="13"/>
      <c r="LW273" s="13"/>
      <c r="LX273" s="13"/>
      <c r="LY273" s="13"/>
      <c r="LZ273" s="13"/>
      <c r="MA273" s="13"/>
      <c r="MB273" s="13"/>
      <c r="MC273" s="13"/>
    </row>
    <row r="274" spans="1:341" s="14" customFormat="1">
      <c r="A274" s="15" t="s">
        <v>267</v>
      </c>
      <c r="B274" s="13">
        <f t="shared" si="212"/>
        <v>0</v>
      </c>
      <c r="C274" s="13">
        <f t="shared" si="213"/>
        <v>0</v>
      </c>
      <c r="D274" s="13">
        <f t="shared" si="214"/>
        <v>0</v>
      </c>
      <c r="E274" s="13">
        <f t="shared" si="215"/>
        <v>0</v>
      </c>
      <c r="F274" s="13">
        <f t="shared" si="216"/>
        <v>0</v>
      </c>
      <c r="G274" s="13">
        <f t="shared" si="217"/>
        <v>0</v>
      </c>
      <c r="H274" s="13">
        <f t="shared" si="218"/>
        <v>0</v>
      </c>
      <c r="I274" s="13">
        <f t="shared" si="219"/>
        <v>0</v>
      </c>
      <c r="J274" s="13">
        <f t="shared" si="220"/>
        <v>0</v>
      </c>
      <c r="K274" s="13">
        <f t="shared" si="221"/>
        <v>0</v>
      </c>
      <c r="L274" s="13">
        <f t="shared" si="222"/>
        <v>0</v>
      </c>
      <c r="M274" s="13">
        <f t="shared" si="223"/>
        <v>0</v>
      </c>
      <c r="N274" s="13">
        <f t="shared" si="224"/>
        <v>0</v>
      </c>
      <c r="O274" s="13">
        <f t="shared" si="225"/>
        <v>0</v>
      </c>
      <c r="P274" s="13">
        <f t="shared" si="226"/>
        <v>0</v>
      </c>
      <c r="Q274" s="13">
        <f t="shared" si="227"/>
        <v>0</v>
      </c>
      <c r="R274" s="13">
        <f t="shared" si="228"/>
        <v>1.7521701647058813E-2</v>
      </c>
      <c r="S274" s="13">
        <f t="shared" si="229"/>
        <v>2.1844489882352932E-2</v>
      </c>
      <c r="T274" s="13">
        <f t="shared" si="230"/>
        <v>0</v>
      </c>
      <c r="U274" s="13">
        <f t="shared" si="231"/>
        <v>0</v>
      </c>
      <c r="V274" s="13">
        <f t="shared" si="232"/>
        <v>0</v>
      </c>
      <c r="W274" s="13">
        <f t="shared" si="233"/>
        <v>0</v>
      </c>
      <c r="X274" s="13">
        <f t="shared" si="234"/>
        <v>0</v>
      </c>
      <c r="Y274" s="13">
        <f t="shared" si="235"/>
        <v>0</v>
      </c>
      <c r="Z274" s="13">
        <f t="shared" si="236"/>
        <v>0</v>
      </c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>
        <v>17.521701647058812</v>
      </c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>
        <v>16.743599764705873</v>
      </c>
      <c r="II274" s="13">
        <v>5.1008901176470598</v>
      </c>
      <c r="IJ274" s="13"/>
      <c r="IK274" s="13"/>
      <c r="IL274" s="13"/>
      <c r="IM274" s="13"/>
      <c r="IN274" s="13"/>
      <c r="IO274" s="13"/>
      <c r="IP274" s="13"/>
      <c r="IQ274" s="13"/>
      <c r="IR274" s="13"/>
      <c r="IS274" s="13"/>
      <c r="IT274" s="13"/>
      <c r="IU274" s="13"/>
      <c r="IV274" s="13"/>
      <c r="IW274" s="13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3"/>
      <c r="KG274" s="13"/>
      <c r="KH274" s="13"/>
      <c r="KI274" s="13"/>
      <c r="KJ274" s="13"/>
      <c r="KK274" s="13"/>
      <c r="KL274" s="13"/>
      <c r="KM274" s="13"/>
      <c r="KN274" s="13"/>
      <c r="KO274" s="13"/>
      <c r="KP274" s="13"/>
      <c r="KQ274" s="13"/>
      <c r="KR274" s="13"/>
      <c r="KS274" s="13"/>
      <c r="KT274" s="13"/>
      <c r="KU274" s="13"/>
      <c r="KV274" s="13"/>
      <c r="KW274" s="13"/>
      <c r="KX274" s="13"/>
      <c r="KY274" s="13"/>
      <c r="KZ274" s="13"/>
      <c r="LA274" s="13"/>
      <c r="LB274" s="13"/>
      <c r="LC274" s="13"/>
      <c r="LD274" s="13"/>
      <c r="LE274" s="13"/>
      <c r="LF274" s="13"/>
      <c r="LG274" s="13"/>
      <c r="LH274" s="13"/>
      <c r="LI274" s="13"/>
      <c r="LJ274" s="13"/>
      <c r="LK274" s="13"/>
      <c r="LL274" s="13"/>
      <c r="LM274" s="13"/>
      <c r="LN274" s="13"/>
      <c r="LO274" s="13"/>
      <c r="LP274" s="13"/>
      <c r="LQ274" s="13"/>
      <c r="LR274" s="13"/>
      <c r="LS274" s="13"/>
      <c r="LT274" s="13"/>
      <c r="LU274" s="13"/>
      <c r="LV274" s="13"/>
      <c r="LW274" s="13"/>
      <c r="LX274" s="13"/>
      <c r="LY274" s="13"/>
      <c r="LZ274" s="13"/>
      <c r="MA274" s="13"/>
      <c r="MB274" s="13"/>
      <c r="MC274" s="13"/>
    </row>
    <row r="275" spans="1:341" s="14" customFormat="1">
      <c r="A275" s="15" t="s">
        <v>268</v>
      </c>
      <c r="B275" s="13">
        <f t="shared" si="212"/>
        <v>0</v>
      </c>
      <c r="C275" s="13">
        <f t="shared" si="213"/>
        <v>0</v>
      </c>
      <c r="D275" s="13">
        <f t="shared" si="214"/>
        <v>0</v>
      </c>
      <c r="E275" s="13">
        <f t="shared" si="215"/>
        <v>0</v>
      </c>
      <c r="F275" s="13">
        <f t="shared" si="216"/>
        <v>0</v>
      </c>
      <c r="G275" s="13">
        <f t="shared" si="217"/>
        <v>0</v>
      </c>
      <c r="H275" s="13">
        <f t="shared" si="218"/>
        <v>0</v>
      </c>
      <c r="I275" s="13">
        <f t="shared" si="219"/>
        <v>0</v>
      </c>
      <c r="J275" s="13">
        <f t="shared" si="220"/>
        <v>0</v>
      </c>
      <c r="K275" s="13">
        <f t="shared" si="221"/>
        <v>0</v>
      </c>
      <c r="L275" s="13">
        <f t="shared" si="222"/>
        <v>0</v>
      </c>
      <c r="M275" s="13">
        <f t="shared" si="223"/>
        <v>0</v>
      </c>
      <c r="N275" s="13">
        <f t="shared" si="224"/>
        <v>0</v>
      </c>
      <c r="O275" s="13">
        <f t="shared" si="225"/>
        <v>0</v>
      </c>
      <c r="P275" s="13">
        <f t="shared" si="226"/>
        <v>0</v>
      </c>
      <c r="Q275" s="13">
        <f t="shared" si="227"/>
        <v>0</v>
      </c>
      <c r="R275" s="13">
        <f t="shared" si="228"/>
        <v>0</v>
      </c>
      <c r="S275" s="13">
        <f t="shared" si="229"/>
        <v>0</v>
      </c>
      <c r="T275" s="13">
        <f t="shared" si="230"/>
        <v>0</v>
      </c>
      <c r="U275" s="13">
        <f t="shared" si="231"/>
        <v>0</v>
      </c>
      <c r="V275" s="13">
        <f t="shared" si="232"/>
        <v>0</v>
      </c>
      <c r="W275" s="13">
        <f t="shared" si="233"/>
        <v>0</v>
      </c>
      <c r="X275" s="13">
        <f t="shared" si="234"/>
        <v>0</v>
      </c>
      <c r="Y275" s="13">
        <f t="shared" si="235"/>
        <v>0</v>
      </c>
      <c r="Z275" s="13">
        <f t="shared" si="236"/>
        <v>0</v>
      </c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/>
      <c r="GI275" s="13"/>
      <c r="GJ275" s="13"/>
      <c r="GK275" s="13"/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  <c r="HQ275" s="13"/>
      <c r="HR275" s="13"/>
      <c r="HS275" s="13"/>
      <c r="HT275" s="13"/>
      <c r="HU275" s="13"/>
      <c r="HV275" s="13"/>
      <c r="HW275" s="13"/>
      <c r="HX275" s="13"/>
      <c r="HY275" s="13"/>
      <c r="HZ275" s="13"/>
      <c r="IA275" s="13"/>
      <c r="IB275" s="13"/>
      <c r="IC275" s="13"/>
      <c r="ID275" s="13"/>
      <c r="IE275" s="13"/>
      <c r="IF275" s="13"/>
      <c r="IG275" s="13"/>
      <c r="IH275" s="13"/>
      <c r="II275" s="13"/>
      <c r="IJ275" s="13"/>
      <c r="IK275" s="13"/>
      <c r="IL275" s="13"/>
      <c r="IM275" s="13"/>
      <c r="IN275" s="13"/>
      <c r="IO275" s="13"/>
      <c r="IP275" s="13"/>
      <c r="IQ275" s="13"/>
      <c r="IR275" s="13"/>
      <c r="IS275" s="13"/>
      <c r="IT275" s="13"/>
      <c r="IU275" s="13"/>
      <c r="IV275" s="13"/>
      <c r="IW275" s="13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3"/>
      <c r="KG275" s="13"/>
      <c r="KH275" s="13"/>
      <c r="KI275" s="13"/>
      <c r="KJ275" s="13"/>
      <c r="KK275" s="13"/>
      <c r="KL275" s="13"/>
      <c r="KM275" s="13"/>
      <c r="KN275" s="13"/>
      <c r="KO275" s="13"/>
      <c r="KP275" s="13"/>
      <c r="KQ275" s="13"/>
      <c r="KR275" s="13"/>
      <c r="KS275" s="13"/>
      <c r="KT275" s="13"/>
      <c r="KU275" s="13"/>
      <c r="KV275" s="13"/>
      <c r="KW275" s="13"/>
      <c r="KX275" s="13"/>
      <c r="KY275" s="13"/>
      <c r="KZ275" s="13"/>
      <c r="LA275" s="13"/>
      <c r="LB275" s="13"/>
      <c r="LC275" s="13"/>
      <c r="LD275" s="13"/>
      <c r="LE275" s="13"/>
      <c r="LF275" s="13"/>
      <c r="LG275" s="13"/>
      <c r="LH275" s="13"/>
      <c r="LI275" s="13"/>
      <c r="LJ275" s="13"/>
      <c r="LK275" s="13"/>
      <c r="LL275" s="13"/>
      <c r="LM275" s="13"/>
      <c r="LN275" s="13"/>
      <c r="LO275" s="13"/>
      <c r="LP275" s="13"/>
      <c r="LQ275" s="13"/>
      <c r="LR275" s="13"/>
      <c r="LS275" s="13"/>
      <c r="LT275" s="13"/>
      <c r="LU275" s="13"/>
      <c r="LV275" s="13"/>
      <c r="LW275" s="13"/>
      <c r="LX275" s="13"/>
      <c r="LY275" s="13"/>
      <c r="LZ275" s="13"/>
      <c r="MA275" s="13"/>
      <c r="MB275" s="13"/>
      <c r="MC275" s="13"/>
    </row>
    <row r="276" spans="1:341" s="14" customFormat="1">
      <c r="A276" s="12" t="s">
        <v>269</v>
      </c>
      <c r="B276" s="13">
        <f t="shared" si="212"/>
        <v>0</v>
      </c>
      <c r="C276" s="13">
        <f t="shared" si="213"/>
        <v>0</v>
      </c>
      <c r="D276" s="13">
        <f t="shared" si="214"/>
        <v>0</v>
      </c>
      <c r="E276" s="13">
        <f t="shared" si="215"/>
        <v>0</v>
      </c>
      <c r="F276" s="13">
        <f t="shared" si="216"/>
        <v>0</v>
      </c>
      <c r="G276" s="13">
        <f t="shared" si="217"/>
        <v>0</v>
      </c>
      <c r="H276" s="13">
        <f t="shared" si="218"/>
        <v>0</v>
      </c>
      <c r="I276" s="13">
        <f t="shared" si="219"/>
        <v>0</v>
      </c>
      <c r="J276" s="13">
        <f t="shared" si="220"/>
        <v>0</v>
      </c>
      <c r="K276" s="13">
        <f t="shared" si="221"/>
        <v>0</v>
      </c>
      <c r="L276" s="13">
        <f t="shared" si="222"/>
        <v>0</v>
      </c>
      <c r="M276" s="13">
        <f t="shared" si="223"/>
        <v>0</v>
      </c>
      <c r="N276" s="13">
        <f t="shared" si="224"/>
        <v>0</v>
      </c>
      <c r="O276" s="13">
        <f t="shared" si="225"/>
        <v>0</v>
      </c>
      <c r="P276" s="13">
        <f t="shared" si="226"/>
        <v>0</v>
      </c>
      <c r="Q276" s="13">
        <f t="shared" si="227"/>
        <v>0</v>
      </c>
      <c r="R276" s="13">
        <f t="shared" si="228"/>
        <v>0</v>
      </c>
      <c r="S276" s="13">
        <f t="shared" si="229"/>
        <v>0</v>
      </c>
      <c r="T276" s="13">
        <f t="shared" si="230"/>
        <v>0</v>
      </c>
      <c r="U276" s="13">
        <f t="shared" si="231"/>
        <v>0</v>
      </c>
      <c r="V276" s="13">
        <f t="shared" si="232"/>
        <v>0</v>
      </c>
      <c r="W276" s="13">
        <f t="shared" si="233"/>
        <v>0</v>
      </c>
      <c r="X276" s="13">
        <f t="shared" si="234"/>
        <v>0</v>
      </c>
      <c r="Y276" s="13">
        <f t="shared" si="235"/>
        <v>0</v>
      </c>
      <c r="Z276" s="13">
        <f t="shared" si="236"/>
        <v>0</v>
      </c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/>
      <c r="HY276" s="13"/>
      <c r="HZ276" s="13"/>
      <c r="IA276" s="13"/>
      <c r="IB276" s="13"/>
      <c r="IC276" s="13"/>
      <c r="ID276" s="13"/>
      <c r="IE276" s="13"/>
      <c r="IF276" s="13"/>
      <c r="IG276" s="13"/>
      <c r="IH276" s="13"/>
      <c r="II276" s="13"/>
      <c r="IJ276" s="13"/>
      <c r="IK276" s="13"/>
      <c r="IL276" s="13"/>
      <c r="IM276" s="13"/>
      <c r="IN276" s="13"/>
      <c r="IO276" s="13"/>
      <c r="IP276" s="13"/>
      <c r="IQ276" s="13"/>
      <c r="IR276" s="13"/>
      <c r="IS276" s="13"/>
      <c r="IT276" s="13"/>
      <c r="IU276" s="13"/>
      <c r="IV276" s="13"/>
      <c r="IW276" s="13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3"/>
      <c r="KG276" s="13"/>
      <c r="KH276" s="13"/>
      <c r="KI276" s="13"/>
      <c r="KJ276" s="13"/>
      <c r="KK276" s="13"/>
      <c r="KL276" s="13"/>
      <c r="KM276" s="13"/>
      <c r="KN276" s="13"/>
      <c r="KO276" s="13"/>
      <c r="KP276" s="13"/>
      <c r="KQ276" s="13"/>
      <c r="KR276" s="13"/>
      <c r="KS276" s="13"/>
      <c r="KT276" s="13"/>
      <c r="KU276" s="13"/>
      <c r="KV276" s="13"/>
      <c r="KW276" s="13"/>
      <c r="KX276" s="13"/>
      <c r="KY276" s="13"/>
      <c r="KZ276" s="13"/>
      <c r="LA276" s="13"/>
      <c r="LB276" s="13"/>
      <c r="LC276" s="13"/>
      <c r="LD276" s="13"/>
      <c r="LE276" s="13"/>
      <c r="LF276" s="13"/>
      <c r="LG276" s="13"/>
      <c r="LH276" s="13"/>
      <c r="LI276" s="13"/>
      <c r="LJ276" s="13"/>
      <c r="LK276" s="13"/>
      <c r="LL276" s="13"/>
      <c r="LM276" s="13"/>
      <c r="LN276" s="13"/>
      <c r="LO276" s="13"/>
      <c r="LP276" s="13"/>
      <c r="LQ276" s="13"/>
      <c r="LR276" s="13"/>
      <c r="LS276" s="13"/>
      <c r="LT276" s="13"/>
      <c r="LU276" s="13"/>
      <c r="LV276" s="13"/>
      <c r="LW276" s="13"/>
      <c r="LX276" s="13"/>
      <c r="LY276" s="13"/>
      <c r="LZ276" s="13"/>
      <c r="MA276" s="13"/>
      <c r="MB276" s="13"/>
      <c r="MC276" s="13"/>
    </row>
    <row r="277" spans="1:341" s="14" customFormat="1">
      <c r="A277" s="12" t="s">
        <v>270</v>
      </c>
      <c r="B277" s="13">
        <f t="shared" si="212"/>
        <v>0</v>
      </c>
      <c r="C277" s="13">
        <f t="shared" si="213"/>
        <v>0</v>
      </c>
      <c r="D277" s="13">
        <f t="shared" si="214"/>
        <v>0</v>
      </c>
      <c r="E277" s="13">
        <f t="shared" si="215"/>
        <v>0</v>
      </c>
      <c r="F277" s="13">
        <f t="shared" si="216"/>
        <v>0</v>
      </c>
      <c r="G277" s="13">
        <f t="shared" si="217"/>
        <v>0</v>
      </c>
      <c r="H277" s="13">
        <f t="shared" si="218"/>
        <v>0</v>
      </c>
      <c r="I277" s="13">
        <f t="shared" si="219"/>
        <v>0</v>
      </c>
      <c r="J277" s="13">
        <f t="shared" si="220"/>
        <v>0</v>
      </c>
      <c r="K277" s="13">
        <f t="shared" si="221"/>
        <v>0</v>
      </c>
      <c r="L277" s="13">
        <f t="shared" si="222"/>
        <v>0</v>
      </c>
      <c r="M277" s="13">
        <f t="shared" si="223"/>
        <v>0</v>
      </c>
      <c r="N277" s="13">
        <f t="shared" si="224"/>
        <v>0</v>
      </c>
      <c r="O277" s="13">
        <f t="shared" si="225"/>
        <v>0</v>
      </c>
      <c r="P277" s="13">
        <f t="shared" si="226"/>
        <v>0</v>
      </c>
      <c r="Q277" s="13">
        <f t="shared" si="227"/>
        <v>0</v>
      </c>
      <c r="R277" s="13">
        <f t="shared" si="228"/>
        <v>0</v>
      </c>
      <c r="S277" s="13">
        <f t="shared" si="229"/>
        <v>0</v>
      </c>
      <c r="T277" s="13">
        <f t="shared" si="230"/>
        <v>0</v>
      </c>
      <c r="U277" s="13">
        <f t="shared" si="231"/>
        <v>0</v>
      </c>
      <c r="V277" s="13">
        <f t="shared" si="232"/>
        <v>0</v>
      </c>
      <c r="W277" s="13">
        <f t="shared" si="233"/>
        <v>0</v>
      </c>
      <c r="X277" s="13">
        <f t="shared" si="234"/>
        <v>0</v>
      </c>
      <c r="Y277" s="13">
        <f t="shared" si="235"/>
        <v>0</v>
      </c>
      <c r="Z277" s="13">
        <f t="shared" si="236"/>
        <v>0</v>
      </c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3"/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  <c r="HQ277" s="13"/>
      <c r="HR277" s="13"/>
      <c r="HS277" s="13"/>
      <c r="HT277" s="13"/>
      <c r="HU277" s="13"/>
      <c r="HV277" s="13"/>
      <c r="HW277" s="13"/>
      <c r="HX277" s="13"/>
      <c r="HY277" s="13"/>
      <c r="HZ277" s="13"/>
      <c r="IA277" s="13"/>
      <c r="IB277" s="13"/>
      <c r="IC277" s="13"/>
      <c r="ID277" s="13"/>
      <c r="IE277" s="13"/>
      <c r="IF277" s="13"/>
      <c r="IG277" s="13"/>
      <c r="IH277" s="13"/>
      <c r="II277" s="13"/>
      <c r="IJ277" s="13"/>
      <c r="IK277" s="13"/>
      <c r="IL277" s="13"/>
      <c r="IM277" s="13"/>
      <c r="IN277" s="13"/>
      <c r="IO277" s="13"/>
      <c r="IP277" s="13"/>
      <c r="IQ277" s="13"/>
      <c r="IR277" s="13"/>
      <c r="IS277" s="13"/>
      <c r="IT277" s="13"/>
      <c r="IU277" s="13"/>
      <c r="IV277" s="13"/>
      <c r="IW277" s="13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3"/>
      <c r="KG277" s="13"/>
      <c r="KH277" s="13"/>
      <c r="KI277" s="13"/>
      <c r="KJ277" s="13"/>
      <c r="KK277" s="13"/>
      <c r="KL277" s="13"/>
      <c r="KM277" s="13"/>
      <c r="KN277" s="13"/>
      <c r="KO277" s="13"/>
      <c r="KP277" s="13"/>
      <c r="KQ277" s="13"/>
      <c r="KR277" s="13"/>
      <c r="KS277" s="13"/>
      <c r="KT277" s="13"/>
      <c r="KU277" s="13"/>
      <c r="KV277" s="13"/>
      <c r="KW277" s="13"/>
      <c r="KX277" s="13"/>
      <c r="KY277" s="13"/>
      <c r="KZ277" s="13"/>
      <c r="LA277" s="13"/>
      <c r="LB277" s="13"/>
      <c r="LC277" s="13"/>
      <c r="LD277" s="13"/>
      <c r="LE277" s="13"/>
      <c r="LF277" s="13"/>
      <c r="LG277" s="13"/>
      <c r="LH277" s="13"/>
      <c r="LI277" s="13"/>
      <c r="LJ277" s="13"/>
      <c r="LK277" s="13"/>
      <c r="LL277" s="13"/>
      <c r="LM277" s="13"/>
      <c r="LN277" s="13"/>
      <c r="LO277" s="13"/>
      <c r="LP277" s="13"/>
      <c r="LQ277" s="13"/>
      <c r="LR277" s="13"/>
      <c r="LS277" s="13"/>
      <c r="LT277" s="13"/>
      <c r="LU277" s="13"/>
      <c r="LV277" s="13"/>
      <c r="LW277" s="13"/>
      <c r="LX277" s="13"/>
      <c r="LY277" s="13"/>
      <c r="LZ277" s="13"/>
      <c r="MA277" s="13"/>
      <c r="MB277" s="13"/>
      <c r="MC277" s="13"/>
    </row>
    <row r="278" spans="1:341" s="14" customFormat="1">
      <c r="A278" s="12" t="s">
        <v>271</v>
      </c>
      <c r="B278" s="13">
        <f t="shared" si="212"/>
        <v>0</v>
      </c>
      <c r="C278" s="13">
        <f t="shared" si="213"/>
        <v>0</v>
      </c>
      <c r="D278" s="13">
        <f t="shared" si="214"/>
        <v>0</v>
      </c>
      <c r="E278" s="13">
        <f t="shared" si="215"/>
        <v>0</v>
      </c>
      <c r="F278" s="13">
        <f t="shared" si="216"/>
        <v>0</v>
      </c>
      <c r="G278" s="13">
        <f t="shared" si="217"/>
        <v>0</v>
      </c>
      <c r="H278" s="13">
        <f t="shared" si="218"/>
        <v>0</v>
      </c>
      <c r="I278" s="13">
        <f t="shared" si="219"/>
        <v>0</v>
      </c>
      <c r="J278" s="13">
        <f t="shared" si="220"/>
        <v>0</v>
      </c>
      <c r="K278" s="13">
        <f t="shared" si="221"/>
        <v>0</v>
      </c>
      <c r="L278" s="13">
        <f t="shared" si="222"/>
        <v>0</v>
      </c>
      <c r="M278" s="13">
        <f t="shared" si="223"/>
        <v>0</v>
      </c>
      <c r="N278" s="13">
        <f t="shared" si="224"/>
        <v>0</v>
      </c>
      <c r="O278" s="13">
        <f t="shared" si="225"/>
        <v>0</v>
      </c>
      <c r="P278" s="13">
        <f t="shared" si="226"/>
        <v>0</v>
      </c>
      <c r="Q278" s="13">
        <f t="shared" si="227"/>
        <v>0</v>
      </c>
      <c r="R278" s="13">
        <f t="shared" si="228"/>
        <v>0</v>
      </c>
      <c r="S278" s="13">
        <f t="shared" si="229"/>
        <v>0</v>
      </c>
      <c r="T278" s="13">
        <f t="shared" si="230"/>
        <v>0</v>
      </c>
      <c r="U278" s="13">
        <f t="shared" si="231"/>
        <v>0</v>
      </c>
      <c r="V278" s="13">
        <f t="shared" si="232"/>
        <v>0</v>
      </c>
      <c r="W278" s="13">
        <f t="shared" si="233"/>
        <v>0</v>
      </c>
      <c r="X278" s="13">
        <f t="shared" si="234"/>
        <v>0</v>
      </c>
      <c r="Y278" s="13">
        <f t="shared" si="235"/>
        <v>0</v>
      </c>
      <c r="Z278" s="13">
        <f t="shared" si="236"/>
        <v>0</v>
      </c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13"/>
      <c r="HP278" s="13"/>
      <c r="HQ278" s="13"/>
      <c r="HR278" s="13"/>
      <c r="HS278" s="13"/>
      <c r="HT278" s="13"/>
      <c r="HU278" s="13"/>
      <c r="HV278" s="13"/>
      <c r="HW278" s="13"/>
      <c r="HX278" s="13"/>
      <c r="HY278" s="13"/>
      <c r="HZ278" s="13"/>
      <c r="IA278" s="13"/>
      <c r="IB278" s="13"/>
      <c r="IC278" s="13"/>
      <c r="ID278" s="13"/>
      <c r="IE278" s="13"/>
      <c r="IF278" s="13"/>
      <c r="IG278" s="13"/>
      <c r="IH278" s="13"/>
      <c r="II278" s="13"/>
      <c r="IJ278" s="13"/>
      <c r="IK278" s="13"/>
      <c r="IL278" s="13"/>
      <c r="IM278" s="13"/>
      <c r="IN278" s="13"/>
      <c r="IO278" s="13"/>
      <c r="IP278" s="13"/>
      <c r="IQ278" s="13"/>
      <c r="IR278" s="13"/>
      <c r="IS278" s="13"/>
      <c r="IT278" s="13"/>
      <c r="IU278" s="13"/>
      <c r="IV278" s="13"/>
      <c r="IW278" s="13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3"/>
      <c r="KG278" s="13"/>
      <c r="KH278" s="13"/>
      <c r="KI278" s="13"/>
      <c r="KJ278" s="13"/>
      <c r="KK278" s="13"/>
      <c r="KL278" s="13"/>
      <c r="KM278" s="13"/>
      <c r="KN278" s="13"/>
      <c r="KO278" s="13"/>
      <c r="KP278" s="13"/>
      <c r="KQ278" s="13"/>
      <c r="KR278" s="13"/>
      <c r="KS278" s="13"/>
      <c r="KT278" s="13"/>
      <c r="KU278" s="13"/>
      <c r="KV278" s="13"/>
      <c r="KW278" s="13"/>
      <c r="KX278" s="13"/>
      <c r="KY278" s="13"/>
      <c r="KZ278" s="13"/>
      <c r="LA278" s="13"/>
      <c r="LB278" s="13"/>
      <c r="LC278" s="13"/>
      <c r="LD278" s="13"/>
      <c r="LE278" s="13"/>
      <c r="LF278" s="13"/>
      <c r="LG278" s="13"/>
      <c r="LH278" s="13"/>
      <c r="LI278" s="13"/>
      <c r="LJ278" s="13"/>
      <c r="LK278" s="13"/>
      <c r="LL278" s="13"/>
      <c r="LM278" s="13"/>
      <c r="LN278" s="13"/>
      <c r="LO278" s="13"/>
      <c r="LP278" s="13"/>
      <c r="LQ278" s="13"/>
      <c r="LR278" s="13"/>
      <c r="LS278" s="13"/>
      <c r="LT278" s="13"/>
      <c r="LU278" s="13"/>
      <c r="LV278" s="13"/>
      <c r="LW278" s="13"/>
      <c r="LX278" s="13"/>
      <c r="LY278" s="13"/>
      <c r="LZ278" s="13"/>
      <c r="MA278" s="13"/>
      <c r="MB278" s="13"/>
      <c r="MC278" s="13"/>
    </row>
    <row r="279" spans="1:341" s="14" customFormat="1">
      <c r="A279" s="12" t="s">
        <v>272</v>
      </c>
      <c r="B279" s="13">
        <f t="shared" si="212"/>
        <v>0</v>
      </c>
      <c r="C279" s="13">
        <f t="shared" si="213"/>
        <v>0</v>
      </c>
      <c r="D279" s="13">
        <f t="shared" si="214"/>
        <v>0</v>
      </c>
      <c r="E279" s="13">
        <f t="shared" si="215"/>
        <v>0</v>
      </c>
      <c r="F279" s="13">
        <f t="shared" si="216"/>
        <v>0</v>
      </c>
      <c r="G279" s="13">
        <f t="shared" si="217"/>
        <v>0</v>
      </c>
      <c r="H279" s="13">
        <f t="shared" si="218"/>
        <v>0</v>
      </c>
      <c r="I279" s="13">
        <f t="shared" si="219"/>
        <v>0</v>
      </c>
      <c r="J279" s="13">
        <f t="shared" si="220"/>
        <v>0</v>
      </c>
      <c r="K279" s="13">
        <f t="shared" si="221"/>
        <v>0</v>
      </c>
      <c r="L279" s="13">
        <f t="shared" si="222"/>
        <v>0</v>
      </c>
      <c r="M279" s="13">
        <f t="shared" si="223"/>
        <v>0</v>
      </c>
      <c r="N279" s="13">
        <f t="shared" si="224"/>
        <v>0</v>
      </c>
      <c r="O279" s="13">
        <f t="shared" si="225"/>
        <v>0</v>
      </c>
      <c r="P279" s="13">
        <f t="shared" si="226"/>
        <v>0</v>
      </c>
      <c r="Q279" s="13">
        <f t="shared" si="227"/>
        <v>0</v>
      </c>
      <c r="R279" s="13">
        <f t="shared" si="228"/>
        <v>0</v>
      </c>
      <c r="S279" s="13">
        <f t="shared" si="229"/>
        <v>0</v>
      </c>
      <c r="T279" s="13">
        <f t="shared" si="230"/>
        <v>0</v>
      </c>
      <c r="U279" s="13">
        <f t="shared" si="231"/>
        <v>0</v>
      </c>
      <c r="V279" s="13">
        <f t="shared" si="232"/>
        <v>0</v>
      </c>
      <c r="W279" s="13">
        <f t="shared" si="233"/>
        <v>0</v>
      </c>
      <c r="X279" s="13">
        <f t="shared" si="234"/>
        <v>0</v>
      </c>
      <c r="Y279" s="13">
        <f t="shared" si="235"/>
        <v>0</v>
      </c>
      <c r="Z279" s="13">
        <f t="shared" si="236"/>
        <v>0</v>
      </c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13"/>
      <c r="HP279" s="13"/>
      <c r="HQ279" s="13"/>
      <c r="HR279" s="13"/>
      <c r="HS279" s="13"/>
      <c r="HT279" s="13"/>
      <c r="HU279" s="13"/>
      <c r="HV279" s="13"/>
      <c r="HW279" s="13"/>
      <c r="HX279" s="13"/>
      <c r="HY279" s="13"/>
      <c r="HZ279" s="13"/>
      <c r="IA279" s="13"/>
      <c r="IB279" s="13"/>
      <c r="IC279" s="13"/>
      <c r="ID279" s="13"/>
      <c r="IE279" s="13"/>
      <c r="IF279" s="13"/>
      <c r="IG279" s="13"/>
      <c r="IH279" s="13"/>
      <c r="II279" s="13"/>
      <c r="IJ279" s="13"/>
      <c r="IK279" s="13"/>
      <c r="IL279" s="13"/>
      <c r="IM279" s="13"/>
      <c r="IN279" s="13"/>
      <c r="IO279" s="13"/>
      <c r="IP279" s="13"/>
      <c r="IQ279" s="13"/>
      <c r="IR279" s="13"/>
      <c r="IS279" s="13"/>
      <c r="IT279" s="13"/>
      <c r="IU279" s="13"/>
      <c r="IV279" s="13"/>
      <c r="IW279" s="13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3"/>
      <c r="KG279" s="13"/>
      <c r="KH279" s="13"/>
      <c r="KI279" s="13"/>
      <c r="KJ279" s="13"/>
      <c r="KK279" s="13"/>
      <c r="KL279" s="13"/>
      <c r="KM279" s="13"/>
      <c r="KN279" s="13"/>
      <c r="KO279" s="13"/>
      <c r="KP279" s="13"/>
      <c r="KQ279" s="13"/>
      <c r="KR279" s="13"/>
      <c r="KS279" s="13"/>
      <c r="KT279" s="13"/>
      <c r="KU279" s="13"/>
      <c r="KV279" s="13"/>
      <c r="KW279" s="13"/>
      <c r="KX279" s="13"/>
      <c r="KY279" s="13"/>
      <c r="KZ279" s="13"/>
      <c r="LA279" s="13"/>
      <c r="LB279" s="13"/>
      <c r="LC279" s="13"/>
      <c r="LD279" s="13"/>
      <c r="LE279" s="13"/>
      <c r="LF279" s="13"/>
      <c r="LG279" s="13"/>
      <c r="LH279" s="13"/>
      <c r="LI279" s="13"/>
      <c r="LJ279" s="13"/>
      <c r="LK279" s="13"/>
      <c r="LL279" s="13"/>
      <c r="LM279" s="13"/>
      <c r="LN279" s="13"/>
      <c r="LO279" s="13"/>
      <c r="LP279" s="13"/>
      <c r="LQ279" s="13"/>
      <c r="LR279" s="13"/>
      <c r="LS279" s="13"/>
      <c r="LT279" s="13"/>
      <c r="LU279" s="13"/>
      <c r="LV279" s="13"/>
      <c r="LW279" s="13"/>
      <c r="LX279" s="13"/>
      <c r="LY279" s="13"/>
      <c r="LZ279" s="13"/>
      <c r="MA279" s="13"/>
      <c r="MB279" s="13"/>
      <c r="MC279" s="13"/>
    </row>
    <row r="280" spans="1:341" s="14" customFormat="1">
      <c r="A280" s="12" t="s">
        <v>273</v>
      </c>
      <c r="B280" s="13">
        <f t="shared" si="212"/>
        <v>0</v>
      </c>
      <c r="C280" s="13">
        <f t="shared" si="213"/>
        <v>0</v>
      </c>
      <c r="D280" s="13">
        <f t="shared" si="214"/>
        <v>0</v>
      </c>
      <c r="E280" s="13">
        <f t="shared" si="215"/>
        <v>0</v>
      </c>
      <c r="F280" s="13">
        <f t="shared" si="216"/>
        <v>0</v>
      </c>
      <c r="G280" s="13">
        <f t="shared" si="217"/>
        <v>0</v>
      </c>
      <c r="H280" s="13">
        <f t="shared" si="218"/>
        <v>0</v>
      </c>
      <c r="I280" s="13">
        <f t="shared" si="219"/>
        <v>0</v>
      </c>
      <c r="J280" s="13">
        <f t="shared" si="220"/>
        <v>0</v>
      </c>
      <c r="K280" s="13">
        <f t="shared" si="221"/>
        <v>0</v>
      </c>
      <c r="L280" s="13">
        <f t="shared" si="222"/>
        <v>0</v>
      </c>
      <c r="M280" s="13">
        <f t="shared" si="223"/>
        <v>0</v>
      </c>
      <c r="N280" s="13">
        <f t="shared" si="224"/>
        <v>0</v>
      </c>
      <c r="O280" s="13">
        <f t="shared" si="225"/>
        <v>0</v>
      </c>
      <c r="P280" s="13">
        <f t="shared" si="226"/>
        <v>0</v>
      </c>
      <c r="Q280" s="13">
        <f t="shared" si="227"/>
        <v>0</v>
      </c>
      <c r="R280" s="13">
        <f t="shared" si="228"/>
        <v>0</v>
      </c>
      <c r="S280" s="13">
        <f t="shared" si="229"/>
        <v>0</v>
      </c>
      <c r="T280" s="13">
        <f t="shared" si="230"/>
        <v>0</v>
      </c>
      <c r="U280" s="13">
        <f t="shared" si="231"/>
        <v>0</v>
      </c>
      <c r="V280" s="13">
        <f t="shared" si="232"/>
        <v>0</v>
      </c>
      <c r="W280" s="13">
        <f t="shared" si="233"/>
        <v>0</v>
      </c>
      <c r="X280" s="13">
        <f t="shared" si="234"/>
        <v>0</v>
      </c>
      <c r="Y280" s="13">
        <f t="shared" si="235"/>
        <v>0</v>
      </c>
      <c r="Z280" s="13">
        <f t="shared" si="236"/>
        <v>0</v>
      </c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  <c r="HQ280" s="13"/>
      <c r="HR280" s="13"/>
      <c r="HS280" s="13"/>
      <c r="HT280" s="13"/>
      <c r="HU280" s="13"/>
      <c r="HV280" s="13"/>
      <c r="HW280" s="13"/>
      <c r="HX280" s="13"/>
      <c r="HY280" s="13"/>
      <c r="HZ280" s="13"/>
      <c r="IA280" s="13"/>
      <c r="IB280" s="13"/>
      <c r="IC280" s="13"/>
      <c r="ID280" s="13"/>
      <c r="IE280" s="13"/>
      <c r="IF280" s="13"/>
      <c r="IG280" s="13"/>
      <c r="IH280" s="13"/>
      <c r="II280" s="13"/>
      <c r="IJ280" s="13"/>
      <c r="IK280" s="13"/>
      <c r="IL280" s="13"/>
      <c r="IM280" s="13"/>
      <c r="IN280" s="13"/>
      <c r="IO280" s="13"/>
      <c r="IP280" s="13"/>
      <c r="IQ280" s="13"/>
      <c r="IR280" s="13"/>
      <c r="IS280" s="13"/>
      <c r="IT280" s="13"/>
      <c r="IU280" s="13"/>
      <c r="IV280" s="13"/>
      <c r="IW280" s="13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3"/>
      <c r="KG280" s="13"/>
      <c r="KH280" s="13"/>
      <c r="KI280" s="13"/>
      <c r="KJ280" s="13"/>
      <c r="KK280" s="13"/>
      <c r="KL280" s="13"/>
      <c r="KM280" s="13"/>
      <c r="KN280" s="13"/>
      <c r="KO280" s="13"/>
      <c r="KP280" s="13"/>
      <c r="KQ280" s="13"/>
      <c r="KR280" s="13"/>
      <c r="KS280" s="13"/>
      <c r="KT280" s="13"/>
      <c r="KU280" s="13"/>
      <c r="KV280" s="13"/>
      <c r="KW280" s="13"/>
      <c r="KX280" s="13"/>
      <c r="KY280" s="13"/>
      <c r="KZ280" s="13"/>
      <c r="LA280" s="13"/>
      <c r="LB280" s="13"/>
      <c r="LC280" s="13"/>
      <c r="LD280" s="13"/>
      <c r="LE280" s="13"/>
      <c r="LF280" s="13"/>
      <c r="LG280" s="13"/>
      <c r="LH280" s="13"/>
      <c r="LI280" s="13"/>
      <c r="LJ280" s="13"/>
      <c r="LK280" s="13"/>
      <c r="LL280" s="13"/>
      <c r="LM280" s="13"/>
      <c r="LN280" s="13"/>
      <c r="LO280" s="13"/>
      <c r="LP280" s="13"/>
      <c r="LQ280" s="13"/>
      <c r="LR280" s="13"/>
      <c r="LS280" s="13"/>
      <c r="LT280" s="13"/>
      <c r="LU280" s="13"/>
      <c r="LV280" s="13"/>
      <c r="LW280" s="13"/>
      <c r="LX280" s="13"/>
      <c r="LY280" s="13"/>
      <c r="LZ280" s="13"/>
      <c r="MA280" s="13"/>
      <c r="MB280" s="13"/>
      <c r="MC280" s="13"/>
    </row>
    <row r="281" spans="1:341" s="14" customFormat="1">
      <c r="A281" s="15" t="s">
        <v>274</v>
      </c>
      <c r="B281" s="13">
        <f t="shared" si="212"/>
        <v>0</v>
      </c>
      <c r="C281" s="13">
        <f t="shared" si="213"/>
        <v>0</v>
      </c>
      <c r="D281" s="13">
        <f t="shared" si="214"/>
        <v>0</v>
      </c>
      <c r="E281" s="13">
        <f t="shared" si="215"/>
        <v>0</v>
      </c>
      <c r="F281" s="13">
        <f t="shared" si="216"/>
        <v>0</v>
      </c>
      <c r="G281" s="13">
        <f t="shared" si="217"/>
        <v>0</v>
      </c>
      <c r="H281" s="13">
        <f t="shared" si="218"/>
        <v>0</v>
      </c>
      <c r="I281" s="13">
        <f t="shared" si="219"/>
        <v>0</v>
      </c>
      <c r="J281" s="13">
        <f t="shared" si="220"/>
        <v>0</v>
      </c>
      <c r="K281" s="13">
        <f t="shared" si="221"/>
        <v>0</v>
      </c>
      <c r="L281" s="13">
        <f t="shared" si="222"/>
        <v>0</v>
      </c>
      <c r="M281" s="13">
        <f t="shared" si="223"/>
        <v>0</v>
      </c>
      <c r="N281" s="13">
        <f t="shared" si="224"/>
        <v>0</v>
      </c>
      <c r="O281" s="13">
        <f t="shared" si="225"/>
        <v>0</v>
      </c>
      <c r="P281" s="13">
        <f t="shared" si="226"/>
        <v>0</v>
      </c>
      <c r="Q281" s="13">
        <f t="shared" si="227"/>
        <v>0</v>
      </c>
      <c r="R281" s="13">
        <f t="shared" si="228"/>
        <v>0</v>
      </c>
      <c r="S281" s="13">
        <f t="shared" si="229"/>
        <v>0</v>
      </c>
      <c r="T281" s="13">
        <f t="shared" si="230"/>
        <v>0</v>
      </c>
      <c r="U281" s="13">
        <f t="shared" si="231"/>
        <v>0</v>
      </c>
      <c r="V281" s="13">
        <f t="shared" si="232"/>
        <v>0</v>
      </c>
      <c r="W281" s="13">
        <f t="shared" si="233"/>
        <v>0</v>
      </c>
      <c r="X281" s="13">
        <f t="shared" si="234"/>
        <v>0</v>
      </c>
      <c r="Y281" s="13">
        <f t="shared" si="235"/>
        <v>0</v>
      </c>
      <c r="Z281" s="13">
        <f t="shared" si="236"/>
        <v>0</v>
      </c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/>
      <c r="HQ281" s="13"/>
      <c r="HR281" s="13"/>
      <c r="HS281" s="13"/>
      <c r="HT281" s="13"/>
      <c r="HU281" s="13"/>
      <c r="HV281" s="13"/>
      <c r="HW281" s="13"/>
      <c r="HX281" s="13"/>
      <c r="HY281" s="13"/>
      <c r="HZ281" s="13"/>
      <c r="IA281" s="13"/>
      <c r="IB281" s="13"/>
      <c r="IC281" s="13"/>
      <c r="ID281" s="13"/>
      <c r="IE281" s="13"/>
      <c r="IF281" s="13"/>
      <c r="IG281" s="13"/>
      <c r="IH281" s="13"/>
      <c r="II281" s="13"/>
      <c r="IJ281" s="13"/>
      <c r="IK281" s="13"/>
      <c r="IL281" s="13"/>
      <c r="IM281" s="13"/>
      <c r="IN281" s="13"/>
      <c r="IO281" s="13"/>
      <c r="IP281" s="13"/>
      <c r="IQ281" s="13"/>
      <c r="IR281" s="13"/>
      <c r="IS281" s="13"/>
      <c r="IT281" s="13"/>
      <c r="IU281" s="13"/>
      <c r="IV281" s="13"/>
      <c r="IW281" s="13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3"/>
      <c r="KG281" s="13"/>
      <c r="KH281" s="13"/>
      <c r="KI281" s="13"/>
      <c r="KJ281" s="13"/>
      <c r="KK281" s="13"/>
      <c r="KL281" s="13"/>
      <c r="KM281" s="13"/>
      <c r="KN281" s="13"/>
      <c r="KO281" s="13"/>
      <c r="KP281" s="13"/>
      <c r="KQ281" s="13"/>
      <c r="KR281" s="13"/>
      <c r="KS281" s="13"/>
      <c r="KT281" s="13"/>
      <c r="KU281" s="13"/>
      <c r="KV281" s="13"/>
      <c r="KW281" s="13"/>
      <c r="KX281" s="13"/>
      <c r="KY281" s="13"/>
      <c r="KZ281" s="13"/>
      <c r="LA281" s="13"/>
      <c r="LB281" s="13"/>
      <c r="LC281" s="13"/>
      <c r="LD281" s="13"/>
      <c r="LE281" s="13"/>
      <c r="LF281" s="13"/>
      <c r="LG281" s="13"/>
      <c r="LH281" s="13"/>
      <c r="LI281" s="13"/>
      <c r="LJ281" s="13"/>
      <c r="LK281" s="13"/>
      <c r="LL281" s="13"/>
      <c r="LM281" s="13"/>
      <c r="LN281" s="13"/>
      <c r="LO281" s="13"/>
      <c r="LP281" s="13"/>
      <c r="LQ281" s="13"/>
      <c r="LR281" s="13"/>
      <c r="LS281" s="13"/>
      <c r="LT281" s="13"/>
      <c r="LU281" s="13"/>
      <c r="LV281" s="13"/>
      <c r="LW281" s="13"/>
      <c r="LX281" s="13"/>
      <c r="LY281" s="13"/>
      <c r="LZ281" s="13"/>
      <c r="MA281" s="13"/>
      <c r="MB281" s="13"/>
      <c r="MC281" s="13"/>
    </row>
    <row r="282" spans="1:341" s="14" customFormat="1">
      <c r="A282" s="12" t="s">
        <v>275</v>
      </c>
      <c r="B282" s="13">
        <f t="shared" si="212"/>
        <v>0</v>
      </c>
      <c r="C282" s="13">
        <f t="shared" si="213"/>
        <v>0</v>
      </c>
      <c r="D282" s="13">
        <f t="shared" si="214"/>
        <v>0</v>
      </c>
      <c r="E282" s="13">
        <f t="shared" si="215"/>
        <v>0</v>
      </c>
      <c r="F282" s="13">
        <f t="shared" si="216"/>
        <v>0</v>
      </c>
      <c r="G282" s="13">
        <f t="shared" si="217"/>
        <v>0</v>
      </c>
      <c r="H282" s="13">
        <f t="shared" si="218"/>
        <v>0</v>
      </c>
      <c r="I282" s="13">
        <f t="shared" si="219"/>
        <v>0</v>
      </c>
      <c r="J282" s="13">
        <f t="shared" si="220"/>
        <v>0</v>
      </c>
      <c r="K282" s="13">
        <f t="shared" si="221"/>
        <v>0</v>
      </c>
      <c r="L282" s="13">
        <f t="shared" si="222"/>
        <v>0</v>
      </c>
      <c r="M282" s="13">
        <f t="shared" si="223"/>
        <v>0</v>
      </c>
      <c r="N282" s="13">
        <f t="shared" si="224"/>
        <v>0</v>
      </c>
      <c r="O282" s="13">
        <f t="shared" si="225"/>
        <v>0</v>
      </c>
      <c r="P282" s="13">
        <f t="shared" si="226"/>
        <v>0</v>
      </c>
      <c r="Q282" s="13">
        <f t="shared" si="227"/>
        <v>0</v>
      </c>
      <c r="R282" s="13">
        <f t="shared" si="228"/>
        <v>0</v>
      </c>
      <c r="S282" s="13">
        <f t="shared" si="229"/>
        <v>0</v>
      </c>
      <c r="T282" s="13">
        <f t="shared" si="230"/>
        <v>0</v>
      </c>
      <c r="U282" s="13">
        <f t="shared" si="231"/>
        <v>0</v>
      </c>
      <c r="V282" s="13">
        <f t="shared" si="232"/>
        <v>0</v>
      </c>
      <c r="W282" s="13">
        <f t="shared" si="233"/>
        <v>0</v>
      </c>
      <c r="X282" s="13">
        <f t="shared" si="234"/>
        <v>0</v>
      </c>
      <c r="Y282" s="13">
        <f t="shared" si="235"/>
        <v>0</v>
      </c>
      <c r="Z282" s="13">
        <f t="shared" si="236"/>
        <v>0</v>
      </c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/>
      <c r="HY282" s="13"/>
      <c r="HZ282" s="13"/>
      <c r="IA282" s="13"/>
      <c r="IB282" s="13"/>
      <c r="IC282" s="13"/>
      <c r="ID282" s="13"/>
      <c r="IE282" s="13"/>
      <c r="IF282" s="13"/>
      <c r="IG282" s="13"/>
      <c r="IH282" s="13"/>
      <c r="II282" s="13"/>
      <c r="IJ282" s="13"/>
      <c r="IK282" s="13"/>
      <c r="IL282" s="13"/>
      <c r="IM282" s="13"/>
      <c r="IN282" s="13"/>
      <c r="IO282" s="13"/>
      <c r="IP282" s="13"/>
      <c r="IQ282" s="13"/>
      <c r="IR282" s="13"/>
      <c r="IS282" s="13"/>
      <c r="IT282" s="13"/>
      <c r="IU282" s="13"/>
      <c r="IV282" s="13"/>
      <c r="IW282" s="13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3"/>
      <c r="KG282" s="13"/>
      <c r="KH282" s="13"/>
      <c r="KI282" s="13"/>
      <c r="KJ282" s="13"/>
      <c r="KK282" s="13"/>
      <c r="KL282" s="13"/>
      <c r="KM282" s="13"/>
      <c r="KN282" s="13"/>
      <c r="KO282" s="13"/>
      <c r="KP282" s="13"/>
      <c r="KQ282" s="13"/>
      <c r="KR282" s="13"/>
      <c r="KS282" s="13"/>
      <c r="KT282" s="13"/>
      <c r="KU282" s="13"/>
      <c r="KV282" s="13"/>
      <c r="KW282" s="13"/>
      <c r="KX282" s="13"/>
      <c r="KY282" s="13"/>
      <c r="KZ282" s="13"/>
      <c r="LA282" s="13"/>
      <c r="LB282" s="13"/>
      <c r="LC282" s="13"/>
      <c r="LD282" s="13"/>
      <c r="LE282" s="13"/>
      <c r="LF282" s="13"/>
      <c r="LG282" s="13"/>
      <c r="LH282" s="13"/>
      <c r="LI282" s="13"/>
      <c r="LJ282" s="13"/>
      <c r="LK282" s="13"/>
      <c r="LL282" s="13"/>
      <c r="LM282" s="13"/>
      <c r="LN282" s="13"/>
      <c r="LO282" s="13"/>
      <c r="LP282" s="13"/>
      <c r="LQ282" s="13"/>
      <c r="LR282" s="13"/>
      <c r="LS282" s="13"/>
      <c r="LT282" s="13"/>
      <c r="LU282" s="13"/>
      <c r="LV282" s="13"/>
      <c r="LW282" s="13"/>
      <c r="LX282" s="13"/>
      <c r="LY282" s="13"/>
      <c r="LZ282" s="13"/>
      <c r="MA282" s="13"/>
      <c r="MB282" s="13"/>
      <c r="MC282" s="13"/>
    </row>
    <row r="283" spans="1:341" s="14" customFormat="1">
      <c r="A283" s="15" t="s">
        <v>276</v>
      </c>
      <c r="B283" s="13">
        <f t="shared" si="212"/>
        <v>0</v>
      </c>
      <c r="C283" s="13">
        <f t="shared" si="213"/>
        <v>0</v>
      </c>
      <c r="D283" s="13">
        <f t="shared" si="214"/>
        <v>0</v>
      </c>
      <c r="E283" s="13">
        <f t="shared" si="215"/>
        <v>0</v>
      </c>
      <c r="F283" s="13">
        <f t="shared" si="216"/>
        <v>0</v>
      </c>
      <c r="G283" s="13">
        <f t="shared" si="217"/>
        <v>0</v>
      </c>
      <c r="H283" s="13">
        <f t="shared" si="218"/>
        <v>0</v>
      </c>
      <c r="I283" s="13">
        <f t="shared" si="219"/>
        <v>0</v>
      </c>
      <c r="J283" s="13">
        <f t="shared" si="220"/>
        <v>0</v>
      </c>
      <c r="K283" s="13">
        <f t="shared" si="221"/>
        <v>0</v>
      </c>
      <c r="L283" s="13">
        <f t="shared" si="222"/>
        <v>0</v>
      </c>
      <c r="M283" s="13">
        <f t="shared" si="223"/>
        <v>0</v>
      </c>
      <c r="N283" s="13">
        <f t="shared" si="224"/>
        <v>0</v>
      </c>
      <c r="O283" s="13">
        <f t="shared" si="225"/>
        <v>0</v>
      </c>
      <c r="P283" s="13">
        <f t="shared" si="226"/>
        <v>0</v>
      </c>
      <c r="Q283" s="13">
        <f t="shared" si="227"/>
        <v>0</v>
      </c>
      <c r="R283" s="13">
        <f t="shared" si="228"/>
        <v>0</v>
      </c>
      <c r="S283" s="13">
        <f t="shared" si="229"/>
        <v>0</v>
      </c>
      <c r="T283" s="13">
        <f t="shared" si="230"/>
        <v>0</v>
      </c>
      <c r="U283" s="13">
        <f t="shared" si="231"/>
        <v>0</v>
      </c>
      <c r="V283" s="13">
        <f t="shared" si="232"/>
        <v>0</v>
      </c>
      <c r="W283" s="13">
        <f t="shared" si="233"/>
        <v>0</v>
      </c>
      <c r="X283" s="13">
        <f t="shared" si="234"/>
        <v>0</v>
      </c>
      <c r="Y283" s="13">
        <f t="shared" si="235"/>
        <v>0</v>
      </c>
      <c r="Z283" s="13">
        <f t="shared" si="236"/>
        <v>0</v>
      </c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13"/>
      <c r="HP283" s="13"/>
      <c r="HQ283" s="13"/>
      <c r="HR283" s="13"/>
      <c r="HS283" s="13"/>
      <c r="HT283" s="13"/>
      <c r="HU283" s="13"/>
      <c r="HV283" s="13"/>
      <c r="HW283" s="13"/>
      <c r="HX283" s="13"/>
      <c r="HY283" s="13"/>
      <c r="HZ283" s="13"/>
      <c r="IA283" s="13"/>
      <c r="IB283" s="13"/>
      <c r="IC283" s="13"/>
      <c r="ID283" s="13"/>
      <c r="IE283" s="13"/>
      <c r="IF283" s="13"/>
      <c r="IG283" s="13"/>
      <c r="IH283" s="13"/>
      <c r="II283" s="13"/>
      <c r="IJ283" s="13"/>
      <c r="IK283" s="13"/>
      <c r="IL283" s="13"/>
      <c r="IM283" s="13"/>
      <c r="IN283" s="13"/>
      <c r="IO283" s="13"/>
      <c r="IP283" s="13"/>
      <c r="IQ283" s="13"/>
      <c r="IR283" s="13"/>
      <c r="IS283" s="13"/>
      <c r="IT283" s="13"/>
      <c r="IU283" s="13"/>
      <c r="IV283" s="13"/>
      <c r="IW283" s="13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3"/>
      <c r="KG283" s="13"/>
      <c r="KH283" s="13"/>
      <c r="KI283" s="13"/>
      <c r="KJ283" s="13"/>
      <c r="KK283" s="13"/>
      <c r="KL283" s="13"/>
      <c r="KM283" s="13"/>
      <c r="KN283" s="13"/>
      <c r="KO283" s="13"/>
      <c r="KP283" s="13"/>
      <c r="KQ283" s="13"/>
      <c r="KR283" s="13"/>
      <c r="KS283" s="13"/>
      <c r="KT283" s="13"/>
      <c r="KU283" s="13"/>
      <c r="KV283" s="13"/>
      <c r="KW283" s="13"/>
      <c r="KX283" s="13"/>
      <c r="KY283" s="13"/>
      <c r="KZ283" s="13"/>
      <c r="LA283" s="13"/>
      <c r="LB283" s="13"/>
      <c r="LC283" s="13"/>
      <c r="LD283" s="13"/>
      <c r="LE283" s="13"/>
      <c r="LF283" s="13"/>
      <c r="LG283" s="13"/>
      <c r="LH283" s="13"/>
      <c r="LI283" s="13"/>
      <c r="LJ283" s="13"/>
      <c r="LK283" s="13"/>
      <c r="LL283" s="13"/>
      <c r="LM283" s="13"/>
      <c r="LN283" s="13"/>
      <c r="LO283" s="13"/>
      <c r="LP283" s="13"/>
      <c r="LQ283" s="13"/>
      <c r="LR283" s="13"/>
      <c r="LS283" s="13"/>
      <c r="LT283" s="13"/>
      <c r="LU283" s="13"/>
      <c r="LV283" s="13"/>
      <c r="LW283" s="13"/>
      <c r="LX283" s="13"/>
      <c r="LY283" s="13"/>
      <c r="LZ283" s="13"/>
      <c r="MA283" s="13"/>
      <c r="MB283" s="13"/>
      <c r="MC283" s="13"/>
    </row>
    <row r="284" spans="1:341" s="14" customFormat="1">
      <c r="A284" s="15" t="s">
        <v>277</v>
      </c>
      <c r="B284" s="13">
        <f t="shared" si="212"/>
        <v>0</v>
      </c>
      <c r="C284" s="13">
        <f t="shared" si="213"/>
        <v>0</v>
      </c>
      <c r="D284" s="13">
        <f t="shared" si="214"/>
        <v>0</v>
      </c>
      <c r="E284" s="13">
        <f t="shared" si="215"/>
        <v>0</v>
      </c>
      <c r="F284" s="13">
        <f t="shared" si="216"/>
        <v>0</v>
      </c>
      <c r="G284" s="13">
        <f t="shared" si="217"/>
        <v>0</v>
      </c>
      <c r="H284" s="13">
        <f t="shared" si="218"/>
        <v>0</v>
      </c>
      <c r="I284" s="13">
        <f t="shared" si="219"/>
        <v>0</v>
      </c>
      <c r="J284" s="13">
        <f t="shared" si="220"/>
        <v>0</v>
      </c>
      <c r="K284" s="13">
        <f t="shared" si="221"/>
        <v>0</v>
      </c>
      <c r="L284" s="13">
        <f t="shared" si="222"/>
        <v>0</v>
      </c>
      <c r="M284" s="13">
        <f t="shared" si="223"/>
        <v>0</v>
      </c>
      <c r="N284" s="13">
        <f t="shared" si="224"/>
        <v>0</v>
      </c>
      <c r="O284" s="13">
        <f t="shared" si="225"/>
        <v>0</v>
      </c>
      <c r="P284" s="13">
        <f t="shared" si="226"/>
        <v>0</v>
      </c>
      <c r="Q284" s="13">
        <f t="shared" si="227"/>
        <v>0</v>
      </c>
      <c r="R284" s="13">
        <f t="shared" si="228"/>
        <v>0</v>
      </c>
      <c r="S284" s="13">
        <f t="shared" si="229"/>
        <v>0</v>
      </c>
      <c r="T284" s="13">
        <f t="shared" si="230"/>
        <v>0</v>
      </c>
      <c r="U284" s="13">
        <f t="shared" si="231"/>
        <v>0</v>
      </c>
      <c r="V284" s="13">
        <f t="shared" si="232"/>
        <v>0</v>
      </c>
      <c r="W284" s="13">
        <f t="shared" si="233"/>
        <v>0</v>
      </c>
      <c r="X284" s="13">
        <f t="shared" si="234"/>
        <v>0</v>
      </c>
      <c r="Y284" s="13">
        <f t="shared" si="235"/>
        <v>0</v>
      </c>
      <c r="Z284" s="13">
        <f t="shared" si="236"/>
        <v>0</v>
      </c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/>
      <c r="II284" s="13"/>
      <c r="IJ284" s="13"/>
      <c r="IK284" s="13"/>
      <c r="IL284" s="13"/>
      <c r="IM284" s="13"/>
      <c r="IN284" s="13"/>
      <c r="IO284" s="13"/>
      <c r="IP284" s="13"/>
      <c r="IQ284" s="13"/>
      <c r="IR284" s="13"/>
      <c r="IS284" s="13"/>
      <c r="IT284" s="13"/>
      <c r="IU284" s="13"/>
      <c r="IV284" s="13"/>
      <c r="IW284" s="13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3"/>
      <c r="KG284" s="13"/>
      <c r="KH284" s="13"/>
      <c r="KI284" s="13"/>
      <c r="KJ284" s="13"/>
      <c r="KK284" s="13"/>
      <c r="KL284" s="13"/>
      <c r="KM284" s="13"/>
      <c r="KN284" s="13"/>
      <c r="KO284" s="13"/>
      <c r="KP284" s="13"/>
      <c r="KQ284" s="13"/>
      <c r="KR284" s="13"/>
      <c r="KS284" s="13"/>
      <c r="KT284" s="13"/>
      <c r="KU284" s="13"/>
      <c r="KV284" s="13"/>
      <c r="KW284" s="13"/>
      <c r="KX284" s="13"/>
      <c r="KY284" s="13"/>
      <c r="KZ284" s="13"/>
      <c r="LA284" s="13"/>
      <c r="LB284" s="13"/>
      <c r="LC284" s="13"/>
      <c r="LD284" s="13"/>
      <c r="LE284" s="13"/>
      <c r="LF284" s="13"/>
      <c r="LG284" s="13"/>
      <c r="LH284" s="13"/>
      <c r="LI284" s="13"/>
      <c r="LJ284" s="13"/>
      <c r="LK284" s="13"/>
      <c r="LL284" s="13"/>
      <c r="LM284" s="13"/>
      <c r="LN284" s="13"/>
      <c r="LO284" s="13"/>
      <c r="LP284" s="13"/>
      <c r="LQ284" s="13"/>
      <c r="LR284" s="13"/>
      <c r="LS284" s="13"/>
      <c r="LT284" s="13"/>
      <c r="LU284" s="13"/>
      <c r="LV284" s="13"/>
      <c r="LW284" s="13"/>
      <c r="LX284" s="13"/>
      <c r="LY284" s="13"/>
      <c r="LZ284" s="13"/>
      <c r="MA284" s="13"/>
      <c r="MB284" s="13"/>
      <c r="MC284" s="13"/>
    </row>
    <row r="285" spans="1:341" s="14" customFormat="1">
      <c r="A285" s="15" t="s">
        <v>278</v>
      </c>
      <c r="B285" s="13">
        <f t="shared" si="212"/>
        <v>0</v>
      </c>
      <c r="C285" s="13">
        <f t="shared" si="213"/>
        <v>0</v>
      </c>
      <c r="D285" s="13">
        <f t="shared" si="214"/>
        <v>0</v>
      </c>
      <c r="E285" s="13">
        <f t="shared" si="215"/>
        <v>0</v>
      </c>
      <c r="F285" s="13">
        <f t="shared" si="216"/>
        <v>0</v>
      </c>
      <c r="G285" s="13">
        <f t="shared" si="217"/>
        <v>0</v>
      </c>
      <c r="H285" s="13">
        <f t="shared" si="218"/>
        <v>0</v>
      </c>
      <c r="I285" s="13">
        <f t="shared" si="219"/>
        <v>0</v>
      </c>
      <c r="J285" s="13">
        <f t="shared" si="220"/>
        <v>0</v>
      </c>
      <c r="K285" s="13">
        <f t="shared" si="221"/>
        <v>0</v>
      </c>
      <c r="L285" s="13">
        <f t="shared" si="222"/>
        <v>0</v>
      </c>
      <c r="M285" s="13">
        <f t="shared" si="223"/>
        <v>0</v>
      </c>
      <c r="N285" s="13">
        <f t="shared" si="224"/>
        <v>0</v>
      </c>
      <c r="O285" s="13">
        <f t="shared" si="225"/>
        <v>0</v>
      </c>
      <c r="P285" s="13">
        <f t="shared" si="226"/>
        <v>0</v>
      </c>
      <c r="Q285" s="13">
        <f t="shared" si="227"/>
        <v>0</v>
      </c>
      <c r="R285" s="13">
        <f t="shared" si="228"/>
        <v>0</v>
      </c>
      <c r="S285" s="13">
        <f t="shared" si="229"/>
        <v>0</v>
      </c>
      <c r="T285" s="13">
        <f t="shared" si="230"/>
        <v>0</v>
      </c>
      <c r="U285" s="13">
        <f t="shared" si="231"/>
        <v>0</v>
      </c>
      <c r="V285" s="13">
        <f t="shared" si="232"/>
        <v>0</v>
      </c>
      <c r="W285" s="13">
        <f t="shared" si="233"/>
        <v>0</v>
      </c>
      <c r="X285" s="13">
        <f t="shared" si="234"/>
        <v>0</v>
      </c>
      <c r="Y285" s="13">
        <f t="shared" si="235"/>
        <v>0</v>
      </c>
      <c r="Z285" s="13">
        <f t="shared" si="236"/>
        <v>0</v>
      </c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/>
      <c r="II285" s="13"/>
      <c r="IJ285" s="13"/>
      <c r="IK285" s="13"/>
      <c r="IL285" s="13"/>
      <c r="IM285" s="13"/>
      <c r="IN285" s="13"/>
      <c r="IO285" s="13"/>
      <c r="IP285" s="13"/>
      <c r="IQ285" s="13"/>
      <c r="IR285" s="13"/>
      <c r="IS285" s="13"/>
      <c r="IT285" s="13"/>
      <c r="IU285" s="13"/>
      <c r="IV285" s="13"/>
      <c r="IW285" s="13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3"/>
      <c r="KG285" s="13"/>
      <c r="KH285" s="13"/>
      <c r="KI285" s="13"/>
      <c r="KJ285" s="13"/>
      <c r="KK285" s="13"/>
      <c r="KL285" s="13"/>
      <c r="KM285" s="13"/>
      <c r="KN285" s="13"/>
      <c r="KO285" s="13"/>
      <c r="KP285" s="13"/>
      <c r="KQ285" s="13"/>
      <c r="KR285" s="13"/>
      <c r="KS285" s="13"/>
      <c r="KT285" s="13"/>
      <c r="KU285" s="13"/>
      <c r="KV285" s="13"/>
      <c r="KW285" s="13"/>
      <c r="KX285" s="13"/>
      <c r="KY285" s="13"/>
      <c r="KZ285" s="13"/>
      <c r="LA285" s="13"/>
      <c r="LB285" s="13"/>
      <c r="LC285" s="13"/>
      <c r="LD285" s="13"/>
      <c r="LE285" s="13"/>
      <c r="LF285" s="13"/>
      <c r="LG285" s="13"/>
      <c r="LH285" s="13"/>
      <c r="LI285" s="13"/>
      <c r="LJ285" s="13"/>
      <c r="LK285" s="13"/>
      <c r="LL285" s="13"/>
      <c r="LM285" s="13"/>
      <c r="LN285" s="13"/>
      <c r="LO285" s="13"/>
      <c r="LP285" s="13"/>
      <c r="LQ285" s="13"/>
      <c r="LR285" s="13"/>
      <c r="LS285" s="13"/>
      <c r="LT285" s="13"/>
      <c r="LU285" s="13"/>
      <c r="LV285" s="13"/>
      <c r="LW285" s="13"/>
      <c r="LX285" s="13"/>
      <c r="LY285" s="13"/>
      <c r="LZ285" s="13"/>
      <c r="MA285" s="13"/>
      <c r="MB285" s="13"/>
      <c r="MC285" s="13"/>
    </row>
    <row r="286" spans="1:341" s="14" customFormat="1">
      <c r="A286" s="15" t="s">
        <v>279</v>
      </c>
      <c r="B286" s="13">
        <f t="shared" si="212"/>
        <v>0</v>
      </c>
      <c r="C286" s="13">
        <f t="shared" si="213"/>
        <v>0</v>
      </c>
      <c r="D286" s="13">
        <f t="shared" si="214"/>
        <v>0</v>
      </c>
      <c r="E286" s="13">
        <f t="shared" si="215"/>
        <v>0</v>
      </c>
      <c r="F286" s="13">
        <f t="shared" si="216"/>
        <v>0</v>
      </c>
      <c r="G286" s="13">
        <f t="shared" si="217"/>
        <v>0</v>
      </c>
      <c r="H286" s="13">
        <f t="shared" si="218"/>
        <v>0</v>
      </c>
      <c r="I286" s="13">
        <f t="shared" si="219"/>
        <v>0</v>
      </c>
      <c r="J286" s="13">
        <f t="shared" si="220"/>
        <v>0</v>
      </c>
      <c r="K286" s="13">
        <f t="shared" si="221"/>
        <v>0</v>
      </c>
      <c r="L286" s="13">
        <f t="shared" si="222"/>
        <v>0</v>
      </c>
      <c r="M286" s="13">
        <f t="shared" si="223"/>
        <v>0</v>
      </c>
      <c r="N286" s="13">
        <f t="shared" si="224"/>
        <v>0</v>
      </c>
      <c r="O286" s="13">
        <f t="shared" si="225"/>
        <v>0</v>
      </c>
      <c r="P286" s="13">
        <f t="shared" si="226"/>
        <v>0</v>
      </c>
      <c r="Q286" s="13">
        <f t="shared" si="227"/>
        <v>0</v>
      </c>
      <c r="R286" s="13">
        <f t="shared" si="228"/>
        <v>0</v>
      </c>
      <c r="S286" s="13">
        <f t="shared" si="229"/>
        <v>0</v>
      </c>
      <c r="T286" s="13">
        <f t="shared" si="230"/>
        <v>0</v>
      </c>
      <c r="U286" s="13">
        <f t="shared" si="231"/>
        <v>0</v>
      </c>
      <c r="V286" s="13">
        <f t="shared" si="232"/>
        <v>0</v>
      </c>
      <c r="W286" s="13">
        <f t="shared" si="233"/>
        <v>0</v>
      </c>
      <c r="X286" s="13">
        <f t="shared" si="234"/>
        <v>0</v>
      </c>
      <c r="Y286" s="13">
        <f t="shared" si="235"/>
        <v>0</v>
      </c>
      <c r="Z286" s="13">
        <f t="shared" si="236"/>
        <v>0</v>
      </c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13"/>
      <c r="IJ286" s="13"/>
      <c r="IK286" s="13"/>
      <c r="IL286" s="13"/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3"/>
      <c r="KG286" s="13"/>
      <c r="KH286" s="13"/>
      <c r="KI286" s="13"/>
      <c r="KJ286" s="13"/>
      <c r="KK286" s="13"/>
      <c r="KL286" s="13"/>
      <c r="KM286" s="13"/>
      <c r="KN286" s="13"/>
      <c r="KO286" s="13"/>
      <c r="KP286" s="13"/>
      <c r="KQ286" s="13"/>
      <c r="KR286" s="13"/>
      <c r="KS286" s="13"/>
      <c r="KT286" s="13"/>
      <c r="KU286" s="13"/>
      <c r="KV286" s="13"/>
      <c r="KW286" s="13"/>
      <c r="KX286" s="13"/>
      <c r="KY286" s="13"/>
      <c r="KZ286" s="13"/>
      <c r="LA286" s="13"/>
      <c r="LB286" s="13"/>
      <c r="LC286" s="13"/>
      <c r="LD286" s="13"/>
      <c r="LE286" s="13"/>
      <c r="LF286" s="13"/>
      <c r="LG286" s="13"/>
      <c r="LH286" s="13"/>
      <c r="LI286" s="13"/>
      <c r="LJ286" s="13"/>
      <c r="LK286" s="13"/>
      <c r="LL286" s="13"/>
      <c r="LM286" s="13"/>
      <c r="LN286" s="13"/>
      <c r="LO286" s="13"/>
      <c r="LP286" s="13"/>
      <c r="LQ286" s="13"/>
      <c r="LR286" s="13"/>
      <c r="LS286" s="13"/>
      <c r="LT286" s="13"/>
      <c r="LU286" s="13"/>
      <c r="LV286" s="13"/>
      <c r="LW286" s="13"/>
      <c r="LX286" s="13"/>
      <c r="LY286" s="13"/>
      <c r="LZ286" s="13"/>
      <c r="MA286" s="13"/>
      <c r="MB286" s="13"/>
      <c r="MC286" s="13"/>
    </row>
    <row r="287" spans="1:341" s="14" customFormat="1">
      <c r="A287" s="15" t="s">
        <v>280</v>
      </c>
      <c r="B287" s="13">
        <f t="shared" si="212"/>
        <v>1E-3</v>
      </c>
      <c r="C287" s="13">
        <f t="shared" si="213"/>
        <v>0</v>
      </c>
      <c r="D287" s="13">
        <f t="shared" si="214"/>
        <v>0</v>
      </c>
      <c r="E287" s="13">
        <f t="shared" si="215"/>
        <v>0</v>
      </c>
      <c r="F287" s="13">
        <f t="shared" si="216"/>
        <v>0</v>
      </c>
      <c r="G287" s="13">
        <f t="shared" si="217"/>
        <v>0</v>
      </c>
      <c r="H287" s="13">
        <f t="shared" si="218"/>
        <v>0</v>
      </c>
      <c r="I287" s="13">
        <f t="shared" si="219"/>
        <v>0</v>
      </c>
      <c r="J287" s="13">
        <f t="shared" si="220"/>
        <v>0</v>
      </c>
      <c r="K287" s="13">
        <f t="shared" si="221"/>
        <v>0</v>
      </c>
      <c r="L287" s="13">
        <f t="shared" si="222"/>
        <v>0</v>
      </c>
      <c r="M287" s="13">
        <f t="shared" si="223"/>
        <v>0</v>
      </c>
      <c r="N287" s="13">
        <f t="shared" si="224"/>
        <v>0</v>
      </c>
      <c r="O287" s="13">
        <f t="shared" si="225"/>
        <v>0</v>
      </c>
      <c r="P287" s="13">
        <f t="shared" si="226"/>
        <v>0</v>
      </c>
      <c r="Q287" s="13">
        <f t="shared" si="227"/>
        <v>0</v>
      </c>
      <c r="R287" s="13">
        <f t="shared" si="228"/>
        <v>0</v>
      </c>
      <c r="S287" s="13">
        <f t="shared" si="229"/>
        <v>0</v>
      </c>
      <c r="T287" s="13">
        <f t="shared" si="230"/>
        <v>0</v>
      </c>
      <c r="U287" s="13">
        <f t="shared" si="231"/>
        <v>0</v>
      </c>
      <c r="V287" s="13">
        <f t="shared" si="232"/>
        <v>0</v>
      </c>
      <c r="W287" s="13">
        <f t="shared" si="233"/>
        <v>0</v>
      </c>
      <c r="X287" s="13">
        <f t="shared" si="234"/>
        <v>0</v>
      </c>
      <c r="Y287" s="13">
        <f t="shared" si="235"/>
        <v>0</v>
      </c>
      <c r="Z287" s="13">
        <f t="shared" si="236"/>
        <v>0</v>
      </c>
      <c r="AB287" s="13">
        <v>1</v>
      </c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  <c r="HQ287" s="13"/>
      <c r="HR287" s="13"/>
      <c r="HS287" s="13"/>
      <c r="HT287" s="13"/>
      <c r="HU287" s="13"/>
      <c r="HV287" s="13"/>
      <c r="HW287" s="13"/>
      <c r="HX287" s="13"/>
      <c r="HY287" s="13"/>
      <c r="HZ287" s="13"/>
      <c r="IA287" s="13"/>
      <c r="IB287" s="13"/>
      <c r="IC287" s="13"/>
      <c r="ID287" s="13"/>
      <c r="IE287" s="13"/>
      <c r="IF287" s="13"/>
      <c r="IG287" s="13"/>
      <c r="IH287" s="13"/>
      <c r="II287" s="13"/>
      <c r="IJ287" s="13"/>
      <c r="IK287" s="13"/>
      <c r="IL287" s="13"/>
      <c r="IM287" s="13"/>
      <c r="IN287" s="13"/>
      <c r="IO287" s="13"/>
      <c r="IP287" s="13"/>
      <c r="IQ287" s="13"/>
      <c r="IR287" s="13"/>
      <c r="IS287" s="13"/>
      <c r="IT287" s="13"/>
      <c r="IU287" s="13"/>
      <c r="IV287" s="13"/>
      <c r="IW287" s="13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3"/>
      <c r="KG287" s="13"/>
      <c r="KH287" s="13"/>
      <c r="KI287" s="13"/>
      <c r="KJ287" s="13"/>
      <c r="KK287" s="13"/>
      <c r="KL287" s="13"/>
      <c r="KM287" s="13"/>
      <c r="KN287" s="13"/>
      <c r="KO287" s="13"/>
      <c r="KP287" s="13"/>
      <c r="KQ287" s="13"/>
      <c r="KR287" s="13"/>
      <c r="KS287" s="13"/>
      <c r="KT287" s="13"/>
      <c r="KU287" s="13"/>
      <c r="KV287" s="13"/>
      <c r="KW287" s="13"/>
      <c r="KX287" s="13"/>
      <c r="KY287" s="13"/>
      <c r="KZ287" s="13"/>
      <c r="LA287" s="13"/>
      <c r="LB287" s="13"/>
      <c r="LC287" s="13"/>
      <c r="LD287" s="13"/>
      <c r="LE287" s="13"/>
      <c r="LF287" s="13"/>
      <c r="LG287" s="13"/>
      <c r="LH287" s="13"/>
      <c r="LI287" s="13"/>
      <c r="LJ287" s="13"/>
      <c r="LK287" s="13"/>
      <c r="LL287" s="13"/>
      <c r="LM287" s="13"/>
      <c r="LN287" s="13"/>
      <c r="LO287" s="13"/>
      <c r="LP287" s="13"/>
      <c r="LQ287" s="13"/>
      <c r="LR287" s="13"/>
      <c r="LS287" s="13"/>
      <c r="LT287" s="13"/>
      <c r="LU287" s="13"/>
      <c r="LV287" s="13"/>
      <c r="LW287" s="13"/>
      <c r="LX287" s="13"/>
      <c r="LY287" s="13"/>
      <c r="LZ287" s="13"/>
      <c r="MA287" s="13"/>
      <c r="MB287" s="13"/>
      <c r="MC287" s="13"/>
    </row>
    <row r="288" spans="1:341" s="18" customFormat="1">
      <c r="A288" s="1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  <c r="HQ288" s="13"/>
      <c r="HR288" s="13"/>
      <c r="HS288" s="13"/>
      <c r="HT288" s="13"/>
      <c r="HU288" s="13"/>
      <c r="HV288" s="13"/>
      <c r="HW288" s="13"/>
      <c r="HX288" s="13"/>
      <c r="HY288" s="13"/>
      <c r="HZ288" s="13"/>
      <c r="IA288" s="13"/>
      <c r="IB288" s="13"/>
      <c r="IC288" s="13"/>
      <c r="ID288" s="13"/>
      <c r="IE288" s="13"/>
      <c r="IF288" s="13"/>
      <c r="IG288" s="13"/>
      <c r="IH288" s="13"/>
      <c r="II288" s="13"/>
      <c r="IJ288" s="13"/>
      <c r="IK288" s="13"/>
      <c r="IL288" s="13"/>
      <c r="IM288" s="13"/>
      <c r="IN288" s="13"/>
      <c r="IO288" s="13"/>
      <c r="IP288" s="13"/>
      <c r="IQ288" s="13"/>
      <c r="IR288" s="13"/>
      <c r="IS288" s="13"/>
      <c r="IT288" s="13"/>
      <c r="IU288" s="13"/>
      <c r="IV288" s="13"/>
      <c r="IW288" s="13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3"/>
      <c r="KG288" s="13"/>
      <c r="KH288" s="13"/>
      <c r="KI288" s="13"/>
      <c r="KJ288" s="13"/>
      <c r="KK288" s="13"/>
      <c r="KL288" s="13"/>
      <c r="KM288" s="13"/>
      <c r="KN288" s="13"/>
      <c r="KO288" s="13"/>
      <c r="KP288" s="13"/>
      <c r="KQ288" s="13"/>
      <c r="KR288" s="13"/>
      <c r="KS288" s="13"/>
      <c r="KT288" s="13"/>
      <c r="KU288" s="13"/>
      <c r="KV288" s="13"/>
      <c r="KW288" s="13"/>
      <c r="KX288" s="13"/>
      <c r="KY288" s="13"/>
      <c r="KZ288" s="13"/>
      <c r="LA288" s="13"/>
      <c r="LB288" s="13"/>
      <c r="LC288" s="13"/>
      <c r="LD288" s="13"/>
      <c r="LE288" s="13"/>
      <c r="LF288" s="13"/>
      <c r="LG288" s="13"/>
      <c r="LH288" s="13"/>
      <c r="LI288" s="13"/>
      <c r="LJ288" s="13"/>
      <c r="LK288" s="13"/>
      <c r="LL288" s="13"/>
      <c r="LM288" s="13"/>
      <c r="LN288" s="13"/>
      <c r="LO288" s="13"/>
      <c r="LP288" s="13"/>
      <c r="LQ288" s="13"/>
      <c r="LR288" s="13"/>
      <c r="LS288" s="13"/>
      <c r="LT288" s="13"/>
      <c r="LU288" s="13"/>
      <c r="LV288" s="13"/>
      <c r="LW288" s="13"/>
      <c r="LX288" s="13"/>
      <c r="LY288" s="13"/>
      <c r="LZ288" s="13"/>
      <c r="MA288" s="13"/>
      <c r="MB288" s="13"/>
      <c r="MC288" s="13"/>
    </row>
    <row r="289" spans="1:341" s="14" customFormat="1">
      <c r="A289" s="15" t="s">
        <v>281</v>
      </c>
      <c r="B289" s="13">
        <f t="shared" ref="B289:Z289" si="237">B$4+B$37+B$59+B$74+B$164+B$231</f>
        <v>1E-3</v>
      </c>
      <c r="C289" s="13">
        <f t="shared" si="237"/>
        <v>0</v>
      </c>
      <c r="D289" s="13">
        <f t="shared" si="237"/>
        <v>0</v>
      </c>
      <c r="E289" s="13">
        <f t="shared" si="237"/>
        <v>0</v>
      </c>
      <c r="F289" s="13">
        <f t="shared" si="237"/>
        <v>0</v>
      </c>
      <c r="G289" s="13">
        <f t="shared" si="237"/>
        <v>7.95352689270588</v>
      </c>
      <c r="H289" s="13">
        <f t="shared" si="237"/>
        <v>10.152990365411764</v>
      </c>
      <c r="I289" s="13">
        <f t="shared" si="237"/>
        <v>3.264800224</v>
      </c>
      <c r="J289" s="13">
        <f t="shared" si="237"/>
        <v>8.0175329771764687</v>
      </c>
      <c r="K289" s="13">
        <f t="shared" si="237"/>
        <v>3.9329591922352929</v>
      </c>
      <c r="L289" s="13">
        <f t="shared" si="237"/>
        <v>4.084717877882353</v>
      </c>
      <c r="M289" s="13">
        <f t="shared" si="237"/>
        <v>8.6816861616470575</v>
      </c>
      <c r="N289" s="13">
        <f t="shared" si="237"/>
        <v>44.906622754823523</v>
      </c>
      <c r="O289" s="13">
        <f t="shared" si="237"/>
        <v>140.3677063682353</v>
      </c>
      <c r="P289" s="13">
        <f t="shared" si="237"/>
        <v>315.07022458305869</v>
      </c>
      <c r="Q289" s="13">
        <f t="shared" si="237"/>
        <v>79.24616084988233</v>
      </c>
      <c r="R289" s="13">
        <f t="shared" si="237"/>
        <v>22.912362669411753</v>
      </c>
      <c r="S289" s="13">
        <f t="shared" si="237"/>
        <v>46.454325035999965</v>
      </c>
      <c r="T289" s="13">
        <f t="shared" si="237"/>
        <v>26.797348810588218</v>
      </c>
      <c r="U289" s="13">
        <f t="shared" si="237"/>
        <v>325.34029766658807</v>
      </c>
      <c r="V289" s="13">
        <f t="shared" si="237"/>
        <v>185.11049544894109</v>
      </c>
      <c r="W289" s="13">
        <f t="shared" si="237"/>
        <v>296.02658447270568</v>
      </c>
      <c r="X289" s="13">
        <f t="shared" si="237"/>
        <v>691.52982027292501</v>
      </c>
      <c r="Y289" s="13">
        <f t="shared" si="237"/>
        <v>397.25191799485708</v>
      </c>
      <c r="Z289" s="13">
        <f t="shared" si="237"/>
        <v>0.98889120000000008</v>
      </c>
      <c r="AB289" s="13">
        <f t="shared" ref="AB289:CM289" si="238">AB$4+AB$37+AB$59+AB$74+AB$164+AB$231</f>
        <v>1</v>
      </c>
      <c r="AC289" s="13">
        <f t="shared" si="238"/>
        <v>0</v>
      </c>
      <c r="AD289" s="13">
        <f t="shared" si="238"/>
        <v>0</v>
      </c>
      <c r="AE289" s="13">
        <f t="shared" si="238"/>
        <v>0</v>
      </c>
      <c r="AF289" s="13">
        <f t="shared" si="238"/>
        <v>0</v>
      </c>
      <c r="AG289" s="13">
        <f t="shared" si="238"/>
        <v>0</v>
      </c>
      <c r="AH289" s="13">
        <f t="shared" si="238"/>
        <v>0</v>
      </c>
      <c r="AI289" s="13">
        <f t="shared" si="238"/>
        <v>0</v>
      </c>
      <c r="AJ289" s="13">
        <f t="shared" si="238"/>
        <v>0</v>
      </c>
      <c r="AK289" s="13">
        <f t="shared" si="238"/>
        <v>0</v>
      </c>
      <c r="AL289" s="13">
        <f t="shared" si="238"/>
        <v>0</v>
      </c>
      <c r="AM289" s="13">
        <f t="shared" si="238"/>
        <v>0</v>
      </c>
      <c r="AN289" s="13">
        <f t="shared" si="238"/>
        <v>0</v>
      </c>
      <c r="AO289" s="13">
        <f t="shared" si="238"/>
        <v>0</v>
      </c>
      <c r="AP289" s="13">
        <f t="shared" si="238"/>
        <v>0</v>
      </c>
      <c r="AQ289" s="13">
        <f t="shared" si="238"/>
        <v>0</v>
      </c>
      <c r="AR289" s="13">
        <f t="shared" si="238"/>
        <v>0</v>
      </c>
      <c r="AS289" s="13">
        <f t="shared" si="238"/>
        <v>0</v>
      </c>
      <c r="AT289" s="13">
        <f t="shared" si="238"/>
        <v>0</v>
      </c>
      <c r="AU289" s="13">
        <f t="shared" si="238"/>
        <v>0</v>
      </c>
      <c r="AV289" s="13">
        <f t="shared" si="238"/>
        <v>0</v>
      </c>
      <c r="AW289" s="13">
        <f t="shared" si="238"/>
        <v>0</v>
      </c>
      <c r="AX289" s="13">
        <f t="shared" si="238"/>
        <v>0</v>
      </c>
      <c r="AY289" s="13">
        <f t="shared" si="238"/>
        <v>0</v>
      </c>
      <c r="AZ289" s="13">
        <f t="shared" si="238"/>
        <v>0</v>
      </c>
      <c r="BA289" s="13">
        <f t="shared" si="238"/>
        <v>0</v>
      </c>
      <c r="BB289" s="13">
        <f t="shared" si="238"/>
        <v>0</v>
      </c>
      <c r="BC289" s="13">
        <f t="shared" si="238"/>
        <v>0</v>
      </c>
      <c r="BD289" s="13">
        <f t="shared" si="238"/>
        <v>0</v>
      </c>
      <c r="BE289" s="13">
        <f t="shared" si="238"/>
        <v>0</v>
      </c>
      <c r="BF289" s="13">
        <f t="shared" si="238"/>
        <v>0</v>
      </c>
      <c r="BG289" s="13">
        <f t="shared" si="238"/>
        <v>0</v>
      </c>
      <c r="BH289" s="13">
        <f t="shared" si="238"/>
        <v>0</v>
      </c>
      <c r="BI289" s="13">
        <f t="shared" si="238"/>
        <v>0</v>
      </c>
      <c r="BJ289" s="13">
        <f t="shared" si="238"/>
        <v>0</v>
      </c>
      <c r="BK289" s="13">
        <f t="shared" si="238"/>
        <v>0</v>
      </c>
      <c r="BL289" s="13">
        <f t="shared" si="238"/>
        <v>0</v>
      </c>
      <c r="BM289" s="13">
        <f t="shared" si="238"/>
        <v>0</v>
      </c>
      <c r="BN289" s="13">
        <f t="shared" si="238"/>
        <v>0</v>
      </c>
      <c r="BO289" s="13">
        <f t="shared" si="238"/>
        <v>0</v>
      </c>
      <c r="BP289" s="13">
        <f t="shared" si="238"/>
        <v>0</v>
      </c>
      <c r="BQ289" s="13">
        <f t="shared" si="238"/>
        <v>0</v>
      </c>
      <c r="BR289" s="13">
        <f t="shared" si="238"/>
        <v>0</v>
      </c>
      <c r="BS289" s="13">
        <f t="shared" si="238"/>
        <v>0</v>
      </c>
      <c r="BT289" s="13">
        <f t="shared" si="238"/>
        <v>0</v>
      </c>
      <c r="BU289" s="13">
        <f t="shared" si="238"/>
        <v>0</v>
      </c>
      <c r="BV289" s="13">
        <f t="shared" si="238"/>
        <v>0</v>
      </c>
      <c r="BW289" s="13">
        <f t="shared" si="238"/>
        <v>0</v>
      </c>
      <c r="BX289" s="13">
        <f t="shared" si="238"/>
        <v>0</v>
      </c>
      <c r="BY289" s="13">
        <f t="shared" si="238"/>
        <v>0</v>
      </c>
      <c r="BZ289" s="13">
        <f t="shared" si="238"/>
        <v>0</v>
      </c>
      <c r="CA289" s="13">
        <f t="shared" si="238"/>
        <v>0</v>
      </c>
      <c r="CB289" s="13">
        <f t="shared" si="238"/>
        <v>0</v>
      </c>
      <c r="CC289" s="13">
        <f t="shared" si="238"/>
        <v>0</v>
      </c>
      <c r="CD289" s="13">
        <f t="shared" si="238"/>
        <v>0</v>
      </c>
      <c r="CE289" s="13">
        <f t="shared" si="238"/>
        <v>0</v>
      </c>
      <c r="CF289" s="13">
        <f t="shared" si="238"/>
        <v>0</v>
      </c>
      <c r="CG289" s="13">
        <f t="shared" si="238"/>
        <v>0</v>
      </c>
      <c r="CH289" s="13">
        <f t="shared" si="238"/>
        <v>0</v>
      </c>
      <c r="CI289" s="13">
        <f t="shared" si="238"/>
        <v>0</v>
      </c>
      <c r="CJ289" s="13">
        <f t="shared" si="238"/>
        <v>1020.9561254117644</v>
      </c>
      <c r="CK289" s="13">
        <f t="shared" si="238"/>
        <v>640.32021199999986</v>
      </c>
      <c r="CL289" s="13">
        <f t="shared" si="238"/>
        <v>316.22636870588229</v>
      </c>
      <c r="CM289" s="13">
        <f t="shared" si="238"/>
        <v>81.354874588235276</v>
      </c>
      <c r="CN289" s="13">
        <f t="shared" ref="CN289:EY289" si="239">CN$4+CN$37+CN$59+CN$74+CN$164+CN$231</f>
        <v>1009.6016016470587</v>
      </c>
      <c r="CO289" s="13">
        <f t="shared" si="239"/>
        <v>1044.1839075294115</v>
      </c>
      <c r="CP289" s="13">
        <f t="shared" si="239"/>
        <v>925.79714705882338</v>
      </c>
      <c r="CQ289" s="13">
        <f t="shared" si="239"/>
        <v>1434.8486896470583</v>
      </c>
      <c r="CR289" s="13">
        <f t="shared" si="239"/>
        <v>89.107074823529402</v>
      </c>
      <c r="CS289" s="13">
        <f t="shared" si="239"/>
        <v>876.63263552941157</v>
      </c>
      <c r="CT289" s="13">
        <f t="shared" si="239"/>
        <v>255.67851482352935</v>
      </c>
      <c r="CU289" s="13">
        <f t="shared" si="239"/>
        <v>258.81974094117646</v>
      </c>
      <c r="CV289" s="13">
        <f t="shared" si="239"/>
        <v>750.06139599999983</v>
      </c>
      <c r="CW289" s="13">
        <f t="shared" si="239"/>
        <v>1177.0375992941176</v>
      </c>
      <c r="CX289" s="13">
        <f t="shared" si="239"/>
        <v>1286.2024115294114</v>
      </c>
      <c r="CY289" s="13">
        <f t="shared" si="239"/>
        <v>162.8826607058823</v>
      </c>
      <c r="CZ289" s="13">
        <f t="shared" si="239"/>
        <v>1357.5284174117644</v>
      </c>
      <c r="DA289" s="13">
        <f t="shared" si="239"/>
        <v>585.88189882352935</v>
      </c>
      <c r="DB289" s="13">
        <f t="shared" si="239"/>
        <v>1699.4609668235291</v>
      </c>
      <c r="DC289" s="13">
        <f t="shared" si="239"/>
        <v>2059.2034037647054</v>
      </c>
      <c r="DD289" s="13">
        <f t="shared" si="239"/>
        <v>173.74726847058821</v>
      </c>
      <c r="DE289" s="13">
        <f t="shared" si="239"/>
        <v>506.5731439999999</v>
      </c>
      <c r="DF289" s="13">
        <f t="shared" si="239"/>
        <v>220.37574423529409</v>
      </c>
      <c r="DG289" s="13">
        <f t="shared" si="239"/>
        <v>174.03545435294114</v>
      </c>
      <c r="DH289" s="13">
        <f t="shared" si="239"/>
        <v>121.21098211764706</v>
      </c>
      <c r="DI289" s="13">
        <f t="shared" si="239"/>
        <v>57.406627764705874</v>
      </c>
      <c r="DJ289" s="13">
        <f t="shared" si="239"/>
        <v>282.24925317647052</v>
      </c>
      <c r="DK289" s="13">
        <f t="shared" si="239"/>
        <v>87.608508235294096</v>
      </c>
      <c r="DL289" s="13">
        <f t="shared" si="239"/>
        <v>78.530652941176456</v>
      </c>
      <c r="DM289" s="13">
        <f t="shared" si="239"/>
        <v>93.573955999999995</v>
      </c>
      <c r="DN289" s="13">
        <f t="shared" si="239"/>
        <v>530.80957670588225</v>
      </c>
      <c r="DO289" s="13">
        <f t="shared" si="239"/>
        <v>97.839107058823515</v>
      </c>
      <c r="DP289" s="13">
        <f t="shared" si="239"/>
        <v>510.4636534117646</v>
      </c>
      <c r="DQ289" s="13">
        <f t="shared" si="239"/>
        <v>540.95371976470585</v>
      </c>
      <c r="DR289" s="13">
        <f t="shared" si="239"/>
        <v>782.97222376470575</v>
      </c>
      <c r="DS289" s="13">
        <f t="shared" si="239"/>
        <v>81.181963058823527</v>
      </c>
      <c r="DT289" s="13">
        <f t="shared" si="239"/>
        <v>562.45238658823519</v>
      </c>
      <c r="DU289" s="13">
        <f t="shared" si="239"/>
        <v>1169.7176778823527</v>
      </c>
      <c r="DV289" s="13">
        <f t="shared" si="239"/>
        <v>1768.3373927058822</v>
      </c>
      <c r="DW289" s="13">
        <f t="shared" si="239"/>
        <v>404.5265230588235</v>
      </c>
      <c r="DX289" s="13">
        <f t="shared" si="239"/>
        <v>668.13014964705872</v>
      </c>
      <c r="DY289" s="13">
        <f t="shared" si="239"/>
        <v>727.49644141176452</v>
      </c>
      <c r="DZ289" s="13">
        <f t="shared" si="239"/>
        <v>887.72779199999979</v>
      </c>
      <c r="EA289" s="13">
        <f t="shared" si="239"/>
        <v>296.39918</v>
      </c>
      <c r="EB289" s="13">
        <f t="shared" si="239"/>
        <v>285.79393952941172</v>
      </c>
      <c r="EC289" s="13">
        <f t="shared" si="239"/>
        <v>358.07095882352928</v>
      </c>
      <c r="ED289" s="13">
        <f t="shared" si="239"/>
        <v>467.20695247058819</v>
      </c>
      <c r="EE289" s="13">
        <f t="shared" si="239"/>
        <v>421.67358305882351</v>
      </c>
      <c r="EF289" s="13">
        <f t="shared" si="239"/>
        <v>575.44956988235288</v>
      </c>
      <c r="EG289" s="13">
        <f t="shared" si="239"/>
        <v>110.34637435294115</v>
      </c>
      <c r="EH289" s="13">
        <f t="shared" si="239"/>
        <v>172.39279482352939</v>
      </c>
      <c r="EI289" s="13">
        <f t="shared" si="239"/>
        <v>162.33510752941174</v>
      </c>
      <c r="EJ289" s="13">
        <f t="shared" si="239"/>
        <v>151.09585811764703</v>
      </c>
      <c r="EK289" s="13">
        <f t="shared" si="239"/>
        <v>151.29758823529409</v>
      </c>
      <c r="EL289" s="13">
        <f t="shared" si="239"/>
        <v>169.62621035294114</v>
      </c>
      <c r="EM289" s="13">
        <f t="shared" si="239"/>
        <v>395.99622094117638</v>
      </c>
      <c r="EN289" s="13">
        <f t="shared" si="239"/>
        <v>591.21333764705878</v>
      </c>
      <c r="EO289" s="13">
        <f t="shared" si="239"/>
        <v>120.31760588235294</v>
      </c>
      <c r="EP289" s="13">
        <f t="shared" si="239"/>
        <v>1193.6082875294114</v>
      </c>
      <c r="EQ289" s="13">
        <f t="shared" si="239"/>
        <v>139.28023694117644</v>
      </c>
      <c r="ER289" s="13">
        <f t="shared" si="239"/>
        <v>430.00215505882346</v>
      </c>
      <c r="ES289" s="13">
        <f t="shared" si="239"/>
        <v>765.62343364705873</v>
      </c>
      <c r="ET289" s="13">
        <f t="shared" si="239"/>
        <v>172.01815317647055</v>
      </c>
      <c r="EU289" s="13">
        <f t="shared" si="239"/>
        <v>648.87933270588223</v>
      </c>
      <c r="EV289" s="13">
        <f t="shared" si="239"/>
        <v>136.34074094117645</v>
      </c>
      <c r="EW289" s="13">
        <f t="shared" si="239"/>
        <v>241.67268094117642</v>
      </c>
      <c r="EX289" s="13">
        <f t="shared" si="239"/>
        <v>286.83140870588227</v>
      </c>
      <c r="EY289" s="13">
        <f t="shared" si="239"/>
        <v>152.39269458823526</v>
      </c>
      <c r="EZ289" s="13">
        <f t="shared" ref="EZ289:HK289" si="240">EZ$4+EZ$37+EZ$59+EZ$74+EZ$164+EZ$231</f>
        <v>381.52928964705876</v>
      </c>
      <c r="FA289" s="13">
        <f t="shared" si="240"/>
        <v>407.69656776470583</v>
      </c>
      <c r="FB289" s="13">
        <f t="shared" si="240"/>
        <v>273.92068117647057</v>
      </c>
      <c r="FC289" s="13">
        <f t="shared" si="240"/>
        <v>187.81073952941171</v>
      </c>
      <c r="FD289" s="13">
        <f t="shared" si="240"/>
        <v>604.95980423529409</v>
      </c>
      <c r="FE289" s="13">
        <f t="shared" si="240"/>
        <v>1371.8224371764707</v>
      </c>
      <c r="FF289" s="13">
        <f t="shared" si="240"/>
        <v>524.49830588235295</v>
      </c>
      <c r="FG289" s="13">
        <f t="shared" si="240"/>
        <v>721.55981223529409</v>
      </c>
      <c r="FH289" s="13">
        <f t="shared" si="240"/>
        <v>309.7998235294117</v>
      </c>
      <c r="FI289" s="13">
        <f t="shared" si="240"/>
        <v>893.2897795294117</v>
      </c>
      <c r="FJ289" s="13">
        <f t="shared" si="240"/>
        <v>416.51505576470583</v>
      </c>
      <c r="FK289" s="13">
        <f t="shared" si="240"/>
        <v>1605.3970948235292</v>
      </c>
      <c r="FL289" s="13">
        <f t="shared" si="240"/>
        <v>472.50957270588231</v>
      </c>
      <c r="FM289" s="13">
        <f t="shared" si="240"/>
        <v>335.04490682352935</v>
      </c>
      <c r="FN289" s="13">
        <f t="shared" si="240"/>
        <v>975.76857905882343</v>
      </c>
      <c r="FO289" s="13">
        <f t="shared" si="240"/>
        <v>450.52098988235292</v>
      </c>
      <c r="FP289" s="13">
        <f t="shared" si="240"/>
        <v>920.20634094117622</v>
      </c>
      <c r="FQ289" s="13">
        <f t="shared" si="240"/>
        <v>804.67262070588208</v>
      </c>
      <c r="FR289" s="13">
        <f t="shared" si="240"/>
        <v>1658.7691202352939</v>
      </c>
      <c r="FS289" s="13">
        <f t="shared" si="240"/>
        <v>706.66060211764693</v>
      </c>
      <c r="FT289" s="13">
        <f t="shared" si="240"/>
        <v>3159.2665538823526</v>
      </c>
      <c r="FU289" s="13">
        <f t="shared" si="240"/>
        <v>6163.1432799999984</v>
      </c>
      <c r="FV289" s="13">
        <f t="shared" si="240"/>
        <v>3122.1482122352936</v>
      </c>
      <c r="FW289" s="13">
        <f t="shared" si="240"/>
        <v>3905.3221661176462</v>
      </c>
      <c r="FX289" s="13">
        <f t="shared" si="240"/>
        <v>3707.7419251764695</v>
      </c>
      <c r="FY289" s="13">
        <f t="shared" si="240"/>
        <v>4238.2344974117641</v>
      </c>
      <c r="FZ289" s="13">
        <f t="shared" si="240"/>
        <v>7862.4889724705872</v>
      </c>
      <c r="GA289" s="13">
        <f t="shared" si="240"/>
        <v>8657.9684635294107</v>
      </c>
      <c r="GB289" s="13">
        <f t="shared" si="240"/>
        <v>9963.825152235293</v>
      </c>
      <c r="GC289" s="13">
        <f t="shared" si="240"/>
        <v>6205.6506976470582</v>
      </c>
      <c r="GD289" s="13">
        <f t="shared" si="240"/>
        <v>4770.0815432941172</v>
      </c>
      <c r="GE289" s="13">
        <f t="shared" si="240"/>
        <v>7538.5104035294098</v>
      </c>
      <c r="GF289" s="13">
        <f t="shared" si="240"/>
        <v>4627.8906289411761</v>
      </c>
      <c r="GG289" s="13">
        <f t="shared" si="240"/>
        <v>15293.333130352939</v>
      </c>
      <c r="GH289" s="13">
        <f t="shared" si="240"/>
        <v>11314.437108470587</v>
      </c>
      <c r="GI289" s="13">
        <f t="shared" si="240"/>
        <v>17159.711360235291</v>
      </c>
      <c r="GJ289" s="13">
        <f t="shared" si="240"/>
        <v>12576.80654752941</v>
      </c>
      <c r="GK289" s="13">
        <f t="shared" si="240"/>
        <v>17976.170783529411</v>
      </c>
      <c r="GL289" s="13">
        <f t="shared" si="240"/>
        <v>10293.509801647058</v>
      </c>
      <c r="GM289" s="13">
        <f t="shared" si="240"/>
        <v>22647.77921082353</v>
      </c>
      <c r="GN289" s="13">
        <f t="shared" si="240"/>
        <v>26745.465453411762</v>
      </c>
      <c r="GO289" s="13">
        <f t="shared" si="240"/>
        <v>33593.194296941161</v>
      </c>
      <c r="GP289" s="13">
        <f t="shared" si="240"/>
        <v>11497.377506588233</v>
      </c>
      <c r="GQ289" s="13">
        <f t="shared" si="240"/>
        <v>28954.756064705882</v>
      </c>
      <c r="GR289" s="13">
        <f t="shared" si="240"/>
        <v>21495.58323458823</v>
      </c>
      <c r="GS289" s="13">
        <f t="shared" si="240"/>
        <v>21493.306566117644</v>
      </c>
      <c r="GT289" s="13">
        <f t="shared" si="240"/>
        <v>22110.312540235289</v>
      </c>
      <c r="GU289" s="13">
        <f t="shared" si="240"/>
        <v>38084.945915058815</v>
      </c>
      <c r="GV289" s="13">
        <f t="shared" si="240"/>
        <v>38157.30939011764</v>
      </c>
      <c r="GW289" s="13">
        <f t="shared" si="240"/>
        <v>30720.87442611764</v>
      </c>
      <c r="GX289" s="13">
        <f t="shared" si="240"/>
        <v>25256.610729411757</v>
      </c>
      <c r="GY289" s="13">
        <f t="shared" si="240"/>
        <v>16960.488459764703</v>
      </c>
      <c r="GZ289" s="13">
        <f t="shared" si="240"/>
        <v>12763.95445952941</v>
      </c>
      <c r="HA289" s="13">
        <f t="shared" si="240"/>
        <v>6615.2204736470576</v>
      </c>
      <c r="HB289" s="13">
        <f t="shared" si="240"/>
        <v>16105.412128235292</v>
      </c>
      <c r="HC289" s="13">
        <f t="shared" si="240"/>
        <v>2163.52669317647</v>
      </c>
      <c r="HD289" s="13">
        <f t="shared" si="240"/>
        <v>4899.5346416470584</v>
      </c>
      <c r="HE289" s="13">
        <f t="shared" si="240"/>
        <v>5790.37484117647</v>
      </c>
      <c r="HF289" s="13">
        <f t="shared" si="240"/>
        <v>2423.7873635294113</v>
      </c>
      <c r="HG289" s="13">
        <f t="shared" si="240"/>
        <v>5277.1446032941167</v>
      </c>
      <c r="HH289" s="13">
        <f t="shared" si="240"/>
        <v>5167.9797910588222</v>
      </c>
      <c r="HI289" s="13">
        <f t="shared" si="240"/>
        <v>6678.6501863529411</v>
      </c>
      <c r="HJ289" s="13">
        <f t="shared" si="240"/>
        <v>4412.3564075294116</v>
      </c>
      <c r="HK289" s="13">
        <f t="shared" si="240"/>
        <v>6948.2192607058823</v>
      </c>
      <c r="HL289" s="13">
        <f t="shared" ref="HL289:JW289" si="241">HL$4+HL$37+HL$59+HL$74+HL$164+HL$231</f>
        <v>1706.9249811764694</v>
      </c>
      <c r="HM289" s="13">
        <f t="shared" si="241"/>
        <v>1306.1448745882381</v>
      </c>
      <c r="HN289" s="13">
        <f t="shared" si="241"/>
        <v>2506.1220701176426</v>
      </c>
      <c r="HO289" s="13">
        <f t="shared" si="241"/>
        <v>1878.5108555294078</v>
      </c>
      <c r="HP289" s="13">
        <f t="shared" si="241"/>
        <v>3367.6537654117651</v>
      </c>
      <c r="HQ289" s="13">
        <f t="shared" si="241"/>
        <v>2278.8298647058764</v>
      </c>
      <c r="HR289" s="13">
        <f t="shared" si="241"/>
        <v>1354.7330143529418</v>
      </c>
      <c r="HS289" s="13">
        <f t="shared" si="241"/>
        <v>2184.4489882352968</v>
      </c>
      <c r="HT289" s="13">
        <f t="shared" si="241"/>
        <v>2882.2046465882363</v>
      </c>
      <c r="HU289" s="13">
        <f t="shared" si="241"/>
        <v>759.22570705882265</v>
      </c>
      <c r="HV289" s="13">
        <f t="shared" si="241"/>
        <v>1258.6518411764653</v>
      </c>
      <c r="HW289" s="13">
        <f t="shared" si="241"/>
        <v>1428.9120604705888</v>
      </c>
      <c r="HX289" s="13">
        <f t="shared" si="241"/>
        <v>2684.9990472941163</v>
      </c>
      <c r="HY289" s="13">
        <f t="shared" si="241"/>
        <v>1999.548926117644</v>
      </c>
      <c r="HZ289" s="13">
        <f t="shared" si="241"/>
        <v>3027.4503312941215</v>
      </c>
      <c r="IA289" s="13">
        <f t="shared" si="241"/>
        <v>2984.1648117647073</v>
      </c>
      <c r="IB289" s="13">
        <f t="shared" si="241"/>
        <v>3211.7740216470588</v>
      </c>
      <c r="IC289" s="13">
        <f t="shared" si="241"/>
        <v>3138.6612632941124</v>
      </c>
      <c r="ID289" s="13">
        <f t="shared" si="241"/>
        <v>3800.9124209411739</v>
      </c>
      <c r="IE289" s="13">
        <f t="shared" si="241"/>
        <v>3265.3189585882301</v>
      </c>
      <c r="IF289" s="13">
        <f t="shared" si="241"/>
        <v>3520.7381061176457</v>
      </c>
      <c r="IG289" s="13">
        <f t="shared" si="241"/>
        <v>4686.6517303529372</v>
      </c>
      <c r="IH289" s="13">
        <f t="shared" si="241"/>
        <v>3988.0315143529328</v>
      </c>
      <c r="II289" s="13">
        <f t="shared" si="241"/>
        <v>10146.073904235287</v>
      </c>
      <c r="IJ289" s="13">
        <f t="shared" si="241"/>
        <v>1835.1676988235283</v>
      </c>
      <c r="IK289" s="13">
        <f t="shared" si="241"/>
        <v>2430.4156388235297</v>
      </c>
      <c r="IL289" s="13">
        <f t="shared" si="241"/>
        <v>2314.9395557647008</v>
      </c>
      <c r="IM289" s="13">
        <f t="shared" si="241"/>
        <v>2076.3216451764697</v>
      </c>
      <c r="IN289" s="13">
        <f t="shared" si="241"/>
        <v>3966.4752103529386</v>
      </c>
      <c r="IO289" s="13">
        <f t="shared" si="241"/>
        <v>4475.7672000000002</v>
      </c>
      <c r="IP289" s="13">
        <f t="shared" si="241"/>
        <v>0</v>
      </c>
      <c r="IQ289" s="13">
        <f t="shared" si="241"/>
        <v>1820.0667585882341</v>
      </c>
      <c r="IR289" s="13">
        <f t="shared" si="241"/>
        <v>3393.100578823527</v>
      </c>
      <c r="IS289" s="13">
        <f t="shared" si="241"/>
        <v>1396.2029628235287</v>
      </c>
      <c r="IT289" s="13">
        <f t="shared" si="241"/>
        <v>352.01905529411744</v>
      </c>
      <c r="IU289" s="13">
        <f t="shared" si="241"/>
        <v>2736.8725061176456</v>
      </c>
      <c r="IV289" s="13">
        <f t="shared" si="241"/>
        <v>529.0228242352938</v>
      </c>
      <c r="IW289" s="13">
        <f t="shared" si="241"/>
        <v>2106.3794327058808</v>
      </c>
      <c r="IX289" s="13">
        <f t="shared" si="241"/>
        <v>18224.106899999999</v>
      </c>
      <c r="IY289" s="13">
        <f t="shared" si="241"/>
        <v>13852.201988470581</v>
      </c>
      <c r="IZ289" s="13">
        <f t="shared" si="241"/>
        <v>19425.774590352928</v>
      </c>
      <c r="JA289" s="13">
        <f t="shared" si="241"/>
        <v>27708.81322094116</v>
      </c>
      <c r="JB289" s="13">
        <f t="shared" si="241"/>
        <v>13788.701689411755</v>
      </c>
      <c r="JC289" s="13">
        <f t="shared" si="241"/>
        <v>19765.488108470578</v>
      </c>
      <c r="JD289" s="13">
        <f t="shared" si="241"/>
        <v>27754.951780705866</v>
      </c>
      <c r="JE289" s="13">
        <f t="shared" si="241"/>
        <v>48415.60287694115</v>
      </c>
      <c r="JF289" s="13">
        <f t="shared" si="241"/>
        <v>50818.069036235262</v>
      </c>
      <c r="JG289" s="13">
        <f t="shared" si="241"/>
        <v>82951.185218117593</v>
      </c>
      <c r="JH289" s="13">
        <f t="shared" si="241"/>
        <v>9303.3031098823467</v>
      </c>
      <c r="JI289" s="13">
        <f t="shared" si="241"/>
        <v>7223.3215039999959</v>
      </c>
      <c r="JJ289" s="13">
        <f t="shared" si="241"/>
        <v>9605.3507331764649</v>
      </c>
      <c r="JK289" s="13">
        <f t="shared" si="241"/>
        <v>6335.9683536470548</v>
      </c>
      <c r="JL289" s="13">
        <f t="shared" si="241"/>
        <v>4456.8811263529387</v>
      </c>
      <c r="JM289" s="13">
        <f t="shared" si="241"/>
        <v>7933.6132482352896</v>
      </c>
      <c r="JN289" s="13">
        <f t="shared" si="241"/>
        <v>20027.247345411753</v>
      </c>
      <c r="JO289" s="13">
        <f t="shared" si="241"/>
        <v>23271.528734588221</v>
      </c>
      <c r="JP289" s="13">
        <f t="shared" si="241"/>
        <v>14318.400290352933</v>
      </c>
      <c r="JQ289" s="13">
        <f t="shared" si="241"/>
        <v>24883.093007294105</v>
      </c>
      <c r="JR289" s="13">
        <f t="shared" si="241"/>
        <v>35843.263210588222</v>
      </c>
      <c r="JS289" s="13">
        <f>JS$4+JS$37+JS$59+JS$74+JS$164+JS$231</f>
        <v>21908.524785411755</v>
      </c>
      <c r="JT289" s="13">
        <f t="shared" si="241"/>
        <v>14044.047330352934</v>
      </c>
      <c r="JU289" s="13">
        <f t="shared" si="241"/>
        <v>19947.535130352931</v>
      </c>
      <c r="JV289" s="13">
        <f t="shared" si="241"/>
        <v>17214.927775294105</v>
      </c>
      <c r="JW289" s="13">
        <f t="shared" si="241"/>
        <v>15579.616985882343</v>
      </c>
      <c r="JX289" s="13">
        <f t="shared" ref="JX289:MC289" si="242">JX$4+JX$37+JX$59+JX$74+JX$164+JX$231</f>
        <v>14635.606491058816</v>
      </c>
      <c r="JY289" s="13">
        <f t="shared" si="242"/>
        <v>27392.241029176454</v>
      </c>
      <c r="JZ289" s="13">
        <f t="shared" si="242"/>
        <v>47911.335219999972</v>
      </c>
      <c r="KA289" s="13">
        <f t="shared" si="242"/>
        <v>38059.643194588214</v>
      </c>
      <c r="KB289" s="13">
        <f t="shared" si="242"/>
        <v>37673.58938658821</v>
      </c>
      <c r="KC289" s="13">
        <f t="shared" si="242"/>
        <v>35067.783819764685</v>
      </c>
      <c r="KD289" s="13">
        <f t="shared" si="242"/>
        <v>28500.258109647046</v>
      </c>
      <c r="KE289" s="13">
        <f t="shared" si="242"/>
        <v>0</v>
      </c>
      <c r="KF289" s="13">
        <f t="shared" si="242"/>
        <v>6.0000000000000001E-3</v>
      </c>
      <c r="KG289" s="13">
        <f t="shared" si="242"/>
        <v>0.12</v>
      </c>
      <c r="KH289" s="13">
        <f t="shared" si="242"/>
        <v>27398.927375510204</v>
      </c>
      <c r="KI289" s="13">
        <f t="shared" si="242"/>
        <v>45986.453530884348</v>
      </c>
      <c r="KJ289" s="13">
        <f t="shared" si="242"/>
        <v>50136.058282993203</v>
      </c>
      <c r="KK289" s="13">
        <f t="shared" si="242"/>
        <v>64614.022784217683</v>
      </c>
      <c r="KL289" s="13">
        <f t="shared" si="242"/>
        <v>71183.340461768705</v>
      </c>
      <c r="KM289" s="13">
        <f t="shared" si="242"/>
        <v>77473.376277823118</v>
      </c>
      <c r="KN289" s="13">
        <f t="shared" si="242"/>
        <v>74823.842965442163</v>
      </c>
      <c r="KO289" s="13">
        <f t="shared" si="242"/>
        <v>76276.492579047626</v>
      </c>
      <c r="KP289" s="13">
        <f t="shared" si="242"/>
        <v>92266.196508843539</v>
      </c>
      <c r="KQ289" s="13">
        <f t="shared" si="242"/>
        <v>111370.98350639458</v>
      </c>
      <c r="KR289" s="13">
        <f t="shared" si="242"/>
        <v>4199.2200102857141</v>
      </c>
      <c r="KS289" s="13">
        <f t="shared" si="242"/>
        <v>23813.786936571429</v>
      </c>
      <c r="KT289" s="13">
        <f t="shared" si="242"/>
        <v>32678.736970285714</v>
      </c>
      <c r="KU289" s="13">
        <f t="shared" si="242"/>
        <v>29222.519566285715</v>
      </c>
      <c r="KV289" s="13">
        <f t="shared" si="242"/>
        <v>40140.947514857144</v>
      </c>
      <c r="KW289" s="13">
        <f t="shared" si="242"/>
        <v>74266.666388571422</v>
      </c>
      <c r="KX289" s="13">
        <f t="shared" si="242"/>
        <v>71446.699894285703</v>
      </c>
      <c r="KY289" s="13">
        <f t="shared" si="242"/>
        <v>65781.961158857142</v>
      </c>
      <c r="KZ289" s="13">
        <f t="shared" si="242"/>
        <v>9611.6420074285707</v>
      </c>
      <c r="LA289" s="13">
        <f t="shared" si="242"/>
        <v>14989.119995999999</v>
      </c>
      <c r="LB289" s="13">
        <f t="shared" si="242"/>
        <v>9576.1280965714286</v>
      </c>
      <c r="LC289" s="13">
        <f t="shared" si="242"/>
        <v>21524.489454857139</v>
      </c>
      <c r="LD289" s="13">
        <f t="shared" si="242"/>
        <v>0</v>
      </c>
      <c r="LE289" s="13">
        <f t="shared" si="242"/>
        <v>1.65</v>
      </c>
      <c r="LF289" s="13">
        <f t="shared" si="242"/>
        <v>0</v>
      </c>
      <c r="LG289" s="13">
        <f t="shared" si="242"/>
        <v>0</v>
      </c>
      <c r="LH289" s="13">
        <f t="shared" si="242"/>
        <v>599.86710000000005</v>
      </c>
      <c r="LI289" s="13">
        <f t="shared" si="242"/>
        <v>0</v>
      </c>
      <c r="LJ289" s="13">
        <f t="shared" si="242"/>
        <v>46.38</v>
      </c>
      <c r="LK289" s="13">
        <f t="shared" si="242"/>
        <v>305.72909999999996</v>
      </c>
      <c r="LL289" s="13">
        <f t="shared" si="242"/>
        <v>0</v>
      </c>
      <c r="LM289" s="13">
        <f t="shared" si="242"/>
        <v>35.265000000000001</v>
      </c>
      <c r="LN289" s="13">
        <f t="shared" si="242"/>
        <v>0</v>
      </c>
      <c r="LO289" s="13">
        <f t="shared" si="242"/>
        <v>0</v>
      </c>
      <c r="LP289" s="13">
        <f t="shared" si="242"/>
        <v>0</v>
      </c>
      <c r="LQ289" s="13">
        <f t="shared" si="242"/>
        <v>5.94</v>
      </c>
      <c r="LR289" s="13">
        <f t="shared" si="242"/>
        <v>0</v>
      </c>
      <c r="LS289" s="13">
        <f t="shared" si="242"/>
        <v>0</v>
      </c>
      <c r="LT289" s="13">
        <f t="shared" si="242"/>
        <v>0</v>
      </c>
      <c r="LU289" s="13">
        <f t="shared" si="242"/>
        <v>0</v>
      </c>
      <c r="LV289" s="13">
        <f t="shared" si="242"/>
        <v>0</v>
      </c>
      <c r="LW289" s="13">
        <f t="shared" si="242"/>
        <v>0</v>
      </c>
      <c r="LX289" s="13">
        <f t="shared" si="242"/>
        <v>0</v>
      </c>
      <c r="LY289" s="13">
        <f t="shared" si="242"/>
        <v>0</v>
      </c>
      <c r="LZ289" s="13">
        <f t="shared" si="242"/>
        <v>0</v>
      </c>
      <c r="MA289" s="13">
        <f t="shared" si="242"/>
        <v>0</v>
      </c>
      <c r="MB289" s="13">
        <f t="shared" si="242"/>
        <v>0</v>
      </c>
      <c r="MC289" s="13">
        <f t="shared" si="242"/>
        <v>0</v>
      </c>
    </row>
    <row r="290" spans="1:341" s="14" customFormat="1">
      <c r="A290" s="19" t="s">
        <v>282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  <c r="FY290" s="13"/>
      <c r="FZ290" s="13"/>
      <c r="GA290" s="13"/>
      <c r="GB290" s="13"/>
      <c r="GC290" s="13"/>
      <c r="GD290" s="13"/>
      <c r="GE290" s="13"/>
      <c r="GF290" s="13"/>
      <c r="GG290" s="13"/>
      <c r="GH290" s="13"/>
      <c r="GI290" s="13"/>
      <c r="GJ290" s="13"/>
      <c r="GK290" s="13"/>
      <c r="GL290" s="13"/>
      <c r="GM290" s="13"/>
      <c r="GN290" s="13"/>
      <c r="GO290" s="13"/>
      <c r="GP290" s="13"/>
      <c r="GQ290" s="13"/>
      <c r="GR290" s="13"/>
      <c r="GS290" s="13"/>
      <c r="GT290" s="13"/>
      <c r="GU290" s="13"/>
      <c r="GV290" s="13"/>
      <c r="GW290" s="13"/>
      <c r="GX290" s="13"/>
      <c r="GY290" s="13"/>
      <c r="GZ290" s="13"/>
      <c r="HA290" s="13"/>
      <c r="HB290" s="13"/>
      <c r="HC290" s="13"/>
      <c r="HD290" s="13"/>
      <c r="HE290" s="13"/>
      <c r="HF290" s="13"/>
      <c r="HG290" s="13"/>
      <c r="HH290" s="13"/>
      <c r="HI290" s="13"/>
      <c r="HJ290" s="13"/>
      <c r="HK290" s="13"/>
      <c r="HL290" s="13"/>
      <c r="HM290" s="13"/>
      <c r="HN290" s="13"/>
      <c r="HO290" s="13"/>
      <c r="HP290" s="13"/>
      <c r="HQ290" s="13"/>
      <c r="HR290" s="13"/>
      <c r="HS290" s="13"/>
      <c r="HT290" s="13"/>
      <c r="HU290" s="13"/>
      <c r="HV290" s="13"/>
      <c r="HW290" s="13"/>
      <c r="HX290" s="13"/>
      <c r="HY290" s="13"/>
      <c r="HZ290" s="13"/>
      <c r="IA290" s="13"/>
      <c r="IB290" s="13"/>
      <c r="IC290" s="13"/>
      <c r="ID290" s="13"/>
      <c r="IE290" s="13"/>
      <c r="IF290" s="13"/>
      <c r="IG290" s="13"/>
      <c r="IH290" s="13"/>
      <c r="II290" s="13"/>
      <c r="IJ290" s="13"/>
      <c r="IK290" s="13"/>
      <c r="IL290" s="13"/>
      <c r="IM290" s="13"/>
      <c r="IN290" s="13"/>
      <c r="IO290" s="13"/>
      <c r="IP290" s="13"/>
      <c r="IQ290" s="13"/>
      <c r="IR290" s="13"/>
      <c r="IS290" s="13"/>
      <c r="IT290" s="13"/>
      <c r="IU290" s="13"/>
      <c r="IV290" s="13"/>
      <c r="IW290" s="13"/>
      <c r="IX290" s="13"/>
      <c r="IY290" s="13"/>
      <c r="IZ290" s="13"/>
      <c r="JA290" s="13"/>
      <c r="JB290" s="13"/>
      <c r="JC290" s="13"/>
      <c r="JD290" s="13"/>
      <c r="JE290" s="13"/>
      <c r="JF290" s="13"/>
      <c r="JG290" s="13"/>
      <c r="JH290" s="13"/>
      <c r="JI290" s="13"/>
      <c r="JJ290" s="13"/>
      <c r="JK290" s="13"/>
      <c r="JL290" s="13"/>
      <c r="JM290" s="13"/>
      <c r="JN290" s="13"/>
      <c r="JO290" s="13"/>
      <c r="JP290" s="13"/>
      <c r="JQ290" s="13"/>
      <c r="JR290" s="13"/>
      <c r="JS290" s="13"/>
      <c r="JT290" s="13"/>
      <c r="JU290" s="13"/>
      <c r="JV290" s="13"/>
      <c r="JW290" s="13"/>
      <c r="JX290" s="13"/>
      <c r="JY290" s="13"/>
      <c r="JZ290" s="13"/>
      <c r="KA290" s="13"/>
      <c r="KB290" s="13"/>
      <c r="KC290" s="13"/>
      <c r="KD290" s="13"/>
      <c r="KE290" s="13"/>
      <c r="KF290" s="13">
        <v>6.0000000000000001E-3</v>
      </c>
      <c r="KG290" s="13">
        <v>0.12</v>
      </c>
      <c r="KH290" s="13"/>
      <c r="KI290" s="13"/>
      <c r="KJ290" s="13"/>
      <c r="KK290" s="13"/>
      <c r="KL290" s="13"/>
      <c r="KM290" s="13"/>
      <c r="KN290" s="13"/>
      <c r="KO290" s="13"/>
      <c r="KP290" s="13"/>
      <c r="KQ290" s="13"/>
      <c r="KR290" s="13"/>
      <c r="KS290" s="13"/>
      <c r="KT290" s="13"/>
      <c r="KU290" s="13"/>
      <c r="KV290" s="13"/>
      <c r="KW290" s="13"/>
      <c r="KX290" s="13"/>
      <c r="KY290" s="13"/>
      <c r="KZ290" s="13"/>
      <c r="LA290" s="13"/>
      <c r="LB290" s="13"/>
      <c r="LC290" s="13"/>
      <c r="LD290" s="13"/>
      <c r="LE290" s="13">
        <v>1.65</v>
      </c>
      <c r="LF290" s="13"/>
      <c r="LG290" s="13"/>
      <c r="LH290" s="13">
        <v>599.86710000000005</v>
      </c>
      <c r="LI290" s="13"/>
      <c r="LJ290" s="13">
        <v>46.38</v>
      </c>
      <c r="LK290" s="13">
        <v>305.72910000000002</v>
      </c>
      <c r="LL290" s="13"/>
      <c r="LM290" s="13">
        <v>35.265000000000001</v>
      </c>
      <c r="LN290" s="13"/>
      <c r="LO290" s="13"/>
      <c r="LP290" s="13"/>
      <c r="LQ290" s="13">
        <v>5.94</v>
      </c>
      <c r="LR290" s="13"/>
      <c r="LS290" s="13"/>
      <c r="LT290" s="13"/>
      <c r="LU290" s="13"/>
      <c r="LV290" s="13"/>
      <c r="LW290" s="13"/>
      <c r="LX290" s="13"/>
      <c r="LY290" s="13"/>
      <c r="LZ290" s="13"/>
      <c r="MA290" s="13"/>
      <c r="MB290" s="13"/>
      <c r="MC290" s="13"/>
    </row>
    <row r="291" spans="1:341" s="14" customFormat="1">
      <c r="A291" s="19" t="s">
        <v>283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  <c r="HQ291" s="13"/>
      <c r="HR291" s="13"/>
      <c r="HS291" s="13"/>
      <c r="HT291" s="13"/>
      <c r="HU291" s="13"/>
      <c r="HV291" s="13"/>
      <c r="HW291" s="13"/>
      <c r="HX291" s="13"/>
      <c r="HY291" s="13"/>
      <c r="HZ291" s="13"/>
      <c r="IA291" s="13"/>
      <c r="IB291" s="13"/>
      <c r="IC291" s="13"/>
      <c r="ID291" s="13"/>
      <c r="IE291" s="13"/>
      <c r="IF291" s="13"/>
      <c r="IG291" s="13"/>
      <c r="IH291" s="13"/>
      <c r="II291" s="13"/>
      <c r="IJ291" s="13"/>
      <c r="IK291" s="13"/>
      <c r="IL291" s="13"/>
      <c r="IM291" s="13"/>
      <c r="IN291" s="13"/>
      <c r="IO291" s="13"/>
      <c r="IP291" s="13"/>
      <c r="IQ291" s="13"/>
      <c r="IR291" s="13"/>
      <c r="IS291" s="13"/>
      <c r="IT291" s="13"/>
      <c r="IU291" s="13"/>
      <c r="IV291" s="13"/>
      <c r="IW291" s="13"/>
      <c r="IX291" s="13"/>
      <c r="IY291" s="13"/>
      <c r="IZ291" s="13"/>
      <c r="JA291" s="13"/>
      <c r="JB291" s="13"/>
      <c r="JC291" s="13"/>
      <c r="JD291" s="13"/>
      <c r="JE291" s="13"/>
      <c r="JF291" s="13"/>
      <c r="JG291" s="13"/>
      <c r="JH291" s="13"/>
      <c r="JI291" s="13"/>
      <c r="JJ291" s="13"/>
      <c r="JK291" s="13"/>
      <c r="JL291" s="13"/>
      <c r="JM291" s="13"/>
      <c r="JN291" s="13"/>
      <c r="JO291" s="13"/>
      <c r="JP291" s="13"/>
      <c r="JQ291" s="13"/>
      <c r="JR291" s="13"/>
      <c r="JS291" s="13"/>
      <c r="JT291" s="13"/>
      <c r="JU291" s="13"/>
      <c r="JV291" s="13"/>
      <c r="JW291" s="13"/>
      <c r="JX291" s="13"/>
      <c r="JY291" s="13"/>
      <c r="JZ291" s="13"/>
      <c r="KA291" s="13"/>
      <c r="KB291" s="13"/>
      <c r="KC291" s="13"/>
      <c r="KD291" s="13"/>
      <c r="KE291" s="13"/>
      <c r="KF291" s="13"/>
      <c r="KG291" s="13"/>
      <c r="KH291" s="13"/>
      <c r="KI291" s="13"/>
      <c r="KJ291" s="13"/>
      <c r="KK291" s="13"/>
      <c r="KL291" s="13"/>
      <c r="KM291" s="13"/>
      <c r="KN291" s="13"/>
      <c r="KO291" s="13"/>
      <c r="KP291" s="13"/>
      <c r="KQ291" s="13"/>
      <c r="KR291" s="13"/>
      <c r="KS291" s="13"/>
      <c r="KT291" s="13"/>
      <c r="KU291" s="13"/>
      <c r="KV291" s="13"/>
      <c r="KW291" s="13"/>
      <c r="KX291" s="13"/>
      <c r="KY291" s="13"/>
      <c r="KZ291" s="13"/>
      <c r="LA291" s="13"/>
      <c r="LB291" s="13"/>
      <c r="LC291" s="13"/>
      <c r="LD291" s="13"/>
      <c r="LE291" s="13"/>
      <c r="LF291" s="13"/>
      <c r="LG291" s="13"/>
      <c r="LH291" s="13"/>
      <c r="LI291" s="13"/>
      <c r="LJ291" s="13"/>
      <c r="LK291" s="13"/>
      <c r="LL291" s="13"/>
      <c r="LM291" s="13"/>
      <c r="LN291" s="13"/>
      <c r="LO291" s="13"/>
      <c r="LP291" s="13"/>
      <c r="LQ291" s="13"/>
      <c r="LR291" s="13"/>
      <c r="LS291" s="13"/>
      <c r="LT291" s="13"/>
      <c r="LU291" s="13"/>
      <c r="LV291" s="13"/>
      <c r="LW291" s="13"/>
      <c r="LX291" s="13"/>
      <c r="LY291" s="13"/>
      <c r="LZ291" s="13"/>
      <c r="MA291" s="13"/>
      <c r="MB291" s="13"/>
      <c r="MC291" s="13"/>
    </row>
    <row r="292" spans="1:341" s="14" customForma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>
        <v>12763.983278117646</v>
      </c>
      <c r="HA292" s="13">
        <v>6615.2204736470576</v>
      </c>
      <c r="HB292" s="13">
        <v>16105.412128235292</v>
      </c>
      <c r="HC292" s="13">
        <v>2163.52669317647</v>
      </c>
      <c r="HD292" s="13">
        <v>4899.5346416470575</v>
      </c>
      <c r="HE292" s="13">
        <v>5790.4324783529401</v>
      </c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13"/>
      <c r="IK292" s="13"/>
      <c r="IL292" s="13"/>
      <c r="IM292" s="13"/>
      <c r="IN292" s="13"/>
      <c r="IO292" s="13"/>
      <c r="IP292" s="13"/>
      <c r="IQ292" s="13"/>
      <c r="IR292" s="13"/>
      <c r="IS292" s="13"/>
      <c r="IT292" s="13"/>
      <c r="IU292" s="13"/>
      <c r="IV292" s="13"/>
      <c r="IW292" s="13"/>
      <c r="IX292" s="13"/>
      <c r="IY292" s="13"/>
      <c r="IZ292" s="13"/>
      <c r="JA292" s="13"/>
      <c r="JB292" s="13"/>
      <c r="JC292" s="13"/>
      <c r="JD292" s="13"/>
      <c r="JE292" s="13"/>
      <c r="JF292" s="13"/>
      <c r="JG292" s="13"/>
      <c r="JH292" s="13"/>
      <c r="JI292" s="13"/>
      <c r="JJ292" s="13"/>
      <c r="JK292" s="13"/>
      <c r="JL292" s="13"/>
      <c r="JM292" s="13"/>
      <c r="JN292" s="13"/>
      <c r="JO292" s="13"/>
      <c r="JP292" s="13"/>
      <c r="JQ292" s="13"/>
      <c r="JR292" s="13"/>
      <c r="JS292" s="13"/>
      <c r="JT292" s="13"/>
      <c r="JU292" s="13"/>
      <c r="JV292" s="13"/>
      <c r="JW292" s="13"/>
      <c r="JX292" s="13"/>
      <c r="JY292" s="13"/>
      <c r="JZ292" s="13"/>
      <c r="KA292" s="13"/>
      <c r="KB292" s="13"/>
      <c r="KC292" s="13"/>
      <c r="KD292" s="13"/>
      <c r="KE292" s="13"/>
      <c r="KF292" s="13"/>
      <c r="KG292" s="13"/>
      <c r="KH292" s="13"/>
      <c r="KI292" s="13"/>
      <c r="KJ292" s="13"/>
      <c r="KK292" s="13"/>
      <c r="KL292" s="13"/>
      <c r="KM292" s="13"/>
      <c r="KN292" s="13"/>
      <c r="KO292" s="13"/>
      <c r="KP292" s="13"/>
      <c r="KQ292" s="13"/>
      <c r="KR292" s="13"/>
      <c r="KS292" s="13"/>
      <c r="KT292" s="13"/>
      <c r="KU292" s="13"/>
      <c r="KV292" s="13"/>
      <c r="KW292" s="13"/>
      <c r="KX292" s="13"/>
      <c r="KY292" s="13"/>
      <c r="KZ292" s="13"/>
      <c r="LA292" s="13"/>
      <c r="LB292" s="13"/>
      <c r="LC292" s="13"/>
      <c r="LD292" s="13"/>
      <c r="LE292" s="13"/>
      <c r="LF292" s="13"/>
      <c r="LG292" s="13"/>
      <c r="LH292" s="13"/>
      <c r="LI292" s="13"/>
      <c r="LJ292" s="13"/>
      <c r="LK292" s="13"/>
      <c r="LL292" s="13"/>
      <c r="LM292" s="13"/>
      <c r="LN292" s="13"/>
      <c r="LO292" s="13"/>
      <c r="LP292" s="13"/>
      <c r="LQ292" s="13"/>
      <c r="LR292" s="13"/>
      <c r="LS292" s="13"/>
      <c r="LT292" s="13"/>
      <c r="LU292" s="13"/>
      <c r="LV292" s="13"/>
      <c r="LW292" s="13"/>
      <c r="LX292" s="13"/>
      <c r="LY292" s="13"/>
      <c r="LZ292" s="13"/>
      <c r="MA292" s="13"/>
      <c r="MB292" s="13"/>
      <c r="MC292" s="13"/>
    </row>
    <row r="293" spans="1:341" s="14" customFormat="1">
      <c r="A293" s="19" t="s">
        <v>284</v>
      </c>
      <c r="B293" s="13">
        <f>SUM(AB293:AM293)/1000</f>
        <v>0</v>
      </c>
      <c r="C293" s="13">
        <f>SUM(AN293:AY293)/1000</f>
        <v>0</v>
      </c>
      <c r="D293" s="13">
        <f>SUM(AZ293:BK293)/1000</f>
        <v>0</v>
      </c>
      <c r="E293" s="13">
        <f>SUM(BL293:BW293)/1000</f>
        <v>0</v>
      </c>
      <c r="F293" s="13">
        <f>SUM(BX293:CI293)/1000</f>
        <v>0</v>
      </c>
      <c r="G293" s="13">
        <f>SUM(CJ293:CU293)/1000</f>
        <v>7.953498074117646</v>
      </c>
      <c r="H293" s="13">
        <f>SUM(CV293:DG293)/1000</f>
        <v>10.153019183999998</v>
      </c>
      <c r="I293" s="13">
        <f>SUM(DH293:DS293)/1000</f>
        <v>3.287682183058823</v>
      </c>
      <c r="J293" s="13">
        <f>SUM(DT293:EE293)/1000</f>
        <v>8.0175906143529403</v>
      </c>
      <c r="K293" s="13">
        <f>SUM(EF293:EQ293)/1000</f>
        <v>3.9329591922352938</v>
      </c>
      <c r="L293" s="13">
        <f>SUM(ER293:FC293)/1000</f>
        <v>4.0847755150588236</v>
      </c>
      <c r="M293" s="13">
        <f>SUM(FD293:FO293)/1000</f>
        <v>8.6817726174117631</v>
      </c>
      <c r="N293" s="13">
        <f>SUM(FP293:GA293)/1000</f>
        <v>44.906593936235289</v>
      </c>
      <c r="O293" s="13">
        <f>SUM(GB293:GM293)/1000</f>
        <v>140.36779282399996</v>
      </c>
      <c r="P293" s="13">
        <f>SUM(GN293:GY293)/1000</f>
        <v>315.07025340164699</v>
      </c>
      <c r="Q293" s="13">
        <f>SUM(GZ293:HK293)/1000</f>
        <v>79.24616084988233</v>
      </c>
      <c r="R293" s="13">
        <f>SUM(HL293:HW293)/1000</f>
        <v>22.912362669411806</v>
      </c>
      <c r="S293" s="13">
        <f>SUM(HX293:II293)/1000</f>
        <v>46.454325035999972</v>
      </c>
      <c r="T293" s="13">
        <f>SUM(IJ293:IU293)/1000</f>
        <v>33.513434343058805</v>
      </c>
      <c r="U293" s="13">
        <f>SUM(IV293:JG293)/1000</f>
        <v>324.84598943035303</v>
      </c>
      <c r="V293" s="13">
        <f>SUM(JH293:JS293)/1000</f>
        <v>185.11049544894115</v>
      </c>
      <c r="W293" s="13">
        <f>SUM(JT293:KE293)/1000</f>
        <v>339.80717852941149</v>
      </c>
      <c r="X293" s="13">
        <f>SUM(KF293:KQ293)/1000</f>
        <v>709.5457427314285</v>
      </c>
      <c r="Y293" s="13">
        <f>SUM(KR293:LC293)/1000</f>
        <v>397.25191799485714</v>
      </c>
      <c r="Z293" s="13">
        <f>SUM(LD293:LO293)/1000</f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1020.9849439999998</v>
      </c>
      <c r="CK293" s="13">
        <v>640.34903058823522</v>
      </c>
      <c r="CL293" s="13">
        <v>316.22636870588229</v>
      </c>
      <c r="CM293" s="13">
        <v>81.32605599999998</v>
      </c>
      <c r="CN293" s="13">
        <v>1009.543964470588</v>
      </c>
      <c r="CO293" s="13">
        <v>1044.1839075294117</v>
      </c>
      <c r="CP293" s="13">
        <v>925.79714705882338</v>
      </c>
      <c r="CQ293" s="13">
        <v>1434.8486896470586</v>
      </c>
      <c r="CR293" s="13">
        <v>89.107074823529388</v>
      </c>
      <c r="CS293" s="13">
        <v>876.63263552941169</v>
      </c>
      <c r="CT293" s="13">
        <v>255.67851482352938</v>
      </c>
      <c r="CU293" s="13">
        <v>258.81974094117641</v>
      </c>
      <c r="CV293" s="13">
        <v>750.06139599999983</v>
      </c>
      <c r="CW293" s="13">
        <v>1177.0087807058821</v>
      </c>
      <c r="CX293" s="13">
        <v>1286.1735929411761</v>
      </c>
      <c r="CY293" s="13">
        <v>162.85384211764705</v>
      </c>
      <c r="CZ293" s="13">
        <v>1357.5284174117646</v>
      </c>
      <c r="DA293" s="13">
        <v>585.88189882352935</v>
      </c>
      <c r="DB293" s="13">
        <v>1699.4321482352939</v>
      </c>
      <c r="DC293" s="13">
        <v>2059.2322223529409</v>
      </c>
      <c r="DD293" s="13">
        <v>173.77608705882349</v>
      </c>
      <c r="DE293" s="13">
        <v>506.63078117647052</v>
      </c>
      <c r="DF293" s="13">
        <v>220.37574423529409</v>
      </c>
      <c r="DG293" s="13">
        <v>174.06427294117643</v>
      </c>
      <c r="DH293" s="13">
        <v>121.23980070588233</v>
      </c>
      <c r="DI293" s="13">
        <v>57.406627764705867</v>
      </c>
      <c r="DJ293" s="13">
        <v>282.27807176470583</v>
      </c>
      <c r="DK293" s="13">
        <v>87.608508235294096</v>
      </c>
      <c r="DL293" s="13">
        <v>78.530652941176456</v>
      </c>
      <c r="DM293" s="13">
        <v>116.34064070588232</v>
      </c>
      <c r="DN293" s="13">
        <v>530.8383952941175</v>
      </c>
      <c r="DO293" s="13">
        <v>97.867925647058811</v>
      </c>
      <c r="DP293" s="13">
        <v>510.43483482352934</v>
      </c>
      <c r="DQ293" s="13">
        <v>540.95371976470574</v>
      </c>
      <c r="DR293" s="13">
        <v>783.001042352941</v>
      </c>
      <c r="DS293" s="13">
        <v>81.181963058823513</v>
      </c>
      <c r="DT293" s="13">
        <v>562.45238658823519</v>
      </c>
      <c r="DU293" s="13">
        <v>1169.6888592941175</v>
      </c>
      <c r="DV293" s="13">
        <v>1768.3662112941172</v>
      </c>
      <c r="DW293" s="13">
        <v>404.52652305882344</v>
      </c>
      <c r="DX293" s="13">
        <v>668.13014964705872</v>
      </c>
      <c r="DY293" s="13">
        <v>727.52525999999989</v>
      </c>
      <c r="DZ293" s="13">
        <v>887.72779199999991</v>
      </c>
      <c r="EA293" s="13">
        <v>296.39917999999994</v>
      </c>
      <c r="EB293" s="13">
        <v>285.79393952941172</v>
      </c>
      <c r="EC293" s="13">
        <v>358.07095882352934</v>
      </c>
      <c r="ED293" s="13">
        <v>467.20695247058819</v>
      </c>
      <c r="EE293" s="13">
        <v>421.70240164705871</v>
      </c>
      <c r="EF293" s="13">
        <v>575.47838847058813</v>
      </c>
      <c r="EG293" s="13">
        <v>110.37519294117645</v>
      </c>
      <c r="EH293" s="13">
        <v>172.39279482352939</v>
      </c>
      <c r="EI293" s="13">
        <v>162.33510752941172</v>
      </c>
      <c r="EJ293" s="13">
        <v>151.09585811764703</v>
      </c>
      <c r="EK293" s="13">
        <v>151.2687696470588</v>
      </c>
      <c r="EL293" s="13">
        <v>169.62621035294114</v>
      </c>
      <c r="EM293" s="13">
        <v>395.96740235294112</v>
      </c>
      <c r="EN293" s="13">
        <v>591.18451905882341</v>
      </c>
      <c r="EO293" s="13">
        <v>120.34642447058822</v>
      </c>
      <c r="EP293" s="13">
        <v>1193.6082875294117</v>
      </c>
      <c r="EQ293" s="13">
        <v>139.28023694117644</v>
      </c>
      <c r="ER293" s="13">
        <v>430.0021550588234</v>
      </c>
      <c r="ES293" s="13">
        <v>765.62343364705862</v>
      </c>
      <c r="ET293" s="13">
        <v>172.04697176470586</v>
      </c>
      <c r="EU293" s="13">
        <v>648.87933270588223</v>
      </c>
      <c r="EV293" s="13">
        <v>136.34074094117645</v>
      </c>
      <c r="EW293" s="13">
        <v>241.64386235294114</v>
      </c>
      <c r="EX293" s="13">
        <v>286.83140870588227</v>
      </c>
      <c r="EY293" s="13">
        <v>152.39269458823526</v>
      </c>
      <c r="EZ293" s="13">
        <v>381.55810823529407</v>
      </c>
      <c r="FA293" s="13">
        <v>407.72538635294109</v>
      </c>
      <c r="FB293" s="13">
        <v>273.92068117647057</v>
      </c>
      <c r="FC293" s="13">
        <v>187.81073952941173</v>
      </c>
      <c r="FD293" s="13">
        <v>604.93098564705872</v>
      </c>
      <c r="FE293" s="13">
        <v>1371.8512557647057</v>
      </c>
      <c r="FF293" s="13">
        <v>524.49830588235284</v>
      </c>
      <c r="FG293" s="13">
        <v>721.6174494117646</v>
      </c>
      <c r="FH293" s="13">
        <v>309.7998235294117</v>
      </c>
      <c r="FI293" s="13">
        <v>893.28977952941159</v>
      </c>
      <c r="FJ293" s="13">
        <v>416.51505576470578</v>
      </c>
      <c r="FK293" s="13">
        <v>1605.4259134117644</v>
      </c>
      <c r="FL293" s="13">
        <v>472.53839129411756</v>
      </c>
      <c r="FM293" s="13">
        <v>335.07372541176466</v>
      </c>
      <c r="FN293" s="13">
        <v>975.76857905882343</v>
      </c>
      <c r="FO293" s="13">
        <v>450.46335270588224</v>
      </c>
      <c r="FP293" s="13">
        <v>920.20634094117634</v>
      </c>
      <c r="FQ293" s="13">
        <v>804.6726207058822</v>
      </c>
      <c r="FR293" s="13">
        <v>1658.7691202352937</v>
      </c>
      <c r="FS293" s="13">
        <v>706.63178352941168</v>
      </c>
      <c r="FT293" s="13">
        <v>3159.2377352941171</v>
      </c>
      <c r="FU293" s="13">
        <v>6163.1432799999993</v>
      </c>
      <c r="FV293" s="13">
        <v>3122.1482122352932</v>
      </c>
      <c r="FW293" s="13">
        <v>3905.3221661176462</v>
      </c>
      <c r="FX293" s="13">
        <v>3707.713106588235</v>
      </c>
      <c r="FY293" s="13">
        <v>4238.2921345882341</v>
      </c>
      <c r="FZ293" s="13">
        <v>7862.5466096470582</v>
      </c>
      <c r="GA293" s="13">
        <v>8657.9108263529397</v>
      </c>
      <c r="GB293" s="13">
        <v>9963.825152235293</v>
      </c>
      <c r="GC293" s="13">
        <v>6205.5930604705873</v>
      </c>
      <c r="GD293" s="13">
        <v>4770.1103618823527</v>
      </c>
      <c r="GE293" s="13">
        <v>7538.5392221176453</v>
      </c>
      <c r="GF293" s="13">
        <v>4627.8906289411761</v>
      </c>
      <c r="GG293" s="13">
        <v>15293.333130352938</v>
      </c>
      <c r="GH293" s="13">
        <v>11314.437108470587</v>
      </c>
      <c r="GI293" s="13">
        <v>17159.740178823526</v>
      </c>
      <c r="GJ293" s="13">
        <v>12576.80654752941</v>
      </c>
      <c r="GK293" s="13">
        <v>17976.170783529407</v>
      </c>
      <c r="GL293" s="13">
        <v>10293.567438823527</v>
      </c>
      <c r="GM293" s="13">
        <v>22647.779210823523</v>
      </c>
      <c r="GN293" s="13">
        <v>26745.465453411762</v>
      </c>
      <c r="GO293" s="13">
        <v>33593.194296941168</v>
      </c>
      <c r="GP293" s="13">
        <v>11497.348687999998</v>
      </c>
      <c r="GQ293" s="13">
        <v>28954.698427529409</v>
      </c>
      <c r="GR293" s="13">
        <v>21495.612053176465</v>
      </c>
      <c r="GS293" s="13">
        <v>21493.335384705879</v>
      </c>
      <c r="GT293" s="13">
        <v>22110.283721647054</v>
      </c>
      <c r="GU293" s="13">
        <v>38084.974733647054</v>
      </c>
      <c r="GV293" s="13">
        <v>38157.367027294109</v>
      </c>
      <c r="GW293" s="13">
        <v>30720.932063294113</v>
      </c>
      <c r="GX293" s="13">
        <v>25256.581910823523</v>
      </c>
      <c r="GY293" s="13">
        <v>16960.459641176469</v>
      </c>
      <c r="GZ293" s="13">
        <v>12763.95445952941</v>
      </c>
      <c r="HA293" s="13">
        <v>6615.2204736470567</v>
      </c>
      <c r="HB293" s="13">
        <v>16105.41212823529</v>
      </c>
      <c r="HC293" s="13">
        <v>2163.52669317647</v>
      </c>
      <c r="HD293" s="13">
        <v>4899.5346416470584</v>
      </c>
      <c r="HE293" s="13">
        <v>5790.3748411764691</v>
      </c>
      <c r="HF293" s="13">
        <v>2423.7873635294104</v>
      </c>
      <c r="HG293" s="13">
        <v>5277.1446032941167</v>
      </c>
      <c r="HH293" s="13">
        <v>5167.9797910588222</v>
      </c>
      <c r="HI293" s="13">
        <v>6678.6501863529411</v>
      </c>
      <c r="HJ293" s="13">
        <v>4412.3564075294125</v>
      </c>
      <c r="HK293" s="13">
        <v>6948.2192607058823</v>
      </c>
      <c r="HL293" s="13">
        <v>1706.9249811764801</v>
      </c>
      <c r="HM293" s="13">
        <v>1306.1448745882401</v>
      </c>
      <c r="HN293" s="13">
        <v>2506.1220701176399</v>
      </c>
      <c r="HO293" s="13">
        <v>1878.51085552942</v>
      </c>
      <c r="HP293" s="13">
        <v>3367.6537654117601</v>
      </c>
      <c r="HQ293" s="13">
        <v>2278.82986470589</v>
      </c>
      <c r="HR293" s="13">
        <v>1354.73301435295</v>
      </c>
      <c r="HS293" s="13">
        <v>2184.4489882353</v>
      </c>
      <c r="HT293" s="13">
        <v>2882.2046465882399</v>
      </c>
      <c r="HU293" s="13">
        <v>759.22570705882299</v>
      </c>
      <c r="HV293" s="13">
        <v>1258.65184117647</v>
      </c>
      <c r="HW293" s="13">
        <v>1428.9120604705899</v>
      </c>
      <c r="HX293" s="13">
        <v>2684.9990472941158</v>
      </c>
      <c r="HY293" s="13">
        <v>1999.548926117646</v>
      </c>
      <c r="HZ293" s="13">
        <v>3027.450331294116</v>
      </c>
      <c r="IA293" s="13">
        <v>2984.1648117647042</v>
      </c>
      <c r="IB293" s="13">
        <v>3211.774021647057</v>
      </c>
      <c r="IC293" s="13">
        <v>3138.661263294116</v>
      </c>
      <c r="ID293" s="13">
        <v>3800.9124209411743</v>
      </c>
      <c r="IE293" s="13">
        <v>3265.3189585882333</v>
      </c>
      <c r="IF293" s="13">
        <v>3520.7381061176452</v>
      </c>
      <c r="IG293" s="13">
        <v>4686.6517303529381</v>
      </c>
      <c r="IH293" s="13">
        <v>3988.0315143529392</v>
      </c>
      <c r="II293" s="13">
        <v>10146.073904235287</v>
      </c>
      <c r="IJ293" s="13">
        <v>1835.1676988235283</v>
      </c>
      <c r="IK293" s="13">
        <v>2430.4156388235278</v>
      </c>
      <c r="IL293" s="13">
        <v>2314.9395557647044</v>
      </c>
      <c r="IM293" s="13">
        <v>2076.3216451764697</v>
      </c>
      <c r="IN293" s="13">
        <v>3966.475210352939</v>
      </c>
      <c r="IO293" s="13">
        <v>4475.7672000000002</v>
      </c>
      <c r="IP293" s="13">
        <v>6716.0855324705844</v>
      </c>
      <c r="IQ293" s="13">
        <v>1820.0667585882341</v>
      </c>
      <c r="IR293" s="13">
        <v>3393.100578823527</v>
      </c>
      <c r="IS293" s="13">
        <v>1396.2029628235287</v>
      </c>
      <c r="IT293" s="13">
        <v>352.01905529411744</v>
      </c>
      <c r="IU293" s="13">
        <v>2736.8725061176456</v>
      </c>
      <c r="IV293" s="13">
        <v>529.0228242352938</v>
      </c>
      <c r="IW293" s="13">
        <v>2106.3794327058808</v>
      </c>
      <c r="IX293" s="13">
        <v>18224.106899999999</v>
      </c>
      <c r="IY293" s="13">
        <v>13852.201988470681</v>
      </c>
      <c r="IZ293" s="13">
        <v>19425.774590352969</v>
      </c>
      <c r="JA293" s="13">
        <v>27708.813220941232</v>
      </c>
      <c r="JB293" s="13">
        <v>13735.515524705917</v>
      </c>
      <c r="JC293" s="13">
        <v>19765.488108470698</v>
      </c>
      <c r="JD293" s="13">
        <v>27754.951780705844</v>
      </c>
      <c r="JE293" s="13">
        <v>48415.60287694112</v>
      </c>
      <c r="JF293" s="13">
        <v>50589.619536235266</v>
      </c>
      <c r="JG293" s="13">
        <v>82738.512646588162</v>
      </c>
      <c r="JH293" s="13">
        <v>9303.3031098823412</v>
      </c>
      <c r="JI293" s="13">
        <v>7223.3215039999914</v>
      </c>
      <c r="JJ293" s="13">
        <v>9605.350733176474</v>
      </c>
      <c r="JK293" s="13">
        <v>6335.9683536470548</v>
      </c>
      <c r="JL293" s="13">
        <v>4456.8811263529415</v>
      </c>
      <c r="JM293" s="13">
        <v>7933.6132482352887</v>
      </c>
      <c r="JN293" s="13">
        <v>20027.247345411834</v>
      </c>
      <c r="JO293" s="13">
        <v>23271.528734588264</v>
      </c>
      <c r="JP293" s="13">
        <v>14318.400290353018</v>
      </c>
      <c r="JQ293" s="13">
        <v>24883.093007294225</v>
      </c>
      <c r="JR293" s="13">
        <v>35843.263210588033</v>
      </c>
      <c r="JS293" s="13">
        <v>21908.524785411693</v>
      </c>
      <c r="JT293" s="13">
        <v>14044.047330352989</v>
      </c>
      <c r="JU293" s="13">
        <v>19947.535130352939</v>
      </c>
      <c r="JV293" s="13">
        <v>17214.92777529412</v>
      </c>
      <c r="JW293" s="13">
        <v>15579.616985882394</v>
      </c>
      <c r="JX293" s="13">
        <v>14635.606491058776</v>
      </c>
      <c r="JY293" s="13">
        <v>27392.241029176388</v>
      </c>
      <c r="JZ293" s="13">
        <v>47911.335219999797</v>
      </c>
      <c r="KA293" s="13">
        <v>38059.64319458828</v>
      </c>
      <c r="KB293" s="13">
        <v>37673.589386588137</v>
      </c>
      <c r="KC293" s="13">
        <v>35067.78381976478</v>
      </c>
      <c r="KD293" s="13">
        <v>28500.258109647137</v>
      </c>
      <c r="KE293" s="13">
        <v>43780.594056705777</v>
      </c>
      <c r="KF293" s="13">
        <v>8862.5204502857141</v>
      </c>
      <c r="KG293" s="13">
        <v>9152.9906468571426</v>
      </c>
      <c r="KH293" s="13">
        <v>27398.952231428571</v>
      </c>
      <c r="KI293" s="13">
        <v>45986.465254285707</v>
      </c>
      <c r="KJ293" s="13">
        <v>50136.133760571429</v>
      </c>
      <c r="KK293" s="13">
        <v>64614.051406285718</v>
      </c>
      <c r="KL293" s="13">
        <v>71183.375043428576</v>
      </c>
      <c r="KM293" s="13">
        <v>77473.446560571421</v>
      </c>
      <c r="KN293" s="13">
        <v>74823.910844571408</v>
      </c>
      <c r="KO293" s="13">
        <v>76276.531781142839</v>
      </c>
      <c r="KP293" s="13">
        <v>92266.280211428573</v>
      </c>
      <c r="KQ293" s="13">
        <v>111371.08454057142</v>
      </c>
      <c r="KR293" s="13">
        <v>4199.2200102857141</v>
      </c>
      <c r="KS293" s="13">
        <v>23813.786936571425</v>
      </c>
      <c r="KT293" s="13">
        <v>32678.736970285714</v>
      </c>
      <c r="KU293" s="13">
        <v>29222.519566285715</v>
      </c>
      <c r="KV293" s="13">
        <v>40140.917519999995</v>
      </c>
      <c r="KW293" s="13">
        <v>74266.696383428571</v>
      </c>
      <c r="KX293" s="13">
        <v>71446.699894285717</v>
      </c>
      <c r="KY293" s="13">
        <v>65781.961158857142</v>
      </c>
      <c r="KZ293" s="13">
        <v>9611.6720022857153</v>
      </c>
      <c r="LA293" s="13">
        <v>14989.119995999998</v>
      </c>
      <c r="LB293" s="13">
        <v>9576.0981017142858</v>
      </c>
      <c r="LC293" s="13">
        <v>21524.489454857143</v>
      </c>
      <c r="LD293" s="13"/>
      <c r="LE293" s="13"/>
      <c r="LF293" s="13"/>
      <c r="LG293" s="13"/>
      <c r="LH293" s="13"/>
      <c r="LI293" s="13"/>
      <c r="LJ293" s="13"/>
      <c r="LK293" s="13"/>
      <c r="LL293" s="13"/>
      <c r="LM293" s="13"/>
      <c r="LN293" s="13"/>
      <c r="LO293" s="13"/>
      <c r="LP293" s="13"/>
      <c r="LQ293" s="13"/>
      <c r="LR293" s="13"/>
      <c r="LS293" s="13"/>
      <c r="LT293" s="13"/>
      <c r="LU293" s="13"/>
      <c r="LV293" s="13"/>
      <c r="LW293" s="13"/>
      <c r="LX293" s="13"/>
      <c r="LY293" s="13"/>
      <c r="LZ293" s="13"/>
      <c r="MA293" s="13"/>
      <c r="MB293" s="13"/>
      <c r="MC293" s="13"/>
    </row>
    <row r="294" spans="1:341" s="14" customFormat="1">
      <c r="A294" s="19"/>
      <c r="B294" s="20">
        <f t="shared" ref="B294:Z294" si="243">B293-B289</f>
        <v>-1E-3</v>
      </c>
      <c r="C294" s="20">
        <f t="shared" si="243"/>
        <v>0</v>
      </c>
      <c r="D294" s="20">
        <f t="shared" si="243"/>
        <v>0</v>
      </c>
      <c r="E294" s="20">
        <f t="shared" si="243"/>
        <v>0</v>
      </c>
      <c r="F294" s="20">
        <f t="shared" si="243"/>
        <v>0</v>
      </c>
      <c r="G294" s="20">
        <f t="shared" si="243"/>
        <v>-2.8818588234003073E-5</v>
      </c>
      <c r="H294" s="20">
        <f t="shared" si="243"/>
        <v>2.8818588234003073E-5</v>
      </c>
      <c r="I294" s="20">
        <f t="shared" si="243"/>
        <v>2.2881959058822954E-2</v>
      </c>
      <c r="J294" s="20">
        <f t="shared" si="243"/>
        <v>5.763717647155886E-5</v>
      </c>
      <c r="K294" s="20">
        <f t="shared" si="243"/>
        <v>0</v>
      </c>
      <c r="L294" s="20">
        <f t="shared" si="243"/>
        <v>5.7637176470670681E-5</v>
      </c>
      <c r="M294" s="20">
        <f t="shared" si="243"/>
        <v>8.6455764705561933E-5</v>
      </c>
      <c r="N294" s="20">
        <f t="shared" si="243"/>
        <v>-2.8818588234003073E-5</v>
      </c>
      <c r="O294" s="20">
        <f t="shared" si="243"/>
        <v>8.6455764659376655E-5</v>
      </c>
      <c r="P294" s="20">
        <f t="shared" si="243"/>
        <v>2.8818588305057347E-5</v>
      </c>
      <c r="Q294" s="20">
        <f t="shared" si="243"/>
        <v>0</v>
      </c>
      <c r="R294" s="20">
        <f t="shared" si="243"/>
        <v>5.3290705182007514E-14</v>
      </c>
      <c r="S294" s="20">
        <f t="shared" si="243"/>
        <v>0</v>
      </c>
      <c r="T294" s="20">
        <f t="shared" si="243"/>
        <v>6.7160855324705864</v>
      </c>
      <c r="U294" s="20">
        <f t="shared" si="243"/>
        <v>-0.49430823623504239</v>
      </c>
      <c r="V294" s="20">
        <f t="shared" si="243"/>
        <v>0</v>
      </c>
      <c r="W294" s="20">
        <f t="shared" si="243"/>
        <v>43.780594056705809</v>
      </c>
      <c r="X294" s="20">
        <f t="shared" si="243"/>
        <v>18.015922458503496</v>
      </c>
      <c r="Y294" s="20">
        <f t="shared" si="243"/>
        <v>0</v>
      </c>
      <c r="Z294" s="20">
        <f t="shared" si="243"/>
        <v>-0.98889120000000008</v>
      </c>
      <c r="AA294" s="21"/>
      <c r="AB294" s="20">
        <f t="shared" ref="AB294:CM294" si="244">AB293-AB289</f>
        <v>-1</v>
      </c>
      <c r="AC294" s="20">
        <f t="shared" si="244"/>
        <v>0</v>
      </c>
      <c r="AD294" s="20">
        <f t="shared" si="244"/>
        <v>0</v>
      </c>
      <c r="AE294" s="20">
        <f t="shared" si="244"/>
        <v>0</v>
      </c>
      <c r="AF294" s="20">
        <f t="shared" si="244"/>
        <v>0</v>
      </c>
      <c r="AG294" s="20">
        <f t="shared" si="244"/>
        <v>0</v>
      </c>
      <c r="AH294" s="20">
        <f t="shared" si="244"/>
        <v>0</v>
      </c>
      <c r="AI294" s="20">
        <f t="shared" si="244"/>
        <v>0</v>
      </c>
      <c r="AJ294" s="20">
        <f t="shared" si="244"/>
        <v>0</v>
      </c>
      <c r="AK294" s="20">
        <f t="shared" si="244"/>
        <v>0</v>
      </c>
      <c r="AL294" s="20">
        <f t="shared" si="244"/>
        <v>0</v>
      </c>
      <c r="AM294" s="20">
        <f t="shared" si="244"/>
        <v>0</v>
      </c>
      <c r="AN294" s="20">
        <f t="shared" si="244"/>
        <v>0</v>
      </c>
      <c r="AO294" s="20">
        <f t="shared" si="244"/>
        <v>0</v>
      </c>
      <c r="AP294" s="20">
        <f t="shared" si="244"/>
        <v>0</v>
      </c>
      <c r="AQ294" s="20">
        <f t="shared" si="244"/>
        <v>0</v>
      </c>
      <c r="AR294" s="20">
        <f t="shared" si="244"/>
        <v>0</v>
      </c>
      <c r="AS294" s="20">
        <f t="shared" si="244"/>
        <v>0</v>
      </c>
      <c r="AT294" s="20">
        <f t="shared" si="244"/>
        <v>0</v>
      </c>
      <c r="AU294" s="20">
        <f t="shared" si="244"/>
        <v>0</v>
      </c>
      <c r="AV294" s="20">
        <f t="shared" si="244"/>
        <v>0</v>
      </c>
      <c r="AW294" s="20">
        <f t="shared" si="244"/>
        <v>0</v>
      </c>
      <c r="AX294" s="20">
        <f t="shared" si="244"/>
        <v>0</v>
      </c>
      <c r="AY294" s="20">
        <f t="shared" si="244"/>
        <v>0</v>
      </c>
      <c r="AZ294" s="20">
        <f t="shared" si="244"/>
        <v>0</v>
      </c>
      <c r="BA294" s="20">
        <f t="shared" si="244"/>
        <v>0</v>
      </c>
      <c r="BB294" s="20">
        <f t="shared" si="244"/>
        <v>0</v>
      </c>
      <c r="BC294" s="20">
        <f t="shared" si="244"/>
        <v>0</v>
      </c>
      <c r="BD294" s="20">
        <f t="shared" si="244"/>
        <v>0</v>
      </c>
      <c r="BE294" s="20">
        <f t="shared" si="244"/>
        <v>0</v>
      </c>
      <c r="BF294" s="20">
        <f t="shared" si="244"/>
        <v>0</v>
      </c>
      <c r="BG294" s="20">
        <f t="shared" si="244"/>
        <v>0</v>
      </c>
      <c r="BH294" s="20">
        <f t="shared" si="244"/>
        <v>0</v>
      </c>
      <c r="BI294" s="20">
        <f t="shared" si="244"/>
        <v>0</v>
      </c>
      <c r="BJ294" s="20">
        <f t="shared" si="244"/>
        <v>0</v>
      </c>
      <c r="BK294" s="20">
        <f t="shared" si="244"/>
        <v>0</v>
      </c>
      <c r="BL294" s="20">
        <f t="shared" si="244"/>
        <v>0</v>
      </c>
      <c r="BM294" s="20">
        <f t="shared" si="244"/>
        <v>0</v>
      </c>
      <c r="BN294" s="20">
        <f t="shared" si="244"/>
        <v>0</v>
      </c>
      <c r="BO294" s="20">
        <f t="shared" si="244"/>
        <v>0</v>
      </c>
      <c r="BP294" s="20">
        <f t="shared" si="244"/>
        <v>0</v>
      </c>
      <c r="BQ294" s="20">
        <f t="shared" si="244"/>
        <v>0</v>
      </c>
      <c r="BR294" s="20">
        <f t="shared" si="244"/>
        <v>0</v>
      </c>
      <c r="BS294" s="20">
        <f t="shared" si="244"/>
        <v>0</v>
      </c>
      <c r="BT294" s="20">
        <f t="shared" si="244"/>
        <v>0</v>
      </c>
      <c r="BU294" s="20">
        <f t="shared" si="244"/>
        <v>0</v>
      </c>
      <c r="BV294" s="20">
        <f t="shared" si="244"/>
        <v>0</v>
      </c>
      <c r="BW294" s="20">
        <f t="shared" si="244"/>
        <v>0</v>
      </c>
      <c r="BX294" s="20">
        <f t="shared" si="244"/>
        <v>0</v>
      </c>
      <c r="BY294" s="20">
        <f t="shared" si="244"/>
        <v>0</v>
      </c>
      <c r="BZ294" s="20">
        <f t="shared" si="244"/>
        <v>0</v>
      </c>
      <c r="CA294" s="20">
        <f t="shared" si="244"/>
        <v>0</v>
      </c>
      <c r="CB294" s="20">
        <f t="shared" si="244"/>
        <v>0</v>
      </c>
      <c r="CC294" s="20">
        <f t="shared" si="244"/>
        <v>0</v>
      </c>
      <c r="CD294" s="20">
        <f t="shared" si="244"/>
        <v>0</v>
      </c>
      <c r="CE294" s="20">
        <f t="shared" si="244"/>
        <v>0</v>
      </c>
      <c r="CF294" s="20">
        <f t="shared" si="244"/>
        <v>0</v>
      </c>
      <c r="CG294" s="20">
        <f t="shared" si="244"/>
        <v>0</v>
      </c>
      <c r="CH294" s="20">
        <f t="shared" si="244"/>
        <v>0</v>
      </c>
      <c r="CI294" s="20">
        <f t="shared" si="244"/>
        <v>0</v>
      </c>
      <c r="CJ294" s="20">
        <f t="shared" si="244"/>
        <v>2.8818588235367315E-2</v>
      </c>
      <c r="CK294" s="20">
        <f t="shared" si="244"/>
        <v>2.8818588235367315E-2</v>
      </c>
      <c r="CL294" s="20">
        <f t="shared" si="244"/>
        <v>0</v>
      </c>
      <c r="CM294" s="20">
        <f t="shared" si="244"/>
        <v>-2.8818588235296261E-2</v>
      </c>
      <c r="CN294" s="20">
        <f t="shared" ref="CN294:EY294" si="245">CN293-CN289</f>
        <v>-5.763717647073463E-2</v>
      </c>
      <c r="CO294" s="20">
        <f t="shared" si="245"/>
        <v>0</v>
      </c>
      <c r="CP294" s="20">
        <f t="shared" si="245"/>
        <v>0</v>
      </c>
      <c r="CQ294" s="20">
        <f t="shared" si="245"/>
        <v>0</v>
      </c>
      <c r="CR294" s="20">
        <f t="shared" si="245"/>
        <v>0</v>
      </c>
      <c r="CS294" s="20">
        <f t="shared" si="245"/>
        <v>0</v>
      </c>
      <c r="CT294" s="20">
        <f t="shared" si="245"/>
        <v>0</v>
      </c>
      <c r="CU294" s="20">
        <f t="shared" si="245"/>
        <v>0</v>
      </c>
      <c r="CV294" s="20">
        <f t="shared" si="245"/>
        <v>0</v>
      </c>
      <c r="CW294" s="20">
        <f t="shared" si="245"/>
        <v>-2.8818588235481002E-2</v>
      </c>
      <c r="CX294" s="20">
        <f t="shared" si="245"/>
        <v>-2.8818588235253628E-2</v>
      </c>
      <c r="CY294" s="20">
        <f t="shared" si="245"/>
        <v>-2.8818588235253628E-2</v>
      </c>
      <c r="CZ294" s="20">
        <f t="shared" si="245"/>
        <v>0</v>
      </c>
      <c r="DA294" s="20">
        <f t="shared" si="245"/>
        <v>0</v>
      </c>
      <c r="DB294" s="20">
        <f t="shared" si="245"/>
        <v>-2.8818588235253628E-2</v>
      </c>
      <c r="DC294" s="20">
        <f t="shared" si="245"/>
        <v>2.8818588235481002E-2</v>
      </c>
      <c r="DD294" s="20">
        <f t="shared" si="245"/>
        <v>2.881858823528205E-2</v>
      </c>
      <c r="DE294" s="20">
        <f t="shared" si="245"/>
        <v>5.7637176470620943E-2</v>
      </c>
      <c r="DF294" s="20">
        <f t="shared" si="245"/>
        <v>0</v>
      </c>
      <c r="DG294" s="20">
        <f t="shared" si="245"/>
        <v>2.881858823528205E-2</v>
      </c>
      <c r="DH294" s="20">
        <f t="shared" si="245"/>
        <v>2.8818588235267839E-2</v>
      </c>
      <c r="DI294" s="20">
        <f t="shared" si="245"/>
        <v>0</v>
      </c>
      <c r="DJ294" s="20">
        <f t="shared" si="245"/>
        <v>2.8818588235310472E-2</v>
      </c>
      <c r="DK294" s="20">
        <f t="shared" si="245"/>
        <v>0</v>
      </c>
      <c r="DL294" s="20">
        <f t="shared" si="245"/>
        <v>0</v>
      </c>
      <c r="DM294" s="20">
        <f t="shared" si="245"/>
        <v>22.766684705882327</v>
      </c>
      <c r="DN294" s="20">
        <f t="shared" si="245"/>
        <v>2.8818588235253628E-2</v>
      </c>
      <c r="DO294" s="20">
        <f t="shared" si="245"/>
        <v>2.8818588235296261E-2</v>
      </c>
      <c r="DP294" s="20">
        <f t="shared" si="245"/>
        <v>-2.8818588235253628E-2</v>
      </c>
      <c r="DQ294" s="20">
        <f t="shared" si="245"/>
        <v>0</v>
      </c>
      <c r="DR294" s="20">
        <f t="shared" si="245"/>
        <v>2.8818588235253628E-2</v>
      </c>
      <c r="DS294" s="20">
        <f t="shared" si="245"/>
        <v>0</v>
      </c>
      <c r="DT294" s="20">
        <f t="shared" si="245"/>
        <v>0</v>
      </c>
      <c r="DU294" s="20">
        <f t="shared" si="245"/>
        <v>-2.8818588235253628E-2</v>
      </c>
      <c r="DV294" s="20">
        <f t="shared" si="245"/>
        <v>2.8818588235026255E-2</v>
      </c>
      <c r="DW294" s="20">
        <f t="shared" si="245"/>
        <v>0</v>
      </c>
      <c r="DX294" s="20">
        <f t="shared" si="245"/>
        <v>0</v>
      </c>
      <c r="DY294" s="20">
        <f t="shared" si="245"/>
        <v>2.8818588235367315E-2</v>
      </c>
      <c r="DZ294" s="20">
        <f t="shared" si="245"/>
        <v>0</v>
      </c>
      <c r="EA294" s="20">
        <f t="shared" si="245"/>
        <v>0</v>
      </c>
      <c r="EB294" s="20">
        <f t="shared" si="245"/>
        <v>0</v>
      </c>
      <c r="EC294" s="20">
        <f t="shared" si="245"/>
        <v>0</v>
      </c>
      <c r="ED294" s="20">
        <f t="shared" si="245"/>
        <v>0</v>
      </c>
      <c r="EE294" s="20">
        <f t="shared" si="245"/>
        <v>2.8818588235196785E-2</v>
      </c>
      <c r="EF294" s="20">
        <f t="shared" si="245"/>
        <v>2.8818588235253628E-2</v>
      </c>
      <c r="EG294" s="20">
        <f t="shared" si="245"/>
        <v>2.8818588235296261E-2</v>
      </c>
      <c r="EH294" s="20">
        <f t="shared" si="245"/>
        <v>0</v>
      </c>
      <c r="EI294" s="20">
        <f t="shared" si="245"/>
        <v>0</v>
      </c>
      <c r="EJ294" s="20">
        <f t="shared" si="245"/>
        <v>0</v>
      </c>
      <c r="EK294" s="20">
        <f t="shared" si="245"/>
        <v>-2.881858823528205E-2</v>
      </c>
      <c r="EL294" s="20">
        <f t="shared" si="245"/>
        <v>0</v>
      </c>
      <c r="EM294" s="20">
        <f t="shared" si="245"/>
        <v>-2.8818588235253628E-2</v>
      </c>
      <c r="EN294" s="20">
        <f t="shared" si="245"/>
        <v>-2.8818588235367315E-2</v>
      </c>
      <c r="EO294" s="20">
        <f t="shared" si="245"/>
        <v>2.881858823528205E-2</v>
      </c>
      <c r="EP294" s="20">
        <f t="shared" si="245"/>
        <v>0</v>
      </c>
      <c r="EQ294" s="20">
        <f t="shared" si="245"/>
        <v>0</v>
      </c>
      <c r="ER294" s="20">
        <f t="shared" si="245"/>
        <v>0</v>
      </c>
      <c r="ES294" s="20">
        <f t="shared" si="245"/>
        <v>0</v>
      </c>
      <c r="ET294" s="20">
        <f t="shared" si="245"/>
        <v>2.8818588235310472E-2</v>
      </c>
      <c r="EU294" s="20">
        <f t="shared" si="245"/>
        <v>0</v>
      </c>
      <c r="EV294" s="20">
        <f t="shared" si="245"/>
        <v>0</v>
      </c>
      <c r="EW294" s="20">
        <f t="shared" si="245"/>
        <v>-2.881858823528205E-2</v>
      </c>
      <c r="EX294" s="20">
        <f t="shared" si="245"/>
        <v>0</v>
      </c>
      <c r="EY294" s="20">
        <f t="shared" si="245"/>
        <v>0</v>
      </c>
      <c r="EZ294" s="20">
        <f t="shared" ref="EZ294:HK294" si="246">EZ293-EZ289</f>
        <v>2.8818588235310472E-2</v>
      </c>
      <c r="FA294" s="20">
        <f t="shared" si="246"/>
        <v>2.8818588235253628E-2</v>
      </c>
      <c r="FB294" s="20">
        <f t="shared" si="246"/>
        <v>0</v>
      </c>
      <c r="FC294" s="20">
        <f t="shared" si="246"/>
        <v>0</v>
      </c>
      <c r="FD294" s="20">
        <f t="shared" si="246"/>
        <v>-2.8818588235367315E-2</v>
      </c>
      <c r="FE294" s="20">
        <f t="shared" si="246"/>
        <v>2.8818588235026255E-2</v>
      </c>
      <c r="FF294" s="20">
        <f t="shared" si="246"/>
        <v>0</v>
      </c>
      <c r="FG294" s="20">
        <f t="shared" si="246"/>
        <v>5.7637176470507256E-2</v>
      </c>
      <c r="FH294" s="20">
        <f t="shared" si="246"/>
        <v>0</v>
      </c>
      <c r="FI294" s="20">
        <f t="shared" si="246"/>
        <v>0</v>
      </c>
      <c r="FJ294" s="20">
        <f t="shared" si="246"/>
        <v>0</v>
      </c>
      <c r="FK294" s="20">
        <f t="shared" si="246"/>
        <v>2.8818588235253628E-2</v>
      </c>
      <c r="FL294" s="20">
        <f t="shared" si="246"/>
        <v>2.8818588235253628E-2</v>
      </c>
      <c r="FM294" s="20">
        <f t="shared" si="246"/>
        <v>2.8818588235310472E-2</v>
      </c>
      <c r="FN294" s="20">
        <f t="shared" si="246"/>
        <v>0</v>
      </c>
      <c r="FO294" s="20">
        <f t="shared" si="246"/>
        <v>-5.7637176470677787E-2</v>
      </c>
      <c r="FP294" s="20">
        <f t="shared" si="246"/>
        <v>0</v>
      </c>
      <c r="FQ294" s="20">
        <f t="shared" si="246"/>
        <v>0</v>
      </c>
      <c r="FR294" s="20">
        <f t="shared" si="246"/>
        <v>0</v>
      </c>
      <c r="FS294" s="20">
        <f t="shared" si="246"/>
        <v>-2.8818588235253628E-2</v>
      </c>
      <c r="FT294" s="20">
        <f t="shared" si="246"/>
        <v>-2.8818588235481002E-2</v>
      </c>
      <c r="FU294" s="20">
        <f t="shared" si="246"/>
        <v>0</v>
      </c>
      <c r="FV294" s="20">
        <f t="shared" si="246"/>
        <v>0</v>
      </c>
      <c r="FW294" s="20">
        <f t="shared" si="246"/>
        <v>0</v>
      </c>
      <c r="FX294" s="20">
        <f t="shared" si="246"/>
        <v>-2.8818588234571507E-2</v>
      </c>
      <c r="FY294" s="20">
        <f t="shared" si="246"/>
        <v>5.7637176470052509E-2</v>
      </c>
      <c r="FZ294" s="20">
        <f t="shared" si="246"/>
        <v>5.7637176470962004E-2</v>
      </c>
      <c r="GA294" s="20">
        <f t="shared" si="246"/>
        <v>-5.7637176470962004E-2</v>
      </c>
      <c r="GB294" s="20">
        <f t="shared" si="246"/>
        <v>0</v>
      </c>
      <c r="GC294" s="20">
        <f t="shared" si="246"/>
        <v>-5.7637176470962004E-2</v>
      </c>
      <c r="GD294" s="20">
        <f t="shared" si="246"/>
        <v>2.8818588235481002E-2</v>
      </c>
      <c r="GE294" s="20">
        <f t="shared" si="246"/>
        <v>2.8818588235481002E-2</v>
      </c>
      <c r="GF294" s="20">
        <f t="shared" si="246"/>
        <v>0</v>
      </c>
      <c r="GG294" s="20">
        <f t="shared" si="246"/>
        <v>0</v>
      </c>
      <c r="GH294" s="20">
        <f t="shared" si="246"/>
        <v>0</v>
      </c>
      <c r="GI294" s="20">
        <f t="shared" si="246"/>
        <v>2.8818588234571507E-2</v>
      </c>
      <c r="GJ294" s="20">
        <f t="shared" si="246"/>
        <v>0</v>
      </c>
      <c r="GK294" s="20">
        <f t="shared" si="246"/>
        <v>0</v>
      </c>
      <c r="GL294" s="20">
        <f t="shared" si="246"/>
        <v>5.7637176469143014E-2</v>
      </c>
      <c r="GM294" s="20">
        <f t="shared" si="246"/>
        <v>0</v>
      </c>
      <c r="GN294" s="20">
        <f t="shared" si="246"/>
        <v>0</v>
      </c>
      <c r="GO294" s="20">
        <f t="shared" si="246"/>
        <v>0</v>
      </c>
      <c r="GP294" s="20">
        <f t="shared" si="246"/>
        <v>-2.8818588234571507E-2</v>
      </c>
      <c r="GQ294" s="20">
        <f t="shared" si="246"/>
        <v>-5.7637176472780993E-2</v>
      </c>
      <c r="GR294" s="20">
        <f t="shared" si="246"/>
        <v>2.8818588234571507E-2</v>
      </c>
      <c r="GS294" s="20">
        <f t="shared" si="246"/>
        <v>2.8818588234571507E-2</v>
      </c>
      <c r="GT294" s="20">
        <f t="shared" si="246"/>
        <v>-2.8818588234571507E-2</v>
      </c>
      <c r="GU294" s="20">
        <f t="shared" si="246"/>
        <v>2.8818588238209486E-2</v>
      </c>
      <c r="GV294" s="20">
        <f t="shared" si="246"/>
        <v>5.7637176469143014E-2</v>
      </c>
      <c r="GW294" s="20">
        <f t="shared" si="246"/>
        <v>5.7637176472780993E-2</v>
      </c>
      <c r="GX294" s="20">
        <f t="shared" si="246"/>
        <v>-2.8818588234571507E-2</v>
      </c>
      <c r="GY294" s="20">
        <f t="shared" si="246"/>
        <v>-2.8818588234571507E-2</v>
      </c>
      <c r="GZ294" s="20">
        <f t="shared" si="246"/>
        <v>0</v>
      </c>
      <c r="HA294" s="20">
        <f t="shared" si="246"/>
        <v>0</v>
      </c>
      <c r="HB294" s="20">
        <f t="shared" si="246"/>
        <v>0</v>
      </c>
      <c r="HC294" s="20">
        <f t="shared" si="246"/>
        <v>0</v>
      </c>
      <c r="HD294" s="20">
        <f t="shared" si="246"/>
        <v>0</v>
      </c>
      <c r="HE294" s="20">
        <f t="shared" si="246"/>
        <v>0</v>
      </c>
      <c r="HF294" s="20">
        <f t="shared" si="246"/>
        <v>0</v>
      </c>
      <c r="HG294" s="20">
        <f t="shared" si="246"/>
        <v>0</v>
      </c>
      <c r="HH294" s="20">
        <f t="shared" si="246"/>
        <v>0</v>
      </c>
      <c r="HI294" s="20">
        <f t="shared" si="246"/>
        <v>0</v>
      </c>
      <c r="HJ294" s="20">
        <f t="shared" si="246"/>
        <v>0</v>
      </c>
      <c r="HK294" s="20">
        <f t="shared" si="246"/>
        <v>0</v>
      </c>
      <c r="HL294" s="20">
        <f t="shared" ref="HL294:JW294" si="247">HL293-HL289</f>
        <v>1.0686562745831907E-11</v>
      </c>
      <c r="HM294" s="20">
        <f t="shared" si="247"/>
        <v>2.0463630789890885E-12</v>
      </c>
      <c r="HN294" s="20">
        <f t="shared" si="247"/>
        <v>0</v>
      </c>
      <c r="HO294" s="20">
        <f t="shared" si="247"/>
        <v>1.2278178473934531E-11</v>
      </c>
      <c r="HP294" s="20">
        <f t="shared" si="247"/>
        <v>-5.0022208597511053E-12</v>
      </c>
      <c r="HQ294" s="20">
        <f t="shared" si="247"/>
        <v>1.3642420526593924E-11</v>
      </c>
      <c r="HR294" s="20">
        <f t="shared" si="247"/>
        <v>8.1854523159563541E-12</v>
      </c>
      <c r="HS294" s="20">
        <f t="shared" si="247"/>
        <v>0</v>
      </c>
      <c r="HT294" s="20">
        <f t="shared" si="247"/>
        <v>3.637978807091713E-12</v>
      </c>
      <c r="HU294" s="20">
        <f t="shared" si="247"/>
        <v>0</v>
      </c>
      <c r="HV294" s="20">
        <f t="shared" si="247"/>
        <v>4.7748471843078732E-12</v>
      </c>
      <c r="HW294" s="20">
        <f t="shared" si="247"/>
        <v>0</v>
      </c>
      <c r="HX294" s="20">
        <f t="shared" si="247"/>
        <v>0</v>
      </c>
      <c r="HY294" s="20">
        <f t="shared" si="247"/>
        <v>2.0463630789890885E-12</v>
      </c>
      <c r="HZ294" s="20">
        <f t="shared" si="247"/>
        <v>-5.4569682106375694E-12</v>
      </c>
      <c r="IA294" s="20">
        <f t="shared" si="247"/>
        <v>0</v>
      </c>
      <c r="IB294" s="20">
        <f t="shared" si="247"/>
        <v>0</v>
      </c>
      <c r="IC294" s="20">
        <f t="shared" si="247"/>
        <v>3.637978807091713E-12</v>
      </c>
      <c r="ID294" s="20">
        <f t="shared" si="247"/>
        <v>0</v>
      </c>
      <c r="IE294" s="20">
        <f t="shared" si="247"/>
        <v>0</v>
      </c>
      <c r="IF294" s="20">
        <f t="shared" si="247"/>
        <v>0</v>
      </c>
      <c r="IG294" s="20">
        <f t="shared" si="247"/>
        <v>0</v>
      </c>
      <c r="IH294" s="20">
        <f t="shared" si="247"/>
        <v>6.3664629124104977E-12</v>
      </c>
      <c r="II294" s="20">
        <f t="shared" si="247"/>
        <v>0</v>
      </c>
      <c r="IJ294" s="20">
        <f t="shared" si="247"/>
        <v>0</v>
      </c>
      <c r="IK294" s="20">
        <f t="shared" si="247"/>
        <v>0</v>
      </c>
      <c r="IL294" s="20">
        <f t="shared" si="247"/>
        <v>3.637978807091713E-12</v>
      </c>
      <c r="IM294" s="20">
        <f t="shared" si="247"/>
        <v>0</v>
      </c>
      <c r="IN294" s="20">
        <f>IN293-IN289</f>
        <v>0</v>
      </c>
      <c r="IO294" s="20">
        <f>IO293-IO289</f>
        <v>0</v>
      </c>
      <c r="IP294" s="20">
        <f>IP293-IP289</f>
        <v>6716.0855324705844</v>
      </c>
      <c r="IQ294" s="20">
        <f t="shared" si="247"/>
        <v>0</v>
      </c>
      <c r="IR294" s="20">
        <f t="shared" si="247"/>
        <v>0</v>
      </c>
      <c r="IS294" s="20">
        <f t="shared" si="247"/>
        <v>0</v>
      </c>
      <c r="IT294" s="20">
        <f t="shared" si="247"/>
        <v>0</v>
      </c>
      <c r="IU294" s="20">
        <f t="shared" si="247"/>
        <v>0</v>
      </c>
      <c r="IV294" s="20">
        <f t="shared" si="247"/>
        <v>0</v>
      </c>
      <c r="IW294" s="20">
        <f t="shared" si="247"/>
        <v>0</v>
      </c>
      <c r="IX294" s="20">
        <f t="shared" si="247"/>
        <v>0</v>
      </c>
      <c r="IY294" s="20">
        <f t="shared" si="247"/>
        <v>1.0004441719502211E-10</v>
      </c>
      <c r="IZ294" s="20">
        <f t="shared" si="247"/>
        <v>4.0017766878008842E-11</v>
      </c>
      <c r="JA294" s="20">
        <f t="shared" si="247"/>
        <v>7.2759576141834259E-11</v>
      </c>
      <c r="JB294" s="20">
        <f t="shared" si="247"/>
        <v>-53.186164705837655</v>
      </c>
      <c r="JC294" s="20">
        <f t="shared" si="247"/>
        <v>1.2005330063402653E-10</v>
      </c>
      <c r="JD294" s="20">
        <f t="shared" si="247"/>
        <v>0</v>
      </c>
      <c r="JE294" s="20">
        <f t="shared" si="247"/>
        <v>0</v>
      </c>
      <c r="JF294" s="20">
        <f t="shared" si="247"/>
        <v>-228.44949999999517</v>
      </c>
      <c r="JG294" s="20">
        <f t="shared" si="247"/>
        <v>-212.67257152943057</v>
      </c>
      <c r="JH294" s="20">
        <f t="shared" si="247"/>
        <v>0</v>
      </c>
      <c r="JI294" s="20">
        <f t="shared" si="247"/>
        <v>0</v>
      </c>
      <c r="JJ294" s="20">
        <f t="shared" si="247"/>
        <v>0</v>
      </c>
      <c r="JK294" s="20">
        <f t="shared" si="247"/>
        <v>0</v>
      </c>
      <c r="JL294" s="20">
        <f t="shared" si="247"/>
        <v>0</v>
      </c>
      <c r="JM294" s="20">
        <f t="shared" si="247"/>
        <v>0</v>
      </c>
      <c r="JN294" s="20">
        <f t="shared" si="247"/>
        <v>8.0035533756017685E-11</v>
      </c>
      <c r="JO294" s="20">
        <f t="shared" si="247"/>
        <v>4.3655745685100555E-11</v>
      </c>
      <c r="JP294" s="20">
        <f t="shared" si="247"/>
        <v>8.5492501966655254E-11</v>
      </c>
      <c r="JQ294" s="20">
        <f t="shared" si="247"/>
        <v>1.2005330063402653E-10</v>
      </c>
      <c r="JR294" s="20">
        <f t="shared" si="247"/>
        <v>-1.8917489796876907E-10</v>
      </c>
      <c r="JS294" s="20">
        <f t="shared" si="247"/>
        <v>-6.184563972055912E-11</v>
      </c>
      <c r="JT294" s="20">
        <f t="shared" si="247"/>
        <v>5.4569682106375694E-11</v>
      </c>
      <c r="JU294" s="20">
        <f t="shared" si="247"/>
        <v>0</v>
      </c>
      <c r="JV294" s="20">
        <f t="shared" si="247"/>
        <v>0</v>
      </c>
      <c r="JW294" s="20">
        <f t="shared" si="247"/>
        <v>5.0931703299283981E-11</v>
      </c>
      <c r="JX294" s="20">
        <f t="shared" ref="JX294:MC294" si="248">JX293-JX289</f>
        <v>-4.0017766878008842E-11</v>
      </c>
      <c r="JY294" s="20">
        <f t="shared" si="248"/>
        <v>-6.5483618527650833E-11</v>
      </c>
      <c r="JZ294" s="20">
        <f t="shared" si="248"/>
        <v>-1.7462298274040222E-10</v>
      </c>
      <c r="KA294" s="20">
        <f t="shared" si="248"/>
        <v>6.5483618527650833E-11</v>
      </c>
      <c r="KB294" s="20">
        <f t="shared" si="248"/>
        <v>-7.2759576141834259E-11</v>
      </c>
      <c r="KC294" s="20">
        <f t="shared" si="248"/>
        <v>9.4587448984384537E-11</v>
      </c>
      <c r="KD294" s="20">
        <f t="shared" si="248"/>
        <v>9.0949470177292824E-11</v>
      </c>
      <c r="KE294" s="20">
        <f t="shared" si="248"/>
        <v>43780.594056705777</v>
      </c>
      <c r="KF294" s="20">
        <f t="shared" si="248"/>
        <v>8862.5144502857147</v>
      </c>
      <c r="KG294" s="20">
        <f t="shared" si="248"/>
        <v>9152.8706468571418</v>
      </c>
      <c r="KH294" s="20">
        <f t="shared" si="248"/>
        <v>2.4855918367393315E-2</v>
      </c>
      <c r="KI294" s="20">
        <f t="shared" si="248"/>
        <v>1.172340135963168E-2</v>
      </c>
      <c r="KJ294" s="20">
        <f t="shared" si="248"/>
        <v>7.5477578226127662E-2</v>
      </c>
      <c r="KK294" s="20">
        <f t="shared" si="248"/>
        <v>2.8622068035474513E-2</v>
      </c>
      <c r="KL294" s="20">
        <f t="shared" si="248"/>
        <v>3.4581659871037118E-2</v>
      </c>
      <c r="KM294" s="20">
        <f t="shared" si="248"/>
        <v>7.0282748303725384E-2</v>
      </c>
      <c r="KN294" s="20">
        <f t="shared" si="248"/>
        <v>6.7879129244829528E-2</v>
      </c>
      <c r="KO294" s="20">
        <f t="shared" si="248"/>
        <v>3.9202095213113353E-2</v>
      </c>
      <c r="KP294" s="20">
        <f t="shared" si="248"/>
        <v>8.3702585034188814E-2</v>
      </c>
      <c r="KQ294" s="20">
        <f t="shared" si="248"/>
        <v>0.10103417684149463</v>
      </c>
      <c r="KR294" s="20">
        <f t="shared" si="248"/>
        <v>0</v>
      </c>
      <c r="KS294" s="20">
        <f t="shared" si="248"/>
        <v>0</v>
      </c>
      <c r="KT294" s="20">
        <f t="shared" si="248"/>
        <v>0</v>
      </c>
      <c r="KU294" s="20">
        <f t="shared" si="248"/>
        <v>0</v>
      </c>
      <c r="KV294" s="20">
        <f t="shared" si="248"/>
        <v>-2.9994857148267329E-2</v>
      </c>
      <c r="KW294" s="20">
        <f t="shared" si="248"/>
        <v>2.9994857148267329E-2</v>
      </c>
      <c r="KX294" s="20">
        <f t="shared" si="248"/>
        <v>0</v>
      </c>
      <c r="KY294" s="20">
        <f t="shared" si="248"/>
        <v>0</v>
      </c>
      <c r="KZ294" s="20">
        <f t="shared" si="248"/>
        <v>2.999485714462935E-2</v>
      </c>
      <c r="LA294" s="20">
        <f t="shared" si="248"/>
        <v>0</v>
      </c>
      <c r="LB294" s="20">
        <f t="shared" si="248"/>
        <v>-2.9994857142810361E-2</v>
      </c>
      <c r="LC294" s="20">
        <f t="shared" si="248"/>
        <v>0</v>
      </c>
      <c r="LD294" s="20">
        <f t="shared" si="248"/>
        <v>0</v>
      </c>
      <c r="LE294" s="20">
        <f t="shared" si="248"/>
        <v>-1.65</v>
      </c>
      <c r="LF294" s="20">
        <f t="shared" si="248"/>
        <v>0</v>
      </c>
      <c r="LG294" s="20">
        <f t="shared" si="248"/>
        <v>0</v>
      </c>
      <c r="LH294" s="20">
        <f t="shared" si="248"/>
        <v>-599.86710000000005</v>
      </c>
      <c r="LI294" s="20">
        <f t="shared" si="248"/>
        <v>0</v>
      </c>
      <c r="LJ294" s="20">
        <f t="shared" si="248"/>
        <v>-46.38</v>
      </c>
      <c r="LK294" s="20">
        <f t="shared" si="248"/>
        <v>-305.72909999999996</v>
      </c>
      <c r="LL294" s="20">
        <f t="shared" si="248"/>
        <v>0</v>
      </c>
      <c r="LM294" s="20">
        <f t="shared" si="248"/>
        <v>-35.265000000000001</v>
      </c>
      <c r="LN294" s="20">
        <f t="shared" si="248"/>
        <v>0</v>
      </c>
      <c r="LO294" s="20">
        <f t="shared" si="248"/>
        <v>0</v>
      </c>
      <c r="LP294" s="20">
        <f t="shared" si="248"/>
        <v>0</v>
      </c>
      <c r="LQ294" s="20">
        <f t="shared" si="248"/>
        <v>-5.94</v>
      </c>
      <c r="LR294" s="20">
        <f t="shared" si="248"/>
        <v>0</v>
      </c>
      <c r="LS294" s="20">
        <f t="shared" si="248"/>
        <v>0</v>
      </c>
      <c r="LT294" s="20">
        <f t="shared" si="248"/>
        <v>0</v>
      </c>
      <c r="LU294" s="20">
        <f t="shared" si="248"/>
        <v>0</v>
      </c>
      <c r="LV294" s="20">
        <f t="shared" si="248"/>
        <v>0</v>
      </c>
      <c r="LW294" s="20">
        <f t="shared" si="248"/>
        <v>0</v>
      </c>
      <c r="LX294" s="20">
        <f t="shared" si="248"/>
        <v>0</v>
      </c>
      <c r="LY294" s="20">
        <f t="shared" si="248"/>
        <v>0</v>
      </c>
      <c r="LZ294" s="20">
        <f t="shared" si="248"/>
        <v>0</v>
      </c>
      <c r="MA294" s="20">
        <f t="shared" si="248"/>
        <v>0</v>
      </c>
      <c r="MB294" s="20">
        <f t="shared" si="248"/>
        <v>0</v>
      </c>
      <c r="MC294" s="20">
        <f t="shared" si="248"/>
        <v>0</v>
      </c>
    </row>
    <row r="295" spans="1:341" s="14" customFormat="1">
      <c r="A295" s="1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1085.9588956800001</v>
      </c>
      <c r="CK295" s="13">
        <v>681.09988320000002</v>
      </c>
      <c r="CL295" s="13">
        <v>336.35054087999998</v>
      </c>
      <c r="CM295" s="13">
        <v>86.501524320000001</v>
      </c>
      <c r="CN295" s="13">
        <v>1073.7898293600001</v>
      </c>
      <c r="CO295" s="13">
        <v>1110.6342064800001</v>
      </c>
      <c r="CP295" s="13">
        <v>984.71348999999998</v>
      </c>
      <c r="CQ295" s="13">
        <v>1526.1603098399999</v>
      </c>
      <c r="CR295" s="13">
        <v>94.777715520000001</v>
      </c>
      <c r="CS295" s="13">
        <v>932.42022264000002</v>
      </c>
      <c r="CT295" s="13">
        <v>271.94951232</v>
      </c>
      <c r="CU295" s="13">
        <v>275.29064136</v>
      </c>
      <c r="CV295" s="13">
        <v>797.79417911999997</v>
      </c>
      <c r="CW295" s="13">
        <v>1251.91185552</v>
      </c>
      <c r="CX295" s="13">
        <v>1368.0237528</v>
      </c>
      <c r="CY295" s="13">
        <v>173.21761656000001</v>
      </c>
      <c r="CZ295" s="13">
        <v>1443.9194913600002</v>
      </c>
      <c r="DA295" s="13">
        <v>623.1665448</v>
      </c>
      <c r="DB295" s="13">
        <v>1807.5814632000001</v>
      </c>
      <c r="DC295" s="13">
        <v>2190.2786747999999</v>
      </c>
      <c r="DD295" s="13">
        <v>184.83493680000001</v>
      </c>
      <c r="DE295" s="13">
        <v>538.87200480000001</v>
      </c>
      <c r="DF295" s="13">
        <v>234.40012632000003</v>
      </c>
      <c r="DG295" s="13">
        <v>185.14146239999999</v>
      </c>
      <c r="DH295" s="13">
        <v>128.95531991999999</v>
      </c>
      <c r="DI295" s="13">
        <v>61.059899520000002</v>
      </c>
      <c r="DJ295" s="13">
        <v>300.24182519999999</v>
      </c>
      <c r="DK295" s="13">
        <v>93.183782399999998</v>
      </c>
      <c r="DL295" s="13">
        <v>83.528226000000004</v>
      </c>
      <c r="DM295" s="13">
        <v>123.74438472</v>
      </c>
      <c r="DN295" s="13">
        <v>564.6201552</v>
      </c>
      <c r="DO295" s="13">
        <v>104.09609376000002</v>
      </c>
      <c r="DP295" s="13">
        <v>542.91814271999999</v>
      </c>
      <c r="DQ295" s="13">
        <v>575.37920376</v>
      </c>
      <c r="DR295" s="13">
        <v>832.83005520000006</v>
      </c>
      <c r="DS295" s="13">
        <v>86.348261519999994</v>
      </c>
      <c r="DT295" s="13">
        <v>598.24601352000002</v>
      </c>
      <c r="DU295" s="13">
        <v>1244.12610528</v>
      </c>
      <c r="DV295" s="13">
        <v>1880.9023867200001</v>
      </c>
      <c r="DW295" s="13">
        <v>430.26998472000002</v>
      </c>
      <c r="DX295" s="13">
        <v>710.64895104000004</v>
      </c>
      <c r="DY295" s="13">
        <v>773.82387719999997</v>
      </c>
      <c r="DZ295" s="13">
        <v>944.22145824000006</v>
      </c>
      <c r="EA295" s="13">
        <v>315.2615796</v>
      </c>
      <c r="EB295" s="13">
        <v>303.98143752000004</v>
      </c>
      <c r="EC295" s="13">
        <v>380.85805800000003</v>
      </c>
      <c r="ED295" s="13">
        <v>496.93930272</v>
      </c>
      <c r="EE295" s="13">
        <v>448.53891048000003</v>
      </c>
      <c r="EF295" s="13">
        <v>612.10097064000001</v>
      </c>
      <c r="EG295" s="13">
        <v>117.39930480000001</v>
      </c>
      <c r="EH295" s="13">
        <v>183.36361392000001</v>
      </c>
      <c r="EI295" s="13">
        <v>172.66587048</v>
      </c>
      <c r="EJ295" s="13">
        <v>160.71137207999999</v>
      </c>
      <c r="EK295" s="13">
        <v>160.89528744</v>
      </c>
      <c r="EL295" s="13">
        <v>180.42096816</v>
      </c>
      <c r="EM295" s="13">
        <v>421.16617439999999</v>
      </c>
      <c r="EN295" s="13">
        <v>628.80661584000006</v>
      </c>
      <c r="EO295" s="13">
        <v>128.00509056000001</v>
      </c>
      <c r="EP295" s="13">
        <v>1269.56773008</v>
      </c>
      <c r="EQ295" s="13">
        <v>148.14382248000001</v>
      </c>
      <c r="ER295" s="13">
        <v>457.36684775999998</v>
      </c>
      <c r="ES295" s="13">
        <v>814.34656152000002</v>
      </c>
      <c r="ET295" s="13">
        <v>182.99578320000001</v>
      </c>
      <c r="EU295" s="13">
        <v>690.17304095999998</v>
      </c>
      <c r="EV295" s="13">
        <v>145.01726136000002</v>
      </c>
      <c r="EW295" s="13">
        <v>257.02171559999999</v>
      </c>
      <c r="EX295" s="13">
        <v>305.08492968000002</v>
      </c>
      <c r="EY295" s="13">
        <v>162.09073727999998</v>
      </c>
      <c r="EZ295" s="13">
        <v>405.83989439999999</v>
      </c>
      <c r="FA295" s="13">
        <v>433.67241888000001</v>
      </c>
      <c r="FB295" s="13">
        <v>291.35258279999999</v>
      </c>
      <c r="FC295" s="13">
        <v>199.76273352000001</v>
      </c>
      <c r="FD295" s="13">
        <v>643.42788696000002</v>
      </c>
      <c r="FE295" s="13">
        <v>1459.1538136800002</v>
      </c>
      <c r="FF295" s="13">
        <v>557.87659200000007</v>
      </c>
      <c r="FG295" s="13">
        <v>767.54010240000002</v>
      </c>
      <c r="FH295" s="13">
        <v>329.51501999999999</v>
      </c>
      <c r="FI295" s="13">
        <v>950.13740231999998</v>
      </c>
      <c r="FJ295" s="13">
        <v>443.02144967999999</v>
      </c>
      <c r="FK295" s="13">
        <v>1707.59281248</v>
      </c>
      <c r="FL295" s="13">
        <v>502.61002632000003</v>
      </c>
      <c r="FM295" s="13">
        <v>356.39731512000003</v>
      </c>
      <c r="FN295" s="13">
        <v>1037.8650290400001</v>
      </c>
      <c r="FO295" s="13">
        <v>479.13016535999998</v>
      </c>
      <c r="FP295" s="13">
        <v>978.76689336000004</v>
      </c>
      <c r="FQ295" s="13">
        <v>855.88078031999999</v>
      </c>
      <c r="FR295" s="13">
        <v>1764.3307010399999</v>
      </c>
      <c r="FS295" s="13">
        <v>751.60077120000005</v>
      </c>
      <c r="FT295" s="13">
        <v>3360.2868900000003</v>
      </c>
      <c r="FU295" s="13">
        <v>6555.3564815999998</v>
      </c>
      <c r="FV295" s="13">
        <v>3320.83704528</v>
      </c>
      <c r="FW295" s="13">
        <v>4153.8510158400004</v>
      </c>
      <c r="FX295" s="13">
        <v>3943.6664119200004</v>
      </c>
      <c r="FY295" s="13">
        <v>4508.0106940799997</v>
      </c>
      <c r="FZ295" s="13">
        <v>8362.907292240001</v>
      </c>
      <c r="GA295" s="13">
        <v>9208.8872956800005</v>
      </c>
      <c r="GB295" s="13">
        <v>10597.908052080002</v>
      </c>
      <c r="GC295" s="13">
        <v>6600.5077024800003</v>
      </c>
      <c r="GD295" s="13">
        <v>5073.6730363200004</v>
      </c>
      <c r="GE295" s="13">
        <v>8018.2805601599994</v>
      </c>
      <c r="GF295" s="13">
        <v>4922.4026527200003</v>
      </c>
      <c r="GG295" s="13">
        <v>16266.577930560001</v>
      </c>
      <c r="GH295" s="13">
        <v>12034.470929040001</v>
      </c>
      <c r="GI295" s="13">
        <v>18251.760326399999</v>
      </c>
      <c r="GJ295" s="13">
        <v>13377.175667280002</v>
      </c>
      <c r="GK295" s="13">
        <v>19120.147351200001</v>
      </c>
      <c r="GL295" s="13">
        <v>10948.6346436</v>
      </c>
      <c r="GM295" s="13">
        <v>24089.049937439999</v>
      </c>
      <c r="GN295" s="13">
        <v>26736.143713919999</v>
      </c>
      <c r="GO295" s="13">
        <v>37442.37791304</v>
      </c>
      <c r="GP295" s="13">
        <v>12229.022727359999</v>
      </c>
      <c r="GQ295" s="13">
        <v>30725.421135119999</v>
      </c>
      <c r="GR295" s="13">
        <v>22935.471494400001</v>
      </c>
      <c r="GS295" s="13">
        <v>22860.679248</v>
      </c>
      <c r="GT295" s="13">
        <v>23517.778176719999</v>
      </c>
      <c r="GU295" s="13">
        <v>40508.645447520008</v>
      </c>
      <c r="GV295" s="13">
        <v>40585.000974479997</v>
      </c>
      <c r="GW295" s="13">
        <v>32216.882747039999</v>
      </c>
      <c r="GX295" s="13">
        <v>27323.630678880003</v>
      </c>
      <c r="GY295" s="13">
        <v>18039.797874</v>
      </c>
      <c r="GZ295" s="13">
        <v>13576.264044480002</v>
      </c>
      <c r="HA295" s="13">
        <v>7036.2031903200004</v>
      </c>
      <c r="HB295" s="13">
        <v>17130.336418800001</v>
      </c>
      <c r="HC295" s="22" t="s">
        <v>285</v>
      </c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  <c r="HQ295" s="13"/>
      <c r="HR295" s="13"/>
      <c r="HS295" s="13"/>
      <c r="HT295" s="13"/>
      <c r="HU295" s="13"/>
      <c r="HV295" s="13"/>
      <c r="HW295" s="13"/>
      <c r="HX295" s="13"/>
      <c r="HY295" s="13"/>
      <c r="HZ295" s="13"/>
      <c r="IA295" s="13"/>
      <c r="IB295" s="13"/>
      <c r="IC295" s="13"/>
      <c r="ID295" s="13"/>
      <c r="IE295" s="13"/>
      <c r="IF295" s="13"/>
      <c r="IG295" s="13"/>
      <c r="IH295" s="13"/>
      <c r="II295" s="13"/>
      <c r="IJ295" s="13"/>
      <c r="IK295" s="13"/>
      <c r="IL295" s="13"/>
      <c r="IM295" s="13"/>
      <c r="IN295" s="13"/>
      <c r="IO295" s="13"/>
      <c r="IP295" s="13"/>
      <c r="IQ295" s="13"/>
      <c r="IR295" s="13"/>
      <c r="IS295" s="13"/>
      <c r="IT295" s="13"/>
      <c r="IU295" s="13"/>
      <c r="IV295" s="13"/>
      <c r="IW295" s="13"/>
      <c r="IX295" s="13"/>
      <c r="IY295" s="13"/>
      <c r="IZ295" s="13"/>
      <c r="JA295" s="13"/>
      <c r="JB295" s="13"/>
      <c r="JC295" s="13"/>
      <c r="JD295" s="13"/>
      <c r="JE295" s="13"/>
      <c r="JF295" s="13"/>
      <c r="JG295" s="13"/>
      <c r="JH295" s="13"/>
      <c r="JI295" s="13"/>
      <c r="JJ295" s="13"/>
      <c r="JK295" s="13"/>
      <c r="JL295" s="13"/>
      <c r="JM295" s="13"/>
      <c r="JN295" s="13"/>
      <c r="JO295" s="13"/>
      <c r="JP295" s="13"/>
      <c r="JQ295" s="13"/>
      <c r="JR295" s="13"/>
      <c r="JS295" s="13"/>
      <c r="JT295" s="13"/>
      <c r="JU295" s="13"/>
      <c r="JV295" s="13"/>
      <c r="JW295" s="13"/>
      <c r="JX295" s="13"/>
      <c r="JY295" s="13"/>
      <c r="JZ295" s="13"/>
      <c r="KA295" s="13"/>
      <c r="KB295" s="13"/>
      <c r="KC295" s="13"/>
      <c r="KD295" s="13"/>
      <c r="KE295" s="13"/>
      <c r="KF295" s="13"/>
      <c r="KG295" s="13"/>
      <c r="KH295" s="13"/>
      <c r="KI295" s="13"/>
      <c r="KJ295" s="13"/>
      <c r="KK295" s="13"/>
      <c r="KL295" s="13"/>
      <c r="KM295" s="13"/>
      <c r="KN295" s="13"/>
      <c r="KO295" s="13"/>
      <c r="KP295" s="13"/>
      <c r="KQ295" s="13"/>
      <c r="KR295" s="13"/>
      <c r="KS295" s="13"/>
      <c r="KT295" s="13"/>
      <c r="KU295" s="13"/>
      <c r="KV295" s="13"/>
      <c r="KW295" s="13"/>
      <c r="KX295" s="13"/>
      <c r="KY295" s="13"/>
      <c r="KZ295" s="13"/>
      <c r="LA295" s="13"/>
      <c r="LB295" s="13"/>
      <c r="LC295" s="13"/>
      <c r="LD295" s="13"/>
      <c r="LE295" s="13"/>
      <c r="LF295" s="13"/>
      <c r="LG295" s="13"/>
      <c r="LH295" s="13"/>
      <c r="LI295" s="13"/>
      <c r="LJ295" s="13"/>
      <c r="LK295" s="13"/>
      <c r="LL295" s="13"/>
      <c r="LM295" s="13"/>
      <c r="LN295" s="13"/>
      <c r="LO295" s="13"/>
      <c r="LP295" s="13"/>
      <c r="LQ295" s="13"/>
      <c r="LR295" s="13"/>
      <c r="LS295" s="13"/>
      <c r="LT295" s="13"/>
      <c r="LU295" s="13"/>
      <c r="LV295" s="13"/>
      <c r="LW295" s="13"/>
      <c r="LX295" s="13"/>
      <c r="LY295" s="13"/>
      <c r="LZ295" s="13"/>
      <c r="MA295" s="13"/>
      <c r="MB295" s="13"/>
      <c r="MC295" s="13"/>
    </row>
    <row r="296" spans="1:341" s="14" customFormat="1">
      <c r="A296" s="1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  <c r="HQ296" s="13"/>
      <c r="HR296" s="13"/>
      <c r="HS296" s="13"/>
      <c r="HT296" s="13"/>
      <c r="HU296" s="13"/>
      <c r="HV296" s="13"/>
      <c r="HW296" s="13"/>
      <c r="HX296" s="13"/>
      <c r="HY296" s="13"/>
      <c r="HZ296" s="13"/>
      <c r="IA296" s="13"/>
      <c r="IB296" s="13"/>
      <c r="IC296" s="13"/>
      <c r="ID296" s="13"/>
      <c r="IE296" s="13"/>
      <c r="IF296" s="13"/>
      <c r="IG296" s="13"/>
      <c r="IH296" s="13"/>
      <c r="II296" s="13"/>
      <c r="IJ296" s="13"/>
      <c r="IK296" s="13"/>
      <c r="IL296" s="13"/>
      <c r="IM296" s="13"/>
      <c r="IN296" s="13"/>
      <c r="IO296" s="13"/>
      <c r="IP296" s="13"/>
      <c r="IQ296" s="13"/>
      <c r="IR296" s="13"/>
      <c r="IS296" s="13"/>
      <c r="IT296" s="13"/>
      <c r="IU296" s="13"/>
      <c r="IV296" s="13"/>
      <c r="IW296" s="13"/>
      <c r="IX296" s="13"/>
      <c r="IY296" s="13"/>
      <c r="IZ296" s="13"/>
      <c r="JA296" s="13"/>
      <c r="JB296" s="13"/>
      <c r="JC296" s="13"/>
      <c r="JD296" s="13"/>
      <c r="JE296" s="13"/>
      <c r="JF296" s="13"/>
      <c r="JG296" s="13"/>
      <c r="JH296" s="13"/>
      <c r="JI296" s="13"/>
      <c r="JJ296" s="13"/>
      <c r="JK296" s="13"/>
      <c r="JL296" s="13"/>
      <c r="JM296" s="13"/>
      <c r="JN296" s="13"/>
      <c r="JO296" s="13"/>
      <c r="JP296" s="13"/>
      <c r="JQ296" s="13"/>
      <c r="JR296" s="13"/>
      <c r="JS296" s="13"/>
      <c r="JT296" s="13"/>
      <c r="JU296" s="13"/>
      <c r="JV296" s="13"/>
      <c r="JW296" s="13"/>
      <c r="JX296" s="13"/>
      <c r="JY296" s="13"/>
      <c r="JZ296" s="13"/>
      <c r="KA296" s="13"/>
      <c r="KB296" s="13"/>
      <c r="KC296" s="13"/>
      <c r="KD296" s="13"/>
      <c r="KE296" s="13"/>
      <c r="KF296" s="13"/>
      <c r="KG296" s="13"/>
      <c r="KH296" s="13"/>
      <c r="KI296" s="13"/>
      <c r="KJ296" s="13"/>
      <c r="KK296" s="13"/>
      <c r="KL296" s="13"/>
      <c r="KM296" s="13"/>
      <c r="KN296" s="13"/>
      <c r="KO296" s="13"/>
      <c r="KP296" s="13"/>
      <c r="KQ296" s="13"/>
      <c r="KR296" s="13"/>
      <c r="KS296" s="13"/>
      <c r="KT296" s="13"/>
      <c r="KU296" s="13"/>
      <c r="KV296" s="13"/>
      <c r="KW296" s="13"/>
      <c r="KX296" s="13"/>
      <c r="KY296" s="13"/>
      <c r="KZ296" s="13"/>
      <c r="LA296" s="13"/>
      <c r="LB296" s="13"/>
      <c r="LC296" s="13"/>
      <c r="LD296" s="13"/>
      <c r="LE296" s="13"/>
      <c r="LF296" s="13"/>
      <c r="LG296" s="13"/>
      <c r="LH296" s="13"/>
      <c r="LI296" s="13"/>
      <c r="LJ296" s="13"/>
      <c r="LK296" s="13"/>
      <c r="LL296" s="13"/>
      <c r="LM296" s="13"/>
      <c r="LN296" s="13"/>
      <c r="LO296" s="13"/>
      <c r="LP296" s="13"/>
      <c r="LQ296" s="13"/>
      <c r="LR296" s="13"/>
      <c r="LS296" s="13"/>
      <c r="LT296" s="13"/>
      <c r="LU296" s="13"/>
      <c r="LV296" s="13"/>
      <c r="LW296" s="13"/>
      <c r="LX296" s="13"/>
      <c r="LY296" s="13"/>
      <c r="LZ296" s="13"/>
      <c r="MA296" s="13"/>
      <c r="MB296" s="13"/>
      <c r="MC296" s="13"/>
    </row>
    <row r="297" spans="1:341" s="14" customFormat="1">
      <c r="A297" s="19" t="s">
        <v>98</v>
      </c>
      <c r="B297" s="10">
        <f>B103</f>
        <v>0</v>
      </c>
      <c r="C297" s="10">
        <f t="shared" ref="C297:Z297" si="249">C103</f>
        <v>0</v>
      </c>
      <c r="D297" s="10">
        <f t="shared" si="249"/>
        <v>0</v>
      </c>
      <c r="E297" s="10">
        <f t="shared" si="249"/>
        <v>0</v>
      </c>
      <c r="F297" s="10">
        <f t="shared" si="249"/>
        <v>0</v>
      </c>
      <c r="G297" s="10">
        <f t="shared" si="249"/>
        <v>0</v>
      </c>
      <c r="H297" s="10">
        <f t="shared" si="249"/>
        <v>0</v>
      </c>
      <c r="I297" s="10">
        <f t="shared" si="249"/>
        <v>0</v>
      </c>
      <c r="J297" s="10">
        <f t="shared" si="249"/>
        <v>0</v>
      </c>
      <c r="K297" s="10">
        <f t="shared" si="249"/>
        <v>0</v>
      </c>
      <c r="L297" s="10">
        <f t="shared" si="249"/>
        <v>0</v>
      </c>
      <c r="M297" s="10">
        <f t="shared" si="249"/>
        <v>0</v>
      </c>
      <c r="N297" s="10">
        <f t="shared" si="249"/>
        <v>7.3669245291764689</v>
      </c>
      <c r="O297" s="10">
        <f t="shared" si="249"/>
        <v>55.847570959764703</v>
      </c>
      <c r="P297" s="10">
        <f t="shared" si="249"/>
        <v>80.721989571999998</v>
      </c>
      <c r="Q297" s="10">
        <f t="shared" si="249"/>
        <v>3.6205945143529408</v>
      </c>
      <c r="R297" s="10">
        <f t="shared" si="249"/>
        <v>3.9625558823529382E-2</v>
      </c>
      <c r="S297" s="10">
        <f t="shared" si="249"/>
        <v>1.6858874117647048E-2</v>
      </c>
      <c r="T297" s="10">
        <f t="shared" si="249"/>
        <v>0</v>
      </c>
      <c r="U297" s="10">
        <f t="shared" si="249"/>
        <v>72.910128072235239</v>
      </c>
      <c r="V297" s="10">
        <f t="shared" si="249"/>
        <v>49.268719544470564</v>
      </c>
      <c r="W297" s="10">
        <f t="shared" si="249"/>
        <v>64.587730036941139</v>
      </c>
      <c r="X297" s="10">
        <f t="shared" si="249"/>
        <v>110.88317758721087</v>
      </c>
      <c r="Y297" s="10">
        <f t="shared" si="249"/>
        <v>1.7996914285714281E-2</v>
      </c>
      <c r="Z297" s="10">
        <f t="shared" si="249"/>
        <v>0</v>
      </c>
      <c r="AA297" s="11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0">
        <f>FP103/1000</f>
        <v>0</v>
      </c>
      <c r="FQ297" s="10">
        <f t="shared" ref="FQ297:IB297" si="250">FQ103/1000</f>
        <v>0</v>
      </c>
      <c r="FR297" s="10">
        <f t="shared" si="250"/>
        <v>0</v>
      </c>
      <c r="FS297" s="10">
        <f t="shared" si="250"/>
        <v>0</v>
      </c>
      <c r="FT297" s="10">
        <f t="shared" si="250"/>
        <v>0</v>
      </c>
      <c r="FU297" s="10">
        <f t="shared" si="250"/>
        <v>1.899548424941176</v>
      </c>
      <c r="FV297" s="10">
        <f t="shared" si="250"/>
        <v>0</v>
      </c>
      <c r="FW297" s="10">
        <f t="shared" si="250"/>
        <v>1.3889406785882352</v>
      </c>
      <c r="FX297" s="10">
        <f t="shared" si="250"/>
        <v>1.4934656981176468</v>
      </c>
      <c r="FY297" s="10">
        <f t="shared" si="250"/>
        <v>0</v>
      </c>
      <c r="FZ297" s="10">
        <f t="shared" si="250"/>
        <v>1.7199509830588231</v>
      </c>
      <c r="GA297" s="10">
        <f t="shared" si="250"/>
        <v>0.86501874447058813</v>
      </c>
      <c r="GB297" s="10">
        <f t="shared" si="250"/>
        <v>0.86876516094117628</v>
      </c>
      <c r="GC297" s="10">
        <f t="shared" si="250"/>
        <v>0.64291388494117641</v>
      </c>
      <c r="GD297" s="10">
        <f t="shared" si="250"/>
        <v>0.65697735599999985</v>
      </c>
      <c r="GE297" s="10">
        <f t="shared" si="250"/>
        <v>3.3894694367058813</v>
      </c>
      <c r="GF297" s="10">
        <f t="shared" si="250"/>
        <v>0</v>
      </c>
      <c r="GG297" s="10">
        <f t="shared" si="250"/>
        <v>5.4796528228235282</v>
      </c>
      <c r="GH297" s="10">
        <f t="shared" si="250"/>
        <v>3.5203922830588232</v>
      </c>
      <c r="GI297" s="10">
        <f t="shared" si="250"/>
        <v>8.9280562724705863</v>
      </c>
      <c r="GJ297" s="10">
        <f t="shared" si="250"/>
        <v>9.3284617374117627</v>
      </c>
      <c r="GK297" s="10">
        <f t="shared" si="250"/>
        <v>10.881005541411763</v>
      </c>
      <c r="GL297" s="10">
        <f t="shared" si="250"/>
        <v>4.3301081567058821</v>
      </c>
      <c r="GM297" s="10">
        <f t="shared" si="250"/>
        <v>7.821768307294116</v>
      </c>
      <c r="GN297" s="10">
        <f t="shared" si="250"/>
        <v>8.5626653922352922</v>
      </c>
      <c r="GO297" s="10">
        <f t="shared" si="250"/>
        <v>13.496811158352937</v>
      </c>
      <c r="GP297" s="10">
        <f t="shared" si="250"/>
        <v>0.84864978635294108</v>
      </c>
      <c r="GQ297" s="10">
        <f t="shared" si="250"/>
        <v>12.158735287999997</v>
      </c>
      <c r="GR297" s="10">
        <f t="shared" si="250"/>
        <v>4.3804254117647051E-3</v>
      </c>
      <c r="GS297" s="10">
        <f t="shared" si="250"/>
        <v>2.8838473061176466</v>
      </c>
      <c r="GT297" s="10">
        <f t="shared" si="250"/>
        <v>11.340806116705881</v>
      </c>
      <c r="GU297" s="10">
        <f t="shared" si="250"/>
        <v>15.671029547764702</v>
      </c>
      <c r="GV297" s="10">
        <f t="shared" si="250"/>
        <v>2.6447682981176461</v>
      </c>
      <c r="GW297" s="10">
        <f t="shared" si="250"/>
        <v>9.1959250501176442</v>
      </c>
      <c r="GX297" s="10">
        <f t="shared" si="250"/>
        <v>3.9047457943529404</v>
      </c>
      <c r="GY297" s="10">
        <f t="shared" si="250"/>
        <v>9.6254084705882335E-3</v>
      </c>
      <c r="GZ297" s="10">
        <f t="shared" si="250"/>
        <v>1.0403510352941176E-2</v>
      </c>
      <c r="HA297" s="10">
        <f t="shared" si="250"/>
        <v>0</v>
      </c>
      <c r="HB297" s="10">
        <f t="shared" si="250"/>
        <v>5.1008901176470582E-3</v>
      </c>
      <c r="HC297" s="10">
        <f t="shared" si="250"/>
        <v>5.2449830588235285E-3</v>
      </c>
      <c r="HD297" s="10">
        <f t="shared" si="250"/>
        <v>5.1873458823529402E-3</v>
      </c>
      <c r="HE297" s="10">
        <f t="shared" si="250"/>
        <v>9.5965898823529398E-3</v>
      </c>
      <c r="HF297" s="10">
        <f t="shared" si="250"/>
        <v>9.5965898823529398E-3</v>
      </c>
      <c r="HG297" s="10">
        <f t="shared" si="250"/>
        <v>5.1873458823529402E-3</v>
      </c>
      <c r="HH297" s="10">
        <f t="shared" si="250"/>
        <v>9.1354924705882336E-3</v>
      </c>
      <c r="HI297" s="10">
        <f t="shared" si="250"/>
        <v>2.1056589679999997</v>
      </c>
      <c r="HJ297" s="10">
        <f t="shared" si="250"/>
        <v>4.3804254117647051E-3</v>
      </c>
      <c r="HK297" s="10">
        <f t="shared" si="250"/>
        <v>1.4511023734117645</v>
      </c>
      <c r="HL297" s="10">
        <f t="shared" si="250"/>
        <v>0</v>
      </c>
      <c r="HM297" s="10">
        <f t="shared" si="250"/>
        <v>5.2161644705882295E-3</v>
      </c>
      <c r="HN297" s="10">
        <f t="shared" si="250"/>
        <v>5.6772618823529375E-3</v>
      </c>
      <c r="HO297" s="10">
        <f t="shared" si="250"/>
        <v>1.4783935764705871E-2</v>
      </c>
      <c r="HP297" s="10">
        <f t="shared" si="250"/>
        <v>8.7896694117647004E-3</v>
      </c>
      <c r="HQ297" s="10">
        <f t="shared" si="250"/>
        <v>5.1585272941176395E-3</v>
      </c>
      <c r="HR297" s="10">
        <f t="shared" si="250"/>
        <v>0</v>
      </c>
      <c r="HS297" s="10">
        <f t="shared" si="250"/>
        <v>0</v>
      </c>
      <c r="HT297" s="10">
        <f t="shared" si="250"/>
        <v>0</v>
      </c>
      <c r="HU297" s="10">
        <f t="shared" si="250"/>
        <v>0</v>
      </c>
      <c r="HV297" s="10">
        <f t="shared" si="250"/>
        <v>0</v>
      </c>
      <c r="HW297" s="10">
        <f t="shared" si="250"/>
        <v>0</v>
      </c>
      <c r="HX297" s="10">
        <f t="shared" si="250"/>
        <v>0</v>
      </c>
      <c r="HY297" s="10">
        <f t="shared" si="250"/>
        <v>0</v>
      </c>
      <c r="HZ297" s="10">
        <f t="shared" si="250"/>
        <v>5.9078105882352907E-3</v>
      </c>
      <c r="IA297" s="10">
        <f t="shared" si="250"/>
        <v>0</v>
      </c>
      <c r="IB297" s="10">
        <f t="shared" si="250"/>
        <v>0</v>
      </c>
      <c r="IC297" s="10">
        <f t="shared" ref="IC297:JE297" si="251">IC103/1000</f>
        <v>0</v>
      </c>
      <c r="ID297" s="10">
        <f t="shared" si="251"/>
        <v>0</v>
      </c>
      <c r="IE297" s="10">
        <f t="shared" si="251"/>
        <v>0</v>
      </c>
      <c r="IF297" s="10">
        <f t="shared" si="251"/>
        <v>0</v>
      </c>
      <c r="IG297" s="10">
        <f t="shared" si="251"/>
        <v>0</v>
      </c>
      <c r="IH297" s="10">
        <f t="shared" si="251"/>
        <v>1.0951063529411758E-2</v>
      </c>
      <c r="II297" s="10">
        <f t="shared" si="251"/>
        <v>0</v>
      </c>
      <c r="IJ297" s="10">
        <f t="shared" si="251"/>
        <v>0</v>
      </c>
      <c r="IK297" s="10">
        <f t="shared" si="251"/>
        <v>0</v>
      </c>
      <c r="IL297" s="10">
        <f t="shared" si="251"/>
        <v>0</v>
      </c>
      <c r="IM297" s="10">
        <f t="shared" si="251"/>
        <v>0</v>
      </c>
      <c r="IN297" s="10">
        <f t="shared" si="251"/>
        <v>0</v>
      </c>
      <c r="IO297" s="10">
        <f t="shared" si="251"/>
        <v>0</v>
      </c>
      <c r="IP297" s="10">
        <f t="shared" si="251"/>
        <v>0</v>
      </c>
      <c r="IQ297" s="10">
        <f t="shared" si="251"/>
        <v>0</v>
      </c>
      <c r="IR297" s="10">
        <f t="shared" si="251"/>
        <v>0</v>
      </c>
      <c r="IS297" s="10">
        <f t="shared" si="251"/>
        <v>0</v>
      </c>
      <c r="IT297" s="10">
        <f t="shared" si="251"/>
        <v>0</v>
      </c>
      <c r="IU297" s="10">
        <f t="shared" si="251"/>
        <v>0</v>
      </c>
      <c r="IV297" s="10">
        <f t="shared" si="251"/>
        <v>0</v>
      </c>
      <c r="IW297" s="10">
        <f t="shared" si="251"/>
        <v>0</v>
      </c>
      <c r="IX297" s="10">
        <f t="shared" si="251"/>
        <v>2.9462903999999996</v>
      </c>
      <c r="IY297" s="10">
        <f t="shared" si="251"/>
        <v>3.3483164927058806</v>
      </c>
      <c r="IZ297" s="10">
        <f t="shared" si="251"/>
        <v>9.5571948722352875</v>
      </c>
      <c r="JA297" s="10">
        <f t="shared" si="251"/>
        <v>10.576565975294111</v>
      </c>
      <c r="JB297" s="10">
        <f t="shared" si="251"/>
        <v>8.2352862298823482</v>
      </c>
      <c r="JC297" s="10">
        <f t="shared" si="251"/>
        <v>5.0920428110588212</v>
      </c>
      <c r="JD297" s="10">
        <f t="shared" si="251"/>
        <v>6.0056496952941139</v>
      </c>
      <c r="JE297" s="10">
        <f t="shared" si="251"/>
        <v>11.656167927764699</v>
      </c>
      <c r="JF297" s="10">
        <f>JF103/1000</f>
        <v>0</v>
      </c>
      <c r="JG297" s="10">
        <f>JG103/1000</f>
        <v>15.492613667999988</v>
      </c>
      <c r="JH297" s="10">
        <f t="shared" ref="JH297:LS297" si="252">JH103/1000</f>
        <v>0</v>
      </c>
      <c r="JI297" s="10">
        <f t="shared" si="252"/>
        <v>3.455521640941174</v>
      </c>
      <c r="JJ297" s="10">
        <f t="shared" si="252"/>
        <v>0</v>
      </c>
      <c r="JK297" s="10">
        <f t="shared" si="252"/>
        <v>0</v>
      </c>
      <c r="JL297" s="10">
        <f t="shared" si="252"/>
        <v>0</v>
      </c>
      <c r="JM297" s="10">
        <f t="shared" si="252"/>
        <v>4.3190706374117624</v>
      </c>
      <c r="JN297" s="10">
        <f t="shared" si="252"/>
        <v>6.9291125367058788</v>
      </c>
      <c r="JO297" s="10">
        <f t="shared" si="252"/>
        <v>10.079013049411758</v>
      </c>
      <c r="JP297" s="10">
        <f t="shared" si="252"/>
        <v>4.4817515679999982</v>
      </c>
      <c r="JQ297" s="10">
        <f t="shared" si="252"/>
        <v>10.648151348470583</v>
      </c>
      <c r="JR297" s="10">
        <f t="shared" si="252"/>
        <v>9.3560987635294062</v>
      </c>
      <c r="JS297" s="10">
        <f t="shared" si="252"/>
        <v>0</v>
      </c>
      <c r="JT297" s="10">
        <f t="shared" si="252"/>
        <v>0</v>
      </c>
      <c r="JU297" s="10">
        <f t="shared" si="252"/>
        <v>7.1945317343529371</v>
      </c>
      <c r="JV297" s="10">
        <f t="shared" si="252"/>
        <v>9.6637083743529342</v>
      </c>
      <c r="JW297" s="10">
        <f t="shared" si="252"/>
        <v>3.746099466117645</v>
      </c>
      <c r="JX297" s="10">
        <f t="shared" si="252"/>
        <v>2.1544488378823519</v>
      </c>
      <c r="JY297" s="10">
        <f t="shared" si="252"/>
        <v>12.178504839529404</v>
      </c>
      <c r="JZ297" s="10">
        <f t="shared" si="252"/>
        <v>8.2719146555294056</v>
      </c>
      <c r="KA297" s="10">
        <f t="shared" si="252"/>
        <v>9.8169656265882299</v>
      </c>
      <c r="KB297" s="10">
        <f t="shared" si="252"/>
        <v>6.7821953738823488</v>
      </c>
      <c r="KC297" s="10">
        <f t="shared" si="252"/>
        <v>4.7793611287058795</v>
      </c>
      <c r="KD297" s="10">
        <f t="shared" si="252"/>
        <v>0</v>
      </c>
      <c r="KE297" s="10">
        <f t="shared" si="252"/>
        <v>0</v>
      </c>
      <c r="KF297" s="10">
        <f t="shared" si="252"/>
        <v>0</v>
      </c>
      <c r="KG297" s="10">
        <f t="shared" si="252"/>
        <v>0</v>
      </c>
      <c r="KH297" s="10">
        <f t="shared" si="252"/>
        <v>5.1964543115646267</v>
      </c>
      <c r="KI297" s="10">
        <f t="shared" si="252"/>
        <v>8.9506972103401345</v>
      </c>
      <c r="KJ297" s="10">
        <f t="shared" si="252"/>
        <v>11.317949178231292</v>
      </c>
      <c r="KK297" s="10">
        <f t="shared" si="252"/>
        <v>17.933188940408161</v>
      </c>
      <c r="KL297" s="10">
        <f t="shared" si="252"/>
        <v>9.9210899482993185</v>
      </c>
      <c r="KM297" s="10">
        <f t="shared" si="252"/>
        <v>13.506311980408164</v>
      </c>
      <c r="KN297" s="10">
        <f t="shared" si="252"/>
        <v>15.372950236734694</v>
      </c>
      <c r="KO297" s="10">
        <f t="shared" si="252"/>
        <v>10.013863957278911</v>
      </c>
      <c r="KP297" s="10">
        <f t="shared" si="252"/>
        <v>15.820893026938775</v>
      </c>
      <c r="KQ297" s="10">
        <f t="shared" si="252"/>
        <v>2.8497787970068025</v>
      </c>
      <c r="KR297" s="10">
        <f t="shared" si="252"/>
        <v>0</v>
      </c>
      <c r="KS297" s="10">
        <f t="shared" si="252"/>
        <v>0</v>
      </c>
      <c r="KT297" s="10">
        <f t="shared" si="252"/>
        <v>0</v>
      </c>
      <c r="KU297" s="10">
        <f t="shared" si="252"/>
        <v>0</v>
      </c>
      <c r="KV297" s="10">
        <f t="shared" si="252"/>
        <v>0</v>
      </c>
      <c r="KW297" s="10">
        <f t="shared" si="252"/>
        <v>0</v>
      </c>
      <c r="KX297" s="10">
        <f t="shared" si="252"/>
        <v>1.7996914285714281E-2</v>
      </c>
      <c r="KY297" s="10">
        <f t="shared" si="252"/>
        <v>0</v>
      </c>
      <c r="KZ297" s="10">
        <f t="shared" si="252"/>
        <v>0</v>
      </c>
      <c r="LA297" s="10">
        <f t="shared" si="252"/>
        <v>0</v>
      </c>
      <c r="LB297" s="10">
        <f t="shared" si="252"/>
        <v>0</v>
      </c>
      <c r="LC297" s="10">
        <f t="shared" si="252"/>
        <v>0</v>
      </c>
      <c r="LD297" s="10">
        <f t="shared" si="252"/>
        <v>0</v>
      </c>
      <c r="LE297" s="10">
        <f t="shared" si="252"/>
        <v>0</v>
      </c>
      <c r="LF297" s="10">
        <f t="shared" si="252"/>
        <v>0</v>
      </c>
      <c r="LG297" s="10">
        <f t="shared" si="252"/>
        <v>0</v>
      </c>
      <c r="LH297" s="10">
        <f t="shared" si="252"/>
        <v>0</v>
      </c>
      <c r="LI297" s="10">
        <f t="shared" si="252"/>
        <v>0</v>
      </c>
      <c r="LJ297" s="10">
        <f t="shared" si="252"/>
        <v>0</v>
      </c>
      <c r="LK297" s="10">
        <f t="shared" si="252"/>
        <v>0</v>
      </c>
      <c r="LL297" s="10">
        <f t="shared" si="252"/>
        <v>0</v>
      </c>
      <c r="LM297" s="10">
        <f t="shared" si="252"/>
        <v>0</v>
      </c>
      <c r="LN297" s="10">
        <f t="shared" si="252"/>
        <v>0</v>
      </c>
      <c r="LO297" s="10">
        <f t="shared" si="252"/>
        <v>0</v>
      </c>
      <c r="LP297" s="10">
        <f t="shared" si="252"/>
        <v>0</v>
      </c>
      <c r="LQ297" s="10">
        <f t="shared" si="252"/>
        <v>0</v>
      </c>
      <c r="LR297" s="10">
        <f t="shared" si="252"/>
        <v>0</v>
      </c>
      <c r="LS297" s="10">
        <f t="shared" si="252"/>
        <v>0</v>
      </c>
      <c r="LT297" s="10">
        <f t="shared" ref="LT297:MG297" si="253">LT103/1000</f>
        <v>0</v>
      </c>
      <c r="LU297" s="10">
        <f t="shared" si="253"/>
        <v>0</v>
      </c>
      <c r="LV297" s="10">
        <f t="shared" si="253"/>
        <v>0</v>
      </c>
      <c r="LW297" s="10">
        <f t="shared" si="253"/>
        <v>0</v>
      </c>
      <c r="LX297" s="10">
        <f t="shared" si="253"/>
        <v>0</v>
      </c>
      <c r="LY297" s="10">
        <f t="shared" si="253"/>
        <v>0</v>
      </c>
      <c r="LZ297" s="10">
        <f t="shared" si="253"/>
        <v>0</v>
      </c>
      <c r="MA297" s="10">
        <f t="shared" si="253"/>
        <v>0</v>
      </c>
      <c r="MB297" s="10">
        <f t="shared" si="253"/>
        <v>0</v>
      </c>
      <c r="MC297" s="10">
        <f t="shared" si="253"/>
        <v>0</v>
      </c>
    </row>
    <row r="298" spans="1:341" s="14" customFormat="1">
      <c r="A298" s="19" t="s">
        <v>112</v>
      </c>
      <c r="B298" s="10">
        <f>B117</f>
        <v>0</v>
      </c>
      <c r="C298" s="10">
        <f t="shared" ref="C298:Z298" si="254">C117</f>
        <v>0</v>
      </c>
      <c r="D298" s="10">
        <f t="shared" si="254"/>
        <v>0</v>
      </c>
      <c r="E298" s="10">
        <f t="shared" si="254"/>
        <v>0</v>
      </c>
      <c r="F298" s="10">
        <f t="shared" si="254"/>
        <v>0</v>
      </c>
      <c r="G298" s="10">
        <f t="shared" si="254"/>
        <v>6.8308699694117632</v>
      </c>
      <c r="H298" s="10">
        <f t="shared" si="254"/>
        <v>7.3745614550588225</v>
      </c>
      <c r="I298" s="10">
        <f t="shared" si="254"/>
        <v>1.1212159938823529</v>
      </c>
      <c r="J298" s="10">
        <f t="shared" si="254"/>
        <v>2.8336453254117644</v>
      </c>
      <c r="K298" s="10">
        <f t="shared" si="254"/>
        <v>2.4981969583529406</v>
      </c>
      <c r="L298" s="10">
        <f t="shared" si="254"/>
        <v>1.569921412705882</v>
      </c>
      <c r="M298" s="10">
        <f t="shared" si="254"/>
        <v>4.9088142270588229</v>
      </c>
      <c r="N298" s="10">
        <f t="shared" si="254"/>
        <v>15.634631670823529</v>
      </c>
      <c r="O298" s="10">
        <f t="shared" si="254"/>
        <v>35.364471185647055</v>
      </c>
      <c r="P298" s="10">
        <f t="shared" si="254"/>
        <v>18.67888323905882</v>
      </c>
      <c r="Q298" s="10">
        <f t="shared" si="254"/>
        <v>22.248526489411759</v>
      </c>
      <c r="R298" s="10">
        <f t="shared" si="254"/>
        <v>1.0223394176470577</v>
      </c>
      <c r="S298" s="10">
        <f t="shared" si="254"/>
        <v>2.1906449847058811</v>
      </c>
      <c r="T298" s="10">
        <f t="shared" si="254"/>
        <v>0</v>
      </c>
      <c r="U298" s="10">
        <f t="shared" si="254"/>
        <v>0</v>
      </c>
      <c r="V298" s="10">
        <f t="shared" si="254"/>
        <v>0.21066387999999989</v>
      </c>
      <c r="W298" s="10">
        <f t="shared" si="254"/>
        <v>0.37743705011764683</v>
      </c>
      <c r="X298" s="10">
        <f t="shared" si="254"/>
        <v>1.6797104761904762E-3</v>
      </c>
      <c r="Y298" s="10">
        <f t="shared" si="254"/>
        <v>0</v>
      </c>
      <c r="Z298" s="10">
        <f t="shared" si="254"/>
        <v>0.8998212000000001</v>
      </c>
      <c r="AA298" s="11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0">
        <f>FP117/1000</f>
        <v>0.43230764211764694</v>
      </c>
      <c r="FQ298" s="10">
        <f t="shared" ref="FQ298:IB298" si="255">FQ117/1000</f>
        <v>0.26910797694117639</v>
      </c>
      <c r="FR298" s="10">
        <f t="shared" si="255"/>
        <v>0.83377939482352914</v>
      </c>
      <c r="FS298" s="10">
        <f t="shared" si="255"/>
        <v>1.4034652470588233E-2</v>
      </c>
      <c r="FT298" s="10">
        <f t="shared" si="255"/>
        <v>0.62432589552941165</v>
      </c>
      <c r="FU298" s="10">
        <f t="shared" si="255"/>
        <v>1.6067227498823526</v>
      </c>
      <c r="FV298" s="10">
        <f t="shared" si="255"/>
        <v>0.52611214682352936</v>
      </c>
      <c r="FW298" s="10">
        <f t="shared" si="255"/>
        <v>1.099976694352941</v>
      </c>
      <c r="FX298" s="10">
        <f t="shared" si="255"/>
        <v>1.1528588037647056</v>
      </c>
      <c r="FY298" s="10">
        <f t="shared" si="255"/>
        <v>0.97360718494117637</v>
      </c>
      <c r="FZ298" s="10">
        <f t="shared" si="255"/>
        <v>4.2611740936470586</v>
      </c>
      <c r="GA298" s="10">
        <f t="shared" si="255"/>
        <v>3.8406244355294112</v>
      </c>
      <c r="GB298" s="10">
        <f t="shared" si="255"/>
        <v>3.586588580235293</v>
      </c>
      <c r="GC298" s="10">
        <f t="shared" si="255"/>
        <v>0.77375027552941167</v>
      </c>
      <c r="GD298" s="10">
        <f t="shared" si="255"/>
        <v>0.2622491529411764</v>
      </c>
      <c r="GE298" s="10">
        <f t="shared" si="255"/>
        <v>2.595805516705882</v>
      </c>
      <c r="GF298" s="10">
        <f t="shared" si="255"/>
        <v>2.7489474945882346</v>
      </c>
      <c r="GG298" s="10">
        <f t="shared" si="255"/>
        <v>7.8724025668235269</v>
      </c>
      <c r="GH298" s="10">
        <f t="shared" si="255"/>
        <v>2.8994381623529408</v>
      </c>
      <c r="GI298" s="10">
        <f t="shared" si="255"/>
        <v>5.7291641597647045</v>
      </c>
      <c r="GJ298" s="10">
        <f t="shared" si="255"/>
        <v>1.453897776470588</v>
      </c>
      <c r="GK298" s="10">
        <f t="shared" si="255"/>
        <v>0.17567811388235291</v>
      </c>
      <c r="GL298" s="10">
        <f t="shared" si="255"/>
        <v>0.24219141552941173</v>
      </c>
      <c r="GM298" s="10">
        <f t="shared" si="255"/>
        <v>7.0243579708235284</v>
      </c>
      <c r="GN298" s="10">
        <f t="shared" si="255"/>
        <v>1.0052211762352938</v>
      </c>
      <c r="GO298" s="10">
        <f t="shared" si="255"/>
        <v>0.43550650541176461</v>
      </c>
      <c r="GP298" s="10">
        <f t="shared" si="255"/>
        <v>0.15443881435294113</v>
      </c>
      <c r="GQ298" s="10">
        <f t="shared" si="255"/>
        <v>0.14616787952941174</v>
      </c>
      <c r="GR298" s="10">
        <f t="shared" si="255"/>
        <v>4.1899057249411751</v>
      </c>
      <c r="GS298" s="10">
        <f t="shared" si="255"/>
        <v>1.9235254903529411</v>
      </c>
      <c r="GT298" s="10">
        <f t="shared" si="255"/>
        <v>0.57550720705882341</v>
      </c>
      <c r="GU298" s="10">
        <f t="shared" si="255"/>
        <v>1.6211032254117645</v>
      </c>
      <c r="GV298" s="10">
        <f t="shared" si="255"/>
        <v>9.4524969411764678E-3</v>
      </c>
      <c r="GW298" s="10">
        <f t="shared" si="255"/>
        <v>2.1696074152941174</v>
      </c>
      <c r="GX298" s="10">
        <f t="shared" si="255"/>
        <v>3.7290964990588229</v>
      </c>
      <c r="GY298" s="10">
        <f t="shared" si="255"/>
        <v>2.7193508044705879</v>
      </c>
      <c r="GZ298" s="10">
        <f t="shared" si="255"/>
        <v>3.8515754990588227</v>
      </c>
      <c r="HA298" s="10">
        <f t="shared" si="255"/>
        <v>4.5776021924705876</v>
      </c>
      <c r="HB298" s="10">
        <f t="shared" si="255"/>
        <v>1.5042726687058821</v>
      </c>
      <c r="HC298" s="10">
        <f t="shared" si="255"/>
        <v>8.6888043529411749E-2</v>
      </c>
      <c r="HD298" s="10">
        <f t="shared" si="255"/>
        <v>2.6030678009411763</v>
      </c>
      <c r="HE298" s="10">
        <f t="shared" si="255"/>
        <v>3.3243394272941167</v>
      </c>
      <c r="HF298" s="10">
        <f t="shared" si="255"/>
        <v>0.15138404399999997</v>
      </c>
      <c r="HG298" s="10">
        <f t="shared" si="255"/>
        <v>1.2231185218823528</v>
      </c>
      <c r="HH298" s="10">
        <f t="shared" si="255"/>
        <v>2.7815124992941169</v>
      </c>
      <c r="HI298" s="10">
        <f t="shared" si="255"/>
        <v>0.13063466047058822</v>
      </c>
      <c r="HJ298" s="10">
        <f t="shared" si="255"/>
        <v>1.060495228470588</v>
      </c>
      <c r="HK298" s="10">
        <f t="shared" si="255"/>
        <v>0.95363590329411752</v>
      </c>
      <c r="HL298" s="10">
        <f t="shared" si="255"/>
        <v>0.55060794682352898</v>
      </c>
      <c r="HM298" s="10">
        <f t="shared" si="255"/>
        <v>1.12968865882353E-2</v>
      </c>
      <c r="HN298" s="10">
        <f t="shared" si="255"/>
        <v>8.6830406352941092E-2</v>
      </c>
      <c r="HO298" s="10">
        <f t="shared" si="255"/>
        <v>0.12956837270588201</v>
      </c>
      <c r="HP298" s="10">
        <f t="shared" si="255"/>
        <v>0.195015386588235</v>
      </c>
      <c r="HQ298" s="10">
        <f t="shared" si="255"/>
        <v>4.9020418588235304E-2</v>
      </c>
      <c r="HR298" s="10">
        <f t="shared" si="255"/>
        <v>0</v>
      </c>
      <c r="HS298" s="10">
        <f t="shared" si="255"/>
        <v>0</v>
      </c>
      <c r="HT298" s="10">
        <f t="shared" si="255"/>
        <v>0</v>
      </c>
      <c r="HU298" s="10">
        <f t="shared" si="255"/>
        <v>0</v>
      </c>
      <c r="HV298" s="10">
        <f t="shared" si="255"/>
        <v>0</v>
      </c>
      <c r="HW298" s="10">
        <f t="shared" si="255"/>
        <v>0</v>
      </c>
      <c r="HX298" s="10">
        <f t="shared" si="255"/>
        <v>0.20812784423529399</v>
      </c>
      <c r="HY298" s="10">
        <f t="shared" si="255"/>
        <v>5.4409494588235296E-2</v>
      </c>
      <c r="HZ298" s="10">
        <f t="shared" si="255"/>
        <v>0.30858944282352901</v>
      </c>
      <c r="IA298" s="10">
        <f t="shared" si="255"/>
        <v>8.03174054117647E-2</v>
      </c>
      <c r="IB298" s="10">
        <f t="shared" si="255"/>
        <v>9.1326106117647007E-2</v>
      </c>
      <c r="IC298" s="10">
        <f t="shared" ref="IC298:JE298" si="256">IC117/1000</f>
        <v>0.27651435411764697</v>
      </c>
      <c r="ID298" s="10">
        <f t="shared" si="256"/>
        <v>0.10461147529411799</v>
      </c>
      <c r="IE298" s="10">
        <f t="shared" si="256"/>
        <v>0.17959744188235299</v>
      </c>
      <c r="IF298" s="10">
        <f t="shared" si="256"/>
        <v>0.28778242211764699</v>
      </c>
      <c r="IG298" s="10">
        <f t="shared" si="256"/>
        <v>0.282422164705882</v>
      </c>
      <c r="IH298" s="10">
        <f t="shared" si="256"/>
        <v>0.26271025035294099</v>
      </c>
      <c r="II298" s="10">
        <f t="shared" si="256"/>
        <v>5.42365830588235E-2</v>
      </c>
      <c r="IJ298" s="10">
        <f t="shared" si="256"/>
        <v>0</v>
      </c>
      <c r="IK298" s="10">
        <f t="shared" si="256"/>
        <v>0</v>
      </c>
      <c r="IL298" s="10">
        <f t="shared" si="256"/>
        <v>0</v>
      </c>
      <c r="IM298" s="10">
        <f t="shared" si="256"/>
        <v>0</v>
      </c>
      <c r="IN298" s="10">
        <f t="shared" si="256"/>
        <v>0</v>
      </c>
      <c r="IO298" s="10">
        <f t="shared" si="256"/>
        <v>0</v>
      </c>
      <c r="IP298" s="10">
        <f t="shared" si="256"/>
        <v>0</v>
      </c>
      <c r="IQ298" s="10">
        <f t="shared" si="256"/>
        <v>0</v>
      </c>
      <c r="IR298" s="10">
        <f t="shared" si="256"/>
        <v>0</v>
      </c>
      <c r="IS298" s="10">
        <f t="shared" si="256"/>
        <v>0</v>
      </c>
      <c r="IT298" s="10">
        <f t="shared" si="256"/>
        <v>0</v>
      </c>
      <c r="IU298" s="10">
        <f t="shared" si="256"/>
        <v>0</v>
      </c>
      <c r="IV298" s="10">
        <f t="shared" si="256"/>
        <v>0</v>
      </c>
      <c r="IW298" s="10">
        <f t="shared" si="256"/>
        <v>0</v>
      </c>
      <c r="IX298" s="10">
        <f t="shared" si="256"/>
        <v>0</v>
      </c>
      <c r="IY298" s="10">
        <f t="shared" si="256"/>
        <v>0</v>
      </c>
      <c r="IZ298" s="10">
        <f t="shared" si="256"/>
        <v>0</v>
      </c>
      <c r="JA298" s="10">
        <f t="shared" si="256"/>
        <v>0</v>
      </c>
      <c r="JB298" s="10">
        <f t="shared" si="256"/>
        <v>0</v>
      </c>
      <c r="JC298" s="10">
        <f t="shared" si="256"/>
        <v>0</v>
      </c>
      <c r="JD298" s="10">
        <f t="shared" si="256"/>
        <v>0</v>
      </c>
      <c r="JE298" s="10">
        <f t="shared" si="256"/>
        <v>0</v>
      </c>
      <c r="JF298" s="10">
        <f>JF117/1000</f>
        <v>0</v>
      </c>
      <c r="JG298" s="10">
        <f>JG117/1000</f>
        <v>0</v>
      </c>
      <c r="JH298" s="10">
        <f t="shared" ref="JH298:LS298" si="257">JH117/1000</f>
        <v>0</v>
      </c>
      <c r="JI298" s="10">
        <f t="shared" si="257"/>
        <v>0</v>
      </c>
      <c r="JJ298" s="10">
        <f t="shared" si="257"/>
        <v>0</v>
      </c>
      <c r="JK298" s="10">
        <f t="shared" si="257"/>
        <v>0</v>
      </c>
      <c r="JL298" s="10">
        <f t="shared" si="257"/>
        <v>0</v>
      </c>
      <c r="JM298" s="10">
        <f t="shared" si="257"/>
        <v>5.5043503529411727E-3</v>
      </c>
      <c r="JN298" s="10">
        <f t="shared" si="257"/>
        <v>3.6138509647058802E-2</v>
      </c>
      <c r="JO298" s="10">
        <f t="shared" si="257"/>
        <v>2.8299853647058806E-2</v>
      </c>
      <c r="JP298" s="10">
        <f t="shared" si="257"/>
        <v>3.0345973411764687E-2</v>
      </c>
      <c r="JQ298" s="10">
        <f t="shared" si="257"/>
        <v>3.1815721411764683E-2</v>
      </c>
      <c r="JR298" s="10">
        <f t="shared" si="257"/>
        <v>4.3573705411764675E-2</v>
      </c>
      <c r="JS298" s="10">
        <f t="shared" si="257"/>
        <v>3.4985766117647039E-2</v>
      </c>
      <c r="JT298" s="10">
        <f t="shared" si="257"/>
        <v>4.1959864470588207E-2</v>
      </c>
      <c r="JU298" s="10">
        <f t="shared" si="257"/>
        <v>4.49281790588235E-2</v>
      </c>
      <c r="JV298" s="10">
        <f t="shared" si="257"/>
        <v>4.8761051294117619E-2</v>
      </c>
      <c r="JW298" s="10">
        <f t="shared" si="257"/>
        <v>1.876090094117646E-2</v>
      </c>
      <c r="JX298" s="10">
        <f t="shared" si="257"/>
        <v>9.7118642352941112E-3</v>
      </c>
      <c r="JY298" s="10">
        <f t="shared" si="257"/>
        <v>4.7406577647058794E-2</v>
      </c>
      <c r="JZ298" s="10">
        <f t="shared" si="257"/>
        <v>5.5936879764705849E-2</v>
      </c>
      <c r="KA298" s="10">
        <f t="shared" si="257"/>
        <v>1.7060604235294104E-2</v>
      </c>
      <c r="KB298" s="10">
        <f t="shared" si="257"/>
        <v>2.4121158352941163E-2</v>
      </c>
      <c r="KC298" s="10">
        <f t="shared" si="257"/>
        <v>2.7752300470588218E-2</v>
      </c>
      <c r="KD298" s="10">
        <f t="shared" si="257"/>
        <v>4.1037669647058801E-2</v>
      </c>
      <c r="KE298" s="10">
        <f t="shared" si="257"/>
        <v>0</v>
      </c>
      <c r="KF298" s="10">
        <f t="shared" si="257"/>
        <v>0</v>
      </c>
      <c r="KG298" s="10">
        <f t="shared" si="257"/>
        <v>0</v>
      </c>
      <c r="KH298" s="10">
        <f t="shared" si="257"/>
        <v>0</v>
      </c>
      <c r="KI298" s="10">
        <f t="shared" si="257"/>
        <v>0</v>
      </c>
      <c r="KJ298" s="10">
        <f t="shared" si="257"/>
        <v>0</v>
      </c>
      <c r="KK298" s="10">
        <f t="shared" si="257"/>
        <v>0</v>
      </c>
      <c r="KL298" s="10">
        <f t="shared" si="257"/>
        <v>0</v>
      </c>
      <c r="KM298" s="10">
        <f t="shared" si="257"/>
        <v>1.6797104761904762E-3</v>
      </c>
      <c r="KN298" s="10">
        <f t="shared" si="257"/>
        <v>0</v>
      </c>
      <c r="KO298" s="10">
        <f t="shared" si="257"/>
        <v>0</v>
      </c>
      <c r="KP298" s="10">
        <f t="shared" si="257"/>
        <v>0</v>
      </c>
      <c r="KQ298" s="10">
        <f t="shared" si="257"/>
        <v>0</v>
      </c>
      <c r="KR298" s="10">
        <f t="shared" si="257"/>
        <v>0</v>
      </c>
      <c r="KS298" s="10">
        <f t="shared" si="257"/>
        <v>0</v>
      </c>
      <c r="KT298" s="10">
        <f t="shared" si="257"/>
        <v>0</v>
      </c>
      <c r="KU298" s="10">
        <f t="shared" si="257"/>
        <v>0</v>
      </c>
      <c r="KV298" s="10">
        <f t="shared" si="257"/>
        <v>0</v>
      </c>
      <c r="KW298" s="10">
        <f t="shared" si="257"/>
        <v>0</v>
      </c>
      <c r="KX298" s="10">
        <f t="shared" si="257"/>
        <v>0</v>
      </c>
      <c r="KY298" s="10">
        <f t="shared" si="257"/>
        <v>0</v>
      </c>
      <c r="KZ298" s="10">
        <f t="shared" si="257"/>
        <v>0</v>
      </c>
      <c r="LA298" s="10">
        <f t="shared" si="257"/>
        <v>0</v>
      </c>
      <c r="LB298" s="10">
        <f t="shared" si="257"/>
        <v>0</v>
      </c>
      <c r="LC298" s="10">
        <f t="shared" si="257"/>
        <v>0</v>
      </c>
      <c r="LD298" s="10">
        <f t="shared" si="257"/>
        <v>0</v>
      </c>
      <c r="LE298" s="10">
        <f t="shared" si="257"/>
        <v>0</v>
      </c>
      <c r="LF298" s="10">
        <f t="shared" si="257"/>
        <v>0</v>
      </c>
      <c r="LG298" s="10">
        <f t="shared" si="257"/>
        <v>0</v>
      </c>
      <c r="LH298" s="10">
        <f t="shared" si="257"/>
        <v>0.5998671000000001</v>
      </c>
      <c r="LI298" s="10">
        <f t="shared" si="257"/>
        <v>0</v>
      </c>
      <c r="LJ298" s="10">
        <f t="shared" si="257"/>
        <v>0</v>
      </c>
      <c r="LK298" s="10">
        <f t="shared" si="257"/>
        <v>0.2999541</v>
      </c>
      <c r="LL298" s="10">
        <f t="shared" si="257"/>
        <v>0</v>
      </c>
      <c r="LM298" s="10">
        <f t="shared" si="257"/>
        <v>0</v>
      </c>
      <c r="LN298" s="10">
        <f t="shared" si="257"/>
        <v>0</v>
      </c>
      <c r="LO298" s="10">
        <f t="shared" si="257"/>
        <v>0</v>
      </c>
      <c r="LP298" s="10">
        <f t="shared" si="257"/>
        <v>0</v>
      </c>
      <c r="LQ298" s="10">
        <f t="shared" si="257"/>
        <v>0</v>
      </c>
      <c r="LR298" s="10">
        <f t="shared" si="257"/>
        <v>0</v>
      </c>
      <c r="LS298" s="10">
        <f t="shared" si="257"/>
        <v>0</v>
      </c>
      <c r="LT298" s="10">
        <f t="shared" ref="LT298:MG298" si="258">LT117/1000</f>
        <v>0</v>
      </c>
      <c r="LU298" s="10">
        <f t="shared" si="258"/>
        <v>0</v>
      </c>
      <c r="LV298" s="10">
        <f t="shared" si="258"/>
        <v>0</v>
      </c>
      <c r="LW298" s="10">
        <f t="shared" si="258"/>
        <v>0</v>
      </c>
      <c r="LX298" s="10">
        <f t="shared" si="258"/>
        <v>0</v>
      </c>
      <c r="LY298" s="10">
        <f t="shared" si="258"/>
        <v>0</v>
      </c>
      <c r="LZ298" s="10">
        <f t="shared" si="258"/>
        <v>0</v>
      </c>
      <c r="MA298" s="10">
        <f t="shared" si="258"/>
        <v>0</v>
      </c>
      <c r="MB298" s="10">
        <f t="shared" si="258"/>
        <v>0</v>
      </c>
      <c r="MC298" s="10">
        <f t="shared" si="258"/>
        <v>0</v>
      </c>
    </row>
    <row r="299" spans="1:341" s="14" customFormat="1">
      <c r="A299" s="19" t="s">
        <v>136</v>
      </c>
      <c r="B299" s="10">
        <f>B141</f>
        <v>0</v>
      </c>
      <c r="C299" s="10">
        <f t="shared" ref="C299:Z299" si="259">C141</f>
        <v>0</v>
      </c>
      <c r="D299" s="10">
        <f t="shared" si="259"/>
        <v>0</v>
      </c>
      <c r="E299" s="10">
        <f t="shared" si="259"/>
        <v>0</v>
      </c>
      <c r="F299" s="10">
        <f t="shared" si="259"/>
        <v>0</v>
      </c>
      <c r="G299" s="10">
        <f t="shared" si="259"/>
        <v>0</v>
      </c>
      <c r="H299" s="10">
        <f t="shared" si="259"/>
        <v>0</v>
      </c>
      <c r="I299" s="10">
        <f t="shared" si="259"/>
        <v>0</v>
      </c>
      <c r="J299" s="10">
        <f t="shared" si="259"/>
        <v>0</v>
      </c>
      <c r="K299" s="10">
        <f t="shared" si="259"/>
        <v>0</v>
      </c>
      <c r="L299" s="10">
        <f t="shared" si="259"/>
        <v>0</v>
      </c>
      <c r="M299" s="10">
        <f t="shared" si="259"/>
        <v>0</v>
      </c>
      <c r="N299" s="10">
        <f t="shared" si="259"/>
        <v>0.90176244447058806</v>
      </c>
      <c r="O299" s="10">
        <f t="shared" si="259"/>
        <v>9.3939663884705862</v>
      </c>
      <c r="P299" s="10">
        <f t="shared" si="259"/>
        <v>29.484672265176464</v>
      </c>
      <c r="Q299" s="10">
        <f t="shared" si="259"/>
        <v>2.831368656941176</v>
      </c>
      <c r="R299" s="10">
        <f t="shared" si="259"/>
        <v>0</v>
      </c>
      <c r="S299" s="10">
        <f t="shared" si="259"/>
        <v>0</v>
      </c>
      <c r="T299" s="10">
        <f t="shared" si="259"/>
        <v>0</v>
      </c>
      <c r="U299" s="10">
        <f t="shared" si="259"/>
        <v>0</v>
      </c>
      <c r="V299" s="10">
        <f t="shared" si="259"/>
        <v>0</v>
      </c>
      <c r="W299" s="10">
        <f t="shared" si="259"/>
        <v>0</v>
      </c>
      <c r="X299" s="10">
        <f t="shared" si="259"/>
        <v>0</v>
      </c>
      <c r="Y299" s="10">
        <f t="shared" si="259"/>
        <v>0</v>
      </c>
      <c r="Z299" s="10">
        <f t="shared" si="259"/>
        <v>0</v>
      </c>
      <c r="AA299" s="11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0">
        <f>FP141/1000</f>
        <v>0</v>
      </c>
      <c r="FQ299" s="10">
        <f t="shared" ref="FQ299:IB299" si="260">FQ141/1000</f>
        <v>0</v>
      </c>
      <c r="FR299" s="10">
        <f t="shared" si="260"/>
        <v>0</v>
      </c>
      <c r="FS299" s="10">
        <f t="shared" si="260"/>
        <v>0</v>
      </c>
      <c r="FT299" s="10">
        <f t="shared" si="260"/>
        <v>0</v>
      </c>
      <c r="FU299" s="10">
        <f t="shared" si="260"/>
        <v>0</v>
      </c>
      <c r="FV299" s="10">
        <f t="shared" si="260"/>
        <v>0</v>
      </c>
      <c r="FW299" s="10">
        <f t="shared" si="260"/>
        <v>0</v>
      </c>
      <c r="FX299" s="10">
        <f t="shared" si="260"/>
        <v>0</v>
      </c>
      <c r="FY299" s="10">
        <f t="shared" si="260"/>
        <v>0</v>
      </c>
      <c r="FZ299" s="10">
        <f t="shared" si="260"/>
        <v>0.90176244447058806</v>
      </c>
      <c r="GA299" s="10">
        <f t="shared" si="260"/>
        <v>0</v>
      </c>
      <c r="GB299" s="10">
        <f t="shared" si="260"/>
        <v>2.1293478475294112</v>
      </c>
      <c r="GC299" s="10">
        <f t="shared" si="260"/>
        <v>3.6869060858823524</v>
      </c>
      <c r="GD299" s="10">
        <f t="shared" si="260"/>
        <v>2.1602701927058821</v>
      </c>
      <c r="GE299" s="10">
        <f t="shared" si="260"/>
        <v>0</v>
      </c>
      <c r="GF299" s="10">
        <f t="shared" si="260"/>
        <v>0</v>
      </c>
      <c r="GG299" s="10">
        <f t="shared" si="260"/>
        <v>0</v>
      </c>
      <c r="GH299" s="10">
        <f t="shared" si="260"/>
        <v>0.85556624752941157</v>
      </c>
      <c r="GI299" s="10">
        <f t="shared" si="260"/>
        <v>0</v>
      </c>
      <c r="GJ299" s="10">
        <f t="shared" si="260"/>
        <v>0.56187601482352934</v>
      </c>
      <c r="GK299" s="10">
        <f t="shared" si="260"/>
        <v>0</v>
      </c>
      <c r="GL299" s="10">
        <f t="shared" si="260"/>
        <v>0</v>
      </c>
      <c r="GM299" s="10">
        <f t="shared" si="260"/>
        <v>0</v>
      </c>
      <c r="GN299" s="10">
        <f t="shared" si="260"/>
        <v>0</v>
      </c>
      <c r="GO299" s="10">
        <f t="shared" si="260"/>
        <v>7.4753976952941166</v>
      </c>
      <c r="GP299" s="10">
        <f t="shared" si="260"/>
        <v>2.0217968762352938</v>
      </c>
      <c r="GQ299" s="10">
        <f t="shared" si="260"/>
        <v>2.8807637171764706</v>
      </c>
      <c r="GR299" s="10">
        <f t="shared" si="260"/>
        <v>3.1310531559999997</v>
      </c>
      <c r="GS299" s="10">
        <f t="shared" si="260"/>
        <v>2.3485708482352941</v>
      </c>
      <c r="GT299" s="10">
        <f t="shared" si="260"/>
        <v>0</v>
      </c>
      <c r="GU299" s="10">
        <f t="shared" si="260"/>
        <v>2.8656339583529409</v>
      </c>
      <c r="GV299" s="10">
        <f t="shared" si="260"/>
        <v>2.9142797352941172</v>
      </c>
      <c r="GW299" s="10">
        <f t="shared" si="260"/>
        <v>1.9569838712941172</v>
      </c>
      <c r="GX299" s="10">
        <f t="shared" si="260"/>
        <v>3.890192407294117</v>
      </c>
      <c r="GY299" s="10">
        <f t="shared" si="260"/>
        <v>0</v>
      </c>
      <c r="GZ299" s="10">
        <f t="shared" si="260"/>
        <v>0</v>
      </c>
      <c r="HA299" s="10">
        <f t="shared" si="260"/>
        <v>0</v>
      </c>
      <c r="HB299" s="10">
        <f t="shared" si="260"/>
        <v>1.455943896235294</v>
      </c>
      <c r="HC299" s="10">
        <f t="shared" si="260"/>
        <v>0</v>
      </c>
      <c r="HD299" s="10">
        <f t="shared" si="260"/>
        <v>1.3752230305882351</v>
      </c>
      <c r="HE299" s="10">
        <f t="shared" si="260"/>
        <v>0</v>
      </c>
      <c r="HF299" s="10">
        <f t="shared" si="260"/>
        <v>0</v>
      </c>
      <c r="HG299" s="10">
        <f t="shared" si="260"/>
        <v>0</v>
      </c>
      <c r="HH299" s="10">
        <f t="shared" si="260"/>
        <v>0</v>
      </c>
      <c r="HI299" s="10">
        <f t="shared" si="260"/>
        <v>0</v>
      </c>
      <c r="HJ299" s="10">
        <f t="shared" si="260"/>
        <v>2.0173011764705877E-4</v>
      </c>
      <c r="HK299" s="10">
        <f t="shared" si="260"/>
        <v>0</v>
      </c>
      <c r="HL299" s="10">
        <f t="shared" si="260"/>
        <v>0</v>
      </c>
      <c r="HM299" s="10">
        <f t="shared" si="260"/>
        <v>0</v>
      </c>
      <c r="HN299" s="10">
        <f t="shared" si="260"/>
        <v>0</v>
      </c>
      <c r="HO299" s="10">
        <f t="shared" si="260"/>
        <v>0</v>
      </c>
      <c r="HP299" s="10">
        <f t="shared" si="260"/>
        <v>0</v>
      </c>
      <c r="HQ299" s="10">
        <f t="shared" si="260"/>
        <v>0</v>
      </c>
      <c r="HR299" s="10">
        <f t="shared" si="260"/>
        <v>0</v>
      </c>
      <c r="HS299" s="10">
        <f t="shared" si="260"/>
        <v>0</v>
      </c>
      <c r="HT299" s="10">
        <f t="shared" si="260"/>
        <v>0</v>
      </c>
      <c r="HU299" s="10">
        <f t="shared" si="260"/>
        <v>0</v>
      </c>
      <c r="HV299" s="10">
        <f t="shared" si="260"/>
        <v>0</v>
      </c>
      <c r="HW299" s="10">
        <f t="shared" si="260"/>
        <v>0</v>
      </c>
      <c r="HX299" s="10">
        <f t="shared" si="260"/>
        <v>0</v>
      </c>
      <c r="HY299" s="10">
        <f t="shared" si="260"/>
        <v>0</v>
      </c>
      <c r="HZ299" s="10">
        <f t="shared" si="260"/>
        <v>0</v>
      </c>
      <c r="IA299" s="10">
        <f t="shared" si="260"/>
        <v>0</v>
      </c>
      <c r="IB299" s="10">
        <f t="shared" si="260"/>
        <v>0</v>
      </c>
      <c r="IC299" s="10">
        <f t="shared" ref="IC299:JE299" si="261">IC141/1000</f>
        <v>0</v>
      </c>
      <c r="ID299" s="10">
        <f t="shared" si="261"/>
        <v>0</v>
      </c>
      <c r="IE299" s="10">
        <f t="shared" si="261"/>
        <v>0</v>
      </c>
      <c r="IF299" s="10">
        <f t="shared" si="261"/>
        <v>0</v>
      </c>
      <c r="IG299" s="10">
        <f t="shared" si="261"/>
        <v>0</v>
      </c>
      <c r="IH299" s="10">
        <f t="shared" si="261"/>
        <v>0</v>
      </c>
      <c r="II299" s="10">
        <f t="shared" si="261"/>
        <v>0</v>
      </c>
      <c r="IJ299" s="10">
        <f t="shared" si="261"/>
        <v>0</v>
      </c>
      <c r="IK299" s="10">
        <f t="shared" si="261"/>
        <v>0</v>
      </c>
      <c r="IL299" s="10">
        <f t="shared" si="261"/>
        <v>0</v>
      </c>
      <c r="IM299" s="10">
        <f t="shared" si="261"/>
        <v>0</v>
      </c>
      <c r="IN299" s="10">
        <f t="shared" si="261"/>
        <v>0</v>
      </c>
      <c r="IO299" s="10">
        <f t="shared" si="261"/>
        <v>0</v>
      </c>
      <c r="IP299" s="10">
        <f t="shared" si="261"/>
        <v>0</v>
      </c>
      <c r="IQ299" s="10">
        <f t="shared" si="261"/>
        <v>0</v>
      </c>
      <c r="IR299" s="10">
        <f t="shared" si="261"/>
        <v>0</v>
      </c>
      <c r="IS299" s="10">
        <f t="shared" si="261"/>
        <v>0</v>
      </c>
      <c r="IT299" s="10">
        <f t="shared" si="261"/>
        <v>0</v>
      </c>
      <c r="IU299" s="10">
        <f t="shared" si="261"/>
        <v>0</v>
      </c>
      <c r="IV299" s="10">
        <f t="shared" si="261"/>
        <v>0</v>
      </c>
      <c r="IW299" s="10">
        <f t="shared" si="261"/>
        <v>0</v>
      </c>
      <c r="IX299" s="10">
        <f t="shared" si="261"/>
        <v>0</v>
      </c>
      <c r="IY299" s="10">
        <f t="shared" si="261"/>
        <v>0</v>
      </c>
      <c r="IZ299" s="10">
        <f t="shared" si="261"/>
        <v>0</v>
      </c>
      <c r="JA299" s="10">
        <f t="shared" si="261"/>
        <v>0</v>
      </c>
      <c r="JB299" s="10">
        <f t="shared" si="261"/>
        <v>0</v>
      </c>
      <c r="JC299" s="10">
        <f t="shared" si="261"/>
        <v>0</v>
      </c>
      <c r="JD299" s="10">
        <f t="shared" si="261"/>
        <v>0</v>
      </c>
      <c r="JE299" s="10">
        <f t="shared" si="261"/>
        <v>0</v>
      </c>
      <c r="JF299" s="10">
        <f>JF141/1000</f>
        <v>0</v>
      </c>
      <c r="JG299" s="10">
        <f>JG141/1000</f>
        <v>0</v>
      </c>
      <c r="JH299" s="10">
        <f t="shared" ref="JH299:LS299" si="262">JH141/1000</f>
        <v>0</v>
      </c>
      <c r="JI299" s="10">
        <f t="shared" si="262"/>
        <v>0</v>
      </c>
      <c r="JJ299" s="10">
        <f t="shared" si="262"/>
        <v>0</v>
      </c>
      <c r="JK299" s="10">
        <f t="shared" si="262"/>
        <v>0</v>
      </c>
      <c r="JL299" s="10">
        <f t="shared" si="262"/>
        <v>0</v>
      </c>
      <c r="JM299" s="10">
        <f t="shared" si="262"/>
        <v>0</v>
      </c>
      <c r="JN299" s="10">
        <f t="shared" si="262"/>
        <v>0</v>
      </c>
      <c r="JO299" s="10">
        <f t="shared" si="262"/>
        <v>0</v>
      </c>
      <c r="JP299" s="10">
        <f t="shared" si="262"/>
        <v>0</v>
      </c>
      <c r="JQ299" s="10">
        <f t="shared" si="262"/>
        <v>0</v>
      </c>
      <c r="JR299" s="10">
        <f t="shared" si="262"/>
        <v>0</v>
      </c>
      <c r="JS299" s="10">
        <f t="shared" si="262"/>
        <v>0</v>
      </c>
      <c r="JT299" s="10">
        <f t="shared" si="262"/>
        <v>0</v>
      </c>
      <c r="JU299" s="10">
        <f t="shared" si="262"/>
        <v>0</v>
      </c>
      <c r="JV299" s="10">
        <f t="shared" si="262"/>
        <v>0</v>
      </c>
      <c r="JW299" s="10">
        <f t="shared" si="262"/>
        <v>0</v>
      </c>
      <c r="JX299" s="10">
        <f t="shared" si="262"/>
        <v>0</v>
      </c>
      <c r="JY299" s="10">
        <f t="shared" si="262"/>
        <v>0</v>
      </c>
      <c r="JZ299" s="10">
        <f t="shared" si="262"/>
        <v>0</v>
      </c>
      <c r="KA299" s="10">
        <f t="shared" si="262"/>
        <v>0</v>
      </c>
      <c r="KB299" s="10">
        <f t="shared" si="262"/>
        <v>0</v>
      </c>
      <c r="KC299" s="10">
        <f t="shared" si="262"/>
        <v>0</v>
      </c>
      <c r="KD299" s="10">
        <f t="shared" si="262"/>
        <v>0</v>
      </c>
      <c r="KE299" s="10">
        <f t="shared" si="262"/>
        <v>0</v>
      </c>
      <c r="KF299" s="10">
        <f t="shared" si="262"/>
        <v>0</v>
      </c>
      <c r="KG299" s="10">
        <f t="shared" si="262"/>
        <v>0</v>
      </c>
      <c r="KH299" s="10">
        <f t="shared" si="262"/>
        <v>0</v>
      </c>
      <c r="KI299" s="10">
        <f t="shared" si="262"/>
        <v>0</v>
      </c>
      <c r="KJ299" s="10">
        <f t="shared" si="262"/>
        <v>0</v>
      </c>
      <c r="KK299" s="10">
        <f t="shared" si="262"/>
        <v>0</v>
      </c>
      <c r="KL299" s="10">
        <f t="shared" si="262"/>
        <v>0</v>
      </c>
      <c r="KM299" s="10">
        <f t="shared" si="262"/>
        <v>0</v>
      </c>
      <c r="KN299" s="10">
        <f t="shared" si="262"/>
        <v>0</v>
      </c>
      <c r="KO299" s="10">
        <f t="shared" si="262"/>
        <v>0</v>
      </c>
      <c r="KP299" s="10">
        <f t="shared" si="262"/>
        <v>0</v>
      </c>
      <c r="KQ299" s="10">
        <f t="shared" si="262"/>
        <v>0</v>
      </c>
      <c r="KR299" s="10">
        <f t="shared" si="262"/>
        <v>0</v>
      </c>
      <c r="KS299" s="10">
        <f t="shared" si="262"/>
        <v>0</v>
      </c>
      <c r="KT299" s="10">
        <f t="shared" si="262"/>
        <v>0</v>
      </c>
      <c r="KU299" s="10">
        <f t="shared" si="262"/>
        <v>0</v>
      </c>
      <c r="KV299" s="10">
        <f t="shared" si="262"/>
        <v>0</v>
      </c>
      <c r="KW299" s="10">
        <f t="shared" si="262"/>
        <v>0</v>
      </c>
      <c r="KX299" s="10">
        <f t="shared" si="262"/>
        <v>0</v>
      </c>
      <c r="KY299" s="10">
        <f t="shared" si="262"/>
        <v>0</v>
      </c>
      <c r="KZ299" s="10">
        <f t="shared" si="262"/>
        <v>0</v>
      </c>
      <c r="LA299" s="10">
        <f t="shared" si="262"/>
        <v>0</v>
      </c>
      <c r="LB299" s="10">
        <f t="shared" si="262"/>
        <v>0</v>
      </c>
      <c r="LC299" s="10">
        <f t="shared" si="262"/>
        <v>0</v>
      </c>
      <c r="LD299" s="10">
        <f t="shared" si="262"/>
        <v>0</v>
      </c>
      <c r="LE299" s="10">
        <f t="shared" si="262"/>
        <v>0</v>
      </c>
      <c r="LF299" s="10">
        <f t="shared" si="262"/>
        <v>0</v>
      </c>
      <c r="LG299" s="10">
        <f t="shared" si="262"/>
        <v>0</v>
      </c>
      <c r="LH299" s="10">
        <f t="shared" si="262"/>
        <v>0</v>
      </c>
      <c r="LI299" s="10">
        <f t="shared" si="262"/>
        <v>0</v>
      </c>
      <c r="LJ299" s="10">
        <f t="shared" si="262"/>
        <v>0</v>
      </c>
      <c r="LK299" s="10">
        <f t="shared" si="262"/>
        <v>0</v>
      </c>
      <c r="LL299" s="10">
        <f t="shared" si="262"/>
        <v>0</v>
      </c>
      <c r="LM299" s="10">
        <f t="shared" si="262"/>
        <v>0</v>
      </c>
      <c r="LN299" s="10">
        <f t="shared" si="262"/>
        <v>0</v>
      </c>
      <c r="LO299" s="10">
        <f t="shared" si="262"/>
        <v>0</v>
      </c>
      <c r="LP299" s="10">
        <f t="shared" si="262"/>
        <v>0</v>
      </c>
      <c r="LQ299" s="10">
        <f t="shared" si="262"/>
        <v>0</v>
      </c>
      <c r="LR299" s="10">
        <f t="shared" si="262"/>
        <v>0</v>
      </c>
      <c r="LS299" s="10">
        <f t="shared" si="262"/>
        <v>0</v>
      </c>
      <c r="LT299" s="10">
        <f t="shared" ref="LT299:MG299" si="263">LT141/1000</f>
        <v>0</v>
      </c>
      <c r="LU299" s="10">
        <f t="shared" si="263"/>
        <v>0</v>
      </c>
      <c r="LV299" s="10">
        <f t="shared" si="263"/>
        <v>0</v>
      </c>
      <c r="LW299" s="10">
        <f t="shared" si="263"/>
        <v>0</v>
      </c>
      <c r="LX299" s="10">
        <f t="shared" si="263"/>
        <v>0</v>
      </c>
      <c r="LY299" s="10">
        <f t="shared" si="263"/>
        <v>0</v>
      </c>
      <c r="LZ299" s="10">
        <f t="shared" si="263"/>
        <v>0</v>
      </c>
      <c r="MA299" s="10">
        <f t="shared" si="263"/>
        <v>0</v>
      </c>
      <c r="MB299" s="10">
        <f t="shared" si="263"/>
        <v>0</v>
      </c>
      <c r="MC299" s="10">
        <f t="shared" si="263"/>
        <v>0</v>
      </c>
    </row>
    <row r="300" spans="1:341" s="14" customFormat="1">
      <c r="A300" s="19" t="s">
        <v>227</v>
      </c>
      <c r="B300" s="10">
        <f>B234</f>
        <v>0</v>
      </c>
      <c r="C300" s="10">
        <f t="shared" ref="C300:Z300" si="264">C234</f>
        <v>0</v>
      </c>
      <c r="D300" s="10">
        <f t="shared" si="264"/>
        <v>0</v>
      </c>
      <c r="E300" s="10">
        <f t="shared" si="264"/>
        <v>0</v>
      </c>
      <c r="F300" s="10">
        <f t="shared" si="264"/>
        <v>0</v>
      </c>
      <c r="G300" s="10">
        <f t="shared" si="264"/>
        <v>0</v>
      </c>
      <c r="H300" s="10">
        <f t="shared" si="264"/>
        <v>0</v>
      </c>
      <c r="I300" s="10">
        <f t="shared" si="264"/>
        <v>0</v>
      </c>
      <c r="J300" s="10">
        <f t="shared" si="264"/>
        <v>0</v>
      </c>
      <c r="K300" s="10">
        <f t="shared" si="264"/>
        <v>0</v>
      </c>
      <c r="L300" s="10">
        <f t="shared" si="264"/>
        <v>0</v>
      </c>
      <c r="M300" s="10">
        <f t="shared" si="264"/>
        <v>0</v>
      </c>
      <c r="N300" s="10">
        <f t="shared" si="264"/>
        <v>0</v>
      </c>
      <c r="O300" s="10">
        <f t="shared" si="264"/>
        <v>11.78913689388235</v>
      </c>
      <c r="P300" s="10">
        <f t="shared" si="264"/>
        <v>155.79219289364701</v>
      </c>
      <c r="Q300" s="10">
        <f t="shared" si="264"/>
        <v>25.95125398023529</v>
      </c>
      <c r="R300" s="10">
        <f t="shared" si="264"/>
        <v>0</v>
      </c>
      <c r="S300" s="10">
        <f t="shared" si="264"/>
        <v>0</v>
      </c>
      <c r="T300" s="10">
        <f t="shared" si="264"/>
        <v>0</v>
      </c>
      <c r="U300" s="10">
        <f t="shared" si="264"/>
        <v>127.51426560352934</v>
      </c>
      <c r="V300" s="10">
        <f t="shared" si="264"/>
        <v>45.100139574823501</v>
      </c>
      <c r="W300" s="10">
        <f t="shared" si="264"/>
        <v>155.26008648047048</v>
      </c>
      <c r="X300" s="10">
        <f t="shared" si="264"/>
        <v>434.40069439156457</v>
      </c>
      <c r="Y300" s="10">
        <f t="shared" si="264"/>
        <v>290.26134238114281</v>
      </c>
      <c r="Z300" s="10">
        <f t="shared" si="264"/>
        <v>0</v>
      </c>
      <c r="AA300" s="11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0">
        <f>FP234/1000</f>
        <v>0</v>
      </c>
      <c r="FQ300" s="10">
        <f t="shared" ref="FQ300:IB300" si="265">FQ234/1000</f>
        <v>0</v>
      </c>
      <c r="FR300" s="10">
        <f t="shared" si="265"/>
        <v>0</v>
      </c>
      <c r="FS300" s="10">
        <f t="shared" si="265"/>
        <v>0</v>
      </c>
      <c r="FT300" s="10">
        <f t="shared" si="265"/>
        <v>0</v>
      </c>
      <c r="FU300" s="10">
        <f t="shared" si="265"/>
        <v>0</v>
      </c>
      <c r="FV300" s="10">
        <f t="shared" si="265"/>
        <v>0</v>
      </c>
      <c r="FW300" s="10">
        <f t="shared" si="265"/>
        <v>0</v>
      </c>
      <c r="FX300" s="10">
        <f t="shared" si="265"/>
        <v>0</v>
      </c>
      <c r="FY300" s="10">
        <f t="shared" si="265"/>
        <v>0</v>
      </c>
      <c r="FZ300" s="10">
        <f t="shared" si="265"/>
        <v>0</v>
      </c>
      <c r="GA300" s="10">
        <f t="shared" si="265"/>
        <v>0</v>
      </c>
      <c r="GB300" s="10">
        <f t="shared" si="265"/>
        <v>0</v>
      </c>
      <c r="GC300" s="10">
        <f t="shared" si="265"/>
        <v>0</v>
      </c>
      <c r="GD300" s="10">
        <f t="shared" si="265"/>
        <v>0</v>
      </c>
      <c r="GE300" s="10">
        <f t="shared" si="265"/>
        <v>0</v>
      </c>
      <c r="GF300" s="10">
        <f t="shared" si="265"/>
        <v>0</v>
      </c>
      <c r="GG300" s="10">
        <f t="shared" si="265"/>
        <v>0</v>
      </c>
      <c r="GH300" s="10">
        <f t="shared" si="265"/>
        <v>1.1527435294117645</v>
      </c>
      <c r="GI300" s="10">
        <f t="shared" si="265"/>
        <v>0</v>
      </c>
      <c r="GJ300" s="10">
        <f t="shared" si="265"/>
        <v>0</v>
      </c>
      <c r="GK300" s="10">
        <f t="shared" si="265"/>
        <v>2.2556020825882346</v>
      </c>
      <c r="GL300" s="10">
        <f t="shared" si="265"/>
        <v>2.8817147305882349</v>
      </c>
      <c r="GM300" s="10">
        <f t="shared" si="265"/>
        <v>5.4990765512941167</v>
      </c>
      <c r="GN300" s="10">
        <f t="shared" si="265"/>
        <v>14.650592156941174</v>
      </c>
      <c r="GO300" s="10">
        <f t="shared" si="265"/>
        <v>9.1986916345882328</v>
      </c>
      <c r="GP300" s="10">
        <f t="shared" si="265"/>
        <v>5.9286464275294097</v>
      </c>
      <c r="GQ300" s="10">
        <f t="shared" si="265"/>
        <v>9.9698770557647052</v>
      </c>
      <c r="GR300" s="10">
        <f t="shared" si="265"/>
        <v>11.166655387999997</v>
      </c>
      <c r="GS300" s="10">
        <f t="shared" si="265"/>
        <v>12.411820129882351</v>
      </c>
      <c r="GT300" s="10">
        <f t="shared" si="265"/>
        <v>7.4897493522352923</v>
      </c>
      <c r="GU300" s="10">
        <f t="shared" si="265"/>
        <v>15.850828719764703</v>
      </c>
      <c r="GV300" s="10">
        <f t="shared" si="265"/>
        <v>30.413956461411757</v>
      </c>
      <c r="GW300" s="10">
        <f t="shared" si="265"/>
        <v>14.779267153411764</v>
      </c>
      <c r="GX300" s="10">
        <f t="shared" si="265"/>
        <v>12.290753240705879</v>
      </c>
      <c r="GY300" s="10">
        <f t="shared" si="265"/>
        <v>11.641355173411762</v>
      </c>
      <c r="GZ300" s="10">
        <f t="shared" si="265"/>
        <v>7.0619085912941166</v>
      </c>
      <c r="HA300" s="10">
        <f t="shared" si="265"/>
        <v>0</v>
      </c>
      <c r="HB300" s="10">
        <f t="shared" si="265"/>
        <v>10.939680187058823</v>
      </c>
      <c r="HC300" s="10">
        <f t="shared" si="265"/>
        <v>0.44510309529411757</v>
      </c>
      <c r="HD300" s="10">
        <f t="shared" si="265"/>
        <v>0</v>
      </c>
      <c r="HE300" s="10">
        <f t="shared" si="265"/>
        <v>0</v>
      </c>
      <c r="HF300" s="10">
        <f t="shared" si="265"/>
        <v>0</v>
      </c>
      <c r="HG300" s="10">
        <f t="shared" si="265"/>
        <v>2.0208170442352937</v>
      </c>
      <c r="HH300" s="10">
        <f t="shared" si="265"/>
        <v>0</v>
      </c>
      <c r="HI300" s="10">
        <f t="shared" si="265"/>
        <v>3.1723213743529404</v>
      </c>
      <c r="HJ300" s="10">
        <f t="shared" si="265"/>
        <v>2.3114236879999996</v>
      </c>
      <c r="HK300" s="10">
        <f t="shared" si="265"/>
        <v>0</v>
      </c>
      <c r="HL300" s="10">
        <f t="shared" si="265"/>
        <v>0</v>
      </c>
      <c r="HM300" s="10">
        <f t="shared" si="265"/>
        <v>0</v>
      </c>
      <c r="HN300" s="10">
        <f t="shared" si="265"/>
        <v>0</v>
      </c>
      <c r="HO300" s="10">
        <f t="shared" si="265"/>
        <v>0</v>
      </c>
      <c r="HP300" s="10">
        <f t="shared" si="265"/>
        <v>0</v>
      </c>
      <c r="HQ300" s="10">
        <f t="shared" si="265"/>
        <v>0</v>
      </c>
      <c r="HR300" s="10">
        <f t="shared" si="265"/>
        <v>0</v>
      </c>
      <c r="HS300" s="10">
        <f t="shared" si="265"/>
        <v>0</v>
      </c>
      <c r="HT300" s="10">
        <f t="shared" si="265"/>
        <v>0</v>
      </c>
      <c r="HU300" s="10">
        <f t="shared" si="265"/>
        <v>0</v>
      </c>
      <c r="HV300" s="10">
        <f t="shared" si="265"/>
        <v>0</v>
      </c>
      <c r="HW300" s="10">
        <f t="shared" si="265"/>
        <v>0</v>
      </c>
      <c r="HX300" s="10">
        <f t="shared" si="265"/>
        <v>0</v>
      </c>
      <c r="HY300" s="10">
        <f t="shared" si="265"/>
        <v>0</v>
      </c>
      <c r="HZ300" s="10">
        <f t="shared" si="265"/>
        <v>0</v>
      </c>
      <c r="IA300" s="10">
        <f t="shared" si="265"/>
        <v>0</v>
      </c>
      <c r="IB300" s="10">
        <f t="shared" si="265"/>
        <v>0</v>
      </c>
      <c r="IC300" s="10">
        <f t="shared" ref="IC300:JE300" si="266">IC234/1000</f>
        <v>0</v>
      </c>
      <c r="ID300" s="10">
        <f t="shared" si="266"/>
        <v>0</v>
      </c>
      <c r="IE300" s="10">
        <f t="shared" si="266"/>
        <v>0</v>
      </c>
      <c r="IF300" s="10">
        <f t="shared" si="266"/>
        <v>0</v>
      </c>
      <c r="IG300" s="10">
        <f t="shared" si="266"/>
        <v>0</v>
      </c>
      <c r="IH300" s="10">
        <f t="shared" si="266"/>
        <v>0</v>
      </c>
      <c r="II300" s="10">
        <f t="shared" si="266"/>
        <v>0</v>
      </c>
      <c r="IJ300" s="10">
        <f t="shared" si="266"/>
        <v>0</v>
      </c>
      <c r="IK300" s="10">
        <f t="shared" si="266"/>
        <v>0</v>
      </c>
      <c r="IL300" s="10">
        <f t="shared" si="266"/>
        <v>0</v>
      </c>
      <c r="IM300" s="10">
        <f t="shared" si="266"/>
        <v>0</v>
      </c>
      <c r="IN300" s="10">
        <f t="shared" si="266"/>
        <v>0</v>
      </c>
      <c r="IO300" s="10">
        <f t="shared" si="266"/>
        <v>0</v>
      </c>
      <c r="IP300" s="10">
        <f t="shared" si="266"/>
        <v>0</v>
      </c>
      <c r="IQ300" s="10">
        <f t="shared" si="266"/>
        <v>0</v>
      </c>
      <c r="IR300" s="10">
        <f t="shared" si="266"/>
        <v>0</v>
      </c>
      <c r="IS300" s="10">
        <f t="shared" si="266"/>
        <v>0</v>
      </c>
      <c r="IT300" s="10">
        <f t="shared" si="266"/>
        <v>0</v>
      </c>
      <c r="IU300" s="10">
        <f t="shared" si="266"/>
        <v>0</v>
      </c>
      <c r="IV300" s="10">
        <f t="shared" si="266"/>
        <v>0</v>
      </c>
      <c r="IW300" s="10">
        <f t="shared" si="266"/>
        <v>0</v>
      </c>
      <c r="IX300" s="10">
        <f t="shared" si="266"/>
        <v>6.1437726000000001</v>
      </c>
      <c r="IY300" s="10">
        <f t="shared" si="266"/>
        <v>0</v>
      </c>
      <c r="IZ300" s="10">
        <f t="shared" si="266"/>
        <v>5.1854150369411736</v>
      </c>
      <c r="JA300" s="10">
        <f t="shared" si="266"/>
        <v>5.0438869501176438</v>
      </c>
      <c r="JB300" s="10">
        <f t="shared" si="266"/>
        <v>0</v>
      </c>
      <c r="JC300" s="10">
        <f t="shared" si="266"/>
        <v>0</v>
      </c>
      <c r="JD300" s="10">
        <f t="shared" si="266"/>
        <v>11.247260979294111</v>
      </c>
      <c r="JE300" s="10">
        <f t="shared" si="266"/>
        <v>22.1252693875294</v>
      </c>
      <c r="JF300" s="10">
        <f>JF234/1000</f>
        <v>31.954684644235272</v>
      </c>
      <c r="JG300" s="10">
        <f>JG234/1000</f>
        <v>45.813976005411739</v>
      </c>
      <c r="JH300" s="10">
        <f t="shared" ref="JH300:LS300" si="267">JH234/1000</f>
        <v>0</v>
      </c>
      <c r="JI300" s="10">
        <f t="shared" si="267"/>
        <v>0</v>
      </c>
      <c r="JJ300" s="10">
        <f t="shared" si="267"/>
        <v>0</v>
      </c>
      <c r="JK300" s="10">
        <f t="shared" si="267"/>
        <v>0</v>
      </c>
      <c r="JL300" s="10">
        <f t="shared" si="267"/>
        <v>0</v>
      </c>
      <c r="JM300" s="10">
        <f t="shared" si="267"/>
        <v>0</v>
      </c>
      <c r="JN300" s="10">
        <f t="shared" si="267"/>
        <v>5.2501415861176435</v>
      </c>
      <c r="JO300" s="10">
        <f t="shared" si="267"/>
        <v>2.9610523039999985</v>
      </c>
      <c r="JP300" s="10">
        <f t="shared" si="267"/>
        <v>5.6408351868235256</v>
      </c>
      <c r="JQ300" s="10">
        <f t="shared" si="267"/>
        <v>5.5850423999999963</v>
      </c>
      <c r="JR300" s="10">
        <f t="shared" si="267"/>
        <v>11.531844538117639</v>
      </c>
      <c r="JS300" s="10">
        <f t="shared" si="267"/>
        <v>14.131223559764697</v>
      </c>
      <c r="JT300" s="10">
        <f t="shared" si="267"/>
        <v>12.241358180470581</v>
      </c>
      <c r="JU300" s="10">
        <f t="shared" si="267"/>
        <v>8.0347953115294075</v>
      </c>
      <c r="JV300" s="10">
        <f t="shared" si="267"/>
        <v>2.0631515503529401</v>
      </c>
      <c r="JW300" s="10">
        <f t="shared" si="267"/>
        <v>7.8004713705882303</v>
      </c>
      <c r="JX300" s="10">
        <f t="shared" si="267"/>
        <v>1.031215542823529</v>
      </c>
      <c r="JY300" s="10">
        <f t="shared" si="267"/>
        <v>8.6707639167058765</v>
      </c>
      <c r="JZ300" s="10">
        <f t="shared" si="267"/>
        <v>24.343320849647043</v>
      </c>
      <c r="KA300" s="10">
        <f t="shared" si="267"/>
        <v>20.70661674447058</v>
      </c>
      <c r="KB300" s="10">
        <f t="shared" si="267"/>
        <v>26.492178881411746</v>
      </c>
      <c r="KC300" s="10">
        <f t="shared" si="267"/>
        <v>22.149275271529397</v>
      </c>
      <c r="KD300" s="10">
        <f t="shared" si="267"/>
        <v>21.726938860941164</v>
      </c>
      <c r="KE300" s="10">
        <f t="shared" si="267"/>
        <v>0</v>
      </c>
      <c r="KF300" s="10">
        <f t="shared" si="267"/>
        <v>0</v>
      </c>
      <c r="KG300" s="10">
        <f t="shared" si="267"/>
        <v>0</v>
      </c>
      <c r="KH300" s="10">
        <f t="shared" si="267"/>
        <v>10.891992598367347</v>
      </c>
      <c r="KI300" s="10">
        <f t="shared" si="267"/>
        <v>22.210481683537413</v>
      </c>
      <c r="KJ300" s="10">
        <f t="shared" si="267"/>
        <v>30.313105072380957</v>
      </c>
      <c r="KK300" s="10">
        <f t="shared" si="267"/>
        <v>34.591657598367341</v>
      </c>
      <c r="KL300" s="10">
        <f t="shared" si="267"/>
        <v>49.865444927346935</v>
      </c>
      <c r="KM300" s="10">
        <f t="shared" si="267"/>
        <v>47.910081964081627</v>
      </c>
      <c r="KN300" s="10">
        <f t="shared" si="267"/>
        <v>45.154456938231284</v>
      </c>
      <c r="KO300" s="10">
        <f t="shared" si="267"/>
        <v>54.650760105034017</v>
      </c>
      <c r="KP300" s="10">
        <f t="shared" si="267"/>
        <v>60.53457593931973</v>
      </c>
      <c r="KQ300" s="10">
        <f t="shared" si="267"/>
        <v>78.278137564897975</v>
      </c>
      <c r="KR300" s="10">
        <f t="shared" si="267"/>
        <v>0</v>
      </c>
      <c r="KS300" s="10">
        <f t="shared" si="267"/>
        <v>18.402654718285714</v>
      </c>
      <c r="KT300" s="10">
        <f t="shared" si="267"/>
        <v>28.409688932571431</v>
      </c>
      <c r="KU300" s="10">
        <f t="shared" si="267"/>
        <v>22.855361266285716</v>
      </c>
      <c r="KV300" s="10">
        <f t="shared" si="267"/>
        <v>32.712151241142863</v>
      </c>
      <c r="KW300" s="10">
        <f t="shared" si="267"/>
        <v>69.127227586285713</v>
      </c>
      <c r="KX300" s="10">
        <f t="shared" si="267"/>
        <v>64.357685362285707</v>
      </c>
      <c r="KY300" s="10">
        <f t="shared" si="267"/>
        <v>54.396573274285714</v>
      </c>
      <c r="KZ300" s="10">
        <f t="shared" si="267"/>
        <v>0</v>
      </c>
      <c r="LA300" s="10">
        <f t="shared" si="267"/>
        <v>0</v>
      </c>
      <c r="LB300" s="10">
        <f t="shared" si="267"/>
        <v>0</v>
      </c>
      <c r="LC300" s="10">
        <f t="shared" si="267"/>
        <v>0</v>
      </c>
      <c r="LD300" s="10">
        <f t="shared" si="267"/>
        <v>0</v>
      </c>
      <c r="LE300" s="10">
        <f t="shared" si="267"/>
        <v>0</v>
      </c>
      <c r="LF300" s="10">
        <f t="shared" si="267"/>
        <v>0</v>
      </c>
      <c r="LG300" s="10">
        <f t="shared" si="267"/>
        <v>0</v>
      </c>
      <c r="LH300" s="10">
        <f t="shared" si="267"/>
        <v>0</v>
      </c>
      <c r="LI300" s="10">
        <f t="shared" si="267"/>
        <v>0</v>
      </c>
      <c r="LJ300" s="10">
        <f t="shared" si="267"/>
        <v>0</v>
      </c>
      <c r="LK300" s="10">
        <f t="shared" si="267"/>
        <v>0</v>
      </c>
      <c r="LL300" s="10">
        <f t="shared" si="267"/>
        <v>0</v>
      </c>
      <c r="LM300" s="10">
        <f t="shared" si="267"/>
        <v>0</v>
      </c>
      <c r="LN300" s="10">
        <f t="shared" si="267"/>
        <v>0</v>
      </c>
      <c r="LO300" s="10">
        <f t="shared" si="267"/>
        <v>0</v>
      </c>
      <c r="LP300" s="10">
        <f t="shared" si="267"/>
        <v>0</v>
      </c>
      <c r="LQ300" s="10">
        <f t="shared" si="267"/>
        <v>0</v>
      </c>
      <c r="LR300" s="10">
        <f t="shared" si="267"/>
        <v>0</v>
      </c>
      <c r="LS300" s="10">
        <f t="shared" si="267"/>
        <v>0</v>
      </c>
      <c r="LT300" s="10">
        <f t="shared" ref="LT300:MG300" si="268">LT234/1000</f>
        <v>0</v>
      </c>
      <c r="LU300" s="10">
        <f t="shared" si="268"/>
        <v>0</v>
      </c>
      <c r="LV300" s="10">
        <f t="shared" si="268"/>
        <v>0</v>
      </c>
      <c r="LW300" s="10">
        <f t="shared" si="268"/>
        <v>0</v>
      </c>
      <c r="LX300" s="10">
        <f t="shared" si="268"/>
        <v>0</v>
      </c>
      <c r="LY300" s="10">
        <f t="shared" si="268"/>
        <v>0</v>
      </c>
      <c r="LZ300" s="10">
        <f t="shared" si="268"/>
        <v>0</v>
      </c>
      <c r="MA300" s="10">
        <f t="shared" si="268"/>
        <v>0</v>
      </c>
      <c r="MB300" s="10">
        <f t="shared" si="268"/>
        <v>0</v>
      </c>
      <c r="MC300" s="10">
        <f t="shared" si="268"/>
        <v>0</v>
      </c>
    </row>
    <row r="301" spans="1:341" s="14" customFormat="1">
      <c r="A301" s="15" t="s">
        <v>236</v>
      </c>
      <c r="B301" s="10">
        <f>B243</f>
        <v>0</v>
      </c>
      <c r="C301" s="10">
        <f t="shared" ref="C301:Z301" si="269">C243</f>
        <v>0</v>
      </c>
      <c r="D301" s="10">
        <f t="shared" si="269"/>
        <v>0</v>
      </c>
      <c r="E301" s="10">
        <f t="shared" si="269"/>
        <v>0</v>
      </c>
      <c r="F301" s="10">
        <f t="shared" si="269"/>
        <v>0</v>
      </c>
      <c r="G301" s="10">
        <f t="shared" si="269"/>
        <v>0.20285404258823531</v>
      </c>
      <c r="H301" s="10">
        <f t="shared" si="269"/>
        <v>0.21256590682352933</v>
      </c>
      <c r="I301" s="10">
        <f t="shared" si="269"/>
        <v>9.5014885411764699E-2</v>
      </c>
      <c r="J301" s="10">
        <f t="shared" si="269"/>
        <v>0.1855628896470588</v>
      </c>
      <c r="K301" s="10">
        <f t="shared" si="269"/>
        <v>0.10556248870588233</v>
      </c>
      <c r="L301" s="10">
        <f t="shared" si="269"/>
        <v>0.4790225736470588</v>
      </c>
      <c r="M301" s="10">
        <f t="shared" si="269"/>
        <v>0.54386439717647039</v>
      </c>
      <c r="N301" s="10">
        <f t="shared" si="269"/>
        <v>2.3909341729411762</v>
      </c>
      <c r="O301" s="10">
        <f t="shared" si="269"/>
        <v>4.9991893197647048</v>
      </c>
      <c r="P301" s="10">
        <f t="shared" si="269"/>
        <v>17.013543480705877</v>
      </c>
      <c r="Q301" s="10">
        <f t="shared" si="269"/>
        <v>19.43744611858823</v>
      </c>
      <c r="R301" s="10">
        <f t="shared" si="269"/>
        <v>19.91606523199999</v>
      </c>
      <c r="S301" s="10">
        <f t="shared" si="269"/>
        <v>31.199551176705857</v>
      </c>
      <c r="T301" s="10">
        <f t="shared" si="269"/>
        <v>18.722157278588224</v>
      </c>
      <c r="U301" s="10">
        <f t="shared" si="269"/>
        <v>31.252434965176455</v>
      </c>
      <c r="V301" s="10">
        <f t="shared" si="269"/>
        <v>71.485055670823499</v>
      </c>
      <c r="W301" s="10">
        <f t="shared" si="269"/>
        <v>53.474850134588202</v>
      </c>
      <c r="X301" s="10">
        <f t="shared" si="269"/>
        <v>97.572641861768687</v>
      </c>
      <c r="Y301" s="10">
        <f t="shared" si="269"/>
        <v>85.396888023428559</v>
      </c>
      <c r="Z301" s="10">
        <f t="shared" si="269"/>
        <v>0</v>
      </c>
      <c r="AA301" s="11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0">
        <f>FP243/1000</f>
        <v>8.7839056941176455E-2</v>
      </c>
      <c r="FQ301" s="10">
        <f t="shared" ref="FQ301:IB301" si="270">FQ243/1000</f>
        <v>9.0202181176470581E-2</v>
      </c>
      <c r="FR301" s="10">
        <f t="shared" si="270"/>
        <v>7.6455714588235288E-2</v>
      </c>
      <c r="FS301" s="10">
        <f t="shared" si="270"/>
        <v>7.0057987999999974E-2</v>
      </c>
      <c r="FT301" s="10">
        <f t="shared" si="270"/>
        <v>0.11092274611764703</v>
      </c>
      <c r="FU301" s="10">
        <f t="shared" si="270"/>
        <v>0.20464079505882349</v>
      </c>
      <c r="FV301" s="10">
        <f t="shared" si="270"/>
        <v>0.44173132047058811</v>
      </c>
      <c r="FW301" s="10">
        <f t="shared" si="270"/>
        <v>0.44438263058823518</v>
      </c>
      <c r="FX301" s="10">
        <f t="shared" si="270"/>
        <v>0.30495830070588231</v>
      </c>
      <c r="FY301" s="10">
        <f t="shared" si="270"/>
        <v>0.24832977482352939</v>
      </c>
      <c r="FZ301" s="10">
        <f t="shared" si="270"/>
        <v>0.20818548141176468</v>
      </c>
      <c r="GA301" s="10">
        <f t="shared" si="270"/>
        <v>0.1032281830588235</v>
      </c>
      <c r="GB301" s="10">
        <f t="shared" si="270"/>
        <v>0.14599496799999997</v>
      </c>
      <c r="GC301" s="10">
        <f t="shared" si="270"/>
        <v>0.14864627811764702</v>
      </c>
      <c r="GD301" s="10">
        <f t="shared" si="270"/>
        <v>0.36397876941176466</v>
      </c>
      <c r="GE301" s="10">
        <f t="shared" si="270"/>
        <v>0.43726443929411757</v>
      </c>
      <c r="GF301" s="10">
        <f t="shared" si="270"/>
        <v>0.66118486988235292</v>
      </c>
      <c r="GG301" s="10">
        <f t="shared" si="270"/>
        <v>0.3559960204705882</v>
      </c>
      <c r="GH301" s="10">
        <f t="shared" si="270"/>
        <v>0.26570738352941176</v>
      </c>
      <c r="GI301" s="10">
        <f t="shared" si="270"/>
        <v>0.48317245035294104</v>
      </c>
      <c r="GJ301" s="10">
        <f t="shared" si="270"/>
        <v>0.29559225952941171</v>
      </c>
      <c r="GK301" s="10">
        <f t="shared" si="270"/>
        <v>0.63291383482352925</v>
      </c>
      <c r="GL301" s="10">
        <f t="shared" si="270"/>
        <v>0.75386544964705882</v>
      </c>
      <c r="GM301" s="10">
        <f t="shared" si="270"/>
        <v>0.45487259670588231</v>
      </c>
      <c r="GN301" s="10">
        <f t="shared" si="270"/>
        <v>0.50360482941176465</v>
      </c>
      <c r="GO301" s="10">
        <f t="shared" si="270"/>
        <v>0.30049141952941172</v>
      </c>
      <c r="GP301" s="10">
        <f t="shared" si="270"/>
        <v>0.59628540917647044</v>
      </c>
      <c r="GQ301" s="10">
        <f t="shared" si="270"/>
        <v>1.524560954823529</v>
      </c>
      <c r="GR301" s="10">
        <f t="shared" si="270"/>
        <v>1.8323722957647055</v>
      </c>
      <c r="GS301" s="10">
        <f t="shared" si="270"/>
        <v>1.6190571056470586</v>
      </c>
      <c r="GT301" s="10">
        <f t="shared" si="270"/>
        <v>1.8094326995294114</v>
      </c>
      <c r="GU301" s="10">
        <f t="shared" si="270"/>
        <v>1.745311340705882</v>
      </c>
      <c r="GV301" s="10">
        <f t="shared" si="270"/>
        <v>1.9547072028235291</v>
      </c>
      <c r="GW301" s="10">
        <f t="shared" si="270"/>
        <v>1.6518526590588232</v>
      </c>
      <c r="GX301" s="10">
        <f t="shared" si="270"/>
        <v>1.2124556442352938</v>
      </c>
      <c r="GY301" s="10">
        <f t="shared" si="270"/>
        <v>2.2634119199999994</v>
      </c>
      <c r="GZ301" s="10">
        <f t="shared" si="270"/>
        <v>1.6435817242352937</v>
      </c>
      <c r="HA301" s="10">
        <f t="shared" si="270"/>
        <v>1.8918826804705879</v>
      </c>
      <c r="HB301" s="10">
        <f t="shared" si="270"/>
        <v>2.0624310856470585</v>
      </c>
      <c r="HC301" s="10">
        <f t="shared" si="270"/>
        <v>1.463984282352941</v>
      </c>
      <c r="HD301" s="10">
        <f t="shared" si="270"/>
        <v>0.75562338352941161</v>
      </c>
      <c r="HE301" s="10">
        <f t="shared" si="270"/>
        <v>2.1968986183529409</v>
      </c>
      <c r="HF301" s="10">
        <f t="shared" si="270"/>
        <v>2.0879067176470585</v>
      </c>
      <c r="HG301" s="10">
        <f t="shared" si="270"/>
        <v>1.7604122809411762</v>
      </c>
      <c r="HH301" s="10">
        <f t="shared" si="270"/>
        <v>2.1602701927058821</v>
      </c>
      <c r="HI301" s="10">
        <f t="shared" si="270"/>
        <v>1.0321089190588233</v>
      </c>
      <c r="HJ301" s="10">
        <f t="shared" si="270"/>
        <v>0.8338082134117647</v>
      </c>
      <c r="HK301" s="10">
        <f t="shared" si="270"/>
        <v>1.5485380202352936</v>
      </c>
      <c r="HL301" s="10">
        <f t="shared" si="270"/>
        <v>0.90602759552941092</v>
      </c>
      <c r="HM301" s="10">
        <f t="shared" si="270"/>
        <v>1.0633194501176499</v>
      </c>
      <c r="HN301" s="10">
        <f t="shared" si="270"/>
        <v>2.2182531922352902</v>
      </c>
      <c r="HO301" s="10">
        <f t="shared" si="270"/>
        <v>1.3647618830588202</v>
      </c>
      <c r="HP301" s="10">
        <f t="shared" si="270"/>
        <v>2.7977950016470601</v>
      </c>
      <c r="HQ301" s="10">
        <f t="shared" si="270"/>
        <v>1.7466369957647001</v>
      </c>
      <c r="HR301" s="10">
        <f t="shared" si="270"/>
        <v>1.34329203482353</v>
      </c>
      <c r="HS301" s="10">
        <f t="shared" si="270"/>
        <v>2.1729791901176498</v>
      </c>
      <c r="HT301" s="10">
        <f t="shared" si="270"/>
        <v>2.87569164564706</v>
      </c>
      <c r="HU301" s="10">
        <f t="shared" si="270"/>
        <v>0.754845281647058</v>
      </c>
      <c r="HV301" s="10">
        <f t="shared" si="270"/>
        <v>1.2498045345882298</v>
      </c>
      <c r="HW301" s="10">
        <f t="shared" si="270"/>
        <v>1.4226584268235298</v>
      </c>
      <c r="HX301" s="10">
        <f t="shared" si="270"/>
        <v>2.3125187943529402</v>
      </c>
      <c r="HY301" s="10">
        <f t="shared" si="270"/>
        <v>1.7879916698823499</v>
      </c>
      <c r="HZ301" s="10">
        <f t="shared" si="270"/>
        <v>2.47949369458824</v>
      </c>
      <c r="IA301" s="10">
        <f t="shared" si="270"/>
        <v>2.5292057592941202</v>
      </c>
      <c r="IB301" s="10">
        <f t="shared" si="270"/>
        <v>2.7924635628235301</v>
      </c>
      <c r="IC301" s="10">
        <f t="shared" ref="IC301:JE301" si="271">IC243/1000</f>
        <v>2.47355706541176</v>
      </c>
      <c r="ID301" s="10">
        <f t="shared" si="271"/>
        <v>3.4056943018823498</v>
      </c>
      <c r="IE301" s="10">
        <f t="shared" si="271"/>
        <v>2.98165759458823</v>
      </c>
      <c r="IF301" s="10">
        <f t="shared" si="271"/>
        <v>3.10673026752941</v>
      </c>
      <c r="IG301" s="10">
        <f t="shared" si="271"/>
        <v>2.8297836345882303</v>
      </c>
      <c r="IH301" s="10">
        <f t="shared" si="271"/>
        <v>2.19424730823529</v>
      </c>
      <c r="II301" s="10">
        <f t="shared" si="271"/>
        <v>2.3062075235294102</v>
      </c>
      <c r="IJ301" s="10">
        <f t="shared" si="271"/>
        <v>1.8328910303529402</v>
      </c>
      <c r="IK301" s="10">
        <f t="shared" si="271"/>
        <v>1.2585365668235304</v>
      </c>
      <c r="IL301" s="10">
        <f t="shared" si="271"/>
        <v>2.3149395557647008</v>
      </c>
      <c r="IM301" s="10">
        <f t="shared" si="271"/>
        <v>2.0763216451764697</v>
      </c>
      <c r="IN301" s="10">
        <f t="shared" si="271"/>
        <v>2.0660622277647045</v>
      </c>
      <c r="IO301" s="10">
        <f t="shared" si="271"/>
        <v>2.5010097</v>
      </c>
      <c r="IP301" s="10">
        <f t="shared" si="271"/>
        <v>0</v>
      </c>
      <c r="IQ301" s="10">
        <f t="shared" si="271"/>
        <v>1.820066758588234</v>
      </c>
      <c r="IR301" s="10">
        <f t="shared" si="271"/>
        <v>1.9490011223529398</v>
      </c>
      <c r="IS301" s="10">
        <f t="shared" si="271"/>
        <v>1.3962029628235286</v>
      </c>
      <c r="IT301" s="10">
        <f t="shared" si="271"/>
        <v>0.35201905529411742</v>
      </c>
      <c r="IU301" s="10">
        <f t="shared" si="271"/>
        <v>1.1551066536470582</v>
      </c>
      <c r="IV301" s="10">
        <f t="shared" si="271"/>
        <v>0.52902282423529379</v>
      </c>
      <c r="IW301" s="10">
        <f t="shared" si="271"/>
        <v>2.1063794327058809</v>
      </c>
      <c r="IX301" s="10">
        <f t="shared" si="271"/>
        <v>3.5559561</v>
      </c>
      <c r="IY301" s="10">
        <f t="shared" si="271"/>
        <v>2.3233834021176452</v>
      </c>
      <c r="IZ301" s="10">
        <f t="shared" si="271"/>
        <v>1.9387705235294106</v>
      </c>
      <c r="JA301" s="10">
        <f t="shared" si="271"/>
        <v>1.9615083896470578</v>
      </c>
      <c r="JB301" s="10">
        <f t="shared" si="271"/>
        <v>2.0336124974117635</v>
      </c>
      <c r="JC301" s="10">
        <f t="shared" si="271"/>
        <v>2.0026901522352931</v>
      </c>
      <c r="JD301" s="10">
        <f t="shared" si="271"/>
        <v>2.0796646014117632</v>
      </c>
      <c r="JE301" s="10">
        <f t="shared" si="271"/>
        <v>2.2639306545882341</v>
      </c>
      <c r="JF301" s="10">
        <f>JF243/1000</f>
        <v>2.3980523642352929</v>
      </c>
      <c r="JG301" s="10">
        <f>JG243/1000</f>
        <v>8.059464023058819</v>
      </c>
      <c r="JH301" s="10">
        <f t="shared" ref="JH301:LS301" si="272">JH243/1000</f>
        <v>1.8555424407058814</v>
      </c>
      <c r="JI301" s="10">
        <f t="shared" si="272"/>
        <v>3.7623819684705864</v>
      </c>
      <c r="JJ301" s="10">
        <f t="shared" si="272"/>
        <v>9.6045438127058773</v>
      </c>
      <c r="JK301" s="10">
        <f t="shared" si="272"/>
        <v>4.904347345882349</v>
      </c>
      <c r="JL301" s="10">
        <f t="shared" si="272"/>
        <v>4.4562182988235275</v>
      </c>
      <c r="JM301" s="10">
        <f t="shared" si="272"/>
        <v>3.6082313399999979</v>
      </c>
      <c r="JN301" s="10">
        <f t="shared" si="272"/>
        <v>6.3429424519999964</v>
      </c>
      <c r="JO301" s="10">
        <f t="shared" si="272"/>
        <v>8.5882274799999934</v>
      </c>
      <c r="JP301" s="10">
        <f t="shared" si="272"/>
        <v>3.9688671531764679</v>
      </c>
      <c r="JQ301" s="10">
        <f t="shared" si="272"/>
        <v>8.4708205515294068</v>
      </c>
      <c r="JR301" s="10">
        <f t="shared" si="272"/>
        <v>8.210646336941176</v>
      </c>
      <c r="JS301" s="10">
        <f t="shared" si="272"/>
        <v>7.7122864905882302</v>
      </c>
      <c r="JT301" s="10">
        <f t="shared" si="272"/>
        <v>1.6933226075294108</v>
      </c>
      <c r="JU301" s="10">
        <f t="shared" si="272"/>
        <v>3.2355205383529393</v>
      </c>
      <c r="JV301" s="10">
        <f t="shared" si="272"/>
        <v>4.2833355879999973</v>
      </c>
      <c r="JW301" s="10">
        <f t="shared" si="272"/>
        <v>2.5458917218823514</v>
      </c>
      <c r="JX301" s="10">
        <f t="shared" si="272"/>
        <v>4.5546049590588211</v>
      </c>
      <c r="JY301" s="10">
        <f t="shared" si="272"/>
        <v>5.0532818098823498</v>
      </c>
      <c r="JZ301" s="10">
        <f t="shared" si="272"/>
        <v>12.627383169882345</v>
      </c>
      <c r="KA301" s="10">
        <f t="shared" si="272"/>
        <v>4.8564508522352909</v>
      </c>
      <c r="KB301" s="10">
        <f t="shared" si="272"/>
        <v>2.3203286317647045</v>
      </c>
      <c r="KC301" s="10">
        <f t="shared" si="272"/>
        <v>6.7325985835294073</v>
      </c>
      <c r="KD301" s="10">
        <f t="shared" si="272"/>
        <v>5.5721316724705847</v>
      </c>
      <c r="KE301" s="10">
        <f t="shared" si="272"/>
        <v>0</v>
      </c>
      <c r="KF301" s="10">
        <f t="shared" si="272"/>
        <v>0</v>
      </c>
      <c r="KG301" s="10">
        <f t="shared" si="272"/>
        <v>0</v>
      </c>
      <c r="KH301" s="10">
        <f t="shared" si="272"/>
        <v>8.4399452462585032</v>
      </c>
      <c r="KI301" s="10">
        <f t="shared" si="272"/>
        <v>10.049467820408161</v>
      </c>
      <c r="KJ301" s="10">
        <f t="shared" si="272"/>
        <v>8.5050040323809508</v>
      </c>
      <c r="KK301" s="10">
        <f t="shared" si="272"/>
        <v>9.9928375814965982</v>
      </c>
      <c r="KL301" s="10">
        <f t="shared" si="272"/>
        <v>8.7591202315646264</v>
      </c>
      <c r="KM301" s="10">
        <f t="shared" si="272"/>
        <v>11.236993132244898</v>
      </c>
      <c r="KN301" s="10">
        <f t="shared" si="272"/>
        <v>11.461054511836734</v>
      </c>
      <c r="KO301" s="10">
        <f t="shared" si="272"/>
        <v>6.3690122032653065</v>
      </c>
      <c r="KP301" s="10">
        <f t="shared" si="272"/>
        <v>7.0372670193197271</v>
      </c>
      <c r="KQ301" s="10">
        <f t="shared" si="272"/>
        <v>15.721940082993198</v>
      </c>
      <c r="KR301" s="10">
        <f t="shared" si="272"/>
        <v>4.0485558428571427</v>
      </c>
      <c r="KS301" s="10">
        <f t="shared" si="272"/>
        <v>5.2553989199999993</v>
      </c>
      <c r="KT301" s="10">
        <f t="shared" si="272"/>
        <v>4.2572300640000007</v>
      </c>
      <c r="KU301" s="10">
        <f t="shared" si="272"/>
        <v>6.3667383719999986</v>
      </c>
      <c r="KV301" s="10">
        <f t="shared" si="272"/>
        <v>7.4239970965714281</v>
      </c>
      <c r="KW301" s="10">
        <f t="shared" si="272"/>
        <v>5.1291805611428574</v>
      </c>
      <c r="KX301" s="10">
        <f t="shared" si="272"/>
        <v>7.0710176177142845</v>
      </c>
      <c r="KY301" s="10">
        <f t="shared" si="272"/>
        <v>11.385387884571429</v>
      </c>
      <c r="KZ301" s="10">
        <f t="shared" si="272"/>
        <v>7.3159556211428569</v>
      </c>
      <c r="LA301" s="10">
        <f t="shared" si="272"/>
        <v>11.667369536571428</v>
      </c>
      <c r="LB301" s="10">
        <f t="shared" si="272"/>
        <v>6.5392987851428579</v>
      </c>
      <c r="LC301" s="10">
        <f t="shared" si="272"/>
        <v>8.9367577217142866</v>
      </c>
      <c r="LD301" s="10">
        <f t="shared" si="272"/>
        <v>0</v>
      </c>
      <c r="LE301" s="10">
        <f t="shared" si="272"/>
        <v>0</v>
      </c>
      <c r="LF301" s="10">
        <f t="shared" si="272"/>
        <v>0</v>
      </c>
      <c r="LG301" s="10">
        <f t="shared" si="272"/>
        <v>0</v>
      </c>
      <c r="LH301" s="10">
        <f t="shared" si="272"/>
        <v>0</v>
      </c>
      <c r="LI301" s="10">
        <f t="shared" si="272"/>
        <v>0</v>
      </c>
      <c r="LJ301" s="10">
        <f t="shared" si="272"/>
        <v>0</v>
      </c>
      <c r="LK301" s="10">
        <f t="shared" si="272"/>
        <v>0</v>
      </c>
      <c r="LL301" s="10">
        <f t="shared" si="272"/>
        <v>0</v>
      </c>
      <c r="LM301" s="10">
        <f t="shared" si="272"/>
        <v>0</v>
      </c>
      <c r="LN301" s="10">
        <f t="shared" si="272"/>
        <v>0</v>
      </c>
      <c r="LO301" s="10">
        <f t="shared" si="272"/>
        <v>0</v>
      </c>
      <c r="LP301" s="10">
        <f t="shared" si="272"/>
        <v>0</v>
      </c>
      <c r="LQ301" s="10">
        <f t="shared" si="272"/>
        <v>5.94E-3</v>
      </c>
      <c r="LR301" s="10">
        <f t="shared" si="272"/>
        <v>0</v>
      </c>
      <c r="LS301" s="10">
        <f t="shared" si="272"/>
        <v>0</v>
      </c>
      <c r="LT301" s="10">
        <f t="shared" ref="LT301:MG301" si="273">LT243/1000</f>
        <v>0</v>
      </c>
      <c r="LU301" s="10">
        <f t="shared" si="273"/>
        <v>0</v>
      </c>
      <c r="LV301" s="10">
        <f t="shared" si="273"/>
        <v>0</v>
      </c>
      <c r="LW301" s="10">
        <f t="shared" si="273"/>
        <v>0</v>
      </c>
      <c r="LX301" s="10">
        <f t="shared" si="273"/>
        <v>0</v>
      </c>
      <c r="LY301" s="10">
        <f t="shared" si="273"/>
        <v>0</v>
      </c>
      <c r="LZ301" s="10">
        <f t="shared" si="273"/>
        <v>0</v>
      </c>
      <c r="MA301" s="10">
        <f t="shared" si="273"/>
        <v>0</v>
      </c>
      <c r="MB301" s="10">
        <f t="shared" si="273"/>
        <v>0</v>
      </c>
      <c r="MC301" s="10">
        <f t="shared" si="273"/>
        <v>0</v>
      </c>
    </row>
    <row r="302" spans="1:341" s="14" customFormat="1">
      <c r="A302" s="19" t="s">
        <v>286</v>
      </c>
      <c r="B302" s="10">
        <f>B4</f>
        <v>0</v>
      </c>
      <c r="C302" s="10">
        <f t="shared" ref="C302:Z302" si="274">C4</f>
        <v>0</v>
      </c>
      <c r="D302" s="10">
        <f t="shared" si="274"/>
        <v>0</v>
      </c>
      <c r="E302" s="10">
        <f t="shared" si="274"/>
        <v>0</v>
      </c>
      <c r="F302" s="10">
        <f t="shared" si="274"/>
        <v>0</v>
      </c>
      <c r="G302" s="10">
        <f t="shared" si="274"/>
        <v>0.6608966839999999</v>
      </c>
      <c r="H302" s="10">
        <f t="shared" si="274"/>
        <v>2.2548527992941172</v>
      </c>
      <c r="I302" s="10">
        <f t="shared" si="274"/>
        <v>1.7072419856470586</v>
      </c>
      <c r="J302" s="10">
        <f t="shared" si="274"/>
        <v>4.6712049670588227</v>
      </c>
      <c r="K302" s="10">
        <f t="shared" si="274"/>
        <v>1.0832042759999996</v>
      </c>
      <c r="L302" s="10">
        <f t="shared" si="274"/>
        <v>1.9037559388235292</v>
      </c>
      <c r="M302" s="10">
        <f t="shared" si="274"/>
        <v>2.5297821310588233</v>
      </c>
      <c r="N302" s="10">
        <f t="shared" si="274"/>
        <v>2.975231049411764</v>
      </c>
      <c r="O302" s="10">
        <f t="shared" si="274"/>
        <v>2.1995787470588231</v>
      </c>
      <c r="P302" s="10">
        <f t="shared" si="274"/>
        <v>2.8171322743529408</v>
      </c>
      <c r="Q302" s="10">
        <f t="shared" si="274"/>
        <v>2.030442452705882</v>
      </c>
      <c r="R302" s="10">
        <f t="shared" si="274"/>
        <v>1.6726884983529404</v>
      </c>
      <c r="S302" s="10">
        <f t="shared" si="274"/>
        <v>12.67262835341176</v>
      </c>
      <c r="T302" s="10">
        <f t="shared" si="274"/>
        <v>3.8486843021176451</v>
      </c>
      <c r="U302" s="10">
        <f t="shared" si="274"/>
        <v>61.026822115058799</v>
      </c>
      <c r="V302" s="10">
        <f t="shared" si="274"/>
        <v>9.3184328687058766</v>
      </c>
      <c r="W302" s="10">
        <f t="shared" si="274"/>
        <v>3.4964440362352929</v>
      </c>
      <c r="X302" s="10">
        <f t="shared" si="274"/>
        <v>25.22598193659864</v>
      </c>
      <c r="Y302" s="10">
        <f t="shared" si="274"/>
        <v>16.882965281142859</v>
      </c>
      <c r="Z302" s="10">
        <f t="shared" si="274"/>
        <v>8.9069999999999996E-2</v>
      </c>
      <c r="AA302" s="11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0">
        <f t="shared" ref="FP302:IA302" si="275">FP4/1000</f>
        <v>0.22769566564705879</v>
      </c>
      <c r="FQ302" s="10">
        <f t="shared" si="275"/>
        <v>0.1204905174117647</v>
      </c>
      <c r="FR302" s="10">
        <f t="shared" si="275"/>
        <v>0.29325795388235287</v>
      </c>
      <c r="FS302" s="10">
        <f t="shared" si="275"/>
        <v>0.21844489882352941</v>
      </c>
      <c r="FT302" s="10">
        <f t="shared" si="275"/>
        <v>0.29873348564705871</v>
      </c>
      <c r="FU302" s="10">
        <f t="shared" si="275"/>
        <v>0.24582255764705879</v>
      </c>
      <c r="FV302" s="10">
        <f t="shared" si="275"/>
        <v>0.27735009317647052</v>
      </c>
      <c r="FW302" s="10">
        <f t="shared" si="275"/>
        <v>0.25337302776470577</v>
      </c>
      <c r="FX302" s="10">
        <f t="shared" si="275"/>
        <v>0.27003017176470584</v>
      </c>
      <c r="FY302" s="10">
        <f t="shared" si="275"/>
        <v>0.33573655294117644</v>
      </c>
      <c r="FZ302" s="10">
        <f t="shared" si="275"/>
        <v>0.23596660047058818</v>
      </c>
      <c r="GA302" s="10">
        <f t="shared" si="275"/>
        <v>0.19832952423529407</v>
      </c>
      <c r="GB302" s="10">
        <f t="shared" si="275"/>
        <v>0.2276380284705882</v>
      </c>
      <c r="GC302" s="10">
        <f t="shared" si="275"/>
        <v>0.239770654117647</v>
      </c>
      <c r="GD302" s="10">
        <f t="shared" si="275"/>
        <v>0.25660070964705883</v>
      </c>
      <c r="GE302" s="10">
        <f t="shared" si="275"/>
        <v>0.17510174211764701</v>
      </c>
      <c r="GF302" s="10">
        <f t="shared" si="275"/>
        <v>0.15766649623529408</v>
      </c>
      <c r="GG302" s="10">
        <f t="shared" si="275"/>
        <v>0.1614705498823529</v>
      </c>
      <c r="GH302" s="10">
        <f t="shared" si="275"/>
        <v>0.14129753811764703</v>
      </c>
      <c r="GI302" s="10">
        <f t="shared" si="275"/>
        <v>0.18766664658823523</v>
      </c>
      <c r="GJ302" s="10">
        <f t="shared" si="275"/>
        <v>0.20392033035294113</v>
      </c>
      <c r="GK302" s="10">
        <f t="shared" si="275"/>
        <v>0.1418450912941176</v>
      </c>
      <c r="GL302" s="10">
        <f t="shared" si="275"/>
        <v>0.18910757599999994</v>
      </c>
      <c r="GM302" s="10">
        <f t="shared" si="275"/>
        <v>0.11749338423529408</v>
      </c>
      <c r="GN302" s="10">
        <f t="shared" si="275"/>
        <v>0.14711889294117644</v>
      </c>
      <c r="GO302" s="10">
        <f t="shared" si="275"/>
        <v>0.16622561694117644</v>
      </c>
      <c r="GP302" s="10">
        <f t="shared" si="275"/>
        <v>0.16513051058823527</v>
      </c>
      <c r="GQ302" s="10">
        <f t="shared" si="275"/>
        <v>0.15005838894117646</v>
      </c>
      <c r="GR302" s="10">
        <f t="shared" si="275"/>
        <v>0.17645621576470583</v>
      </c>
      <c r="GS302" s="10">
        <f t="shared" si="275"/>
        <v>0.29890639717647055</v>
      </c>
      <c r="GT302" s="10">
        <f t="shared" si="275"/>
        <v>0.28072186799999993</v>
      </c>
      <c r="GU302" s="10">
        <f t="shared" si="275"/>
        <v>0.31631282447058817</v>
      </c>
      <c r="GV302" s="10">
        <f t="shared" si="275"/>
        <v>0.17766659647058822</v>
      </c>
      <c r="GW302" s="10">
        <f t="shared" si="275"/>
        <v>0.42565054823529408</v>
      </c>
      <c r="GX302" s="10">
        <f t="shared" si="275"/>
        <v>0.20997223388235292</v>
      </c>
      <c r="GY302" s="10">
        <f t="shared" si="275"/>
        <v>0.30291218094117645</v>
      </c>
      <c r="GZ302" s="10">
        <f t="shared" si="275"/>
        <v>0.17403545435294115</v>
      </c>
      <c r="HA302" s="10">
        <f t="shared" si="275"/>
        <v>0.11585072470588233</v>
      </c>
      <c r="HB302" s="10">
        <f t="shared" si="275"/>
        <v>0.13175858541176469</v>
      </c>
      <c r="HC302" s="10">
        <f t="shared" si="275"/>
        <v>0.14755117176470584</v>
      </c>
      <c r="HD302" s="10">
        <f t="shared" si="275"/>
        <v>0.14089407788235292</v>
      </c>
      <c r="HE302" s="10">
        <f t="shared" si="275"/>
        <v>0.23472740117647053</v>
      </c>
      <c r="HF302" s="10">
        <f t="shared" si="275"/>
        <v>0.13291132894117644</v>
      </c>
      <c r="HG302" s="10">
        <f t="shared" si="275"/>
        <v>0.23521731717647054</v>
      </c>
      <c r="HH302" s="10">
        <f t="shared" si="275"/>
        <v>0.17400663576470585</v>
      </c>
      <c r="HI302" s="10">
        <f t="shared" si="275"/>
        <v>0.19492893082352938</v>
      </c>
      <c r="HJ302" s="10">
        <f t="shared" si="275"/>
        <v>0.16887692705882348</v>
      </c>
      <c r="HK302" s="10">
        <f t="shared" si="275"/>
        <v>0.17968389764705875</v>
      </c>
      <c r="HL302" s="10">
        <f t="shared" si="275"/>
        <v>0.22392043058823521</v>
      </c>
      <c r="HM302" s="10">
        <f t="shared" si="275"/>
        <v>0.18340149552941162</v>
      </c>
      <c r="HN302" s="10">
        <f t="shared" si="275"/>
        <v>0.16273856776470574</v>
      </c>
      <c r="HO302" s="10">
        <f t="shared" si="275"/>
        <v>0.32919473341176453</v>
      </c>
      <c r="HP302" s="10">
        <f t="shared" si="275"/>
        <v>0.31406497458823501</v>
      </c>
      <c r="HQ302" s="10">
        <f t="shared" si="275"/>
        <v>0.42608282705882355</v>
      </c>
      <c r="HR302" s="10">
        <f t="shared" si="275"/>
        <v>1.144097952941176E-2</v>
      </c>
      <c r="HS302" s="10">
        <f t="shared" si="275"/>
        <v>1.1469798117647059E-2</v>
      </c>
      <c r="HT302" s="10">
        <f t="shared" si="275"/>
        <v>3.1988632941176501E-3</v>
      </c>
      <c r="HU302" s="10">
        <f t="shared" si="275"/>
        <v>1.06628776470588E-3</v>
      </c>
      <c r="HV302" s="10">
        <f t="shared" si="275"/>
        <v>5.5331689411764638E-3</v>
      </c>
      <c r="HW302" s="10">
        <f t="shared" si="275"/>
        <v>5.7637176470588217E-4</v>
      </c>
      <c r="HX302" s="10">
        <f t="shared" si="275"/>
        <v>0.14556268917647042</v>
      </c>
      <c r="HY302" s="10">
        <f t="shared" si="275"/>
        <v>0.14294019764705884</v>
      </c>
      <c r="HZ302" s="10">
        <f t="shared" si="275"/>
        <v>0.19611049294117608</v>
      </c>
      <c r="IA302" s="10">
        <f t="shared" si="275"/>
        <v>0.34723516964705831</v>
      </c>
      <c r="IB302" s="10">
        <f t="shared" ref="IB302:JE302" si="276">IB4/1000</f>
        <v>0.30138479576470567</v>
      </c>
      <c r="IC302" s="10">
        <f t="shared" si="276"/>
        <v>0.3195693249411759</v>
      </c>
      <c r="ID302" s="10">
        <f t="shared" si="276"/>
        <v>0.26815696352941198</v>
      </c>
      <c r="IE302" s="10">
        <f t="shared" si="276"/>
        <v>7.942402917647054E-2</v>
      </c>
      <c r="IF302" s="10">
        <f t="shared" si="276"/>
        <v>8.5908211529411763E-2</v>
      </c>
      <c r="IG302" s="10">
        <f t="shared" si="276"/>
        <v>1.5494890336470608</v>
      </c>
      <c r="IH302" s="10">
        <f t="shared" si="276"/>
        <v>1.4861169581176432</v>
      </c>
      <c r="II302" s="10">
        <f t="shared" si="276"/>
        <v>7.7507304872941134</v>
      </c>
      <c r="IJ302" s="10">
        <f t="shared" si="276"/>
        <v>8.6455764705882301E-5</v>
      </c>
      <c r="IK302" s="10">
        <f t="shared" si="276"/>
        <v>1.1700058637647051</v>
      </c>
      <c r="IL302" s="10">
        <f t="shared" si="276"/>
        <v>0</v>
      </c>
      <c r="IM302" s="10">
        <f t="shared" si="276"/>
        <v>0</v>
      </c>
      <c r="IN302" s="10">
        <f t="shared" si="276"/>
        <v>1.9004129825882341</v>
      </c>
      <c r="IO302" s="10">
        <f t="shared" si="276"/>
        <v>0.77817899999999995</v>
      </c>
      <c r="IP302" s="10">
        <f t="shared" si="276"/>
        <v>0</v>
      </c>
      <c r="IQ302" s="10">
        <f t="shared" si="276"/>
        <v>0</v>
      </c>
      <c r="IR302" s="10">
        <f t="shared" si="276"/>
        <v>0</v>
      </c>
      <c r="IS302" s="10">
        <f t="shared" si="276"/>
        <v>0</v>
      </c>
      <c r="IT302" s="10">
        <f t="shared" si="276"/>
        <v>0</v>
      </c>
      <c r="IU302" s="10">
        <f t="shared" si="276"/>
        <v>0</v>
      </c>
      <c r="IV302" s="10">
        <f t="shared" si="276"/>
        <v>0</v>
      </c>
      <c r="IW302" s="10">
        <f t="shared" si="276"/>
        <v>0</v>
      </c>
      <c r="IX302" s="10">
        <f t="shared" si="276"/>
        <v>5.5749678000000005</v>
      </c>
      <c r="IY302" s="10">
        <f t="shared" si="276"/>
        <v>7.0274415597647009</v>
      </c>
      <c r="IZ302" s="10">
        <f t="shared" si="276"/>
        <v>1.5780770731764695</v>
      </c>
      <c r="JA302" s="10">
        <f t="shared" si="276"/>
        <v>8.6854325781176414</v>
      </c>
      <c r="JB302" s="10">
        <f t="shared" si="276"/>
        <v>2.1690598621176456</v>
      </c>
      <c r="JC302" s="10">
        <f t="shared" si="276"/>
        <v>8.5075066143529359</v>
      </c>
      <c r="JD302" s="10">
        <f t="shared" si="276"/>
        <v>4.5496193432941157</v>
      </c>
      <c r="JE302" s="10">
        <f t="shared" si="276"/>
        <v>6.9323690371764659</v>
      </c>
      <c r="JF302" s="10">
        <f>JF4/1000</f>
        <v>7.1366928277647013</v>
      </c>
      <c r="JG302" s="10">
        <f>JG4/1000</f>
        <v>8.8656554192941144</v>
      </c>
      <c r="JH302" s="10">
        <f t="shared" ref="JH302:LS302" si="277">JH4/1000</f>
        <v>6.4023087437647019</v>
      </c>
      <c r="JI302" s="10">
        <f t="shared" si="277"/>
        <v>4.9567971764705844E-3</v>
      </c>
      <c r="JJ302" s="10">
        <f t="shared" si="277"/>
        <v>8.0692047058823475E-4</v>
      </c>
      <c r="JK302" s="10">
        <f t="shared" si="277"/>
        <v>0</v>
      </c>
      <c r="JL302" s="10">
        <f t="shared" si="277"/>
        <v>6.6282752941176427E-4</v>
      </c>
      <c r="JM302" s="10">
        <f t="shared" si="277"/>
        <v>8.0692047058823475E-4</v>
      </c>
      <c r="JN302" s="10">
        <f t="shared" si="277"/>
        <v>3.0634159294117627E-2</v>
      </c>
      <c r="JO302" s="10">
        <f t="shared" si="277"/>
        <v>0.15060594211764691</v>
      </c>
      <c r="JP302" s="10">
        <f t="shared" si="277"/>
        <v>0.18881939011764695</v>
      </c>
      <c r="JQ302" s="10">
        <f t="shared" si="277"/>
        <v>0.14726298588235287</v>
      </c>
      <c r="JR302" s="10">
        <f t="shared" si="277"/>
        <v>2.3617697616470577</v>
      </c>
      <c r="JS302" s="10">
        <f t="shared" si="277"/>
        <v>2.9798420235294096E-2</v>
      </c>
      <c r="JT302" s="10">
        <f t="shared" si="277"/>
        <v>6.7406677882352897E-2</v>
      </c>
      <c r="JU302" s="10">
        <f t="shared" si="277"/>
        <v>9.5101341176470535E-4</v>
      </c>
      <c r="JV302" s="10">
        <f t="shared" si="277"/>
        <v>5.7060804705882321E-3</v>
      </c>
      <c r="JW302" s="10">
        <f t="shared" si="277"/>
        <v>6.1671778823529384E-3</v>
      </c>
      <c r="JX302" s="10">
        <f t="shared" si="277"/>
        <v>3.1200156367058809</v>
      </c>
      <c r="JY302" s="10">
        <f t="shared" si="277"/>
        <v>8.0692047058823475E-4</v>
      </c>
      <c r="JZ302" s="10">
        <f t="shared" si="277"/>
        <v>1.2622541647058814E-2</v>
      </c>
      <c r="KA302" s="10">
        <f t="shared" si="277"/>
        <v>4.5562187999999969E-2</v>
      </c>
      <c r="KB302" s="10">
        <f t="shared" si="277"/>
        <v>0.21668696494117634</v>
      </c>
      <c r="KC302" s="10">
        <f t="shared" si="277"/>
        <v>7.3775585882352897E-3</v>
      </c>
      <c r="KD302" s="10">
        <f t="shared" si="277"/>
        <v>1.3141276235294111E-2</v>
      </c>
      <c r="KE302" s="10">
        <f t="shared" si="277"/>
        <v>0</v>
      </c>
      <c r="KF302" s="10">
        <f t="shared" si="277"/>
        <v>0</v>
      </c>
      <c r="KG302" s="10">
        <f t="shared" si="277"/>
        <v>1.1999999999999999E-4</v>
      </c>
      <c r="KH302" s="10">
        <f t="shared" si="277"/>
        <v>2.870535219319728</v>
      </c>
      <c r="KI302" s="10">
        <f t="shared" si="277"/>
        <v>4.919152108843537E-3</v>
      </c>
      <c r="KJ302" s="10">
        <f t="shared" si="277"/>
        <v>0</v>
      </c>
      <c r="KK302" s="10">
        <f t="shared" si="277"/>
        <v>1.4097570068027209E-3</v>
      </c>
      <c r="KL302" s="10">
        <f t="shared" si="277"/>
        <v>0.20936391292517001</v>
      </c>
      <c r="KM302" s="10">
        <f t="shared" si="277"/>
        <v>5.9389763265306128E-3</v>
      </c>
      <c r="KN302" s="10">
        <f t="shared" si="277"/>
        <v>2.8353812786394554</v>
      </c>
      <c r="KO302" s="10">
        <f t="shared" si="277"/>
        <v>2.8435398723809522</v>
      </c>
      <c r="KP302" s="10">
        <f t="shared" si="277"/>
        <v>6.021672072653061</v>
      </c>
      <c r="KQ302" s="10">
        <f t="shared" si="277"/>
        <v>10.433101695238093</v>
      </c>
      <c r="KR302" s="10">
        <f t="shared" si="277"/>
        <v>0.15066416742857144</v>
      </c>
      <c r="KS302" s="10">
        <f t="shared" si="277"/>
        <v>0.15573329828571428</v>
      </c>
      <c r="KT302" s="10">
        <f t="shared" si="277"/>
        <v>1.1817973714285713E-2</v>
      </c>
      <c r="KU302" s="10">
        <f t="shared" si="277"/>
        <v>4.1992799999999997E-4</v>
      </c>
      <c r="KV302" s="10">
        <f t="shared" si="277"/>
        <v>2.0096554285714287E-3</v>
      </c>
      <c r="KW302" s="10">
        <f t="shared" si="277"/>
        <v>1.0258241142857142E-2</v>
      </c>
      <c r="KX302" s="10">
        <f t="shared" si="277"/>
        <v>0</v>
      </c>
      <c r="KY302" s="10">
        <f t="shared" si="277"/>
        <v>0</v>
      </c>
      <c r="KZ302" s="10">
        <f t="shared" si="277"/>
        <v>1.2207906857142858E-2</v>
      </c>
      <c r="LA302" s="10">
        <f t="shared" si="277"/>
        <v>2.1186867342857139</v>
      </c>
      <c r="LB302" s="10">
        <f t="shared" si="277"/>
        <v>3.0361394297142854</v>
      </c>
      <c r="LC302" s="10">
        <f t="shared" si="277"/>
        <v>11.385027946285712</v>
      </c>
      <c r="LD302" s="10">
        <f t="shared" si="277"/>
        <v>0</v>
      </c>
      <c r="LE302" s="10">
        <f t="shared" si="277"/>
        <v>1.65E-3</v>
      </c>
      <c r="LF302" s="10">
        <f t="shared" si="277"/>
        <v>0</v>
      </c>
      <c r="LG302" s="10">
        <f t="shared" si="277"/>
        <v>0</v>
      </c>
      <c r="LH302" s="10">
        <f t="shared" si="277"/>
        <v>0</v>
      </c>
      <c r="LI302" s="10">
        <f t="shared" si="277"/>
        <v>0</v>
      </c>
      <c r="LJ302" s="10">
        <f t="shared" si="277"/>
        <v>4.6380000000000005E-2</v>
      </c>
      <c r="LK302" s="10">
        <f t="shared" si="277"/>
        <v>5.7750000000000006E-3</v>
      </c>
      <c r="LL302" s="10">
        <f t="shared" si="277"/>
        <v>0</v>
      </c>
      <c r="LM302" s="10">
        <f t="shared" si="277"/>
        <v>3.5264999999999998E-2</v>
      </c>
      <c r="LN302" s="10">
        <f t="shared" si="277"/>
        <v>0</v>
      </c>
      <c r="LO302" s="10">
        <f t="shared" si="277"/>
        <v>0</v>
      </c>
      <c r="LP302" s="10">
        <f t="shared" si="277"/>
        <v>0</v>
      </c>
      <c r="LQ302" s="10">
        <f t="shared" si="277"/>
        <v>0</v>
      </c>
      <c r="LR302" s="10">
        <f t="shared" si="277"/>
        <v>0</v>
      </c>
      <c r="LS302" s="10">
        <f t="shared" si="277"/>
        <v>0</v>
      </c>
      <c r="LT302" s="10">
        <f t="shared" ref="LT302:MG302" si="278">LT4/1000</f>
        <v>0</v>
      </c>
      <c r="LU302" s="10">
        <f t="shared" si="278"/>
        <v>0</v>
      </c>
      <c r="LV302" s="10">
        <f t="shared" si="278"/>
        <v>0</v>
      </c>
      <c r="LW302" s="10">
        <f t="shared" si="278"/>
        <v>0</v>
      </c>
      <c r="LX302" s="10">
        <f t="shared" si="278"/>
        <v>0</v>
      </c>
      <c r="LY302" s="10">
        <f t="shared" si="278"/>
        <v>0</v>
      </c>
      <c r="LZ302" s="10">
        <f t="shared" si="278"/>
        <v>0</v>
      </c>
      <c r="MA302" s="10">
        <f t="shared" si="278"/>
        <v>0</v>
      </c>
      <c r="MB302" s="10">
        <f t="shared" si="278"/>
        <v>0</v>
      </c>
      <c r="MC302" s="10">
        <f t="shared" si="278"/>
        <v>0</v>
      </c>
    </row>
    <row r="303" spans="1:341" s="14" customFormat="1">
      <c r="A303" s="19" t="s">
        <v>287</v>
      </c>
      <c r="B303" s="10">
        <f t="shared" ref="B303" si="279">B304-SUM(B297:B302)</f>
        <v>0</v>
      </c>
      <c r="C303" s="10">
        <f t="shared" ref="C303" si="280">C304-SUM(C297:C302)</f>
        <v>0</v>
      </c>
      <c r="D303" s="10">
        <f t="shared" ref="D303:Z303" si="281">D304-SUM(D297:D302)</f>
        <v>0</v>
      </c>
      <c r="E303" s="10">
        <f t="shared" si="281"/>
        <v>0</v>
      </c>
      <c r="F303" s="10">
        <f t="shared" si="281"/>
        <v>0</v>
      </c>
      <c r="G303" s="10">
        <f t="shared" si="281"/>
        <v>0.25887737811764744</v>
      </c>
      <c r="H303" s="10">
        <f t="shared" si="281"/>
        <v>0.31103902282352891</v>
      </c>
      <c r="I303" s="10">
        <f t="shared" si="281"/>
        <v>0.36420931811764667</v>
      </c>
      <c r="J303" s="10">
        <f t="shared" si="281"/>
        <v>0.3271774322352945</v>
      </c>
      <c r="K303" s="10">
        <f t="shared" si="281"/>
        <v>0.24599546917647119</v>
      </c>
      <c r="L303" s="10">
        <f t="shared" si="281"/>
        <v>0.13207558988235313</v>
      </c>
      <c r="M303" s="10">
        <f t="shared" si="281"/>
        <v>0.6993118621176464</v>
      </c>
      <c r="N303" s="10">
        <f t="shared" si="281"/>
        <v>15.637110069411765</v>
      </c>
      <c r="O303" s="10">
        <f t="shared" si="281"/>
        <v>20.773879329411727</v>
      </c>
      <c r="P303" s="10">
        <f t="shared" si="281"/>
        <v>10.561839676705858</v>
      </c>
      <c r="Q303" s="10">
        <f t="shared" si="281"/>
        <v>3.1265286376470556</v>
      </c>
      <c r="R303" s="10">
        <f t="shared" si="281"/>
        <v>0.26164396258828759</v>
      </c>
      <c r="S303" s="10">
        <f t="shared" si="281"/>
        <v>0.37464164705883007</v>
      </c>
      <c r="T303" s="10">
        <f t="shared" si="281"/>
        <v>10.942592762352938</v>
      </c>
      <c r="U303" s="10">
        <f t="shared" si="281"/>
        <v>32.142338674353198</v>
      </c>
      <c r="V303" s="10">
        <f t="shared" si="281"/>
        <v>9.7274839101177122</v>
      </c>
      <c r="W303" s="10">
        <f t="shared" si="281"/>
        <v>62.610630791058725</v>
      </c>
      <c r="X303" s="10">
        <f t="shared" si="281"/>
        <v>41.461567243809554</v>
      </c>
      <c r="Y303" s="10">
        <f t="shared" si="281"/>
        <v>4.6927253948571774</v>
      </c>
      <c r="Z303" s="10">
        <f t="shared" si="281"/>
        <v>-0.98889120000000008</v>
      </c>
      <c r="AA303" s="11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0">
        <f t="shared" ref="FP303:IA303" si="282">FP304-SUM(FP297:FP302)</f>
        <v>0.1723639762352942</v>
      </c>
      <c r="FQ303" s="10">
        <f t="shared" si="282"/>
        <v>0.3248719451764705</v>
      </c>
      <c r="FR303" s="10">
        <f t="shared" si="282"/>
        <v>0.45527605694117623</v>
      </c>
      <c r="FS303" s="10">
        <f t="shared" si="282"/>
        <v>0.40409424423529405</v>
      </c>
      <c r="FT303" s="10">
        <f t="shared" si="282"/>
        <v>2.1252556079999998</v>
      </c>
      <c r="FU303" s="10">
        <f t="shared" si="282"/>
        <v>2.2064087524705878</v>
      </c>
      <c r="FV303" s="10">
        <f t="shared" si="282"/>
        <v>1.8769546517647051</v>
      </c>
      <c r="FW303" s="10">
        <f t="shared" si="282"/>
        <v>0.71864913482352888</v>
      </c>
      <c r="FX303" s="10">
        <f t="shared" si="282"/>
        <v>0.48640013223529444</v>
      </c>
      <c r="FY303" s="10">
        <f t="shared" si="282"/>
        <v>2.6806186218823518</v>
      </c>
      <c r="FZ303" s="10">
        <f t="shared" si="282"/>
        <v>0.53550700658823569</v>
      </c>
      <c r="GA303" s="10">
        <f t="shared" si="282"/>
        <v>3.6507099390588218</v>
      </c>
      <c r="GB303" s="10">
        <f t="shared" si="282"/>
        <v>3.0054905670588239</v>
      </c>
      <c r="GC303" s="10">
        <f t="shared" si="282"/>
        <v>0.7136058818823523</v>
      </c>
      <c r="GD303" s="10">
        <f t="shared" si="282"/>
        <v>1.07003418117647</v>
      </c>
      <c r="GE303" s="10">
        <f t="shared" si="282"/>
        <v>0.9408980872941175</v>
      </c>
      <c r="GF303" s="10">
        <f t="shared" si="282"/>
        <v>1.0600917682352948</v>
      </c>
      <c r="GG303" s="10">
        <f t="shared" si="282"/>
        <v>1.4238111703529412</v>
      </c>
      <c r="GH303" s="10">
        <f t="shared" si="282"/>
        <v>2.4792919644705886</v>
      </c>
      <c r="GI303" s="10">
        <f t="shared" si="282"/>
        <v>1.8316806496470583</v>
      </c>
      <c r="GJ303" s="10">
        <f t="shared" si="282"/>
        <v>0.73305842894117568</v>
      </c>
      <c r="GK303" s="10">
        <f t="shared" si="282"/>
        <v>3.8891261195294096</v>
      </c>
      <c r="GL303" s="10">
        <f t="shared" si="282"/>
        <v>1.8965801103529412</v>
      </c>
      <c r="GM303" s="10">
        <f t="shared" si="282"/>
        <v>1.7302104004705825</v>
      </c>
      <c r="GN303" s="10">
        <f t="shared" si="282"/>
        <v>1.8762630056470613</v>
      </c>
      <c r="GO303" s="10">
        <f t="shared" si="282"/>
        <v>2.5200702668235309</v>
      </c>
      <c r="GP303" s="10">
        <f t="shared" si="282"/>
        <v>1.7824008637647069</v>
      </c>
      <c r="GQ303" s="10">
        <f t="shared" si="282"/>
        <v>2.1245351432941177</v>
      </c>
      <c r="GR303" s="10">
        <f t="shared" si="282"/>
        <v>0.99478884729411732</v>
      </c>
      <c r="GS303" s="10">
        <f t="shared" si="282"/>
        <v>7.6081072941178718E-3</v>
      </c>
      <c r="GT303" s="10">
        <f t="shared" si="282"/>
        <v>0.61406647811764614</v>
      </c>
      <c r="GU303" s="10">
        <f t="shared" si="282"/>
        <v>1.4755117176470378E-2</v>
      </c>
      <c r="GV303" s="10">
        <f t="shared" si="282"/>
        <v>4.253623623529279E-2</v>
      </c>
      <c r="GW303" s="10">
        <f t="shared" si="282"/>
        <v>0.5416453658823599</v>
      </c>
      <c r="GX303" s="10">
        <f t="shared" si="282"/>
        <v>1.9366091294116927E-2</v>
      </c>
      <c r="GY303" s="10">
        <f t="shared" si="282"/>
        <v>2.3804153882355905E-2</v>
      </c>
      <c r="GZ303" s="10">
        <f t="shared" si="282"/>
        <v>2.2449680235295588E-2</v>
      </c>
      <c r="HA303" s="10">
        <f t="shared" si="282"/>
        <v>2.9884875999998783E-2</v>
      </c>
      <c r="HB303" s="10">
        <f t="shared" si="282"/>
        <v>6.2248150588217754E-3</v>
      </c>
      <c r="HC303" s="10">
        <f t="shared" si="282"/>
        <v>1.4755117176470378E-2</v>
      </c>
      <c r="HD303" s="10">
        <f t="shared" si="282"/>
        <v>1.9539002823528939E-2</v>
      </c>
      <c r="HE303" s="10">
        <f t="shared" si="282"/>
        <v>2.4812804470587757E-2</v>
      </c>
      <c r="HF303" s="10">
        <f t="shared" si="282"/>
        <v>4.1988683058822751E-2</v>
      </c>
      <c r="HG303" s="10">
        <f t="shared" si="282"/>
        <v>3.2392093176470738E-2</v>
      </c>
      <c r="HH303" s="10">
        <f t="shared" si="282"/>
        <v>4.3054970823527938E-2</v>
      </c>
      <c r="HI303" s="10">
        <f t="shared" si="282"/>
        <v>4.2997333647059932E-2</v>
      </c>
      <c r="HJ303" s="10">
        <f t="shared" si="282"/>
        <v>3.3170195058825236E-2</v>
      </c>
      <c r="HK303" s="10">
        <f t="shared" si="282"/>
        <v>2.8152590661176475</v>
      </c>
      <c r="HL303" s="10">
        <f t="shared" si="282"/>
        <v>2.6369008235304969E-2</v>
      </c>
      <c r="HM303" s="10">
        <f t="shared" si="282"/>
        <v>4.2910877882354814E-2</v>
      </c>
      <c r="HN303" s="10">
        <f t="shared" si="282"/>
        <v>3.2622641882349424E-2</v>
      </c>
      <c r="HO303" s="10">
        <f t="shared" si="282"/>
        <v>4.0201930588247503E-2</v>
      </c>
      <c r="HP303" s="10">
        <f t="shared" si="282"/>
        <v>5.1988733176465018E-2</v>
      </c>
      <c r="HQ303" s="10">
        <f t="shared" si="282"/>
        <v>5.1931096000013444E-2</v>
      </c>
      <c r="HR303" s="10">
        <f t="shared" si="282"/>
        <v>8.4376949871511897E-15</v>
      </c>
      <c r="HS303" s="10">
        <f t="shared" si="282"/>
        <v>0</v>
      </c>
      <c r="HT303" s="10">
        <f t="shared" si="282"/>
        <v>3.3141376470622319E-3</v>
      </c>
      <c r="HU303" s="10">
        <f t="shared" si="282"/>
        <v>3.3141376470591233E-3</v>
      </c>
      <c r="HV303" s="10">
        <f t="shared" si="282"/>
        <v>3.3141376470637862E-3</v>
      </c>
      <c r="HW303" s="10">
        <f t="shared" si="282"/>
        <v>5.6772618823544008E-3</v>
      </c>
      <c r="HX303" s="10">
        <f t="shared" si="282"/>
        <v>1.8789719529411109E-2</v>
      </c>
      <c r="HY303" s="10">
        <f t="shared" si="282"/>
        <v>1.4207564000001893E-2</v>
      </c>
      <c r="HZ303" s="10">
        <f t="shared" si="282"/>
        <v>3.7348890352935982E-2</v>
      </c>
      <c r="IA303" s="10">
        <f t="shared" si="282"/>
        <v>2.7406477411761276E-2</v>
      </c>
      <c r="IB303" s="10">
        <f t="shared" ref="IB303:JE303" si="283">IB304-SUM(IB297:IB302)</f>
        <v>2.6599556941174107E-2</v>
      </c>
      <c r="IC303" s="10">
        <f t="shared" si="283"/>
        <v>6.902051882353355E-2</v>
      </c>
      <c r="ID303" s="10">
        <f t="shared" si="283"/>
        <v>2.2449680235294256E-2</v>
      </c>
      <c r="IE303" s="10">
        <f t="shared" si="283"/>
        <v>2.4639892941179742E-2</v>
      </c>
      <c r="IF303" s="10">
        <f t="shared" si="283"/>
        <v>4.031720494117641E-2</v>
      </c>
      <c r="IG303" s="10">
        <f t="shared" si="283"/>
        <v>2.4956897411765766E-2</v>
      </c>
      <c r="IH303" s="10">
        <f t="shared" si="283"/>
        <v>3.4005934117653069E-2</v>
      </c>
      <c r="II303" s="10">
        <f t="shared" si="283"/>
        <v>3.4899310352940915E-2</v>
      </c>
      <c r="IJ303" s="10">
        <f t="shared" si="283"/>
        <v>2.1902127058823773E-3</v>
      </c>
      <c r="IK303" s="10">
        <f t="shared" si="283"/>
        <v>1.8732082352923562E-3</v>
      </c>
      <c r="IL303" s="10">
        <f t="shared" si="283"/>
        <v>3.5527136788005009E-15</v>
      </c>
      <c r="IM303" s="10">
        <f t="shared" si="283"/>
        <v>0</v>
      </c>
      <c r="IN303" s="23">
        <v>0</v>
      </c>
      <c r="IO303" s="10">
        <f t="shared" si="283"/>
        <v>1.1965785000000002</v>
      </c>
      <c r="IP303" s="10">
        <f t="shared" si="283"/>
        <v>6.7160855324705846</v>
      </c>
      <c r="IQ303" s="10">
        <f t="shared" si="283"/>
        <v>0</v>
      </c>
      <c r="IR303" s="10">
        <f t="shared" si="283"/>
        <v>1.4440994564705871</v>
      </c>
      <c r="IS303" s="10">
        <f t="shared" si="283"/>
        <v>0</v>
      </c>
      <c r="IT303" s="10">
        <f t="shared" si="283"/>
        <v>0</v>
      </c>
      <c r="IU303" s="10">
        <f t="shared" si="283"/>
        <v>1.5817658524705873</v>
      </c>
      <c r="IV303" s="10">
        <f t="shared" si="283"/>
        <v>0</v>
      </c>
      <c r="IW303" s="10">
        <f t="shared" si="283"/>
        <v>0</v>
      </c>
      <c r="IX303" s="10">
        <f t="shared" si="283"/>
        <v>3.1199999999991235E-3</v>
      </c>
      <c r="IY303" s="10">
        <f t="shared" si="283"/>
        <v>1.1530605338824547</v>
      </c>
      <c r="IZ303" s="10">
        <f t="shared" si="283"/>
        <v>1.1663170844706272</v>
      </c>
      <c r="JA303" s="10">
        <f t="shared" si="283"/>
        <v>1.4414193277647769</v>
      </c>
      <c r="JB303" s="10">
        <f t="shared" si="283"/>
        <v>1.2975569352941605</v>
      </c>
      <c r="JC303" s="10">
        <f t="shared" si="283"/>
        <v>4.1632485308236475</v>
      </c>
      <c r="JD303" s="10">
        <f t="shared" si="283"/>
        <v>3.8727571614117409</v>
      </c>
      <c r="JE303" s="10">
        <f t="shared" si="283"/>
        <v>5.437865869882323</v>
      </c>
      <c r="JF303" s="10">
        <f>JF304-SUM(JF297:JF302)</f>
        <v>9.1001897000000085</v>
      </c>
      <c r="JG303" s="10">
        <f>JG304-SUM(JG297:JG302)</f>
        <v>4.5068035308235039</v>
      </c>
      <c r="JH303" s="10">
        <f t="shared" ref="JH303:LS303" si="284">JH304-SUM(JH297:JH302)</f>
        <v>1.0454519254117578</v>
      </c>
      <c r="JI303" s="10">
        <f t="shared" si="284"/>
        <v>4.6109741176092456E-4</v>
      </c>
      <c r="JJ303" s="10">
        <f t="shared" si="284"/>
        <v>0</v>
      </c>
      <c r="JK303" s="10">
        <f t="shared" si="284"/>
        <v>1.431621007764706</v>
      </c>
      <c r="JL303" s="10">
        <f t="shared" si="284"/>
        <v>0</v>
      </c>
      <c r="JM303" s="10">
        <f t="shared" si="284"/>
        <v>0</v>
      </c>
      <c r="JN303" s="10">
        <f t="shared" si="284"/>
        <v>1.4382781016471391</v>
      </c>
      <c r="JO303" s="10">
        <f t="shared" si="284"/>
        <v>1.4643301054118076</v>
      </c>
      <c r="JP303" s="10">
        <f t="shared" si="284"/>
        <v>7.7810188236142608E-3</v>
      </c>
      <c r="JQ303" s="10">
        <f t="shared" si="284"/>
        <v>1.2079226507921703E-13</v>
      </c>
      <c r="JR303" s="10">
        <f t="shared" si="284"/>
        <v>4.3393301049409949</v>
      </c>
      <c r="JS303" s="10">
        <f t="shared" si="284"/>
        <v>2.3054870582228659E-4</v>
      </c>
      <c r="JT303" s="10">
        <f t="shared" si="284"/>
        <v>5.6843418860808015E-14</v>
      </c>
      <c r="JU303" s="10">
        <f t="shared" si="284"/>
        <v>1.4368083536470664</v>
      </c>
      <c r="JV303" s="10">
        <f t="shared" si="284"/>
        <v>1.1502651308235414</v>
      </c>
      <c r="JW303" s="10">
        <f t="shared" si="284"/>
        <v>1.4622263484706384</v>
      </c>
      <c r="JX303" s="10">
        <f t="shared" si="284"/>
        <v>3.7656096503528982</v>
      </c>
      <c r="JY303" s="10">
        <f t="shared" si="284"/>
        <v>1.4414769649411099</v>
      </c>
      <c r="JZ303" s="10">
        <f t="shared" si="284"/>
        <v>2.600157123529236</v>
      </c>
      <c r="KA303" s="10">
        <f t="shared" si="284"/>
        <v>2.6169871790588886</v>
      </c>
      <c r="KB303" s="10">
        <f t="shared" si="284"/>
        <v>1.8380783762352166</v>
      </c>
      <c r="KC303" s="10">
        <f t="shared" si="284"/>
        <v>1.3714189769412641</v>
      </c>
      <c r="KD303" s="10">
        <f t="shared" si="284"/>
        <v>1.1470086303530387</v>
      </c>
      <c r="KE303" s="10">
        <f t="shared" si="284"/>
        <v>43.78059405670578</v>
      </c>
      <c r="KF303" s="10">
        <f t="shared" si="284"/>
        <v>8.8625204502857144</v>
      </c>
      <c r="KG303" s="10">
        <f t="shared" si="284"/>
        <v>9.1528706468571421</v>
      </c>
      <c r="KH303" s="10">
        <f t="shared" si="284"/>
        <v>2.485591836531853E-5</v>
      </c>
      <c r="KI303" s="10">
        <f t="shared" si="284"/>
        <v>4.7708993878911556</v>
      </c>
      <c r="KJ303" s="10">
        <f t="shared" si="284"/>
        <v>7.5477578221239128E-5</v>
      </c>
      <c r="KK303" s="10">
        <f t="shared" si="284"/>
        <v>2.0949575290068125</v>
      </c>
      <c r="KL303" s="10">
        <f t="shared" si="284"/>
        <v>2.4283560232925225</v>
      </c>
      <c r="KM303" s="10">
        <f t="shared" si="284"/>
        <v>4.8124407970340144</v>
      </c>
      <c r="KN303" s="10">
        <f t="shared" si="284"/>
        <v>6.7879129247216952E-5</v>
      </c>
      <c r="KO303" s="10">
        <f t="shared" si="284"/>
        <v>2.3993556431836538</v>
      </c>
      <c r="KP303" s="10">
        <f t="shared" si="284"/>
        <v>2.8518721531972915</v>
      </c>
      <c r="KQ303" s="10">
        <f t="shared" si="284"/>
        <v>4.0881264004353426</v>
      </c>
      <c r="KR303" s="10">
        <f t="shared" si="284"/>
        <v>0</v>
      </c>
      <c r="KS303" s="10">
        <f t="shared" si="284"/>
        <v>0</v>
      </c>
      <c r="KT303" s="10">
        <f t="shared" si="284"/>
        <v>0</v>
      </c>
      <c r="KU303" s="10">
        <f t="shared" si="284"/>
        <v>0</v>
      </c>
      <c r="KV303" s="10">
        <f t="shared" si="284"/>
        <v>2.7595268571332099E-3</v>
      </c>
      <c r="KW303" s="10">
        <f t="shared" si="284"/>
        <v>2.9994857129622687E-5</v>
      </c>
      <c r="KX303" s="10">
        <f t="shared" si="284"/>
        <v>0</v>
      </c>
      <c r="KY303" s="10">
        <f t="shared" si="284"/>
        <v>0</v>
      </c>
      <c r="KZ303" s="10">
        <f t="shared" si="284"/>
        <v>2.283508474285715</v>
      </c>
      <c r="LA303" s="10">
        <f t="shared" si="284"/>
        <v>1.2030637251428562</v>
      </c>
      <c r="LB303" s="10">
        <f t="shared" si="284"/>
        <v>6.5988685714124529E-4</v>
      </c>
      <c r="LC303" s="10">
        <f t="shared" si="284"/>
        <v>1.2027037868571462</v>
      </c>
      <c r="LD303" s="10">
        <f t="shared" si="284"/>
        <v>0</v>
      </c>
      <c r="LE303" s="10">
        <f t="shared" si="284"/>
        <v>-1.65E-3</v>
      </c>
      <c r="LF303" s="10">
        <f t="shared" si="284"/>
        <v>0</v>
      </c>
      <c r="LG303" s="10">
        <f t="shared" si="284"/>
        <v>0</v>
      </c>
      <c r="LH303" s="10">
        <f t="shared" si="284"/>
        <v>-0.5998671000000001</v>
      </c>
      <c r="LI303" s="10">
        <f t="shared" si="284"/>
        <v>0</v>
      </c>
      <c r="LJ303" s="10">
        <f t="shared" si="284"/>
        <v>-4.6380000000000005E-2</v>
      </c>
      <c r="LK303" s="10">
        <f t="shared" si="284"/>
        <v>-0.30572909999999998</v>
      </c>
      <c r="LL303" s="10">
        <f t="shared" si="284"/>
        <v>0</v>
      </c>
      <c r="LM303" s="10">
        <f t="shared" si="284"/>
        <v>-3.5264999999999998E-2</v>
      </c>
      <c r="LN303" s="10">
        <f t="shared" si="284"/>
        <v>0</v>
      </c>
      <c r="LO303" s="10">
        <f t="shared" si="284"/>
        <v>0</v>
      </c>
      <c r="LP303" s="10">
        <f t="shared" si="284"/>
        <v>0</v>
      </c>
      <c r="LQ303" s="10">
        <f t="shared" si="284"/>
        <v>-5.94E-3</v>
      </c>
      <c r="LR303" s="10">
        <f t="shared" si="284"/>
        <v>0</v>
      </c>
      <c r="LS303" s="10">
        <f t="shared" si="284"/>
        <v>0</v>
      </c>
      <c r="LT303" s="10">
        <f t="shared" ref="LT303:MG303" si="285">LT304-SUM(LT297:LT302)</f>
        <v>0</v>
      </c>
      <c r="LU303" s="10">
        <f t="shared" si="285"/>
        <v>0</v>
      </c>
      <c r="LV303" s="10">
        <f t="shared" si="285"/>
        <v>0</v>
      </c>
      <c r="LW303" s="10">
        <f t="shared" si="285"/>
        <v>0</v>
      </c>
      <c r="LX303" s="10">
        <f t="shared" si="285"/>
        <v>0</v>
      </c>
      <c r="LY303" s="10">
        <f t="shared" si="285"/>
        <v>0</v>
      </c>
      <c r="LZ303" s="10">
        <f t="shared" si="285"/>
        <v>0</v>
      </c>
      <c r="MA303" s="10">
        <f t="shared" si="285"/>
        <v>0</v>
      </c>
      <c r="MB303" s="10">
        <f t="shared" si="285"/>
        <v>0</v>
      </c>
      <c r="MC303" s="10">
        <f t="shared" si="285"/>
        <v>0</v>
      </c>
    </row>
    <row r="304" spans="1:341" s="14" customFormat="1">
      <c r="A304" s="19" t="s">
        <v>288</v>
      </c>
      <c r="B304" s="13">
        <f>B293</f>
        <v>0</v>
      </c>
      <c r="C304" s="13">
        <f t="shared" ref="C304:Z304" si="286">C293</f>
        <v>0</v>
      </c>
      <c r="D304" s="13">
        <f t="shared" si="286"/>
        <v>0</v>
      </c>
      <c r="E304" s="13">
        <f t="shared" si="286"/>
        <v>0</v>
      </c>
      <c r="F304" s="13">
        <f t="shared" si="286"/>
        <v>0</v>
      </c>
      <c r="G304" s="13">
        <f t="shared" si="286"/>
        <v>7.953498074117646</v>
      </c>
      <c r="H304" s="13">
        <f t="shared" si="286"/>
        <v>10.153019183999998</v>
      </c>
      <c r="I304" s="13">
        <f t="shared" si="286"/>
        <v>3.287682183058823</v>
      </c>
      <c r="J304" s="13">
        <f t="shared" si="286"/>
        <v>8.0175906143529403</v>
      </c>
      <c r="K304" s="13">
        <f t="shared" si="286"/>
        <v>3.9329591922352938</v>
      </c>
      <c r="L304" s="13">
        <f t="shared" si="286"/>
        <v>4.0847755150588236</v>
      </c>
      <c r="M304" s="13">
        <f t="shared" si="286"/>
        <v>8.6817726174117631</v>
      </c>
      <c r="N304" s="13">
        <f t="shared" si="286"/>
        <v>44.906593936235289</v>
      </c>
      <c r="O304" s="13">
        <f t="shared" si="286"/>
        <v>140.36779282399996</v>
      </c>
      <c r="P304" s="13">
        <f t="shared" si="286"/>
        <v>315.07025340164699</v>
      </c>
      <c r="Q304" s="13">
        <f t="shared" si="286"/>
        <v>79.24616084988233</v>
      </c>
      <c r="R304" s="13">
        <f t="shared" si="286"/>
        <v>22.912362669411806</v>
      </c>
      <c r="S304" s="13">
        <f t="shared" si="286"/>
        <v>46.454325035999972</v>
      </c>
      <c r="T304" s="13">
        <f t="shared" si="286"/>
        <v>33.513434343058805</v>
      </c>
      <c r="U304" s="13">
        <f t="shared" si="286"/>
        <v>324.84598943035303</v>
      </c>
      <c r="V304" s="13">
        <f t="shared" si="286"/>
        <v>185.11049544894115</v>
      </c>
      <c r="W304" s="13">
        <f t="shared" si="286"/>
        <v>339.80717852941149</v>
      </c>
      <c r="X304" s="13">
        <f t="shared" si="286"/>
        <v>709.5457427314285</v>
      </c>
      <c r="Y304" s="13">
        <f t="shared" si="286"/>
        <v>397.25191799485714</v>
      </c>
      <c r="Z304" s="13">
        <f t="shared" si="286"/>
        <v>0</v>
      </c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>
        <f>FP293/1000</f>
        <v>0.92020634094117637</v>
      </c>
      <c r="FQ304" s="13">
        <f t="shared" ref="FQ304:IB304" si="287">FQ293/1000</f>
        <v>0.80467262070588219</v>
      </c>
      <c r="FR304" s="13">
        <f t="shared" si="287"/>
        <v>1.6587691202352937</v>
      </c>
      <c r="FS304" s="13">
        <f t="shared" si="287"/>
        <v>0.70663178352941169</v>
      </c>
      <c r="FT304" s="13">
        <f t="shared" si="287"/>
        <v>3.1592377352941172</v>
      </c>
      <c r="FU304" s="13">
        <f t="shared" si="287"/>
        <v>6.163143279999999</v>
      </c>
      <c r="FV304" s="13">
        <f t="shared" si="287"/>
        <v>3.122148212235293</v>
      </c>
      <c r="FW304" s="13">
        <f t="shared" si="287"/>
        <v>3.9053221661176463</v>
      </c>
      <c r="FX304" s="13">
        <f t="shared" si="287"/>
        <v>3.7077131065882352</v>
      </c>
      <c r="FY304" s="13">
        <f t="shared" si="287"/>
        <v>4.2382921345882343</v>
      </c>
      <c r="FZ304" s="13">
        <f t="shared" si="287"/>
        <v>7.8625466096470582</v>
      </c>
      <c r="GA304" s="13">
        <f t="shared" si="287"/>
        <v>8.6579108263529392</v>
      </c>
      <c r="GB304" s="13">
        <f t="shared" si="287"/>
        <v>9.9638251522352927</v>
      </c>
      <c r="GC304" s="13">
        <f t="shared" si="287"/>
        <v>6.2055930604705871</v>
      </c>
      <c r="GD304" s="13">
        <f t="shared" si="287"/>
        <v>4.7701103618823524</v>
      </c>
      <c r="GE304" s="13">
        <f t="shared" si="287"/>
        <v>7.5385392221176453</v>
      </c>
      <c r="GF304" s="13">
        <f t="shared" si="287"/>
        <v>4.6278906289411763</v>
      </c>
      <c r="GG304" s="13">
        <f t="shared" si="287"/>
        <v>15.293333130352938</v>
      </c>
      <c r="GH304" s="13">
        <f t="shared" si="287"/>
        <v>11.314437108470587</v>
      </c>
      <c r="GI304" s="13">
        <f t="shared" si="287"/>
        <v>17.159740178823526</v>
      </c>
      <c r="GJ304" s="13">
        <f t="shared" si="287"/>
        <v>12.57680654752941</v>
      </c>
      <c r="GK304" s="13">
        <f t="shared" si="287"/>
        <v>17.976170783529408</v>
      </c>
      <c r="GL304" s="13">
        <f t="shared" si="287"/>
        <v>10.293567438823528</v>
      </c>
      <c r="GM304" s="13">
        <f t="shared" si="287"/>
        <v>22.647779210823522</v>
      </c>
      <c r="GN304" s="13">
        <f t="shared" si="287"/>
        <v>26.745465453411761</v>
      </c>
      <c r="GO304" s="13">
        <f t="shared" si="287"/>
        <v>33.593194296941171</v>
      </c>
      <c r="GP304" s="13">
        <f t="shared" si="287"/>
        <v>11.497348687999999</v>
      </c>
      <c r="GQ304" s="13">
        <f t="shared" si="287"/>
        <v>28.954698427529408</v>
      </c>
      <c r="GR304" s="13">
        <f t="shared" si="287"/>
        <v>21.495612053176465</v>
      </c>
      <c r="GS304" s="13">
        <f t="shared" si="287"/>
        <v>21.49333538470588</v>
      </c>
      <c r="GT304" s="13">
        <f t="shared" si="287"/>
        <v>22.110283721647054</v>
      </c>
      <c r="GU304" s="13">
        <f t="shared" si="287"/>
        <v>38.084974733647051</v>
      </c>
      <c r="GV304" s="13">
        <f t="shared" si="287"/>
        <v>38.157367027294107</v>
      </c>
      <c r="GW304" s="13">
        <f t="shared" si="287"/>
        <v>30.720932063294114</v>
      </c>
      <c r="GX304" s="13">
        <f t="shared" si="287"/>
        <v>25.256581910823524</v>
      </c>
      <c r="GY304" s="13">
        <f t="shared" si="287"/>
        <v>16.96045964117647</v>
      </c>
      <c r="GZ304" s="13">
        <f t="shared" si="287"/>
        <v>12.76395445952941</v>
      </c>
      <c r="HA304" s="13">
        <f t="shared" si="287"/>
        <v>6.6152204736470566</v>
      </c>
      <c r="HB304" s="13">
        <f t="shared" si="287"/>
        <v>16.10541212823529</v>
      </c>
      <c r="HC304" s="13">
        <f t="shared" si="287"/>
        <v>2.1635266931764701</v>
      </c>
      <c r="HD304" s="13">
        <f t="shared" si="287"/>
        <v>4.8995346416470582</v>
      </c>
      <c r="HE304" s="13">
        <f t="shared" si="287"/>
        <v>5.7903748411764688</v>
      </c>
      <c r="HF304" s="13">
        <f t="shared" si="287"/>
        <v>2.4237873635294105</v>
      </c>
      <c r="HG304" s="13">
        <f t="shared" si="287"/>
        <v>5.2771446032941167</v>
      </c>
      <c r="HH304" s="13">
        <f t="shared" si="287"/>
        <v>5.1679797910588219</v>
      </c>
      <c r="HI304" s="13">
        <f t="shared" si="287"/>
        <v>6.6786501863529413</v>
      </c>
      <c r="HJ304" s="13">
        <f t="shared" si="287"/>
        <v>4.4123564075294128</v>
      </c>
      <c r="HK304" s="13">
        <f t="shared" si="287"/>
        <v>6.9482192607058826</v>
      </c>
      <c r="HL304" s="13">
        <f t="shared" si="287"/>
        <v>1.7069249811764799</v>
      </c>
      <c r="HM304" s="13">
        <f t="shared" si="287"/>
        <v>1.30614487458824</v>
      </c>
      <c r="HN304" s="13">
        <f t="shared" si="287"/>
        <v>2.5061220701176397</v>
      </c>
      <c r="HO304" s="13">
        <f t="shared" si="287"/>
        <v>1.8785108555294201</v>
      </c>
      <c r="HP304" s="13">
        <f t="shared" si="287"/>
        <v>3.36765376541176</v>
      </c>
      <c r="HQ304" s="13">
        <f t="shared" si="287"/>
        <v>2.27882986470589</v>
      </c>
      <c r="HR304" s="13">
        <f t="shared" si="287"/>
        <v>1.3547330143529501</v>
      </c>
      <c r="HS304" s="13">
        <f t="shared" si="287"/>
        <v>2.1844489882353</v>
      </c>
      <c r="HT304" s="13">
        <f t="shared" si="287"/>
        <v>2.88220464658824</v>
      </c>
      <c r="HU304" s="13">
        <f t="shared" si="287"/>
        <v>0.75922570705882297</v>
      </c>
      <c r="HV304" s="13">
        <f t="shared" si="287"/>
        <v>1.25865184117647</v>
      </c>
      <c r="HW304" s="13">
        <f t="shared" si="287"/>
        <v>1.4289120604705901</v>
      </c>
      <c r="HX304" s="13">
        <f t="shared" si="287"/>
        <v>2.6849990472941156</v>
      </c>
      <c r="HY304" s="13">
        <f t="shared" si="287"/>
        <v>1.999548926117646</v>
      </c>
      <c r="HZ304" s="13">
        <f t="shared" si="287"/>
        <v>3.0274503312941161</v>
      </c>
      <c r="IA304" s="13">
        <f t="shared" si="287"/>
        <v>2.9841648117647042</v>
      </c>
      <c r="IB304" s="13">
        <f t="shared" si="287"/>
        <v>3.2117740216470572</v>
      </c>
      <c r="IC304" s="13">
        <f t="shared" ref="IC304:JE304" si="288">IC293/1000</f>
        <v>3.1386612632941162</v>
      </c>
      <c r="ID304" s="13">
        <f t="shared" si="288"/>
        <v>3.8009124209411742</v>
      </c>
      <c r="IE304" s="13">
        <f t="shared" si="288"/>
        <v>3.2653189585882334</v>
      </c>
      <c r="IF304" s="13">
        <f t="shared" si="288"/>
        <v>3.520738106117645</v>
      </c>
      <c r="IG304" s="13">
        <f t="shared" si="288"/>
        <v>4.6866517303529385</v>
      </c>
      <c r="IH304" s="13">
        <f t="shared" si="288"/>
        <v>3.9880315143529392</v>
      </c>
      <c r="II304" s="13">
        <f t="shared" si="288"/>
        <v>10.146073904235287</v>
      </c>
      <c r="IJ304" s="13">
        <f t="shared" si="288"/>
        <v>1.8351676988235284</v>
      </c>
      <c r="IK304" s="13">
        <f t="shared" si="288"/>
        <v>2.4304156388235278</v>
      </c>
      <c r="IL304" s="13">
        <f t="shared" si="288"/>
        <v>2.3149395557647043</v>
      </c>
      <c r="IM304" s="13">
        <f t="shared" si="288"/>
        <v>2.0763216451764697</v>
      </c>
      <c r="IN304" s="13">
        <f t="shared" si="288"/>
        <v>3.966475210352939</v>
      </c>
      <c r="IO304" s="13">
        <f t="shared" si="288"/>
        <v>4.4757671999999999</v>
      </c>
      <c r="IP304" s="13">
        <f t="shared" si="288"/>
        <v>6.7160855324705846</v>
      </c>
      <c r="IQ304" s="13">
        <f t="shared" si="288"/>
        <v>1.820066758588234</v>
      </c>
      <c r="IR304" s="13">
        <f t="shared" si="288"/>
        <v>3.3931005788235269</v>
      </c>
      <c r="IS304" s="13">
        <f t="shared" si="288"/>
        <v>1.3962029628235286</v>
      </c>
      <c r="IT304" s="13">
        <f t="shared" si="288"/>
        <v>0.35201905529411742</v>
      </c>
      <c r="IU304" s="13">
        <f t="shared" si="288"/>
        <v>2.7368725061176455</v>
      </c>
      <c r="IV304" s="13">
        <f t="shared" si="288"/>
        <v>0.52902282423529379</v>
      </c>
      <c r="IW304" s="13">
        <f t="shared" si="288"/>
        <v>2.1063794327058809</v>
      </c>
      <c r="IX304" s="13">
        <f t="shared" si="288"/>
        <v>18.224106899999999</v>
      </c>
      <c r="IY304" s="13">
        <f t="shared" si="288"/>
        <v>13.85220198847068</v>
      </c>
      <c r="IZ304" s="13">
        <f t="shared" si="288"/>
        <v>19.425774590352969</v>
      </c>
      <c r="JA304" s="13">
        <f t="shared" si="288"/>
        <v>27.708813220941231</v>
      </c>
      <c r="JB304" s="13">
        <f t="shared" si="288"/>
        <v>13.735515524705917</v>
      </c>
      <c r="JC304" s="13">
        <f t="shared" si="288"/>
        <v>19.765488108470699</v>
      </c>
      <c r="JD304" s="13">
        <f t="shared" si="288"/>
        <v>27.754951780705845</v>
      </c>
      <c r="JE304" s="13">
        <f t="shared" si="288"/>
        <v>48.415602876941122</v>
      </c>
      <c r="JF304" s="13">
        <f>JF293/1000</f>
        <v>50.589619536235269</v>
      </c>
      <c r="JG304" s="13">
        <f>JG293/1000</f>
        <v>82.738512646588163</v>
      </c>
      <c r="JH304" s="13">
        <f t="shared" ref="JH304:LS304" si="289">JH293/1000</f>
        <v>9.3033031098823411</v>
      </c>
      <c r="JI304" s="13">
        <f t="shared" si="289"/>
        <v>7.2233215039999914</v>
      </c>
      <c r="JJ304" s="13">
        <f t="shared" si="289"/>
        <v>9.6053507331764738</v>
      </c>
      <c r="JK304" s="13">
        <f t="shared" si="289"/>
        <v>6.335968353647055</v>
      </c>
      <c r="JL304" s="13">
        <f t="shared" si="289"/>
        <v>4.4568811263529415</v>
      </c>
      <c r="JM304" s="13">
        <f t="shared" si="289"/>
        <v>7.9336132482352886</v>
      </c>
      <c r="JN304" s="13">
        <f t="shared" si="289"/>
        <v>20.027247345411833</v>
      </c>
      <c r="JO304" s="13">
        <f t="shared" si="289"/>
        <v>23.271528734588266</v>
      </c>
      <c r="JP304" s="13">
        <f t="shared" si="289"/>
        <v>14.318400290353019</v>
      </c>
      <c r="JQ304" s="13">
        <f t="shared" si="289"/>
        <v>24.883093007294224</v>
      </c>
      <c r="JR304" s="13">
        <f t="shared" si="289"/>
        <v>35.843263210588034</v>
      </c>
      <c r="JS304" s="13">
        <f t="shared" si="289"/>
        <v>21.908524785411693</v>
      </c>
      <c r="JT304" s="13">
        <f t="shared" si="289"/>
        <v>14.044047330352988</v>
      </c>
      <c r="JU304" s="13">
        <f t="shared" si="289"/>
        <v>19.947535130352939</v>
      </c>
      <c r="JV304" s="13">
        <f t="shared" si="289"/>
        <v>17.214927775294118</v>
      </c>
      <c r="JW304" s="13">
        <f t="shared" si="289"/>
        <v>15.579616985882394</v>
      </c>
      <c r="JX304" s="13">
        <f t="shared" si="289"/>
        <v>14.635606491058775</v>
      </c>
      <c r="JY304" s="13">
        <f t="shared" si="289"/>
        <v>27.39224102917639</v>
      </c>
      <c r="JZ304" s="13">
        <f t="shared" si="289"/>
        <v>47.911335219999799</v>
      </c>
      <c r="KA304" s="13">
        <f t="shared" si="289"/>
        <v>38.059643194588283</v>
      </c>
      <c r="KB304" s="13">
        <f t="shared" si="289"/>
        <v>37.673589386588134</v>
      </c>
      <c r="KC304" s="13">
        <f t="shared" si="289"/>
        <v>35.067783819764777</v>
      </c>
      <c r="KD304" s="13">
        <f t="shared" si="289"/>
        <v>28.500258109647138</v>
      </c>
      <c r="KE304" s="13">
        <f t="shared" si="289"/>
        <v>43.78059405670578</v>
      </c>
      <c r="KF304" s="13">
        <f t="shared" si="289"/>
        <v>8.8625204502857144</v>
      </c>
      <c r="KG304" s="13">
        <f t="shared" si="289"/>
        <v>9.1529906468571429</v>
      </c>
      <c r="KH304" s="13">
        <f t="shared" si="289"/>
        <v>27.39895223142857</v>
      </c>
      <c r="KI304" s="13">
        <f t="shared" si="289"/>
        <v>45.986465254285704</v>
      </c>
      <c r="KJ304" s="13">
        <f t="shared" si="289"/>
        <v>50.136133760571425</v>
      </c>
      <c r="KK304" s="13">
        <f t="shared" si="289"/>
        <v>64.614051406285725</v>
      </c>
      <c r="KL304" s="13">
        <f t="shared" si="289"/>
        <v>71.183375043428569</v>
      </c>
      <c r="KM304" s="13">
        <f t="shared" si="289"/>
        <v>77.473446560571418</v>
      </c>
      <c r="KN304" s="13">
        <f t="shared" si="289"/>
        <v>74.823910844571415</v>
      </c>
      <c r="KO304" s="13">
        <f t="shared" si="289"/>
        <v>76.276531781142836</v>
      </c>
      <c r="KP304" s="13">
        <f t="shared" si="289"/>
        <v>92.26628021142858</v>
      </c>
      <c r="KQ304" s="13">
        <f t="shared" si="289"/>
        <v>111.37108454057142</v>
      </c>
      <c r="KR304" s="13">
        <f t="shared" si="289"/>
        <v>4.199220010285714</v>
      </c>
      <c r="KS304" s="13">
        <f t="shared" si="289"/>
        <v>23.813786936571425</v>
      </c>
      <c r="KT304" s="13">
        <f t="shared" si="289"/>
        <v>32.678736970285712</v>
      </c>
      <c r="KU304" s="13">
        <f t="shared" si="289"/>
        <v>29.222519566285715</v>
      </c>
      <c r="KV304" s="13">
        <f t="shared" si="289"/>
        <v>40.140917519999995</v>
      </c>
      <c r="KW304" s="13">
        <f t="shared" si="289"/>
        <v>74.266696383428567</v>
      </c>
      <c r="KX304" s="13">
        <f t="shared" si="289"/>
        <v>71.446699894285715</v>
      </c>
      <c r="KY304" s="13">
        <f t="shared" si="289"/>
        <v>65.781961158857143</v>
      </c>
      <c r="KZ304" s="13">
        <f t="shared" si="289"/>
        <v>9.6116720022857152</v>
      </c>
      <c r="LA304" s="13">
        <f t="shared" si="289"/>
        <v>14.989119995999998</v>
      </c>
      <c r="LB304" s="13">
        <f t="shared" si="289"/>
        <v>9.576098101714285</v>
      </c>
      <c r="LC304" s="13">
        <f t="shared" si="289"/>
        <v>21.524489454857143</v>
      </c>
      <c r="LD304" s="13">
        <f t="shared" si="289"/>
        <v>0</v>
      </c>
      <c r="LE304" s="13">
        <f t="shared" si="289"/>
        <v>0</v>
      </c>
      <c r="LF304" s="13">
        <f t="shared" si="289"/>
        <v>0</v>
      </c>
      <c r="LG304" s="13">
        <f t="shared" si="289"/>
        <v>0</v>
      </c>
      <c r="LH304" s="13">
        <f t="shared" si="289"/>
        <v>0</v>
      </c>
      <c r="LI304" s="13">
        <f t="shared" si="289"/>
        <v>0</v>
      </c>
      <c r="LJ304" s="13">
        <f t="shared" si="289"/>
        <v>0</v>
      </c>
      <c r="LK304" s="13">
        <f t="shared" si="289"/>
        <v>0</v>
      </c>
      <c r="LL304" s="13">
        <f t="shared" si="289"/>
        <v>0</v>
      </c>
      <c r="LM304" s="13">
        <f t="shared" si="289"/>
        <v>0</v>
      </c>
      <c r="LN304" s="13">
        <f t="shared" si="289"/>
        <v>0</v>
      </c>
      <c r="LO304" s="13">
        <f t="shared" si="289"/>
        <v>0</v>
      </c>
      <c r="LP304" s="13">
        <f t="shared" si="289"/>
        <v>0</v>
      </c>
      <c r="LQ304" s="13">
        <f t="shared" si="289"/>
        <v>0</v>
      </c>
      <c r="LR304" s="13">
        <f t="shared" si="289"/>
        <v>0</v>
      </c>
      <c r="LS304" s="13">
        <f t="shared" si="289"/>
        <v>0</v>
      </c>
      <c r="LT304" s="13">
        <f t="shared" ref="LT304:MG304" si="290">LT293/1000</f>
        <v>0</v>
      </c>
      <c r="LU304" s="13">
        <f t="shared" si="290"/>
        <v>0</v>
      </c>
      <c r="LV304" s="13">
        <f t="shared" si="290"/>
        <v>0</v>
      </c>
      <c r="LW304" s="13">
        <f t="shared" si="290"/>
        <v>0</v>
      </c>
      <c r="LX304" s="13">
        <f t="shared" si="290"/>
        <v>0</v>
      </c>
      <c r="LY304" s="13">
        <f t="shared" si="290"/>
        <v>0</v>
      </c>
      <c r="LZ304" s="13">
        <f t="shared" si="290"/>
        <v>0</v>
      </c>
      <c r="MA304" s="13">
        <f t="shared" si="290"/>
        <v>0</v>
      </c>
      <c r="MB304" s="13">
        <f t="shared" si="290"/>
        <v>0</v>
      </c>
      <c r="MC304" s="13">
        <f t="shared" si="290"/>
        <v>0</v>
      </c>
    </row>
    <row r="305" spans="1:341" s="14" customFormat="1">
      <c r="A305" s="19" t="s">
        <v>289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  <c r="HQ305" s="13"/>
      <c r="HR305" s="13"/>
      <c r="HS305" s="13"/>
      <c r="HT305" s="13"/>
      <c r="HU305" s="13"/>
      <c r="HV305" s="13"/>
      <c r="HW305" s="13"/>
      <c r="HX305" s="13"/>
      <c r="HY305" s="13"/>
      <c r="HZ305" s="13"/>
      <c r="IA305" s="13"/>
      <c r="IB305" s="13"/>
      <c r="IC305" s="13"/>
      <c r="ID305" s="13"/>
      <c r="IE305" s="13"/>
      <c r="IF305" s="13"/>
      <c r="IG305" s="13"/>
      <c r="IH305" s="13"/>
      <c r="II305" s="13"/>
      <c r="IJ305" s="13"/>
      <c r="IK305" s="13"/>
      <c r="IL305" s="13"/>
      <c r="IM305" s="13"/>
      <c r="IN305" s="13"/>
      <c r="IO305" s="13"/>
      <c r="IP305" s="13"/>
      <c r="IQ305" s="13"/>
      <c r="IR305" s="13"/>
      <c r="IS305" s="13"/>
      <c r="IT305" s="13"/>
      <c r="IU305" s="13"/>
      <c r="IV305" s="24"/>
      <c r="IW305" s="24"/>
      <c r="IX305" s="24"/>
      <c r="IY305" s="24"/>
      <c r="IZ305" s="24"/>
      <c r="JA305" s="24"/>
      <c r="JB305" s="24"/>
      <c r="JC305" s="24"/>
      <c r="JD305" s="24"/>
      <c r="JE305" s="24"/>
      <c r="JF305" s="24"/>
      <c r="JG305" s="24"/>
      <c r="JH305" s="13"/>
      <c r="JI305" s="13"/>
      <c r="JJ305" s="13"/>
      <c r="JK305" s="13"/>
      <c r="JL305" s="13"/>
      <c r="JM305" s="13"/>
      <c r="JN305" s="13"/>
      <c r="JO305" s="13"/>
      <c r="JP305" s="13"/>
      <c r="JQ305" s="13"/>
      <c r="JR305" s="13"/>
      <c r="JS305" s="13"/>
      <c r="JT305" s="13"/>
      <c r="JU305" s="13"/>
      <c r="JV305" s="13"/>
      <c r="JW305" s="13"/>
      <c r="JX305" s="13"/>
      <c r="JY305" s="13"/>
      <c r="JZ305" s="13"/>
      <c r="KA305" s="13"/>
      <c r="KB305" s="13"/>
      <c r="KC305" s="13"/>
      <c r="KD305" s="13"/>
      <c r="KE305" s="13"/>
      <c r="KF305" s="13"/>
      <c r="KG305" s="13">
        <f>[1]Breakdown!$X$211</f>
        <v>8.7940210185882304</v>
      </c>
      <c r="KH305" s="13">
        <f>[1]Breakdown!$X$212</f>
        <v>26.324483516470629</v>
      </c>
      <c r="KI305" s="13"/>
      <c r="KJ305" s="13"/>
      <c r="KK305" s="13"/>
      <c r="KL305" s="13"/>
      <c r="KM305" s="13"/>
      <c r="KN305" s="13"/>
      <c r="KO305" s="13"/>
      <c r="KP305" s="13"/>
      <c r="KQ305" s="13"/>
      <c r="KR305" s="13"/>
      <c r="KS305" s="13"/>
      <c r="KT305" s="13"/>
      <c r="KU305" s="13"/>
      <c r="KV305" s="13"/>
      <c r="KW305" s="13"/>
      <c r="KX305" s="13"/>
      <c r="KY305" s="13"/>
      <c r="KZ305" s="13"/>
      <c r="LA305" s="13"/>
      <c r="LB305" s="13"/>
      <c r="LC305" s="13"/>
      <c r="LD305" s="13"/>
      <c r="LE305" s="13"/>
      <c r="LF305" s="13"/>
      <c r="LG305" s="13"/>
      <c r="LH305" s="13"/>
      <c r="LI305" s="13"/>
      <c r="LJ305" s="13"/>
      <c r="LK305" s="13"/>
      <c r="LL305" s="13"/>
      <c r="LM305" s="13"/>
      <c r="LN305" s="13"/>
      <c r="LO305" s="13"/>
      <c r="LP305" s="13"/>
      <c r="LQ305" s="13"/>
      <c r="LR305" s="13"/>
      <c r="LS305" s="13"/>
      <c r="LT305" s="13"/>
      <c r="LU305" s="13"/>
      <c r="LV305" s="13"/>
      <c r="LW305" s="13"/>
      <c r="LX305" s="13"/>
      <c r="LY305" s="13"/>
      <c r="LZ305" s="13"/>
      <c r="MA305" s="13"/>
      <c r="MB305" s="13"/>
      <c r="MC305" s="13"/>
    </row>
    <row r="306" spans="1:341" s="14" customFormat="1">
      <c r="A306" s="19" t="s">
        <v>290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  <c r="HQ306" s="13"/>
      <c r="HR306" s="13"/>
      <c r="HS306" s="13"/>
      <c r="HT306" s="13"/>
      <c r="HU306" s="13"/>
      <c r="HV306" s="13"/>
      <c r="HW306" s="13"/>
      <c r="HX306" s="13"/>
      <c r="HY306" s="13"/>
      <c r="HZ306" s="13"/>
      <c r="IA306" s="13"/>
      <c r="IB306" s="13"/>
      <c r="IC306" s="13"/>
      <c r="ID306" s="13"/>
      <c r="IE306" s="13"/>
      <c r="IF306" s="13"/>
      <c r="IG306" s="13"/>
      <c r="IH306" s="13"/>
      <c r="II306" s="13"/>
      <c r="IJ306" s="13"/>
      <c r="IK306" s="13"/>
      <c r="IL306" s="13"/>
      <c r="IM306" s="13"/>
      <c r="IN306" s="13"/>
      <c r="IO306" s="13"/>
      <c r="IP306" s="13"/>
      <c r="IQ306" s="13"/>
      <c r="IR306" s="13"/>
      <c r="IS306" s="13"/>
      <c r="IT306" s="13"/>
      <c r="IU306" s="13"/>
      <c r="IV306" s="13">
        <f>IV304-IV297-IV298-IV300</f>
        <v>0.52902282423529379</v>
      </c>
      <c r="IW306" s="13">
        <f t="shared" ref="IW306:JE306" si="291">IW304-IW297-IW298-IW300</f>
        <v>2.1063794327058809</v>
      </c>
      <c r="IX306" s="13">
        <f t="shared" si="291"/>
        <v>9.1340439</v>
      </c>
      <c r="IY306" s="13">
        <f t="shared" si="291"/>
        <v>10.5038854957648</v>
      </c>
      <c r="IZ306" s="13">
        <f t="shared" si="291"/>
        <v>4.6831646811765077</v>
      </c>
      <c r="JA306" s="13">
        <f t="shared" si="291"/>
        <v>12.088360295529478</v>
      </c>
      <c r="JB306" s="13">
        <f t="shared" si="291"/>
        <v>5.5002292948235691</v>
      </c>
      <c r="JC306" s="13">
        <f t="shared" si="291"/>
        <v>14.673445297411877</v>
      </c>
      <c r="JD306" s="13">
        <f t="shared" si="291"/>
        <v>10.50204110611762</v>
      </c>
      <c r="JE306" s="13">
        <f t="shared" si="291"/>
        <v>14.634165561647023</v>
      </c>
      <c r="JF306" s="13">
        <f>JF304-JF297-JF298-JF300</f>
        <v>18.634934891999997</v>
      </c>
      <c r="JG306" s="13">
        <f>JG304-JG297-JG298-JG300</f>
        <v>21.431922973176434</v>
      </c>
      <c r="JH306" s="13">
        <f t="shared" ref="JH306:KD306" si="292">JH304-JH297-JH298-JH300</f>
        <v>9.3033031098823411</v>
      </c>
      <c r="JI306" s="13">
        <f t="shared" si="292"/>
        <v>3.7677998630588174</v>
      </c>
      <c r="JJ306" s="13">
        <f t="shared" si="292"/>
        <v>9.6053507331764738</v>
      </c>
      <c r="JK306" s="13">
        <f t="shared" si="292"/>
        <v>6.335968353647055</v>
      </c>
      <c r="JL306" s="13">
        <f t="shared" si="292"/>
        <v>4.4568811263529415</v>
      </c>
      <c r="JM306" s="13">
        <f t="shared" si="292"/>
        <v>3.6090382604705851</v>
      </c>
      <c r="JN306" s="13">
        <f t="shared" si="292"/>
        <v>7.8118547129412521</v>
      </c>
      <c r="JO306" s="13">
        <f t="shared" si="292"/>
        <v>10.203163527529449</v>
      </c>
      <c r="JP306" s="13">
        <f t="shared" si="292"/>
        <v>4.1654675621177306</v>
      </c>
      <c r="JQ306" s="13">
        <f t="shared" si="292"/>
        <v>8.6180835374118807</v>
      </c>
      <c r="JR306" s="13">
        <f t="shared" si="292"/>
        <v>14.911746203529226</v>
      </c>
      <c r="JS306" s="13">
        <f t="shared" si="292"/>
        <v>7.7423154595293493</v>
      </c>
      <c r="JT306" s="13">
        <f t="shared" si="292"/>
        <v>1.7607292854118199</v>
      </c>
      <c r="JU306" s="13">
        <f t="shared" si="292"/>
        <v>4.6732799054117713</v>
      </c>
      <c r="JV306" s="13">
        <f t="shared" si="292"/>
        <v>5.4393067992941262</v>
      </c>
      <c r="JW306" s="13">
        <f t="shared" si="292"/>
        <v>4.0142852482353426</v>
      </c>
      <c r="JX306" s="13">
        <f t="shared" si="292"/>
        <v>11.440230246117599</v>
      </c>
      <c r="JY306" s="13">
        <f t="shared" si="292"/>
        <v>6.495565695294049</v>
      </c>
      <c r="JZ306" s="13">
        <f t="shared" si="292"/>
        <v>15.240162835058641</v>
      </c>
      <c r="KA306" s="13">
        <f t="shared" si="292"/>
        <v>7.5190002192941812</v>
      </c>
      <c r="KB306" s="13">
        <f t="shared" si="292"/>
        <v>4.375093972941098</v>
      </c>
      <c r="KC306" s="13">
        <f t="shared" si="292"/>
        <v>8.111395119058912</v>
      </c>
      <c r="KD306" s="13">
        <f t="shared" si="292"/>
        <v>6.7322815790589168</v>
      </c>
      <c r="KE306" s="13"/>
      <c r="KF306" s="13"/>
      <c r="KG306" s="13"/>
      <c r="KH306" s="13"/>
      <c r="KI306" s="13"/>
      <c r="KJ306" s="13"/>
      <c r="KK306" s="13"/>
      <c r="KL306" s="13"/>
      <c r="KM306" s="13"/>
      <c r="KN306" s="13"/>
      <c r="KO306" s="13"/>
      <c r="KP306" s="13"/>
      <c r="KQ306" s="13"/>
      <c r="KR306" s="13"/>
      <c r="KS306" s="13"/>
      <c r="KT306" s="13"/>
      <c r="KU306" s="13"/>
      <c r="KV306" s="13"/>
      <c r="KW306" s="13"/>
      <c r="KX306" s="13"/>
      <c r="KY306" s="13"/>
      <c r="KZ306" s="13"/>
      <c r="LA306" s="13"/>
      <c r="LB306" s="13"/>
      <c r="LC306" s="13"/>
      <c r="LD306" s="13"/>
      <c r="LE306" s="13"/>
      <c r="LF306" s="13"/>
      <c r="LG306" s="13"/>
      <c r="LH306" s="13"/>
      <c r="LI306" s="13"/>
      <c r="LJ306" s="13"/>
      <c r="LK306" s="13"/>
      <c r="LL306" s="13"/>
      <c r="LM306" s="13"/>
      <c r="LN306" s="13"/>
      <c r="LO306" s="13"/>
      <c r="LP306" s="13"/>
      <c r="LQ306" s="13"/>
      <c r="LR306" s="13"/>
      <c r="LS306" s="13"/>
      <c r="LT306" s="13"/>
      <c r="LU306" s="13"/>
      <c r="LV306" s="13"/>
      <c r="LW306" s="13"/>
      <c r="LX306" s="13"/>
      <c r="LY306" s="13"/>
      <c r="LZ306" s="13"/>
      <c r="MA306" s="13"/>
      <c r="MB306" s="13"/>
      <c r="MC306" s="13"/>
    </row>
    <row r="307" spans="1:341" s="14" customFormat="1">
      <c r="A307" s="1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13"/>
      <c r="IK307" s="13"/>
      <c r="IL307" s="13"/>
      <c r="IM307" s="13"/>
      <c r="IN307" s="13"/>
      <c r="IO307" s="13"/>
      <c r="IP307" s="13"/>
      <c r="IQ307" s="13"/>
      <c r="IR307" s="13"/>
      <c r="IS307" s="13"/>
      <c r="IT307" s="13"/>
      <c r="IU307" s="13"/>
      <c r="IV307" s="13"/>
      <c r="IW307" s="13"/>
      <c r="IX307" s="13"/>
      <c r="IY307" s="13"/>
      <c r="IZ307" s="13"/>
      <c r="JA307" s="13"/>
      <c r="JB307" s="13"/>
      <c r="JC307" s="13"/>
      <c r="JD307" s="13"/>
      <c r="JE307" s="13"/>
      <c r="JF307" s="13"/>
      <c r="JG307" s="13"/>
      <c r="JH307" s="13"/>
      <c r="JI307" s="13"/>
      <c r="JJ307" s="13"/>
      <c r="JK307" s="13"/>
      <c r="JL307" s="13"/>
      <c r="JM307" s="13"/>
      <c r="JN307" s="13"/>
      <c r="JO307" s="13"/>
      <c r="JP307" s="13"/>
      <c r="JQ307" s="13"/>
      <c r="JR307" s="13"/>
      <c r="JS307" s="13"/>
      <c r="JT307" s="13"/>
      <c r="JU307" s="13"/>
      <c r="JV307" s="13"/>
      <c r="JW307" s="13"/>
      <c r="JX307" s="13"/>
      <c r="JY307" s="13"/>
      <c r="JZ307" s="13"/>
      <c r="KA307" s="13"/>
      <c r="KB307" s="13"/>
      <c r="KC307" s="13"/>
      <c r="KD307" s="13"/>
      <c r="KE307" s="13"/>
      <c r="KF307" s="13"/>
      <c r="KG307" s="13"/>
      <c r="KH307" s="13"/>
      <c r="KI307" s="13"/>
      <c r="KJ307" s="13"/>
      <c r="KK307" s="13"/>
      <c r="KL307" s="13"/>
      <c r="KM307" s="13"/>
      <c r="KN307" s="13"/>
      <c r="KO307" s="13"/>
      <c r="KP307" s="13"/>
      <c r="KQ307" s="13"/>
      <c r="KR307" s="13"/>
      <c r="KS307" s="13"/>
      <c r="KT307" s="13"/>
      <c r="KU307" s="13"/>
      <c r="KV307" s="13"/>
      <c r="KW307" s="13"/>
      <c r="KX307" s="13"/>
      <c r="KY307" s="13"/>
      <c r="KZ307" s="13"/>
      <c r="LA307" s="13"/>
      <c r="LB307" s="13"/>
      <c r="LC307" s="13"/>
      <c r="LD307" s="13"/>
      <c r="LE307" s="13"/>
      <c r="LF307" s="13"/>
      <c r="LG307" s="13"/>
      <c r="LH307" s="13"/>
      <c r="LI307" s="13"/>
      <c r="LJ307" s="13"/>
      <c r="LK307" s="13"/>
      <c r="LL307" s="13"/>
      <c r="LM307" s="13"/>
      <c r="LN307" s="13"/>
      <c r="LO307" s="13"/>
      <c r="LP307" s="13"/>
      <c r="LQ307" s="13"/>
      <c r="LR307" s="13"/>
      <c r="LS307" s="13"/>
      <c r="LT307" s="13"/>
      <c r="LU307" s="13"/>
      <c r="LV307" s="13"/>
      <c r="LW307" s="13"/>
      <c r="LX307" s="13"/>
      <c r="LY307" s="13"/>
      <c r="LZ307" s="13"/>
      <c r="MA307" s="13"/>
      <c r="MB307" s="13"/>
      <c r="MC307" s="13"/>
    </row>
    <row r="308" spans="1:341" s="14" customFormat="1">
      <c r="A308" s="1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  <c r="JA308" s="13"/>
      <c r="JB308" s="13"/>
      <c r="JC308" s="13"/>
      <c r="JD308" s="13"/>
      <c r="JE308" s="13"/>
      <c r="JF308" s="13"/>
      <c r="JG308" s="13"/>
      <c r="JH308" s="13"/>
      <c r="JI308" s="13"/>
      <c r="JJ308" s="13"/>
      <c r="JK308" s="13"/>
      <c r="JL308" s="13"/>
      <c r="JM308" s="13"/>
      <c r="JN308" s="13"/>
      <c r="JO308" s="13"/>
      <c r="JP308" s="13"/>
      <c r="JQ308" s="13"/>
      <c r="JR308" s="13"/>
      <c r="JS308" s="13"/>
      <c r="JT308" s="13"/>
      <c r="JU308" s="13"/>
      <c r="JV308" s="13"/>
      <c r="JW308" s="13"/>
      <c r="JX308" s="13"/>
      <c r="JY308" s="13"/>
      <c r="JZ308" s="13"/>
      <c r="KA308" s="13"/>
      <c r="KB308" s="13"/>
      <c r="KC308" s="13"/>
      <c r="KD308" s="13"/>
      <c r="KE308" s="13"/>
      <c r="KF308" s="13"/>
      <c r="KG308" s="13"/>
      <c r="KH308" s="13"/>
      <c r="KI308" s="13"/>
      <c r="KJ308" s="13"/>
      <c r="KK308" s="13"/>
      <c r="KL308" s="13"/>
      <c r="KM308" s="13"/>
      <c r="KN308" s="13"/>
      <c r="KO308" s="13"/>
      <c r="KP308" s="13"/>
      <c r="KQ308" s="13"/>
      <c r="KR308" s="13"/>
      <c r="KS308" s="13"/>
      <c r="KT308" s="13"/>
      <c r="KU308" s="13"/>
      <c r="KV308" s="13"/>
      <c r="KW308" s="13"/>
      <c r="KX308" s="13"/>
      <c r="KY308" s="13"/>
      <c r="KZ308" s="13"/>
      <c r="LA308" s="13"/>
      <c r="LB308" s="13"/>
      <c r="LC308" s="13"/>
      <c r="LD308" s="13"/>
      <c r="LE308" s="13"/>
      <c r="LF308" s="13"/>
      <c r="LG308" s="13"/>
      <c r="LH308" s="13"/>
      <c r="LI308" s="13"/>
      <c r="LJ308" s="13"/>
      <c r="LK308" s="13"/>
      <c r="LL308" s="13"/>
      <c r="LM308" s="13"/>
      <c r="LN308" s="13"/>
      <c r="LO308" s="13"/>
      <c r="LP308" s="13"/>
      <c r="LQ308" s="13"/>
      <c r="LR308" s="13"/>
      <c r="LS308" s="13"/>
      <c r="LT308" s="13"/>
      <c r="LU308" s="13"/>
      <c r="LV308" s="13"/>
      <c r="LW308" s="13"/>
      <c r="LX308" s="13"/>
      <c r="LY308" s="13"/>
      <c r="LZ308" s="13"/>
      <c r="MA308" s="13"/>
      <c r="MB308" s="13"/>
      <c r="MC308" s="13"/>
    </row>
    <row r="309" spans="1:341" s="14" customFormat="1">
      <c r="A309" s="12" t="s">
        <v>291</v>
      </c>
      <c r="B309" s="13">
        <f t="shared" ref="B309:Z309" si="293">B289*7.328/2204.622</f>
        <v>3.3239258249259969E-6</v>
      </c>
      <c r="C309" s="13">
        <f t="shared" si="293"/>
        <v>0</v>
      </c>
      <c r="D309" s="13">
        <f t="shared" si="293"/>
        <v>0</v>
      </c>
      <c r="E309" s="13">
        <f t="shared" si="293"/>
        <v>0</v>
      </c>
      <c r="F309" s="13">
        <f t="shared" si="293"/>
        <v>0</v>
      </c>
      <c r="G309" s="13">
        <f t="shared" si="293"/>
        <v>2.6436933437908493E-2</v>
      </c>
      <c r="H309" s="13">
        <f t="shared" si="293"/>
        <v>3.374778687581699E-2</v>
      </c>
      <c r="I309" s="13">
        <f t="shared" si="293"/>
        <v>1.0851953777777779E-2</v>
      </c>
      <c r="J309" s="13">
        <f t="shared" si="293"/>
        <v>2.6649684915032678E-2</v>
      </c>
      <c r="K309" s="13">
        <f t="shared" si="293"/>
        <v>1.3072864627450978E-2</v>
      </c>
      <c r="L309" s="13">
        <f t="shared" si="293"/>
        <v>1.3577299241830066E-2</v>
      </c>
      <c r="M309" s="13">
        <f t="shared" si="293"/>
        <v>2.8857280836601305E-2</v>
      </c>
      <c r="N309" s="13">
        <f t="shared" si="293"/>
        <v>0.14926628308496731</v>
      </c>
      <c r="O309" s="13">
        <f t="shared" si="293"/>
        <v>0.46657184418300657</v>
      </c>
      <c r="P309" s="13">
        <f t="shared" si="293"/>
        <v>1.0472700561568624</v>
      </c>
      <c r="Q309" s="13">
        <f t="shared" si="293"/>
        <v>0.26340836057516337</v>
      </c>
      <c r="R309" s="13">
        <f t="shared" si="293"/>
        <v>7.6158993986928075E-2</v>
      </c>
      <c r="S309" s="13">
        <f t="shared" si="293"/>
        <v>0.15441073066666655</v>
      </c>
      <c r="T309" s="13">
        <f t="shared" si="293"/>
        <v>8.9072399751064124E-2</v>
      </c>
      <c r="U309" s="13">
        <f t="shared" si="293"/>
        <v>1.081407017303083</v>
      </c>
      <c r="V309" s="13">
        <f t="shared" si="293"/>
        <v>0.61529355628758153</v>
      </c>
      <c r="W309" s="13">
        <f t="shared" si="293"/>
        <v>0.98397040899346344</v>
      </c>
      <c r="X309" s="13">
        <f t="shared" si="293"/>
        <v>2.2985938283116085</v>
      </c>
      <c r="Y309" s="13">
        <f t="shared" si="293"/>
        <v>1.3204359092244897</v>
      </c>
      <c r="Z309" s="13">
        <f t="shared" si="293"/>
        <v>3.2870009977220595E-3</v>
      </c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>
        <f t="shared" ref="FP309:GI309" si="294">FP289*7.328/2204.622</f>
        <v>3.0586976209150318</v>
      </c>
      <c r="FQ309" s="13">
        <f t="shared" si="294"/>
        <v>2.6746721045751629</v>
      </c>
      <c r="FR309" s="13">
        <f t="shared" si="294"/>
        <v>5.5136255163398697</v>
      </c>
      <c r="FS309" s="13">
        <f t="shared" si="294"/>
        <v>2.3488874248366014</v>
      </c>
      <c r="FT309" s="13">
        <f t="shared" si="294"/>
        <v>10.50116768627451</v>
      </c>
      <c r="FU309" s="13">
        <f t="shared" si="294"/>
        <v>20.485831111111107</v>
      </c>
      <c r="FV309" s="13">
        <f t="shared" si="294"/>
        <v>10.377789071895425</v>
      </c>
      <c r="FW309" s="13">
        <f t="shared" si="294"/>
        <v>12.981001202614378</v>
      </c>
      <c r="FX309" s="13">
        <f t="shared" si="294"/>
        <v>12.324259137254899</v>
      </c>
      <c r="FY309" s="13">
        <f t="shared" si="294"/>
        <v>14.087577098039215</v>
      </c>
      <c r="FZ309" s="13">
        <f t="shared" si="294"/>
        <v>26.134330143790852</v>
      </c>
      <c r="GA309" s="13">
        <f t="shared" si="294"/>
        <v>28.778444967320262</v>
      </c>
      <c r="GB309" s="13">
        <f t="shared" si="294"/>
        <v>33.119015738562091</v>
      </c>
      <c r="GC309" s="13">
        <f t="shared" si="294"/>
        <v>20.627122614379086</v>
      </c>
      <c r="GD309" s="13">
        <f t="shared" si="294"/>
        <v>15.85539722875817</v>
      </c>
      <c r="GE309" s="13">
        <f t="shared" si="294"/>
        <v>25.057449411764701</v>
      </c>
      <c r="GF309" s="13">
        <f t="shared" si="294"/>
        <v>15.38276517647059</v>
      </c>
      <c r="GG309" s="13">
        <f t="shared" si="294"/>
        <v>50.833904941176471</v>
      </c>
      <c r="GH309" s="13">
        <f t="shared" si="294"/>
        <v>37.608349699346405</v>
      </c>
      <c r="GI309" s="13">
        <f t="shared" si="294"/>
        <v>57.037607738562087</v>
      </c>
      <c r="GJ309" s="13">
        <f>GJ289*7.328/2204.622</f>
        <v>41.804372078431371</v>
      </c>
      <c r="GK309" s="13">
        <f>GK289*7.328/2204.622</f>
        <v>59.751458300653596</v>
      </c>
      <c r="GL309" s="13">
        <f>GL289*7.328/2204.622</f>
        <v>34.214863058823532</v>
      </c>
      <c r="GM309" s="13">
        <f t="shared" ref="GM309:IX309" si="295">GM289*7.328/2204.622</f>
        <v>75.279538196078448</v>
      </c>
      <c r="GN309" s="13">
        <f t="shared" si="295"/>
        <v>88.899943320261443</v>
      </c>
      <c r="GO309" s="13">
        <f t="shared" si="295"/>
        <v>111.66128606535945</v>
      </c>
      <c r="GP309" s="13">
        <f t="shared" si="295"/>
        <v>38.216430013071886</v>
      </c>
      <c r="GQ309" s="13">
        <f t="shared" si="295"/>
        <v>96.243461437908508</v>
      </c>
      <c r="GR309" s="13">
        <f t="shared" si="295"/>
        <v>71.449724235294113</v>
      </c>
      <c r="GS309" s="13">
        <f t="shared" si="295"/>
        <v>71.442156758169943</v>
      </c>
      <c r="GT309" s="13">
        <f t="shared" si="295"/>
        <v>73.493038849673198</v>
      </c>
      <c r="GU309" s="13">
        <f t="shared" si="295"/>
        <v>126.59153526797384</v>
      </c>
      <c r="GV309" s="13">
        <f t="shared" si="295"/>
        <v>126.83206609150326</v>
      </c>
      <c r="GW309" s="13">
        <f t="shared" si="295"/>
        <v>102.11390786928104</v>
      </c>
      <c r="GX309" s="13">
        <f t="shared" si="295"/>
        <v>83.951100653594764</v>
      </c>
      <c r="GY309" s="13">
        <f t="shared" si="295"/>
        <v>56.375405594771237</v>
      </c>
      <c r="GZ309" s="13">
        <f t="shared" si="295"/>
        <v>42.426437856209148</v>
      </c>
      <c r="HA309" s="13">
        <f t="shared" si="295"/>
        <v>21.988502169934637</v>
      </c>
      <c r="HB309" s="13">
        <f t="shared" si="295"/>
        <v>53.533195294117647</v>
      </c>
      <c r="HC309" s="13">
        <f t="shared" si="295"/>
        <v>7.1914022483660123</v>
      </c>
      <c r="HD309" s="13">
        <f t="shared" si="295"/>
        <v>16.285689725490197</v>
      </c>
      <c r="HE309" s="13">
        <f t="shared" si="295"/>
        <v>19.246776470588237</v>
      </c>
      <c r="HF309" s="13">
        <f t="shared" si="295"/>
        <v>8.0564894117647068</v>
      </c>
      <c r="HG309" s="13">
        <f t="shared" si="295"/>
        <v>17.540837228758168</v>
      </c>
      <c r="HH309" s="13">
        <f t="shared" si="295"/>
        <v>17.177981490196075</v>
      </c>
      <c r="HI309" s="13">
        <f t="shared" si="295"/>
        <v>22.19933783006536</v>
      </c>
      <c r="HJ309" s="13">
        <f t="shared" si="295"/>
        <v>14.666345411764707</v>
      </c>
      <c r="HK309" s="13">
        <f t="shared" si="295"/>
        <v>23.095365437908502</v>
      </c>
      <c r="HL309" s="13">
        <f t="shared" si="295"/>
        <v>5.6736920261437875</v>
      </c>
      <c r="HM309" s="13">
        <f t="shared" si="295"/>
        <v>4.3415286797385724</v>
      </c>
      <c r="HN309" s="13">
        <f t="shared" si="295"/>
        <v>8.3301638692810318</v>
      </c>
      <c r="HO309" s="13">
        <f t="shared" si="295"/>
        <v>6.2440307450980272</v>
      </c>
      <c r="HP309" s="13">
        <f t="shared" si="295"/>
        <v>11.19383132026144</v>
      </c>
      <c r="HQ309" s="13">
        <f t="shared" si="295"/>
        <v>7.5746614379084773</v>
      </c>
      <c r="HR309" s="13">
        <f t="shared" si="295"/>
        <v>4.5030320522875842</v>
      </c>
      <c r="HS309" s="13">
        <f t="shared" si="295"/>
        <v>7.2609464052287684</v>
      </c>
      <c r="HT309" s="13">
        <f t="shared" si="295"/>
        <v>9.5802344575163438</v>
      </c>
      <c r="HU309" s="13">
        <f t="shared" si="295"/>
        <v>2.5236099346405201</v>
      </c>
      <c r="HV309" s="13">
        <f t="shared" si="295"/>
        <v>4.1836653594771072</v>
      </c>
      <c r="HW309" s="13">
        <f t="shared" si="295"/>
        <v>4.749597699346408</v>
      </c>
      <c r="HX309" s="13">
        <f t="shared" si="295"/>
        <v>8.9247376732026105</v>
      </c>
      <c r="HY309" s="13">
        <f t="shared" si="295"/>
        <v>6.6463523137254805</v>
      </c>
      <c r="HZ309" s="13">
        <f t="shared" si="295"/>
        <v>10.063020339869295</v>
      </c>
      <c r="IA309" s="13">
        <f t="shared" si="295"/>
        <v>9.9191424836601367</v>
      </c>
      <c r="IB309" s="13">
        <f t="shared" si="295"/>
        <v>10.675698614379085</v>
      </c>
      <c r="IC309" s="13">
        <f t="shared" si="295"/>
        <v>10.432677228758154</v>
      </c>
      <c r="ID309" s="13">
        <f t="shared" si="295"/>
        <v>12.633950954248357</v>
      </c>
      <c r="IE309" s="13">
        <f t="shared" si="295"/>
        <v>10.853678013071878</v>
      </c>
      <c r="IF309" s="13">
        <f t="shared" si="295"/>
        <v>11.702672313725486</v>
      </c>
      <c r="IG309" s="13">
        <f t="shared" si="295"/>
        <v>15.578082718954239</v>
      </c>
      <c r="IH309" s="13">
        <f t="shared" si="295"/>
        <v>13.255920941176445</v>
      </c>
      <c r="II309" s="13">
        <f t="shared" si="295"/>
        <v>33.724797071895402</v>
      </c>
      <c r="IJ309" s="13">
        <f t="shared" si="295"/>
        <v>6.09996130718954</v>
      </c>
      <c r="IK309" s="13">
        <f t="shared" si="295"/>
        <v>8.0785213071895434</v>
      </c>
      <c r="IL309" s="13">
        <f t="shared" si="295"/>
        <v>7.6946873725490041</v>
      </c>
      <c r="IM309" s="13">
        <f t="shared" si="295"/>
        <v>6.9015391372548995</v>
      </c>
      <c r="IN309" s="13">
        <f t="shared" si="295"/>
        <v>13.184269385620908</v>
      </c>
      <c r="IO309" s="13">
        <f t="shared" si="295"/>
        <v>14.877118182436719</v>
      </c>
      <c r="IP309" s="13">
        <f t="shared" si="295"/>
        <v>0</v>
      </c>
      <c r="IQ309" s="13">
        <f t="shared" si="295"/>
        <v>6.0497669019607807</v>
      </c>
      <c r="IR309" s="13">
        <f t="shared" si="295"/>
        <v>11.27841464052287</v>
      </c>
      <c r="IS309" s="13">
        <f t="shared" si="295"/>
        <v>4.6408750849673188</v>
      </c>
      <c r="IT309" s="13">
        <f t="shared" si="295"/>
        <v>1.1700852287581693</v>
      </c>
      <c r="IU309" s="13">
        <f t="shared" si="295"/>
        <v>9.0971612026143749</v>
      </c>
      <c r="IV309" s="13">
        <f t="shared" si="295"/>
        <v>1.7584326274509796</v>
      </c>
      <c r="IW309" s="13">
        <f t="shared" si="295"/>
        <v>7.0014489934640478</v>
      </c>
      <c r="IX309" s="13">
        <f t="shared" si="295"/>
        <v>60.575579561122048</v>
      </c>
      <c r="IY309" s="13">
        <f t="shared" ref="IY309:LJ309" si="296">IY289*7.328/2204.622</f>
        <v>46.043691921568609</v>
      </c>
      <c r="IZ309" s="13">
        <f t="shared" si="296"/>
        <v>64.569833830065321</v>
      </c>
      <c r="JA309" s="13">
        <f t="shared" si="296"/>
        <v>92.102039843137206</v>
      </c>
      <c r="JB309" s="13">
        <f t="shared" si="296"/>
        <v>45.832621637636457</v>
      </c>
      <c r="JC309" s="13">
        <f t="shared" si="296"/>
        <v>65.699016366013041</v>
      </c>
      <c r="JD309" s="13">
        <f t="shared" si="296"/>
        <v>92.255400993464008</v>
      </c>
      <c r="JE309" s="13">
        <f t="shared" si="296"/>
        <v>160.92987273202607</v>
      </c>
      <c r="JF309" s="13">
        <f t="shared" si="296"/>
        <v>168.91549204241454</v>
      </c>
      <c r="JG309" s="13">
        <f t="shared" si="296"/>
        <v>275.72358675472066</v>
      </c>
      <c r="JH309" s="13">
        <f t="shared" si="296"/>
        <v>30.92348946405227</v>
      </c>
      <c r="JI309" s="13">
        <f t="shared" si="296"/>
        <v>24.009784888888877</v>
      </c>
      <c r="JJ309" s="13">
        <f t="shared" si="296"/>
        <v>31.927473359477112</v>
      </c>
      <c r="JK309" s="13">
        <f t="shared" si="296"/>
        <v>21.060288836601298</v>
      </c>
      <c r="JL309" s="13">
        <f t="shared" si="296"/>
        <v>14.814342274509796</v>
      </c>
      <c r="JM309" s="13">
        <f t="shared" si="296"/>
        <v>26.370741960784301</v>
      </c>
      <c r="JN309" s="13">
        <f t="shared" si="296"/>
        <v>66.569084653594743</v>
      </c>
      <c r="JO309" s="13">
        <f t="shared" si="296"/>
        <v>77.352835346405186</v>
      </c>
      <c r="JP309" s="13">
        <f t="shared" si="296"/>
        <v>47.593300496732006</v>
      </c>
      <c r="JQ309" s="13">
        <f t="shared" si="296"/>
        <v>82.709555450980361</v>
      </c>
      <c r="JR309" s="13">
        <f t="shared" si="296"/>
        <v>119.1403482352941</v>
      </c>
      <c r="JS309" s="13">
        <f t="shared" si="296"/>
        <v>72.82231132026142</v>
      </c>
      <c r="JT309" s="13">
        <f t="shared" si="296"/>
        <v>46.681371607843126</v>
      </c>
      <c r="JU309" s="13">
        <f t="shared" si="296"/>
        <v>66.304127163398661</v>
      </c>
      <c r="JV309" s="13">
        <f t="shared" si="296"/>
        <v>57.221143006535918</v>
      </c>
      <c r="JW309" s="13">
        <f t="shared" si="296"/>
        <v>51.785491241830044</v>
      </c>
      <c r="JX309" s="13">
        <f t="shared" si="296"/>
        <v>48.647670379084943</v>
      </c>
      <c r="JY309" s="13">
        <f t="shared" si="296"/>
        <v>91.049777359477076</v>
      </c>
      <c r="JZ309" s="13">
        <f t="shared" si="296"/>
        <v>159.25372444444437</v>
      </c>
      <c r="KA309" s="13">
        <f t="shared" si="296"/>
        <v>126.50743090196073</v>
      </c>
      <c r="KB309" s="13">
        <f t="shared" si="296"/>
        <v>125.2242166797385</v>
      </c>
      <c r="KC309" s="13">
        <f t="shared" si="296"/>
        <v>116.56271226143785</v>
      </c>
      <c r="KD309" s="13">
        <f t="shared" si="296"/>
        <v>94.732743947712393</v>
      </c>
      <c r="KE309" s="13">
        <f t="shared" si="296"/>
        <v>0</v>
      </c>
      <c r="KF309" s="13">
        <f t="shared" si="296"/>
        <v>1.994355494955598E-5</v>
      </c>
      <c r="KG309" s="13">
        <f t="shared" si="296"/>
        <v>3.9887109899111963E-4</v>
      </c>
      <c r="KH309" s="13">
        <f t="shared" si="296"/>
        <v>91.072002278730224</v>
      </c>
      <c r="KI309" s="13">
        <f t="shared" si="296"/>
        <v>152.85556048806578</v>
      </c>
      <c r="KJ309" s="13">
        <f t="shared" si="296"/>
        <v>166.64853888683601</v>
      </c>
      <c r="KK309" s="13">
        <f t="shared" si="296"/>
        <v>214.77221898481793</v>
      </c>
      <c r="KL309" s="13">
        <f t="shared" si="296"/>
        <v>236.60814366537264</v>
      </c>
      <c r="KM309" s="13">
        <f t="shared" si="296"/>
        <v>257.51575615406534</v>
      </c>
      <c r="KN309" s="13">
        <f t="shared" si="296"/>
        <v>248.70890395304056</v>
      </c>
      <c r="KO309" s="13">
        <f t="shared" si="296"/>
        <v>253.53740351827255</v>
      </c>
      <c r="KP309" s="13">
        <f t="shared" si="296"/>
        <v>306.68599334344185</v>
      </c>
      <c r="KQ309" s="13">
        <f t="shared" si="296"/>
        <v>370.18888822431217</v>
      </c>
      <c r="KR309" s="13">
        <f t="shared" si="296"/>
        <v>13.957895836734695</v>
      </c>
      <c r="KS309" s="13">
        <f t="shared" si="296"/>
        <v>79.155261387755118</v>
      </c>
      <c r="KT309" s="13">
        <f t="shared" si="296"/>
        <v>108.62169774149662</v>
      </c>
      <c r="KU309" s="13">
        <f t="shared" si="296"/>
        <v>97.13348745578233</v>
      </c>
      <c r="KV309" s="13">
        <f t="shared" si="296"/>
        <v>133.42553208163267</v>
      </c>
      <c r="KW309" s="13">
        <f t="shared" si="296"/>
        <v>246.85689034013606</v>
      </c>
      <c r="KX309" s="13">
        <f t="shared" si="296"/>
        <v>237.48353088435371</v>
      </c>
      <c r="KY309" s="13">
        <f t="shared" si="296"/>
        <v>218.6543595102041</v>
      </c>
      <c r="KZ309" s="13">
        <f t="shared" si="296"/>
        <v>31.948385088435376</v>
      </c>
      <c r="LA309" s="13">
        <f t="shared" si="296"/>
        <v>49.82272304761905</v>
      </c>
      <c r="LB309" s="13">
        <f t="shared" si="296"/>
        <v>31.8303394829932</v>
      </c>
      <c r="LC309" s="13">
        <f t="shared" si="296"/>
        <v>71.545806367346927</v>
      </c>
      <c r="LD309" s="13">
        <f t="shared" si="296"/>
        <v>0</v>
      </c>
      <c r="LE309" s="13">
        <f t="shared" si="296"/>
        <v>5.4844776111278946E-3</v>
      </c>
      <c r="LF309" s="13">
        <f t="shared" si="296"/>
        <v>0</v>
      </c>
      <c r="LG309" s="13">
        <f t="shared" si="296"/>
        <v>0</v>
      </c>
      <c r="LH309" s="13">
        <f t="shared" si="296"/>
        <v>1.9939137452134656</v>
      </c>
      <c r="LI309" s="13">
        <f t="shared" si="296"/>
        <v>0</v>
      </c>
      <c r="LJ309" s="13">
        <f t="shared" si="296"/>
        <v>0.15416367976006776</v>
      </c>
      <c r="LK309" s="13">
        <f t="shared" ref="LK309:MC309" si="297">LK289*7.328/2204.622</f>
        <v>1.0162208509213826</v>
      </c>
      <c r="LL309" s="13">
        <f t="shared" si="297"/>
        <v>0</v>
      </c>
      <c r="LM309" s="13">
        <f t="shared" si="297"/>
        <v>0.11721824421601527</v>
      </c>
      <c r="LN309" s="13">
        <f t="shared" si="297"/>
        <v>0</v>
      </c>
      <c r="LO309" s="13">
        <f t="shared" si="297"/>
        <v>0</v>
      </c>
      <c r="LP309" s="13">
        <f t="shared" si="297"/>
        <v>0</v>
      </c>
      <c r="LQ309" s="13">
        <f t="shared" si="297"/>
        <v>1.9744119400060423E-2</v>
      </c>
      <c r="LR309" s="13">
        <f t="shared" si="297"/>
        <v>0</v>
      </c>
      <c r="LS309" s="13">
        <f t="shared" si="297"/>
        <v>0</v>
      </c>
      <c r="LT309" s="13">
        <f t="shared" si="297"/>
        <v>0</v>
      </c>
      <c r="LU309" s="13">
        <f t="shared" si="297"/>
        <v>0</v>
      </c>
      <c r="LV309" s="13">
        <f t="shared" si="297"/>
        <v>0</v>
      </c>
      <c r="LW309" s="13">
        <f t="shared" si="297"/>
        <v>0</v>
      </c>
      <c r="LX309" s="13">
        <f t="shared" si="297"/>
        <v>0</v>
      </c>
      <c r="LY309" s="13">
        <f t="shared" si="297"/>
        <v>0</v>
      </c>
      <c r="LZ309" s="13">
        <f t="shared" si="297"/>
        <v>0</v>
      </c>
      <c r="MA309" s="13">
        <f t="shared" si="297"/>
        <v>0</v>
      </c>
      <c r="MB309" s="13">
        <f t="shared" si="297"/>
        <v>0</v>
      </c>
      <c r="MC309" s="13">
        <f t="shared" si="297"/>
        <v>0</v>
      </c>
    </row>
    <row r="310" spans="1:341" s="14" customFormat="1"/>
    <row r="311" spans="1:341" s="14" customFormat="1">
      <c r="IZ311" s="14">
        <f t="shared" ref="IZ311:JG318" si="298">IZ297/0.042</f>
        <v>227.55225886274494</v>
      </c>
      <c r="JA311" s="14">
        <f t="shared" si="298"/>
        <v>251.82299941176453</v>
      </c>
      <c r="JB311" s="14">
        <f t="shared" si="298"/>
        <v>196.07824356862733</v>
      </c>
      <c r="JC311" s="14">
        <f t="shared" si="298"/>
        <v>121.23911454901955</v>
      </c>
      <c r="JD311" s="14">
        <f t="shared" si="298"/>
        <v>142.9916594117646</v>
      </c>
      <c r="JE311" s="14">
        <f t="shared" si="298"/>
        <v>277.52780780392141</v>
      </c>
      <c r="JF311" s="14">
        <f t="shared" si="298"/>
        <v>0</v>
      </c>
      <c r="JG311" s="14">
        <f t="shared" si="298"/>
        <v>368.87175399999967</v>
      </c>
      <c r="JH311" s="14" t="s">
        <v>98</v>
      </c>
    </row>
    <row r="312" spans="1:341" s="14" customFormat="1">
      <c r="IZ312" s="14">
        <f t="shared" si="298"/>
        <v>0</v>
      </c>
      <c r="JA312" s="14">
        <f t="shared" si="298"/>
        <v>0</v>
      </c>
      <c r="JB312" s="14">
        <f t="shared" si="298"/>
        <v>0</v>
      </c>
      <c r="JC312" s="14">
        <f t="shared" si="298"/>
        <v>0</v>
      </c>
      <c r="JD312" s="14">
        <f t="shared" si="298"/>
        <v>0</v>
      </c>
      <c r="JE312" s="14">
        <f t="shared" si="298"/>
        <v>0</v>
      </c>
      <c r="JF312" s="14">
        <f t="shared" si="298"/>
        <v>0</v>
      </c>
      <c r="JG312" s="14">
        <f t="shared" si="298"/>
        <v>0</v>
      </c>
      <c r="JH312" s="14" t="s">
        <v>112</v>
      </c>
    </row>
    <row r="313" spans="1:341" s="14" customFormat="1">
      <c r="IZ313" s="14">
        <f t="shared" si="298"/>
        <v>0</v>
      </c>
      <c r="JA313" s="14">
        <f t="shared" si="298"/>
        <v>0</v>
      </c>
      <c r="JB313" s="14">
        <f t="shared" si="298"/>
        <v>0</v>
      </c>
      <c r="JC313" s="14">
        <f t="shared" si="298"/>
        <v>0</v>
      </c>
      <c r="JD313" s="14">
        <f t="shared" si="298"/>
        <v>0</v>
      </c>
      <c r="JE313" s="14">
        <f t="shared" si="298"/>
        <v>0</v>
      </c>
      <c r="JF313" s="14">
        <f t="shared" si="298"/>
        <v>0</v>
      </c>
      <c r="JG313" s="14">
        <f t="shared" si="298"/>
        <v>0</v>
      </c>
      <c r="JH313" s="14" t="s">
        <v>136</v>
      </c>
    </row>
    <row r="314" spans="1:341" s="14" customFormat="1">
      <c r="IZ314" s="14">
        <f t="shared" si="298"/>
        <v>123.46226278431365</v>
      </c>
      <c r="JA314" s="14">
        <f t="shared" si="298"/>
        <v>120.09254643137247</v>
      </c>
      <c r="JB314" s="14">
        <f t="shared" si="298"/>
        <v>0</v>
      </c>
      <c r="JC314" s="14">
        <f t="shared" si="298"/>
        <v>0</v>
      </c>
      <c r="JD314" s="14">
        <f t="shared" si="298"/>
        <v>267.79192807843123</v>
      </c>
      <c r="JE314" s="14">
        <f t="shared" si="298"/>
        <v>526.79212827450954</v>
      </c>
      <c r="JF314" s="14">
        <f t="shared" si="298"/>
        <v>760.82582486274453</v>
      </c>
      <c r="JG314" s="14">
        <f t="shared" si="298"/>
        <v>1090.8089525098032</v>
      </c>
      <c r="JH314" s="14" t="s">
        <v>227</v>
      </c>
    </row>
    <row r="315" spans="1:341" s="14" customFormat="1">
      <c r="IZ315" s="14">
        <f t="shared" si="298"/>
        <v>46.161202941176441</v>
      </c>
      <c r="JA315" s="14">
        <f t="shared" si="298"/>
        <v>46.702580705882326</v>
      </c>
      <c r="JB315" s="14">
        <f t="shared" si="298"/>
        <v>48.419345176470557</v>
      </c>
      <c r="JC315" s="14">
        <f t="shared" si="298"/>
        <v>47.683098862745069</v>
      </c>
      <c r="JD315" s="14">
        <f t="shared" si="298"/>
        <v>49.51582384313722</v>
      </c>
      <c r="JE315" s="14">
        <f t="shared" si="298"/>
        <v>53.903110823529381</v>
      </c>
      <c r="JF315" s="14">
        <f t="shared" si="298"/>
        <v>57.096484862745065</v>
      </c>
      <c r="JG315" s="14">
        <f t="shared" si="298"/>
        <v>191.89200054901949</v>
      </c>
      <c r="JH315" s="25" t="s">
        <v>236</v>
      </c>
    </row>
    <row r="316" spans="1:341" s="14" customFormat="1">
      <c r="IZ316" s="14">
        <f t="shared" si="298"/>
        <v>37.573263647058795</v>
      </c>
      <c r="JA316" s="14">
        <f t="shared" si="298"/>
        <v>206.79601376470575</v>
      </c>
      <c r="JB316" s="14">
        <f t="shared" si="298"/>
        <v>51.64428243137251</v>
      </c>
      <c r="JC316" s="14">
        <f t="shared" si="298"/>
        <v>202.5596812941175</v>
      </c>
      <c r="JD316" s="14">
        <f t="shared" si="298"/>
        <v>108.32427007843131</v>
      </c>
      <c r="JE316" s="14">
        <f t="shared" si="298"/>
        <v>165.05640564705871</v>
      </c>
      <c r="JF316" s="14">
        <f t="shared" si="298"/>
        <v>169.92125780392143</v>
      </c>
      <c r="JG316" s="14">
        <f t="shared" si="298"/>
        <v>211.08703379271699</v>
      </c>
      <c r="JH316" s="14" t="s">
        <v>286</v>
      </c>
    </row>
    <row r="317" spans="1:341">
      <c r="IZ317" s="14">
        <f t="shared" si="298"/>
        <v>27.76945439215779</v>
      </c>
      <c r="JA317" s="14">
        <f t="shared" si="298"/>
        <v>34.319507803923258</v>
      </c>
      <c r="JB317" s="14">
        <f t="shared" si="298"/>
        <v>30.894212745099058</v>
      </c>
      <c r="JC317" s="14">
        <f t="shared" si="298"/>
        <v>99.124965019610656</v>
      </c>
      <c r="JD317" s="14">
        <f t="shared" si="298"/>
        <v>92.208503843136683</v>
      </c>
      <c r="JE317" s="14">
        <f t="shared" si="298"/>
        <v>129.47299690196007</v>
      </c>
      <c r="JF317" s="14">
        <f t="shared" si="298"/>
        <v>216.67118333333352</v>
      </c>
      <c r="JG317" s="14">
        <f t="shared" si="298"/>
        <v>107.30484597198819</v>
      </c>
      <c r="JH317" s="14" t="s">
        <v>287</v>
      </c>
    </row>
    <row r="318" spans="1:341">
      <c r="IZ318" s="14">
        <f t="shared" si="298"/>
        <v>462.51844262745163</v>
      </c>
      <c r="JA318" s="14">
        <f t="shared" si="298"/>
        <v>659.73364811764827</v>
      </c>
      <c r="JB318" s="14">
        <f t="shared" si="298"/>
        <v>327.03608392156946</v>
      </c>
      <c r="JC318" s="14">
        <f t="shared" si="298"/>
        <v>470.60685972549277</v>
      </c>
      <c r="JD318" s="14">
        <f t="shared" si="298"/>
        <v>660.83218525490099</v>
      </c>
      <c r="JE318" s="14">
        <f t="shared" si="298"/>
        <v>1152.7524494509789</v>
      </c>
      <c r="JF318" s="14">
        <f t="shared" si="298"/>
        <v>1204.5147508627444</v>
      </c>
      <c r="JG318" s="14">
        <f t="shared" si="298"/>
        <v>1969.9645868235275</v>
      </c>
      <c r="JH318" s="14" t="s">
        <v>288</v>
      </c>
    </row>
    <row r="320" spans="1:341">
      <c r="IJ320" s="27">
        <v>48</v>
      </c>
      <c r="IK320" s="27">
        <v>72</v>
      </c>
      <c r="IL320" s="27">
        <v>25</v>
      </c>
      <c r="IM320" s="27">
        <v>32</v>
      </c>
      <c r="IN320" s="27">
        <v>75</v>
      </c>
      <c r="IO320" s="27">
        <v>132</v>
      </c>
      <c r="IP320" s="27">
        <v>166</v>
      </c>
      <c r="IQ320" s="27">
        <v>55</v>
      </c>
      <c r="IR320" s="27">
        <v>108</v>
      </c>
      <c r="IS320" s="27">
        <v>60</v>
      </c>
      <c r="IT320" s="27">
        <v>9</v>
      </c>
      <c r="IU320" s="27">
        <v>71</v>
      </c>
      <c r="IV320" s="27">
        <v>30</v>
      </c>
      <c r="IW320" s="27">
        <v>52</v>
      </c>
      <c r="IX320" s="27">
        <v>406</v>
      </c>
      <c r="IY320" s="27">
        <v>304</v>
      </c>
      <c r="IZ320" s="27">
        <v>385</v>
      </c>
      <c r="JA320" s="27">
        <v>682</v>
      </c>
      <c r="JB320" s="27">
        <v>338</v>
      </c>
      <c r="JC320" s="27">
        <v>364</v>
      </c>
      <c r="JD320" s="27">
        <v>683</v>
      </c>
      <c r="JE320" s="27">
        <v>1101</v>
      </c>
      <c r="JF320" s="27">
        <v>1387</v>
      </c>
      <c r="JH320" s="26" t="s">
        <v>292</v>
      </c>
    </row>
    <row r="322" spans="244:266">
      <c r="IJ322" s="26">
        <f t="shared" ref="IJ322:JD322" si="299">IJ320*0.042</f>
        <v>2.016</v>
      </c>
      <c r="IK322" s="26">
        <f t="shared" si="299"/>
        <v>3.024</v>
      </c>
      <c r="IL322" s="26">
        <f t="shared" si="299"/>
        <v>1.05</v>
      </c>
      <c r="IM322" s="26">
        <f t="shared" si="299"/>
        <v>1.3440000000000001</v>
      </c>
      <c r="IN322" s="26">
        <f t="shared" si="299"/>
        <v>3.1500000000000004</v>
      </c>
      <c r="IO322" s="26">
        <f t="shared" si="299"/>
        <v>5.5440000000000005</v>
      </c>
      <c r="IP322" s="26">
        <f t="shared" si="299"/>
        <v>6.9720000000000004</v>
      </c>
      <c r="IQ322" s="26">
        <f t="shared" si="299"/>
        <v>2.31</v>
      </c>
      <c r="IR322" s="26">
        <f t="shared" si="299"/>
        <v>4.5360000000000005</v>
      </c>
      <c r="IS322" s="26">
        <f t="shared" si="299"/>
        <v>2.52</v>
      </c>
      <c r="IT322" s="26">
        <f t="shared" si="299"/>
        <v>0.378</v>
      </c>
      <c r="IU322" s="26">
        <f t="shared" si="299"/>
        <v>2.9820000000000002</v>
      </c>
      <c r="IV322" s="26">
        <f t="shared" si="299"/>
        <v>1.26</v>
      </c>
      <c r="IW322" s="26">
        <f t="shared" si="299"/>
        <v>2.1840000000000002</v>
      </c>
      <c r="IX322" s="26">
        <f t="shared" si="299"/>
        <v>17.052</v>
      </c>
      <c r="IY322" s="26">
        <f t="shared" si="299"/>
        <v>12.768000000000001</v>
      </c>
      <c r="IZ322" s="26">
        <f t="shared" si="299"/>
        <v>16.170000000000002</v>
      </c>
      <c r="JA322" s="26">
        <f t="shared" si="299"/>
        <v>28.644000000000002</v>
      </c>
      <c r="JB322" s="26">
        <f t="shared" si="299"/>
        <v>14.196000000000002</v>
      </c>
      <c r="JC322" s="26">
        <f t="shared" si="299"/>
        <v>15.288</v>
      </c>
      <c r="JD322" s="26">
        <f t="shared" si="299"/>
        <v>28.686000000000003</v>
      </c>
      <c r="JE322" s="26">
        <f>JE320*0.042</f>
        <v>46.242000000000004</v>
      </c>
      <c r="JF322" s="26">
        <f>JF320*0.042</f>
        <v>58.254000000000005</v>
      </c>
    </row>
    <row r="323" spans="244:266">
      <c r="IJ323" s="26">
        <f t="shared" ref="IJ323:JD323" si="300">IJ304</f>
        <v>1.8351676988235284</v>
      </c>
      <c r="IK323" s="26">
        <f t="shared" si="300"/>
        <v>2.4304156388235278</v>
      </c>
      <c r="IL323" s="26">
        <f t="shared" si="300"/>
        <v>2.3149395557647043</v>
      </c>
      <c r="IM323" s="26">
        <f t="shared" si="300"/>
        <v>2.0763216451764697</v>
      </c>
      <c r="IN323" s="26">
        <f t="shared" si="300"/>
        <v>3.966475210352939</v>
      </c>
      <c r="IO323" s="26">
        <f t="shared" si="300"/>
        <v>4.4757671999999999</v>
      </c>
      <c r="IP323" s="26">
        <f t="shared" si="300"/>
        <v>6.7160855324705846</v>
      </c>
      <c r="IQ323" s="26">
        <f t="shared" si="300"/>
        <v>1.820066758588234</v>
      </c>
      <c r="IR323" s="26">
        <f t="shared" si="300"/>
        <v>3.3931005788235269</v>
      </c>
      <c r="IS323" s="26">
        <f t="shared" si="300"/>
        <v>1.3962029628235286</v>
      </c>
      <c r="IT323" s="26">
        <f t="shared" si="300"/>
        <v>0.35201905529411742</v>
      </c>
      <c r="IU323" s="26">
        <f t="shared" si="300"/>
        <v>2.7368725061176455</v>
      </c>
      <c r="IV323" s="26">
        <f t="shared" si="300"/>
        <v>0.52902282423529379</v>
      </c>
      <c r="IW323" s="26">
        <f t="shared" si="300"/>
        <v>2.1063794327058809</v>
      </c>
      <c r="IX323" s="26">
        <f t="shared" si="300"/>
        <v>18.224106899999999</v>
      </c>
      <c r="IY323" s="26">
        <f t="shared" si="300"/>
        <v>13.85220198847068</v>
      </c>
      <c r="IZ323" s="26">
        <f t="shared" si="300"/>
        <v>19.425774590352969</v>
      </c>
      <c r="JA323" s="26">
        <f t="shared" si="300"/>
        <v>27.708813220941231</v>
      </c>
      <c r="JB323" s="26">
        <f t="shared" si="300"/>
        <v>13.735515524705917</v>
      </c>
      <c r="JC323" s="26">
        <f t="shared" si="300"/>
        <v>19.765488108470699</v>
      </c>
      <c r="JD323" s="26">
        <f t="shared" si="300"/>
        <v>27.754951780705845</v>
      </c>
      <c r="JE323" s="26">
        <f>JE304</f>
        <v>48.415602876941122</v>
      </c>
      <c r="JF323" s="26">
        <f>JF304</f>
        <v>50.589619536235269</v>
      </c>
    </row>
    <row r="324" spans="244:266">
      <c r="IJ324" s="26">
        <f t="shared" ref="IJ324:JD324" si="301">IJ323-IJ322</f>
        <v>-0.18083230117647164</v>
      </c>
      <c r="IK324" s="26">
        <f t="shared" si="301"/>
        <v>-0.59358436117647218</v>
      </c>
      <c r="IL324" s="26">
        <f t="shared" si="301"/>
        <v>1.2649395557647043</v>
      </c>
      <c r="IM324" s="26">
        <f t="shared" si="301"/>
        <v>0.73232164517646958</v>
      </c>
      <c r="IN324" s="26">
        <f t="shared" si="301"/>
        <v>0.81647521035293869</v>
      </c>
      <c r="IO324" s="26">
        <f t="shared" si="301"/>
        <v>-1.0682328000000005</v>
      </c>
      <c r="IP324" s="26">
        <f t="shared" si="301"/>
        <v>-0.25591446752941582</v>
      </c>
      <c r="IQ324" s="26">
        <f t="shared" si="301"/>
        <v>-0.48993324141176608</v>
      </c>
      <c r="IR324" s="26">
        <f t="shared" si="301"/>
        <v>-1.1428994211764736</v>
      </c>
      <c r="IS324" s="26">
        <f t="shared" si="301"/>
        <v>-1.1237970371764714</v>
      </c>
      <c r="IT324" s="26">
        <f t="shared" si="301"/>
        <v>-2.598094470588258E-2</v>
      </c>
      <c r="IU324" s="26">
        <f t="shared" si="301"/>
        <v>-0.24512749388235466</v>
      </c>
      <c r="IV324" s="26">
        <f t="shared" si="301"/>
        <v>-0.73097717576470622</v>
      </c>
      <c r="IW324" s="26">
        <f t="shared" si="301"/>
        <v>-7.7620567294119258E-2</v>
      </c>
      <c r="IX324" s="26">
        <f t="shared" si="301"/>
        <v>1.1721068999999993</v>
      </c>
      <c r="IY324" s="26">
        <f t="shared" si="301"/>
        <v>1.0842019884706797</v>
      </c>
      <c r="IZ324" s="26">
        <f t="shared" si="301"/>
        <v>3.2557745903529671</v>
      </c>
      <c r="JA324" s="26">
        <f t="shared" si="301"/>
        <v>-0.93518677905877112</v>
      </c>
      <c r="JB324" s="26">
        <f t="shared" si="301"/>
        <v>-0.46048447529408421</v>
      </c>
      <c r="JC324" s="26">
        <f t="shared" si="301"/>
        <v>4.4774881084706983</v>
      </c>
      <c r="JD324" s="26">
        <f t="shared" si="301"/>
        <v>-0.93104821929415849</v>
      </c>
      <c r="JE324" s="26">
        <f>JE323-JE322</f>
        <v>2.1736028769411178</v>
      </c>
      <c r="JF324" s="26">
        <f>JF323-JF322</f>
        <v>-7.6643804637647364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DAED-B69D-4EEC-A36A-65E261FCBEF4}">
  <sheetPr codeName="Sheet2"/>
  <dimension ref="A1:MG324"/>
  <sheetViews>
    <sheetView zoomScale="85" zoomScaleNormal="85" workbookViewId="0">
      <pane xSplit="1" ySplit="2" topLeftCell="KV267" activePane="bottomRight" state="frozen"/>
      <selection activeCell="LQ290" sqref="LQ290"/>
      <selection pane="topRight" activeCell="LQ290" sqref="LQ290"/>
      <selection pane="bottomLeft" activeCell="LQ290" sqref="LQ290"/>
      <selection pane="bottomRight" activeCell="LQ290" sqref="LQ290"/>
    </sheetView>
  </sheetViews>
  <sheetFormatPr defaultColWidth="7.7109375" defaultRowHeight="12.75"/>
  <cols>
    <col min="1" max="1" width="20.7109375" style="26" customWidth="1"/>
    <col min="2" max="16384" width="7.7109375" style="26"/>
  </cols>
  <sheetData>
    <row r="1" spans="1:345" s="2" customFormat="1">
      <c r="A1" s="1" t="s">
        <v>293</v>
      </c>
      <c r="AB1" s="3" t="s">
        <v>1</v>
      </c>
    </row>
    <row r="2" spans="1:345" s="8" customFormat="1">
      <c r="A2" s="4"/>
      <c r="B2" s="5">
        <v>1994</v>
      </c>
      <c r="C2" s="5">
        <v>1995</v>
      </c>
      <c r="D2" s="5">
        <v>1996</v>
      </c>
      <c r="E2" s="5">
        <v>1997</v>
      </c>
      <c r="F2" s="5">
        <v>1998</v>
      </c>
      <c r="G2" s="5">
        <v>1999</v>
      </c>
      <c r="H2" s="5">
        <v>2000</v>
      </c>
      <c r="I2" s="5">
        <v>2001</v>
      </c>
      <c r="J2" s="5">
        <v>2002</v>
      </c>
      <c r="K2" s="5">
        <v>2003</v>
      </c>
      <c r="L2" s="5">
        <v>2004</v>
      </c>
      <c r="M2" s="5">
        <v>2005</v>
      </c>
      <c r="N2" s="5">
        <v>2006</v>
      </c>
      <c r="O2" s="5">
        <v>2007</v>
      </c>
      <c r="P2" s="5">
        <v>2008</v>
      </c>
      <c r="Q2" s="5">
        <v>2009</v>
      </c>
      <c r="R2" s="5">
        <v>2010</v>
      </c>
      <c r="S2" s="5">
        <v>2011</v>
      </c>
      <c r="T2" s="5">
        <v>2012</v>
      </c>
      <c r="U2" s="5">
        <v>2013</v>
      </c>
      <c r="V2" s="5">
        <v>2014</v>
      </c>
      <c r="W2" s="5">
        <v>2015</v>
      </c>
      <c r="X2" s="5">
        <v>2016</v>
      </c>
      <c r="Y2" s="5">
        <v>2017</v>
      </c>
      <c r="Z2" s="5">
        <v>2018</v>
      </c>
      <c r="AA2" s="6"/>
      <c r="AB2" s="7">
        <v>34335</v>
      </c>
      <c r="AC2" s="7">
        <v>34366</v>
      </c>
      <c r="AD2" s="7">
        <v>34394</v>
      </c>
      <c r="AE2" s="7">
        <v>34425</v>
      </c>
      <c r="AF2" s="7">
        <v>34455</v>
      </c>
      <c r="AG2" s="7">
        <v>34486</v>
      </c>
      <c r="AH2" s="7">
        <v>34516</v>
      </c>
      <c r="AI2" s="7">
        <v>34547</v>
      </c>
      <c r="AJ2" s="7">
        <v>34578</v>
      </c>
      <c r="AK2" s="7">
        <v>34608</v>
      </c>
      <c r="AL2" s="7">
        <v>34639</v>
      </c>
      <c r="AM2" s="7">
        <v>34669</v>
      </c>
      <c r="AN2" s="7">
        <v>34700</v>
      </c>
      <c r="AO2" s="7">
        <v>34731</v>
      </c>
      <c r="AP2" s="7">
        <v>34759</v>
      </c>
      <c r="AQ2" s="7">
        <v>34790</v>
      </c>
      <c r="AR2" s="7">
        <v>34820</v>
      </c>
      <c r="AS2" s="7">
        <v>34851</v>
      </c>
      <c r="AT2" s="7">
        <v>34881</v>
      </c>
      <c r="AU2" s="7">
        <v>34912</v>
      </c>
      <c r="AV2" s="7">
        <v>34943</v>
      </c>
      <c r="AW2" s="7">
        <v>34973</v>
      </c>
      <c r="AX2" s="7">
        <v>35004</v>
      </c>
      <c r="AY2" s="7">
        <v>35034</v>
      </c>
      <c r="AZ2" s="7">
        <v>35065</v>
      </c>
      <c r="BA2" s="7">
        <v>35096</v>
      </c>
      <c r="BB2" s="7">
        <v>35125</v>
      </c>
      <c r="BC2" s="7">
        <v>35156</v>
      </c>
      <c r="BD2" s="7">
        <v>35186</v>
      </c>
      <c r="BE2" s="7">
        <v>35217</v>
      </c>
      <c r="BF2" s="7">
        <v>35247</v>
      </c>
      <c r="BG2" s="7">
        <v>35278</v>
      </c>
      <c r="BH2" s="7">
        <v>35309</v>
      </c>
      <c r="BI2" s="7">
        <v>35339</v>
      </c>
      <c r="BJ2" s="7">
        <v>35370</v>
      </c>
      <c r="BK2" s="7">
        <v>35400</v>
      </c>
      <c r="BL2" s="7">
        <v>35431</v>
      </c>
      <c r="BM2" s="7">
        <v>35462</v>
      </c>
      <c r="BN2" s="7">
        <v>35490</v>
      </c>
      <c r="BO2" s="7">
        <v>35521</v>
      </c>
      <c r="BP2" s="7">
        <v>35551</v>
      </c>
      <c r="BQ2" s="7">
        <v>35582</v>
      </c>
      <c r="BR2" s="7">
        <v>35612</v>
      </c>
      <c r="BS2" s="7">
        <v>35643</v>
      </c>
      <c r="BT2" s="7">
        <v>35674</v>
      </c>
      <c r="BU2" s="7">
        <v>35704</v>
      </c>
      <c r="BV2" s="7">
        <v>35735</v>
      </c>
      <c r="BW2" s="7">
        <v>35765</v>
      </c>
      <c r="BX2" s="7">
        <v>35796</v>
      </c>
      <c r="BY2" s="7">
        <v>35827</v>
      </c>
      <c r="BZ2" s="7">
        <v>35855</v>
      </c>
      <c r="CA2" s="7">
        <v>35886</v>
      </c>
      <c r="CB2" s="7">
        <v>35916</v>
      </c>
      <c r="CC2" s="7">
        <v>35947</v>
      </c>
      <c r="CD2" s="7">
        <v>35977</v>
      </c>
      <c r="CE2" s="7">
        <v>36008</v>
      </c>
      <c r="CF2" s="7">
        <v>36039</v>
      </c>
      <c r="CG2" s="7">
        <v>36069</v>
      </c>
      <c r="CH2" s="7">
        <v>36100</v>
      </c>
      <c r="CI2" s="7">
        <v>36130</v>
      </c>
      <c r="CJ2" s="7">
        <v>36161</v>
      </c>
      <c r="CK2" s="7">
        <v>36192</v>
      </c>
      <c r="CL2" s="7">
        <v>36220</v>
      </c>
      <c r="CM2" s="7">
        <v>36251</v>
      </c>
      <c r="CN2" s="7">
        <v>36281</v>
      </c>
      <c r="CO2" s="7">
        <v>36312</v>
      </c>
      <c r="CP2" s="7">
        <v>36342</v>
      </c>
      <c r="CQ2" s="7">
        <v>36373</v>
      </c>
      <c r="CR2" s="7">
        <v>36404</v>
      </c>
      <c r="CS2" s="7">
        <v>36434</v>
      </c>
      <c r="CT2" s="7">
        <v>36465</v>
      </c>
      <c r="CU2" s="7">
        <v>36495</v>
      </c>
      <c r="CV2" s="7">
        <v>36526</v>
      </c>
      <c r="CW2" s="7">
        <v>36557</v>
      </c>
      <c r="CX2" s="7">
        <v>36586</v>
      </c>
      <c r="CY2" s="7">
        <v>36617</v>
      </c>
      <c r="CZ2" s="7">
        <v>36647</v>
      </c>
      <c r="DA2" s="7">
        <v>36678</v>
      </c>
      <c r="DB2" s="7">
        <v>36708</v>
      </c>
      <c r="DC2" s="7">
        <v>36739</v>
      </c>
      <c r="DD2" s="7">
        <v>36770</v>
      </c>
      <c r="DE2" s="7">
        <v>36800</v>
      </c>
      <c r="DF2" s="7">
        <v>36831</v>
      </c>
      <c r="DG2" s="7">
        <v>36861</v>
      </c>
      <c r="DH2" s="7">
        <v>36892</v>
      </c>
      <c r="DI2" s="7">
        <v>36923</v>
      </c>
      <c r="DJ2" s="7">
        <v>36951</v>
      </c>
      <c r="DK2" s="7">
        <v>36982</v>
      </c>
      <c r="DL2" s="7">
        <v>37012</v>
      </c>
      <c r="DM2" s="7">
        <v>37043</v>
      </c>
      <c r="DN2" s="7">
        <v>37073</v>
      </c>
      <c r="DO2" s="7">
        <v>37104</v>
      </c>
      <c r="DP2" s="7">
        <v>37135</v>
      </c>
      <c r="DQ2" s="7">
        <v>37165</v>
      </c>
      <c r="DR2" s="7">
        <v>37196</v>
      </c>
      <c r="DS2" s="7">
        <v>37226</v>
      </c>
      <c r="DT2" s="7">
        <v>37257</v>
      </c>
      <c r="DU2" s="7">
        <v>37288</v>
      </c>
      <c r="DV2" s="7">
        <v>37316</v>
      </c>
      <c r="DW2" s="7">
        <v>37347</v>
      </c>
      <c r="DX2" s="7">
        <v>37377</v>
      </c>
      <c r="DY2" s="7">
        <v>37408</v>
      </c>
      <c r="DZ2" s="7">
        <v>37438</v>
      </c>
      <c r="EA2" s="7">
        <v>37469</v>
      </c>
      <c r="EB2" s="7">
        <v>37500</v>
      </c>
      <c r="EC2" s="7">
        <v>37530</v>
      </c>
      <c r="ED2" s="7">
        <v>37561</v>
      </c>
      <c r="EE2" s="7">
        <v>37591</v>
      </c>
      <c r="EF2" s="7">
        <v>37622</v>
      </c>
      <c r="EG2" s="7">
        <v>37653</v>
      </c>
      <c r="EH2" s="7">
        <v>37681</v>
      </c>
      <c r="EI2" s="7">
        <v>37712</v>
      </c>
      <c r="EJ2" s="7">
        <v>37742</v>
      </c>
      <c r="EK2" s="7">
        <v>37773</v>
      </c>
      <c r="EL2" s="7">
        <v>37803</v>
      </c>
      <c r="EM2" s="7">
        <v>37834</v>
      </c>
      <c r="EN2" s="7">
        <v>37865</v>
      </c>
      <c r="EO2" s="7">
        <v>37895</v>
      </c>
      <c r="EP2" s="7">
        <v>37926</v>
      </c>
      <c r="EQ2" s="7">
        <v>37956</v>
      </c>
      <c r="ER2" s="7">
        <v>37987</v>
      </c>
      <c r="ES2" s="7">
        <v>38018</v>
      </c>
      <c r="ET2" s="7">
        <v>38047</v>
      </c>
      <c r="EU2" s="7">
        <v>38078</v>
      </c>
      <c r="EV2" s="7">
        <v>38108</v>
      </c>
      <c r="EW2" s="7">
        <v>38139</v>
      </c>
      <c r="EX2" s="7">
        <v>38169</v>
      </c>
      <c r="EY2" s="7">
        <v>38200</v>
      </c>
      <c r="EZ2" s="7">
        <v>38231</v>
      </c>
      <c r="FA2" s="7">
        <v>38261</v>
      </c>
      <c r="FB2" s="7">
        <v>38292</v>
      </c>
      <c r="FC2" s="7">
        <v>38322</v>
      </c>
      <c r="FD2" s="7">
        <v>38353</v>
      </c>
      <c r="FE2" s="7">
        <v>38384</v>
      </c>
      <c r="FF2" s="7">
        <v>38412</v>
      </c>
      <c r="FG2" s="7">
        <v>38443</v>
      </c>
      <c r="FH2" s="7">
        <v>38473</v>
      </c>
      <c r="FI2" s="7">
        <v>38504</v>
      </c>
      <c r="FJ2" s="7">
        <v>38534</v>
      </c>
      <c r="FK2" s="7">
        <v>38565</v>
      </c>
      <c r="FL2" s="7">
        <v>38596</v>
      </c>
      <c r="FM2" s="7">
        <v>38626</v>
      </c>
      <c r="FN2" s="7">
        <v>38657</v>
      </c>
      <c r="FO2" s="7">
        <v>38687</v>
      </c>
      <c r="FP2" s="7">
        <v>38718</v>
      </c>
      <c r="FQ2" s="7">
        <v>38749</v>
      </c>
      <c r="FR2" s="7">
        <v>38777</v>
      </c>
      <c r="FS2" s="7">
        <v>38808</v>
      </c>
      <c r="FT2" s="7">
        <v>38838</v>
      </c>
      <c r="FU2" s="7">
        <v>38869</v>
      </c>
      <c r="FV2" s="7">
        <v>38899</v>
      </c>
      <c r="FW2" s="7">
        <v>38930</v>
      </c>
      <c r="FX2" s="7">
        <v>38961</v>
      </c>
      <c r="FY2" s="7">
        <v>38991</v>
      </c>
      <c r="FZ2" s="7">
        <v>39022</v>
      </c>
      <c r="GA2" s="7">
        <v>39052</v>
      </c>
      <c r="GB2" s="7">
        <v>39083</v>
      </c>
      <c r="GC2" s="7">
        <v>39114</v>
      </c>
      <c r="GD2" s="7">
        <v>39142</v>
      </c>
      <c r="GE2" s="7">
        <v>39173</v>
      </c>
      <c r="GF2" s="7">
        <v>39203</v>
      </c>
      <c r="GG2" s="7">
        <v>39234</v>
      </c>
      <c r="GH2" s="7">
        <v>39264</v>
      </c>
      <c r="GI2" s="7">
        <v>39295</v>
      </c>
      <c r="GJ2" s="7">
        <v>39326</v>
      </c>
      <c r="GK2" s="7">
        <v>39356</v>
      </c>
      <c r="GL2" s="7">
        <v>39387</v>
      </c>
      <c r="GM2" s="7">
        <v>39417</v>
      </c>
      <c r="GN2" s="7">
        <v>39448</v>
      </c>
      <c r="GO2" s="7">
        <v>39479</v>
      </c>
      <c r="GP2" s="7">
        <v>39508</v>
      </c>
      <c r="GQ2" s="7">
        <v>39539</v>
      </c>
      <c r="GR2" s="7">
        <v>39569</v>
      </c>
      <c r="GS2" s="7">
        <v>39600</v>
      </c>
      <c r="GT2" s="7">
        <v>39630</v>
      </c>
      <c r="GU2" s="7">
        <v>39661</v>
      </c>
      <c r="GV2" s="7">
        <v>39692</v>
      </c>
      <c r="GW2" s="7">
        <v>39722</v>
      </c>
      <c r="GX2" s="7">
        <v>39753</v>
      </c>
      <c r="GY2" s="7">
        <v>39783</v>
      </c>
      <c r="GZ2" s="7">
        <v>39814</v>
      </c>
      <c r="HA2" s="7">
        <v>39845</v>
      </c>
      <c r="HB2" s="7">
        <v>39873</v>
      </c>
      <c r="HC2" s="7">
        <v>39904</v>
      </c>
      <c r="HD2" s="7">
        <v>39934</v>
      </c>
      <c r="HE2" s="7">
        <v>39965</v>
      </c>
      <c r="HF2" s="7">
        <v>39995</v>
      </c>
      <c r="HG2" s="7">
        <v>40026</v>
      </c>
      <c r="HH2" s="7">
        <v>40057</v>
      </c>
      <c r="HI2" s="7">
        <v>40087</v>
      </c>
      <c r="HJ2" s="7">
        <v>40118</v>
      </c>
      <c r="HK2" s="7">
        <v>40148</v>
      </c>
      <c r="HL2" s="7">
        <v>40179</v>
      </c>
      <c r="HM2" s="7">
        <v>40210</v>
      </c>
      <c r="HN2" s="7">
        <v>40238</v>
      </c>
      <c r="HO2" s="7">
        <v>40269</v>
      </c>
      <c r="HP2" s="7">
        <v>40299</v>
      </c>
      <c r="HQ2" s="7">
        <v>40330</v>
      </c>
      <c r="HR2" s="7">
        <v>40360</v>
      </c>
      <c r="HS2" s="7">
        <v>40391</v>
      </c>
      <c r="HT2" s="7">
        <v>40422</v>
      </c>
      <c r="HU2" s="7">
        <v>40452</v>
      </c>
      <c r="HV2" s="7">
        <v>40483</v>
      </c>
      <c r="HW2" s="7">
        <v>40513</v>
      </c>
      <c r="HX2" s="7">
        <v>40544</v>
      </c>
      <c r="HY2" s="7">
        <v>40575</v>
      </c>
      <c r="HZ2" s="7">
        <v>40603</v>
      </c>
      <c r="IA2" s="7">
        <v>40634</v>
      </c>
      <c r="IB2" s="7">
        <v>40664</v>
      </c>
      <c r="IC2" s="7">
        <v>40695</v>
      </c>
      <c r="ID2" s="7">
        <v>40725</v>
      </c>
      <c r="IE2" s="7">
        <v>40756</v>
      </c>
      <c r="IF2" s="7">
        <v>40787</v>
      </c>
      <c r="IG2" s="7">
        <v>40817</v>
      </c>
      <c r="IH2" s="7">
        <v>40848</v>
      </c>
      <c r="II2" s="7">
        <v>40878</v>
      </c>
      <c r="IJ2" s="7">
        <v>40909</v>
      </c>
      <c r="IK2" s="7">
        <v>40940</v>
      </c>
      <c r="IL2" s="7">
        <v>40969</v>
      </c>
      <c r="IM2" s="7">
        <v>41000</v>
      </c>
      <c r="IN2" s="7">
        <v>41030</v>
      </c>
      <c r="IO2" s="7">
        <v>41061</v>
      </c>
      <c r="IP2" s="7">
        <v>41091</v>
      </c>
      <c r="IQ2" s="7">
        <v>41122</v>
      </c>
      <c r="IR2" s="7">
        <v>41153</v>
      </c>
      <c r="IS2" s="7">
        <v>41183</v>
      </c>
      <c r="IT2" s="7">
        <v>41214</v>
      </c>
      <c r="IU2" s="7">
        <v>41244</v>
      </c>
      <c r="IV2" s="7">
        <v>41275</v>
      </c>
      <c r="IW2" s="7">
        <v>41306</v>
      </c>
      <c r="IX2" s="7">
        <v>41334</v>
      </c>
      <c r="IY2" s="7">
        <v>41365</v>
      </c>
      <c r="IZ2" s="7">
        <v>41395</v>
      </c>
      <c r="JA2" s="7">
        <v>41426</v>
      </c>
      <c r="JB2" s="7">
        <v>41456</v>
      </c>
      <c r="JC2" s="7">
        <v>41487</v>
      </c>
      <c r="JD2" s="7">
        <v>41518</v>
      </c>
      <c r="JE2" s="7">
        <v>41548</v>
      </c>
      <c r="JF2" s="7">
        <v>41579</v>
      </c>
      <c r="JG2" s="7">
        <v>41609</v>
      </c>
      <c r="JH2" s="7">
        <v>41640</v>
      </c>
      <c r="JI2" s="7">
        <v>41671</v>
      </c>
      <c r="JJ2" s="7">
        <v>41699</v>
      </c>
      <c r="JK2" s="7">
        <v>41730</v>
      </c>
      <c r="JL2" s="7">
        <v>41760</v>
      </c>
      <c r="JM2" s="7">
        <v>41791</v>
      </c>
      <c r="JN2" s="7">
        <v>41821</v>
      </c>
      <c r="JO2" s="7">
        <v>41852</v>
      </c>
      <c r="JP2" s="7">
        <v>41883</v>
      </c>
      <c r="JQ2" s="7">
        <v>41913</v>
      </c>
      <c r="JR2" s="7">
        <v>41944</v>
      </c>
      <c r="JS2" s="7">
        <v>41974</v>
      </c>
      <c r="JT2" s="7">
        <v>42005</v>
      </c>
      <c r="JU2" s="7">
        <v>42036</v>
      </c>
      <c r="JV2" s="7">
        <v>42064</v>
      </c>
      <c r="JW2" s="7">
        <v>42095</v>
      </c>
      <c r="JX2" s="7">
        <v>42125</v>
      </c>
      <c r="JY2" s="7">
        <v>42156</v>
      </c>
      <c r="JZ2" s="7">
        <v>42186</v>
      </c>
      <c r="KA2" s="7">
        <v>42217</v>
      </c>
      <c r="KB2" s="7">
        <v>42248</v>
      </c>
      <c r="KC2" s="7">
        <v>42278</v>
      </c>
      <c r="KD2" s="7">
        <v>42309</v>
      </c>
      <c r="KE2" s="7">
        <v>42339</v>
      </c>
      <c r="KF2" s="7">
        <v>42370</v>
      </c>
      <c r="KG2" s="7">
        <v>42401</v>
      </c>
      <c r="KH2" s="7">
        <v>42430</v>
      </c>
      <c r="KI2" s="7">
        <v>42461</v>
      </c>
      <c r="KJ2" s="7">
        <v>42491</v>
      </c>
      <c r="KK2" s="7">
        <v>42522</v>
      </c>
      <c r="KL2" s="7">
        <v>42552</v>
      </c>
      <c r="KM2" s="7">
        <v>42583</v>
      </c>
      <c r="KN2" s="7">
        <v>42614</v>
      </c>
      <c r="KO2" s="7">
        <v>42644</v>
      </c>
      <c r="KP2" s="7">
        <v>42675</v>
      </c>
      <c r="KQ2" s="7">
        <v>42705</v>
      </c>
      <c r="KR2" s="7">
        <v>42736</v>
      </c>
      <c r="KS2" s="7">
        <v>42767</v>
      </c>
      <c r="KT2" s="7">
        <v>42795</v>
      </c>
      <c r="KU2" s="7">
        <v>42826</v>
      </c>
      <c r="KV2" s="7">
        <v>42856</v>
      </c>
      <c r="KW2" s="7">
        <v>42887</v>
      </c>
      <c r="KX2" s="7">
        <v>42917</v>
      </c>
      <c r="KY2" s="7">
        <v>42948</v>
      </c>
      <c r="KZ2" s="7">
        <v>42979</v>
      </c>
      <c r="LA2" s="7">
        <v>43009</v>
      </c>
      <c r="LB2" s="7">
        <v>43040</v>
      </c>
      <c r="LC2" s="7">
        <v>43070</v>
      </c>
      <c r="LD2" s="7">
        <v>43101</v>
      </c>
      <c r="LE2" s="7">
        <v>43132</v>
      </c>
      <c r="LF2" s="7">
        <v>43160</v>
      </c>
      <c r="LG2" s="7">
        <v>43191</v>
      </c>
      <c r="LH2" s="7">
        <v>43221</v>
      </c>
      <c r="LI2" s="7">
        <v>43252</v>
      </c>
      <c r="LJ2" s="7">
        <v>43282</v>
      </c>
      <c r="LK2" s="7">
        <v>43313</v>
      </c>
      <c r="LL2" s="7">
        <v>43344</v>
      </c>
      <c r="LM2" s="7">
        <v>43374</v>
      </c>
      <c r="LN2" s="7">
        <v>43405</v>
      </c>
      <c r="LO2" s="7">
        <v>43435</v>
      </c>
      <c r="LP2" s="7">
        <v>43466</v>
      </c>
      <c r="LQ2" s="7">
        <v>43497</v>
      </c>
      <c r="LR2" s="7">
        <v>43525</v>
      </c>
      <c r="LS2" s="7">
        <v>43556</v>
      </c>
      <c r="LT2" s="7">
        <v>43586</v>
      </c>
      <c r="LU2" s="7">
        <v>43617</v>
      </c>
      <c r="LV2" s="7">
        <v>43647</v>
      </c>
      <c r="LW2" s="7">
        <v>43678</v>
      </c>
      <c r="LX2" s="7">
        <v>43709</v>
      </c>
      <c r="LY2" s="7">
        <v>43739</v>
      </c>
      <c r="LZ2" s="7">
        <v>43770</v>
      </c>
      <c r="MA2" s="7">
        <v>43800</v>
      </c>
      <c r="MB2" s="7">
        <v>43831</v>
      </c>
      <c r="MC2" s="7">
        <v>43862</v>
      </c>
      <c r="MD2" s="7">
        <v>43891</v>
      </c>
      <c r="ME2" s="7">
        <v>43922</v>
      </c>
      <c r="MF2" s="7">
        <v>43952</v>
      </c>
      <c r="MG2" s="7">
        <v>43983</v>
      </c>
    </row>
    <row r="3" spans="1:345" s="11" customForma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345" s="14" customFormat="1">
      <c r="A4" s="12" t="s">
        <v>2</v>
      </c>
      <c r="B4" s="13">
        <f t="shared" ref="B4:C4" si="0">SUM(B5:B35)</f>
        <v>0</v>
      </c>
      <c r="C4" s="13">
        <f t="shared" si="0"/>
        <v>0</v>
      </c>
      <c r="D4" s="13">
        <f t="shared" ref="D4:Z4" si="1">SUM(D5:D35)</f>
        <v>0</v>
      </c>
      <c r="E4" s="13">
        <f t="shared" si="1"/>
        <v>0</v>
      </c>
      <c r="F4" s="13">
        <f t="shared" si="1"/>
        <v>0</v>
      </c>
      <c r="G4" s="13">
        <f t="shared" si="1"/>
        <v>0</v>
      </c>
      <c r="H4" s="13">
        <f t="shared" si="1"/>
        <v>0</v>
      </c>
      <c r="I4" s="13">
        <f t="shared" si="1"/>
        <v>0</v>
      </c>
      <c r="J4" s="13">
        <f t="shared" si="1"/>
        <v>0</v>
      </c>
      <c r="K4" s="13">
        <f t="shared" si="1"/>
        <v>0</v>
      </c>
      <c r="L4" s="13">
        <f t="shared" si="1"/>
        <v>0</v>
      </c>
      <c r="M4" s="13">
        <f t="shared" si="1"/>
        <v>0</v>
      </c>
      <c r="N4" s="13">
        <f t="shared" si="1"/>
        <v>0</v>
      </c>
      <c r="O4" s="13">
        <f t="shared" si="1"/>
        <v>0</v>
      </c>
      <c r="P4" s="13">
        <f t="shared" si="1"/>
        <v>0</v>
      </c>
      <c r="Q4" s="13">
        <f t="shared" si="1"/>
        <v>0</v>
      </c>
      <c r="R4" s="13">
        <f t="shared" si="1"/>
        <v>0</v>
      </c>
      <c r="S4" s="13">
        <f t="shared" si="1"/>
        <v>0</v>
      </c>
      <c r="T4" s="13">
        <f t="shared" si="1"/>
        <v>0</v>
      </c>
      <c r="U4" s="13">
        <f t="shared" si="1"/>
        <v>0</v>
      </c>
      <c r="V4" s="13">
        <f t="shared" si="1"/>
        <v>0</v>
      </c>
      <c r="W4" s="13">
        <f t="shared" si="1"/>
        <v>0</v>
      </c>
      <c r="X4" s="13">
        <f t="shared" si="1"/>
        <v>0</v>
      </c>
      <c r="Y4" s="13">
        <f t="shared" si="1"/>
        <v>0</v>
      </c>
      <c r="Z4" s="13">
        <f t="shared" si="1"/>
        <v>6.0490202999999996</v>
      </c>
      <c r="AB4" s="13">
        <f t="shared" ref="AB4:CM4" si="2">SUM(AB5:AB35)</f>
        <v>0</v>
      </c>
      <c r="AC4" s="13">
        <f t="shared" si="2"/>
        <v>0</v>
      </c>
      <c r="AD4" s="13">
        <f t="shared" si="2"/>
        <v>0</v>
      </c>
      <c r="AE4" s="13">
        <f t="shared" si="2"/>
        <v>0</v>
      </c>
      <c r="AF4" s="13">
        <f t="shared" si="2"/>
        <v>0</v>
      </c>
      <c r="AG4" s="13">
        <f t="shared" si="2"/>
        <v>0</v>
      </c>
      <c r="AH4" s="13">
        <f t="shared" si="2"/>
        <v>0</v>
      </c>
      <c r="AI4" s="13">
        <f t="shared" si="2"/>
        <v>0</v>
      </c>
      <c r="AJ4" s="13">
        <f t="shared" si="2"/>
        <v>0</v>
      </c>
      <c r="AK4" s="13">
        <f t="shared" si="2"/>
        <v>0</v>
      </c>
      <c r="AL4" s="13">
        <f t="shared" si="2"/>
        <v>0</v>
      </c>
      <c r="AM4" s="13">
        <f t="shared" si="2"/>
        <v>0</v>
      </c>
      <c r="AN4" s="13">
        <f t="shared" si="2"/>
        <v>0</v>
      </c>
      <c r="AO4" s="13">
        <f t="shared" si="2"/>
        <v>0</v>
      </c>
      <c r="AP4" s="13">
        <f t="shared" si="2"/>
        <v>0</v>
      </c>
      <c r="AQ4" s="13">
        <f t="shared" si="2"/>
        <v>0</v>
      </c>
      <c r="AR4" s="13">
        <f t="shared" si="2"/>
        <v>0</v>
      </c>
      <c r="AS4" s="13">
        <f t="shared" si="2"/>
        <v>0</v>
      </c>
      <c r="AT4" s="13">
        <f t="shared" si="2"/>
        <v>0</v>
      </c>
      <c r="AU4" s="13">
        <f t="shared" si="2"/>
        <v>0</v>
      </c>
      <c r="AV4" s="13">
        <f t="shared" si="2"/>
        <v>0</v>
      </c>
      <c r="AW4" s="13">
        <f t="shared" si="2"/>
        <v>0</v>
      </c>
      <c r="AX4" s="13">
        <f t="shared" si="2"/>
        <v>0</v>
      </c>
      <c r="AY4" s="13">
        <f t="shared" si="2"/>
        <v>0</v>
      </c>
      <c r="AZ4" s="13">
        <f t="shared" si="2"/>
        <v>0</v>
      </c>
      <c r="BA4" s="13">
        <f t="shared" si="2"/>
        <v>0</v>
      </c>
      <c r="BB4" s="13">
        <f t="shared" si="2"/>
        <v>0</v>
      </c>
      <c r="BC4" s="13">
        <f t="shared" si="2"/>
        <v>0</v>
      </c>
      <c r="BD4" s="13">
        <f t="shared" si="2"/>
        <v>0</v>
      </c>
      <c r="BE4" s="13">
        <f t="shared" si="2"/>
        <v>0</v>
      </c>
      <c r="BF4" s="13">
        <f t="shared" si="2"/>
        <v>0</v>
      </c>
      <c r="BG4" s="13">
        <f t="shared" si="2"/>
        <v>0</v>
      </c>
      <c r="BH4" s="13">
        <f t="shared" si="2"/>
        <v>0</v>
      </c>
      <c r="BI4" s="13">
        <f t="shared" si="2"/>
        <v>0</v>
      </c>
      <c r="BJ4" s="13">
        <f t="shared" si="2"/>
        <v>0</v>
      </c>
      <c r="BK4" s="13">
        <f t="shared" si="2"/>
        <v>0</v>
      </c>
      <c r="BL4" s="13">
        <f t="shared" si="2"/>
        <v>0</v>
      </c>
      <c r="BM4" s="13">
        <f t="shared" si="2"/>
        <v>0</v>
      </c>
      <c r="BN4" s="13">
        <f t="shared" si="2"/>
        <v>0</v>
      </c>
      <c r="BO4" s="13">
        <f t="shared" si="2"/>
        <v>0</v>
      </c>
      <c r="BP4" s="13">
        <f t="shared" si="2"/>
        <v>0</v>
      </c>
      <c r="BQ4" s="13">
        <f t="shared" si="2"/>
        <v>0</v>
      </c>
      <c r="BR4" s="13">
        <f t="shared" si="2"/>
        <v>0</v>
      </c>
      <c r="BS4" s="13">
        <f t="shared" si="2"/>
        <v>0</v>
      </c>
      <c r="BT4" s="13">
        <f t="shared" si="2"/>
        <v>0</v>
      </c>
      <c r="BU4" s="13">
        <f t="shared" si="2"/>
        <v>0</v>
      </c>
      <c r="BV4" s="13">
        <f t="shared" si="2"/>
        <v>0</v>
      </c>
      <c r="BW4" s="13">
        <f t="shared" si="2"/>
        <v>0</v>
      </c>
      <c r="BX4" s="13">
        <f t="shared" si="2"/>
        <v>0</v>
      </c>
      <c r="BY4" s="13">
        <f t="shared" si="2"/>
        <v>0</v>
      </c>
      <c r="BZ4" s="13">
        <f t="shared" si="2"/>
        <v>0</v>
      </c>
      <c r="CA4" s="13">
        <f t="shared" si="2"/>
        <v>0</v>
      </c>
      <c r="CB4" s="13">
        <f t="shared" si="2"/>
        <v>0</v>
      </c>
      <c r="CC4" s="13">
        <f t="shared" si="2"/>
        <v>0</v>
      </c>
      <c r="CD4" s="13">
        <f t="shared" si="2"/>
        <v>0</v>
      </c>
      <c r="CE4" s="13">
        <f t="shared" si="2"/>
        <v>0</v>
      </c>
      <c r="CF4" s="13">
        <f t="shared" si="2"/>
        <v>0</v>
      </c>
      <c r="CG4" s="13">
        <f t="shared" si="2"/>
        <v>0</v>
      </c>
      <c r="CH4" s="13">
        <f t="shared" si="2"/>
        <v>0</v>
      </c>
      <c r="CI4" s="13">
        <f t="shared" si="2"/>
        <v>0</v>
      </c>
      <c r="CJ4" s="13">
        <f t="shared" si="2"/>
        <v>0</v>
      </c>
      <c r="CK4" s="13">
        <f t="shared" si="2"/>
        <v>0</v>
      </c>
      <c r="CL4" s="13">
        <f t="shared" si="2"/>
        <v>0</v>
      </c>
      <c r="CM4" s="13">
        <f t="shared" si="2"/>
        <v>0</v>
      </c>
      <c r="CN4" s="13">
        <f t="shared" ref="CN4:EY4" si="3">SUM(CN5:CN35)</f>
        <v>0</v>
      </c>
      <c r="CO4" s="13">
        <f t="shared" si="3"/>
        <v>0</v>
      </c>
      <c r="CP4" s="13">
        <f t="shared" si="3"/>
        <v>0</v>
      </c>
      <c r="CQ4" s="13">
        <f t="shared" si="3"/>
        <v>0</v>
      </c>
      <c r="CR4" s="13">
        <f t="shared" si="3"/>
        <v>0</v>
      </c>
      <c r="CS4" s="13">
        <f t="shared" si="3"/>
        <v>0</v>
      </c>
      <c r="CT4" s="13">
        <f t="shared" si="3"/>
        <v>0</v>
      </c>
      <c r="CU4" s="13">
        <f t="shared" si="3"/>
        <v>0</v>
      </c>
      <c r="CV4" s="13">
        <f t="shared" si="3"/>
        <v>0</v>
      </c>
      <c r="CW4" s="13">
        <f t="shared" si="3"/>
        <v>0</v>
      </c>
      <c r="CX4" s="13">
        <f t="shared" si="3"/>
        <v>0</v>
      </c>
      <c r="CY4" s="13">
        <f t="shared" si="3"/>
        <v>0</v>
      </c>
      <c r="CZ4" s="13">
        <f t="shared" si="3"/>
        <v>0</v>
      </c>
      <c r="DA4" s="13">
        <f t="shared" si="3"/>
        <v>0</v>
      </c>
      <c r="DB4" s="13">
        <f t="shared" si="3"/>
        <v>0</v>
      </c>
      <c r="DC4" s="13">
        <f t="shared" si="3"/>
        <v>0</v>
      </c>
      <c r="DD4" s="13">
        <f t="shared" si="3"/>
        <v>0</v>
      </c>
      <c r="DE4" s="13">
        <f t="shared" si="3"/>
        <v>0</v>
      </c>
      <c r="DF4" s="13">
        <f t="shared" si="3"/>
        <v>0</v>
      </c>
      <c r="DG4" s="13">
        <f t="shared" si="3"/>
        <v>0</v>
      </c>
      <c r="DH4" s="13">
        <f t="shared" si="3"/>
        <v>0</v>
      </c>
      <c r="DI4" s="13">
        <f t="shared" si="3"/>
        <v>0</v>
      </c>
      <c r="DJ4" s="13">
        <f t="shared" si="3"/>
        <v>0</v>
      </c>
      <c r="DK4" s="13">
        <f t="shared" si="3"/>
        <v>0</v>
      </c>
      <c r="DL4" s="13">
        <f t="shared" si="3"/>
        <v>0</v>
      </c>
      <c r="DM4" s="13">
        <f t="shared" si="3"/>
        <v>0</v>
      </c>
      <c r="DN4" s="13">
        <f t="shared" si="3"/>
        <v>0</v>
      </c>
      <c r="DO4" s="13">
        <f t="shared" si="3"/>
        <v>0</v>
      </c>
      <c r="DP4" s="13">
        <f t="shared" si="3"/>
        <v>0</v>
      </c>
      <c r="DQ4" s="13">
        <f t="shared" si="3"/>
        <v>0</v>
      </c>
      <c r="DR4" s="13">
        <f t="shared" si="3"/>
        <v>0</v>
      </c>
      <c r="DS4" s="13">
        <f t="shared" si="3"/>
        <v>0</v>
      </c>
      <c r="DT4" s="13">
        <f t="shared" si="3"/>
        <v>0</v>
      </c>
      <c r="DU4" s="13">
        <f t="shared" si="3"/>
        <v>0</v>
      </c>
      <c r="DV4" s="13">
        <f t="shared" si="3"/>
        <v>0</v>
      </c>
      <c r="DW4" s="13">
        <f t="shared" si="3"/>
        <v>0</v>
      </c>
      <c r="DX4" s="13">
        <f t="shared" si="3"/>
        <v>0</v>
      </c>
      <c r="DY4" s="13">
        <f t="shared" si="3"/>
        <v>0</v>
      </c>
      <c r="DZ4" s="13">
        <f t="shared" si="3"/>
        <v>0</v>
      </c>
      <c r="EA4" s="13">
        <f t="shared" si="3"/>
        <v>0</v>
      </c>
      <c r="EB4" s="13">
        <f t="shared" si="3"/>
        <v>0</v>
      </c>
      <c r="EC4" s="13">
        <f t="shared" si="3"/>
        <v>0</v>
      </c>
      <c r="ED4" s="13">
        <f t="shared" si="3"/>
        <v>0</v>
      </c>
      <c r="EE4" s="13">
        <f t="shared" si="3"/>
        <v>0</v>
      </c>
      <c r="EF4" s="13">
        <f t="shared" si="3"/>
        <v>0</v>
      </c>
      <c r="EG4" s="13">
        <f t="shared" si="3"/>
        <v>0</v>
      </c>
      <c r="EH4" s="13">
        <f t="shared" si="3"/>
        <v>0</v>
      </c>
      <c r="EI4" s="13">
        <f t="shared" si="3"/>
        <v>0</v>
      </c>
      <c r="EJ4" s="13">
        <f t="shared" si="3"/>
        <v>0</v>
      </c>
      <c r="EK4" s="13">
        <f t="shared" si="3"/>
        <v>0</v>
      </c>
      <c r="EL4" s="13">
        <f t="shared" si="3"/>
        <v>0</v>
      </c>
      <c r="EM4" s="13">
        <f t="shared" si="3"/>
        <v>0</v>
      </c>
      <c r="EN4" s="13">
        <f t="shared" si="3"/>
        <v>0</v>
      </c>
      <c r="EO4" s="13">
        <f t="shared" si="3"/>
        <v>0</v>
      </c>
      <c r="EP4" s="13">
        <f t="shared" si="3"/>
        <v>0</v>
      </c>
      <c r="EQ4" s="13">
        <f t="shared" si="3"/>
        <v>0</v>
      </c>
      <c r="ER4" s="13">
        <f t="shared" si="3"/>
        <v>0</v>
      </c>
      <c r="ES4" s="13">
        <f t="shared" si="3"/>
        <v>0</v>
      </c>
      <c r="ET4" s="13">
        <f t="shared" si="3"/>
        <v>0</v>
      </c>
      <c r="EU4" s="13">
        <f t="shared" si="3"/>
        <v>0</v>
      </c>
      <c r="EV4" s="13">
        <f t="shared" si="3"/>
        <v>0</v>
      </c>
      <c r="EW4" s="13">
        <f t="shared" si="3"/>
        <v>0</v>
      </c>
      <c r="EX4" s="13">
        <f t="shared" si="3"/>
        <v>0</v>
      </c>
      <c r="EY4" s="13">
        <f t="shared" si="3"/>
        <v>0</v>
      </c>
      <c r="EZ4" s="13">
        <f t="shared" ref="EZ4:HK4" si="4">SUM(EZ5:EZ35)</f>
        <v>0</v>
      </c>
      <c r="FA4" s="13">
        <f t="shared" si="4"/>
        <v>0</v>
      </c>
      <c r="FB4" s="13">
        <f t="shared" si="4"/>
        <v>0</v>
      </c>
      <c r="FC4" s="13">
        <f t="shared" si="4"/>
        <v>0</v>
      </c>
      <c r="FD4" s="13">
        <f t="shared" si="4"/>
        <v>0</v>
      </c>
      <c r="FE4" s="13">
        <f t="shared" si="4"/>
        <v>0</v>
      </c>
      <c r="FF4" s="13">
        <f t="shared" si="4"/>
        <v>0</v>
      </c>
      <c r="FG4" s="13">
        <f t="shared" si="4"/>
        <v>0</v>
      </c>
      <c r="FH4" s="13">
        <f t="shared" si="4"/>
        <v>0</v>
      </c>
      <c r="FI4" s="13">
        <f t="shared" si="4"/>
        <v>0</v>
      </c>
      <c r="FJ4" s="13">
        <f t="shared" si="4"/>
        <v>0</v>
      </c>
      <c r="FK4" s="13">
        <f t="shared" si="4"/>
        <v>0</v>
      </c>
      <c r="FL4" s="13">
        <f t="shared" si="4"/>
        <v>0</v>
      </c>
      <c r="FM4" s="13">
        <f t="shared" si="4"/>
        <v>0</v>
      </c>
      <c r="FN4" s="13">
        <f t="shared" si="4"/>
        <v>0</v>
      </c>
      <c r="FO4" s="13">
        <f t="shared" si="4"/>
        <v>0</v>
      </c>
      <c r="FP4" s="13">
        <f t="shared" si="4"/>
        <v>0</v>
      </c>
      <c r="FQ4" s="13">
        <f t="shared" si="4"/>
        <v>0</v>
      </c>
      <c r="FR4" s="13">
        <f t="shared" si="4"/>
        <v>0</v>
      </c>
      <c r="FS4" s="13">
        <f t="shared" si="4"/>
        <v>0</v>
      </c>
      <c r="FT4" s="13">
        <f t="shared" si="4"/>
        <v>0</v>
      </c>
      <c r="FU4" s="13">
        <f t="shared" si="4"/>
        <v>0</v>
      </c>
      <c r="FV4" s="13">
        <f t="shared" si="4"/>
        <v>0</v>
      </c>
      <c r="FW4" s="13">
        <f t="shared" si="4"/>
        <v>0</v>
      </c>
      <c r="FX4" s="13">
        <f t="shared" si="4"/>
        <v>0</v>
      </c>
      <c r="FY4" s="13">
        <f t="shared" si="4"/>
        <v>0</v>
      </c>
      <c r="FZ4" s="13">
        <f t="shared" si="4"/>
        <v>0</v>
      </c>
      <c r="GA4" s="13">
        <f t="shared" si="4"/>
        <v>0</v>
      </c>
      <c r="GB4" s="13">
        <f t="shared" si="4"/>
        <v>0</v>
      </c>
      <c r="GC4" s="13">
        <f t="shared" si="4"/>
        <v>0</v>
      </c>
      <c r="GD4" s="13">
        <f t="shared" si="4"/>
        <v>0</v>
      </c>
      <c r="GE4" s="13">
        <f t="shared" si="4"/>
        <v>0</v>
      </c>
      <c r="GF4" s="13">
        <f t="shared" si="4"/>
        <v>0</v>
      </c>
      <c r="GG4" s="13">
        <f t="shared" si="4"/>
        <v>0</v>
      </c>
      <c r="GH4" s="13">
        <f t="shared" si="4"/>
        <v>0</v>
      </c>
      <c r="GI4" s="13">
        <f t="shared" si="4"/>
        <v>0</v>
      </c>
      <c r="GJ4" s="13">
        <f t="shared" si="4"/>
        <v>0</v>
      </c>
      <c r="GK4" s="13">
        <f t="shared" si="4"/>
        <v>0</v>
      </c>
      <c r="GL4" s="13">
        <f t="shared" si="4"/>
        <v>0</v>
      </c>
      <c r="GM4" s="13">
        <f t="shared" si="4"/>
        <v>0</v>
      </c>
      <c r="GN4" s="13">
        <f t="shared" si="4"/>
        <v>0</v>
      </c>
      <c r="GO4" s="13">
        <f t="shared" si="4"/>
        <v>0</v>
      </c>
      <c r="GP4" s="13">
        <f t="shared" si="4"/>
        <v>0</v>
      </c>
      <c r="GQ4" s="13">
        <f t="shared" si="4"/>
        <v>0</v>
      </c>
      <c r="GR4" s="13">
        <f t="shared" si="4"/>
        <v>0</v>
      </c>
      <c r="GS4" s="13">
        <f t="shared" si="4"/>
        <v>0</v>
      </c>
      <c r="GT4" s="13">
        <f t="shared" si="4"/>
        <v>0</v>
      </c>
      <c r="GU4" s="13">
        <f t="shared" si="4"/>
        <v>0</v>
      </c>
      <c r="GV4" s="13">
        <f t="shared" si="4"/>
        <v>0</v>
      </c>
      <c r="GW4" s="13">
        <f t="shared" si="4"/>
        <v>0</v>
      </c>
      <c r="GX4" s="13">
        <f t="shared" si="4"/>
        <v>0</v>
      </c>
      <c r="GY4" s="13">
        <f t="shared" si="4"/>
        <v>0</v>
      </c>
      <c r="GZ4" s="13">
        <f t="shared" si="4"/>
        <v>0</v>
      </c>
      <c r="HA4" s="13">
        <f t="shared" si="4"/>
        <v>0</v>
      </c>
      <c r="HB4" s="13">
        <f t="shared" si="4"/>
        <v>0</v>
      </c>
      <c r="HC4" s="13">
        <f t="shared" si="4"/>
        <v>0</v>
      </c>
      <c r="HD4" s="13">
        <f t="shared" si="4"/>
        <v>0</v>
      </c>
      <c r="HE4" s="13">
        <f t="shared" si="4"/>
        <v>0</v>
      </c>
      <c r="HF4" s="13">
        <f t="shared" si="4"/>
        <v>0</v>
      </c>
      <c r="HG4" s="13">
        <f t="shared" si="4"/>
        <v>0</v>
      </c>
      <c r="HH4" s="13">
        <f t="shared" si="4"/>
        <v>0</v>
      </c>
      <c r="HI4" s="13">
        <f t="shared" si="4"/>
        <v>0</v>
      </c>
      <c r="HJ4" s="13">
        <f t="shared" si="4"/>
        <v>0</v>
      </c>
      <c r="HK4" s="13">
        <f t="shared" si="4"/>
        <v>0</v>
      </c>
      <c r="HL4" s="13">
        <f t="shared" ref="HL4:JW4" si="5">SUM(HL5:HL35)</f>
        <v>0</v>
      </c>
      <c r="HM4" s="13">
        <f t="shared" si="5"/>
        <v>0</v>
      </c>
      <c r="HN4" s="13">
        <f t="shared" si="5"/>
        <v>0</v>
      </c>
      <c r="HO4" s="13">
        <f t="shared" si="5"/>
        <v>0</v>
      </c>
      <c r="HP4" s="13">
        <f t="shared" si="5"/>
        <v>0</v>
      </c>
      <c r="HQ4" s="13">
        <f t="shared" si="5"/>
        <v>0</v>
      </c>
      <c r="HR4" s="13">
        <f t="shared" si="5"/>
        <v>0</v>
      </c>
      <c r="HS4" s="13">
        <f t="shared" si="5"/>
        <v>0</v>
      </c>
      <c r="HT4" s="13">
        <f t="shared" si="5"/>
        <v>0</v>
      </c>
      <c r="HU4" s="13">
        <f t="shared" si="5"/>
        <v>0</v>
      </c>
      <c r="HV4" s="13">
        <f t="shared" si="5"/>
        <v>0</v>
      </c>
      <c r="HW4" s="13">
        <f t="shared" si="5"/>
        <v>0</v>
      </c>
      <c r="HX4" s="13">
        <f t="shared" si="5"/>
        <v>0</v>
      </c>
      <c r="HY4" s="13">
        <f t="shared" si="5"/>
        <v>0</v>
      </c>
      <c r="HZ4" s="13">
        <f t="shared" si="5"/>
        <v>0</v>
      </c>
      <c r="IA4" s="13">
        <f t="shared" si="5"/>
        <v>0</v>
      </c>
      <c r="IB4" s="13">
        <f t="shared" si="5"/>
        <v>0</v>
      </c>
      <c r="IC4" s="13">
        <f t="shared" si="5"/>
        <v>0</v>
      </c>
      <c r="ID4" s="13">
        <f t="shared" si="5"/>
        <v>0</v>
      </c>
      <c r="IE4" s="13">
        <f t="shared" si="5"/>
        <v>0</v>
      </c>
      <c r="IF4" s="13">
        <f t="shared" si="5"/>
        <v>0</v>
      </c>
      <c r="IG4" s="13">
        <f t="shared" si="5"/>
        <v>0</v>
      </c>
      <c r="IH4" s="13">
        <f t="shared" si="5"/>
        <v>0</v>
      </c>
      <c r="II4" s="13">
        <f t="shared" si="5"/>
        <v>0</v>
      </c>
      <c r="IJ4" s="13">
        <f t="shared" si="5"/>
        <v>0</v>
      </c>
      <c r="IK4" s="13">
        <f t="shared" si="5"/>
        <v>0</v>
      </c>
      <c r="IL4" s="13">
        <f t="shared" si="5"/>
        <v>0</v>
      </c>
      <c r="IM4" s="13">
        <f t="shared" si="5"/>
        <v>0</v>
      </c>
      <c r="IN4" s="13">
        <f t="shared" si="5"/>
        <v>0</v>
      </c>
      <c r="IO4" s="13">
        <f t="shared" si="5"/>
        <v>0</v>
      </c>
      <c r="IP4" s="13">
        <f t="shared" si="5"/>
        <v>0</v>
      </c>
      <c r="IQ4" s="13">
        <f t="shared" si="5"/>
        <v>0</v>
      </c>
      <c r="IR4" s="13">
        <f t="shared" si="5"/>
        <v>0</v>
      </c>
      <c r="IS4" s="13">
        <f t="shared" si="5"/>
        <v>0</v>
      </c>
      <c r="IT4" s="13">
        <f t="shared" si="5"/>
        <v>0</v>
      </c>
      <c r="IU4" s="13">
        <f t="shared" si="5"/>
        <v>0</v>
      </c>
      <c r="IV4" s="13">
        <f t="shared" si="5"/>
        <v>0</v>
      </c>
      <c r="IW4" s="13">
        <f t="shared" si="5"/>
        <v>0</v>
      </c>
      <c r="IX4" s="13">
        <f t="shared" si="5"/>
        <v>0</v>
      </c>
      <c r="IY4" s="13">
        <f t="shared" si="5"/>
        <v>0</v>
      </c>
      <c r="IZ4" s="13">
        <f t="shared" si="5"/>
        <v>0</v>
      </c>
      <c r="JA4" s="13">
        <f t="shared" si="5"/>
        <v>0</v>
      </c>
      <c r="JB4" s="13">
        <f t="shared" si="5"/>
        <v>0</v>
      </c>
      <c r="JC4" s="13">
        <f t="shared" si="5"/>
        <v>0</v>
      </c>
      <c r="JD4" s="13">
        <f t="shared" si="5"/>
        <v>0</v>
      </c>
      <c r="JE4" s="13">
        <f t="shared" si="5"/>
        <v>0</v>
      </c>
      <c r="JF4" s="13">
        <f t="shared" si="5"/>
        <v>0</v>
      </c>
      <c r="JG4" s="13">
        <f t="shared" si="5"/>
        <v>0</v>
      </c>
      <c r="JH4" s="13">
        <f t="shared" si="5"/>
        <v>0</v>
      </c>
      <c r="JI4" s="13">
        <f t="shared" si="5"/>
        <v>0</v>
      </c>
      <c r="JJ4" s="13">
        <f t="shared" si="5"/>
        <v>0</v>
      </c>
      <c r="JK4" s="13">
        <f t="shared" si="5"/>
        <v>0</v>
      </c>
      <c r="JL4" s="13">
        <f t="shared" si="5"/>
        <v>0</v>
      </c>
      <c r="JM4" s="13">
        <f t="shared" si="5"/>
        <v>0</v>
      </c>
      <c r="JN4" s="13">
        <f t="shared" si="5"/>
        <v>0</v>
      </c>
      <c r="JO4" s="13">
        <f t="shared" si="5"/>
        <v>0</v>
      </c>
      <c r="JP4" s="13">
        <f t="shared" si="5"/>
        <v>0</v>
      </c>
      <c r="JQ4" s="13">
        <f t="shared" si="5"/>
        <v>0</v>
      </c>
      <c r="JR4" s="13">
        <f t="shared" si="5"/>
        <v>0</v>
      </c>
      <c r="JS4" s="13">
        <f t="shared" si="5"/>
        <v>0</v>
      </c>
      <c r="JT4" s="13">
        <f t="shared" si="5"/>
        <v>0</v>
      </c>
      <c r="JU4" s="13">
        <f t="shared" si="5"/>
        <v>0</v>
      </c>
      <c r="JV4" s="13">
        <f t="shared" si="5"/>
        <v>0</v>
      </c>
      <c r="JW4" s="13">
        <f t="shared" si="5"/>
        <v>0</v>
      </c>
      <c r="JX4" s="13">
        <f t="shared" ref="JX4:MG4" si="6">SUM(JX5:JX35)</f>
        <v>0</v>
      </c>
      <c r="JY4" s="13">
        <f t="shared" si="6"/>
        <v>0</v>
      </c>
      <c r="JZ4" s="13">
        <f t="shared" si="6"/>
        <v>0</v>
      </c>
      <c r="KA4" s="13">
        <f t="shared" si="6"/>
        <v>0</v>
      </c>
      <c r="KB4" s="13">
        <f t="shared" si="6"/>
        <v>0</v>
      </c>
      <c r="KC4" s="13">
        <f t="shared" si="6"/>
        <v>0</v>
      </c>
      <c r="KD4" s="13">
        <f t="shared" si="6"/>
        <v>0</v>
      </c>
      <c r="KE4" s="13">
        <f t="shared" si="6"/>
        <v>0</v>
      </c>
      <c r="KF4" s="13">
        <f t="shared" si="6"/>
        <v>0</v>
      </c>
      <c r="KG4" s="13">
        <f t="shared" si="6"/>
        <v>0</v>
      </c>
      <c r="KH4" s="13">
        <f t="shared" si="6"/>
        <v>0</v>
      </c>
      <c r="KI4" s="13">
        <f t="shared" si="6"/>
        <v>0</v>
      </c>
      <c r="KJ4" s="13">
        <f t="shared" si="6"/>
        <v>0</v>
      </c>
      <c r="KK4" s="13">
        <f t="shared" si="6"/>
        <v>0</v>
      </c>
      <c r="KL4" s="13">
        <f t="shared" si="6"/>
        <v>0</v>
      </c>
      <c r="KM4" s="13">
        <f t="shared" si="6"/>
        <v>0</v>
      </c>
      <c r="KN4" s="13">
        <f t="shared" si="6"/>
        <v>0</v>
      </c>
      <c r="KO4" s="13">
        <f t="shared" si="6"/>
        <v>0</v>
      </c>
      <c r="KP4" s="13">
        <f t="shared" si="6"/>
        <v>0</v>
      </c>
      <c r="KQ4" s="13">
        <f t="shared" si="6"/>
        <v>0</v>
      </c>
      <c r="KR4" s="13">
        <f t="shared" si="6"/>
        <v>0</v>
      </c>
      <c r="KS4" s="13">
        <f t="shared" si="6"/>
        <v>0</v>
      </c>
      <c r="KT4" s="13">
        <f t="shared" si="6"/>
        <v>0</v>
      </c>
      <c r="KU4" s="13">
        <f t="shared" si="6"/>
        <v>0</v>
      </c>
      <c r="KV4" s="13">
        <f t="shared" si="6"/>
        <v>0</v>
      </c>
      <c r="KW4" s="13">
        <f t="shared" si="6"/>
        <v>0</v>
      </c>
      <c r="KX4" s="13">
        <f t="shared" si="6"/>
        <v>0</v>
      </c>
      <c r="KY4" s="13">
        <f t="shared" si="6"/>
        <v>0</v>
      </c>
      <c r="KZ4" s="13">
        <f t="shared" si="6"/>
        <v>0</v>
      </c>
      <c r="LA4" s="13">
        <f t="shared" si="6"/>
        <v>0</v>
      </c>
      <c r="LB4" s="13">
        <f t="shared" si="6"/>
        <v>0</v>
      </c>
      <c r="LC4" s="13">
        <f t="shared" si="6"/>
        <v>0</v>
      </c>
      <c r="LD4" s="13">
        <f t="shared" si="6"/>
        <v>0</v>
      </c>
      <c r="LE4" s="13">
        <f t="shared" si="6"/>
        <v>1.6029</v>
      </c>
      <c r="LF4" s="13">
        <f t="shared" si="6"/>
        <v>314.04300000000001</v>
      </c>
      <c r="LG4" s="13">
        <f t="shared" si="6"/>
        <v>74.7</v>
      </c>
      <c r="LH4" s="13">
        <f t="shared" si="6"/>
        <v>154.35</v>
      </c>
      <c r="LI4" s="13">
        <f t="shared" si="6"/>
        <v>230.322</v>
      </c>
      <c r="LJ4" s="13">
        <f t="shared" si="6"/>
        <v>146.0034</v>
      </c>
      <c r="LK4" s="13">
        <f t="shared" si="6"/>
        <v>383.34570000000002</v>
      </c>
      <c r="LL4" s="13">
        <f t="shared" si="6"/>
        <v>549.72389999999996</v>
      </c>
      <c r="LM4" s="13">
        <f t="shared" si="6"/>
        <v>2005.3515</v>
      </c>
      <c r="LN4" s="13">
        <f t="shared" si="6"/>
        <v>1608.7002</v>
      </c>
      <c r="LO4" s="13">
        <f t="shared" si="6"/>
        <v>580.8777</v>
      </c>
      <c r="LP4" s="13">
        <f t="shared" si="6"/>
        <v>1404.6927000000001</v>
      </c>
      <c r="LQ4" s="13">
        <f t="shared" si="6"/>
        <v>1605.5082</v>
      </c>
      <c r="LR4" s="13">
        <f t="shared" si="6"/>
        <v>0</v>
      </c>
      <c r="LS4" s="13">
        <f t="shared" si="6"/>
        <v>0</v>
      </c>
      <c r="LT4" s="13">
        <f t="shared" si="6"/>
        <v>0</v>
      </c>
      <c r="LU4" s="13">
        <f t="shared" si="6"/>
        <v>0</v>
      </c>
      <c r="LV4" s="13">
        <f t="shared" si="6"/>
        <v>0</v>
      </c>
      <c r="LW4" s="13">
        <f t="shared" si="6"/>
        <v>0</v>
      </c>
      <c r="LX4" s="13">
        <f t="shared" si="6"/>
        <v>0</v>
      </c>
      <c r="LY4" s="13">
        <f t="shared" si="6"/>
        <v>0</v>
      </c>
      <c r="LZ4" s="13">
        <f t="shared" si="6"/>
        <v>0</v>
      </c>
      <c r="MA4" s="13">
        <f t="shared" si="6"/>
        <v>0</v>
      </c>
      <c r="MB4" s="13">
        <f t="shared" si="6"/>
        <v>0</v>
      </c>
      <c r="MC4" s="13">
        <f t="shared" si="6"/>
        <v>0</v>
      </c>
      <c r="MD4" s="13">
        <f t="shared" si="6"/>
        <v>0</v>
      </c>
      <c r="ME4" s="13">
        <f t="shared" si="6"/>
        <v>0</v>
      </c>
      <c r="MF4" s="13">
        <f t="shared" si="6"/>
        <v>0</v>
      </c>
      <c r="MG4" s="13">
        <f t="shared" si="6"/>
        <v>0</v>
      </c>
    </row>
    <row r="5" spans="1:345" s="14" customFormat="1">
      <c r="A5" s="15" t="s">
        <v>3</v>
      </c>
      <c r="B5" s="13">
        <f t="shared" ref="B5:B35" si="7">SUM(AB5:AM5)/1000</f>
        <v>0</v>
      </c>
      <c r="C5" s="13">
        <f t="shared" ref="C5:C35" si="8">SUM(AN5:AY5)/1000</f>
        <v>0</v>
      </c>
      <c r="D5" s="13">
        <f t="shared" ref="D5:D35" si="9">SUM(AZ5:BK5)/1000</f>
        <v>0</v>
      </c>
      <c r="E5" s="13">
        <f t="shared" ref="E5:E35" si="10">SUM(BL5:BW5)/1000</f>
        <v>0</v>
      </c>
      <c r="F5" s="13">
        <f t="shared" ref="F5:F35" si="11">SUM(BX5:CI5)/1000</f>
        <v>0</v>
      </c>
      <c r="G5" s="13">
        <f t="shared" ref="G5:G35" si="12">SUM(CJ5:CU5)/1000</f>
        <v>0</v>
      </c>
      <c r="H5" s="13">
        <f t="shared" ref="H5:H35" si="13">SUM(CV5:DG5)/1000</f>
        <v>0</v>
      </c>
      <c r="I5" s="13">
        <f t="shared" ref="I5:I35" si="14">SUM(DH5:DS5)/1000</f>
        <v>0</v>
      </c>
      <c r="J5" s="13">
        <f t="shared" ref="J5:J35" si="15">SUM(DT5:EE5)/1000</f>
        <v>0</v>
      </c>
      <c r="K5" s="13">
        <f t="shared" ref="K5:K35" si="16">SUM(EF5:EQ5)/1000</f>
        <v>0</v>
      </c>
      <c r="L5" s="13">
        <f t="shared" ref="L5:L35" si="17">SUM(ER5:FC5)/1000</f>
        <v>0</v>
      </c>
      <c r="M5" s="13">
        <f t="shared" ref="M5:M35" si="18">SUM(FD5:FO5)/1000</f>
        <v>0</v>
      </c>
      <c r="N5" s="13">
        <f t="shared" ref="N5:N35" si="19">SUM(FP5:GA5)/1000</f>
        <v>0</v>
      </c>
      <c r="O5" s="13">
        <f t="shared" ref="O5:O35" si="20">SUM(GB5:GM5)/1000</f>
        <v>0</v>
      </c>
      <c r="P5" s="13">
        <f t="shared" ref="P5:P35" si="21">SUM(GN5:GY5)/1000</f>
        <v>0</v>
      </c>
      <c r="Q5" s="13">
        <f t="shared" ref="Q5:Q35" si="22">SUM(GZ5:HK5)/1000</f>
        <v>0</v>
      </c>
      <c r="R5" s="13">
        <f t="shared" ref="R5:R35" si="23">SUM(HL5:HW5)/1000</f>
        <v>0</v>
      </c>
      <c r="S5" s="13">
        <f t="shared" ref="S5:S35" si="24">SUM(HX5:II5)/1000</f>
        <v>0</v>
      </c>
      <c r="T5" s="13">
        <f t="shared" ref="T5:T35" si="25">SUM(IJ5:IU5)/1000</f>
        <v>0</v>
      </c>
      <c r="U5" s="13">
        <f t="shared" ref="U5:U35" si="26">SUM(IV5:JG5)/1000</f>
        <v>0</v>
      </c>
      <c r="V5" s="13">
        <f t="shared" ref="V5:V35" si="27">SUM(JH5:JS5)/1000</f>
        <v>0</v>
      </c>
      <c r="W5" s="13">
        <f t="shared" ref="W5:W35" si="28">SUM(JT5:KE5)/1000</f>
        <v>0</v>
      </c>
      <c r="X5" s="13">
        <f t="shared" ref="X5:X35" si="29">SUM(KF5:KQ5)/1000</f>
        <v>0</v>
      </c>
      <c r="Y5" s="13">
        <f t="shared" ref="Y5:Y35" si="30">SUM(KR5:LC5)/1000</f>
        <v>0</v>
      </c>
      <c r="Z5" s="13">
        <f t="shared" ref="Z5:Z35" si="31">SUM(LD5:LO5)/1000</f>
        <v>0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</row>
    <row r="6" spans="1:345" s="14" customFormat="1">
      <c r="A6" s="15" t="s">
        <v>4</v>
      </c>
      <c r="B6" s="13">
        <f t="shared" si="7"/>
        <v>0</v>
      </c>
      <c r="C6" s="13">
        <f t="shared" si="8"/>
        <v>0</v>
      </c>
      <c r="D6" s="13">
        <f t="shared" si="9"/>
        <v>0</v>
      </c>
      <c r="E6" s="13">
        <f t="shared" si="10"/>
        <v>0</v>
      </c>
      <c r="F6" s="13">
        <f t="shared" si="11"/>
        <v>0</v>
      </c>
      <c r="G6" s="13">
        <f t="shared" si="12"/>
        <v>0</v>
      </c>
      <c r="H6" s="13">
        <f t="shared" si="13"/>
        <v>0</v>
      </c>
      <c r="I6" s="13">
        <f t="shared" si="14"/>
        <v>0</v>
      </c>
      <c r="J6" s="13">
        <f t="shared" si="15"/>
        <v>0</v>
      </c>
      <c r="K6" s="13">
        <f t="shared" si="16"/>
        <v>0</v>
      </c>
      <c r="L6" s="13">
        <f t="shared" si="17"/>
        <v>0</v>
      </c>
      <c r="M6" s="13">
        <f t="shared" si="18"/>
        <v>0</v>
      </c>
      <c r="N6" s="13">
        <f t="shared" si="19"/>
        <v>0</v>
      </c>
      <c r="O6" s="13">
        <f t="shared" si="20"/>
        <v>0</v>
      </c>
      <c r="P6" s="13">
        <f t="shared" si="21"/>
        <v>0</v>
      </c>
      <c r="Q6" s="13">
        <f t="shared" si="22"/>
        <v>0</v>
      </c>
      <c r="R6" s="13">
        <f t="shared" si="23"/>
        <v>0</v>
      </c>
      <c r="S6" s="13">
        <f t="shared" si="24"/>
        <v>0</v>
      </c>
      <c r="T6" s="13">
        <f t="shared" si="25"/>
        <v>0</v>
      </c>
      <c r="U6" s="13">
        <f t="shared" si="26"/>
        <v>0</v>
      </c>
      <c r="V6" s="13">
        <f t="shared" si="27"/>
        <v>0</v>
      </c>
      <c r="W6" s="13">
        <f t="shared" si="28"/>
        <v>0</v>
      </c>
      <c r="X6" s="13">
        <f t="shared" si="29"/>
        <v>0</v>
      </c>
      <c r="Y6" s="13">
        <f t="shared" si="30"/>
        <v>0</v>
      </c>
      <c r="Z6" s="13">
        <f t="shared" si="31"/>
        <v>0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</row>
    <row r="7" spans="1:345" s="14" customFormat="1">
      <c r="A7" s="12" t="s">
        <v>5</v>
      </c>
      <c r="B7" s="13">
        <f t="shared" si="7"/>
        <v>0</v>
      </c>
      <c r="C7" s="13">
        <f t="shared" si="8"/>
        <v>0</v>
      </c>
      <c r="D7" s="13">
        <f t="shared" si="9"/>
        <v>0</v>
      </c>
      <c r="E7" s="13">
        <f t="shared" si="10"/>
        <v>0</v>
      </c>
      <c r="F7" s="13">
        <f t="shared" si="11"/>
        <v>0</v>
      </c>
      <c r="G7" s="13">
        <f t="shared" si="12"/>
        <v>0</v>
      </c>
      <c r="H7" s="13">
        <f t="shared" si="13"/>
        <v>0</v>
      </c>
      <c r="I7" s="13">
        <f t="shared" si="14"/>
        <v>0</v>
      </c>
      <c r="J7" s="13">
        <f t="shared" si="15"/>
        <v>0</v>
      </c>
      <c r="K7" s="13">
        <f t="shared" si="16"/>
        <v>0</v>
      </c>
      <c r="L7" s="13">
        <f t="shared" si="17"/>
        <v>0</v>
      </c>
      <c r="M7" s="13">
        <f t="shared" si="18"/>
        <v>0</v>
      </c>
      <c r="N7" s="13">
        <f t="shared" si="19"/>
        <v>0</v>
      </c>
      <c r="O7" s="13">
        <f t="shared" si="20"/>
        <v>0</v>
      </c>
      <c r="P7" s="13">
        <f t="shared" si="21"/>
        <v>0</v>
      </c>
      <c r="Q7" s="13">
        <f t="shared" si="22"/>
        <v>0</v>
      </c>
      <c r="R7" s="13">
        <f t="shared" si="23"/>
        <v>0</v>
      </c>
      <c r="S7" s="13">
        <f t="shared" si="24"/>
        <v>0</v>
      </c>
      <c r="T7" s="13">
        <f t="shared" si="25"/>
        <v>0</v>
      </c>
      <c r="U7" s="13">
        <f t="shared" si="26"/>
        <v>0</v>
      </c>
      <c r="V7" s="13">
        <f t="shared" si="27"/>
        <v>0</v>
      </c>
      <c r="W7" s="13">
        <f t="shared" si="28"/>
        <v>0</v>
      </c>
      <c r="X7" s="13">
        <f t="shared" si="29"/>
        <v>0</v>
      </c>
      <c r="Y7" s="13">
        <f t="shared" si="30"/>
        <v>0</v>
      </c>
      <c r="Z7" s="13">
        <f t="shared" si="31"/>
        <v>0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</row>
    <row r="8" spans="1:345" s="14" customFormat="1">
      <c r="A8" s="15" t="s">
        <v>6</v>
      </c>
      <c r="B8" s="13">
        <f t="shared" si="7"/>
        <v>0</v>
      </c>
      <c r="C8" s="13">
        <f t="shared" si="8"/>
        <v>0</v>
      </c>
      <c r="D8" s="13">
        <f t="shared" si="9"/>
        <v>0</v>
      </c>
      <c r="E8" s="13">
        <f t="shared" si="10"/>
        <v>0</v>
      </c>
      <c r="F8" s="13">
        <f t="shared" si="11"/>
        <v>0</v>
      </c>
      <c r="G8" s="13">
        <f t="shared" si="12"/>
        <v>0</v>
      </c>
      <c r="H8" s="13">
        <f t="shared" si="13"/>
        <v>0</v>
      </c>
      <c r="I8" s="13">
        <f t="shared" si="14"/>
        <v>0</v>
      </c>
      <c r="J8" s="13">
        <f t="shared" si="15"/>
        <v>0</v>
      </c>
      <c r="K8" s="13">
        <f t="shared" si="16"/>
        <v>0</v>
      </c>
      <c r="L8" s="13">
        <f t="shared" si="17"/>
        <v>0</v>
      </c>
      <c r="M8" s="13">
        <f t="shared" si="18"/>
        <v>0</v>
      </c>
      <c r="N8" s="13">
        <f t="shared" si="19"/>
        <v>0</v>
      </c>
      <c r="O8" s="13">
        <f t="shared" si="20"/>
        <v>0</v>
      </c>
      <c r="P8" s="13">
        <f t="shared" si="21"/>
        <v>0</v>
      </c>
      <c r="Q8" s="13">
        <f t="shared" si="22"/>
        <v>0</v>
      </c>
      <c r="R8" s="13">
        <f t="shared" si="23"/>
        <v>0</v>
      </c>
      <c r="S8" s="13">
        <f t="shared" si="24"/>
        <v>0</v>
      </c>
      <c r="T8" s="13">
        <f t="shared" si="25"/>
        <v>0</v>
      </c>
      <c r="U8" s="13">
        <f t="shared" si="26"/>
        <v>0</v>
      </c>
      <c r="V8" s="13">
        <f t="shared" si="27"/>
        <v>0</v>
      </c>
      <c r="W8" s="13">
        <f t="shared" si="28"/>
        <v>0</v>
      </c>
      <c r="X8" s="13">
        <f t="shared" si="29"/>
        <v>0</v>
      </c>
      <c r="Y8" s="13">
        <f t="shared" si="30"/>
        <v>0</v>
      </c>
      <c r="Z8" s="13">
        <f t="shared" si="31"/>
        <v>0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</row>
    <row r="9" spans="1:345" s="14" customFormat="1">
      <c r="A9" s="15" t="s">
        <v>7</v>
      </c>
      <c r="B9" s="13">
        <f t="shared" si="7"/>
        <v>0</v>
      </c>
      <c r="C9" s="13">
        <f t="shared" si="8"/>
        <v>0</v>
      </c>
      <c r="D9" s="13">
        <f t="shared" si="9"/>
        <v>0</v>
      </c>
      <c r="E9" s="13">
        <f t="shared" si="10"/>
        <v>0</v>
      </c>
      <c r="F9" s="13">
        <f t="shared" si="11"/>
        <v>0</v>
      </c>
      <c r="G9" s="13">
        <f t="shared" si="12"/>
        <v>0</v>
      </c>
      <c r="H9" s="13">
        <f t="shared" si="13"/>
        <v>0</v>
      </c>
      <c r="I9" s="13">
        <f t="shared" si="14"/>
        <v>0</v>
      </c>
      <c r="J9" s="13">
        <f t="shared" si="15"/>
        <v>0</v>
      </c>
      <c r="K9" s="13">
        <f t="shared" si="16"/>
        <v>0</v>
      </c>
      <c r="L9" s="13">
        <f t="shared" si="17"/>
        <v>0</v>
      </c>
      <c r="M9" s="13">
        <f t="shared" si="18"/>
        <v>0</v>
      </c>
      <c r="N9" s="13">
        <f t="shared" si="19"/>
        <v>0</v>
      </c>
      <c r="O9" s="13">
        <f t="shared" si="20"/>
        <v>0</v>
      </c>
      <c r="P9" s="13">
        <f t="shared" si="21"/>
        <v>0</v>
      </c>
      <c r="Q9" s="13">
        <f t="shared" si="22"/>
        <v>0</v>
      </c>
      <c r="R9" s="13">
        <f t="shared" si="23"/>
        <v>0</v>
      </c>
      <c r="S9" s="13">
        <f t="shared" si="24"/>
        <v>0</v>
      </c>
      <c r="T9" s="13">
        <f t="shared" si="25"/>
        <v>0</v>
      </c>
      <c r="U9" s="13">
        <f t="shared" si="26"/>
        <v>0</v>
      </c>
      <c r="V9" s="13">
        <f t="shared" si="27"/>
        <v>0</v>
      </c>
      <c r="W9" s="13">
        <f t="shared" si="28"/>
        <v>0</v>
      </c>
      <c r="X9" s="13">
        <f t="shared" si="29"/>
        <v>0</v>
      </c>
      <c r="Y9" s="13">
        <f t="shared" si="30"/>
        <v>0</v>
      </c>
      <c r="Z9" s="13">
        <f t="shared" si="31"/>
        <v>0</v>
      </c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</row>
    <row r="10" spans="1:345" s="14" customFormat="1">
      <c r="A10" s="15" t="s">
        <v>8</v>
      </c>
      <c r="B10" s="13">
        <f t="shared" si="7"/>
        <v>0</v>
      </c>
      <c r="C10" s="13">
        <f t="shared" si="8"/>
        <v>0</v>
      </c>
      <c r="D10" s="13">
        <f t="shared" si="9"/>
        <v>0</v>
      </c>
      <c r="E10" s="13">
        <f t="shared" si="10"/>
        <v>0</v>
      </c>
      <c r="F10" s="13">
        <f t="shared" si="11"/>
        <v>0</v>
      </c>
      <c r="G10" s="13">
        <f t="shared" si="12"/>
        <v>0</v>
      </c>
      <c r="H10" s="13">
        <f t="shared" si="13"/>
        <v>0</v>
      </c>
      <c r="I10" s="13">
        <f t="shared" si="14"/>
        <v>0</v>
      </c>
      <c r="J10" s="13">
        <f t="shared" si="15"/>
        <v>0</v>
      </c>
      <c r="K10" s="13">
        <f t="shared" si="16"/>
        <v>0</v>
      </c>
      <c r="L10" s="13">
        <f t="shared" si="17"/>
        <v>0</v>
      </c>
      <c r="M10" s="13">
        <f t="shared" si="18"/>
        <v>0</v>
      </c>
      <c r="N10" s="13">
        <f t="shared" si="19"/>
        <v>0</v>
      </c>
      <c r="O10" s="13">
        <f t="shared" si="20"/>
        <v>0</v>
      </c>
      <c r="P10" s="13">
        <f t="shared" si="21"/>
        <v>0</v>
      </c>
      <c r="Q10" s="13">
        <f t="shared" si="22"/>
        <v>0</v>
      </c>
      <c r="R10" s="13">
        <f t="shared" si="23"/>
        <v>0</v>
      </c>
      <c r="S10" s="13">
        <f t="shared" si="24"/>
        <v>0</v>
      </c>
      <c r="T10" s="13">
        <f t="shared" si="25"/>
        <v>0</v>
      </c>
      <c r="U10" s="13">
        <f t="shared" si="26"/>
        <v>0</v>
      </c>
      <c r="V10" s="13">
        <f t="shared" si="27"/>
        <v>0</v>
      </c>
      <c r="W10" s="13">
        <f t="shared" si="28"/>
        <v>0</v>
      </c>
      <c r="X10" s="13">
        <f t="shared" si="29"/>
        <v>0</v>
      </c>
      <c r="Y10" s="13">
        <f t="shared" si="30"/>
        <v>0</v>
      </c>
      <c r="Z10" s="13">
        <f t="shared" si="31"/>
        <v>0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</row>
    <row r="11" spans="1:345" s="14" customFormat="1">
      <c r="A11" s="15" t="s">
        <v>9</v>
      </c>
      <c r="B11" s="13">
        <f t="shared" si="7"/>
        <v>0</v>
      </c>
      <c r="C11" s="13">
        <f t="shared" si="8"/>
        <v>0</v>
      </c>
      <c r="D11" s="13">
        <f t="shared" si="9"/>
        <v>0</v>
      </c>
      <c r="E11" s="13">
        <f t="shared" si="10"/>
        <v>0</v>
      </c>
      <c r="F11" s="13">
        <f t="shared" si="11"/>
        <v>0</v>
      </c>
      <c r="G11" s="13">
        <f t="shared" si="12"/>
        <v>0</v>
      </c>
      <c r="H11" s="13">
        <f t="shared" si="13"/>
        <v>0</v>
      </c>
      <c r="I11" s="13">
        <f t="shared" si="14"/>
        <v>0</v>
      </c>
      <c r="J11" s="13">
        <f t="shared" si="15"/>
        <v>0</v>
      </c>
      <c r="K11" s="13">
        <f t="shared" si="16"/>
        <v>0</v>
      </c>
      <c r="L11" s="13">
        <f t="shared" si="17"/>
        <v>0</v>
      </c>
      <c r="M11" s="13">
        <f t="shared" si="18"/>
        <v>0</v>
      </c>
      <c r="N11" s="13">
        <f t="shared" si="19"/>
        <v>0</v>
      </c>
      <c r="O11" s="13">
        <f t="shared" si="20"/>
        <v>0</v>
      </c>
      <c r="P11" s="13">
        <f t="shared" si="21"/>
        <v>0</v>
      </c>
      <c r="Q11" s="13">
        <f t="shared" si="22"/>
        <v>0</v>
      </c>
      <c r="R11" s="13">
        <f t="shared" si="23"/>
        <v>0</v>
      </c>
      <c r="S11" s="13">
        <f t="shared" si="24"/>
        <v>0</v>
      </c>
      <c r="T11" s="13">
        <f t="shared" si="25"/>
        <v>0</v>
      </c>
      <c r="U11" s="13">
        <f t="shared" si="26"/>
        <v>0</v>
      </c>
      <c r="V11" s="13">
        <f t="shared" si="27"/>
        <v>0</v>
      </c>
      <c r="W11" s="13">
        <f t="shared" si="28"/>
        <v>0</v>
      </c>
      <c r="X11" s="13">
        <f t="shared" si="29"/>
        <v>0</v>
      </c>
      <c r="Y11" s="13">
        <f t="shared" si="30"/>
        <v>0</v>
      </c>
      <c r="Z11" s="13">
        <f t="shared" si="31"/>
        <v>0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</row>
    <row r="12" spans="1:345" s="14" customFormat="1">
      <c r="A12" s="15" t="s">
        <v>10</v>
      </c>
      <c r="B12" s="13">
        <f t="shared" si="7"/>
        <v>0</v>
      </c>
      <c r="C12" s="13">
        <f t="shared" si="8"/>
        <v>0</v>
      </c>
      <c r="D12" s="13">
        <f t="shared" si="9"/>
        <v>0</v>
      </c>
      <c r="E12" s="13">
        <f t="shared" si="10"/>
        <v>0</v>
      </c>
      <c r="F12" s="13">
        <f t="shared" si="11"/>
        <v>0</v>
      </c>
      <c r="G12" s="13">
        <f t="shared" si="12"/>
        <v>0</v>
      </c>
      <c r="H12" s="13">
        <f t="shared" si="13"/>
        <v>0</v>
      </c>
      <c r="I12" s="13">
        <f t="shared" si="14"/>
        <v>0</v>
      </c>
      <c r="J12" s="13">
        <f t="shared" si="15"/>
        <v>0</v>
      </c>
      <c r="K12" s="13">
        <f t="shared" si="16"/>
        <v>0</v>
      </c>
      <c r="L12" s="13">
        <f t="shared" si="17"/>
        <v>0</v>
      </c>
      <c r="M12" s="13">
        <f t="shared" si="18"/>
        <v>0</v>
      </c>
      <c r="N12" s="13">
        <f t="shared" si="19"/>
        <v>0</v>
      </c>
      <c r="O12" s="13">
        <f t="shared" si="20"/>
        <v>0</v>
      </c>
      <c r="P12" s="13">
        <f t="shared" si="21"/>
        <v>0</v>
      </c>
      <c r="Q12" s="13">
        <f t="shared" si="22"/>
        <v>0</v>
      </c>
      <c r="R12" s="13">
        <f t="shared" si="23"/>
        <v>0</v>
      </c>
      <c r="S12" s="13">
        <f t="shared" si="24"/>
        <v>0</v>
      </c>
      <c r="T12" s="13">
        <f t="shared" si="25"/>
        <v>0</v>
      </c>
      <c r="U12" s="13">
        <f t="shared" si="26"/>
        <v>0</v>
      </c>
      <c r="V12" s="13">
        <f t="shared" si="27"/>
        <v>0</v>
      </c>
      <c r="W12" s="13">
        <f t="shared" si="28"/>
        <v>0</v>
      </c>
      <c r="X12" s="13">
        <f t="shared" si="29"/>
        <v>0</v>
      </c>
      <c r="Y12" s="13">
        <f t="shared" si="30"/>
        <v>0</v>
      </c>
      <c r="Z12" s="13">
        <f t="shared" si="31"/>
        <v>0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</row>
    <row r="13" spans="1:345" s="14" customFormat="1">
      <c r="A13" s="12" t="s">
        <v>11</v>
      </c>
      <c r="B13" s="13">
        <f t="shared" si="7"/>
        <v>0</v>
      </c>
      <c r="C13" s="13">
        <f t="shared" si="8"/>
        <v>0</v>
      </c>
      <c r="D13" s="13">
        <f t="shared" si="9"/>
        <v>0</v>
      </c>
      <c r="E13" s="13">
        <f t="shared" si="10"/>
        <v>0</v>
      </c>
      <c r="F13" s="13">
        <f t="shared" si="11"/>
        <v>0</v>
      </c>
      <c r="G13" s="13">
        <f t="shared" si="12"/>
        <v>0</v>
      </c>
      <c r="H13" s="13">
        <f t="shared" si="13"/>
        <v>0</v>
      </c>
      <c r="I13" s="13">
        <f t="shared" si="14"/>
        <v>0</v>
      </c>
      <c r="J13" s="13">
        <f t="shared" si="15"/>
        <v>0</v>
      </c>
      <c r="K13" s="13">
        <f t="shared" si="16"/>
        <v>0</v>
      </c>
      <c r="L13" s="13">
        <f t="shared" si="17"/>
        <v>0</v>
      </c>
      <c r="M13" s="13">
        <f t="shared" si="18"/>
        <v>0</v>
      </c>
      <c r="N13" s="13">
        <f t="shared" si="19"/>
        <v>0</v>
      </c>
      <c r="O13" s="13">
        <f t="shared" si="20"/>
        <v>0</v>
      </c>
      <c r="P13" s="13">
        <f t="shared" si="21"/>
        <v>0</v>
      </c>
      <c r="Q13" s="13">
        <f t="shared" si="22"/>
        <v>0</v>
      </c>
      <c r="R13" s="13">
        <f t="shared" si="23"/>
        <v>0</v>
      </c>
      <c r="S13" s="13">
        <f t="shared" si="24"/>
        <v>0</v>
      </c>
      <c r="T13" s="13">
        <f t="shared" si="25"/>
        <v>0</v>
      </c>
      <c r="U13" s="13">
        <f t="shared" si="26"/>
        <v>0</v>
      </c>
      <c r="V13" s="13">
        <f t="shared" si="27"/>
        <v>0</v>
      </c>
      <c r="W13" s="13">
        <f t="shared" si="28"/>
        <v>0</v>
      </c>
      <c r="X13" s="13">
        <f t="shared" si="29"/>
        <v>0</v>
      </c>
      <c r="Y13" s="13">
        <f t="shared" si="30"/>
        <v>0</v>
      </c>
      <c r="Z13" s="13">
        <f t="shared" si="31"/>
        <v>0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</row>
    <row r="14" spans="1:345" s="14" customFormat="1">
      <c r="A14" s="15" t="s">
        <v>12</v>
      </c>
      <c r="B14" s="13">
        <f t="shared" si="7"/>
        <v>0</v>
      </c>
      <c r="C14" s="13">
        <f t="shared" si="8"/>
        <v>0</v>
      </c>
      <c r="D14" s="13">
        <f t="shared" si="9"/>
        <v>0</v>
      </c>
      <c r="E14" s="13">
        <f t="shared" si="10"/>
        <v>0</v>
      </c>
      <c r="F14" s="13">
        <f t="shared" si="11"/>
        <v>0</v>
      </c>
      <c r="G14" s="13">
        <f t="shared" si="12"/>
        <v>0</v>
      </c>
      <c r="H14" s="13">
        <f t="shared" si="13"/>
        <v>0</v>
      </c>
      <c r="I14" s="13">
        <f t="shared" si="14"/>
        <v>0</v>
      </c>
      <c r="J14" s="13">
        <f t="shared" si="15"/>
        <v>0</v>
      </c>
      <c r="K14" s="13">
        <f t="shared" si="16"/>
        <v>0</v>
      </c>
      <c r="L14" s="13">
        <f t="shared" si="17"/>
        <v>0</v>
      </c>
      <c r="M14" s="13">
        <f t="shared" si="18"/>
        <v>0</v>
      </c>
      <c r="N14" s="13">
        <f t="shared" si="19"/>
        <v>0</v>
      </c>
      <c r="O14" s="13">
        <f t="shared" si="20"/>
        <v>0</v>
      </c>
      <c r="P14" s="13">
        <f t="shared" si="21"/>
        <v>0</v>
      </c>
      <c r="Q14" s="13">
        <f t="shared" si="22"/>
        <v>0</v>
      </c>
      <c r="R14" s="13">
        <f t="shared" si="23"/>
        <v>0</v>
      </c>
      <c r="S14" s="13">
        <f t="shared" si="24"/>
        <v>0</v>
      </c>
      <c r="T14" s="13">
        <f t="shared" si="25"/>
        <v>0</v>
      </c>
      <c r="U14" s="13">
        <f t="shared" si="26"/>
        <v>0</v>
      </c>
      <c r="V14" s="13">
        <f t="shared" si="27"/>
        <v>0</v>
      </c>
      <c r="W14" s="13">
        <f t="shared" si="28"/>
        <v>0</v>
      </c>
      <c r="X14" s="13">
        <f t="shared" si="29"/>
        <v>0</v>
      </c>
      <c r="Y14" s="13">
        <f t="shared" si="30"/>
        <v>0</v>
      </c>
      <c r="Z14" s="13">
        <f t="shared" si="31"/>
        <v>0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</row>
    <row r="15" spans="1:345" s="14" customFormat="1">
      <c r="A15" s="12" t="s">
        <v>13</v>
      </c>
      <c r="B15" s="13">
        <f t="shared" si="7"/>
        <v>0</v>
      </c>
      <c r="C15" s="13">
        <f t="shared" si="8"/>
        <v>0</v>
      </c>
      <c r="D15" s="13">
        <f t="shared" si="9"/>
        <v>0</v>
      </c>
      <c r="E15" s="13">
        <f t="shared" si="10"/>
        <v>0</v>
      </c>
      <c r="F15" s="13">
        <f t="shared" si="11"/>
        <v>0</v>
      </c>
      <c r="G15" s="13">
        <f t="shared" si="12"/>
        <v>0</v>
      </c>
      <c r="H15" s="13">
        <f t="shared" si="13"/>
        <v>0</v>
      </c>
      <c r="I15" s="13">
        <f t="shared" si="14"/>
        <v>0</v>
      </c>
      <c r="J15" s="13">
        <f t="shared" si="15"/>
        <v>0</v>
      </c>
      <c r="K15" s="13">
        <f t="shared" si="16"/>
        <v>0</v>
      </c>
      <c r="L15" s="13">
        <f t="shared" si="17"/>
        <v>0</v>
      </c>
      <c r="M15" s="13">
        <f t="shared" si="18"/>
        <v>0</v>
      </c>
      <c r="N15" s="13">
        <f t="shared" si="19"/>
        <v>0</v>
      </c>
      <c r="O15" s="13">
        <f t="shared" si="20"/>
        <v>0</v>
      </c>
      <c r="P15" s="13">
        <f t="shared" si="21"/>
        <v>0</v>
      </c>
      <c r="Q15" s="13">
        <f t="shared" si="22"/>
        <v>0</v>
      </c>
      <c r="R15" s="13">
        <f t="shared" si="23"/>
        <v>0</v>
      </c>
      <c r="S15" s="13">
        <f t="shared" si="24"/>
        <v>0</v>
      </c>
      <c r="T15" s="13">
        <f t="shared" si="25"/>
        <v>0</v>
      </c>
      <c r="U15" s="13">
        <f t="shared" si="26"/>
        <v>0</v>
      </c>
      <c r="V15" s="13">
        <f t="shared" si="27"/>
        <v>0</v>
      </c>
      <c r="W15" s="13">
        <f t="shared" si="28"/>
        <v>0</v>
      </c>
      <c r="X15" s="13">
        <f t="shared" si="29"/>
        <v>0</v>
      </c>
      <c r="Y15" s="13">
        <f t="shared" si="30"/>
        <v>0</v>
      </c>
      <c r="Z15" s="13">
        <f t="shared" si="31"/>
        <v>0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</row>
    <row r="16" spans="1:345" s="14" customFormat="1">
      <c r="A16" s="12" t="s">
        <v>14</v>
      </c>
      <c r="B16" s="13">
        <f t="shared" si="7"/>
        <v>0</v>
      </c>
      <c r="C16" s="13">
        <f t="shared" si="8"/>
        <v>0</v>
      </c>
      <c r="D16" s="13">
        <f t="shared" si="9"/>
        <v>0</v>
      </c>
      <c r="E16" s="13">
        <f t="shared" si="10"/>
        <v>0</v>
      </c>
      <c r="F16" s="13">
        <f t="shared" si="11"/>
        <v>0</v>
      </c>
      <c r="G16" s="13">
        <f t="shared" si="12"/>
        <v>0</v>
      </c>
      <c r="H16" s="13">
        <f t="shared" si="13"/>
        <v>0</v>
      </c>
      <c r="I16" s="13">
        <f t="shared" si="14"/>
        <v>0</v>
      </c>
      <c r="J16" s="13">
        <f t="shared" si="15"/>
        <v>0</v>
      </c>
      <c r="K16" s="13">
        <f t="shared" si="16"/>
        <v>0</v>
      </c>
      <c r="L16" s="13">
        <f t="shared" si="17"/>
        <v>0</v>
      </c>
      <c r="M16" s="13">
        <f t="shared" si="18"/>
        <v>0</v>
      </c>
      <c r="N16" s="13">
        <f t="shared" si="19"/>
        <v>0</v>
      </c>
      <c r="O16" s="13">
        <f t="shared" si="20"/>
        <v>0</v>
      </c>
      <c r="P16" s="13">
        <f t="shared" si="21"/>
        <v>0</v>
      </c>
      <c r="Q16" s="13">
        <f t="shared" si="22"/>
        <v>0</v>
      </c>
      <c r="R16" s="13">
        <f t="shared" si="23"/>
        <v>0</v>
      </c>
      <c r="S16" s="13">
        <f t="shared" si="24"/>
        <v>0</v>
      </c>
      <c r="T16" s="13">
        <f t="shared" si="25"/>
        <v>0</v>
      </c>
      <c r="U16" s="13">
        <f t="shared" si="26"/>
        <v>0</v>
      </c>
      <c r="V16" s="13">
        <f t="shared" si="27"/>
        <v>0</v>
      </c>
      <c r="W16" s="13">
        <f t="shared" si="28"/>
        <v>0</v>
      </c>
      <c r="X16" s="13">
        <f t="shared" si="29"/>
        <v>0</v>
      </c>
      <c r="Y16" s="13">
        <f t="shared" si="30"/>
        <v>0</v>
      </c>
      <c r="Z16" s="13">
        <f t="shared" si="31"/>
        <v>1.4124000000000001E-3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>
        <v>1.4124000000000001</v>
      </c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</row>
    <row r="17" spans="1:345" s="14" customFormat="1">
      <c r="A17" s="12" t="s">
        <v>15</v>
      </c>
      <c r="B17" s="13">
        <f t="shared" si="7"/>
        <v>0</v>
      </c>
      <c r="C17" s="13">
        <f t="shared" si="8"/>
        <v>0</v>
      </c>
      <c r="D17" s="13">
        <f t="shared" si="9"/>
        <v>0</v>
      </c>
      <c r="E17" s="13">
        <f t="shared" si="10"/>
        <v>0</v>
      </c>
      <c r="F17" s="13">
        <f t="shared" si="11"/>
        <v>0</v>
      </c>
      <c r="G17" s="13">
        <f t="shared" si="12"/>
        <v>0</v>
      </c>
      <c r="H17" s="13">
        <f t="shared" si="13"/>
        <v>0</v>
      </c>
      <c r="I17" s="13">
        <f t="shared" si="14"/>
        <v>0</v>
      </c>
      <c r="J17" s="13">
        <f t="shared" si="15"/>
        <v>0</v>
      </c>
      <c r="K17" s="13">
        <f t="shared" si="16"/>
        <v>0</v>
      </c>
      <c r="L17" s="13">
        <f t="shared" si="17"/>
        <v>0</v>
      </c>
      <c r="M17" s="13">
        <f t="shared" si="18"/>
        <v>0</v>
      </c>
      <c r="N17" s="13">
        <f t="shared" si="19"/>
        <v>0</v>
      </c>
      <c r="O17" s="13">
        <f t="shared" si="20"/>
        <v>0</v>
      </c>
      <c r="P17" s="13">
        <f t="shared" si="21"/>
        <v>0</v>
      </c>
      <c r="Q17" s="13">
        <f t="shared" si="22"/>
        <v>0</v>
      </c>
      <c r="R17" s="13">
        <f t="shared" si="23"/>
        <v>0</v>
      </c>
      <c r="S17" s="13">
        <f t="shared" si="24"/>
        <v>0</v>
      </c>
      <c r="T17" s="13">
        <f t="shared" si="25"/>
        <v>0</v>
      </c>
      <c r="U17" s="13">
        <f t="shared" si="26"/>
        <v>0</v>
      </c>
      <c r="V17" s="13">
        <f t="shared" si="27"/>
        <v>0</v>
      </c>
      <c r="W17" s="13">
        <f t="shared" si="28"/>
        <v>0</v>
      </c>
      <c r="X17" s="13">
        <f t="shared" si="29"/>
        <v>0</v>
      </c>
      <c r="Y17" s="13">
        <f t="shared" si="30"/>
        <v>0</v>
      </c>
      <c r="Z17" s="13">
        <f t="shared" si="31"/>
        <v>0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</row>
    <row r="18" spans="1:345" s="14" customFormat="1">
      <c r="A18" s="15" t="s">
        <v>16</v>
      </c>
      <c r="B18" s="13">
        <f t="shared" si="7"/>
        <v>0</v>
      </c>
      <c r="C18" s="13">
        <f t="shared" si="8"/>
        <v>0</v>
      </c>
      <c r="D18" s="13">
        <f t="shared" si="9"/>
        <v>0</v>
      </c>
      <c r="E18" s="13">
        <f t="shared" si="10"/>
        <v>0</v>
      </c>
      <c r="F18" s="13">
        <f t="shared" si="11"/>
        <v>0</v>
      </c>
      <c r="G18" s="13">
        <f t="shared" si="12"/>
        <v>0</v>
      </c>
      <c r="H18" s="13">
        <f t="shared" si="13"/>
        <v>0</v>
      </c>
      <c r="I18" s="13">
        <f t="shared" si="14"/>
        <v>0</v>
      </c>
      <c r="J18" s="13">
        <f t="shared" si="15"/>
        <v>0</v>
      </c>
      <c r="K18" s="13">
        <f t="shared" si="16"/>
        <v>0</v>
      </c>
      <c r="L18" s="13">
        <f t="shared" si="17"/>
        <v>0</v>
      </c>
      <c r="M18" s="13">
        <f t="shared" si="18"/>
        <v>0</v>
      </c>
      <c r="N18" s="13">
        <f t="shared" si="19"/>
        <v>0</v>
      </c>
      <c r="O18" s="13">
        <f t="shared" si="20"/>
        <v>0</v>
      </c>
      <c r="P18" s="13">
        <f t="shared" si="21"/>
        <v>0</v>
      </c>
      <c r="Q18" s="13">
        <f t="shared" si="22"/>
        <v>0</v>
      </c>
      <c r="R18" s="13">
        <f t="shared" si="23"/>
        <v>0</v>
      </c>
      <c r="S18" s="13">
        <f t="shared" si="24"/>
        <v>0</v>
      </c>
      <c r="T18" s="13">
        <f t="shared" si="25"/>
        <v>0</v>
      </c>
      <c r="U18" s="13">
        <f t="shared" si="26"/>
        <v>0</v>
      </c>
      <c r="V18" s="13">
        <f t="shared" si="27"/>
        <v>0</v>
      </c>
      <c r="W18" s="13">
        <f t="shared" si="28"/>
        <v>0</v>
      </c>
      <c r="X18" s="13">
        <f t="shared" si="29"/>
        <v>0</v>
      </c>
      <c r="Y18" s="13">
        <f t="shared" si="30"/>
        <v>0</v>
      </c>
      <c r="Z18" s="13">
        <f t="shared" si="31"/>
        <v>0.56261670000000008</v>
      </c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>
        <v>1.6029</v>
      </c>
      <c r="LF18" s="13"/>
      <c r="LG18" s="13"/>
      <c r="LH18" s="13"/>
      <c r="LI18" s="13">
        <v>150.37200000000001</v>
      </c>
      <c r="LJ18" s="13">
        <v>95.391000000000005</v>
      </c>
      <c r="LK18" s="13">
        <v>91.156199999999998</v>
      </c>
      <c r="LL18" s="13"/>
      <c r="LM18" s="13">
        <v>132.41669999999999</v>
      </c>
      <c r="LN18" s="13">
        <v>45.850200000000001</v>
      </c>
      <c r="LO18" s="13">
        <v>45.8277</v>
      </c>
      <c r="LP18" s="13">
        <v>51.409199999999998</v>
      </c>
      <c r="LQ18" s="13">
        <v>135.65819999999999</v>
      </c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</row>
    <row r="19" spans="1:345" s="14" customFormat="1">
      <c r="A19" s="12" t="s">
        <v>17</v>
      </c>
      <c r="B19" s="13">
        <f t="shared" si="7"/>
        <v>0</v>
      </c>
      <c r="C19" s="13">
        <f t="shared" si="8"/>
        <v>0</v>
      </c>
      <c r="D19" s="13">
        <f t="shared" si="9"/>
        <v>0</v>
      </c>
      <c r="E19" s="13">
        <f t="shared" si="10"/>
        <v>0</v>
      </c>
      <c r="F19" s="13">
        <f t="shared" si="11"/>
        <v>0</v>
      </c>
      <c r="G19" s="13">
        <f t="shared" si="12"/>
        <v>0</v>
      </c>
      <c r="H19" s="13">
        <f t="shared" si="13"/>
        <v>0</v>
      </c>
      <c r="I19" s="13">
        <f t="shared" si="14"/>
        <v>0</v>
      </c>
      <c r="J19" s="13">
        <f t="shared" si="15"/>
        <v>0</v>
      </c>
      <c r="K19" s="13">
        <f t="shared" si="16"/>
        <v>0</v>
      </c>
      <c r="L19" s="13">
        <f t="shared" si="17"/>
        <v>0</v>
      </c>
      <c r="M19" s="13">
        <f t="shared" si="18"/>
        <v>0</v>
      </c>
      <c r="N19" s="13">
        <f t="shared" si="19"/>
        <v>0</v>
      </c>
      <c r="O19" s="13">
        <f t="shared" si="20"/>
        <v>0</v>
      </c>
      <c r="P19" s="13">
        <f t="shared" si="21"/>
        <v>0</v>
      </c>
      <c r="Q19" s="13">
        <f t="shared" si="22"/>
        <v>0</v>
      </c>
      <c r="R19" s="13">
        <f t="shared" si="23"/>
        <v>0</v>
      </c>
      <c r="S19" s="13">
        <f t="shared" si="24"/>
        <v>0</v>
      </c>
      <c r="T19" s="13">
        <f t="shared" si="25"/>
        <v>0</v>
      </c>
      <c r="U19" s="13">
        <f t="shared" si="26"/>
        <v>0</v>
      </c>
      <c r="V19" s="13">
        <f t="shared" si="27"/>
        <v>0</v>
      </c>
      <c r="W19" s="13">
        <f t="shared" si="28"/>
        <v>0</v>
      </c>
      <c r="X19" s="13">
        <f t="shared" si="29"/>
        <v>0</v>
      </c>
      <c r="Y19" s="13">
        <f t="shared" si="30"/>
        <v>0</v>
      </c>
      <c r="Z19" s="13">
        <f t="shared" si="31"/>
        <v>0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</row>
    <row r="20" spans="1:345" s="14" customFormat="1">
      <c r="A20" s="15" t="s">
        <v>18</v>
      </c>
      <c r="B20" s="13">
        <f t="shared" si="7"/>
        <v>0</v>
      </c>
      <c r="C20" s="13">
        <f t="shared" si="8"/>
        <v>0</v>
      </c>
      <c r="D20" s="13">
        <f t="shared" si="9"/>
        <v>0</v>
      </c>
      <c r="E20" s="13">
        <f t="shared" si="10"/>
        <v>0</v>
      </c>
      <c r="F20" s="13">
        <f t="shared" si="11"/>
        <v>0</v>
      </c>
      <c r="G20" s="13">
        <f t="shared" si="12"/>
        <v>0</v>
      </c>
      <c r="H20" s="13">
        <f t="shared" si="13"/>
        <v>0</v>
      </c>
      <c r="I20" s="13">
        <f t="shared" si="14"/>
        <v>0</v>
      </c>
      <c r="J20" s="13">
        <f t="shared" si="15"/>
        <v>0</v>
      </c>
      <c r="K20" s="13">
        <f t="shared" si="16"/>
        <v>0</v>
      </c>
      <c r="L20" s="13">
        <f t="shared" si="17"/>
        <v>0</v>
      </c>
      <c r="M20" s="13">
        <f t="shared" si="18"/>
        <v>0</v>
      </c>
      <c r="N20" s="13">
        <f t="shared" si="19"/>
        <v>0</v>
      </c>
      <c r="O20" s="13">
        <f t="shared" si="20"/>
        <v>0</v>
      </c>
      <c r="P20" s="13">
        <f t="shared" si="21"/>
        <v>0</v>
      </c>
      <c r="Q20" s="13">
        <f t="shared" si="22"/>
        <v>0</v>
      </c>
      <c r="R20" s="13">
        <f t="shared" si="23"/>
        <v>0</v>
      </c>
      <c r="S20" s="13">
        <f t="shared" si="24"/>
        <v>0</v>
      </c>
      <c r="T20" s="13">
        <f t="shared" si="25"/>
        <v>0</v>
      </c>
      <c r="U20" s="13">
        <f t="shared" si="26"/>
        <v>0</v>
      </c>
      <c r="V20" s="13">
        <f t="shared" si="27"/>
        <v>0</v>
      </c>
      <c r="W20" s="13">
        <f t="shared" si="28"/>
        <v>0</v>
      </c>
      <c r="X20" s="13">
        <f t="shared" si="29"/>
        <v>0</v>
      </c>
      <c r="Y20" s="13">
        <f t="shared" si="30"/>
        <v>0</v>
      </c>
      <c r="Z20" s="13">
        <f t="shared" si="31"/>
        <v>0</v>
      </c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</row>
    <row r="21" spans="1:345" s="14" customFormat="1">
      <c r="A21" s="12" t="s">
        <v>19</v>
      </c>
      <c r="B21" s="13">
        <f t="shared" si="7"/>
        <v>0</v>
      </c>
      <c r="C21" s="13">
        <f t="shared" si="8"/>
        <v>0</v>
      </c>
      <c r="D21" s="13">
        <f t="shared" si="9"/>
        <v>0</v>
      </c>
      <c r="E21" s="13">
        <f t="shared" si="10"/>
        <v>0</v>
      </c>
      <c r="F21" s="13">
        <f t="shared" si="11"/>
        <v>0</v>
      </c>
      <c r="G21" s="13">
        <f t="shared" si="12"/>
        <v>0</v>
      </c>
      <c r="H21" s="13">
        <f t="shared" si="13"/>
        <v>0</v>
      </c>
      <c r="I21" s="13">
        <f t="shared" si="14"/>
        <v>0</v>
      </c>
      <c r="J21" s="13">
        <f t="shared" si="15"/>
        <v>0</v>
      </c>
      <c r="K21" s="13">
        <f t="shared" si="16"/>
        <v>0</v>
      </c>
      <c r="L21" s="13">
        <f t="shared" si="17"/>
        <v>0</v>
      </c>
      <c r="M21" s="13">
        <f t="shared" si="18"/>
        <v>0</v>
      </c>
      <c r="N21" s="13">
        <f t="shared" si="19"/>
        <v>0</v>
      </c>
      <c r="O21" s="13">
        <f t="shared" si="20"/>
        <v>0</v>
      </c>
      <c r="P21" s="13">
        <f t="shared" si="21"/>
        <v>0</v>
      </c>
      <c r="Q21" s="13">
        <f t="shared" si="22"/>
        <v>0</v>
      </c>
      <c r="R21" s="13">
        <f t="shared" si="23"/>
        <v>0</v>
      </c>
      <c r="S21" s="13">
        <f t="shared" si="24"/>
        <v>0</v>
      </c>
      <c r="T21" s="13">
        <f t="shared" si="25"/>
        <v>0</v>
      </c>
      <c r="U21" s="13">
        <f t="shared" si="26"/>
        <v>0</v>
      </c>
      <c r="V21" s="13">
        <f t="shared" si="27"/>
        <v>0</v>
      </c>
      <c r="W21" s="13">
        <f t="shared" si="28"/>
        <v>0</v>
      </c>
      <c r="X21" s="13">
        <f t="shared" si="29"/>
        <v>0</v>
      </c>
      <c r="Y21" s="13">
        <f t="shared" si="30"/>
        <v>0</v>
      </c>
      <c r="Z21" s="13">
        <f t="shared" si="31"/>
        <v>0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</row>
    <row r="22" spans="1:345" s="14" customFormat="1">
      <c r="A22" s="15" t="s">
        <v>20</v>
      </c>
      <c r="B22" s="13">
        <f t="shared" si="7"/>
        <v>0</v>
      </c>
      <c r="C22" s="13">
        <f t="shared" si="8"/>
        <v>0</v>
      </c>
      <c r="D22" s="13">
        <f t="shared" si="9"/>
        <v>0</v>
      </c>
      <c r="E22" s="13">
        <f t="shared" si="10"/>
        <v>0</v>
      </c>
      <c r="F22" s="13">
        <f t="shared" si="11"/>
        <v>0</v>
      </c>
      <c r="G22" s="13">
        <f t="shared" si="12"/>
        <v>0</v>
      </c>
      <c r="H22" s="13">
        <f t="shared" si="13"/>
        <v>0</v>
      </c>
      <c r="I22" s="13">
        <f t="shared" si="14"/>
        <v>0</v>
      </c>
      <c r="J22" s="13">
        <f t="shared" si="15"/>
        <v>0</v>
      </c>
      <c r="K22" s="13">
        <f t="shared" si="16"/>
        <v>0</v>
      </c>
      <c r="L22" s="13">
        <f t="shared" si="17"/>
        <v>0</v>
      </c>
      <c r="M22" s="13">
        <f t="shared" si="18"/>
        <v>0</v>
      </c>
      <c r="N22" s="13">
        <f t="shared" si="19"/>
        <v>0</v>
      </c>
      <c r="O22" s="13">
        <f t="shared" si="20"/>
        <v>0</v>
      </c>
      <c r="P22" s="13">
        <f t="shared" si="21"/>
        <v>0</v>
      </c>
      <c r="Q22" s="13">
        <f t="shared" si="22"/>
        <v>0</v>
      </c>
      <c r="R22" s="13">
        <f t="shared" si="23"/>
        <v>0</v>
      </c>
      <c r="S22" s="13">
        <f t="shared" si="24"/>
        <v>0</v>
      </c>
      <c r="T22" s="13">
        <f t="shared" si="25"/>
        <v>0</v>
      </c>
      <c r="U22" s="13">
        <f t="shared" si="26"/>
        <v>0</v>
      </c>
      <c r="V22" s="13">
        <f t="shared" si="27"/>
        <v>0</v>
      </c>
      <c r="W22" s="13">
        <f t="shared" si="28"/>
        <v>0</v>
      </c>
      <c r="X22" s="13">
        <f t="shared" si="29"/>
        <v>0</v>
      </c>
      <c r="Y22" s="13">
        <f t="shared" si="30"/>
        <v>0</v>
      </c>
      <c r="Z22" s="13">
        <f t="shared" si="31"/>
        <v>0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</row>
    <row r="23" spans="1:345" s="14" customFormat="1">
      <c r="A23" s="15" t="s">
        <v>21</v>
      </c>
      <c r="B23" s="13">
        <f t="shared" si="7"/>
        <v>0</v>
      </c>
      <c r="C23" s="13">
        <f t="shared" si="8"/>
        <v>0</v>
      </c>
      <c r="D23" s="13">
        <f t="shared" si="9"/>
        <v>0</v>
      </c>
      <c r="E23" s="13">
        <f t="shared" si="10"/>
        <v>0</v>
      </c>
      <c r="F23" s="13">
        <f t="shared" si="11"/>
        <v>0</v>
      </c>
      <c r="G23" s="13">
        <f t="shared" si="12"/>
        <v>0</v>
      </c>
      <c r="H23" s="13">
        <f t="shared" si="13"/>
        <v>0</v>
      </c>
      <c r="I23" s="13">
        <f t="shared" si="14"/>
        <v>0</v>
      </c>
      <c r="J23" s="13">
        <f t="shared" si="15"/>
        <v>0</v>
      </c>
      <c r="K23" s="13">
        <f t="shared" si="16"/>
        <v>0</v>
      </c>
      <c r="L23" s="13">
        <f t="shared" si="17"/>
        <v>0</v>
      </c>
      <c r="M23" s="13">
        <f t="shared" si="18"/>
        <v>0</v>
      </c>
      <c r="N23" s="13">
        <f t="shared" si="19"/>
        <v>0</v>
      </c>
      <c r="O23" s="13">
        <f t="shared" si="20"/>
        <v>0</v>
      </c>
      <c r="P23" s="13">
        <f t="shared" si="21"/>
        <v>0</v>
      </c>
      <c r="Q23" s="13">
        <f t="shared" si="22"/>
        <v>0</v>
      </c>
      <c r="R23" s="13">
        <f t="shared" si="23"/>
        <v>0</v>
      </c>
      <c r="S23" s="13">
        <f t="shared" si="24"/>
        <v>0</v>
      </c>
      <c r="T23" s="13">
        <f t="shared" si="25"/>
        <v>0</v>
      </c>
      <c r="U23" s="13">
        <f t="shared" si="26"/>
        <v>0</v>
      </c>
      <c r="V23" s="13">
        <f t="shared" si="27"/>
        <v>0</v>
      </c>
      <c r="W23" s="13">
        <f t="shared" si="28"/>
        <v>0</v>
      </c>
      <c r="X23" s="13">
        <f t="shared" si="29"/>
        <v>0</v>
      </c>
      <c r="Y23" s="13">
        <f t="shared" si="30"/>
        <v>0</v>
      </c>
      <c r="Z23" s="13">
        <f t="shared" si="31"/>
        <v>0</v>
      </c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</row>
    <row r="24" spans="1:345" s="14" customFormat="1">
      <c r="A24" s="15" t="s">
        <v>22</v>
      </c>
      <c r="B24" s="13">
        <f t="shared" si="7"/>
        <v>0</v>
      </c>
      <c r="C24" s="13">
        <f t="shared" si="8"/>
        <v>0</v>
      </c>
      <c r="D24" s="13">
        <f t="shared" si="9"/>
        <v>0</v>
      </c>
      <c r="E24" s="13">
        <f t="shared" si="10"/>
        <v>0</v>
      </c>
      <c r="F24" s="13">
        <f t="shared" si="11"/>
        <v>0</v>
      </c>
      <c r="G24" s="13">
        <f t="shared" si="12"/>
        <v>0</v>
      </c>
      <c r="H24" s="13">
        <f t="shared" si="13"/>
        <v>0</v>
      </c>
      <c r="I24" s="13">
        <f t="shared" si="14"/>
        <v>0</v>
      </c>
      <c r="J24" s="13">
        <f t="shared" si="15"/>
        <v>0</v>
      </c>
      <c r="K24" s="13">
        <f t="shared" si="16"/>
        <v>0</v>
      </c>
      <c r="L24" s="13">
        <f t="shared" si="17"/>
        <v>0</v>
      </c>
      <c r="M24" s="13">
        <f t="shared" si="18"/>
        <v>0</v>
      </c>
      <c r="N24" s="13">
        <f t="shared" si="19"/>
        <v>0</v>
      </c>
      <c r="O24" s="13">
        <f t="shared" si="20"/>
        <v>0</v>
      </c>
      <c r="P24" s="13">
        <f t="shared" si="21"/>
        <v>0</v>
      </c>
      <c r="Q24" s="13">
        <f t="shared" si="22"/>
        <v>0</v>
      </c>
      <c r="R24" s="13">
        <f t="shared" si="23"/>
        <v>0</v>
      </c>
      <c r="S24" s="13">
        <f t="shared" si="24"/>
        <v>0</v>
      </c>
      <c r="T24" s="13">
        <f t="shared" si="25"/>
        <v>0</v>
      </c>
      <c r="U24" s="13">
        <f t="shared" si="26"/>
        <v>0</v>
      </c>
      <c r="V24" s="13">
        <f t="shared" si="27"/>
        <v>0</v>
      </c>
      <c r="W24" s="13">
        <f t="shared" si="28"/>
        <v>0</v>
      </c>
      <c r="X24" s="13">
        <f t="shared" si="29"/>
        <v>0</v>
      </c>
      <c r="Y24" s="13">
        <f t="shared" si="30"/>
        <v>0</v>
      </c>
      <c r="Z24" s="13">
        <f t="shared" si="31"/>
        <v>0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</row>
    <row r="25" spans="1:345" s="14" customFormat="1">
      <c r="A25" s="15" t="s">
        <v>23</v>
      </c>
      <c r="B25" s="13">
        <f t="shared" si="7"/>
        <v>0</v>
      </c>
      <c r="C25" s="13">
        <f t="shared" si="8"/>
        <v>0</v>
      </c>
      <c r="D25" s="13">
        <f t="shared" si="9"/>
        <v>0</v>
      </c>
      <c r="E25" s="13">
        <f t="shared" si="10"/>
        <v>0</v>
      </c>
      <c r="F25" s="13">
        <f t="shared" si="11"/>
        <v>0</v>
      </c>
      <c r="G25" s="13">
        <f t="shared" si="12"/>
        <v>0</v>
      </c>
      <c r="H25" s="13">
        <f t="shared" si="13"/>
        <v>0</v>
      </c>
      <c r="I25" s="13">
        <f t="shared" si="14"/>
        <v>0</v>
      </c>
      <c r="J25" s="13">
        <f t="shared" si="15"/>
        <v>0</v>
      </c>
      <c r="K25" s="13">
        <f t="shared" si="16"/>
        <v>0</v>
      </c>
      <c r="L25" s="13">
        <f t="shared" si="17"/>
        <v>0</v>
      </c>
      <c r="M25" s="13">
        <f t="shared" si="18"/>
        <v>0</v>
      </c>
      <c r="N25" s="13">
        <f t="shared" si="19"/>
        <v>0</v>
      </c>
      <c r="O25" s="13">
        <f t="shared" si="20"/>
        <v>0</v>
      </c>
      <c r="P25" s="13">
        <f t="shared" si="21"/>
        <v>0</v>
      </c>
      <c r="Q25" s="13">
        <f t="shared" si="22"/>
        <v>0</v>
      </c>
      <c r="R25" s="13">
        <f t="shared" si="23"/>
        <v>0</v>
      </c>
      <c r="S25" s="13">
        <f t="shared" si="24"/>
        <v>0</v>
      </c>
      <c r="T25" s="13">
        <f t="shared" si="25"/>
        <v>0</v>
      </c>
      <c r="U25" s="13">
        <f t="shared" si="26"/>
        <v>0</v>
      </c>
      <c r="V25" s="13">
        <f t="shared" si="27"/>
        <v>0</v>
      </c>
      <c r="W25" s="13">
        <f t="shared" si="28"/>
        <v>0</v>
      </c>
      <c r="X25" s="13">
        <f t="shared" si="29"/>
        <v>0</v>
      </c>
      <c r="Y25" s="13">
        <f t="shared" si="30"/>
        <v>0</v>
      </c>
      <c r="Z25" s="13">
        <f t="shared" si="31"/>
        <v>0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</row>
    <row r="26" spans="1:345" s="14" customFormat="1">
      <c r="A26" s="12" t="s">
        <v>24</v>
      </c>
      <c r="B26" s="13">
        <f t="shared" si="7"/>
        <v>0</v>
      </c>
      <c r="C26" s="13">
        <f t="shared" si="8"/>
        <v>0</v>
      </c>
      <c r="D26" s="13">
        <f t="shared" si="9"/>
        <v>0</v>
      </c>
      <c r="E26" s="13">
        <f t="shared" si="10"/>
        <v>0</v>
      </c>
      <c r="F26" s="13">
        <f t="shared" si="11"/>
        <v>0</v>
      </c>
      <c r="G26" s="13">
        <f t="shared" si="12"/>
        <v>0</v>
      </c>
      <c r="H26" s="13">
        <f t="shared" si="13"/>
        <v>0</v>
      </c>
      <c r="I26" s="13">
        <f t="shared" si="14"/>
        <v>0</v>
      </c>
      <c r="J26" s="13">
        <f t="shared" si="15"/>
        <v>0</v>
      </c>
      <c r="K26" s="13">
        <f t="shared" si="16"/>
        <v>0</v>
      </c>
      <c r="L26" s="13">
        <f t="shared" si="17"/>
        <v>0</v>
      </c>
      <c r="M26" s="13">
        <f t="shared" si="18"/>
        <v>0</v>
      </c>
      <c r="N26" s="13">
        <f t="shared" si="19"/>
        <v>0</v>
      </c>
      <c r="O26" s="13">
        <f t="shared" si="20"/>
        <v>0</v>
      </c>
      <c r="P26" s="13">
        <f t="shared" si="21"/>
        <v>0</v>
      </c>
      <c r="Q26" s="13">
        <f t="shared" si="22"/>
        <v>0</v>
      </c>
      <c r="R26" s="13">
        <f t="shared" si="23"/>
        <v>0</v>
      </c>
      <c r="S26" s="13">
        <f t="shared" si="24"/>
        <v>0</v>
      </c>
      <c r="T26" s="13">
        <f t="shared" si="25"/>
        <v>0</v>
      </c>
      <c r="U26" s="13">
        <f t="shared" si="26"/>
        <v>0</v>
      </c>
      <c r="V26" s="13">
        <f t="shared" si="27"/>
        <v>0</v>
      </c>
      <c r="W26" s="13">
        <f t="shared" si="28"/>
        <v>0</v>
      </c>
      <c r="X26" s="13">
        <f t="shared" si="29"/>
        <v>0</v>
      </c>
      <c r="Y26" s="13">
        <f t="shared" si="30"/>
        <v>0</v>
      </c>
      <c r="Z26" s="13">
        <f t="shared" si="31"/>
        <v>0</v>
      </c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</row>
    <row r="27" spans="1:345" s="14" customFormat="1">
      <c r="A27" s="12" t="s">
        <v>25</v>
      </c>
      <c r="B27" s="13">
        <f t="shared" si="7"/>
        <v>0</v>
      </c>
      <c r="C27" s="13">
        <f t="shared" si="8"/>
        <v>0</v>
      </c>
      <c r="D27" s="13">
        <f t="shared" si="9"/>
        <v>0</v>
      </c>
      <c r="E27" s="13">
        <f t="shared" si="10"/>
        <v>0</v>
      </c>
      <c r="F27" s="13">
        <f t="shared" si="11"/>
        <v>0</v>
      </c>
      <c r="G27" s="13">
        <f t="shared" si="12"/>
        <v>0</v>
      </c>
      <c r="H27" s="13">
        <f t="shared" si="13"/>
        <v>0</v>
      </c>
      <c r="I27" s="13">
        <f t="shared" si="14"/>
        <v>0</v>
      </c>
      <c r="J27" s="13">
        <f t="shared" si="15"/>
        <v>0</v>
      </c>
      <c r="K27" s="13">
        <f t="shared" si="16"/>
        <v>0</v>
      </c>
      <c r="L27" s="13">
        <f t="shared" si="17"/>
        <v>0</v>
      </c>
      <c r="M27" s="13">
        <f t="shared" si="18"/>
        <v>0</v>
      </c>
      <c r="N27" s="13">
        <f t="shared" si="19"/>
        <v>0</v>
      </c>
      <c r="O27" s="13">
        <f t="shared" si="20"/>
        <v>0</v>
      </c>
      <c r="P27" s="13">
        <f t="shared" si="21"/>
        <v>0</v>
      </c>
      <c r="Q27" s="13">
        <f t="shared" si="22"/>
        <v>0</v>
      </c>
      <c r="R27" s="13">
        <f t="shared" si="23"/>
        <v>0</v>
      </c>
      <c r="S27" s="13">
        <f t="shared" si="24"/>
        <v>0</v>
      </c>
      <c r="T27" s="13">
        <f t="shared" si="25"/>
        <v>0</v>
      </c>
      <c r="U27" s="13">
        <f t="shared" si="26"/>
        <v>0</v>
      </c>
      <c r="V27" s="13">
        <f t="shared" si="27"/>
        <v>0</v>
      </c>
      <c r="W27" s="13">
        <f t="shared" si="28"/>
        <v>0</v>
      </c>
      <c r="X27" s="13">
        <f t="shared" si="29"/>
        <v>0</v>
      </c>
      <c r="Y27" s="13">
        <f t="shared" si="30"/>
        <v>0</v>
      </c>
      <c r="Z27" s="13">
        <f t="shared" si="31"/>
        <v>5.4849911999999996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>
        <v>314.04300000000001</v>
      </c>
      <c r="LG27" s="13">
        <v>74.7</v>
      </c>
      <c r="LH27" s="13">
        <v>154.35</v>
      </c>
      <c r="LI27" s="13">
        <v>79.95</v>
      </c>
      <c r="LJ27" s="13">
        <v>49.2</v>
      </c>
      <c r="LK27" s="13">
        <v>292.18950000000001</v>
      </c>
      <c r="LL27" s="13">
        <v>549.72389999999996</v>
      </c>
      <c r="LM27" s="13">
        <v>1872.9348</v>
      </c>
      <c r="LN27" s="13">
        <v>1562.85</v>
      </c>
      <c r="LO27" s="13">
        <v>535.04999999999995</v>
      </c>
      <c r="LP27" s="13">
        <v>1353.2835</v>
      </c>
      <c r="LQ27" s="13">
        <v>1469.85</v>
      </c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</row>
    <row r="28" spans="1:345" s="14" customFormat="1">
      <c r="A28" s="12" t="s">
        <v>26</v>
      </c>
      <c r="B28" s="13">
        <f t="shared" si="7"/>
        <v>0</v>
      </c>
      <c r="C28" s="13">
        <f t="shared" si="8"/>
        <v>0</v>
      </c>
      <c r="D28" s="13">
        <f t="shared" si="9"/>
        <v>0</v>
      </c>
      <c r="E28" s="13">
        <f t="shared" si="10"/>
        <v>0</v>
      </c>
      <c r="F28" s="13">
        <f t="shared" si="11"/>
        <v>0</v>
      </c>
      <c r="G28" s="13">
        <f t="shared" si="12"/>
        <v>0</v>
      </c>
      <c r="H28" s="13">
        <f t="shared" si="13"/>
        <v>0</v>
      </c>
      <c r="I28" s="13">
        <f t="shared" si="14"/>
        <v>0</v>
      </c>
      <c r="J28" s="13">
        <f t="shared" si="15"/>
        <v>0</v>
      </c>
      <c r="K28" s="13">
        <f t="shared" si="16"/>
        <v>0</v>
      </c>
      <c r="L28" s="13">
        <f t="shared" si="17"/>
        <v>0</v>
      </c>
      <c r="M28" s="13">
        <f t="shared" si="18"/>
        <v>0</v>
      </c>
      <c r="N28" s="13">
        <f t="shared" si="19"/>
        <v>0</v>
      </c>
      <c r="O28" s="13">
        <f t="shared" si="20"/>
        <v>0</v>
      </c>
      <c r="P28" s="13">
        <f t="shared" si="21"/>
        <v>0</v>
      </c>
      <c r="Q28" s="13">
        <f t="shared" si="22"/>
        <v>0</v>
      </c>
      <c r="R28" s="13">
        <f t="shared" si="23"/>
        <v>0</v>
      </c>
      <c r="S28" s="13">
        <f t="shared" si="24"/>
        <v>0</v>
      </c>
      <c r="T28" s="13">
        <f t="shared" si="25"/>
        <v>0</v>
      </c>
      <c r="U28" s="13">
        <f t="shared" si="26"/>
        <v>0</v>
      </c>
      <c r="V28" s="13">
        <f t="shared" si="27"/>
        <v>0</v>
      </c>
      <c r="W28" s="13">
        <f t="shared" si="28"/>
        <v>0</v>
      </c>
      <c r="X28" s="13">
        <f t="shared" si="29"/>
        <v>0</v>
      </c>
      <c r="Y28" s="13">
        <f t="shared" si="30"/>
        <v>0</v>
      </c>
      <c r="Z28" s="13">
        <f t="shared" si="31"/>
        <v>0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</row>
    <row r="29" spans="1:345" s="14" customFormat="1">
      <c r="A29" s="12" t="s">
        <v>27</v>
      </c>
      <c r="B29" s="13">
        <f t="shared" si="7"/>
        <v>0</v>
      </c>
      <c r="C29" s="13">
        <f t="shared" si="8"/>
        <v>0</v>
      </c>
      <c r="D29" s="13">
        <f t="shared" si="9"/>
        <v>0</v>
      </c>
      <c r="E29" s="13">
        <f t="shared" si="10"/>
        <v>0</v>
      </c>
      <c r="F29" s="13">
        <f t="shared" si="11"/>
        <v>0</v>
      </c>
      <c r="G29" s="13">
        <f t="shared" si="12"/>
        <v>0</v>
      </c>
      <c r="H29" s="13">
        <f t="shared" si="13"/>
        <v>0</v>
      </c>
      <c r="I29" s="13">
        <f t="shared" si="14"/>
        <v>0</v>
      </c>
      <c r="J29" s="13">
        <f t="shared" si="15"/>
        <v>0</v>
      </c>
      <c r="K29" s="13">
        <f t="shared" si="16"/>
        <v>0</v>
      </c>
      <c r="L29" s="13">
        <f t="shared" si="17"/>
        <v>0</v>
      </c>
      <c r="M29" s="13">
        <f t="shared" si="18"/>
        <v>0</v>
      </c>
      <c r="N29" s="13">
        <f t="shared" si="19"/>
        <v>0</v>
      </c>
      <c r="O29" s="13">
        <f t="shared" si="20"/>
        <v>0</v>
      </c>
      <c r="P29" s="13">
        <f t="shared" si="21"/>
        <v>0</v>
      </c>
      <c r="Q29" s="13">
        <f t="shared" si="22"/>
        <v>0</v>
      </c>
      <c r="R29" s="13">
        <f t="shared" si="23"/>
        <v>0</v>
      </c>
      <c r="S29" s="13">
        <f t="shared" si="24"/>
        <v>0</v>
      </c>
      <c r="T29" s="13">
        <f t="shared" si="25"/>
        <v>0</v>
      </c>
      <c r="U29" s="13">
        <f t="shared" si="26"/>
        <v>0</v>
      </c>
      <c r="V29" s="13">
        <f t="shared" si="27"/>
        <v>0</v>
      </c>
      <c r="W29" s="13">
        <f t="shared" si="28"/>
        <v>0</v>
      </c>
      <c r="X29" s="13">
        <f t="shared" si="29"/>
        <v>0</v>
      </c>
      <c r="Y29" s="13">
        <f t="shared" si="30"/>
        <v>0</v>
      </c>
      <c r="Z29" s="13">
        <f t="shared" si="31"/>
        <v>0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</row>
    <row r="30" spans="1:345" s="14" customFormat="1">
      <c r="A30" s="15" t="s">
        <v>28</v>
      </c>
      <c r="B30" s="13">
        <f t="shared" si="7"/>
        <v>0</v>
      </c>
      <c r="C30" s="13">
        <f t="shared" si="8"/>
        <v>0</v>
      </c>
      <c r="D30" s="13">
        <f t="shared" si="9"/>
        <v>0</v>
      </c>
      <c r="E30" s="13">
        <f t="shared" si="10"/>
        <v>0</v>
      </c>
      <c r="F30" s="13">
        <f t="shared" si="11"/>
        <v>0</v>
      </c>
      <c r="G30" s="13">
        <f t="shared" si="12"/>
        <v>0</v>
      </c>
      <c r="H30" s="13">
        <f t="shared" si="13"/>
        <v>0</v>
      </c>
      <c r="I30" s="13">
        <f t="shared" si="14"/>
        <v>0</v>
      </c>
      <c r="J30" s="13">
        <f t="shared" si="15"/>
        <v>0</v>
      </c>
      <c r="K30" s="13">
        <f t="shared" si="16"/>
        <v>0</v>
      </c>
      <c r="L30" s="13">
        <f t="shared" si="17"/>
        <v>0</v>
      </c>
      <c r="M30" s="13">
        <f t="shared" si="18"/>
        <v>0</v>
      </c>
      <c r="N30" s="13">
        <f t="shared" si="19"/>
        <v>0</v>
      </c>
      <c r="O30" s="13">
        <f t="shared" si="20"/>
        <v>0</v>
      </c>
      <c r="P30" s="13">
        <f t="shared" si="21"/>
        <v>0</v>
      </c>
      <c r="Q30" s="13">
        <f t="shared" si="22"/>
        <v>0</v>
      </c>
      <c r="R30" s="13">
        <f t="shared" si="23"/>
        <v>0</v>
      </c>
      <c r="S30" s="13">
        <f t="shared" si="24"/>
        <v>0</v>
      </c>
      <c r="T30" s="13">
        <f t="shared" si="25"/>
        <v>0</v>
      </c>
      <c r="U30" s="13">
        <f t="shared" si="26"/>
        <v>0</v>
      </c>
      <c r="V30" s="13">
        <f t="shared" si="27"/>
        <v>0</v>
      </c>
      <c r="W30" s="13">
        <f t="shared" si="28"/>
        <v>0</v>
      </c>
      <c r="X30" s="13">
        <f t="shared" si="29"/>
        <v>0</v>
      </c>
      <c r="Y30" s="13">
        <f t="shared" si="30"/>
        <v>0</v>
      </c>
      <c r="Z30" s="13">
        <f t="shared" si="31"/>
        <v>0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</row>
    <row r="31" spans="1:345" s="14" customFormat="1">
      <c r="A31" s="15" t="s">
        <v>29</v>
      </c>
      <c r="B31" s="13">
        <f t="shared" si="7"/>
        <v>0</v>
      </c>
      <c r="C31" s="13">
        <f t="shared" si="8"/>
        <v>0</v>
      </c>
      <c r="D31" s="13">
        <f t="shared" si="9"/>
        <v>0</v>
      </c>
      <c r="E31" s="13">
        <f t="shared" si="10"/>
        <v>0</v>
      </c>
      <c r="F31" s="13">
        <f t="shared" si="11"/>
        <v>0</v>
      </c>
      <c r="G31" s="13">
        <f t="shared" si="12"/>
        <v>0</v>
      </c>
      <c r="H31" s="13">
        <f t="shared" si="13"/>
        <v>0</v>
      </c>
      <c r="I31" s="13">
        <f t="shared" si="14"/>
        <v>0</v>
      </c>
      <c r="J31" s="13">
        <f t="shared" si="15"/>
        <v>0</v>
      </c>
      <c r="K31" s="13">
        <f t="shared" si="16"/>
        <v>0</v>
      </c>
      <c r="L31" s="13">
        <f t="shared" si="17"/>
        <v>0</v>
      </c>
      <c r="M31" s="13">
        <f t="shared" si="18"/>
        <v>0</v>
      </c>
      <c r="N31" s="13">
        <f t="shared" si="19"/>
        <v>0</v>
      </c>
      <c r="O31" s="13">
        <f t="shared" si="20"/>
        <v>0</v>
      </c>
      <c r="P31" s="13">
        <f t="shared" si="21"/>
        <v>0</v>
      </c>
      <c r="Q31" s="13">
        <f t="shared" si="22"/>
        <v>0</v>
      </c>
      <c r="R31" s="13">
        <f t="shared" si="23"/>
        <v>0</v>
      </c>
      <c r="S31" s="13">
        <f t="shared" si="24"/>
        <v>0</v>
      </c>
      <c r="T31" s="13">
        <f t="shared" si="25"/>
        <v>0</v>
      </c>
      <c r="U31" s="13">
        <f t="shared" si="26"/>
        <v>0</v>
      </c>
      <c r="V31" s="13">
        <f t="shared" si="27"/>
        <v>0</v>
      </c>
      <c r="W31" s="13">
        <f t="shared" si="28"/>
        <v>0</v>
      </c>
      <c r="X31" s="13">
        <f t="shared" si="29"/>
        <v>0</v>
      </c>
      <c r="Y31" s="13">
        <f t="shared" si="30"/>
        <v>0</v>
      </c>
      <c r="Z31" s="13">
        <f t="shared" si="31"/>
        <v>0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</row>
    <row r="32" spans="1:345" s="14" customFormat="1">
      <c r="A32" s="15" t="s">
        <v>30</v>
      </c>
      <c r="B32" s="13">
        <f t="shared" si="7"/>
        <v>0</v>
      </c>
      <c r="C32" s="13">
        <f t="shared" si="8"/>
        <v>0</v>
      </c>
      <c r="D32" s="13">
        <f t="shared" si="9"/>
        <v>0</v>
      </c>
      <c r="E32" s="13">
        <f t="shared" si="10"/>
        <v>0</v>
      </c>
      <c r="F32" s="13">
        <f t="shared" si="11"/>
        <v>0</v>
      </c>
      <c r="G32" s="13">
        <f t="shared" si="12"/>
        <v>0</v>
      </c>
      <c r="H32" s="13">
        <f t="shared" si="13"/>
        <v>0</v>
      </c>
      <c r="I32" s="13">
        <f t="shared" si="14"/>
        <v>0</v>
      </c>
      <c r="J32" s="13">
        <f t="shared" si="15"/>
        <v>0</v>
      </c>
      <c r="K32" s="13">
        <f t="shared" si="16"/>
        <v>0</v>
      </c>
      <c r="L32" s="13">
        <f t="shared" si="17"/>
        <v>0</v>
      </c>
      <c r="M32" s="13">
        <f t="shared" si="18"/>
        <v>0</v>
      </c>
      <c r="N32" s="13">
        <f t="shared" si="19"/>
        <v>0</v>
      </c>
      <c r="O32" s="13">
        <f t="shared" si="20"/>
        <v>0</v>
      </c>
      <c r="P32" s="13">
        <f t="shared" si="21"/>
        <v>0</v>
      </c>
      <c r="Q32" s="13">
        <f t="shared" si="22"/>
        <v>0</v>
      </c>
      <c r="R32" s="13">
        <f t="shared" si="23"/>
        <v>0</v>
      </c>
      <c r="S32" s="13">
        <f t="shared" si="24"/>
        <v>0</v>
      </c>
      <c r="T32" s="13">
        <f t="shared" si="25"/>
        <v>0</v>
      </c>
      <c r="U32" s="13">
        <f t="shared" si="26"/>
        <v>0</v>
      </c>
      <c r="V32" s="13">
        <f t="shared" si="27"/>
        <v>0</v>
      </c>
      <c r="W32" s="13">
        <f t="shared" si="28"/>
        <v>0</v>
      </c>
      <c r="X32" s="13">
        <f t="shared" si="29"/>
        <v>0</v>
      </c>
      <c r="Y32" s="13">
        <f t="shared" si="30"/>
        <v>0</v>
      </c>
      <c r="Z32" s="13">
        <f t="shared" si="31"/>
        <v>0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</row>
    <row r="33" spans="1:345" s="14" customFormat="1">
      <c r="A33" s="15" t="s">
        <v>31</v>
      </c>
      <c r="B33" s="13">
        <f t="shared" si="7"/>
        <v>0</v>
      </c>
      <c r="C33" s="13">
        <f t="shared" si="8"/>
        <v>0</v>
      </c>
      <c r="D33" s="13">
        <f t="shared" si="9"/>
        <v>0</v>
      </c>
      <c r="E33" s="13">
        <f t="shared" si="10"/>
        <v>0</v>
      </c>
      <c r="F33" s="13">
        <f t="shared" si="11"/>
        <v>0</v>
      </c>
      <c r="G33" s="13">
        <f t="shared" si="12"/>
        <v>0</v>
      </c>
      <c r="H33" s="13">
        <f t="shared" si="13"/>
        <v>0</v>
      </c>
      <c r="I33" s="13">
        <f t="shared" si="14"/>
        <v>0</v>
      </c>
      <c r="J33" s="13">
        <f t="shared" si="15"/>
        <v>0</v>
      </c>
      <c r="K33" s="13">
        <f t="shared" si="16"/>
        <v>0</v>
      </c>
      <c r="L33" s="13">
        <f t="shared" si="17"/>
        <v>0</v>
      </c>
      <c r="M33" s="13">
        <f t="shared" si="18"/>
        <v>0</v>
      </c>
      <c r="N33" s="13">
        <f t="shared" si="19"/>
        <v>0</v>
      </c>
      <c r="O33" s="13">
        <f t="shared" si="20"/>
        <v>0</v>
      </c>
      <c r="P33" s="13">
        <f t="shared" si="21"/>
        <v>0</v>
      </c>
      <c r="Q33" s="13">
        <f t="shared" si="22"/>
        <v>0</v>
      </c>
      <c r="R33" s="13">
        <f t="shared" si="23"/>
        <v>0</v>
      </c>
      <c r="S33" s="13">
        <f t="shared" si="24"/>
        <v>0</v>
      </c>
      <c r="T33" s="13">
        <f t="shared" si="25"/>
        <v>0</v>
      </c>
      <c r="U33" s="13">
        <f t="shared" si="26"/>
        <v>0</v>
      </c>
      <c r="V33" s="13">
        <f t="shared" si="27"/>
        <v>0</v>
      </c>
      <c r="W33" s="13">
        <f t="shared" si="28"/>
        <v>0</v>
      </c>
      <c r="X33" s="13">
        <f t="shared" si="29"/>
        <v>0</v>
      </c>
      <c r="Y33" s="13">
        <f t="shared" si="30"/>
        <v>0</v>
      </c>
      <c r="Z33" s="13">
        <f t="shared" si="31"/>
        <v>0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</row>
    <row r="34" spans="1:345" s="14" customFormat="1">
      <c r="A34" s="12" t="s">
        <v>32</v>
      </c>
      <c r="B34" s="13">
        <f t="shared" si="7"/>
        <v>0</v>
      </c>
      <c r="C34" s="13">
        <f t="shared" si="8"/>
        <v>0</v>
      </c>
      <c r="D34" s="13">
        <f t="shared" si="9"/>
        <v>0</v>
      </c>
      <c r="E34" s="13">
        <f t="shared" si="10"/>
        <v>0</v>
      </c>
      <c r="F34" s="13">
        <f t="shared" si="11"/>
        <v>0</v>
      </c>
      <c r="G34" s="13">
        <f t="shared" si="12"/>
        <v>0</v>
      </c>
      <c r="H34" s="13">
        <f t="shared" si="13"/>
        <v>0</v>
      </c>
      <c r="I34" s="13">
        <f t="shared" si="14"/>
        <v>0</v>
      </c>
      <c r="J34" s="13">
        <f t="shared" si="15"/>
        <v>0</v>
      </c>
      <c r="K34" s="13">
        <f t="shared" si="16"/>
        <v>0</v>
      </c>
      <c r="L34" s="13">
        <f t="shared" si="17"/>
        <v>0</v>
      </c>
      <c r="M34" s="13">
        <f t="shared" si="18"/>
        <v>0</v>
      </c>
      <c r="N34" s="13">
        <f t="shared" si="19"/>
        <v>0</v>
      </c>
      <c r="O34" s="13">
        <f t="shared" si="20"/>
        <v>0</v>
      </c>
      <c r="P34" s="13">
        <f t="shared" si="21"/>
        <v>0</v>
      </c>
      <c r="Q34" s="13">
        <f t="shared" si="22"/>
        <v>0</v>
      </c>
      <c r="R34" s="13">
        <f t="shared" si="23"/>
        <v>0</v>
      </c>
      <c r="S34" s="13">
        <f t="shared" si="24"/>
        <v>0</v>
      </c>
      <c r="T34" s="13">
        <f t="shared" si="25"/>
        <v>0</v>
      </c>
      <c r="U34" s="13">
        <f t="shared" si="26"/>
        <v>0</v>
      </c>
      <c r="V34" s="13">
        <f t="shared" si="27"/>
        <v>0</v>
      </c>
      <c r="W34" s="13">
        <f t="shared" si="28"/>
        <v>0</v>
      </c>
      <c r="X34" s="13">
        <f t="shared" si="29"/>
        <v>0</v>
      </c>
      <c r="Y34" s="13">
        <f t="shared" si="30"/>
        <v>0</v>
      </c>
      <c r="Z34" s="13">
        <f t="shared" si="31"/>
        <v>0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</row>
    <row r="35" spans="1:345" s="14" customFormat="1">
      <c r="A35" s="12" t="s">
        <v>33</v>
      </c>
      <c r="B35" s="13">
        <f t="shared" si="7"/>
        <v>0</v>
      </c>
      <c r="C35" s="13">
        <f t="shared" si="8"/>
        <v>0</v>
      </c>
      <c r="D35" s="13">
        <f t="shared" si="9"/>
        <v>0</v>
      </c>
      <c r="E35" s="13">
        <f t="shared" si="10"/>
        <v>0</v>
      </c>
      <c r="F35" s="13">
        <f t="shared" si="11"/>
        <v>0</v>
      </c>
      <c r="G35" s="13">
        <f t="shared" si="12"/>
        <v>0</v>
      </c>
      <c r="H35" s="13">
        <f t="shared" si="13"/>
        <v>0</v>
      </c>
      <c r="I35" s="13">
        <f t="shared" si="14"/>
        <v>0</v>
      </c>
      <c r="J35" s="13">
        <f t="shared" si="15"/>
        <v>0</v>
      </c>
      <c r="K35" s="13">
        <f t="shared" si="16"/>
        <v>0</v>
      </c>
      <c r="L35" s="13">
        <f t="shared" si="17"/>
        <v>0</v>
      </c>
      <c r="M35" s="13">
        <f t="shared" si="18"/>
        <v>0</v>
      </c>
      <c r="N35" s="13">
        <f t="shared" si="19"/>
        <v>0</v>
      </c>
      <c r="O35" s="13">
        <f t="shared" si="20"/>
        <v>0</v>
      </c>
      <c r="P35" s="13">
        <f t="shared" si="21"/>
        <v>0</v>
      </c>
      <c r="Q35" s="13">
        <f t="shared" si="22"/>
        <v>0</v>
      </c>
      <c r="R35" s="13">
        <f t="shared" si="23"/>
        <v>0</v>
      </c>
      <c r="S35" s="13">
        <f t="shared" si="24"/>
        <v>0</v>
      </c>
      <c r="T35" s="13">
        <f t="shared" si="25"/>
        <v>0</v>
      </c>
      <c r="U35" s="13">
        <f t="shared" si="26"/>
        <v>0</v>
      </c>
      <c r="V35" s="13">
        <f t="shared" si="27"/>
        <v>0</v>
      </c>
      <c r="W35" s="13">
        <f t="shared" si="28"/>
        <v>0</v>
      </c>
      <c r="X35" s="13">
        <f t="shared" si="29"/>
        <v>0</v>
      </c>
      <c r="Y35" s="13">
        <f t="shared" si="30"/>
        <v>0</v>
      </c>
      <c r="Z35" s="13">
        <f t="shared" si="31"/>
        <v>0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</row>
    <row r="36" spans="1:345" s="14" customForma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</row>
    <row r="37" spans="1:345" s="14" customFormat="1">
      <c r="A37" s="12" t="s">
        <v>34</v>
      </c>
      <c r="B37" s="13">
        <f t="shared" ref="B37:Z37" si="32">SUM(B38:B57)</f>
        <v>0</v>
      </c>
      <c r="C37" s="13">
        <f t="shared" si="32"/>
        <v>0</v>
      </c>
      <c r="D37" s="13">
        <f t="shared" si="32"/>
        <v>0</v>
      </c>
      <c r="E37" s="13">
        <f t="shared" si="32"/>
        <v>0</v>
      </c>
      <c r="F37" s="13">
        <f t="shared" si="32"/>
        <v>0</v>
      </c>
      <c r="G37" s="13">
        <f t="shared" si="32"/>
        <v>0</v>
      </c>
      <c r="H37" s="13">
        <f t="shared" si="32"/>
        <v>0</v>
      </c>
      <c r="I37" s="13">
        <f t="shared" si="32"/>
        <v>0</v>
      </c>
      <c r="J37" s="13">
        <f t="shared" si="32"/>
        <v>0</v>
      </c>
      <c r="K37" s="13">
        <f t="shared" si="32"/>
        <v>0</v>
      </c>
      <c r="L37" s="13">
        <f t="shared" si="32"/>
        <v>0</v>
      </c>
      <c r="M37" s="13">
        <f t="shared" si="32"/>
        <v>0</v>
      </c>
      <c r="N37" s="13">
        <f t="shared" si="32"/>
        <v>0</v>
      </c>
      <c r="O37" s="13">
        <f t="shared" si="32"/>
        <v>0</v>
      </c>
      <c r="P37" s="13">
        <f t="shared" si="32"/>
        <v>0</v>
      </c>
      <c r="Q37" s="13">
        <f t="shared" si="32"/>
        <v>0</v>
      </c>
      <c r="R37" s="13">
        <f t="shared" si="32"/>
        <v>0</v>
      </c>
      <c r="S37" s="13">
        <f t="shared" si="32"/>
        <v>0</v>
      </c>
      <c r="T37" s="13">
        <f t="shared" si="32"/>
        <v>0</v>
      </c>
      <c r="U37" s="13">
        <f t="shared" si="32"/>
        <v>0</v>
      </c>
      <c r="V37" s="13">
        <f t="shared" si="32"/>
        <v>0</v>
      </c>
      <c r="W37" s="13">
        <f t="shared" si="32"/>
        <v>0</v>
      </c>
      <c r="X37" s="13">
        <f t="shared" si="32"/>
        <v>0</v>
      </c>
      <c r="Y37" s="13">
        <f t="shared" si="32"/>
        <v>0</v>
      </c>
      <c r="Z37" s="13">
        <f t="shared" si="32"/>
        <v>2.9607786000000003</v>
      </c>
      <c r="AB37" s="13">
        <f t="shared" ref="AB37:CM37" si="33">SUM(AB38:AB57)</f>
        <v>0</v>
      </c>
      <c r="AC37" s="13">
        <f t="shared" si="33"/>
        <v>0</v>
      </c>
      <c r="AD37" s="13">
        <f t="shared" si="33"/>
        <v>0</v>
      </c>
      <c r="AE37" s="13">
        <f t="shared" si="33"/>
        <v>0</v>
      </c>
      <c r="AF37" s="13">
        <f t="shared" si="33"/>
        <v>0</v>
      </c>
      <c r="AG37" s="13">
        <f t="shared" si="33"/>
        <v>0</v>
      </c>
      <c r="AH37" s="13">
        <f t="shared" si="33"/>
        <v>0</v>
      </c>
      <c r="AI37" s="13">
        <f t="shared" si="33"/>
        <v>0</v>
      </c>
      <c r="AJ37" s="13">
        <f t="shared" si="33"/>
        <v>0</v>
      </c>
      <c r="AK37" s="13">
        <f t="shared" si="33"/>
        <v>0</v>
      </c>
      <c r="AL37" s="13">
        <f t="shared" si="33"/>
        <v>0</v>
      </c>
      <c r="AM37" s="13">
        <f t="shared" si="33"/>
        <v>0</v>
      </c>
      <c r="AN37" s="13">
        <f t="shared" si="33"/>
        <v>0</v>
      </c>
      <c r="AO37" s="13">
        <f t="shared" si="33"/>
        <v>0</v>
      </c>
      <c r="AP37" s="13">
        <f t="shared" si="33"/>
        <v>0</v>
      </c>
      <c r="AQ37" s="13">
        <f t="shared" si="33"/>
        <v>0</v>
      </c>
      <c r="AR37" s="13">
        <f t="shared" si="33"/>
        <v>0</v>
      </c>
      <c r="AS37" s="13">
        <f t="shared" si="33"/>
        <v>0</v>
      </c>
      <c r="AT37" s="13">
        <f t="shared" si="33"/>
        <v>0</v>
      </c>
      <c r="AU37" s="13">
        <f t="shared" si="33"/>
        <v>0</v>
      </c>
      <c r="AV37" s="13">
        <f t="shared" si="33"/>
        <v>0</v>
      </c>
      <c r="AW37" s="13">
        <f t="shared" si="33"/>
        <v>0</v>
      </c>
      <c r="AX37" s="13">
        <f t="shared" si="33"/>
        <v>0</v>
      </c>
      <c r="AY37" s="13">
        <f t="shared" si="33"/>
        <v>0</v>
      </c>
      <c r="AZ37" s="13">
        <f t="shared" si="33"/>
        <v>0</v>
      </c>
      <c r="BA37" s="13">
        <f t="shared" si="33"/>
        <v>0</v>
      </c>
      <c r="BB37" s="13">
        <f t="shared" si="33"/>
        <v>0</v>
      </c>
      <c r="BC37" s="13">
        <f t="shared" si="33"/>
        <v>0</v>
      </c>
      <c r="BD37" s="13">
        <f t="shared" si="33"/>
        <v>0</v>
      </c>
      <c r="BE37" s="13">
        <f t="shared" si="33"/>
        <v>0</v>
      </c>
      <c r="BF37" s="13">
        <f t="shared" si="33"/>
        <v>0</v>
      </c>
      <c r="BG37" s="13">
        <f t="shared" si="33"/>
        <v>0</v>
      </c>
      <c r="BH37" s="13">
        <f t="shared" si="33"/>
        <v>0</v>
      </c>
      <c r="BI37" s="13">
        <f t="shared" si="33"/>
        <v>0</v>
      </c>
      <c r="BJ37" s="13">
        <f t="shared" si="33"/>
        <v>0</v>
      </c>
      <c r="BK37" s="13">
        <f t="shared" si="33"/>
        <v>0</v>
      </c>
      <c r="BL37" s="13">
        <f t="shared" si="33"/>
        <v>0</v>
      </c>
      <c r="BM37" s="13">
        <f t="shared" si="33"/>
        <v>0</v>
      </c>
      <c r="BN37" s="13">
        <f t="shared" si="33"/>
        <v>0</v>
      </c>
      <c r="BO37" s="13">
        <f t="shared" si="33"/>
        <v>0</v>
      </c>
      <c r="BP37" s="13">
        <f t="shared" si="33"/>
        <v>0</v>
      </c>
      <c r="BQ37" s="13">
        <f t="shared" si="33"/>
        <v>0</v>
      </c>
      <c r="BR37" s="13">
        <f t="shared" si="33"/>
        <v>0</v>
      </c>
      <c r="BS37" s="13">
        <f t="shared" si="33"/>
        <v>0</v>
      </c>
      <c r="BT37" s="13">
        <f t="shared" si="33"/>
        <v>0</v>
      </c>
      <c r="BU37" s="13">
        <f t="shared" si="33"/>
        <v>0</v>
      </c>
      <c r="BV37" s="13">
        <f t="shared" si="33"/>
        <v>0</v>
      </c>
      <c r="BW37" s="13">
        <f t="shared" si="33"/>
        <v>0</v>
      </c>
      <c r="BX37" s="13">
        <f t="shared" si="33"/>
        <v>0</v>
      </c>
      <c r="BY37" s="13">
        <f t="shared" si="33"/>
        <v>0</v>
      </c>
      <c r="BZ37" s="13">
        <f t="shared" si="33"/>
        <v>0</v>
      </c>
      <c r="CA37" s="13">
        <f t="shared" si="33"/>
        <v>0</v>
      </c>
      <c r="CB37" s="13">
        <f t="shared" si="33"/>
        <v>0</v>
      </c>
      <c r="CC37" s="13">
        <f t="shared" si="33"/>
        <v>0</v>
      </c>
      <c r="CD37" s="13">
        <f t="shared" si="33"/>
        <v>0</v>
      </c>
      <c r="CE37" s="13">
        <f t="shared" si="33"/>
        <v>0</v>
      </c>
      <c r="CF37" s="13">
        <f t="shared" si="33"/>
        <v>0</v>
      </c>
      <c r="CG37" s="13">
        <f t="shared" si="33"/>
        <v>0</v>
      </c>
      <c r="CH37" s="13">
        <f t="shared" si="33"/>
        <v>0</v>
      </c>
      <c r="CI37" s="13">
        <f t="shared" si="33"/>
        <v>0</v>
      </c>
      <c r="CJ37" s="13">
        <f t="shared" si="33"/>
        <v>0</v>
      </c>
      <c r="CK37" s="13">
        <f t="shared" si="33"/>
        <v>0</v>
      </c>
      <c r="CL37" s="13">
        <f t="shared" si="33"/>
        <v>0</v>
      </c>
      <c r="CM37" s="13">
        <f t="shared" si="33"/>
        <v>0</v>
      </c>
      <c r="CN37" s="13">
        <f t="shared" ref="CN37:EY37" si="34">SUM(CN38:CN57)</f>
        <v>0</v>
      </c>
      <c r="CO37" s="13">
        <f t="shared" si="34"/>
        <v>0</v>
      </c>
      <c r="CP37" s="13">
        <f t="shared" si="34"/>
        <v>0</v>
      </c>
      <c r="CQ37" s="13">
        <f t="shared" si="34"/>
        <v>0</v>
      </c>
      <c r="CR37" s="13">
        <f t="shared" si="34"/>
        <v>0</v>
      </c>
      <c r="CS37" s="13">
        <f t="shared" si="34"/>
        <v>0</v>
      </c>
      <c r="CT37" s="13">
        <f t="shared" si="34"/>
        <v>0</v>
      </c>
      <c r="CU37" s="13">
        <f t="shared" si="34"/>
        <v>0</v>
      </c>
      <c r="CV37" s="13">
        <f t="shared" si="34"/>
        <v>0</v>
      </c>
      <c r="CW37" s="13">
        <f t="shared" si="34"/>
        <v>0</v>
      </c>
      <c r="CX37" s="13">
        <f t="shared" si="34"/>
        <v>0</v>
      </c>
      <c r="CY37" s="13">
        <f t="shared" si="34"/>
        <v>0</v>
      </c>
      <c r="CZ37" s="13">
        <f t="shared" si="34"/>
        <v>0</v>
      </c>
      <c r="DA37" s="13">
        <f t="shared" si="34"/>
        <v>0</v>
      </c>
      <c r="DB37" s="13">
        <f t="shared" si="34"/>
        <v>0</v>
      </c>
      <c r="DC37" s="13">
        <f t="shared" si="34"/>
        <v>0</v>
      </c>
      <c r="DD37" s="13">
        <f t="shared" si="34"/>
        <v>0</v>
      </c>
      <c r="DE37" s="13">
        <f t="shared" si="34"/>
        <v>0</v>
      </c>
      <c r="DF37" s="13">
        <f t="shared" si="34"/>
        <v>0</v>
      </c>
      <c r="DG37" s="13">
        <f t="shared" si="34"/>
        <v>0</v>
      </c>
      <c r="DH37" s="13">
        <f t="shared" si="34"/>
        <v>0</v>
      </c>
      <c r="DI37" s="13">
        <f t="shared" si="34"/>
        <v>0</v>
      </c>
      <c r="DJ37" s="13">
        <f t="shared" si="34"/>
        <v>0</v>
      </c>
      <c r="DK37" s="13">
        <f t="shared" si="34"/>
        <v>0</v>
      </c>
      <c r="DL37" s="13">
        <f t="shared" si="34"/>
        <v>0</v>
      </c>
      <c r="DM37" s="13">
        <f t="shared" si="34"/>
        <v>0</v>
      </c>
      <c r="DN37" s="13">
        <f t="shared" si="34"/>
        <v>0</v>
      </c>
      <c r="DO37" s="13">
        <f t="shared" si="34"/>
        <v>0</v>
      </c>
      <c r="DP37" s="13">
        <f t="shared" si="34"/>
        <v>0</v>
      </c>
      <c r="DQ37" s="13">
        <f t="shared" si="34"/>
        <v>0</v>
      </c>
      <c r="DR37" s="13">
        <f t="shared" si="34"/>
        <v>0</v>
      </c>
      <c r="DS37" s="13">
        <f t="shared" si="34"/>
        <v>0</v>
      </c>
      <c r="DT37" s="13">
        <f t="shared" si="34"/>
        <v>0</v>
      </c>
      <c r="DU37" s="13">
        <f t="shared" si="34"/>
        <v>0</v>
      </c>
      <c r="DV37" s="13">
        <f t="shared" si="34"/>
        <v>0</v>
      </c>
      <c r="DW37" s="13">
        <f t="shared" si="34"/>
        <v>0</v>
      </c>
      <c r="DX37" s="13">
        <f t="shared" si="34"/>
        <v>0</v>
      </c>
      <c r="DY37" s="13">
        <f t="shared" si="34"/>
        <v>0</v>
      </c>
      <c r="DZ37" s="13">
        <f t="shared" si="34"/>
        <v>0</v>
      </c>
      <c r="EA37" s="13">
        <f t="shared" si="34"/>
        <v>0</v>
      </c>
      <c r="EB37" s="13">
        <f t="shared" si="34"/>
        <v>0</v>
      </c>
      <c r="EC37" s="13">
        <f t="shared" si="34"/>
        <v>0</v>
      </c>
      <c r="ED37" s="13">
        <f t="shared" si="34"/>
        <v>0</v>
      </c>
      <c r="EE37" s="13">
        <f t="shared" si="34"/>
        <v>0</v>
      </c>
      <c r="EF37" s="13">
        <f t="shared" si="34"/>
        <v>0</v>
      </c>
      <c r="EG37" s="13">
        <f t="shared" si="34"/>
        <v>0</v>
      </c>
      <c r="EH37" s="13">
        <f t="shared" si="34"/>
        <v>0</v>
      </c>
      <c r="EI37" s="13">
        <f t="shared" si="34"/>
        <v>0</v>
      </c>
      <c r="EJ37" s="13">
        <f t="shared" si="34"/>
        <v>0</v>
      </c>
      <c r="EK37" s="13">
        <f t="shared" si="34"/>
        <v>0</v>
      </c>
      <c r="EL37" s="13">
        <f t="shared" si="34"/>
        <v>0</v>
      </c>
      <c r="EM37" s="13">
        <f t="shared" si="34"/>
        <v>0</v>
      </c>
      <c r="EN37" s="13">
        <f t="shared" si="34"/>
        <v>0</v>
      </c>
      <c r="EO37" s="13">
        <f t="shared" si="34"/>
        <v>0</v>
      </c>
      <c r="EP37" s="13">
        <f t="shared" si="34"/>
        <v>0</v>
      </c>
      <c r="EQ37" s="13">
        <f t="shared" si="34"/>
        <v>0</v>
      </c>
      <c r="ER37" s="13">
        <f t="shared" si="34"/>
        <v>0</v>
      </c>
      <c r="ES37" s="13">
        <f t="shared" si="34"/>
        <v>0</v>
      </c>
      <c r="ET37" s="13">
        <f t="shared" si="34"/>
        <v>0</v>
      </c>
      <c r="EU37" s="13">
        <f t="shared" si="34"/>
        <v>0</v>
      </c>
      <c r="EV37" s="13">
        <f t="shared" si="34"/>
        <v>0</v>
      </c>
      <c r="EW37" s="13">
        <f t="shared" si="34"/>
        <v>0</v>
      </c>
      <c r="EX37" s="13">
        <f t="shared" si="34"/>
        <v>0</v>
      </c>
      <c r="EY37" s="13">
        <f t="shared" si="34"/>
        <v>0</v>
      </c>
      <c r="EZ37" s="13">
        <f t="shared" ref="EZ37:HK37" si="35">SUM(EZ38:EZ57)</f>
        <v>0</v>
      </c>
      <c r="FA37" s="13">
        <f t="shared" si="35"/>
        <v>0</v>
      </c>
      <c r="FB37" s="13">
        <f t="shared" si="35"/>
        <v>0</v>
      </c>
      <c r="FC37" s="13">
        <f t="shared" si="35"/>
        <v>0</v>
      </c>
      <c r="FD37" s="13">
        <f t="shared" si="35"/>
        <v>0</v>
      </c>
      <c r="FE37" s="13">
        <f t="shared" si="35"/>
        <v>0</v>
      </c>
      <c r="FF37" s="13">
        <f t="shared" si="35"/>
        <v>0</v>
      </c>
      <c r="FG37" s="13">
        <f t="shared" si="35"/>
        <v>0</v>
      </c>
      <c r="FH37" s="13">
        <f t="shared" si="35"/>
        <v>0</v>
      </c>
      <c r="FI37" s="13">
        <f t="shared" si="35"/>
        <v>0</v>
      </c>
      <c r="FJ37" s="13">
        <f t="shared" si="35"/>
        <v>0</v>
      </c>
      <c r="FK37" s="13">
        <f t="shared" si="35"/>
        <v>0</v>
      </c>
      <c r="FL37" s="13">
        <f t="shared" si="35"/>
        <v>0</v>
      </c>
      <c r="FM37" s="13">
        <f t="shared" si="35"/>
        <v>0</v>
      </c>
      <c r="FN37" s="13">
        <f t="shared" si="35"/>
        <v>0</v>
      </c>
      <c r="FO37" s="13">
        <f t="shared" si="35"/>
        <v>0</v>
      </c>
      <c r="FP37" s="13">
        <f t="shared" si="35"/>
        <v>0</v>
      </c>
      <c r="FQ37" s="13">
        <f t="shared" si="35"/>
        <v>0</v>
      </c>
      <c r="FR37" s="13">
        <f t="shared" si="35"/>
        <v>0</v>
      </c>
      <c r="FS37" s="13">
        <f t="shared" si="35"/>
        <v>0</v>
      </c>
      <c r="FT37" s="13">
        <f t="shared" si="35"/>
        <v>0</v>
      </c>
      <c r="FU37" s="13">
        <f t="shared" si="35"/>
        <v>0</v>
      </c>
      <c r="FV37" s="13">
        <f t="shared" si="35"/>
        <v>0</v>
      </c>
      <c r="FW37" s="13">
        <f t="shared" si="35"/>
        <v>0</v>
      </c>
      <c r="FX37" s="13">
        <f t="shared" si="35"/>
        <v>0</v>
      </c>
      <c r="FY37" s="13">
        <f t="shared" si="35"/>
        <v>0</v>
      </c>
      <c r="FZ37" s="13">
        <f t="shared" si="35"/>
        <v>0</v>
      </c>
      <c r="GA37" s="13">
        <f t="shared" si="35"/>
        <v>0</v>
      </c>
      <c r="GB37" s="13">
        <f t="shared" si="35"/>
        <v>0</v>
      </c>
      <c r="GC37" s="13">
        <f t="shared" si="35"/>
        <v>0</v>
      </c>
      <c r="GD37" s="13">
        <f t="shared" si="35"/>
        <v>0</v>
      </c>
      <c r="GE37" s="13">
        <f t="shared" si="35"/>
        <v>0</v>
      </c>
      <c r="GF37" s="13">
        <f t="shared" si="35"/>
        <v>0</v>
      </c>
      <c r="GG37" s="13">
        <f t="shared" si="35"/>
        <v>0</v>
      </c>
      <c r="GH37" s="13">
        <f t="shared" si="35"/>
        <v>0</v>
      </c>
      <c r="GI37" s="13">
        <f t="shared" si="35"/>
        <v>0</v>
      </c>
      <c r="GJ37" s="13">
        <f t="shared" si="35"/>
        <v>0</v>
      </c>
      <c r="GK37" s="13">
        <f t="shared" si="35"/>
        <v>0</v>
      </c>
      <c r="GL37" s="13">
        <f t="shared" si="35"/>
        <v>0</v>
      </c>
      <c r="GM37" s="13">
        <f t="shared" si="35"/>
        <v>0</v>
      </c>
      <c r="GN37" s="13">
        <f t="shared" si="35"/>
        <v>0</v>
      </c>
      <c r="GO37" s="13">
        <f t="shared" si="35"/>
        <v>0</v>
      </c>
      <c r="GP37" s="13">
        <f t="shared" si="35"/>
        <v>0</v>
      </c>
      <c r="GQ37" s="13">
        <f t="shared" si="35"/>
        <v>0</v>
      </c>
      <c r="GR37" s="13">
        <f t="shared" si="35"/>
        <v>0</v>
      </c>
      <c r="GS37" s="13">
        <f t="shared" si="35"/>
        <v>0</v>
      </c>
      <c r="GT37" s="13">
        <f t="shared" si="35"/>
        <v>0</v>
      </c>
      <c r="GU37" s="13">
        <f t="shared" si="35"/>
        <v>0</v>
      </c>
      <c r="GV37" s="13">
        <f t="shared" si="35"/>
        <v>0</v>
      </c>
      <c r="GW37" s="13">
        <f t="shared" si="35"/>
        <v>0</v>
      </c>
      <c r="GX37" s="13">
        <f t="shared" si="35"/>
        <v>0</v>
      </c>
      <c r="GY37" s="13">
        <f t="shared" si="35"/>
        <v>0</v>
      </c>
      <c r="GZ37" s="13">
        <f t="shared" si="35"/>
        <v>0</v>
      </c>
      <c r="HA37" s="13">
        <f t="shared" si="35"/>
        <v>0</v>
      </c>
      <c r="HB37" s="13">
        <f t="shared" si="35"/>
        <v>0</v>
      </c>
      <c r="HC37" s="13">
        <f t="shared" si="35"/>
        <v>0</v>
      </c>
      <c r="HD37" s="13">
        <f t="shared" si="35"/>
        <v>0</v>
      </c>
      <c r="HE37" s="13">
        <f t="shared" si="35"/>
        <v>0</v>
      </c>
      <c r="HF37" s="13">
        <f t="shared" si="35"/>
        <v>0</v>
      </c>
      <c r="HG37" s="13">
        <f t="shared" si="35"/>
        <v>0</v>
      </c>
      <c r="HH37" s="13">
        <f t="shared" si="35"/>
        <v>0</v>
      </c>
      <c r="HI37" s="13">
        <f t="shared" si="35"/>
        <v>0</v>
      </c>
      <c r="HJ37" s="13">
        <f t="shared" si="35"/>
        <v>0</v>
      </c>
      <c r="HK37" s="13">
        <f t="shared" si="35"/>
        <v>0</v>
      </c>
      <c r="HL37" s="13">
        <f t="shared" ref="HL37:JW37" si="36">SUM(HL38:HL57)</f>
        <v>0</v>
      </c>
      <c r="HM37" s="13">
        <f t="shared" si="36"/>
        <v>0</v>
      </c>
      <c r="HN37" s="13">
        <f t="shared" si="36"/>
        <v>0</v>
      </c>
      <c r="HO37" s="13">
        <f t="shared" si="36"/>
        <v>0</v>
      </c>
      <c r="HP37" s="13">
        <f t="shared" si="36"/>
        <v>0</v>
      </c>
      <c r="HQ37" s="13">
        <f t="shared" si="36"/>
        <v>0</v>
      </c>
      <c r="HR37" s="13">
        <f t="shared" si="36"/>
        <v>0</v>
      </c>
      <c r="HS37" s="13">
        <f t="shared" si="36"/>
        <v>0</v>
      </c>
      <c r="HT37" s="13">
        <f t="shared" si="36"/>
        <v>0</v>
      </c>
      <c r="HU37" s="13">
        <f t="shared" si="36"/>
        <v>0</v>
      </c>
      <c r="HV37" s="13">
        <f t="shared" si="36"/>
        <v>0</v>
      </c>
      <c r="HW37" s="13">
        <f t="shared" si="36"/>
        <v>0</v>
      </c>
      <c r="HX37" s="13">
        <f t="shared" si="36"/>
        <v>0</v>
      </c>
      <c r="HY37" s="13">
        <f t="shared" si="36"/>
        <v>0</v>
      </c>
      <c r="HZ37" s="13">
        <f t="shared" si="36"/>
        <v>0</v>
      </c>
      <c r="IA37" s="13">
        <f t="shared" si="36"/>
        <v>0</v>
      </c>
      <c r="IB37" s="13">
        <f t="shared" si="36"/>
        <v>0</v>
      </c>
      <c r="IC37" s="13">
        <f t="shared" si="36"/>
        <v>0</v>
      </c>
      <c r="ID37" s="13">
        <f t="shared" si="36"/>
        <v>0</v>
      </c>
      <c r="IE37" s="13">
        <f t="shared" si="36"/>
        <v>0</v>
      </c>
      <c r="IF37" s="13">
        <f t="shared" si="36"/>
        <v>0</v>
      </c>
      <c r="IG37" s="13">
        <f t="shared" si="36"/>
        <v>0</v>
      </c>
      <c r="IH37" s="13">
        <f t="shared" si="36"/>
        <v>0</v>
      </c>
      <c r="II37" s="13">
        <f t="shared" si="36"/>
        <v>0</v>
      </c>
      <c r="IJ37" s="13">
        <f t="shared" si="36"/>
        <v>0</v>
      </c>
      <c r="IK37" s="13">
        <f t="shared" si="36"/>
        <v>0</v>
      </c>
      <c r="IL37" s="13">
        <f t="shared" si="36"/>
        <v>0</v>
      </c>
      <c r="IM37" s="13">
        <f t="shared" si="36"/>
        <v>0</v>
      </c>
      <c r="IN37" s="13">
        <f t="shared" si="36"/>
        <v>0</v>
      </c>
      <c r="IO37" s="13">
        <f t="shared" si="36"/>
        <v>0</v>
      </c>
      <c r="IP37" s="13">
        <f t="shared" si="36"/>
        <v>0</v>
      </c>
      <c r="IQ37" s="13">
        <f t="shared" si="36"/>
        <v>0</v>
      </c>
      <c r="IR37" s="13">
        <f t="shared" si="36"/>
        <v>0</v>
      </c>
      <c r="IS37" s="13">
        <f t="shared" si="36"/>
        <v>0</v>
      </c>
      <c r="IT37" s="13">
        <f t="shared" si="36"/>
        <v>0</v>
      </c>
      <c r="IU37" s="13">
        <f t="shared" si="36"/>
        <v>0</v>
      </c>
      <c r="IV37" s="13">
        <f t="shared" si="36"/>
        <v>0</v>
      </c>
      <c r="IW37" s="13">
        <f t="shared" si="36"/>
        <v>0</v>
      </c>
      <c r="IX37" s="13">
        <f t="shared" si="36"/>
        <v>0</v>
      </c>
      <c r="IY37" s="13">
        <f t="shared" si="36"/>
        <v>0</v>
      </c>
      <c r="IZ37" s="13">
        <f t="shared" si="36"/>
        <v>0</v>
      </c>
      <c r="JA37" s="13">
        <f t="shared" si="36"/>
        <v>0</v>
      </c>
      <c r="JB37" s="13">
        <f t="shared" si="36"/>
        <v>0</v>
      </c>
      <c r="JC37" s="13">
        <f t="shared" si="36"/>
        <v>0</v>
      </c>
      <c r="JD37" s="13">
        <f t="shared" si="36"/>
        <v>0</v>
      </c>
      <c r="JE37" s="13">
        <f t="shared" si="36"/>
        <v>0</v>
      </c>
      <c r="JF37" s="13">
        <f t="shared" si="36"/>
        <v>0</v>
      </c>
      <c r="JG37" s="13">
        <f t="shared" si="36"/>
        <v>0</v>
      </c>
      <c r="JH37" s="13">
        <f t="shared" si="36"/>
        <v>0</v>
      </c>
      <c r="JI37" s="13">
        <f t="shared" si="36"/>
        <v>0</v>
      </c>
      <c r="JJ37" s="13">
        <f t="shared" si="36"/>
        <v>0</v>
      </c>
      <c r="JK37" s="13">
        <f t="shared" si="36"/>
        <v>0</v>
      </c>
      <c r="JL37" s="13">
        <f t="shared" si="36"/>
        <v>0</v>
      </c>
      <c r="JM37" s="13">
        <f t="shared" si="36"/>
        <v>0</v>
      </c>
      <c r="JN37" s="13">
        <f t="shared" si="36"/>
        <v>0</v>
      </c>
      <c r="JO37" s="13">
        <f t="shared" si="36"/>
        <v>0</v>
      </c>
      <c r="JP37" s="13">
        <f t="shared" si="36"/>
        <v>0</v>
      </c>
      <c r="JQ37" s="13">
        <f t="shared" si="36"/>
        <v>0</v>
      </c>
      <c r="JR37" s="13">
        <f t="shared" si="36"/>
        <v>0</v>
      </c>
      <c r="JS37" s="13">
        <f t="shared" si="36"/>
        <v>0</v>
      </c>
      <c r="JT37" s="13">
        <f t="shared" si="36"/>
        <v>0</v>
      </c>
      <c r="JU37" s="13">
        <f t="shared" si="36"/>
        <v>0</v>
      </c>
      <c r="JV37" s="13">
        <f t="shared" si="36"/>
        <v>0</v>
      </c>
      <c r="JW37" s="13">
        <f t="shared" si="36"/>
        <v>0</v>
      </c>
      <c r="JX37" s="13">
        <f t="shared" ref="JX37:MG37" si="37">SUM(JX38:JX57)</f>
        <v>0</v>
      </c>
      <c r="JY37" s="13">
        <f t="shared" si="37"/>
        <v>0</v>
      </c>
      <c r="JZ37" s="13">
        <f t="shared" si="37"/>
        <v>0</v>
      </c>
      <c r="KA37" s="13">
        <f t="shared" si="37"/>
        <v>0</v>
      </c>
      <c r="KB37" s="13">
        <f t="shared" si="37"/>
        <v>0</v>
      </c>
      <c r="KC37" s="13">
        <f t="shared" si="37"/>
        <v>0</v>
      </c>
      <c r="KD37" s="13">
        <f t="shared" si="37"/>
        <v>0</v>
      </c>
      <c r="KE37" s="13">
        <f t="shared" si="37"/>
        <v>0</v>
      </c>
      <c r="KF37" s="13">
        <f t="shared" si="37"/>
        <v>0</v>
      </c>
      <c r="KG37" s="13">
        <f t="shared" si="37"/>
        <v>0</v>
      </c>
      <c r="KH37" s="13">
        <f t="shared" si="37"/>
        <v>0</v>
      </c>
      <c r="KI37" s="13">
        <f t="shared" si="37"/>
        <v>0</v>
      </c>
      <c r="KJ37" s="13">
        <f t="shared" si="37"/>
        <v>0</v>
      </c>
      <c r="KK37" s="13">
        <f t="shared" si="37"/>
        <v>0</v>
      </c>
      <c r="KL37" s="13">
        <f t="shared" si="37"/>
        <v>0</v>
      </c>
      <c r="KM37" s="13">
        <f t="shared" si="37"/>
        <v>0</v>
      </c>
      <c r="KN37" s="13">
        <f t="shared" si="37"/>
        <v>0</v>
      </c>
      <c r="KO37" s="13">
        <f t="shared" si="37"/>
        <v>0</v>
      </c>
      <c r="KP37" s="13">
        <f t="shared" si="37"/>
        <v>0</v>
      </c>
      <c r="KQ37" s="13">
        <f t="shared" si="37"/>
        <v>0</v>
      </c>
      <c r="KR37" s="13">
        <f t="shared" si="37"/>
        <v>0</v>
      </c>
      <c r="KS37" s="13">
        <f t="shared" si="37"/>
        <v>0</v>
      </c>
      <c r="KT37" s="13">
        <f t="shared" si="37"/>
        <v>0</v>
      </c>
      <c r="KU37" s="13">
        <f t="shared" si="37"/>
        <v>0</v>
      </c>
      <c r="KV37" s="13">
        <f t="shared" si="37"/>
        <v>0</v>
      </c>
      <c r="KW37" s="13">
        <f t="shared" si="37"/>
        <v>0</v>
      </c>
      <c r="KX37" s="13">
        <f t="shared" si="37"/>
        <v>0</v>
      </c>
      <c r="KY37" s="13">
        <f t="shared" si="37"/>
        <v>0</v>
      </c>
      <c r="KZ37" s="13">
        <f t="shared" si="37"/>
        <v>0</v>
      </c>
      <c r="LA37" s="13">
        <f t="shared" si="37"/>
        <v>0</v>
      </c>
      <c r="LB37" s="13">
        <f t="shared" si="37"/>
        <v>0</v>
      </c>
      <c r="LC37" s="13">
        <f t="shared" si="37"/>
        <v>0</v>
      </c>
      <c r="LD37" s="13">
        <f t="shared" si="37"/>
        <v>0</v>
      </c>
      <c r="LE37" s="13">
        <f t="shared" si="37"/>
        <v>335.8845</v>
      </c>
      <c r="LF37" s="13">
        <f t="shared" si="37"/>
        <v>299.90039999999999</v>
      </c>
      <c r="LG37" s="13">
        <f t="shared" si="37"/>
        <v>242.26050000000001</v>
      </c>
      <c r="LH37" s="13">
        <f t="shared" si="37"/>
        <v>600.56219999999996</v>
      </c>
      <c r="LI37" s="13">
        <f t="shared" si="37"/>
        <v>159.55799999999999</v>
      </c>
      <c r="LJ37" s="13">
        <f t="shared" si="37"/>
        <v>73.8</v>
      </c>
      <c r="LK37" s="13">
        <f t="shared" si="37"/>
        <v>396.69299999999998</v>
      </c>
      <c r="LL37" s="13">
        <f t="shared" si="37"/>
        <v>291.26549999999997</v>
      </c>
      <c r="LM37" s="13">
        <f t="shared" si="37"/>
        <v>271.79849999999999</v>
      </c>
      <c r="LN37" s="13">
        <f t="shared" si="37"/>
        <v>152.04599999999999</v>
      </c>
      <c r="LO37" s="13">
        <f t="shared" si="37"/>
        <v>137.01</v>
      </c>
      <c r="LP37" s="13">
        <f t="shared" si="37"/>
        <v>221.7765</v>
      </c>
      <c r="LQ37" s="13">
        <f t="shared" si="37"/>
        <v>40.773000000000003</v>
      </c>
      <c r="LR37" s="13">
        <f t="shared" si="37"/>
        <v>0</v>
      </c>
      <c r="LS37" s="13">
        <f t="shared" si="37"/>
        <v>0</v>
      </c>
      <c r="LT37" s="13">
        <f t="shared" si="37"/>
        <v>0</v>
      </c>
      <c r="LU37" s="13">
        <f t="shared" si="37"/>
        <v>0</v>
      </c>
      <c r="LV37" s="13">
        <f t="shared" si="37"/>
        <v>0</v>
      </c>
      <c r="LW37" s="13">
        <f t="shared" si="37"/>
        <v>0</v>
      </c>
      <c r="LX37" s="13">
        <f t="shared" si="37"/>
        <v>0</v>
      </c>
      <c r="LY37" s="13">
        <f t="shared" si="37"/>
        <v>0</v>
      </c>
      <c r="LZ37" s="13">
        <f t="shared" si="37"/>
        <v>0</v>
      </c>
      <c r="MA37" s="13">
        <f t="shared" si="37"/>
        <v>0</v>
      </c>
      <c r="MB37" s="13">
        <f t="shared" si="37"/>
        <v>0</v>
      </c>
      <c r="MC37" s="13">
        <f t="shared" si="37"/>
        <v>0</v>
      </c>
      <c r="MD37" s="13">
        <f t="shared" si="37"/>
        <v>0</v>
      </c>
      <c r="ME37" s="13">
        <f t="shared" si="37"/>
        <v>0</v>
      </c>
      <c r="MF37" s="13">
        <f t="shared" si="37"/>
        <v>0</v>
      </c>
      <c r="MG37" s="13">
        <f t="shared" si="37"/>
        <v>0</v>
      </c>
    </row>
    <row r="38" spans="1:345" s="14" customFormat="1">
      <c r="A38" s="15" t="s">
        <v>35</v>
      </c>
      <c r="B38" s="13">
        <f t="shared" ref="B38:B57" si="38">SUM(AB38:AM38)/1000</f>
        <v>0</v>
      </c>
      <c r="C38" s="13">
        <f t="shared" ref="C38:C57" si="39">SUM(AN38:AY38)/1000</f>
        <v>0</v>
      </c>
      <c r="D38" s="13">
        <f t="shared" ref="D38:D57" si="40">SUM(AZ38:BK38)/1000</f>
        <v>0</v>
      </c>
      <c r="E38" s="13">
        <f t="shared" ref="E38:E57" si="41">SUM(BL38:BW38)/1000</f>
        <v>0</v>
      </c>
      <c r="F38" s="13">
        <f t="shared" ref="F38:F57" si="42">SUM(BX38:CI38)/1000</f>
        <v>0</v>
      </c>
      <c r="G38" s="13">
        <f t="shared" ref="G38:G57" si="43">SUM(CJ38:CU38)/1000</f>
        <v>0</v>
      </c>
      <c r="H38" s="13">
        <f t="shared" ref="H38:H57" si="44">SUM(CV38:DG38)/1000</f>
        <v>0</v>
      </c>
      <c r="I38" s="13">
        <f t="shared" ref="I38:I57" si="45">SUM(DH38:DS38)/1000</f>
        <v>0</v>
      </c>
      <c r="J38" s="13">
        <f t="shared" ref="J38:J57" si="46">SUM(DT38:EE38)/1000</f>
        <v>0</v>
      </c>
      <c r="K38" s="13">
        <f t="shared" ref="K38:K57" si="47">SUM(EF38:EQ38)/1000</f>
        <v>0</v>
      </c>
      <c r="L38" s="13">
        <f t="shared" ref="L38:L57" si="48">SUM(ER38:FC38)/1000</f>
        <v>0</v>
      </c>
      <c r="M38" s="13">
        <f t="shared" ref="M38:M57" si="49">SUM(FD38:FO38)/1000</f>
        <v>0</v>
      </c>
      <c r="N38" s="13">
        <f t="shared" ref="N38:N57" si="50">SUM(FP38:GA38)/1000</f>
        <v>0</v>
      </c>
      <c r="O38" s="13">
        <f t="shared" ref="O38:O57" si="51">SUM(GB38:GM38)/1000</f>
        <v>0</v>
      </c>
      <c r="P38" s="13">
        <f t="shared" ref="P38:P57" si="52">SUM(GN38:GY38)/1000</f>
        <v>0</v>
      </c>
      <c r="Q38" s="13">
        <f t="shared" ref="Q38:Q57" si="53">SUM(GZ38:HK38)/1000</f>
        <v>0</v>
      </c>
      <c r="R38" s="13">
        <f t="shared" ref="R38:R57" si="54">SUM(HL38:HW38)/1000</f>
        <v>0</v>
      </c>
      <c r="S38" s="13">
        <f t="shared" ref="S38:S57" si="55">SUM(HX38:II38)/1000</f>
        <v>0</v>
      </c>
      <c r="T38" s="13">
        <f t="shared" ref="T38:T57" si="56">SUM(IJ38:IU38)/1000</f>
        <v>0</v>
      </c>
      <c r="U38" s="13">
        <f t="shared" ref="U38:U57" si="57">SUM(IV38:JG38)/1000</f>
        <v>0</v>
      </c>
      <c r="V38" s="13">
        <f t="shared" ref="V38:V57" si="58">SUM(JH38:JS38)/1000</f>
        <v>0</v>
      </c>
      <c r="W38" s="13">
        <f t="shared" ref="W38:W57" si="59">SUM(JT38:KE38)/1000</f>
        <v>0</v>
      </c>
      <c r="X38" s="13">
        <f t="shared" ref="X38:X57" si="60">SUM(KF38:KQ38)/1000</f>
        <v>0</v>
      </c>
      <c r="Y38" s="13">
        <f t="shared" ref="Y38:Y57" si="61">SUM(KR38:LC38)/1000</f>
        <v>0</v>
      </c>
      <c r="Z38" s="13">
        <f t="shared" ref="Z38:Z57" si="62">SUM(LD38:LO38)/1000</f>
        <v>0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</row>
    <row r="39" spans="1:345" s="14" customFormat="1">
      <c r="A39" s="12" t="s">
        <v>36</v>
      </c>
      <c r="B39" s="13">
        <f t="shared" si="38"/>
        <v>0</v>
      </c>
      <c r="C39" s="13">
        <f t="shared" si="39"/>
        <v>0</v>
      </c>
      <c r="D39" s="13">
        <f t="shared" si="40"/>
        <v>0</v>
      </c>
      <c r="E39" s="13">
        <f t="shared" si="41"/>
        <v>0</v>
      </c>
      <c r="F39" s="13">
        <f t="shared" si="42"/>
        <v>0</v>
      </c>
      <c r="G39" s="13">
        <f t="shared" si="43"/>
        <v>0</v>
      </c>
      <c r="H39" s="13">
        <f t="shared" si="44"/>
        <v>0</v>
      </c>
      <c r="I39" s="13">
        <f t="shared" si="45"/>
        <v>0</v>
      </c>
      <c r="J39" s="13">
        <f t="shared" si="46"/>
        <v>0</v>
      </c>
      <c r="K39" s="13">
        <f t="shared" si="47"/>
        <v>0</v>
      </c>
      <c r="L39" s="13">
        <f t="shared" si="48"/>
        <v>0</v>
      </c>
      <c r="M39" s="13">
        <f t="shared" si="49"/>
        <v>0</v>
      </c>
      <c r="N39" s="13">
        <f t="shared" si="50"/>
        <v>0</v>
      </c>
      <c r="O39" s="13">
        <f t="shared" si="51"/>
        <v>0</v>
      </c>
      <c r="P39" s="13">
        <f t="shared" si="52"/>
        <v>0</v>
      </c>
      <c r="Q39" s="13">
        <f t="shared" si="53"/>
        <v>0</v>
      </c>
      <c r="R39" s="13">
        <f t="shared" si="54"/>
        <v>0</v>
      </c>
      <c r="S39" s="13">
        <f t="shared" si="55"/>
        <v>0</v>
      </c>
      <c r="T39" s="13">
        <f t="shared" si="56"/>
        <v>0</v>
      </c>
      <c r="U39" s="13">
        <f t="shared" si="57"/>
        <v>0</v>
      </c>
      <c r="V39" s="13">
        <f t="shared" si="58"/>
        <v>0</v>
      </c>
      <c r="W39" s="13">
        <f t="shared" si="59"/>
        <v>0</v>
      </c>
      <c r="X39" s="13">
        <f t="shared" si="60"/>
        <v>0</v>
      </c>
      <c r="Y39" s="13">
        <f t="shared" si="61"/>
        <v>0</v>
      </c>
      <c r="Z39" s="13">
        <f t="shared" si="62"/>
        <v>0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</row>
    <row r="40" spans="1:345" s="14" customFormat="1">
      <c r="A40" s="12" t="s">
        <v>37</v>
      </c>
      <c r="B40" s="13">
        <f t="shared" si="38"/>
        <v>0</v>
      </c>
      <c r="C40" s="13">
        <f t="shared" si="39"/>
        <v>0</v>
      </c>
      <c r="D40" s="13">
        <f t="shared" si="40"/>
        <v>0</v>
      </c>
      <c r="E40" s="13">
        <f t="shared" si="41"/>
        <v>0</v>
      </c>
      <c r="F40" s="13">
        <f t="shared" si="42"/>
        <v>0</v>
      </c>
      <c r="G40" s="13">
        <f t="shared" si="43"/>
        <v>0</v>
      </c>
      <c r="H40" s="13">
        <f t="shared" si="44"/>
        <v>0</v>
      </c>
      <c r="I40" s="13">
        <f t="shared" si="45"/>
        <v>0</v>
      </c>
      <c r="J40" s="13">
        <f t="shared" si="46"/>
        <v>0</v>
      </c>
      <c r="K40" s="13">
        <f t="shared" si="47"/>
        <v>0</v>
      </c>
      <c r="L40" s="13">
        <f t="shared" si="48"/>
        <v>0</v>
      </c>
      <c r="M40" s="13">
        <f t="shared" si="49"/>
        <v>0</v>
      </c>
      <c r="N40" s="13">
        <f t="shared" si="50"/>
        <v>0</v>
      </c>
      <c r="O40" s="13">
        <f t="shared" si="51"/>
        <v>0</v>
      </c>
      <c r="P40" s="13">
        <f t="shared" si="52"/>
        <v>0</v>
      </c>
      <c r="Q40" s="13">
        <f t="shared" si="53"/>
        <v>0</v>
      </c>
      <c r="R40" s="13">
        <f t="shared" si="54"/>
        <v>0</v>
      </c>
      <c r="S40" s="13">
        <f t="shared" si="55"/>
        <v>0</v>
      </c>
      <c r="T40" s="13">
        <f t="shared" si="56"/>
        <v>0</v>
      </c>
      <c r="U40" s="13">
        <f t="shared" si="57"/>
        <v>0</v>
      </c>
      <c r="V40" s="13">
        <f t="shared" si="58"/>
        <v>0</v>
      </c>
      <c r="W40" s="13">
        <f t="shared" si="59"/>
        <v>0</v>
      </c>
      <c r="X40" s="13">
        <f t="shared" si="60"/>
        <v>0</v>
      </c>
      <c r="Y40" s="13">
        <f t="shared" si="61"/>
        <v>0</v>
      </c>
      <c r="Z40" s="13">
        <f t="shared" si="62"/>
        <v>0</v>
      </c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</row>
    <row r="41" spans="1:345" s="14" customFormat="1">
      <c r="A41" s="15" t="s">
        <v>38</v>
      </c>
      <c r="B41" s="13">
        <f t="shared" si="38"/>
        <v>0</v>
      </c>
      <c r="C41" s="13">
        <f t="shared" si="39"/>
        <v>0</v>
      </c>
      <c r="D41" s="13">
        <f t="shared" si="40"/>
        <v>0</v>
      </c>
      <c r="E41" s="13">
        <f t="shared" si="41"/>
        <v>0</v>
      </c>
      <c r="F41" s="13">
        <f t="shared" si="42"/>
        <v>0</v>
      </c>
      <c r="G41" s="13">
        <f t="shared" si="43"/>
        <v>0</v>
      </c>
      <c r="H41" s="13">
        <f t="shared" si="44"/>
        <v>0</v>
      </c>
      <c r="I41" s="13">
        <f t="shared" si="45"/>
        <v>0</v>
      </c>
      <c r="J41" s="13">
        <f t="shared" si="46"/>
        <v>0</v>
      </c>
      <c r="K41" s="13">
        <f t="shared" si="47"/>
        <v>0</v>
      </c>
      <c r="L41" s="13">
        <f t="shared" si="48"/>
        <v>0</v>
      </c>
      <c r="M41" s="13">
        <f t="shared" si="49"/>
        <v>0</v>
      </c>
      <c r="N41" s="13">
        <f t="shared" si="50"/>
        <v>0</v>
      </c>
      <c r="O41" s="13">
        <f t="shared" si="51"/>
        <v>0</v>
      </c>
      <c r="P41" s="13">
        <f t="shared" si="52"/>
        <v>0</v>
      </c>
      <c r="Q41" s="13">
        <f t="shared" si="53"/>
        <v>0</v>
      </c>
      <c r="R41" s="13">
        <f t="shared" si="54"/>
        <v>0</v>
      </c>
      <c r="S41" s="13">
        <f t="shared" si="55"/>
        <v>0</v>
      </c>
      <c r="T41" s="13">
        <f t="shared" si="56"/>
        <v>0</v>
      </c>
      <c r="U41" s="13">
        <f t="shared" si="57"/>
        <v>0</v>
      </c>
      <c r="V41" s="13">
        <f t="shared" si="58"/>
        <v>0</v>
      </c>
      <c r="W41" s="13">
        <f t="shared" si="59"/>
        <v>0</v>
      </c>
      <c r="X41" s="13">
        <f t="shared" si="60"/>
        <v>0</v>
      </c>
      <c r="Y41" s="13">
        <f t="shared" si="61"/>
        <v>0</v>
      </c>
      <c r="Z41" s="13">
        <f t="shared" si="62"/>
        <v>0.62227049999999995</v>
      </c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>
        <v>43.05</v>
      </c>
      <c r="LI41" s="13">
        <v>48.51</v>
      </c>
      <c r="LJ41" s="13">
        <v>73.8</v>
      </c>
      <c r="LK41" s="13">
        <v>221.4</v>
      </c>
      <c r="LL41" s="13">
        <v>136.30350000000001</v>
      </c>
      <c r="LM41" s="13">
        <v>99.206999999999994</v>
      </c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</row>
    <row r="42" spans="1:345" s="14" customFormat="1">
      <c r="A42" s="12" t="s">
        <v>39</v>
      </c>
      <c r="B42" s="13">
        <f t="shared" si="38"/>
        <v>0</v>
      </c>
      <c r="C42" s="13">
        <f t="shared" si="39"/>
        <v>0</v>
      </c>
      <c r="D42" s="13">
        <f t="shared" si="40"/>
        <v>0</v>
      </c>
      <c r="E42" s="13">
        <f t="shared" si="41"/>
        <v>0</v>
      </c>
      <c r="F42" s="13">
        <f t="shared" si="42"/>
        <v>0</v>
      </c>
      <c r="G42" s="13">
        <f t="shared" si="43"/>
        <v>0</v>
      </c>
      <c r="H42" s="13">
        <f t="shared" si="44"/>
        <v>0</v>
      </c>
      <c r="I42" s="13">
        <f t="shared" si="45"/>
        <v>0</v>
      </c>
      <c r="J42" s="13">
        <f t="shared" si="46"/>
        <v>0</v>
      </c>
      <c r="K42" s="13">
        <f t="shared" si="47"/>
        <v>0</v>
      </c>
      <c r="L42" s="13">
        <f t="shared" si="48"/>
        <v>0</v>
      </c>
      <c r="M42" s="13">
        <f t="shared" si="49"/>
        <v>0</v>
      </c>
      <c r="N42" s="13">
        <f t="shared" si="50"/>
        <v>0</v>
      </c>
      <c r="O42" s="13">
        <f t="shared" si="51"/>
        <v>0</v>
      </c>
      <c r="P42" s="13">
        <f t="shared" si="52"/>
        <v>0</v>
      </c>
      <c r="Q42" s="13">
        <f t="shared" si="53"/>
        <v>0</v>
      </c>
      <c r="R42" s="13">
        <f t="shared" si="54"/>
        <v>0</v>
      </c>
      <c r="S42" s="13">
        <f t="shared" si="55"/>
        <v>0</v>
      </c>
      <c r="T42" s="13">
        <f t="shared" si="56"/>
        <v>0</v>
      </c>
      <c r="U42" s="13">
        <f t="shared" si="57"/>
        <v>0</v>
      </c>
      <c r="V42" s="13">
        <f t="shared" si="58"/>
        <v>0</v>
      </c>
      <c r="W42" s="13">
        <f t="shared" si="59"/>
        <v>0</v>
      </c>
      <c r="X42" s="13">
        <f t="shared" si="60"/>
        <v>0</v>
      </c>
      <c r="Y42" s="13">
        <f t="shared" si="61"/>
        <v>0</v>
      </c>
      <c r="Z42" s="13">
        <f t="shared" si="62"/>
        <v>0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</row>
    <row r="43" spans="1:345" s="14" customFormat="1">
      <c r="A43" s="12" t="s">
        <v>40</v>
      </c>
      <c r="B43" s="13">
        <f t="shared" si="38"/>
        <v>0</v>
      </c>
      <c r="C43" s="13">
        <f t="shared" si="39"/>
        <v>0</v>
      </c>
      <c r="D43" s="13">
        <f t="shared" si="40"/>
        <v>0</v>
      </c>
      <c r="E43" s="13">
        <f t="shared" si="41"/>
        <v>0</v>
      </c>
      <c r="F43" s="13">
        <f t="shared" si="42"/>
        <v>0</v>
      </c>
      <c r="G43" s="13">
        <f t="shared" si="43"/>
        <v>0</v>
      </c>
      <c r="H43" s="13">
        <f t="shared" si="44"/>
        <v>0</v>
      </c>
      <c r="I43" s="13">
        <f t="shared" si="45"/>
        <v>0</v>
      </c>
      <c r="J43" s="13">
        <f t="shared" si="46"/>
        <v>0</v>
      </c>
      <c r="K43" s="13">
        <f t="shared" si="47"/>
        <v>0</v>
      </c>
      <c r="L43" s="13">
        <f t="shared" si="48"/>
        <v>0</v>
      </c>
      <c r="M43" s="13">
        <f t="shared" si="49"/>
        <v>0</v>
      </c>
      <c r="N43" s="13">
        <f t="shared" si="50"/>
        <v>0</v>
      </c>
      <c r="O43" s="13">
        <f t="shared" si="51"/>
        <v>0</v>
      </c>
      <c r="P43" s="13">
        <f t="shared" si="52"/>
        <v>0</v>
      </c>
      <c r="Q43" s="13">
        <f t="shared" si="53"/>
        <v>0</v>
      </c>
      <c r="R43" s="13">
        <f t="shared" si="54"/>
        <v>0</v>
      </c>
      <c r="S43" s="13">
        <f t="shared" si="55"/>
        <v>0</v>
      </c>
      <c r="T43" s="13">
        <f t="shared" si="56"/>
        <v>0</v>
      </c>
      <c r="U43" s="13">
        <f t="shared" si="57"/>
        <v>0</v>
      </c>
      <c r="V43" s="13">
        <f t="shared" si="58"/>
        <v>0</v>
      </c>
      <c r="W43" s="13">
        <f t="shared" si="59"/>
        <v>0</v>
      </c>
      <c r="X43" s="13">
        <f t="shared" si="60"/>
        <v>0</v>
      </c>
      <c r="Y43" s="13">
        <f t="shared" si="61"/>
        <v>0</v>
      </c>
      <c r="Z43" s="13">
        <f t="shared" si="62"/>
        <v>0</v>
      </c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</row>
    <row r="44" spans="1:345" s="14" customFormat="1">
      <c r="A44" s="12" t="s">
        <v>41</v>
      </c>
      <c r="B44" s="13">
        <f t="shared" si="38"/>
        <v>0</v>
      </c>
      <c r="C44" s="13">
        <f t="shared" si="39"/>
        <v>0</v>
      </c>
      <c r="D44" s="13">
        <f t="shared" si="40"/>
        <v>0</v>
      </c>
      <c r="E44" s="13">
        <f t="shared" si="41"/>
        <v>0</v>
      </c>
      <c r="F44" s="13">
        <f t="shared" si="42"/>
        <v>0</v>
      </c>
      <c r="G44" s="13">
        <f t="shared" si="43"/>
        <v>0</v>
      </c>
      <c r="H44" s="13">
        <f t="shared" si="44"/>
        <v>0</v>
      </c>
      <c r="I44" s="13">
        <f t="shared" si="45"/>
        <v>0</v>
      </c>
      <c r="J44" s="13">
        <f t="shared" si="46"/>
        <v>0</v>
      </c>
      <c r="K44" s="13">
        <f t="shared" si="47"/>
        <v>0</v>
      </c>
      <c r="L44" s="13">
        <f t="shared" si="48"/>
        <v>0</v>
      </c>
      <c r="M44" s="13">
        <f t="shared" si="49"/>
        <v>0</v>
      </c>
      <c r="N44" s="13">
        <f t="shared" si="50"/>
        <v>0</v>
      </c>
      <c r="O44" s="13">
        <f t="shared" si="51"/>
        <v>0</v>
      </c>
      <c r="P44" s="13">
        <f t="shared" si="52"/>
        <v>0</v>
      </c>
      <c r="Q44" s="13">
        <f t="shared" si="53"/>
        <v>0</v>
      </c>
      <c r="R44" s="13">
        <f t="shared" si="54"/>
        <v>0</v>
      </c>
      <c r="S44" s="13">
        <f t="shared" si="55"/>
        <v>0</v>
      </c>
      <c r="T44" s="13">
        <f t="shared" si="56"/>
        <v>0</v>
      </c>
      <c r="U44" s="13">
        <f t="shared" si="57"/>
        <v>0</v>
      </c>
      <c r="V44" s="13">
        <f t="shared" si="58"/>
        <v>0</v>
      </c>
      <c r="W44" s="13">
        <f t="shared" si="59"/>
        <v>0</v>
      </c>
      <c r="X44" s="13">
        <f t="shared" si="60"/>
        <v>0</v>
      </c>
      <c r="Y44" s="13">
        <f t="shared" si="61"/>
        <v>0</v>
      </c>
      <c r="Z44" s="13">
        <f t="shared" si="62"/>
        <v>0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</row>
    <row r="45" spans="1:345" s="14" customFormat="1">
      <c r="A45" s="12" t="s">
        <v>42</v>
      </c>
      <c r="B45" s="13">
        <f t="shared" si="38"/>
        <v>0</v>
      </c>
      <c r="C45" s="13">
        <f t="shared" si="39"/>
        <v>0</v>
      </c>
      <c r="D45" s="13">
        <f t="shared" si="40"/>
        <v>0</v>
      </c>
      <c r="E45" s="13">
        <f t="shared" si="41"/>
        <v>0</v>
      </c>
      <c r="F45" s="13">
        <f t="shared" si="42"/>
        <v>0</v>
      </c>
      <c r="G45" s="13">
        <f t="shared" si="43"/>
        <v>0</v>
      </c>
      <c r="H45" s="13">
        <f t="shared" si="44"/>
        <v>0</v>
      </c>
      <c r="I45" s="13">
        <f t="shared" si="45"/>
        <v>0</v>
      </c>
      <c r="J45" s="13">
        <f t="shared" si="46"/>
        <v>0</v>
      </c>
      <c r="K45" s="13">
        <f t="shared" si="47"/>
        <v>0</v>
      </c>
      <c r="L45" s="13">
        <f t="shared" si="48"/>
        <v>0</v>
      </c>
      <c r="M45" s="13">
        <f t="shared" si="49"/>
        <v>0</v>
      </c>
      <c r="N45" s="13">
        <f t="shared" si="50"/>
        <v>0</v>
      </c>
      <c r="O45" s="13">
        <f t="shared" si="51"/>
        <v>0</v>
      </c>
      <c r="P45" s="13">
        <f t="shared" si="52"/>
        <v>0</v>
      </c>
      <c r="Q45" s="13">
        <f t="shared" si="53"/>
        <v>0</v>
      </c>
      <c r="R45" s="13">
        <f t="shared" si="54"/>
        <v>0</v>
      </c>
      <c r="S45" s="13">
        <f t="shared" si="55"/>
        <v>0</v>
      </c>
      <c r="T45" s="13">
        <f t="shared" si="56"/>
        <v>0</v>
      </c>
      <c r="U45" s="13">
        <f t="shared" si="57"/>
        <v>0</v>
      </c>
      <c r="V45" s="13">
        <f t="shared" si="58"/>
        <v>0</v>
      </c>
      <c r="W45" s="13">
        <f t="shared" si="59"/>
        <v>0</v>
      </c>
      <c r="X45" s="13">
        <f t="shared" si="60"/>
        <v>0</v>
      </c>
      <c r="Y45" s="13">
        <f t="shared" si="61"/>
        <v>0</v>
      </c>
      <c r="Z45" s="13">
        <f t="shared" si="62"/>
        <v>0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</row>
    <row r="46" spans="1:345" s="14" customFormat="1">
      <c r="A46" s="12" t="s">
        <v>43</v>
      </c>
      <c r="B46" s="13">
        <f t="shared" si="38"/>
        <v>0</v>
      </c>
      <c r="C46" s="13">
        <f t="shared" si="39"/>
        <v>0</v>
      </c>
      <c r="D46" s="13">
        <f t="shared" si="40"/>
        <v>0</v>
      </c>
      <c r="E46" s="13">
        <f t="shared" si="41"/>
        <v>0</v>
      </c>
      <c r="F46" s="13">
        <f t="shared" si="42"/>
        <v>0</v>
      </c>
      <c r="G46" s="13">
        <f t="shared" si="43"/>
        <v>0</v>
      </c>
      <c r="H46" s="13">
        <f t="shared" si="44"/>
        <v>0</v>
      </c>
      <c r="I46" s="13">
        <f t="shared" si="45"/>
        <v>0</v>
      </c>
      <c r="J46" s="13">
        <f t="shared" si="46"/>
        <v>0</v>
      </c>
      <c r="K46" s="13">
        <f t="shared" si="47"/>
        <v>0</v>
      </c>
      <c r="L46" s="13">
        <f t="shared" si="48"/>
        <v>0</v>
      </c>
      <c r="M46" s="13">
        <f t="shared" si="49"/>
        <v>0</v>
      </c>
      <c r="N46" s="13">
        <f t="shared" si="50"/>
        <v>0</v>
      </c>
      <c r="O46" s="13">
        <f t="shared" si="51"/>
        <v>0</v>
      </c>
      <c r="P46" s="13">
        <f t="shared" si="52"/>
        <v>0</v>
      </c>
      <c r="Q46" s="13">
        <f t="shared" si="53"/>
        <v>0</v>
      </c>
      <c r="R46" s="13">
        <f t="shared" si="54"/>
        <v>0</v>
      </c>
      <c r="S46" s="13">
        <f t="shared" si="55"/>
        <v>0</v>
      </c>
      <c r="T46" s="13">
        <f t="shared" si="56"/>
        <v>0</v>
      </c>
      <c r="U46" s="13">
        <f t="shared" si="57"/>
        <v>0</v>
      </c>
      <c r="V46" s="13">
        <f t="shared" si="58"/>
        <v>0</v>
      </c>
      <c r="W46" s="13">
        <f t="shared" si="59"/>
        <v>0</v>
      </c>
      <c r="X46" s="13">
        <f t="shared" si="60"/>
        <v>0</v>
      </c>
      <c r="Y46" s="13">
        <f t="shared" si="61"/>
        <v>0</v>
      </c>
      <c r="Z46" s="13">
        <f t="shared" si="62"/>
        <v>0.20542500000000002</v>
      </c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>
        <v>130.72499999999999</v>
      </c>
      <c r="LF46" s="13">
        <v>74.7</v>
      </c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</row>
    <row r="47" spans="1:345" s="14" customFormat="1">
      <c r="A47" s="15" t="s">
        <v>44</v>
      </c>
      <c r="B47" s="13">
        <f t="shared" si="38"/>
        <v>0</v>
      </c>
      <c r="C47" s="13">
        <f t="shared" si="39"/>
        <v>0</v>
      </c>
      <c r="D47" s="13">
        <f t="shared" si="40"/>
        <v>0</v>
      </c>
      <c r="E47" s="13">
        <f t="shared" si="41"/>
        <v>0</v>
      </c>
      <c r="F47" s="13">
        <f t="shared" si="42"/>
        <v>0</v>
      </c>
      <c r="G47" s="13">
        <f t="shared" si="43"/>
        <v>0</v>
      </c>
      <c r="H47" s="13">
        <f t="shared" si="44"/>
        <v>0</v>
      </c>
      <c r="I47" s="13">
        <f t="shared" si="45"/>
        <v>0</v>
      </c>
      <c r="J47" s="13">
        <f t="shared" si="46"/>
        <v>0</v>
      </c>
      <c r="K47" s="13">
        <f t="shared" si="47"/>
        <v>0</v>
      </c>
      <c r="L47" s="13">
        <f t="shared" si="48"/>
        <v>0</v>
      </c>
      <c r="M47" s="13">
        <f t="shared" si="49"/>
        <v>0</v>
      </c>
      <c r="N47" s="13">
        <f t="shared" si="50"/>
        <v>0</v>
      </c>
      <c r="O47" s="13">
        <f t="shared" si="51"/>
        <v>0</v>
      </c>
      <c r="P47" s="13">
        <f t="shared" si="52"/>
        <v>0</v>
      </c>
      <c r="Q47" s="13">
        <f t="shared" si="53"/>
        <v>0</v>
      </c>
      <c r="R47" s="13">
        <f t="shared" si="54"/>
        <v>0</v>
      </c>
      <c r="S47" s="13">
        <f t="shared" si="55"/>
        <v>0</v>
      </c>
      <c r="T47" s="13">
        <f t="shared" si="56"/>
        <v>0</v>
      </c>
      <c r="U47" s="13">
        <f t="shared" si="57"/>
        <v>0</v>
      </c>
      <c r="V47" s="13">
        <f t="shared" si="58"/>
        <v>0</v>
      </c>
      <c r="W47" s="13">
        <f t="shared" si="59"/>
        <v>0</v>
      </c>
      <c r="X47" s="13">
        <f t="shared" si="60"/>
        <v>0</v>
      </c>
      <c r="Y47" s="13">
        <f t="shared" si="61"/>
        <v>0</v>
      </c>
      <c r="Z47" s="13">
        <f t="shared" si="62"/>
        <v>0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</row>
    <row r="48" spans="1:345" s="14" customFormat="1">
      <c r="A48" s="12" t="s">
        <v>45</v>
      </c>
      <c r="B48" s="13">
        <f t="shared" si="38"/>
        <v>0</v>
      </c>
      <c r="C48" s="13">
        <f t="shared" si="39"/>
        <v>0</v>
      </c>
      <c r="D48" s="13">
        <f t="shared" si="40"/>
        <v>0</v>
      </c>
      <c r="E48" s="13">
        <f t="shared" si="41"/>
        <v>0</v>
      </c>
      <c r="F48" s="13">
        <f t="shared" si="42"/>
        <v>0</v>
      </c>
      <c r="G48" s="13">
        <f t="shared" si="43"/>
        <v>0</v>
      </c>
      <c r="H48" s="13">
        <f t="shared" si="44"/>
        <v>0</v>
      </c>
      <c r="I48" s="13">
        <f t="shared" si="45"/>
        <v>0</v>
      </c>
      <c r="J48" s="13">
        <f t="shared" si="46"/>
        <v>0</v>
      </c>
      <c r="K48" s="13">
        <f t="shared" si="47"/>
        <v>0</v>
      </c>
      <c r="L48" s="13">
        <f t="shared" si="48"/>
        <v>0</v>
      </c>
      <c r="M48" s="13">
        <f t="shared" si="49"/>
        <v>0</v>
      </c>
      <c r="N48" s="13">
        <f t="shared" si="50"/>
        <v>0</v>
      </c>
      <c r="O48" s="13">
        <f t="shared" si="51"/>
        <v>0</v>
      </c>
      <c r="P48" s="13">
        <f t="shared" si="52"/>
        <v>0</v>
      </c>
      <c r="Q48" s="13">
        <f t="shared" si="53"/>
        <v>0</v>
      </c>
      <c r="R48" s="13">
        <f t="shared" si="54"/>
        <v>0</v>
      </c>
      <c r="S48" s="13">
        <f t="shared" si="55"/>
        <v>0</v>
      </c>
      <c r="T48" s="13">
        <f t="shared" si="56"/>
        <v>0</v>
      </c>
      <c r="U48" s="13">
        <f t="shared" si="57"/>
        <v>0</v>
      </c>
      <c r="V48" s="13">
        <f t="shared" si="58"/>
        <v>0</v>
      </c>
      <c r="W48" s="13">
        <f t="shared" si="59"/>
        <v>0</v>
      </c>
      <c r="X48" s="13">
        <f t="shared" si="60"/>
        <v>0</v>
      </c>
      <c r="Y48" s="13">
        <f t="shared" si="61"/>
        <v>0</v>
      </c>
      <c r="Z48" s="13">
        <f t="shared" si="62"/>
        <v>0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</row>
    <row r="49" spans="1:345" s="14" customFormat="1">
      <c r="A49" s="12" t="s">
        <v>46</v>
      </c>
      <c r="B49" s="13">
        <f t="shared" si="38"/>
        <v>0</v>
      </c>
      <c r="C49" s="13">
        <f t="shared" si="39"/>
        <v>0</v>
      </c>
      <c r="D49" s="13">
        <f t="shared" si="40"/>
        <v>0</v>
      </c>
      <c r="E49" s="13">
        <f t="shared" si="41"/>
        <v>0</v>
      </c>
      <c r="F49" s="13">
        <f t="shared" si="42"/>
        <v>0</v>
      </c>
      <c r="G49" s="13">
        <f t="shared" si="43"/>
        <v>0</v>
      </c>
      <c r="H49" s="13">
        <f t="shared" si="44"/>
        <v>0</v>
      </c>
      <c r="I49" s="13">
        <f t="shared" si="45"/>
        <v>0</v>
      </c>
      <c r="J49" s="13">
        <f t="shared" si="46"/>
        <v>0</v>
      </c>
      <c r="K49" s="13">
        <f t="shared" si="47"/>
        <v>0</v>
      </c>
      <c r="L49" s="13">
        <f t="shared" si="48"/>
        <v>0</v>
      </c>
      <c r="M49" s="13">
        <f t="shared" si="49"/>
        <v>0</v>
      </c>
      <c r="N49" s="13">
        <f t="shared" si="50"/>
        <v>0</v>
      </c>
      <c r="O49" s="13">
        <f t="shared" si="51"/>
        <v>0</v>
      </c>
      <c r="P49" s="13">
        <f t="shared" si="52"/>
        <v>0</v>
      </c>
      <c r="Q49" s="13">
        <f t="shared" si="53"/>
        <v>0</v>
      </c>
      <c r="R49" s="13">
        <f t="shared" si="54"/>
        <v>0</v>
      </c>
      <c r="S49" s="13">
        <f t="shared" si="55"/>
        <v>0</v>
      </c>
      <c r="T49" s="13">
        <f t="shared" si="56"/>
        <v>0</v>
      </c>
      <c r="U49" s="13">
        <f t="shared" si="57"/>
        <v>0</v>
      </c>
      <c r="V49" s="13">
        <f t="shared" si="58"/>
        <v>0</v>
      </c>
      <c r="W49" s="13">
        <f t="shared" si="59"/>
        <v>0</v>
      </c>
      <c r="X49" s="13">
        <f t="shared" si="60"/>
        <v>0</v>
      </c>
      <c r="Y49" s="13">
        <f t="shared" si="61"/>
        <v>0</v>
      </c>
      <c r="Z49" s="13">
        <f t="shared" si="62"/>
        <v>0</v>
      </c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</row>
    <row r="50" spans="1:345" s="14" customFormat="1">
      <c r="A50" s="12" t="s">
        <v>47</v>
      </c>
      <c r="B50" s="13">
        <f t="shared" si="38"/>
        <v>0</v>
      </c>
      <c r="C50" s="13">
        <f t="shared" si="39"/>
        <v>0</v>
      </c>
      <c r="D50" s="13">
        <f t="shared" si="40"/>
        <v>0</v>
      </c>
      <c r="E50" s="13">
        <f t="shared" si="41"/>
        <v>0</v>
      </c>
      <c r="F50" s="13">
        <f t="shared" si="42"/>
        <v>0</v>
      </c>
      <c r="G50" s="13">
        <f t="shared" si="43"/>
        <v>0</v>
      </c>
      <c r="H50" s="13">
        <f t="shared" si="44"/>
        <v>0</v>
      </c>
      <c r="I50" s="13">
        <f t="shared" si="45"/>
        <v>0</v>
      </c>
      <c r="J50" s="13">
        <f t="shared" si="46"/>
        <v>0</v>
      </c>
      <c r="K50" s="13">
        <f t="shared" si="47"/>
        <v>0</v>
      </c>
      <c r="L50" s="13">
        <f t="shared" si="48"/>
        <v>0</v>
      </c>
      <c r="M50" s="13">
        <f t="shared" si="49"/>
        <v>0</v>
      </c>
      <c r="N50" s="13">
        <f t="shared" si="50"/>
        <v>0</v>
      </c>
      <c r="O50" s="13">
        <f t="shared" si="51"/>
        <v>0</v>
      </c>
      <c r="P50" s="13">
        <f t="shared" si="52"/>
        <v>0</v>
      </c>
      <c r="Q50" s="13">
        <f t="shared" si="53"/>
        <v>0</v>
      </c>
      <c r="R50" s="13">
        <f t="shared" si="54"/>
        <v>0</v>
      </c>
      <c r="S50" s="13">
        <f t="shared" si="55"/>
        <v>0</v>
      </c>
      <c r="T50" s="13">
        <f t="shared" si="56"/>
        <v>0</v>
      </c>
      <c r="U50" s="13">
        <f t="shared" si="57"/>
        <v>0</v>
      </c>
      <c r="V50" s="13">
        <f t="shared" si="58"/>
        <v>0</v>
      </c>
      <c r="W50" s="13">
        <f t="shared" si="59"/>
        <v>0</v>
      </c>
      <c r="X50" s="13">
        <f t="shared" si="60"/>
        <v>0</v>
      </c>
      <c r="Y50" s="13">
        <f t="shared" si="61"/>
        <v>0</v>
      </c>
      <c r="Z50" s="13">
        <f t="shared" si="62"/>
        <v>6.3934199999999997E-2</v>
      </c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>
        <v>45.934199999999997</v>
      </c>
      <c r="LI50" s="13">
        <v>18</v>
      </c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</row>
    <row r="51" spans="1:345" s="14" customFormat="1">
      <c r="A51" s="12" t="s">
        <v>48</v>
      </c>
      <c r="B51" s="13">
        <f t="shared" si="38"/>
        <v>0</v>
      </c>
      <c r="C51" s="13">
        <f t="shared" si="39"/>
        <v>0</v>
      </c>
      <c r="D51" s="13">
        <f t="shared" si="40"/>
        <v>0</v>
      </c>
      <c r="E51" s="13">
        <f t="shared" si="41"/>
        <v>0</v>
      </c>
      <c r="F51" s="13">
        <f t="shared" si="42"/>
        <v>0</v>
      </c>
      <c r="G51" s="13">
        <f t="shared" si="43"/>
        <v>0</v>
      </c>
      <c r="H51" s="13">
        <f t="shared" si="44"/>
        <v>0</v>
      </c>
      <c r="I51" s="13">
        <f t="shared" si="45"/>
        <v>0</v>
      </c>
      <c r="J51" s="13">
        <f t="shared" si="46"/>
        <v>0</v>
      </c>
      <c r="K51" s="13">
        <f t="shared" si="47"/>
        <v>0</v>
      </c>
      <c r="L51" s="13">
        <f t="shared" si="48"/>
        <v>0</v>
      </c>
      <c r="M51" s="13">
        <f t="shared" si="49"/>
        <v>0</v>
      </c>
      <c r="N51" s="13">
        <f t="shared" si="50"/>
        <v>0</v>
      </c>
      <c r="O51" s="13">
        <f t="shared" si="51"/>
        <v>0</v>
      </c>
      <c r="P51" s="13">
        <f t="shared" si="52"/>
        <v>0</v>
      </c>
      <c r="Q51" s="13">
        <f t="shared" si="53"/>
        <v>0</v>
      </c>
      <c r="R51" s="13">
        <f t="shared" si="54"/>
        <v>0</v>
      </c>
      <c r="S51" s="13">
        <f t="shared" si="55"/>
        <v>0</v>
      </c>
      <c r="T51" s="13">
        <f t="shared" si="56"/>
        <v>0</v>
      </c>
      <c r="U51" s="13">
        <f t="shared" si="57"/>
        <v>0</v>
      </c>
      <c r="V51" s="13">
        <f t="shared" si="58"/>
        <v>0</v>
      </c>
      <c r="W51" s="13">
        <f t="shared" si="59"/>
        <v>0</v>
      </c>
      <c r="X51" s="13">
        <f t="shared" si="60"/>
        <v>0</v>
      </c>
      <c r="Y51" s="13">
        <f t="shared" si="61"/>
        <v>0</v>
      </c>
      <c r="Z51" s="13">
        <f t="shared" si="62"/>
        <v>0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</row>
    <row r="52" spans="1:345" s="14" customFormat="1">
      <c r="A52" s="12" t="s">
        <v>49</v>
      </c>
      <c r="B52" s="13">
        <f t="shared" si="38"/>
        <v>0</v>
      </c>
      <c r="C52" s="13">
        <f t="shared" si="39"/>
        <v>0</v>
      </c>
      <c r="D52" s="13">
        <f t="shared" si="40"/>
        <v>0</v>
      </c>
      <c r="E52" s="13">
        <f t="shared" si="41"/>
        <v>0</v>
      </c>
      <c r="F52" s="13">
        <f t="shared" si="42"/>
        <v>0</v>
      </c>
      <c r="G52" s="13">
        <f t="shared" si="43"/>
        <v>0</v>
      </c>
      <c r="H52" s="13">
        <f t="shared" si="44"/>
        <v>0</v>
      </c>
      <c r="I52" s="13">
        <f t="shared" si="45"/>
        <v>0</v>
      </c>
      <c r="J52" s="13">
        <f t="shared" si="46"/>
        <v>0</v>
      </c>
      <c r="K52" s="13">
        <f t="shared" si="47"/>
        <v>0</v>
      </c>
      <c r="L52" s="13">
        <f t="shared" si="48"/>
        <v>0</v>
      </c>
      <c r="M52" s="13">
        <f t="shared" si="49"/>
        <v>0</v>
      </c>
      <c r="N52" s="13">
        <f t="shared" si="50"/>
        <v>0</v>
      </c>
      <c r="O52" s="13">
        <f t="shared" si="51"/>
        <v>0</v>
      </c>
      <c r="P52" s="13">
        <f t="shared" si="52"/>
        <v>0</v>
      </c>
      <c r="Q52" s="13">
        <f t="shared" si="53"/>
        <v>0</v>
      </c>
      <c r="R52" s="13">
        <f t="shared" si="54"/>
        <v>0</v>
      </c>
      <c r="S52" s="13">
        <f t="shared" si="55"/>
        <v>0</v>
      </c>
      <c r="T52" s="13">
        <f t="shared" si="56"/>
        <v>0</v>
      </c>
      <c r="U52" s="13">
        <f t="shared" si="57"/>
        <v>0</v>
      </c>
      <c r="V52" s="13">
        <f t="shared" si="58"/>
        <v>0</v>
      </c>
      <c r="W52" s="13">
        <f t="shared" si="59"/>
        <v>0</v>
      </c>
      <c r="X52" s="13">
        <f t="shared" si="60"/>
        <v>0</v>
      </c>
      <c r="Y52" s="13">
        <f t="shared" si="61"/>
        <v>0</v>
      </c>
      <c r="Z52" s="13">
        <f t="shared" si="62"/>
        <v>0</v>
      </c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</row>
    <row r="53" spans="1:345" s="14" customFormat="1">
      <c r="A53" s="12" t="s">
        <v>50</v>
      </c>
      <c r="B53" s="13">
        <f t="shared" si="38"/>
        <v>0</v>
      </c>
      <c r="C53" s="13">
        <f t="shared" si="39"/>
        <v>0</v>
      </c>
      <c r="D53" s="13">
        <f t="shared" si="40"/>
        <v>0</v>
      </c>
      <c r="E53" s="13">
        <f t="shared" si="41"/>
        <v>0</v>
      </c>
      <c r="F53" s="13">
        <f t="shared" si="42"/>
        <v>0</v>
      </c>
      <c r="G53" s="13">
        <f t="shared" si="43"/>
        <v>0</v>
      </c>
      <c r="H53" s="13">
        <f t="shared" si="44"/>
        <v>0</v>
      </c>
      <c r="I53" s="13">
        <f t="shared" si="45"/>
        <v>0</v>
      </c>
      <c r="J53" s="13">
        <f t="shared" si="46"/>
        <v>0</v>
      </c>
      <c r="K53" s="13">
        <f t="shared" si="47"/>
        <v>0</v>
      </c>
      <c r="L53" s="13">
        <f t="shared" si="48"/>
        <v>0</v>
      </c>
      <c r="M53" s="13">
        <f t="shared" si="49"/>
        <v>0</v>
      </c>
      <c r="N53" s="13">
        <f t="shared" si="50"/>
        <v>0</v>
      </c>
      <c r="O53" s="13">
        <f t="shared" si="51"/>
        <v>0</v>
      </c>
      <c r="P53" s="13">
        <f t="shared" si="52"/>
        <v>0</v>
      </c>
      <c r="Q53" s="13">
        <f t="shared" si="53"/>
        <v>0</v>
      </c>
      <c r="R53" s="13">
        <f t="shared" si="54"/>
        <v>0</v>
      </c>
      <c r="S53" s="13">
        <f t="shared" si="55"/>
        <v>0</v>
      </c>
      <c r="T53" s="13">
        <f t="shared" si="56"/>
        <v>0</v>
      </c>
      <c r="U53" s="13">
        <f t="shared" si="57"/>
        <v>0</v>
      </c>
      <c r="V53" s="13">
        <f t="shared" si="58"/>
        <v>0</v>
      </c>
      <c r="W53" s="13">
        <f t="shared" si="59"/>
        <v>0</v>
      </c>
      <c r="X53" s="13">
        <f t="shared" si="60"/>
        <v>0</v>
      </c>
      <c r="Y53" s="13">
        <f t="shared" si="61"/>
        <v>0</v>
      </c>
      <c r="Z53" s="13">
        <f t="shared" si="62"/>
        <v>0</v>
      </c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</row>
    <row r="54" spans="1:345" s="14" customFormat="1">
      <c r="A54" s="12" t="s">
        <v>51</v>
      </c>
      <c r="B54" s="13">
        <f t="shared" si="38"/>
        <v>0</v>
      </c>
      <c r="C54" s="13">
        <f t="shared" si="39"/>
        <v>0</v>
      </c>
      <c r="D54" s="13">
        <f t="shared" si="40"/>
        <v>0</v>
      </c>
      <c r="E54" s="13">
        <f t="shared" si="41"/>
        <v>0</v>
      </c>
      <c r="F54" s="13">
        <f t="shared" si="42"/>
        <v>0</v>
      </c>
      <c r="G54" s="13">
        <f t="shared" si="43"/>
        <v>0</v>
      </c>
      <c r="H54" s="13">
        <f t="shared" si="44"/>
        <v>0</v>
      </c>
      <c r="I54" s="13">
        <f t="shared" si="45"/>
        <v>0</v>
      </c>
      <c r="J54" s="13">
        <f t="shared" si="46"/>
        <v>0</v>
      </c>
      <c r="K54" s="13">
        <f t="shared" si="47"/>
        <v>0</v>
      </c>
      <c r="L54" s="13">
        <f t="shared" si="48"/>
        <v>0</v>
      </c>
      <c r="M54" s="13">
        <f t="shared" si="49"/>
        <v>0</v>
      </c>
      <c r="N54" s="13">
        <f t="shared" si="50"/>
        <v>0</v>
      </c>
      <c r="O54" s="13">
        <f t="shared" si="51"/>
        <v>0</v>
      </c>
      <c r="P54" s="13">
        <f t="shared" si="52"/>
        <v>0</v>
      </c>
      <c r="Q54" s="13">
        <f t="shared" si="53"/>
        <v>0</v>
      </c>
      <c r="R54" s="13">
        <f t="shared" si="54"/>
        <v>0</v>
      </c>
      <c r="S54" s="13">
        <f t="shared" si="55"/>
        <v>0</v>
      </c>
      <c r="T54" s="13">
        <f t="shared" si="56"/>
        <v>0</v>
      </c>
      <c r="U54" s="13">
        <f t="shared" si="57"/>
        <v>0</v>
      </c>
      <c r="V54" s="13">
        <f t="shared" si="58"/>
        <v>0</v>
      </c>
      <c r="W54" s="13">
        <f t="shared" si="59"/>
        <v>0</v>
      </c>
      <c r="X54" s="13">
        <f t="shared" si="60"/>
        <v>0</v>
      </c>
      <c r="Y54" s="13">
        <f t="shared" si="61"/>
        <v>0</v>
      </c>
      <c r="Z54" s="13">
        <f t="shared" si="62"/>
        <v>0</v>
      </c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</row>
    <row r="55" spans="1:345" s="14" customFormat="1">
      <c r="A55" s="12" t="s">
        <v>52</v>
      </c>
      <c r="B55" s="13">
        <f t="shared" si="38"/>
        <v>0</v>
      </c>
      <c r="C55" s="13">
        <f t="shared" si="39"/>
        <v>0</v>
      </c>
      <c r="D55" s="13">
        <f t="shared" si="40"/>
        <v>0</v>
      </c>
      <c r="E55" s="13">
        <f t="shared" si="41"/>
        <v>0</v>
      </c>
      <c r="F55" s="13">
        <f t="shared" si="42"/>
        <v>0</v>
      </c>
      <c r="G55" s="13">
        <f t="shared" si="43"/>
        <v>0</v>
      </c>
      <c r="H55" s="13">
        <f t="shared" si="44"/>
        <v>0</v>
      </c>
      <c r="I55" s="13">
        <f t="shared" si="45"/>
        <v>0</v>
      </c>
      <c r="J55" s="13">
        <f t="shared" si="46"/>
        <v>0</v>
      </c>
      <c r="K55" s="13">
        <f t="shared" si="47"/>
        <v>0</v>
      </c>
      <c r="L55" s="13">
        <f t="shared" si="48"/>
        <v>0</v>
      </c>
      <c r="M55" s="13">
        <f t="shared" si="49"/>
        <v>0</v>
      </c>
      <c r="N55" s="13">
        <f t="shared" si="50"/>
        <v>0</v>
      </c>
      <c r="O55" s="13">
        <f t="shared" si="51"/>
        <v>0</v>
      </c>
      <c r="P55" s="13">
        <f t="shared" si="52"/>
        <v>0</v>
      </c>
      <c r="Q55" s="13">
        <f t="shared" si="53"/>
        <v>0</v>
      </c>
      <c r="R55" s="13">
        <f t="shared" si="54"/>
        <v>0</v>
      </c>
      <c r="S55" s="13">
        <f t="shared" si="55"/>
        <v>0</v>
      </c>
      <c r="T55" s="13">
        <f t="shared" si="56"/>
        <v>0</v>
      </c>
      <c r="U55" s="13">
        <f t="shared" si="57"/>
        <v>0</v>
      </c>
      <c r="V55" s="13">
        <f t="shared" si="58"/>
        <v>0</v>
      </c>
      <c r="W55" s="13">
        <f t="shared" si="59"/>
        <v>0</v>
      </c>
      <c r="X55" s="13">
        <f t="shared" si="60"/>
        <v>0</v>
      </c>
      <c r="Y55" s="13">
        <f t="shared" si="61"/>
        <v>0</v>
      </c>
      <c r="Z55" s="13">
        <f t="shared" si="62"/>
        <v>2.0691489000000001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>
        <v>205.15950000000001</v>
      </c>
      <c r="LF55" s="13">
        <v>225.2004</v>
      </c>
      <c r="LG55" s="13">
        <v>242.26050000000001</v>
      </c>
      <c r="LH55" s="13">
        <v>511.57799999999997</v>
      </c>
      <c r="LI55" s="13">
        <v>93.048000000000002</v>
      </c>
      <c r="LJ55" s="13"/>
      <c r="LK55" s="13">
        <v>175.29300000000001</v>
      </c>
      <c r="LL55" s="13">
        <v>154.96199999999999</v>
      </c>
      <c r="LM55" s="13">
        <v>172.5915</v>
      </c>
      <c r="LN55" s="13">
        <v>152.04599999999999</v>
      </c>
      <c r="LO55" s="13">
        <v>137.01</v>
      </c>
      <c r="LP55" s="13">
        <v>221.7765</v>
      </c>
      <c r="LQ55" s="13">
        <v>40.773000000000003</v>
      </c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</row>
    <row r="56" spans="1:345" s="14" customFormat="1">
      <c r="A56" s="12" t="s">
        <v>53</v>
      </c>
      <c r="B56" s="13">
        <f t="shared" si="38"/>
        <v>0</v>
      </c>
      <c r="C56" s="13">
        <f t="shared" si="39"/>
        <v>0</v>
      </c>
      <c r="D56" s="13">
        <f t="shared" si="40"/>
        <v>0</v>
      </c>
      <c r="E56" s="13">
        <f t="shared" si="41"/>
        <v>0</v>
      </c>
      <c r="F56" s="13">
        <f t="shared" si="42"/>
        <v>0</v>
      </c>
      <c r="G56" s="13">
        <f t="shared" si="43"/>
        <v>0</v>
      </c>
      <c r="H56" s="13">
        <f t="shared" si="44"/>
        <v>0</v>
      </c>
      <c r="I56" s="13">
        <f t="shared" si="45"/>
        <v>0</v>
      </c>
      <c r="J56" s="13">
        <f t="shared" si="46"/>
        <v>0</v>
      </c>
      <c r="K56" s="13">
        <f t="shared" si="47"/>
        <v>0</v>
      </c>
      <c r="L56" s="13">
        <f t="shared" si="48"/>
        <v>0</v>
      </c>
      <c r="M56" s="13">
        <f t="shared" si="49"/>
        <v>0</v>
      </c>
      <c r="N56" s="13">
        <f t="shared" si="50"/>
        <v>0</v>
      </c>
      <c r="O56" s="13">
        <f t="shared" si="51"/>
        <v>0</v>
      </c>
      <c r="P56" s="13">
        <f t="shared" si="52"/>
        <v>0</v>
      </c>
      <c r="Q56" s="13">
        <f t="shared" si="53"/>
        <v>0</v>
      </c>
      <c r="R56" s="13">
        <f t="shared" si="54"/>
        <v>0</v>
      </c>
      <c r="S56" s="13">
        <f t="shared" si="55"/>
        <v>0</v>
      </c>
      <c r="T56" s="13">
        <f t="shared" si="56"/>
        <v>0</v>
      </c>
      <c r="U56" s="13">
        <f t="shared" si="57"/>
        <v>0</v>
      </c>
      <c r="V56" s="13">
        <f t="shared" si="58"/>
        <v>0</v>
      </c>
      <c r="W56" s="13">
        <f t="shared" si="59"/>
        <v>0</v>
      </c>
      <c r="X56" s="13">
        <f t="shared" si="60"/>
        <v>0</v>
      </c>
      <c r="Y56" s="13">
        <f t="shared" si="61"/>
        <v>0</v>
      </c>
      <c r="Z56" s="13">
        <f t="shared" si="62"/>
        <v>0</v>
      </c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</row>
    <row r="57" spans="1:345" s="14" customFormat="1">
      <c r="A57" s="15" t="s">
        <v>54</v>
      </c>
      <c r="B57" s="13">
        <f t="shared" si="38"/>
        <v>0</v>
      </c>
      <c r="C57" s="13">
        <f t="shared" si="39"/>
        <v>0</v>
      </c>
      <c r="D57" s="13">
        <f t="shared" si="40"/>
        <v>0</v>
      </c>
      <c r="E57" s="13">
        <f t="shared" si="41"/>
        <v>0</v>
      </c>
      <c r="F57" s="13">
        <f t="shared" si="42"/>
        <v>0</v>
      </c>
      <c r="G57" s="13">
        <f t="shared" si="43"/>
        <v>0</v>
      </c>
      <c r="H57" s="13">
        <f t="shared" si="44"/>
        <v>0</v>
      </c>
      <c r="I57" s="13">
        <f t="shared" si="45"/>
        <v>0</v>
      </c>
      <c r="J57" s="13">
        <f t="shared" si="46"/>
        <v>0</v>
      </c>
      <c r="K57" s="13">
        <f t="shared" si="47"/>
        <v>0</v>
      </c>
      <c r="L57" s="13">
        <f t="shared" si="48"/>
        <v>0</v>
      </c>
      <c r="M57" s="13">
        <f t="shared" si="49"/>
        <v>0</v>
      </c>
      <c r="N57" s="13">
        <f t="shared" si="50"/>
        <v>0</v>
      </c>
      <c r="O57" s="13">
        <f t="shared" si="51"/>
        <v>0</v>
      </c>
      <c r="P57" s="13">
        <f t="shared" si="52"/>
        <v>0</v>
      </c>
      <c r="Q57" s="13">
        <f t="shared" si="53"/>
        <v>0</v>
      </c>
      <c r="R57" s="13">
        <f t="shared" si="54"/>
        <v>0</v>
      </c>
      <c r="S57" s="13">
        <f t="shared" si="55"/>
        <v>0</v>
      </c>
      <c r="T57" s="13">
        <f t="shared" si="56"/>
        <v>0</v>
      </c>
      <c r="U57" s="13">
        <f t="shared" si="57"/>
        <v>0</v>
      </c>
      <c r="V57" s="13">
        <f t="shared" si="58"/>
        <v>0</v>
      </c>
      <c r="W57" s="13">
        <f t="shared" si="59"/>
        <v>0</v>
      </c>
      <c r="X57" s="13">
        <f t="shared" si="60"/>
        <v>0</v>
      </c>
      <c r="Y57" s="13">
        <f t="shared" si="61"/>
        <v>0</v>
      </c>
      <c r="Z57" s="13">
        <f t="shared" si="62"/>
        <v>0</v>
      </c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</row>
    <row r="58" spans="1:345" s="14" customFormat="1">
      <c r="A58" s="1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</row>
    <row r="59" spans="1:345" s="14" customFormat="1">
      <c r="A59" s="12" t="s">
        <v>55</v>
      </c>
      <c r="B59" s="13">
        <f t="shared" ref="B59:Z59" si="63">SUM(B60:B72)</f>
        <v>0</v>
      </c>
      <c r="C59" s="13">
        <f t="shared" si="63"/>
        <v>0</v>
      </c>
      <c r="D59" s="13">
        <f t="shared" si="63"/>
        <v>0</v>
      </c>
      <c r="E59" s="13">
        <f t="shared" si="63"/>
        <v>0</v>
      </c>
      <c r="F59" s="13">
        <f t="shared" si="63"/>
        <v>0</v>
      </c>
      <c r="G59" s="13">
        <f t="shared" si="63"/>
        <v>0</v>
      </c>
      <c r="H59" s="13">
        <f t="shared" si="63"/>
        <v>0</v>
      </c>
      <c r="I59" s="13">
        <f t="shared" si="63"/>
        <v>0</v>
      </c>
      <c r="J59" s="13">
        <f t="shared" si="63"/>
        <v>0</v>
      </c>
      <c r="K59" s="13">
        <f t="shared" si="63"/>
        <v>0</v>
      </c>
      <c r="L59" s="13">
        <f t="shared" si="63"/>
        <v>0</v>
      </c>
      <c r="M59" s="13">
        <f t="shared" si="63"/>
        <v>0</v>
      </c>
      <c r="N59" s="13">
        <f t="shared" si="63"/>
        <v>0</v>
      </c>
      <c r="O59" s="13">
        <f t="shared" si="63"/>
        <v>0</v>
      </c>
      <c r="P59" s="13">
        <f t="shared" si="63"/>
        <v>0</v>
      </c>
      <c r="Q59" s="13">
        <f t="shared" si="63"/>
        <v>0</v>
      </c>
      <c r="R59" s="13">
        <f t="shared" si="63"/>
        <v>0</v>
      </c>
      <c r="S59" s="13">
        <f t="shared" si="63"/>
        <v>0</v>
      </c>
      <c r="T59" s="13">
        <f t="shared" si="63"/>
        <v>0</v>
      </c>
      <c r="U59" s="13">
        <f t="shared" si="63"/>
        <v>0</v>
      </c>
      <c r="V59" s="13">
        <f t="shared" si="63"/>
        <v>0</v>
      </c>
      <c r="W59" s="13">
        <f t="shared" si="63"/>
        <v>0</v>
      </c>
      <c r="X59" s="13">
        <f t="shared" si="63"/>
        <v>0</v>
      </c>
      <c r="Y59" s="13">
        <f t="shared" si="63"/>
        <v>0</v>
      </c>
      <c r="Z59" s="13">
        <f t="shared" si="63"/>
        <v>0</v>
      </c>
      <c r="AB59" s="13">
        <f t="shared" ref="AB59:CM59" si="64">SUM(AB60:AB72)</f>
        <v>0</v>
      </c>
      <c r="AC59" s="13">
        <f t="shared" si="64"/>
        <v>0</v>
      </c>
      <c r="AD59" s="13">
        <f t="shared" si="64"/>
        <v>0</v>
      </c>
      <c r="AE59" s="13">
        <f t="shared" si="64"/>
        <v>0</v>
      </c>
      <c r="AF59" s="13">
        <f t="shared" si="64"/>
        <v>0</v>
      </c>
      <c r="AG59" s="13">
        <f t="shared" si="64"/>
        <v>0</v>
      </c>
      <c r="AH59" s="13">
        <f t="shared" si="64"/>
        <v>0</v>
      </c>
      <c r="AI59" s="13">
        <f t="shared" si="64"/>
        <v>0</v>
      </c>
      <c r="AJ59" s="13">
        <f t="shared" si="64"/>
        <v>0</v>
      </c>
      <c r="AK59" s="13">
        <f t="shared" si="64"/>
        <v>0</v>
      </c>
      <c r="AL59" s="13">
        <f t="shared" si="64"/>
        <v>0</v>
      </c>
      <c r="AM59" s="13">
        <f t="shared" si="64"/>
        <v>0</v>
      </c>
      <c r="AN59" s="13">
        <f t="shared" si="64"/>
        <v>0</v>
      </c>
      <c r="AO59" s="13">
        <f t="shared" si="64"/>
        <v>0</v>
      </c>
      <c r="AP59" s="13">
        <f t="shared" si="64"/>
        <v>0</v>
      </c>
      <c r="AQ59" s="13">
        <f t="shared" si="64"/>
        <v>0</v>
      </c>
      <c r="AR59" s="13">
        <f t="shared" si="64"/>
        <v>0</v>
      </c>
      <c r="AS59" s="13">
        <f t="shared" si="64"/>
        <v>0</v>
      </c>
      <c r="AT59" s="13">
        <f t="shared" si="64"/>
        <v>0</v>
      </c>
      <c r="AU59" s="13">
        <f t="shared" si="64"/>
        <v>0</v>
      </c>
      <c r="AV59" s="13">
        <f t="shared" si="64"/>
        <v>0</v>
      </c>
      <c r="AW59" s="13">
        <f t="shared" si="64"/>
        <v>0</v>
      </c>
      <c r="AX59" s="13">
        <f t="shared" si="64"/>
        <v>0</v>
      </c>
      <c r="AY59" s="13">
        <f t="shared" si="64"/>
        <v>0</v>
      </c>
      <c r="AZ59" s="13">
        <f t="shared" si="64"/>
        <v>0</v>
      </c>
      <c r="BA59" s="13">
        <f t="shared" si="64"/>
        <v>0</v>
      </c>
      <c r="BB59" s="13">
        <f t="shared" si="64"/>
        <v>0</v>
      </c>
      <c r="BC59" s="13">
        <f t="shared" si="64"/>
        <v>0</v>
      </c>
      <c r="BD59" s="13">
        <f t="shared" si="64"/>
        <v>0</v>
      </c>
      <c r="BE59" s="13">
        <f t="shared" si="64"/>
        <v>0</v>
      </c>
      <c r="BF59" s="13">
        <f t="shared" si="64"/>
        <v>0</v>
      </c>
      <c r="BG59" s="13">
        <f t="shared" si="64"/>
        <v>0</v>
      </c>
      <c r="BH59" s="13">
        <f t="shared" si="64"/>
        <v>0</v>
      </c>
      <c r="BI59" s="13">
        <f t="shared" si="64"/>
        <v>0</v>
      </c>
      <c r="BJ59" s="13">
        <f t="shared" si="64"/>
        <v>0</v>
      </c>
      <c r="BK59" s="13">
        <f t="shared" si="64"/>
        <v>0</v>
      </c>
      <c r="BL59" s="13">
        <f t="shared" si="64"/>
        <v>0</v>
      </c>
      <c r="BM59" s="13">
        <f t="shared" si="64"/>
        <v>0</v>
      </c>
      <c r="BN59" s="13">
        <f t="shared" si="64"/>
        <v>0</v>
      </c>
      <c r="BO59" s="13">
        <f t="shared" si="64"/>
        <v>0</v>
      </c>
      <c r="BP59" s="13">
        <f t="shared" si="64"/>
        <v>0</v>
      </c>
      <c r="BQ59" s="13">
        <f t="shared" si="64"/>
        <v>0</v>
      </c>
      <c r="BR59" s="13">
        <f t="shared" si="64"/>
        <v>0</v>
      </c>
      <c r="BS59" s="13">
        <f t="shared" si="64"/>
        <v>0</v>
      </c>
      <c r="BT59" s="13">
        <f t="shared" si="64"/>
        <v>0</v>
      </c>
      <c r="BU59" s="13">
        <f t="shared" si="64"/>
        <v>0</v>
      </c>
      <c r="BV59" s="13">
        <f t="shared" si="64"/>
        <v>0</v>
      </c>
      <c r="BW59" s="13">
        <f t="shared" si="64"/>
        <v>0</v>
      </c>
      <c r="BX59" s="13">
        <f t="shared" si="64"/>
        <v>0</v>
      </c>
      <c r="BY59" s="13">
        <f t="shared" si="64"/>
        <v>0</v>
      </c>
      <c r="BZ59" s="13">
        <f t="shared" si="64"/>
        <v>0</v>
      </c>
      <c r="CA59" s="13">
        <f t="shared" si="64"/>
        <v>0</v>
      </c>
      <c r="CB59" s="13">
        <f t="shared" si="64"/>
        <v>0</v>
      </c>
      <c r="CC59" s="13">
        <f t="shared" si="64"/>
        <v>0</v>
      </c>
      <c r="CD59" s="13">
        <f t="shared" si="64"/>
        <v>0</v>
      </c>
      <c r="CE59" s="13">
        <f t="shared" si="64"/>
        <v>0</v>
      </c>
      <c r="CF59" s="13">
        <f t="shared" si="64"/>
        <v>0</v>
      </c>
      <c r="CG59" s="13">
        <f t="shared" si="64"/>
        <v>0</v>
      </c>
      <c r="CH59" s="13">
        <f t="shared" si="64"/>
        <v>0</v>
      </c>
      <c r="CI59" s="13">
        <f t="shared" si="64"/>
        <v>0</v>
      </c>
      <c r="CJ59" s="13">
        <f t="shared" si="64"/>
        <v>0</v>
      </c>
      <c r="CK59" s="13">
        <f t="shared" si="64"/>
        <v>0</v>
      </c>
      <c r="CL59" s="13">
        <f t="shared" si="64"/>
        <v>0</v>
      </c>
      <c r="CM59" s="13">
        <f t="shared" si="64"/>
        <v>0</v>
      </c>
      <c r="CN59" s="13">
        <f t="shared" ref="CN59:EY59" si="65">SUM(CN60:CN72)</f>
        <v>0</v>
      </c>
      <c r="CO59" s="13">
        <f t="shared" si="65"/>
        <v>0</v>
      </c>
      <c r="CP59" s="13">
        <f t="shared" si="65"/>
        <v>0</v>
      </c>
      <c r="CQ59" s="13">
        <f t="shared" si="65"/>
        <v>0</v>
      </c>
      <c r="CR59" s="13">
        <f t="shared" si="65"/>
        <v>0</v>
      </c>
      <c r="CS59" s="13">
        <f t="shared" si="65"/>
        <v>0</v>
      </c>
      <c r="CT59" s="13">
        <f t="shared" si="65"/>
        <v>0</v>
      </c>
      <c r="CU59" s="13">
        <f t="shared" si="65"/>
        <v>0</v>
      </c>
      <c r="CV59" s="13">
        <f t="shared" si="65"/>
        <v>0</v>
      </c>
      <c r="CW59" s="13">
        <f t="shared" si="65"/>
        <v>0</v>
      </c>
      <c r="CX59" s="13">
        <f t="shared" si="65"/>
        <v>0</v>
      </c>
      <c r="CY59" s="13">
        <f t="shared" si="65"/>
        <v>0</v>
      </c>
      <c r="CZ59" s="13">
        <f t="shared" si="65"/>
        <v>0</v>
      </c>
      <c r="DA59" s="13">
        <f t="shared" si="65"/>
        <v>0</v>
      </c>
      <c r="DB59" s="13">
        <f t="shared" si="65"/>
        <v>0</v>
      </c>
      <c r="DC59" s="13">
        <f t="shared" si="65"/>
        <v>0</v>
      </c>
      <c r="DD59" s="13">
        <f t="shared" si="65"/>
        <v>0</v>
      </c>
      <c r="DE59" s="13">
        <f t="shared" si="65"/>
        <v>0</v>
      </c>
      <c r="DF59" s="13">
        <f t="shared" si="65"/>
        <v>0</v>
      </c>
      <c r="DG59" s="13">
        <f t="shared" si="65"/>
        <v>0</v>
      </c>
      <c r="DH59" s="13">
        <f t="shared" si="65"/>
        <v>0</v>
      </c>
      <c r="DI59" s="13">
        <f t="shared" si="65"/>
        <v>0</v>
      </c>
      <c r="DJ59" s="13">
        <f t="shared" si="65"/>
        <v>0</v>
      </c>
      <c r="DK59" s="13">
        <f t="shared" si="65"/>
        <v>0</v>
      </c>
      <c r="DL59" s="13">
        <f t="shared" si="65"/>
        <v>0</v>
      </c>
      <c r="DM59" s="13">
        <f t="shared" si="65"/>
        <v>0</v>
      </c>
      <c r="DN59" s="13">
        <f t="shared" si="65"/>
        <v>0</v>
      </c>
      <c r="DO59" s="13">
        <f t="shared" si="65"/>
        <v>0</v>
      </c>
      <c r="DP59" s="13">
        <f t="shared" si="65"/>
        <v>0</v>
      </c>
      <c r="DQ59" s="13">
        <f t="shared" si="65"/>
        <v>0</v>
      </c>
      <c r="DR59" s="13">
        <f t="shared" si="65"/>
        <v>0</v>
      </c>
      <c r="DS59" s="13">
        <f t="shared" si="65"/>
        <v>0</v>
      </c>
      <c r="DT59" s="13">
        <f t="shared" si="65"/>
        <v>0</v>
      </c>
      <c r="DU59" s="13">
        <f t="shared" si="65"/>
        <v>0</v>
      </c>
      <c r="DV59" s="13">
        <f t="shared" si="65"/>
        <v>0</v>
      </c>
      <c r="DW59" s="13">
        <f t="shared" si="65"/>
        <v>0</v>
      </c>
      <c r="DX59" s="13">
        <f t="shared" si="65"/>
        <v>0</v>
      </c>
      <c r="DY59" s="13">
        <f t="shared" si="65"/>
        <v>0</v>
      </c>
      <c r="DZ59" s="13">
        <f t="shared" si="65"/>
        <v>0</v>
      </c>
      <c r="EA59" s="13">
        <f t="shared" si="65"/>
        <v>0</v>
      </c>
      <c r="EB59" s="13">
        <f t="shared" si="65"/>
        <v>0</v>
      </c>
      <c r="EC59" s="13">
        <f t="shared" si="65"/>
        <v>0</v>
      </c>
      <c r="ED59" s="13">
        <f t="shared" si="65"/>
        <v>0</v>
      </c>
      <c r="EE59" s="13">
        <f t="shared" si="65"/>
        <v>0</v>
      </c>
      <c r="EF59" s="13">
        <f t="shared" si="65"/>
        <v>0</v>
      </c>
      <c r="EG59" s="13">
        <f t="shared" si="65"/>
        <v>0</v>
      </c>
      <c r="EH59" s="13">
        <f t="shared" si="65"/>
        <v>0</v>
      </c>
      <c r="EI59" s="13">
        <f t="shared" si="65"/>
        <v>0</v>
      </c>
      <c r="EJ59" s="13">
        <f t="shared" si="65"/>
        <v>0</v>
      </c>
      <c r="EK59" s="13">
        <f t="shared" si="65"/>
        <v>0</v>
      </c>
      <c r="EL59" s="13">
        <f t="shared" si="65"/>
        <v>0</v>
      </c>
      <c r="EM59" s="13">
        <f t="shared" si="65"/>
        <v>0</v>
      </c>
      <c r="EN59" s="13">
        <f t="shared" si="65"/>
        <v>0</v>
      </c>
      <c r="EO59" s="13">
        <f t="shared" si="65"/>
        <v>0</v>
      </c>
      <c r="EP59" s="13">
        <f t="shared" si="65"/>
        <v>0</v>
      </c>
      <c r="EQ59" s="13">
        <f t="shared" si="65"/>
        <v>0</v>
      </c>
      <c r="ER59" s="13">
        <f t="shared" si="65"/>
        <v>0</v>
      </c>
      <c r="ES59" s="13">
        <f t="shared" si="65"/>
        <v>0</v>
      </c>
      <c r="ET59" s="13">
        <f t="shared" si="65"/>
        <v>0</v>
      </c>
      <c r="EU59" s="13">
        <f t="shared" si="65"/>
        <v>0</v>
      </c>
      <c r="EV59" s="13">
        <f t="shared" si="65"/>
        <v>0</v>
      </c>
      <c r="EW59" s="13">
        <f t="shared" si="65"/>
        <v>0</v>
      </c>
      <c r="EX59" s="13">
        <f t="shared" si="65"/>
        <v>0</v>
      </c>
      <c r="EY59" s="13">
        <f t="shared" si="65"/>
        <v>0</v>
      </c>
      <c r="EZ59" s="13">
        <f t="shared" ref="EZ59:HK59" si="66">SUM(EZ60:EZ72)</f>
        <v>0</v>
      </c>
      <c r="FA59" s="13">
        <f t="shared" si="66"/>
        <v>0</v>
      </c>
      <c r="FB59" s="13">
        <f t="shared" si="66"/>
        <v>0</v>
      </c>
      <c r="FC59" s="13">
        <f t="shared" si="66"/>
        <v>0</v>
      </c>
      <c r="FD59" s="13">
        <f t="shared" si="66"/>
        <v>0</v>
      </c>
      <c r="FE59" s="13">
        <f t="shared" si="66"/>
        <v>0</v>
      </c>
      <c r="FF59" s="13">
        <f t="shared" si="66"/>
        <v>0</v>
      </c>
      <c r="FG59" s="13">
        <f t="shared" si="66"/>
        <v>0</v>
      </c>
      <c r="FH59" s="13">
        <f t="shared" si="66"/>
        <v>0</v>
      </c>
      <c r="FI59" s="13">
        <f t="shared" si="66"/>
        <v>0</v>
      </c>
      <c r="FJ59" s="13">
        <f t="shared" si="66"/>
        <v>0</v>
      </c>
      <c r="FK59" s="13">
        <f t="shared" si="66"/>
        <v>0</v>
      </c>
      <c r="FL59" s="13">
        <f t="shared" si="66"/>
        <v>0</v>
      </c>
      <c r="FM59" s="13">
        <f t="shared" si="66"/>
        <v>0</v>
      </c>
      <c r="FN59" s="13">
        <f t="shared" si="66"/>
        <v>0</v>
      </c>
      <c r="FO59" s="13">
        <f t="shared" si="66"/>
        <v>0</v>
      </c>
      <c r="FP59" s="13">
        <f t="shared" si="66"/>
        <v>0</v>
      </c>
      <c r="FQ59" s="13">
        <f t="shared" si="66"/>
        <v>0</v>
      </c>
      <c r="FR59" s="13">
        <f t="shared" si="66"/>
        <v>0</v>
      </c>
      <c r="FS59" s="13">
        <f t="shared" si="66"/>
        <v>0</v>
      </c>
      <c r="FT59" s="13">
        <f t="shared" si="66"/>
        <v>0</v>
      </c>
      <c r="FU59" s="13">
        <f t="shared" si="66"/>
        <v>0</v>
      </c>
      <c r="FV59" s="13">
        <f t="shared" si="66"/>
        <v>0</v>
      </c>
      <c r="FW59" s="13">
        <f t="shared" si="66"/>
        <v>0</v>
      </c>
      <c r="FX59" s="13">
        <f t="shared" si="66"/>
        <v>0</v>
      </c>
      <c r="FY59" s="13">
        <f t="shared" si="66"/>
        <v>0</v>
      </c>
      <c r="FZ59" s="13">
        <f t="shared" si="66"/>
        <v>0</v>
      </c>
      <c r="GA59" s="13">
        <f t="shared" si="66"/>
        <v>0</v>
      </c>
      <c r="GB59" s="13">
        <f t="shared" si="66"/>
        <v>0</v>
      </c>
      <c r="GC59" s="13">
        <f t="shared" si="66"/>
        <v>0</v>
      </c>
      <c r="GD59" s="13">
        <f t="shared" si="66"/>
        <v>0</v>
      </c>
      <c r="GE59" s="13">
        <f t="shared" si="66"/>
        <v>0</v>
      </c>
      <c r="GF59" s="13">
        <f t="shared" si="66"/>
        <v>0</v>
      </c>
      <c r="GG59" s="13">
        <f t="shared" si="66"/>
        <v>0</v>
      </c>
      <c r="GH59" s="13">
        <f t="shared" si="66"/>
        <v>0</v>
      </c>
      <c r="GI59" s="13">
        <f t="shared" si="66"/>
        <v>0</v>
      </c>
      <c r="GJ59" s="13">
        <f t="shared" si="66"/>
        <v>0</v>
      </c>
      <c r="GK59" s="13">
        <f t="shared" si="66"/>
        <v>0</v>
      </c>
      <c r="GL59" s="13">
        <f t="shared" si="66"/>
        <v>0</v>
      </c>
      <c r="GM59" s="13">
        <f t="shared" si="66"/>
        <v>0</v>
      </c>
      <c r="GN59" s="13">
        <f t="shared" si="66"/>
        <v>0</v>
      </c>
      <c r="GO59" s="13">
        <f t="shared" si="66"/>
        <v>0</v>
      </c>
      <c r="GP59" s="13">
        <f t="shared" si="66"/>
        <v>0</v>
      </c>
      <c r="GQ59" s="13">
        <f t="shared" si="66"/>
        <v>0</v>
      </c>
      <c r="GR59" s="13">
        <f t="shared" si="66"/>
        <v>0</v>
      </c>
      <c r="GS59" s="13">
        <f t="shared" si="66"/>
        <v>0</v>
      </c>
      <c r="GT59" s="13">
        <f t="shared" si="66"/>
        <v>0</v>
      </c>
      <c r="GU59" s="13">
        <f t="shared" si="66"/>
        <v>0</v>
      </c>
      <c r="GV59" s="13">
        <f t="shared" si="66"/>
        <v>0</v>
      </c>
      <c r="GW59" s="13">
        <f t="shared" si="66"/>
        <v>0</v>
      </c>
      <c r="GX59" s="13">
        <f t="shared" si="66"/>
        <v>0</v>
      </c>
      <c r="GY59" s="13">
        <f t="shared" si="66"/>
        <v>0</v>
      </c>
      <c r="GZ59" s="13">
        <f t="shared" si="66"/>
        <v>0</v>
      </c>
      <c r="HA59" s="13">
        <f t="shared" si="66"/>
        <v>0</v>
      </c>
      <c r="HB59" s="13">
        <f t="shared" si="66"/>
        <v>0</v>
      </c>
      <c r="HC59" s="13">
        <f t="shared" si="66"/>
        <v>0</v>
      </c>
      <c r="HD59" s="13">
        <f t="shared" si="66"/>
        <v>0</v>
      </c>
      <c r="HE59" s="13">
        <f t="shared" si="66"/>
        <v>0</v>
      </c>
      <c r="HF59" s="13">
        <f t="shared" si="66"/>
        <v>0</v>
      </c>
      <c r="HG59" s="13">
        <f t="shared" si="66"/>
        <v>0</v>
      </c>
      <c r="HH59" s="13">
        <f t="shared" si="66"/>
        <v>0</v>
      </c>
      <c r="HI59" s="13">
        <f t="shared" si="66"/>
        <v>0</v>
      </c>
      <c r="HJ59" s="13">
        <f t="shared" si="66"/>
        <v>0</v>
      </c>
      <c r="HK59" s="13">
        <f t="shared" si="66"/>
        <v>0</v>
      </c>
      <c r="HL59" s="13">
        <f t="shared" ref="HL59:JW59" si="67">SUM(HL60:HL72)</f>
        <v>0</v>
      </c>
      <c r="HM59" s="13">
        <f t="shared" si="67"/>
        <v>0</v>
      </c>
      <c r="HN59" s="13">
        <f t="shared" si="67"/>
        <v>0</v>
      </c>
      <c r="HO59" s="13">
        <f t="shared" si="67"/>
        <v>0</v>
      </c>
      <c r="HP59" s="13">
        <f t="shared" si="67"/>
        <v>0</v>
      </c>
      <c r="HQ59" s="13">
        <f t="shared" si="67"/>
        <v>0</v>
      </c>
      <c r="HR59" s="13">
        <f t="shared" si="67"/>
        <v>0</v>
      </c>
      <c r="HS59" s="13">
        <f t="shared" si="67"/>
        <v>0</v>
      </c>
      <c r="HT59" s="13">
        <f t="shared" si="67"/>
        <v>0</v>
      </c>
      <c r="HU59" s="13">
        <f t="shared" si="67"/>
        <v>0</v>
      </c>
      <c r="HV59" s="13">
        <f t="shared" si="67"/>
        <v>0</v>
      </c>
      <c r="HW59" s="13">
        <f t="shared" si="67"/>
        <v>0</v>
      </c>
      <c r="HX59" s="13">
        <f t="shared" si="67"/>
        <v>0</v>
      </c>
      <c r="HY59" s="13">
        <f t="shared" si="67"/>
        <v>0</v>
      </c>
      <c r="HZ59" s="13">
        <f t="shared" si="67"/>
        <v>0</v>
      </c>
      <c r="IA59" s="13">
        <f t="shared" si="67"/>
        <v>0</v>
      </c>
      <c r="IB59" s="13">
        <f t="shared" si="67"/>
        <v>0</v>
      </c>
      <c r="IC59" s="13">
        <f t="shared" si="67"/>
        <v>0</v>
      </c>
      <c r="ID59" s="13">
        <f t="shared" si="67"/>
        <v>0</v>
      </c>
      <c r="IE59" s="13">
        <f t="shared" si="67"/>
        <v>0</v>
      </c>
      <c r="IF59" s="13">
        <f t="shared" si="67"/>
        <v>0</v>
      </c>
      <c r="IG59" s="13">
        <f t="shared" si="67"/>
        <v>0</v>
      </c>
      <c r="IH59" s="13">
        <f t="shared" si="67"/>
        <v>0</v>
      </c>
      <c r="II59" s="13">
        <f t="shared" si="67"/>
        <v>0</v>
      </c>
      <c r="IJ59" s="13">
        <f t="shared" si="67"/>
        <v>0</v>
      </c>
      <c r="IK59" s="13">
        <f t="shared" si="67"/>
        <v>0</v>
      </c>
      <c r="IL59" s="13">
        <f t="shared" si="67"/>
        <v>0</v>
      </c>
      <c r="IM59" s="13">
        <f t="shared" si="67"/>
        <v>0</v>
      </c>
      <c r="IN59" s="13">
        <f t="shared" si="67"/>
        <v>0</v>
      </c>
      <c r="IO59" s="13">
        <f t="shared" si="67"/>
        <v>0</v>
      </c>
      <c r="IP59" s="13">
        <f t="shared" si="67"/>
        <v>0</v>
      </c>
      <c r="IQ59" s="13">
        <f t="shared" si="67"/>
        <v>0</v>
      </c>
      <c r="IR59" s="13">
        <f t="shared" si="67"/>
        <v>0</v>
      </c>
      <c r="IS59" s="13">
        <f t="shared" si="67"/>
        <v>0</v>
      </c>
      <c r="IT59" s="13">
        <f t="shared" si="67"/>
        <v>0</v>
      </c>
      <c r="IU59" s="13">
        <f t="shared" si="67"/>
        <v>0</v>
      </c>
      <c r="IV59" s="13">
        <f t="shared" si="67"/>
        <v>0</v>
      </c>
      <c r="IW59" s="13">
        <f t="shared" si="67"/>
        <v>0</v>
      </c>
      <c r="IX59" s="13">
        <f t="shared" si="67"/>
        <v>0</v>
      </c>
      <c r="IY59" s="13">
        <f t="shared" si="67"/>
        <v>0</v>
      </c>
      <c r="IZ59" s="13">
        <f t="shared" si="67"/>
        <v>0</v>
      </c>
      <c r="JA59" s="13">
        <f t="shared" si="67"/>
        <v>0</v>
      </c>
      <c r="JB59" s="13">
        <f t="shared" si="67"/>
        <v>0</v>
      </c>
      <c r="JC59" s="13">
        <f t="shared" si="67"/>
        <v>0</v>
      </c>
      <c r="JD59" s="13">
        <f t="shared" si="67"/>
        <v>0</v>
      </c>
      <c r="JE59" s="13">
        <f t="shared" si="67"/>
        <v>0</v>
      </c>
      <c r="JF59" s="13">
        <f t="shared" si="67"/>
        <v>0</v>
      </c>
      <c r="JG59" s="13">
        <f t="shared" si="67"/>
        <v>0</v>
      </c>
      <c r="JH59" s="13">
        <f t="shared" si="67"/>
        <v>0</v>
      </c>
      <c r="JI59" s="13">
        <f t="shared" si="67"/>
        <v>0</v>
      </c>
      <c r="JJ59" s="13">
        <f t="shared" si="67"/>
        <v>0</v>
      </c>
      <c r="JK59" s="13">
        <f t="shared" si="67"/>
        <v>0</v>
      </c>
      <c r="JL59" s="13">
        <f t="shared" si="67"/>
        <v>0</v>
      </c>
      <c r="JM59" s="13">
        <f t="shared" si="67"/>
        <v>0</v>
      </c>
      <c r="JN59" s="13">
        <f t="shared" si="67"/>
        <v>0</v>
      </c>
      <c r="JO59" s="13">
        <f t="shared" si="67"/>
        <v>0</v>
      </c>
      <c r="JP59" s="13">
        <f t="shared" si="67"/>
        <v>0</v>
      </c>
      <c r="JQ59" s="13">
        <f t="shared" si="67"/>
        <v>0</v>
      </c>
      <c r="JR59" s="13">
        <f t="shared" si="67"/>
        <v>0</v>
      </c>
      <c r="JS59" s="13">
        <f t="shared" si="67"/>
        <v>0</v>
      </c>
      <c r="JT59" s="13">
        <f t="shared" si="67"/>
        <v>0</v>
      </c>
      <c r="JU59" s="13">
        <f t="shared" si="67"/>
        <v>0</v>
      </c>
      <c r="JV59" s="13">
        <f t="shared" si="67"/>
        <v>0</v>
      </c>
      <c r="JW59" s="13">
        <f t="shared" si="67"/>
        <v>0</v>
      </c>
      <c r="JX59" s="13">
        <f t="shared" ref="JX59:MG59" si="68">SUM(JX60:JX72)</f>
        <v>0</v>
      </c>
      <c r="JY59" s="13">
        <f t="shared" si="68"/>
        <v>0</v>
      </c>
      <c r="JZ59" s="13">
        <f t="shared" si="68"/>
        <v>0</v>
      </c>
      <c r="KA59" s="13">
        <f t="shared" si="68"/>
        <v>0</v>
      </c>
      <c r="KB59" s="13">
        <f t="shared" si="68"/>
        <v>0</v>
      </c>
      <c r="KC59" s="13">
        <f t="shared" si="68"/>
        <v>0</v>
      </c>
      <c r="KD59" s="13">
        <f t="shared" si="68"/>
        <v>0</v>
      </c>
      <c r="KE59" s="13">
        <f t="shared" si="68"/>
        <v>0</v>
      </c>
      <c r="KF59" s="13">
        <f t="shared" si="68"/>
        <v>0</v>
      </c>
      <c r="KG59" s="13">
        <f t="shared" si="68"/>
        <v>0</v>
      </c>
      <c r="KH59" s="13">
        <f t="shared" si="68"/>
        <v>0</v>
      </c>
      <c r="KI59" s="13">
        <f t="shared" si="68"/>
        <v>0</v>
      </c>
      <c r="KJ59" s="13">
        <f t="shared" si="68"/>
        <v>0</v>
      </c>
      <c r="KK59" s="13">
        <f t="shared" si="68"/>
        <v>0</v>
      </c>
      <c r="KL59" s="13">
        <f t="shared" si="68"/>
        <v>0</v>
      </c>
      <c r="KM59" s="13">
        <f t="shared" si="68"/>
        <v>0</v>
      </c>
      <c r="KN59" s="13">
        <f t="shared" si="68"/>
        <v>0</v>
      </c>
      <c r="KO59" s="13">
        <f t="shared" si="68"/>
        <v>0</v>
      </c>
      <c r="KP59" s="13">
        <f t="shared" si="68"/>
        <v>0</v>
      </c>
      <c r="KQ59" s="13">
        <f t="shared" si="68"/>
        <v>0</v>
      </c>
      <c r="KR59" s="13">
        <f t="shared" si="68"/>
        <v>0</v>
      </c>
      <c r="KS59" s="13">
        <f t="shared" si="68"/>
        <v>0</v>
      </c>
      <c r="KT59" s="13">
        <f t="shared" si="68"/>
        <v>0</v>
      </c>
      <c r="KU59" s="13">
        <f t="shared" si="68"/>
        <v>0</v>
      </c>
      <c r="KV59" s="13">
        <f t="shared" si="68"/>
        <v>0</v>
      </c>
      <c r="KW59" s="13">
        <f t="shared" si="68"/>
        <v>0</v>
      </c>
      <c r="KX59" s="13">
        <f t="shared" si="68"/>
        <v>0</v>
      </c>
      <c r="KY59" s="13">
        <f t="shared" si="68"/>
        <v>0</v>
      </c>
      <c r="KZ59" s="13">
        <f t="shared" si="68"/>
        <v>0</v>
      </c>
      <c r="LA59" s="13">
        <f t="shared" si="68"/>
        <v>0</v>
      </c>
      <c r="LB59" s="13">
        <f t="shared" si="68"/>
        <v>0</v>
      </c>
      <c r="LC59" s="13">
        <f t="shared" si="68"/>
        <v>0</v>
      </c>
      <c r="LD59" s="13">
        <f t="shared" si="68"/>
        <v>0</v>
      </c>
      <c r="LE59" s="13">
        <f t="shared" si="68"/>
        <v>0</v>
      </c>
      <c r="LF59" s="13">
        <f t="shared" si="68"/>
        <v>0</v>
      </c>
      <c r="LG59" s="13">
        <f t="shared" si="68"/>
        <v>0</v>
      </c>
      <c r="LH59" s="13">
        <f t="shared" si="68"/>
        <v>0</v>
      </c>
      <c r="LI59" s="13">
        <f t="shared" si="68"/>
        <v>0</v>
      </c>
      <c r="LJ59" s="13">
        <f t="shared" si="68"/>
        <v>0</v>
      </c>
      <c r="LK59" s="13">
        <f t="shared" si="68"/>
        <v>0</v>
      </c>
      <c r="LL59" s="13">
        <f t="shared" si="68"/>
        <v>0</v>
      </c>
      <c r="LM59" s="13">
        <f t="shared" si="68"/>
        <v>0</v>
      </c>
      <c r="LN59" s="13">
        <f t="shared" si="68"/>
        <v>0</v>
      </c>
      <c r="LO59" s="13">
        <f t="shared" si="68"/>
        <v>0</v>
      </c>
      <c r="LP59" s="13">
        <f t="shared" si="68"/>
        <v>0</v>
      </c>
      <c r="LQ59" s="13">
        <f t="shared" si="68"/>
        <v>0</v>
      </c>
      <c r="LR59" s="13">
        <f t="shared" si="68"/>
        <v>0</v>
      </c>
      <c r="LS59" s="13">
        <f t="shared" si="68"/>
        <v>0</v>
      </c>
      <c r="LT59" s="13">
        <f t="shared" si="68"/>
        <v>0</v>
      </c>
      <c r="LU59" s="13">
        <f t="shared" si="68"/>
        <v>0</v>
      </c>
      <c r="LV59" s="13">
        <f t="shared" si="68"/>
        <v>0</v>
      </c>
      <c r="LW59" s="13">
        <f t="shared" si="68"/>
        <v>0</v>
      </c>
      <c r="LX59" s="13">
        <f t="shared" si="68"/>
        <v>0</v>
      </c>
      <c r="LY59" s="13">
        <f t="shared" si="68"/>
        <v>0</v>
      </c>
      <c r="LZ59" s="13">
        <f t="shared" si="68"/>
        <v>0</v>
      </c>
      <c r="MA59" s="13">
        <f t="shared" si="68"/>
        <v>0</v>
      </c>
      <c r="MB59" s="13">
        <f t="shared" si="68"/>
        <v>0</v>
      </c>
      <c r="MC59" s="13">
        <f t="shared" si="68"/>
        <v>0</v>
      </c>
      <c r="MD59" s="13">
        <f t="shared" si="68"/>
        <v>0</v>
      </c>
      <c r="ME59" s="13">
        <f t="shared" si="68"/>
        <v>0</v>
      </c>
      <c r="MF59" s="13">
        <f t="shared" si="68"/>
        <v>0</v>
      </c>
      <c r="MG59" s="13">
        <f t="shared" si="68"/>
        <v>0</v>
      </c>
    </row>
    <row r="60" spans="1:345" s="14" customFormat="1">
      <c r="A60" s="15" t="s">
        <v>56</v>
      </c>
      <c r="B60" s="13">
        <f t="shared" ref="B60:B72" si="69">SUM(AB60:AM60)/1000</f>
        <v>0</v>
      </c>
      <c r="C60" s="13">
        <f t="shared" ref="C60:C72" si="70">SUM(AN60:AY60)/1000</f>
        <v>0</v>
      </c>
      <c r="D60" s="13">
        <f t="shared" ref="D60:D72" si="71">SUM(AZ60:BK60)/1000</f>
        <v>0</v>
      </c>
      <c r="E60" s="13">
        <f t="shared" ref="E60:E72" si="72">SUM(BL60:BW60)/1000</f>
        <v>0</v>
      </c>
      <c r="F60" s="13">
        <f t="shared" ref="F60:F72" si="73">SUM(BX60:CI60)/1000</f>
        <v>0</v>
      </c>
      <c r="G60" s="13">
        <f t="shared" ref="G60:G72" si="74">SUM(CJ60:CU60)/1000</f>
        <v>0</v>
      </c>
      <c r="H60" s="13">
        <f t="shared" ref="H60:H72" si="75">SUM(CV60:DG60)/1000</f>
        <v>0</v>
      </c>
      <c r="I60" s="13">
        <f t="shared" ref="I60:I72" si="76">SUM(DH60:DS60)/1000</f>
        <v>0</v>
      </c>
      <c r="J60" s="13">
        <f t="shared" ref="J60:J72" si="77">SUM(DT60:EE60)/1000</f>
        <v>0</v>
      </c>
      <c r="K60" s="13">
        <f t="shared" ref="K60:K72" si="78">SUM(EF60:EQ60)/1000</f>
        <v>0</v>
      </c>
      <c r="L60" s="13">
        <f t="shared" ref="L60:L72" si="79">SUM(ER60:FC60)/1000</f>
        <v>0</v>
      </c>
      <c r="M60" s="13">
        <f t="shared" ref="M60:M72" si="80">SUM(FD60:FO60)/1000</f>
        <v>0</v>
      </c>
      <c r="N60" s="13">
        <f t="shared" ref="N60:N72" si="81">SUM(FP60:GA60)/1000</f>
        <v>0</v>
      </c>
      <c r="O60" s="13">
        <f t="shared" ref="O60:O72" si="82">SUM(GB60:GM60)/1000</f>
        <v>0</v>
      </c>
      <c r="P60" s="13">
        <f t="shared" ref="P60:P72" si="83">SUM(GN60:GY60)/1000</f>
        <v>0</v>
      </c>
      <c r="Q60" s="13">
        <f t="shared" ref="Q60:Q72" si="84">SUM(GZ60:HK60)/1000</f>
        <v>0</v>
      </c>
      <c r="R60" s="13">
        <f t="shared" ref="R60:R72" si="85">SUM(HL60:HW60)/1000</f>
        <v>0</v>
      </c>
      <c r="S60" s="13">
        <f t="shared" ref="S60:S72" si="86">SUM(HX60:II60)/1000</f>
        <v>0</v>
      </c>
      <c r="T60" s="13">
        <f t="shared" ref="T60:T72" si="87">SUM(IJ60:IU60)/1000</f>
        <v>0</v>
      </c>
      <c r="U60" s="13">
        <f t="shared" ref="U60:U72" si="88">SUM(IV60:JG60)/1000</f>
        <v>0</v>
      </c>
      <c r="V60" s="13">
        <f t="shared" ref="V60:V72" si="89">SUM(JH60:JS60)/1000</f>
        <v>0</v>
      </c>
      <c r="W60" s="13">
        <f t="shared" ref="W60:W72" si="90">SUM(JT60:KE60)/1000</f>
        <v>0</v>
      </c>
      <c r="X60" s="13">
        <f t="shared" ref="X60:X72" si="91">SUM(KF60:KQ60)/1000</f>
        <v>0</v>
      </c>
      <c r="Y60" s="13">
        <f t="shared" ref="Y60:Y72" si="92">SUM(KR60:LC60)/1000</f>
        <v>0</v>
      </c>
      <c r="Z60" s="13">
        <f t="shared" ref="Z60:Z72" si="93">SUM(LD60:LO60)/1000</f>
        <v>0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</row>
    <row r="61" spans="1:345" s="14" customFormat="1">
      <c r="A61" s="15" t="s">
        <v>57</v>
      </c>
      <c r="B61" s="13">
        <f t="shared" si="69"/>
        <v>0</v>
      </c>
      <c r="C61" s="13">
        <f t="shared" si="70"/>
        <v>0</v>
      </c>
      <c r="D61" s="13">
        <f t="shared" si="71"/>
        <v>0</v>
      </c>
      <c r="E61" s="13">
        <f t="shared" si="72"/>
        <v>0</v>
      </c>
      <c r="F61" s="13">
        <f t="shared" si="73"/>
        <v>0</v>
      </c>
      <c r="G61" s="13">
        <f t="shared" si="74"/>
        <v>0</v>
      </c>
      <c r="H61" s="13">
        <f t="shared" si="75"/>
        <v>0</v>
      </c>
      <c r="I61" s="13">
        <f t="shared" si="76"/>
        <v>0</v>
      </c>
      <c r="J61" s="13">
        <f t="shared" si="77"/>
        <v>0</v>
      </c>
      <c r="K61" s="13">
        <f t="shared" si="78"/>
        <v>0</v>
      </c>
      <c r="L61" s="13">
        <f t="shared" si="79"/>
        <v>0</v>
      </c>
      <c r="M61" s="13">
        <f t="shared" si="80"/>
        <v>0</v>
      </c>
      <c r="N61" s="13">
        <f t="shared" si="81"/>
        <v>0</v>
      </c>
      <c r="O61" s="13">
        <f t="shared" si="82"/>
        <v>0</v>
      </c>
      <c r="P61" s="13">
        <f t="shared" si="83"/>
        <v>0</v>
      </c>
      <c r="Q61" s="13">
        <f t="shared" si="84"/>
        <v>0</v>
      </c>
      <c r="R61" s="13">
        <f t="shared" si="85"/>
        <v>0</v>
      </c>
      <c r="S61" s="13">
        <f t="shared" si="86"/>
        <v>0</v>
      </c>
      <c r="T61" s="13">
        <f t="shared" si="87"/>
        <v>0</v>
      </c>
      <c r="U61" s="13">
        <f t="shared" si="88"/>
        <v>0</v>
      </c>
      <c r="V61" s="13">
        <f t="shared" si="89"/>
        <v>0</v>
      </c>
      <c r="W61" s="13">
        <f t="shared" si="90"/>
        <v>0</v>
      </c>
      <c r="X61" s="13">
        <f t="shared" si="91"/>
        <v>0</v>
      </c>
      <c r="Y61" s="13">
        <f t="shared" si="92"/>
        <v>0</v>
      </c>
      <c r="Z61" s="13">
        <f t="shared" si="93"/>
        <v>0</v>
      </c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</row>
    <row r="62" spans="1:345" s="14" customFormat="1">
      <c r="A62" s="12" t="s">
        <v>58</v>
      </c>
      <c r="B62" s="13">
        <f t="shared" si="69"/>
        <v>0</v>
      </c>
      <c r="C62" s="13">
        <f t="shared" si="70"/>
        <v>0</v>
      </c>
      <c r="D62" s="13">
        <f t="shared" si="71"/>
        <v>0</v>
      </c>
      <c r="E62" s="13">
        <f t="shared" si="72"/>
        <v>0</v>
      </c>
      <c r="F62" s="13">
        <f t="shared" si="73"/>
        <v>0</v>
      </c>
      <c r="G62" s="13">
        <f t="shared" si="74"/>
        <v>0</v>
      </c>
      <c r="H62" s="13">
        <f t="shared" si="75"/>
        <v>0</v>
      </c>
      <c r="I62" s="13">
        <f t="shared" si="76"/>
        <v>0</v>
      </c>
      <c r="J62" s="13">
        <f t="shared" si="77"/>
        <v>0</v>
      </c>
      <c r="K62" s="13">
        <f t="shared" si="78"/>
        <v>0</v>
      </c>
      <c r="L62" s="13">
        <f t="shared" si="79"/>
        <v>0</v>
      </c>
      <c r="M62" s="13">
        <f t="shared" si="80"/>
        <v>0</v>
      </c>
      <c r="N62" s="13">
        <f t="shared" si="81"/>
        <v>0</v>
      </c>
      <c r="O62" s="13">
        <f t="shared" si="82"/>
        <v>0</v>
      </c>
      <c r="P62" s="13">
        <f t="shared" si="83"/>
        <v>0</v>
      </c>
      <c r="Q62" s="13">
        <f t="shared" si="84"/>
        <v>0</v>
      </c>
      <c r="R62" s="13">
        <f t="shared" si="85"/>
        <v>0</v>
      </c>
      <c r="S62" s="13">
        <f t="shared" si="86"/>
        <v>0</v>
      </c>
      <c r="T62" s="13">
        <f t="shared" si="87"/>
        <v>0</v>
      </c>
      <c r="U62" s="13">
        <f t="shared" si="88"/>
        <v>0</v>
      </c>
      <c r="V62" s="13">
        <f t="shared" si="89"/>
        <v>0</v>
      </c>
      <c r="W62" s="13">
        <f t="shared" si="90"/>
        <v>0</v>
      </c>
      <c r="X62" s="13">
        <f t="shared" si="91"/>
        <v>0</v>
      </c>
      <c r="Y62" s="13">
        <f t="shared" si="92"/>
        <v>0</v>
      </c>
      <c r="Z62" s="13">
        <f t="shared" si="93"/>
        <v>0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</row>
    <row r="63" spans="1:345" s="14" customFormat="1">
      <c r="A63" s="15" t="s">
        <v>59</v>
      </c>
      <c r="B63" s="13">
        <f t="shared" si="69"/>
        <v>0</v>
      </c>
      <c r="C63" s="13">
        <f t="shared" si="70"/>
        <v>0</v>
      </c>
      <c r="D63" s="13">
        <f t="shared" si="71"/>
        <v>0</v>
      </c>
      <c r="E63" s="13">
        <f t="shared" si="72"/>
        <v>0</v>
      </c>
      <c r="F63" s="13">
        <f t="shared" si="73"/>
        <v>0</v>
      </c>
      <c r="G63" s="13">
        <f t="shared" si="74"/>
        <v>0</v>
      </c>
      <c r="H63" s="13">
        <f t="shared" si="75"/>
        <v>0</v>
      </c>
      <c r="I63" s="13">
        <f t="shared" si="76"/>
        <v>0</v>
      </c>
      <c r="J63" s="13">
        <f t="shared" si="77"/>
        <v>0</v>
      </c>
      <c r="K63" s="13">
        <f t="shared" si="78"/>
        <v>0</v>
      </c>
      <c r="L63" s="13">
        <f t="shared" si="79"/>
        <v>0</v>
      </c>
      <c r="M63" s="13">
        <f t="shared" si="80"/>
        <v>0</v>
      </c>
      <c r="N63" s="13">
        <f t="shared" si="81"/>
        <v>0</v>
      </c>
      <c r="O63" s="13">
        <f t="shared" si="82"/>
        <v>0</v>
      </c>
      <c r="P63" s="13">
        <f t="shared" si="83"/>
        <v>0</v>
      </c>
      <c r="Q63" s="13">
        <f t="shared" si="84"/>
        <v>0</v>
      </c>
      <c r="R63" s="13">
        <f t="shared" si="85"/>
        <v>0</v>
      </c>
      <c r="S63" s="13">
        <f t="shared" si="86"/>
        <v>0</v>
      </c>
      <c r="T63" s="13">
        <f t="shared" si="87"/>
        <v>0</v>
      </c>
      <c r="U63" s="13">
        <f t="shared" si="88"/>
        <v>0</v>
      </c>
      <c r="V63" s="13">
        <f t="shared" si="89"/>
        <v>0</v>
      </c>
      <c r="W63" s="13">
        <f t="shared" si="90"/>
        <v>0</v>
      </c>
      <c r="X63" s="13">
        <f t="shared" si="91"/>
        <v>0</v>
      </c>
      <c r="Y63" s="13">
        <f t="shared" si="92"/>
        <v>0</v>
      </c>
      <c r="Z63" s="13">
        <f t="shared" si="93"/>
        <v>0</v>
      </c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</row>
    <row r="64" spans="1:345" s="14" customFormat="1">
      <c r="A64" s="15" t="s">
        <v>60</v>
      </c>
      <c r="B64" s="13">
        <f t="shared" si="69"/>
        <v>0</v>
      </c>
      <c r="C64" s="13">
        <f t="shared" si="70"/>
        <v>0</v>
      </c>
      <c r="D64" s="13">
        <f t="shared" si="71"/>
        <v>0</v>
      </c>
      <c r="E64" s="13">
        <f t="shared" si="72"/>
        <v>0</v>
      </c>
      <c r="F64" s="13">
        <f t="shared" si="73"/>
        <v>0</v>
      </c>
      <c r="G64" s="13">
        <f t="shared" si="74"/>
        <v>0</v>
      </c>
      <c r="H64" s="13">
        <f t="shared" si="75"/>
        <v>0</v>
      </c>
      <c r="I64" s="13">
        <f t="shared" si="76"/>
        <v>0</v>
      </c>
      <c r="J64" s="13">
        <f t="shared" si="77"/>
        <v>0</v>
      </c>
      <c r="K64" s="13">
        <f t="shared" si="78"/>
        <v>0</v>
      </c>
      <c r="L64" s="13">
        <f t="shared" si="79"/>
        <v>0</v>
      </c>
      <c r="M64" s="13">
        <f t="shared" si="80"/>
        <v>0</v>
      </c>
      <c r="N64" s="13">
        <f t="shared" si="81"/>
        <v>0</v>
      </c>
      <c r="O64" s="13">
        <f t="shared" si="82"/>
        <v>0</v>
      </c>
      <c r="P64" s="13">
        <f t="shared" si="83"/>
        <v>0</v>
      </c>
      <c r="Q64" s="13">
        <f t="shared" si="84"/>
        <v>0</v>
      </c>
      <c r="R64" s="13">
        <f t="shared" si="85"/>
        <v>0</v>
      </c>
      <c r="S64" s="13">
        <f t="shared" si="86"/>
        <v>0</v>
      </c>
      <c r="T64" s="13">
        <f t="shared" si="87"/>
        <v>0</v>
      </c>
      <c r="U64" s="13">
        <f t="shared" si="88"/>
        <v>0</v>
      </c>
      <c r="V64" s="13">
        <f t="shared" si="89"/>
        <v>0</v>
      </c>
      <c r="W64" s="13">
        <f t="shared" si="90"/>
        <v>0</v>
      </c>
      <c r="X64" s="13">
        <f t="shared" si="91"/>
        <v>0</v>
      </c>
      <c r="Y64" s="13">
        <f t="shared" si="92"/>
        <v>0</v>
      </c>
      <c r="Z64" s="13">
        <f t="shared" si="93"/>
        <v>0</v>
      </c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</row>
    <row r="65" spans="1:345" s="14" customFormat="1">
      <c r="A65" s="15" t="s">
        <v>61</v>
      </c>
      <c r="B65" s="13">
        <f t="shared" si="69"/>
        <v>0</v>
      </c>
      <c r="C65" s="13">
        <f t="shared" si="70"/>
        <v>0</v>
      </c>
      <c r="D65" s="13">
        <f t="shared" si="71"/>
        <v>0</v>
      </c>
      <c r="E65" s="13">
        <f t="shared" si="72"/>
        <v>0</v>
      </c>
      <c r="F65" s="13">
        <f t="shared" si="73"/>
        <v>0</v>
      </c>
      <c r="G65" s="13">
        <f t="shared" si="74"/>
        <v>0</v>
      </c>
      <c r="H65" s="13">
        <f t="shared" si="75"/>
        <v>0</v>
      </c>
      <c r="I65" s="13">
        <f t="shared" si="76"/>
        <v>0</v>
      </c>
      <c r="J65" s="13">
        <f t="shared" si="77"/>
        <v>0</v>
      </c>
      <c r="K65" s="13">
        <f t="shared" si="78"/>
        <v>0</v>
      </c>
      <c r="L65" s="13">
        <f t="shared" si="79"/>
        <v>0</v>
      </c>
      <c r="M65" s="13">
        <f t="shared" si="80"/>
        <v>0</v>
      </c>
      <c r="N65" s="13">
        <f t="shared" si="81"/>
        <v>0</v>
      </c>
      <c r="O65" s="13">
        <f t="shared" si="82"/>
        <v>0</v>
      </c>
      <c r="P65" s="13">
        <f t="shared" si="83"/>
        <v>0</v>
      </c>
      <c r="Q65" s="13">
        <f t="shared" si="84"/>
        <v>0</v>
      </c>
      <c r="R65" s="13">
        <f t="shared" si="85"/>
        <v>0</v>
      </c>
      <c r="S65" s="13">
        <f t="shared" si="86"/>
        <v>0</v>
      </c>
      <c r="T65" s="13">
        <f t="shared" si="87"/>
        <v>0</v>
      </c>
      <c r="U65" s="13">
        <f t="shared" si="88"/>
        <v>0</v>
      </c>
      <c r="V65" s="13">
        <f t="shared" si="89"/>
        <v>0</v>
      </c>
      <c r="W65" s="13">
        <f t="shared" si="90"/>
        <v>0</v>
      </c>
      <c r="X65" s="13">
        <f t="shared" si="91"/>
        <v>0</v>
      </c>
      <c r="Y65" s="13">
        <f t="shared" si="92"/>
        <v>0</v>
      </c>
      <c r="Z65" s="13">
        <f t="shared" si="93"/>
        <v>0</v>
      </c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</row>
    <row r="66" spans="1:345" s="14" customFormat="1">
      <c r="A66" s="15" t="s">
        <v>62</v>
      </c>
      <c r="B66" s="13">
        <f t="shared" si="69"/>
        <v>0</v>
      </c>
      <c r="C66" s="13">
        <f t="shared" si="70"/>
        <v>0</v>
      </c>
      <c r="D66" s="13">
        <f t="shared" si="71"/>
        <v>0</v>
      </c>
      <c r="E66" s="13">
        <f t="shared" si="72"/>
        <v>0</v>
      </c>
      <c r="F66" s="13">
        <f t="shared" si="73"/>
        <v>0</v>
      </c>
      <c r="G66" s="13">
        <f t="shared" si="74"/>
        <v>0</v>
      </c>
      <c r="H66" s="13">
        <f t="shared" si="75"/>
        <v>0</v>
      </c>
      <c r="I66" s="13">
        <f t="shared" si="76"/>
        <v>0</v>
      </c>
      <c r="J66" s="13">
        <f t="shared" si="77"/>
        <v>0</v>
      </c>
      <c r="K66" s="13">
        <f t="shared" si="78"/>
        <v>0</v>
      </c>
      <c r="L66" s="13">
        <f t="shared" si="79"/>
        <v>0</v>
      </c>
      <c r="M66" s="13">
        <f t="shared" si="80"/>
        <v>0</v>
      </c>
      <c r="N66" s="13">
        <f t="shared" si="81"/>
        <v>0</v>
      </c>
      <c r="O66" s="13">
        <f t="shared" si="82"/>
        <v>0</v>
      </c>
      <c r="P66" s="13">
        <f t="shared" si="83"/>
        <v>0</v>
      </c>
      <c r="Q66" s="13">
        <f t="shared" si="84"/>
        <v>0</v>
      </c>
      <c r="R66" s="13">
        <f t="shared" si="85"/>
        <v>0</v>
      </c>
      <c r="S66" s="13">
        <f t="shared" si="86"/>
        <v>0</v>
      </c>
      <c r="T66" s="13">
        <f t="shared" si="87"/>
        <v>0</v>
      </c>
      <c r="U66" s="13">
        <f t="shared" si="88"/>
        <v>0</v>
      </c>
      <c r="V66" s="13">
        <f t="shared" si="89"/>
        <v>0</v>
      </c>
      <c r="W66" s="13">
        <f t="shared" si="90"/>
        <v>0</v>
      </c>
      <c r="X66" s="13">
        <f t="shared" si="91"/>
        <v>0</v>
      </c>
      <c r="Y66" s="13">
        <f t="shared" si="92"/>
        <v>0</v>
      </c>
      <c r="Z66" s="13">
        <f t="shared" si="93"/>
        <v>0</v>
      </c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</row>
    <row r="67" spans="1:345" s="14" customFormat="1">
      <c r="A67" s="15" t="s">
        <v>63</v>
      </c>
      <c r="B67" s="13">
        <f t="shared" si="69"/>
        <v>0</v>
      </c>
      <c r="C67" s="13">
        <f t="shared" si="70"/>
        <v>0</v>
      </c>
      <c r="D67" s="13">
        <f t="shared" si="71"/>
        <v>0</v>
      </c>
      <c r="E67" s="13">
        <f t="shared" si="72"/>
        <v>0</v>
      </c>
      <c r="F67" s="13">
        <f t="shared" si="73"/>
        <v>0</v>
      </c>
      <c r="G67" s="13">
        <f t="shared" si="74"/>
        <v>0</v>
      </c>
      <c r="H67" s="13">
        <f t="shared" si="75"/>
        <v>0</v>
      </c>
      <c r="I67" s="13">
        <f t="shared" si="76"/>
        <v>0</v>
      </c>
      <c r="J67" s="13">
        <f t="shared" si="77"/>
        <v>0</v>
      </c>
      <c r="K67" s="13">
        <f t="shared" si="78"/>
        <v>0</v>
      </c>
      <c r="L67" s="13">
        <f t="shared" si="79"/>
        <v>0</v>
      </c>
      <c r="M67" s="13">
        <f t="shared" si="80"/>
        <v>0</v>
      </c>
      <c r="N67" s="13">
        <f t="shared" si="81"/>
        <v>0</v>
      </c>
      <c r="O67" s="13">
        <f t="shared" si="82"/>
        <v>0</v>
      </c>
      <c r="P67" s="13">
        <f t="shared" si="83"/>
        <v>0</v>
      </c>
      <c r="Q67" s="13">
        <f t="shared" si="84"/>
        <v>0</v>
      </c>
      <c r="R67" s="13">
        <f t="shared" si="85"/>
        <v>0</v>
      </c>
      <c r="S67" s="13">
        <f t="shared" si="86"/>
        <v>0</v>
      </c>
      <c r="T67" s="13">
        <f t="shared" si="87"/>
        <v>0</v>
      </c>
      <c r="U67" s="13">
        <f t="shared" si="88"/>
        <v>0</v>
      </c>
      <c r="V67" s="13">
        <f t="shared" si="89"/>
        <v>0</v>
      </c>
      <c r="W67" s="13">
        <f t="shared" si="90"/>
        <v>0</v>
      </c>
      <c r="X67" s="13">
        <f t="shared" si="91"/>
        <v>0</v>
      </c>
      <c r="Y67" s="13">
        <f t="shared" si="92"/>
        <v>0</v>
      </c>
      <c r="Z67" s="13">
        <f t="shared" si="93"/>
        <v>0</v>
      </c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</row>
    <row r="68" spans="1:345" s="14" customFormat="1">
      <c r="A68" s="12" t="s">
        <v>64</v>
      </c>
      <c r="B68" s="13">
        <f t="shared" si="69"/>
        <v>0</v>
      </c>
      <c r="C68" s="13">
        <f t="shared" si="70"/>
        <v>0</v>
      </c>
      <c r="D68" s="13">
        <f t="shared" si="71"/>
        <v>0</v>
      </c>
      <c r="E68" s="13">
        <f t="shared" si="72"/>
        <v>0</v>
      </c>
      <c r="F68" s="13">
        <f t="shared" si="73"/>
        <v>0</v>
      </c>
      <c r="G68" s="13">
        <f t="shared" si="74"/>
        <v>0</v>
      </c>
      <c r="H68" s="13">
        <f t="shared" si="75"/>
        <v>0</v>
      </c>
      <c r="I68" s="13">
        <f t="shared" si="76"/>
        <v>0</v>
      </c>
      <c r="J68" s="13">
        <f t="shared" si="77"/>
        <v>0</v>
      </c>
      <c r="K68" s="13">
        <f t="shared" si="78"/>
        <v>0</v>
      </c>
      <c r="L68" s="13">
        <f t="shared" si="79"/>
        <v>0</v>
      </c>
      <c r="M68" s="13">
        <f t="shared" si="80"/>
        <v>0</v>
      </c>
      <c r="N68" s="13">
        <f t="shared" si="81"/>
        <v>0</v>
      </c>
      <c r="O68" s="13">
        <f t="shared" si="82"/>
        <v>0</v>
      </c>
      <c r="P68" s="13">
        <f t="shared" si="83"/>
        <v>0</v>
      </c>
      <c r="Q68" s="13">
        <f t="shared" si="84"/>
        <v>0</v>
      </c>
      <c r="R68" s="13">
        <f t="shared" si="85"/>
        <v>0</v>
      </c>
      <c r="S68" s="13">
        <f t="shared" si="86"/>
        <v>0</v>
      </c>
      <c r="T68" s="13">
        <f t="shared" si="87"/>
        <v>0</v>
      </c>
      <c r="U68" s="13">
        <f t="shared" si="88"/>
        <v>0</v>
      </c>
      <c r="V68" s="13">
        <f t="shared" si="89"/>
        <v>0</v>
      </c>
      <c r="W68" s="13">
        <f t="shared" si="90"/>
        <v>0</v>
      </c>
      <c r="X68" s="13">
        <f t="shared" si="91"/>
        <v>0</v>
      </c>
      <c r="Y68" s="13">
        <f t="shared" si="92"/>
        <v>0</v>
      </c>
      <c r="Z68" s="13">
        <f t="shared" si="93"/>
        <v>0</v>
      </c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</row>
    <row r="69" spans="1:345" s="14" customFormat="1">
      <c r="A69" s="15" t="s">
        <v>65</v>
      </c>
      <c r="B69" s="13">
        <f t="shared" si="69"/>
        <v>0</v>
      </c>
      <c r="C69" s="13">
        <f t="shared" si="70"/>
        <v>0</v>
      </c>
      <c r="D69" s="13">
        <f t="shared" si="71"/>
        <v>0</v>
      </c>
      <c r="E69" s="13">
        <f t="shared" si="72"/>
        <v>0</v>
      </c>
      <c r="F69" s="13">
        <f t="shared" si="73"/>
        <v>0</v>
      </c>
      <c r="G69" s="13">
        <f t="shared" si="74"/>
        <v>0</v>
      </c>
      <c r="H69" s="13">
        <f t="shared" si="75"/>
        <v>0</v>
      </c>
      <c r="I69" s="13">
        <f t="shared" si="76"/>
        <v>0</v>
      </c>
      <c r="J69" s="13">
        <f t="shared" si="77"/>
        <v>0</v>
      </c>
      <c r="K69" s="13">
        <f t="shared" si="78"/>
        <v>0</v>
      </c>
      <c r="L69" s="13">
        <f t="shared" si="79"/>
        <v>0</v>
      </c>
      <c r="M69" s="13">
        <f t="shared" si="80"/>
        <v>0</v>
      </c>
      <c r="N69" s="13">
        <f t="shared" si="81"/>
        <v>0</v>
      </c>
      <c r="O69" s="13">
        <f t="shared" si="82"/>
        <v>0</v>
      </c>
      <c r="P69" s="13">
        <f t="shared" si="83"/>
        <v>0</v>
      </c>
      <c r="Q69" s="13">
        <f t="shared" si="84"/>
        <v>0</v>
      </c>
      <c r="R69" s="13">
        <f t="shared" si="85"/>
        <v>0</v>
      </c>
      <c r="S69" s="13">
        <f t="shared" si="86"/>
        <v>0</v>
      </c>
      <c r="T69" s="13">
        <f t="shared" si="87"/>
        <v>0</v>
      </c>
      <c r="U69" s="13">
        <f t="shared" si="88"/>
        <v>0</v>
      </c>
      <c r="V69" s="13">
        <f t="shared" si="89"/>
        <v>0</v>
      </c>
      <c r="W69" s="13">
        <f t="shared" si="90"/>
        <v>0</v>
      </c>
      <c r="X69" s="13">
        <f t="shared" si="91"/>
        <v>0</v>
      </c>
      <c r="Y69" s="13">
        <f t="shared" si="92"/>
        <v>0</v>
      </c>
      <c r="Z69" s="13">
        <f t="shared" si="93"/>
        <v>0</v>
      </c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</row>
    <row r="70" spans="1:345" s="14" customFormat="1">
      <c r="A70" s="15" t="s">
        <v>66</v>
      </c>
      <c r="B70" s="13">
        <f t="shared" si="69"/>
        <v>0</v>
      </c>
      <c r="C70" s="13">
        <f t="shared" si="70"/>
        <v>0</v>
      </c>
      <c r="D70" s="13">
        <f t="shared" si="71"/>
        <v>0</v>
      </c>
      <c r="E70" s="13">
        <f t="shared" si="72"/>
        <v>0</v>
      </c>
      <c r="F70" s="13">
        <f t="shared" si="73"/>
        <v>0</v>
      </c>
      <c r="G70" s="13">
        <f t="shared" si="74"/>
        <v>0</v>
      </c>
      <c r="H70" s="13">
        <f t="shared" si="75"/>
        <v>0</v>
      </c>
      <c r="I70" s="13">
        <f t="shared" si="76"/>
        <v>0</v>
      </c>
      <c r="J70" s="13">
        <f t="shared" si="77"/>
        <v>0</v>
      </c>
      <c r="K70" s="13">
        <f t="shared" si="78"/>
        <v>0</v>
      </c>
      <c r="L70" s="13">
        <f t="shared" si="79"/>
        <v>0</v>
      </c>
      <c r="M70" s="13">
        <f t="shared" si="80"/>
        <v>0</v>
      </c>
      <c r="N70" s="13">
        <f t="shared" si="81"/>
        <v>0</v>
      </c>
      <c r="O70" s="13">
        <f t="shared" si="82"/>
        <v>0</v>
      </c>
      <c r="P70" s="13">
        <f t="shared" si="83"/>
        <v>0</v>
      </c>
      <c r="Q70" s="13">
        <f t="shared" si="84"/>
        <v>0</v>
      </c>
      <c r="R70" s="13">
        <f t="shared" si="85"/>
        <v>0</v>
      </c>
      <c r="S70" s="13">
        <f t="shared" si="86"/>
        <v>0</v>
      </c>
      <c r="T70" s="13">
        <f t="shared" si="87"/>
        <v>0</v>
      </c>
      <c r="U70" s="13">
        <f t="shared" si="88"/>
        <v>0</v>
      </c>
      <c r="V70" s="13">
        <f t="shared" si="89"/>
        <v>0</v>
      </c>
      <c r="W70" s="13">
        <f t="shared" si="90"/>
        <v>0</v>
      </c>
      <c r="X70" s="13">
        <f t="shared" si="91"/>
        <v>0</v>
      </c>
      <c r="Y70" s="13">
        <f t="shared" si="92"/>
        <v>0</v>
      </c>
      <c r="Z70" s="13">
        <f t="shared" si="93"/>
        <v>0</v>
      </c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</row>
    <row r="71" spans="1:345" s="14" customFormat="1">
      <c r="A71" s="15" t="s">
        <v>67</v>
      </c>
      <c r="B71" s="13">
        <f t="shared" si="69"/>
        <v>0</v>
      </c>
      <c r="C71" s="13">
        <f t="shared" si="70"/>
        <v>0</v>
      </c>
      <c r="D71" s="13">
        <f t="shared" si="71"/>
        <v>0</v>
      </c>
      <c r="E71" s="13">
        <f t="shared" si="72"/>
        <v>0</v>
      </c>
      <c r="F71" s="13">
        <f t="shared" si="73"/>
        <v>0</v>
      </c>
      <c r="G71" s="13">
        <f t="shared" si="74"/>
        <v>0</v>
      </c>
      <c r="H71" s="13">
        <f t="shared" si="75"/>
        <v>0</v>
      </c>
      <c r="I71" s="13">
        <f t="shared" si="76"/>
        <v>0</v>
      </c>
      <c r="J71" s="13">
        <f t="shared" si="77"/>
        <v>0</v>
      </c>
      <c r="K71" s="13">
        <f t="shared" si="78"/>
        <v>0</v>
      </c>
      <c r="L71" s="13">
        <f t="shared" si="79"/>
        <v>0</v>
      </c>
      <c r="M71" s="13">
        <f t="shared" si="80"/>
        <v>0</v>
      </c>
      <c r="N71" s="13">
        <f t="shared" si="81"/>
        <v>0</v>
      </c>
      <c r="O71" s="13">
        <f t="shared" si="82"/>
        <v>0</v>
      </c>
      <c r="P71" s="13">
        <f t="shared" si="83"/>
        <v>0</v>
      </c>
      <c r="Q71" s="13">
        <f t="shared" si="84"/>
        <v>0</v>
      </c>
      <c r="R71" s="13">
        <f t="shared" si="85"/>
        <v>0</v>
      </c>
      <c r="S71" s="13">
        <f t="shared" si="86"/>
        <v>0</v>
      </c>
      <c r="T71" s="13">
        <f t="shared" si="87"/>
        <v>0</v>
      </c>
      <c r="U71" s="13">
        <f t="shared" si="88"/>
        <v>0</v>
      </c>
      <c r="V71" s="13">
        <f t="shared" si="89"/>
        <v>0</v>
      </c>
      <c r="W71" s="13">
        <f t="shared" si="90"/>
        <v>0</v>
      </c>
      <c r="X71" s="13">
        <f t="shared" si="91"/>
        <v>0</v>
      </c>
      <c r="Y71" s="13">
        <f t="shared" si="92"/>
        <v>0</v>
      </c>
      <c r="Z71" s="13">
        <f t="shared" si="93"/>
        <v>0</v>
      </c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</row>
    <row r="72" spans="1:345" s="14" customFormat="1">
      <c r="A72" s="15" t="s">
        <v>68</v>
      </c>
      <c r="B72" s="13">
        <f t="shared" si="69"/>
        <v>0</v>
      </c>
      <c r="C72" s="13">
        <f t="shared" si="70"/>
        <v>0</v>
      </c>
      <c r="D72" s="13">
        <f t="shared" si="71"/>
        <v>0</v>
      </c>
      <c r="E72" s="13">
        <f t="shared" si="72"/>
        <v>0</v>
      </c>
      <c r="F72" s="13">
        <f t="shared" si="73"/>
        <v>0</v>
      </c>
      <c r="G72" s="13">
        <f t="shared" si="74"/>
        <v>0</v>
      </c>
      <c r="H72" s="13">
        <f t="shared" si="75"/>
        <v>0</v>
      </c>
      <c r="I72" s="13">
        <f t="shared" si="76"/>
        <v>0</v>
      </c>
      <c r="J72" s="13">
        <f t="shared" si="77"/>
        <v>0</v>
      </c>
      <c r="K72" s="13">
        <f t="shared" si="78"/>
        <v>0</v>
      </c>
      <c r="L72" s="13">
        <f t="shared" si="79"/>
        <v>0</v>
      </c>
      <c r="M72" s="13">
        <f t="shared" si="80"/>
        <v>0</v>
      </c>
      <c r="N72" s="13">
        <f t="shared" si="81"/>
        <v>0</v>
      </c>
      <c r="O72" s="13">
        <f t="shared" si="82"/>
        <v>0</v>
      </c>
      <c r="P72" s="13">
        <f t="shared" si="83"/>
        <v>0</v>
      </c>
      <c r="Q72" s="13">
        <f t="shared" si="84"/>
        <v>0</v>
      </c>
      <c r="R72" s="13">
        <f t="shared" si="85"/>
        <v>0</v>
      </c>
      <c r="S72" s="13">
        <f t="shared" si="86"/>
        <v>0</v>
      </c>
      <c r="T72" s="13">
        <f t="shared" si="87"/>
        <v>0</v>
      </c>
      <c r="U72" s="13">
        <f t="shared" si="88"/>
        <v>0</v>
      </c>
      <c r="V72" s="13">
        <f t="shared" si="89"/>
        <v>0</v>
      </c>
      <c r="W72" s="13">
        <f t="shared" si="90"/>
        <v>0</v>
      </c>
      <c r="X72" s="13">
        <f t="shared" si="91"/>
        <v>0</v>
      </c>
      <c r="Y72" s="13">
        <f t="shared" si="92"/>
        <v>0</v>
      </c>
      <c r="Z72" s="13">
        <f t="shared" si="93"/>
        <v>0</v>
      </c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</row>
    <row r="73" spans="1:345" s="14" customFormat="1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</row>
    <row r="74" spans="1:345" s="14" customFormat="1">
      <c r="A74" s="12" t="s">
        <v>69</v>
      </c>
      <c r="B74" s="13">
        <f t="shared" ref="B74:Z74" si="94">SUM(B75:B162)</f>
        <v>0</v>
      </c>
      <c r="C74" s="13">
        <f t="shared" si="94"/>
        <v>0</v>
      </c>
      <c r="D74" s="13">
        <f t="shared" si="94"/>
        <v>0</v>
      </c>
      <c r="E74" s="13">
        <f t="shared" si="94"/>
        <v>0</v>
      </c>
      <c r="F74" s="13">
        <f t="shared" si="94"/>
        <v>0</v>
      </c>
      <c r="G74" s="13">
        <f t="shared" si="94"/>
        <v>0</v>
      </c>
      <c r="H74" s="13">
        <f t="shared" si="94"/>
        <v>0</v>
      </c>
      <c r="I74" s="13">
        <f t="shared" si="94"/>
        <v>0</v>
      </c>
      <c r="J74" s="13">
        <f t="shared" si="94"/>
        <v>0</v>
      </c>
      <c r="K74" s="13">
        <f t="shared" si="94"/>
        <v>0</v>
      </c>
      <c r="L74" s="13">
        <f t="shared" si="94"/>
        <v>0</v>
      </c>
      <c r="M74" s="13">
        <f t="shared" si="94"/>
        <v>0</v>
      </c>
      <c r="N74" s="13">
        <f t="shared" si="94"/>
        <v>0</v>
      </c>
      <c r="O74" s="13">
        <f t="shared" si="94"/>
        <v>0</v>
      </c>
      <c r="P74" s="13">
        <f t="shared" si="94"/>
        <v>0</v>
      </c>
      <c r="Q74" s="13">
        <f t="shared" si="94"/>
        <v>0</v>
      </c>
      <c r="R74" s="13">
        <f t="shared" si="94"/>
        <v>0</v>
      </c>
      <c r="S74" s="13">
        <f t="shared" si="94"/>
        <v>0</v>
      </c>
      <c r="T74" s="13">
        <f t="shared" si="94"/>
        <v>0</v>
      </c>
      <c r="U74" s="13">
        <f t="shared" si="94"/>
        <v>0</v>
      </c>
      <c r="V74" s="13">
        <f t="shared" si="94"/>
        <v>0</v>
      </c>
      <c r="W74" s="13">
        <f t="shared" si="94"/>
        <v>0</v>
      </c>
      <c r="X74" s="13">
        <f t="shared" si="94"/>
        <v>0</v>
      </c>
      <c r="Y74" s="13">
        <f t="shared" si="94"/>
        <v>0</v>
      </c>
      <c r="Z74" s="13">
        <f t="shared" si="94"/>
        <v>0.19472100000000003</v>
      </c>
      <c r="AB74" s="13">
        <f t="shared" ref="AB74:CM74" si="95">SUM(AB75:AB162)</f>
        <v>0</v>
      </c>
      <c r="AC74" s="13">
        <f t="shared" si="95"/>
        <v>0</v>
      </c>
      <c r="AD74" s="13">
        <f t="shared" si="95"/>
        <v>0</v>
      </c>
      <c r="AE74" s="13">
        <f t="shared" si="95"/>
        <v>0</v>
      </c>
      <c r="AF74" s="13">
        <f t="shared" si="95"/>
        <v>0</v>
      </c>
      <c r="AG74" s="13">
        <f t="shared" si="95"/>
        <v>0</v>
      </c>
      <c r="AH74" s="13">
        <f t="shared" si="95"/>
        <v>0</v>
      </c>
      <c r="AI74" s="13">
        <f t="shared" si="95"/>
        <v>0</v>
      </c>
      <c r="AJ74" s="13">
        <f t="shared" si="95"/>
        <v>0</v>
      </c>
      <c r="AK74" s="13">
        <f t="shared" si="95"/>
        <v>0</v>
      </c>
      <c r="AL74" s="13">
        <f t="shared" si="95"/>
        <v>0</v>
      </c>
      <c r="AM74" s="13">
        <f t="shared" si="95"/>
        <v>0</v>
      </c>
      <c r="AN74" s="13">
        <f t="shared" si="95"/>
        <v>0</v>
      </c>
      <c r="AO74" s="13">
        <f t="shared" si="95"/>
        <v>0</v>
      </c>
      <c r="AP74" s="13">
        <f t="shared" si="95"/>
        <v>0</v>
      </c>
      <c r="AQ74" s="13">
        <f t="shared" si="95"/>
        <v>0</v>
      </c>
      <c r="AR74" s="13">
        <f t="shared" si="95"/>
        <v>0</v>
      </c>
      <c r="AS74" s="13">
        <f t="shared" si="95"/>
        <v>0</v>
      </c>
      <c r="AT74" s="13">
        <f t="shared" si="95"/>
        <v>0</v>
      </c>
      <c r="AU74" s="13">
        <f t="shared" si="95"/>
        <v>0</v>
      </c>
      <c r="AV74" s="13">
        <f t="shared" si="95"/>
        <v>0</v>
      </c>
      <c r="AW74" s="13">
        <f t="shared" si="95"/>
        <v>0</v>
      </c>
      <c r="AX74" s="13">
        <f t="shared" si="95"/>
        <v>0</v>
      </c>
      <c r="AY74" s="13">
        <f t="shared" si="95"/>
        <v>0</v>
      </c>
      <c r="AZ74" s="13">
        <f t="shared" si="95"/>
        <v>0</v>
      </c>
      <c r="BA74" s="13">
        <f t="shared" si="95"/>
        <v>0</v>
      </c>
      <c r="BB74" s="13">
        <f t="shared" si="95"/>
        <v>0</v>
      </c>
      <c r="BC74" s="13">
        <f t="shared" si="95"/>
        <v>0</v>
      </c>
      <c r="BD74" s="13">
        <f t="shared" si="95"/>
        <v>0</v>
      </c>
      <c r="BE74" s="13">
        <f t="shared" si="95"/>
        <v>0</v>
      </c>
      <c r="BF74" s="13">
        <f t="shared" si="95"/>
        <v>0</v>
      </c>
      <c r="BG74" s="13">
        <f t="shared" si="95"/>
        <v>0</v>
      </c>
      <c r="BH74" s="13">
        <f t="shared" si="95"/>
        <v>0</v>
      </c>
      <c r="BI74" s="13">
        <f t="shared" si="95"/>
        <v>0</v>
      </c>
      <c r="BJ74" s="13">
        <f t="shared" si="95"/>
        <v>0</v>
      </c>
      <c r="BK74" s="13">
        <f t="shared" si="95"/>
        <v>0</v>
      </c>
      <c r="BL74" s="13">
        <f t="shared" si="95"/>
        <v>0</v>
      </c>
      <c r="BM74" s="13">
        <f t="shared" si="95"/>
        <v>0</v>
      </c>
      <c r="BN74" s="13">
        <f t="shared" si="95"/>
        <v>0</v>
      </c>
      <c r="BO74" s="13">
        <f t="shared" si="95"/>
        <v>0</v>
      </c>
      <c r="BP74" s="13">
        <f t="shared" si="95"/>
        <v>0</v>
      </c>
      <c r="BQ74" s="13">
        <f t="shared" si="95"/>
        <v>0</v>
      </c>
      <c r="BR74" s="13">
        <f t="shared" si="95"/>
        <v>0</v>
      </c>
      <c r="BS74" s="13">
        <f t="shared" si="95"/>
        <v>0</v>
      </c>
      <c r="BT74" s="13">
        <f t="shared" si="95"/>
        <v>0</v>
      </c>
      <c r="BU74" s="13">
        <f t="shared" si="95"/>
        <v>0</v>
      </c>
      <c r="BV74" s="13">
        <f t="shared" si="95"/>
        <v>0</v>
      </c>
      <c r="BW74" s="13">
        <f t="shared" si="95"/>
        <v>0</v>
      </c>
      <c r="BX74" s="13">
        <f t="shared" si="95"/>
        <v>0</v>
      </c>
      <c r="BY74" s="13">
        <f t="shared" si="95"/>
        <v>0</v>
      </c>
      <c r="BZ74" s="13">
        <f t="shared" si="95"/>
        <v>0</v>
      </c>
      <c r="CA74" s="13">
        <f t="shared" si="95"/>
        <v>0</v>
      </c>
      <c r="CB74" s="13">
        <f t="shared" si="95"/>
        <v>0</v>
      </c>
      <c r="CC74" s="13">
        <f t="shared" si="95"/>
        <v>0</v>
      </c>
      <c r="CD74" s="13">
        <f t="shared" si="95"/>
        <v>0</v>
      </c>
      <c r="CE74" s="13">
        <f t="shared" si="95"/>
        <v>0</v>
      </c>
      <c r="CF74" s="13">
        <f t="shared" si="95"/>
        <v>0</v>
      </c>
      <c r="CG74" s="13">
        <f t="shared" si="95"/>
        <v>0</v>
      </c>
      <c r="CH74" s="13">
        <f t="shared" si="95"/>
        <v>0</v>
      </c>
      <c r="CI74" s="13">
        <f t="shared" si="95"/>
        <v>0</v>
      </c>
      <c r="CJ74" s="13">
        <f t="shared" si="95"/>
        <v>0</v>
      </c>
      <c r="CK74" s="13">
        <f t="shared" si="95"/>
        <v>0</v>
      </c>
      <c r="CL74" s="13">
        <f t="shared" si="95"/>
        <v>0</v>
      </c>
      <c r="CM74" s="13">
        <f t="shared" si="95"/>
        <v>0</v>
      </c>
      <c r="CN74" s="13">
        <f t="shared" ref="CN74:EY74" si="96">SUM(CN75:CN162)</f>
        <v>0</v>
      </c>
      <c r="CO74" s="13">
        <f t="shared" si="96"/>
        <v>0</v>
      </c>
      <c r="CP74" s="13">
        <f t="shared" si="96"/>
        <v>0</v>
      </c>
      <c r="CQ74" s="13">
        <f t="shared" si="96"/>
        <v>0</v>
      </c>
      <c r="CR74" s="13">
        <f t="shared" si="96"/>
        <v>0</v>
      </c>
      <c r="CS74" s="13">
        <f t="shared" si="96"/>
        <v>0</v>
      </c>
      <c r="CT74" s="13">
        <f t="shared" si="96"/>
        <v>0</v>
      </c>
      <c r="CU74" s="13">
        <f t="shared" si="96"/>
        <v>0</v>
      </c>
      <c r="CV74" s="13">
        <f t="shared" si="96"/>
        <v>0</v>
      </c>
      <c r="CW74" s="13">
        <f t="shared" si="96"/>
        <v>0</v>
      </c>
      <c r="CX74" s="13">
        <f t="shared" si="96"/>
        <v>0</v>
      </c>
      <c r="CY74" s="13">
        <f t="shared" si="96"/>
        <v>0</v>
      </c>
      <c r="CZ74" s="13">
        <f t="shared" si="96"/>
        <v>0</v>
      </c>
      <c r="DA74" s="13">
        <f t="shared" si="96"/>
        <v>0</v>
      </c>
      <c r="DB74" s="13">
        <f t="shared" si="96"/>
        <v>0</v>
      </c>
      <c r="DC74" s="13">
        <f t="shared" si="96"/>
        <v>0</v>
      </c>
      <c r="DD74" s="13">
        <f t="shared" si="96"/>
        <v>0</v>
      </c>
      <c r="DE74" s="13">
        <f t="shared" si="96"/>
        <v>0</v>
      </c>
      <c r="DF74" s="13">
        <f t="shared" si="96"/>
        <v>0</v>
      </c>
      <c r="DG74" s="13">
        <f t="shared" si="96"/>
        <v>0</v>
      </c>
      <c r="DH74" s="13">
        <f t="shared" si="96"/>
        <v>0</v>
      </c>
      <c r="DI74" s="13">
        <f t="shared" si="96"/>
        <v>0</v>
      </c>
      <c r="DJ74" s="13">
        <f t="shared" si="96"/>
        <v>0</v>
      </c>
      <c r="DK74" s="13">
        <f t="shared" si="96"/>
        <v>0</v>
      </c>
      <c r="DL74" s="13">
        <f t="shared" si="96"/>
        <v>0</v>
      </c>
      <c r="DM74" s="13">
        <f t="shared" si="96"/>
        <v>0</v>
      </c>
      <c r="DN74" s="13">
        <f t="shared" si="96"/>
        <v>0</v>
      </c>
      <c r="DO74" s="13">
        <f t="shared" si="96"/>
        <v>0</v>
      </c>
      <c r="DP74" s="13">
        <f t="shared" si="96"/>
        <v>0</v>
      </c>
      <c r="DQ74" s="13">
        <f t="shared" si="96"/>
        <v>0</v>
      </c>
      <c r="DR74" s="13">
        <f t="shared" si="96"/>
        <v>0</v>
      </c>
      <c r="DS74" s="13">
        <f t="shared" si="96"/>
        <v>0</v>
      </c>
      <c r="DT74" s="13">
        <f t="shared" si="96"/>
        <v>0</v>
      </c>
      <c r="DU74" s="13">
        <f t="shared" si="96"/>
        <v>0</v>
      </c>
      <c r="DV74" s="13">
        <f t="shared" si="96"/>
        <v>0</v>
      </c>
      <c r="DW74" s="13">
        <f t="shared" si="96"/>
        <v>0</v>
      </c>
      <c r="DX74" s="13">
        <f t="shared" si="96"/>
        <v>0</v>
      </c>
      <c r="DY74" s="13">
        <f t="shared" si="96"/>
        <v>0</v>
      </c>
      <c r="DZ74" s="13">
        <f t="shared" si="96"/>
        <v>0</v>
      </c>
      <c r="EA74" s="13">
        <f t="shared" si="96"/>
        <v>0</v>
      </c>
      <c r="EB74" s="13">
        <f t="shared" si="96"/>
        <v>0</v>
      </c>
      <c r="EC74" s="13">
        <f t="shared" si="96"/>
        <v>0</v>
      </c>
      <c r="ED74" s="13">
        <f t="shared" si="96"/>
        <v>0</v>
      </c>
      <c r="EE74" s="13">
        <f t="shared" si="96"/>
        <v>0</v>
      </c>
      <c r="EF74" s="13">
        <f t="shared" si="96"/>
        <v>0</v>
      </c>
      <c r="EG74" s="13">
        <f t="shared" si="96"/>
        <v>0</v>
      </c>
      <c r="EH74" s="13">
        <f t="shared" si="96"/>
        <v>0</v>
      </c>
      <c r="EI74" s="13">
        <f t="shared" si="96"/>
        <v>0</v>
      </c>
      <c r="EJ74" s="13">
        <f t="shared" si="96"/>
        <v>0</v>
      </c>
      <c r="EK74" s="13">
        <f t="shared" si="96"/>
        <v>0</v>
      </c>
      <c r="EL74" s="13">
        <f t="shared" si="96"/>
        <v>0</v>
      </c>
      <c r="EM74" s="13">
        <f t="shared" si="96"/>
        <v>0</v>
      </c>
      <c r="EN74" s="13">
        <f t="shared" si="96"/>
        <v>0</v>
      </c>
      <c r="EO74" s="13">
        <f t="shared" si="96"/>
        <v>0</v>
      </c>
      <c r="EP74" s="13">
        <f t="shared" si="96"/>
        <v>0</v>
      </c>
      <c r="EQ74" s="13">
        <f t="shared" si="96"/>
        <v>0</v>
      </c>
      <c r="ER74" s="13">
        <f t="shared" si="96"/>
        <v>0</v>
      </c>
      <c r="ES74" s="13">
        <f t="shared" si="96"/>
        <v>0</v>
      </c>
      <c r="ET74" s="13">
        <f t="shared" si="96"/>
        <v>0</v>
      </c>
      <c r="EU74" s="13">
        <f t="shared" si="96"/>
        <v>0</v>
      </c>
      <c r="EV74" s="13">
        <f t="shared" si="96"/>
        <v>0</v>
      </c>
      <c r="EW74" s="13">
        <f t="shared" si="96"/>
        <v>0</v>
      </c>
      <c r="EX74" s="13">
        <f t="shared" si="96"/>
        <v>0</v>
      </c>
      <c r="EY74" s="13">
        <f t="shared" si="96"/>
        <v>0</v>
      </c>
      <c r="EZ74" s="13">
        <f t="shared" ref="EZ74:HK74" si="97">SUM(EZ75:EZ162)</f>
        <v>0</v>
      </c>
      <c r="FA74" s="13">
        <f t="shared" si="97"/>
        <v>0</v>
      </c>
      <c r="FB74" s="13">
        <f t="shared" si="97"/>
        <v>0</v>
      </c>
      <c r="FC74" s="13">
        <f t="shared" si="97"/>
        <v>0</v>
      </c>
      <c r="FD74" s="13">
        <f t="shared" si="97"/>
        <v>0</v>
      </c>
      <c r="FE74" s="13">
        <f t="shared" si="97"/>
        <v>0</v>
      </c>
      <c r="FF74" s="13">
        <f t="shared" si="97"/>
        <v>0</v>
      </c>
      <c r="FG74" s="13">
        <f t="shared" si="97"/>
        <v>0</v>
      </c>
      <c r="FH74" s="13">
        <f t="shared" si="97"/>
        <v>0</v>
      </c>
      <c r="FI74" s="13">
        <f t="shared" si="97"/>
        <v>0</v>
      </c>
      <c r="FJ74" s="13">
        <f t="shared" si="97"/>
        <v>0</v>
      </c>
      <c r="FK74" s="13">
        <f t="shared" si="97"/>
        <v>0</v>
      </c>
      <c r="FL74" s="13">
        <f t="shared" si="97"/>
        <v>0</v>
      </c>
      <c r="FM74" s="13">
        <f t="shared" si="97"/>
        <v>0</v>
      </c>
      <c r="FN74" s="13">
        <f t="shared" si="97"/>
        <v>0</v>
      </c>
      <c r="FO74" s="13">
        <f t="shared" si="97"/>
        <v>0</v>
      </c>
      <c r="FP74" s="13">
        <f t="shared" si="97"/>
        <v>0</v>
      </c>
      <c r="FQ74" s="13">
        <f t="shared" si="97"/>
        <v>0</v>
      </c>
      <c r="FR74" s="13">
        <f t="shared" si="97"/>
        <v>0</v>
      </c>
      <c r="FS74" s="13">
        <f t="shared" si="97"/>
        <v>0</v>
      </c>
      <c r="FT74" s="13">
        <f t="shared" si="97"/>
        <v>0</v>
      </c>
      <c r="FU74" s="13">
        <f t="shared" si="97"/>
        <v>0</v>
      </c>
      <c r="FV74" s="13">
        <f t="shared" si="97"/>
        <v>0</v>
      </c>
      <c r="FW74" s="13">
        <f t="shared" si="97"/>
        <v>0</v>
      </c>
      <c r="FX74" s="13">
        <f t="shared" si="97"/>
        <v>0</v>
      </c>
      <c r="FY74" s="13">
        <f t="shared" si="97"/>
        <v>0</v>
      </c>
      <c r="FZ74" s="13">
        <f t="shared" si="97"/>
        <v>0</v>
      </c>
      <c r="GA74" s="13">
        <f t="shared" si="97"/>
        <v>0</v>
      </c>
      <c r="GB74" s="13">
        <f t="shared" si="97"/>
        <v>0</v>
      </c>
      <c r="GC74" s="13">
        <f t="shared" si="97"/>
        <v>0</v>
      </c>
      <c r="GD74" s="13">
        <f t="shared" si="97"/>
        <v>0</v>
      </c>
      <c r="GE74" s="13">
        <f t="shared" si="97"/>
        <v>0</v>
      </c>
      <c r="GF74" s="13">
        <f t="shared" si="97"/>
        <v>0</v>
      </c>
      <c r="GG74" s="13">
        <f t="shared" si="97"/>
        <v>0</v>
      </c>
      <c r="GH74" s="13">
        <f t="shared" si="97"/>
        <v>0</v>
      </c>
      <c r="GI74" s="13">
        <f t="shared" si="97"/>
        <v>0</v>
      </c>
      <c r="GJ74" s="13">
        <f t="shared" si="97"/>
        <v>0</v>
      </c>
      <c r="GK74" s="13">
        <f t="shared" si="97"/>
        <v>0</v>
      </c>
      <c r="GL74" s="13">
        <f t="shared" si="97"/>
        <v>0</v>
      </c>
      <c r="GM74" s="13">
        <f t="shared" si="97"/>
        <v>0</v>
      </c>
      <c r="GN74" s="13">
        <f t="shared" si="97"/>
        <v>0</v>
      </c>
      <c r="GO74" s="13">
        <f t="shared" si="97"/>
        <v>0</v>
      </c>
      <c r="GP74" s="13">
        <f t="shared" si="97"/>
        <v>0</v>
      </c>
      <c r="GQ74" s="13">
        <f t="shared" si="97"/>
        <v>0</v>
      </c>
      <c r="GR74" s="13">
        <f t="shared" si="97"/>
        <v>0</v>
      </c>
      <c r="GS74" s="13">
        <f t="shared" si="97"/>
        <v>0</v>
      </c>
      <c r="GT74" s="13">
        <f t="shared" si="97"/>
        <v>0</v>
      </c>
      <c r="GU74" s="13">
        <f t="shared" si="97"/>
        <v>0</v>
      </c>
      <c r="GV74" s="13">
        <f t="shared" si="97"/>
        <v>0</v>
      </c>
      <c r="GW74" s="13">
        <f t="shared" si="97"/>
        <v>0</v>
      </c>
      <c r="GX74" s="13">
        <f t="shared" si="97"/>
        <v>0</v>
      </c>
      <c r="GY74" s="13">
        <f t="shared" si="97"/>
        <v>0</v>
      </c>
      <c r="GZ74" s="13">
        <f t="shared" si="97"/>
        <v>0</v>
      </c>
      <c r="HA74" s="13">
        <f t="shared" si="97"/>
        <v>0</v>
      </c>
      <c r="HB74" s="13">
        <f t="shared" si="97"/>
        <v>0</v>
      </c>
      <c r="HC74" s="13">
        <f t="shared" si="97"/>
        <v>0</v>
      </c>
      <c r="HD74" s="13">
        <f t="shared" si="97"/>
        <v>0</v>
      </c>
      <c r="HE74" s="13">
        <f t="shared" si="97"/>
        <v>0</v>
      </c>
      <c r="HF74" s="13">
        <f t="shared" si="97"/>
        <v>0</v>
      </c>
      <c r="HG74" s="13">
        <f t="shared" si="97"/>
        <v>0</v>
      </c>
      <c r="HH74" s="13">
        <f t="shared" si="97"/>
        <v>0</v>
      </c>
      <c r="HI74" s="13">
        <f t="shared" si="97"/>
        <v>0</v>
      </c>
      <c r="HJ74" s="13">
        <f t="shared" si="97"/>
        <v>0</v>
      </c>
      <c r="HK74" s="13">
        <f t="shared" si="97"/>
        <v>0</v>
      </c>
      <c r="HL74" s="13">
        <f t="shared" ref="HL74:JW74" si="98">SUM(HL75:HL162)</f>
        <v>0</v>
      </c>
      <c r="HM74" s="13">
        <f t="shared" si="98"/>
        <v>0</v>
      </c>
      <c r="HN74" s="13">
        <f t="shared" si="98"/>
        <v>0</v>
      </c>
      <c r="HO74" s="13">
        <f t="shared" si="98"/>
        <v>0</v>
      </c>
      <c r="HP74" s="13">
        <f t="shared" si="98"/>
        <v>0</v>
      </c>
      <c r="HQ74" s="13">
        <f t="shared" si="98"/>
        <v>0</v>
      </c>
      <c r="HR74" s="13">
        <f t="shared" si="98"/>
        <v>0</v>
      </c>
      <c r="HS74" s="13">
        <f t="shared" si="98"/>
        <v>0</v>
      </c>
      <c r="HT74" s="13">
        <f t="shared" si="98"/>
        <v>0</v>
      </c>
      <c r="HU74" s="13">
        <f t="shared" si="98"/>
        <v>0</v>
      </c>
      <c r="HV74" s="13">
        <f t="shared" si="98"/>
        <v>0</v>
      </c>
      <c r="HW74" s="13">
        <f t="shared" si="98"/>
        <v>0</v>
      </c>
      <c r="HX74" s="13">
        <f t="shared" si="98"/>
        <v>0</v>
      </c>
      <c r="HY74" s="13">
        <f t="shared" si="98"/>
        <v>0</v>
      </c>
      <c r="HZ74" s="13">
        <f t="shared" si="98"/>
        <v>0</v>
      </c>
      <c r="IA74" s="13">
        <f t="shared" si="98"/>
        <v>0</v>
      </c>
      <c r="IB74" s="13">
        <f t="shared" si="98"/>
        <v>0</v>
      </c>
      <c r="IC74" s="13">
        <f t="shared" si="98"/>
        <v>0</v>
      </c>
      <c r="ID74" s="13">
        <f t="shared" si="98"/>
        <v>0</v>
      </c>
      <c r="IE74" s="13">
        <f t="shared" si="98"/>
        <v>0</v>
      </c>
      <c r="IF74" s="13">
        <f t="shared" si="98"/>
        <v>0</v>
      </c>
      <c r="IG74" s="13">
        <f t="shared" si="98"/>
        <v>0</v>
      </c>
      <c r="IH74" s="13">
        <f t="shared" si="98"/>
        <v>0</v>
      </c>
      <c r="II74" s="13">
        <f t="shared" si="98"/>
        <v>0</v>
      </c>
      <c r="IJ74" s="13">
        <f t="shared" si="98"/>
        <v>0</v>
      </c>
      <c r="IK74" s="13">
        <f t="shared" si="98"/>
        <v>0</v>
      </c>
      <c r="IL74" s="13">
        <f t="shared" si="98"/>
        <v>0</v>
      </c>
      <c r="IM74" s="13">
        <f t="shared" si="98"/>
        <v>0</v>
      </c>
      <c r="IN74" s="13">
        <f t="shared" si="98"/>
        <v>0</v>
      </c>
      <c r="IO74" s="13">
        <f t="shared" si="98"/>
        <v>0</v>
      </c>
      <c r="IP74" s="13">
        <f t="shared" si="98"/>
        <v>0</v>
      </c>
      <c r="IQ74" s="13">
        <f t="shared" si="98"/>
        <v>0</v>
      </c>
      <c r="IR74" s="13">
        <f t="shared" si="98"/>
        <v>0</v>
      </c>
      <c r="IS74" s="13">
        <f t="shared" si="98"/>
        <v>0</v>
      </c>
      <c r="IT74" s="13">
        <f t="shared" si="98"/>
        <v>0</v>
      </c>
      <c r="IU74" s="13">
        <f t="shared" si="98"/>
        <v>0</v>
      </c>
      <c r="IV74" s="13">
        <f t="shared" si="98"/>
        <v>0</v>
      </c>
      <c r="IW74" s="13">
        <f t="shared" si="98"/>
        <v>0</v>
      </c>
      <c r="IX74" s="13">
        <f t="shared" si="98"/>
        <v>0</v>
      </c>
      <c r="IY74" s="13">
        <f t="shared" si="98"/>
        <v>0</v>
      </c>
      <c r="IZ74" s="13">
        <f t="shared" si="98"/>
        <v>0</v>
      </c>
      <c r="JA74" s="13">
        <f t="shared" si="98"/>
        <v>0</v>
      </c>
      <c r="JB74" s="13">
        <f t="shared" si="98"/>
        <v>0</v>
      </c>
      <c r="JC74" s="13">
        <f t="shared" si="98"/>
        <v>0</v>
      </c>
      <c r="JD74" s="13">
        <f t="shared" si="98"/>
        <v>0</v>
      </c>
      <c r="JE74" s="13">
        <f t="shared" si="98"/>
        <v>0</v>
      </c>
      <c r="JF74" s="13">
        <f t="shared" si="98"/>
        <v>0</v>
      </c>
      <c r="JG74" s="13">
        <f t="shared" si="98"/>
        <v>0</v>
      </c>
      <c r="JH74" s="13">
        <f t="shared" si="98"/>
        <v>0</v>
      </c>
      <c r="JI74" s="13">
        <f t="shared" si="98"/>
        <v>0</v>
      </c>
      <c r="JJ74" s="13">
        <f t="shared" si="98"/>
        <v>0</v>
      </c>
      <c r="JK74" s="13">
        <f t="shared" si="98"/>
        <v>0</v>
      </c>
      <c r="JL74" s="13">
        <f t="shared" si="98"/>
        <v>0</v>
      </c>
      <c r="JM74" s="13">
        <f t="shared" si="98"/>
        <v>0</v>
      </c>
      <c r="JN74" s="13">
        <f t="shared" si="98"/>
        <v>0</v>
      </c>
      <c r="JO74" s="13">
        <f t="shared" si="98"/>
        <v>0</v>
      </c>
      <c r="JP74" s="13">
        <f t="shared" si="98"/>
        <v>0</v>
      </c>
      <c r="JQ74" s="13">
        <f t="shared" si="98"/>
        <v>0</v>
      </c>
      <c r="JR74" s="13">
        <f t="shared" si="98"/>
        <v>0</v>
      </c>
      <c r="JS74" s="13">
        <f t="shared" si="98"/>
        <v>0</v>
      </c>
      <c r="JT74" s="13">
        <f t="shared" si="98"/>
        <v>0</v>
      </c>
      <c r="JU74" s="13">
        <f t="shared" si="98"/>
        <v>0</v>
      </c>
      <c r="JV74" s="13">
        <f t="shared" si="98"/>
        <v>0</v>
      </c>
      <c r="JW74" s="13">
        <f t="shared" si="98"/>
        <v>0</v>
      </c>
      <c r="JX74" s="13">
        <f t="shared" ref="JX74:MG74" si="99">SUM(JX75:JX162)</f>
        <v>0</v>
      </c>
      <c r="JY74" s="13">
        <f t="shared" si="99"/>
        <v>0</v>
      </c>
      <c r="JZ74" s="13">
        <f t="shared" si="99"/>
        <v>0</v>
      </c>
      <c r="KA74" s="13">
        <f t="shared" si="99"/>
        <v>0</v>
      </c>
      <c r="KB74" s="13">
        <f t="shared" si="99"/>
        <v>0</v>
      </c>
      <c r="KC74" s="13">
        <f t="shared" si="99"/>
        <v>0</v>
      </c>
      <c r="KD74" s="13">
        <f t="shared" si="99"/>
        <v>0</v>
      </c>
      <c r="KE74" s="13">
        <f t="shared" si="99"/>
        <v>0</v>
      </c>
      <c r="KF74" s="13">
        <f t="shared" si="99"/>
        <v>0</v>
      </c>
      <c r="KG74" s="13">
        <f t="shared" si="99"/>
        <v>0</v>
      </c>
      <c r="KH74" s="13">
        <f t="shared" si="99"/>
        <v>0</v>
      </c>
      <c r="KI74" s="13">
        <f t="shared" si="99"/>
        <v>0</v>
      </c>
      <c r="KJ74" s="13">
        <f t="shared" si="99"/>
        <v>0</v>
      </c>
      <c r="KK74" s="13">
        <f t="shared" si="99"/>
        <v>0</v>
      </c>
      <c r="KL74" s="13">
        <f t="shared" si="99"/>
        <v>0</v>
      </c>
      <c r="KM74" s="13">
        <f t="shared" si="99"/>
        <v>0</v>
      </c>
      <c r="KN74" s="13">
        <f t="shared" si="99"/>
        <v>0</v>
      </c>
      <c r="KO74" s="13">
        <f t="shared" si="99"/>
        <v>0</v>
      </c>
      <c r="KP74" s="13">
        <f t="shared" si="99"/>
        <v>0</v>
      </c>
      <c r="KQ74" s="13">
        <f t="shared" si="99"/>
        <v>0</v>
      </c>
      <c r="KR74" s="13">
        <f t="shared" si="99"/>
        <v>0</v>
      </c>
      <c r="KS74" s="13">
        <f t="shared" si="99"/>
        <v>0</v>
      </c>
      <c r="KT74" s="13">
        <f t="shared" si="99"/>
        <v>0</v>
      </c>
      <c r="KU74" s="13">
        <f t="shared" si="99"/>
        <v>0</v>
      </c>
      <c r="KV74" s="13">
        <f t="shared" si="99"/>
        <v>0</v>
      </c>
      <c r="KW74" s="13">
        <f t="shared" si="99"/>
        <v>0</v>
      </c>
      <c r="KX74" s="13">
        <f t="shared" si="99"/>
        <v>0</v>
      </c>
      <c r="KY74" s="13">
        <f t="shared" si="99"/>
        <v>0</v>
      </c>
      <c r="KZ74" s="13">
        <f t="shared" si="99"/>
        <v>0</v>
      </c>
      <c r="LA74" s="13">
        <f t="shared" si="99"/>
        <v>0</v>
      </c>
      <c r="LB74" s="13">
        <f t="shared" si="99"/>
        <v>0</v>
      </c>
      <c r="LC74" s="13">
        <f t="shared" si="99"/>
        <v>0</v>
      </c>
      <c r="LD74" s="13">
        <f t="shared" si="99"/>
        <v>0</v>
      </c>
      <c r="LE74" s="13">
        <f t="shared" si="99"/>
        <v>45.578999999999994</v>
      </c>
      <c r="LF74" s="13">
        <f t="shared" si="99"/>
        <v>35.9223</v>
      </c>
      <c r="LG74" s="13">
        <f t="shared" si="99"/>
        <v>14.337</v>
      </c>
      <c r="LH74" s="13">
        <f t="shared" si="99"/>
        <v>13.566600000000001</v>
      </c>
      <c r="LI74" s="13">
        <f t="shared" si="99"/>
        <v>1.3845000000000001</v>
      </c>
      <c r="LJ74" s="13">
        <f t="shared" si="99"/>
        <v>0</v>
      </c>
      <c r="LK74" s="13">
        <f t="shared" si="99"/>
        <v>47.79</v>
      </c>
      <c r="LL74" s="13">
        <f t="shared" si="99"/>
        <v>7.4676000000000009</v>
      </c>
      <c r="LM74" s="13">
        <f t="shared" si="99"/>
        <v>0</v>
      </c>
      <c r="LN74" s="13">
        <f t="shared" si="99"/>
        <v>9.5579999999999998</v>
      </c>
      <c r="LO74" s="13">
        <f t="shared" si="99"/>
        <v>19.116</v>
      </c>
      <c r="LP74" s="13">
        <f t="shared" si="99"/>
        <v>5.9790000000000001</v>
      </c>
      <c r="LQ74" s="13">
        <f t="shared" si="99"/>
        <v>14.337</v>
      </c>
      <c r="LR74" s="13">
        <f t="shared" si="99"/>
        <v>0</v>
      </c>
      <c r="LS74" s="13">
        <f t="shared" si="99"/>
        <v>0</v>
      </c>
      <c r="LT74" s="13">
        <f t="shared" si="99"/>
        <v>0</v>
      </c>
      <c r="LU74" s="13">
        <f t="shared" si="99"/>
        <v>0</v>
      </c>
      <c r="LV74" s="13">
        <f t="shared" si="99"/>
        <v>0</v>
      </c>
      <c r="LW74" s="13">
        <f t="shared" si="99"/>
        <v>0</v>
      </c>
      <c r="LX74" s="13">
        <f t="shared" si="99"/>
        <v>0</v>
      </c>
      <c r="LY74" s="13">
        <f t="shared" si="99"/>
        <v>0</v>
      </c>
      <c r="LZ74" s="13">
        <f t="shared" si="99"/>
        <v>0</v>
      </c>
      <c r="MA74" s="13">
        <f t="shared" si="99"/>
        <v>0</v>
      </c>
      <c r="MB74" s="13">
        <f t="shared" si="99"/>
        <v>0</v>
      </c>
      <c r="MC74" s="13">
        <f t="shared" si="99"/>
        <v>0</v>
      </c>
      <c r="MD74" s="13">
        <f t="shared" si="99"/>
        <v>0</v>
      </c>
      <c r="ME74" s="13">
        <f t="shared" si="99"/>
        <v>0</v>
      </c>
      <c r="MF74" s="13">
        <f t="shared" si="99"/>
        <v>0</v>
      </c>
      <c r="MG74" s="13">
        <f t="shared" si="99"/>
        <v>0</v>
      </c>
    </row>
    <row r="75" spans="1:345" s="14" customFormat="1">
      <c r="A75" s="15" t="s">
        <v>70</v>
      </c>
      <c r="B75" s="13">
        <f t="shared" ref="B75:B138" si="100">SUM(AB75:AM75)/1000</f>
        <v>0</v>
      </c>
      <c r="C75" s="13">
        <f t="shared" ref="C75:C138" si="101">SUM(AN75:AY75)/1000</f>
        <v>0</v>
      </c>
      <c r="D75" s="13">
        <f t="shared" ref="D75:D138" si="102">SUM(AZ75:BK75)/1000</f>
        <v>0</v>
      </c>
      <c r="E75" s="13">
        <f t="shared" ref="E75:E138" si="103">SUM(BL75:BW75)/1000</f>
        <v>0</v>
      </c>
      <c r="F75" s="13">
        <f t="shared" ref="F75:F138" si="104">SUM(BX75:CI75)/1000</f>
        <v>0</v>
      </c>
      <c r="G75" s="13">
        <f t="shared" ref="G75:G138" si="105">SUM(CJ75:CU75)/1000</f>
        <v>0</v>
      </c>
      <c r="H75" s="13">
        <f t="shared" ref="H75:H138" si="106">SUM(CV75:DG75)/1000</f>
        <v>0</v>
      </c>
      <c r="I75" s="13">
        <f t="shared" ref="I75:I138" si="107">SUM(DH75:DS75)/1000</f>
        <v>0</v>
      </c>
      <c r="J75" s="13">
        <f t="shared" ref="J75:J138" si="108">SUM(DT75:EE75)/1000</f>
        <v>0</v>
      </c>
      <c r="K75" s="13">
        <f t="shared" ref="K75:K138" si="109">SUM(EF75:EQ75)/1000</f>
        <v>0</v>
      </c>
      <c r="L75" s="13">
        <f t="shared" ref="L75:L138" si="110">SUM(ER75:FC75)/1000</f>
        <v>0</v>
      </c>
      <c r="M75" s="13">
        <f t="shared" ref="M75:M138" si="111">SUM(FD75:FO75)/1000</f>
        <v>0</v>
      </c>
      <c r="N75" s="13">
        <f t="shared" ref="N75:N138" si="112">SUM(FP75:GA75)/1000</f>
        <v>0</v>
      </c>
      <c r="O75" s="13">
        <f t="shared" ref="O75:O138" si="113">SUM(GB75:GM75)/1000</f>
        <v>0</v>
      </c>
      <c r="P75" s="13">
        <f t="shared" ref="P75:P138" si="114">SUM(GN75:GY75)/1000</f>
        <v>0</v>
      </c>
      <c r="Q75" s="13">
        <f t="shared" ref="Q75:Q138" si="115">SUM(GZ75:HK75)/1000</f>
        <v>0</v>
      </c>
      <c r="R75" s="13">
        <f t="shared" ref="R75:R138" si="116">SUM(HL75:HW75)/1000</f>
        <v>0</v>
      </c>
      <c r="S75" s="13">
        <f t="shared" ref="S75:S138" si="117">SUM(HX75:II75)/1000</f>
        <v>0</v>
      </c>
      <c r="T75" s="13">
        <f t="shared" ref="T75:T138" si="118">SUM(IJ75:IU75)/1000</f>
        <v>0</v>
      </c>
      <c r="U75" s="13">
        <f t="shared" ref="U75:U138" si="119">SUM(IV75:JG75)/1000</f>
        <v>0</v>
      </c>
      <c r="V75" s="13">
        <f t="shared" ref="V75:V138" si="120">SUM(JH75:JS75)/1000</f>
        <v>0</v>
      </c>
      <c r="W75" s="13">
        <f t="shared" ref="W75:W138" si="121">SUM(JT75:KE75)/1000</f>
        <v>0</v>
      </c>
      <c r="X75" s="13">
        <f t="shared" ref="X75:X138" si="122">SUM(KF75:KQ75)/1000</f>
        <v>0</v>
      </c>
      <c r="Y75" s="13">
        <f t="shared" ref="Y75:Y138" si="123">SUM(KR75:LC75)/1000</f>
        <v>0</v>
      </c>
      <c r="Z75" s="13">
        <f t="shared" ref="Z75:Z138" si="124">SUM(LD75:LO75)/1000</f>
        <v>0</v>
      </c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</row>
    <row r="76" spans="1:345" s="14" customFormat="1">
      <c r="A76" s="12" t="s">
        <v>71</v>
      </c>
      <c r="B76" s="13">
        <f t="shared" si="100"/>
        <v>0</v>
      </c>
      <c r="C76" s="13">
        <f t="shared" si="101"/>
        <v>0</v>
      </c>
      <c r="D76" s="13">
        <f t="shared" si="102"/>
        <v>0</v>
      </c>
      <c r="E76" s="13">
        <f t="shared" si="103"/>
        <v>0</v>
      </c>
      <c r="F76" s="13">
        <f t="shared" si="104"/>
        <v>0</v>
      </c>
      <c r="G76" s="13">
        <f t="shared" si="105"/>
        <v>0</v>
      </c>
      <c r="H76" s="13">
        <f t="shared" si="106"/>
        <v>0</v>
      </c>
      <c r="I76" s="13">
        <f t="shared" si="107"/>
        <v>0</v>
      </c>
      <c r="J76" s="13">
        <f t="shared" si="108"/>
        <v>0</v>
      </c>
      <c r="K76" s="13">
        <f t="shared" si="109"/>
        <v>0</v>
      </c>
      <c r="L76" s="13">
        <f t="shared" si="110"/>
        <v>0</v>
      </c>
      <c r="M76" s="13">
        <f t="shared" si="111"/>
        <v>0</v>
      </c>
      <c r="N76" s="13">
        <f t="shared" si="112"/>
        <v>0</v>
      </c>
      <c r="O76" s="13">
        <f t="shared" si="113"/>
        <v>0</v>
      </c>
      <c r="P76" s="13">
        <f t="shared" si="114"/>
        <v>0</v>
      </c>
      <c r="Q76" s="13">
        <f t="shared" si="115"/>
        <v>0</v>
      </c>
      <c r="R76" s="13">
        <f t="shared" si="116"/>
        <v>0</v>
      </c>
      <c r="S76" s="13">
        <f t="shared" si="117"/>
        <v>0</v>
      </c>
      <c r="T76" s="13">
        <f t="shared" si="118"/>
        <v>0</v>
      </c>
      <c r="U76" s="13">
        <f t="shared" si="119"/>
        <v>0</v>
      </c>
      <c r="V76" s="13">
        <f t="shared" si="120"/>
        <v>0</v>
      </c>
      <c r="W76" s="13">
        <f t="shared" si="121"/>
        <v>0</v>
      </c>
      <c r="X76" s="13">
        <f t="shared" si="122"/>
        <v>0</v>
      </c>
      <c r="Y76" s="13">
        <f t="shared" si="123"/>
        <v>0</v>
      </c>
      <c r="Z76" s="13">
        <f t="shared" si="124"/>
        <v>0</v>
      </c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</row>
    <row r="77" spans="1:345" s="14" customFormat="1">
      <c r="A77" s="12" t="s">
        <v>72</v>
      </c>
      <c r="B77" s="13">
        <f t="shared" si="100"/>
        <v>0</v>
      </c>
      <c r="C77" s="13">
        <f t="shared" si="101"/>
        <v>0</v>
      </c>
      <c r="D77" s="13">
        <f t="shared" si="102"/>
        <v>0</v>
      </c>
      <c r="E77" s="13">
        <f t="shared" si="103"/>
        <v>0</v>
      </c>
      <c r="F77" s="13">
        <f t="shared" si="104"/>
        <v>0</v>
      </c>
      <c r="G77" s="13">
        <f t="shared" si="105"/>
        <v>0</v>
      </c>
      <c r="H77" s="13">
        <f t="shared" si="106"/>
        <v>0</v>
      </c>
      <c r="I77" s="13">
        <f t="shared" si="107"/>
        <v>0</v>
      </c>
      <c r="J77" s="13">
        <f t="shared" si="108"/>
        <v>0</v>
      </c>
      <c r="K77" s="13">
        <f t="shared" si="109"/>
        <v>0</v>
      </c>
      <c r="L77" s="13">
        <f t="shared" si="110"/>
        <v>0</v>
      </c>
      <c r="M77" s="13">
        <f t="shared" si="111"/>
        <v>0</v>
      </c>
      <c r="N77" s="13">
        <f t="shared" si="112"/>
        <v>0</v>
      </c>
      <c r="O77" s="13">
        <f t="shared" si="113"/>
        <v>0</v>
      </c>
      <c r="P77" s="13">
        <f t="shared" si="114"/>
        <v>0</v>
      </c>
      <c r="Q77" s="13">
        <f t="shared" si="115"/>
        <v>0</v>
      </c>
      <c r="R77" s="13">
        <f t="shared" si="116"/>
        <v>0</v>
      </c>
      <c r="S77" s="13">
        <f t="shared" si="117"/>
        <v>0</v>
      </c>
      <c r="T77" s="13">
        <f t="shared" si="118"/>
        <v>0</v>
      </c>
      <c r="U77" s="13">
        <f t="shared" si="119"/>
        <v>0</v>
      </c>
      <c r="V77" s="13">
        <f t="shared" si="120"/>
        <v>0</v>
      </c>
      <c r="W77" s="13">
        <f t="shared" si="121"/>
        <v>0</v>
      </c>
      <c r="X77" s="13">
        <f t="shared" si="122"/>
        <v>0</v>
      </c>
      <c r="Y77" s="13">
        <f t="shared" si="123"/>
        <v>0</v>
      </c>
      <c r="Z77" s="13">
        <f t="shared" si="124"/>
        <v>0</v>
      </c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</row>
    <row r="78" spans="1:345" s="14" customFormat="1">
      <c r="A78" s="12" t="s">
        <v>73</v>
      </c>
      <c r="B78" s="13">
        <f t="shared" si="100"/>
        <v>0</v>
      </c>
      <c r="C78" s="13">
        <f t="shared" si="101"/>
        <v>0</v>
      </c>
      <c r="D78" s="13">
        <f t="shared" si="102"/>
        <v>0</v>
      </c>
      <c r="E78" s="13">
        <f t="shared" si="103"/>
        <v>0</v>
      </c>
      <c r="F78" s="13">
        <f t="shared" si="104"/>
        <v>0</v>
      </c>
      <c r="G78" s="13">
        <f t="shared" si="105"/>
        <v>0</v>
      </c>
      <c r="H78" s="13">
        <f t="shared" si="106"/>
        <v>0</v>
      </c>
      <c r="I78" s="13">
        <f t="shared" si="107"/>
        <v>0</v>
      </c>
      <c r="J78" s="13">
        <f t="shared" si="108"/>
        <v>0</v>
      </c>
      <c r="K78" s="13">
        <f t="shared" si="109"/>
        <v>0</v>
      </c>
      <c r="L78" s="13">
        <f t="shared" si="110"/>
        <v>0</v>
      </c>
      <c r="M78" s="13">
        <f t="shared" si="111"/>
        <v>0</v>
      </c>
      <c r="N78" s="13">
        <f t="shared" si="112"/>
        <v>0</v>
      </c>
      <c r="O78" s="13">
        <f t="shared" si="113"/>
        <v>0</v>
      </c>
      <c r="P78" s="13">
        <f t="shared" si="114"/>
        <v>0</v>
      </c>
      <c r="Q78" s="13">
        <f t="shared" si="115"/>
        <v>0</v>
      </c>
      <c r="R78" s="13">
        <f t="shared" si="116"/>
        <v>0</v>
      </c>
      <c r="S78" s="13">
        <f t="shared" si="117"/>
        <v>0</v>
      </c>
      <c r="T78" s="13">
        <f t="shared" si="118"/>
        <v>0</v>
      </c>
      <c r="U78" s="13">
        <f t="shared" si="119"/>
        <v>0</v>
      </c>
      <c r="V78" s="13">
        <f t="shared" si="120"/>
        <v>0</v>
      </c>
      <c r="W78" s="13">
        <f t="shared" si="121"/>
        <v>0</v>
      </c>
      <c r="X78" s="13">
        <f t="shared" si="122"/>
        <v>0</v>
      </c>
      <c r="Y78" s="13">
        <f t="shared" si="123"/>
        <v>0</v>
      </c>
      <c r="Z78" s="13">
        <f t="shared" si="124"/>
        <v>0</v>
      </c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</row>
    <row r="79" spans="1:345" s="14" customFormat="1">
      <c r="A79" s="12" t="s">
        <v>74</v>
      </c>
      <c r="B79" s="13">
        <f t="shared" si="100"/>
        <v>0</v>
      </c>
      <c r="C79" s="13">
        <f t="shared" si="101"/>
        <v>0</v>
      </c>
      <c r="D79" s="13">
        <f t="shared" si="102"/>
        <v>0</v>
      </c>
      <c r="E79" s="13">
        <f t="shared" si="103"/>
        <v>0</v>
      </c>
      <c r="F79" s="13">
        <f t="shared" si="104"/>
        <v>0</v>
      </c>
      <c r="G79" s="13">
        <f t="shared" si="105"/>
        <v>0</v>
      </c>
      <c r="H79" s="13">
        <f t="shared" si="106"/>
        <v>0</v>
      </c>
      <c r="I79" s="13">
        <f t="shared" si="107"/>
        <v>0</v>
      </c>
      <c r="J79" s="13">
        <f t="shared" si="108"/>
        <v>0</v>
      </c>
      <c r="K79" s="13">
        <f t="shared" si="109"/>
        <v>0</v>
      </c>
      <c r="L79" s="13">
        <f t="shared" si="110"/>
        <v>0</v>
      </c>
      <c r="M79" s="13">
        <f t="shared" si="111"/>
        <v>0</v>
      </c>
      <c r="N79" s="13">
        <f t="shared" si="112"/>
        <v>0</v>
      </c>
      <c r="O79" s="13">
        <f t="shared" si="113"/>
        <v>0</v>
      </c>
      <c r="P79" s="13">
        <f t="shared" si="114"/>
        <v>0</v>
      </c>
      <c r="Q79" s="13">
        <f t="shared" si="115"/>
        <v>0</v>
      </c>
      <c r="R79" s="13">
        <f t="shared" si="116"/>
        <v>0</v>
      </c>
      <c r="S79" s="13">
        <f t="shared" si="117"/>
        <v>0</v>
      </c>
      <c r="T79" s="13">
        <f t="shared" si="118"/>
        <v>0</v>
      </c>
      <c r="U79" s="13">
        <f t="shared" si="119"/>
        <v>0</v>
      </c>
      <c r="V79" s="13">
        <f t="shared" si="120"/>
        <v>0</v>
      </c>
      <c r="W79" s="13">
        <f t="shared" si="121"/>
        <v>0</v>
      </c>
      <c r="X79" s="13">
        <f t="shared" si="122"/>
        <v>0</v>
      </c>
      <c r="Y79" s="13">
        <f t="shared" si="123"/>
        <v>0</v>
      </c>
      <c r="Z79" s="13">
        <f t="shared" si="124"/>
        <v>4.0086000000000002E-3</v>
      </c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>
        <v>4.0086000000000004</v>
      </c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</row>
    <row r="80" spans="1:345" s="14" customFormat="1">
      <c r="A80" s="12" t="s">
        <v>75</v>
      </c>
      <c r="B80" s="13">
        <f t="shared" si="100"/>
        <v>0</v>
      </c>
      <c r="C80" s="13">
        <f t="shared" si="101"/>
        <v>0</v>
      </c>
      <c r="D80" s="13">
        <f t="shared" si="102"/>
        <v>0</v>
      </c>
      <c r="E80" s="13">
        <f t="shared" si="103"/>
        <v>0</v>
      </c>
      <c r="F80" s="13">
        <f t="shared" si="104"/>
        <v>0</v>
      </c>
      <c r="G80" s="13">
        <f t="shared" si="105"/>
        <v>0</v>
      </c>
      <c r="H80" s="13">
        <f t="shared" si="106"/>
        <v>0</v>
      </c>
      <c r="I80" s="13">
        <f t="shared" si="107"/>
        <v>0</v>
      </c>
      <c r="J80" s="13">
        <f t="shared" si="108"/>
        <v>0</v>
      </c>
      <c r="K80" s="13">
        <f t="shared" si="109"/>
        <v>0</v>
      </c>
      <c r="L80" s="13">
        <f t="shared" si="110"/>
        <v>0</v>
      </c>
      <c r="M80" s="13">
        <f t="shared" si="111"/>
        <v>0</v>
      </c>
      <c r="N80" s="13">
        <f t="shared" si="112"/>
        <v>0</v>
      </c>
      <c r="O80" s="13">
        <f t="shared" si="113"/>
        <v>0</v>
      </c>
      <c r="P80" s="13">
        <f t="shared" si="114"/>
        <v>0</v>
      </c>
      <c r="Q80" s="13">
        <f t="shared" si="115"/>
        <v>0</v>
      </c>
      <c r="R80" s="13">
        <f t="shared" si="116"/>
        <v>0</v>
      </c>
      <c r="S80" s="13">
        <f t="shared" si="117"/>
        <v>0</v>
      </c>
      <c r="T80" s="13">
        <f t="shared" si="118"/>
        <v>0</v>
      </c>
      <c r="U80" s="13">
        <f t="shared" si="119"/>
        <v>0</v>
      </c>
      <c r="V80" s="13">
        <f t="shared" si="120"/>
        <v>0</v>
      </c>
      <c r="W80" s="13">
        <f t="shared" si="121"/>
        <v>0</v>
      </c>
      <c r="X80" s="13">
        <f t="shared" si="122"/>
        <v>0</v>
      </c>
      <c r="Y80" s="13">
        <f t="shared" si="123"/>
        <v>0</v>
      </c>
      <c r="Z80" s="13">
        <f t="shared" si="124"/>
        <v>0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</row>
    <row r="81" spans="1:345" s="14" customFormat="1">
      <c r="A81" s="15" t="s">
        <v>76</v>
      </c>
      <c r="B81" s="13">
        <f t="shared" si="100"/>
        <v>0</v>
      </c>
      <c r="C81" s="13">
        <f t="shared" si="101"/>
        <v>0</v>
      </c>
      <c r="D81" s="13">
        <f t="shared" si="102"/>
        <v>0</v>
      </c>
      <c r="E81" s="13">
        <f t="shared" si="103"/>
        <v>0</v>
      </c>
      <c r="F81" s="13">
        <f t="shared" si="104"/>
        <v>0</v>
      </c>
      <c r="G81" s="13">
        <f t="shared" si="105"/>
        <v>0</v>
      </c>
      <c r="H81" s="13">
        <f t="shared" si="106"/>
        <v>0</v>
      </c>
      <c r="I81" s="13">
        <f t="shared" si="107"/>
        <v>0</v>
      </c>
      <c r="J81" s="13">
        <f t="shared" si="108"/>
        <v>0</v>
      </c>
      <c r="K81" s="13">
        <f t="shared" si="109"/>
        <v>0</v>
      </c>
      <c r="L81" s="13">
        <f t="shared" si="110"/>
        <v>0</v>
      </c>
      <c r="M81" s="13">
        <f t="shared" si="111"/>
        <v>0</v>
      </c>
      <c r="N81" s="13">
        <f t="shared" si="112"/>
        <v>0</v>
      </c>
      <c r="O81" s="13">
        <f t="shared" si="113"/>
        <v>0</v>
      </c>
      <c r="P81" s="13">
        <f t="shared" si="114"/>
        <v>0</v>
      </c>
      <c r="Q81" s="13">
        <f t="shared" si="115"/>
        <v>0</v>
      </c>
      <c r="R81" s="13">
        <f t="shared" si="116"/>
        <v>0</v>
      </c>
      <c r="S81" s="13">
        <f t="shared" si="117"/>
        <v>0</v>
      </c>
      <c r="T81" s="13">
        <f t="shared" si="118"/>
        <v>0</v>
      </c>
      <c r="U81" s="13">
        <f t="shared" si="119"/>
        <v>0</v>
      </c>
      <c r="V81" s="13">
        <f t="shared" si="120"/>
        <v>0</v>
      </c>
      <c r="W81" s="13">
        <f t="shared" si="121"/>
        <v>0</v>
      </c>
      <c r="X81" s="13">
        <f t="shared" si="122"/>
        <v>0</v>
      </c>
      <c r="Y81" s="13">
        <f t="shared" si="123"/>
        <v>0</v>
      </c>
      <c r="Z81" s="13">
        <f t="shared" si="124"/>
        <v>0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</row>
    <row r="82" spans="1:345" s="14" customFormat="1">
      <c r="A82" s="15" t="s">
        <v>77</v>
      </c>
      <c r="B82" s="13">
        <f t="shared" si="100"/>
        <v>0</v>
      </c>
      <c r="C82" s="13">
        <f t="shared" si="101"/>
        <v>0</v>
      </c>
      <c r="D82" s="13">
        <f t="shared" si="102"/>
        <v>0</v>
      </c>
      <c r="E82" s="13">
        <f t="shared" si="103"/>
        <v>0</v>
      </c>
      <c r="F82" s="13">
        <f t="shared" si="104"/>
        <v>0</v>
      </c>
      <c r="G82" s="13">
        <f t="shared" si="105"/>
        <v>0</v>
      </c>
      <c r="H82" s="13">
        <f t="shared" si="106"/>
        <v>0</v>
      </c>
      <c r="I82" s="13">
        <f t="shared" si="107"/>
        <v>0</v>
      </c>
      <c r="J82" s="13">
        <f t="shared" si="108"/>
        <v>0</v>
      </c>
      <c r="K82" s="13">
        <f t="shared" si="109"/>
        <v>0</v>
      </c>
      <c r="L82" s="13">
        <f t="shared" si="110"/>
        <v>0</v>
      </c>
      <c r="M82" s="13">
        <f t="shared" si="111"/>
        <v>0</v>
      </c>
      <c r="N82" s="13">
        <f t="shared" si="112"/>
        <v>0</v>
      </c>
      <c r="O82" s="13">
        <f t="shared" si="113"/>
        <v>0</v>
      </c>
      <c r="P82" s="13">
        <f t="shared" si="114"/>
        <v>0</v>
      </c>
      <c r="Q82" s="13">
        <f t="shared" si="115"/>
        <v>0</v>
      </c>
      <c r="R82" s="13">
        <f t="shared" si="116"/>
        <v>0</v>
      </c>
      <c r="S82" s="13">
        <f t="shared" si="117"/>
        <v>0</v>
      </c>
      <c r="T82" s="13">
        <f t="shared" si="118"/>
        <v>0</v>
      </c>
      <c r="U82" s="13">
        <f t="shared" si="119"/>
        <v>0</v>
      </c>
      <c r="V82" s="13">
        <f t="shared" si="120"/>
        <v>0</v>
      </c>
      <c r="W82" s="13">
        <f t="shared" si="121"/>
        <v>0</v>
      </c>
      <c r="X82" s="13">
        <f t="shared" si="122"/>
        <v>0</v>
      </c>
      <c r="Y82" s="13">
        <f t="shared" si="123"/>
        <v>0</v>
      </c>
      <c r="Z82" s="13">
        <f t="shared" si="124"/>
        <v>0</v>
      </c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</row>
    <row r="83" spans="1:345" s="14" customFormat="1">
      <c r="A83" s="15" t="s">
        <v>78</v>
      </c>
      <c r="B83" s="13">
        <f t="shared" si="100"/>
        <v>0</v>
      </c>
      <c r="C83" s="13">
        <f t="shared" si="101"/>
        <v>0</v>
      </c>
      <c r="D83" s="13">
        <f t="shared" si="102"/>
        <v>0</v>
      </c>
      <c r="E83" s="13">
        <f t="shared" si="103"/>
        <v>0</v>
      </c>
      <c r="F83" s="13">
        <f t="shared" si="104"/>
        <v>0</v>
      </c>
      <c r="G83" s="13">
        <f t="shared" si="105"/>
        <v>0</v>
      </c>
      <c r="H83" s="13">
        <f t="shared" si="106"/>
        <v>0</v>
      </c>
      <c r="I83" s="13">
        <f t="shared" si="107"/>
        <v>0</v>
      </c>
      <c r="J83" s="13">
        <f t="shared" si="108"/>
        <v>0</v>
      </c>
      <c r="K83" s="13">
        <f t="shared" si="109"/>
        <v>0</v>
      </c>
      <c r="L83" s="13">
        <f t="shared" si="110"/>
        <v>0</v>
      </c>
      <c r="M83" s="13">
        <f t="shared" si="111"/>
        <v>0</v>
      </c>
      <c r="N83" s="13">
        <f t="shared" si="112"/>
        <v>0</v>
      </c>
      <c r="O83" s="13">
        <f t="shared" si="113"/>
        <v>0</v>
      </c>
      <c r="P83" s="13">
        <f t="shared" si="114"/>
        <v>0</v>
      </c>
      <c r="Q83" s="13">
        <f t="shared" si="115"/>
        <v>0</v>
      </c>
      <c r="R83" s="13">
        <f t="shared" si="116"/>
        <v>0</v>
      </c>
      <c r="S83" s="13">
        <f t="shared" si="117"/>
        <v>0</v>
      </c>
      <c r="T83" s="13">
        <f t="shared" si="118"/>
        <v>0</v>
      </c>
      <c r="U83" s="13">
        <f t="shared" si="119"/>
        <v>0</v>
      </c>
      <c r="V83" s="13">
        <f t="shared" si="120"/>
        <v>0</v>
      </c>
      <c r="W83" s="13">
        <f t="shared" si="121"/>
        <v>0</v>
      </c>
      <c r="X83" s="13">
        <f t="shared" si="122"/>
        <v>0</v>
      </c>
      <c r="Y83" s="13">
        <f t="shared" si="123"/>
        <v>0</v>
      </c>
      <c r="Z83" s="13">
        <f t="shared" si="124"/>
        <v>0</v>
      </c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</row>
    <row r="84" spans="1:345" s="14" customFormat="1">
      <c r="A84" s="12" t="s">
        <v>79</v>
      </c>
      <c r="B84" s="13">
        <f t="shared" si="100"/>
        <v>0</v>
      </c>
      <c r="C84" s="13">
        <f t="shared" si="101"/>
        <v>0</v>
      </c>
      <c r="D84" s="13">
        <f t="shared" si="102"/>
        <v>0</v>
      </c>
      <c r="E84" s="13">
        <f t="shared" si="103"/>
        <v>0</v>
      </c>
      <c r="F84" s="13">
        <f t="shared" si="104"/>
        <v>0</v>
      </c>
      <c r="G84" s="13">
        <f t="shared" si="105"/>
        <v>0</v>
      </c>
      <c r="H84" s="13">
        <f t="shared" si="106"/>
        <v>0</v>
      </c>
      <c r="I84" s="13">
        <f t="shared" si="107"/>
        <v>0</v>
      </c>
      <c r="J84" s="13">
        <f t="shared" si="108"/>
        <v>0</v>
      </c>
      <c r="K84" s="13">
        <f t="shared" si="109"/>
        <v>0</v>
      </c>
      <c r="L84" s="13">
        <f t="shared" si="110"/>
        <v>0</v>
      </c>
      <c r="M84" s="13">
        <f t="shared" si="111"/>
        <v>0</v>
      </c>
      <c r="N84" s="13">
        <f t="shared" si="112"/>
        <v>0</v>
      </c>
      <c r="O84" s="13">
        <f t="shared" si="113"/>
        <v>0</v>
      </c>
      <c r="P84" s="13">
        <f t="shared" si="114"/>
        <v>0</v>
      </c>
      <c r="Q84" s="13">
        <f t="shared" si="115"/>
        <v>0</v>
      </c>
      <c r="R84" s="13">
        <f t="shared" si="116"/>
        <v>0</v>
      </c>
      <c r="S84" s="13">
        <f t="shared" si="117"/>
        <v>0</v>
      </c>
      <c r="T84" s="13">
        <f t="shared" si="118"/>
        <v>0</v>
      </c>
      <c r="U84" s="13">
        <f t="shared" si="119"/>
        <v>0</v>
      </c>
      <c r="V84" s="13">
        <f t="shared" si="120"/>
        <v>0</v>
      </c>
      <c r="W84" s="13">
        <f t="shared" si="121"/>
        <v>0</v>
      </c>
      <c r="X84" s="13">
        <f t="shared" si="122"/>
        <v>0</v>
      </c>
      <c r="Y84" s="13">
        <f t="shared" si="123"/>
        <v>0</v>
      </c>
      <c r="Z84" s="13">
        <f t="shared" si="124"/>
        <v>0</v>
      </c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</row>
    <row r="85" spans="1:345" s="14" customFormat="1">
      <c r="A85" s="15" t="s">
        <v>80</v>
      </c>
      <c r="B85" s="13">
        <f t="shared" si="100"/>
        <v>0</v>
      </c>
      <c r="C85" s="13">
        <f t="shared" si="101"/>
        <v>0</v>
      </c>
      <c r="D85" s="13">
        <f t="shared" si="102"/>
        <v>0</v>
      </c>
      <c r="E85" s="13">
        <f t="shared" si="103"/>
        <v>0</v>
      </c>
      <c r="F85" s="13">
        <f t="shared" si="104"/>
        <v>0</v>
      </c>
      <c r="G85" s="13">
        <f t="shared" si="105"/>
        <v>0</v>
      </c>
      <c r="H85" s="13">
        <f t="shared" si="106"/>
        <v>0</v>
      </c>
      <c r="I85" s="13">
        <f t="shared" si="107"/>
        <v>0</v>
      </c>
      <c r="J85" s="13">
        <f t="shared" si="108"/>
        <v>0</v>
      </c>
      <c r="K85" s="13">
        <f t="shared" si="109"/>
        <v>0</v>
      </c>
      <c r="L85" s="13">
        <f t="shared" si="110"/>
        <v>0</v>
      </c>
      <c r="M85" s="13">
        <f t="shared" si="111"/>
        <v>0</v>
      </c>
      <c r="N85" s="13">
        <f t="shared" si="112"/>
        <v>0</v>
      </c>
      <c r="O85" s="13">
        <f t="shared" si="113"/>
        <v>0</v>
      </c>
      <c r="P85" s="13">
        <f t="shared" si="114"/>
        <v>0</v>
      </c>
      <c r="Q85" s="13">
        <f t="shared" si="115"/>
        <v>0</v>
      </c>
      <c r="R85" s="13">
        <f t="shared" si="116"/>
        <v>0</v>
      </c>
      <c r="S85" s="13">
        <f t="shared" si="117"/>
        <v>0</v>
      </c>
      <c r="T85" s="13">
        <f t="shared" si="118"/>
        <v>0</v>
      </c>
      <c r="U85" s="13">
        <f t="shared" si="119"/>
        <v>0</v>
      </c>
      <c r="V85" s="13">
        <f t="shared" si="120"/>
        <v>0</v>
      </c>
      <c r="W85" s="13">
        <f t="shared" si="121"/>
        <v>0</v>
      </c>
      <c r="X85" s="13">
        <f t="shared" si="122"/>
        <v>0</v>
      </c>
      <c r="Y85" s="13">
        <f t="shared" si="123"/>
        <v>0</v>
      </c>
      <c r="Z85" s="13">
        <f t="shared" si="124"/>
        <v>0</v>
      </c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</row>
    <row r="86" spans="1:345" s="14" customFormat="1">
      <c r="A86" s="15" t="s">
        <v>81</v>
      </c>
      <c r="B86" s="13">
        <f t="shared" si="100"/>
        <v>0</v>
      </c>
      <c r="C86" s="13">
        <f t="shared" si="101"/>
        <v>0</v>
      </c>
      <c r="D86" s="13">
        <f t="shared" si="102"/>
        <v>0</v>
      </c>
      <c r="E86" s="13">
        <f t="shared" si="103"/>
        <v>0</v>
      </c>
      <c r="F86" s="13">
        <f t="shared" si="104"/>
        <v>0</v>
      </c>
      <c r="G86" s="13">
        <f t="shared" si="105"/>
        <v>0</v>
      </c>
      <c r="H86" s="13">
        <f t="shared" si="106"/>
        <v>0</v>
      </c>
      <c r="I86" s="13">
        <f t="shared" si="107"/>
        <v>0</v>
      </c>
      <c r="J86" s="13">
        <f t="shared" si="108"/>
        <v>0</v>
      </c>
      <c r="K86" s="13">
        <f t="shared" si="109"/>
        <v>0</v>
      </c>
      <c r="L86" s="13">
        <f t="shared" si="110"/>
        <v>0</v>
      </c>
      <c r="M86" s="13">
        <f t="shared" si="111"/>
        <v>0</v>
      </c>
      <c r="N86" s="13">
        <f t="shared" si="112"/>
        <v>0</v>
      </c>
      <c r="O86" s="13">
        <f t="shared" si="113"/>
        <v>0</v>
      </c>
      <c r="P86" s="13">
        <f t="shared" si="114"/>
        <v>0</v>
      </c>
      <c r="Q86" s="13">
        <f t="shared" si="115"/>
        <v>0</v>
      </c>
      <c r="R86" s="13">
        <f t="shared" si="116"/>
        <v>0</v>
      </c>
      <c r="S86" s="13">
        <f t="shared" si="117"/>
        <v>0</v>
      </c>
      <c r="T86" s="13">
        <f t="shared" si="118"/>
        <v>0</v>
      </c>
      <c r="U86" s="13">
        <f t="shared" si="119"/>
        <v>0</v>
      </c>
      <c r="V86" s="13">
        <f t="shared" si="120"/>
        <v>0</v>
      </c>
      <c r="W86" s="13">
        <f t="shared" si="121"/>
        <v>0</v>
      </c>
      <c r="X86" s="13">
        <f t="shared" si="122"/>
        <v>0</v>
      </c>
      <c r="Y86" s="13">
        <f t="shared" si="123"/>
        <v>0</v>
      </c>
      <c r="Z86" s="13">
        <f t="shared" si="124"/>
        <v>0</v>
      </c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</row>
    <row r="87" spans="1:345" s="14" customFormat="1">
      <c r="A87" s="15" t="s">
        <v>82</v>
      </c>
      <c r="B87" s="13">
        <f t="shared" si="100"/>
        <v>0</v>
      </c>
      <c r="C87" s="13">
        <f t="shared" si="101"/>
        <v>0</v>
      </c>
      <c r="D87" s="13">
        <f t="shared" si="102"/>
        <v>0</v>
      </c>
      <c r="E87" s="13">
        <f t="shared" si="103"/>
        <v>0</v>
      </c>
      <c r="F87" s="13">
        <f t="shared" si="104"/>
        <v>0</v>
      </c>
      <c r="G87" s="13">
        <f t="shared" si="105"/>
        <v>0</v>
      </c>
      <c r="H87" s="13">
        <f t="shared" si="106"/>
        <v>0</v>
      </c>
      <c r="I87" s="13">
        <f t="shared" si="107"/>
        <v>0</v>
      </c>
      <c r="J87" s="13">
        <f t="shared" si="108"/>
        <v>0</v>
      </c>
      <c r="K87" s="13">
        <f t="shared" si="109"/>
        <v>0</v>
      </c>
      <c r="L87" s="13">
        <f t="shared" si="110"/>
        <v>0</v>
      </c>
      <c r="M87" s="13">
        <f t="shared" si="111"/>
        <v>0</v>
      </c>
      <c r="N87" s="13">
        <f t="shared" si="112"/>
        <v>0</v>
      </c>
      <c r="O87" s="13">
        <f t="shared" si="113"/>
        <v>0</v>
      </c>
      <c r="P87" s="13">
        <f t="shared" si="114"/>
        <v>0</v>
      </c>
      <c r="Q87" s="13">
        <f t="shared" si="115"/>
        <v>0</v>
      </c>
      <c r="R87" s="13">
        <f t="shared" si="116"/>
        <v>0</v>
      </c>
      <c r="S87" s="13">
        <f t="shared" si="117"/>
        <v>0</v>
      </c>
      <c r="T87" s="13">
        <f t="shared" si="118"/>
        <v>0</v>
      </c>
      <c r="U87" s="13">
        <f t="shared" si="119"/>
        <v>0</v>
      </c>
      <c r="V87" s="13">
        <f t="shared" si="120"/>
        <v>0</v>
      </c>
      <c r="W87" s="13">
        <f t="shared" si="121"/>
        <v>0</v>
      </c>
      <c r="X87" s="13">
        <f t="shared" si="122"/>
        <v>0</v>
      </c>
      <c r="Y87" s="13">
        <f t="shared" si="123"/>
        <v>0</v>
      </c>
      <c r="Z87" s="13">
        <f t="shared" si="124"/>
        <v>0</v>
      </c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</row>
    <row r="88" spans="1:345" s="14" customFormat="1">
      <c r="A88" s="12" t="s">
        <v>83</v>
      </c>
      <c r="B88" s="13">
        <f t="shared" si="100"/>
        <v>0</v>
      </c>
      <c r="C88" s="13">
        <f t="shared" si="101"/>
        <v>0</v>
      </c>
      <c r="D88" s="13">
        <f t="shared" si="102"/>
        <v>0</v>
      </c>
      <c r="E88" s="13">
        <f t="shared" si="103"/>
        <v>0</v>
      </c>
      <c r="F88" s="13">
        <f t="shared" si="104"/>
        <v>0</v>
      </c>
      <c r="G88" s="13">
        <f t="shared" si="105"/>
        <v>0</v>
      </c>
      <c r="H88" s="13">
        <f t="shared" si="106"/>
        <v>0</v>
      </c>
      <c r="I88" s="13">
        <f t="shared" si="107"/>
        <v>0</v>
      </c>
      <c r="J88" s="13">
        <f t="shared" si="108"/>
        <v>0</v>
      </c>
      <c r="K88" s="13">
        <f t="shared" si="109"/>
        <v>0</v>
      </c>
      <c r="L88" s="13">
        <f t="shared" si="110"/>
        <v>0</v>
      </c>
      <c r="M88" s="13">
        <f t="shared" si="111"/>
        <v>0</v>
      </c>
      <c r="N88" s="13">
        <f t="shared" si="112"/>
        <v>0</v>
      </c>
      <c r="O88" s="13">
        <f t="shared" si="113"/>
        <v>0</v>
      </c>
      <c r="P88" s="13">
        <f t="shared" si="114"/>
        <v>0</v>
      </c>
      <c r="Q88" s="13">
        <f t="shared" si="115"/>
        <v>0</v>
      </c>
      <c r="R88" s="13">
        <f t="shared" si="116"/>
        <v>0</v>
      </c>
      <c r="S88" s="13">
        <f t="shared" si="117"/>
        <v>0</v>
      </c>
      <c r="T88" s="13">
        <f t="shared" si="118"/>
        <v>0</v>
      </c>
      <c r="U88" s="13">
        <f t="shared" si="119"/>
        <v>0</v>
      </c>
      <c r="V88" s="13">
        <f t="shared" si="120"/>
        <v>0</v>
      </c>
      <c r="W88" s="13">
        <f t="shared" si="121"/>
        <v>0</v>
      </c>
      <c r="X88" s="13">
        <f t="shared" si="122"/>
        <v>0</v>
      </c>
      <c r="Y88" s="13">
        <f t="shared" si="123"/>
        <v>0</v>
      </c>
      <c r="Z88" s="13">
        <f t="shared" si="124"/>
        <v>4.4739599999999997E-2</v>
      </c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>
        <v>40.799999999999997</v>
      </c>
      <c r="LF88" s="13">
        <v>1.0007999999999999</v>
      </c>
      <c r="LG88" s="13"/>
      <c r="LH88" s="13"/>
      <c r="LI88" s="13"/>
      <c r="LJ88" s="13"/>
      <c r="LK88" s="13"/>
      <c r="LL88" s="13">
        <v>2.9388000000000001</v>
      </c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</row>
    <row r="89" spans="1:345" s="14" customFormat="1">
      <c r="A89" s="12" t="s">
        <v>84</v>
      </c>
      <c r="B89" s="13">
        <f t="shared" si="100"/>
        <v>0</v>
      </c>
      <c r="C89" s="13">
        <f t="shared" si="101"/>
        <v>0</v>
      </c>
      <c r="D89" s="13">
        <f t="shared" si="102"/>
        <v>0</v>
      </c>
      <c r="E89" s="13">
        <f t="shared" si="103"/>
        <v>0</v>
      </c>
      <c r="F89" s="13">
        <f t="shared" si="104"/>
        <v>0</v>
      </c>
      <c r="G89" s="13">
        <f t="shared" si="105"/>
        <v>0</v>
      </c>
      <c r="H89" s="13">
        <f t="shared" si="106"/>
        <v>0</v>
      </c>
      <c r="I89" s="13">
        <f t="shared" si="107"/>
        <v>0</v>
      </c>
      <c r="J89" s="13">
        <f t="shared" si="108"/>
        <v>0</v>
      </c>
      <c r="K89" s="13">
        <f t="shared" si="109"/>
        <v>0</v>
      </c>
      <c r="L89" s="13">
        <f t="shared" si="110"/>
        <v>0</v>
      </c>
      <c r="M89" s="13">
        <f t="shared" si="111"/>
        <v>0</v>
      </c>
      <c r="N89" s="13">
        <f t="shared" si="112"/>
        <v>0</v>
      </c>
      <c r="O89" s="13">
        <f t="shared" si="113"/>
        <v>0</v>
      </c>
      <c r="P89" s="13">
        <f t="shared" si="114"/>
        <v>0</v>
      </c>
      <c r="Q89" s="13">
        <f t="shared" si="115"/>
        <v>0</v>
      </c>
      <c r="R89" s="13">
        <f t="shared" si="116"/>
        <v>0</v>
      </c>
      <c r="S89" s="13">
        <f t="shared" si="117"/>
        <v>0</v>
      </c>
      <c r="T89" s="13">
        <f t="shared" si="118"/>
        <v>0</v>
      </c>
      <c r="U89" s="13">
        <f t="shared" si="119"/>
        <v>0</v>
      </c>
      <c r="V89" s="13">
        <f t="shared" si="120"/>
        <v>0</v>
      </c>
      <c r="W89" s="13">
        <f t="shared" si="121"/>
        <v>0</v>
      </c>
      <c r="X89" s="13">
        <f t="shared" si="122"/>
        <v>0</v>
      </c>
      <c r="Y89" s="13">
        <f t="shared" si="123"/>
        <v>0</v>
      </c>
      <c r="Z89" s="13">
        <f t="shared" si="124"/>
        <v>0</v>
      </c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</row>
    <row r="90" spans="1:345" s="14" customFormat="1">
      <c r="A90" s="12" t="s">
        <v>85</v>
      </c>
      <c r="B90" s="13">
        <f t="shared" si="100"/>
        <v>0</v>
      </c>
      <c r="C90" s="13">
        <f t="shared" si="101"/>
        <v>0</v>
      </c>
      <c r="D90" s="13">
        <f t="shared" si="102"/>
        <v>0</v>
      </c>
      <c r="E90" s="13">
        <f t="shared" si="103"/>
        <v>0</v>
      </c>
      <c r="F90" s="13">
        <f t="shared" si="104"/>
        <v>0</v>
      </c>
      <c r="G90" s="13">
        <f t="shared" si="105"/>
        <v>0</v>
      </c>
      <c r="H90" s="13">
        <f t="shared" si="106"/>
        <v>0</v>
      </c>
      <c r="I90" s="13">
        <f t="shared" si="107"/>
        <v>0</v>
      </c>
      <c r="J90" s="13">
        <f t="shared" si="108"/>
        <v>0</v>
      </c>
      <c r="K90" s="13">
        <f t="shared" si="109"/>
        <v>0</v>
      </c>
      <c r="L90" s="13">
        <f t="shared" si="110"/>
        <v>0</v>
      </c>
      <c r="M90" s="13">
        <f t="shared" si="111"/>
        <v>0</v>
      </c>
      <c r="N90" s="13">
        <f t="shared" si="112"/>
        <v>0</v>
      </c>
      <c r="O90" s="13">
        <f t="shared" si="113"/>
        <v>0</v>
      </c>
      <c r="P90" s="13">
        <f t="shared" si="114"/>
        <v>0</v>
      </c>
      <c r="Q90" s="13">
        <f t="shared" si="115"/>
        <v>0</v>
      </c>
      <c r="R90" s="13">
        <f t="shared" si="116"/>
        <v>0</v>
      </c>
      <c r="S90" s="13">
        <f t="shared" si="117"/>
        <v>0</v>
      </c>
      <c r="T90" s="13">
        <f t="shared" si="118"/>
        <v>0</v>
      </c>
      <c r="U90" s="13">
        <f t="shared" si="119"/>
        <v>0</v>
      </c>
      <c r="V90" s="13">
        <f t="shared" si="120"/>
        <v>0</v>
      </c>
      <c r="W90" s="13">
        <f t="shared" si="121"/>
        <v>0</v>
      </c>
      <c r="X90" s="13">
        <f t="shared" si="122"/>
        <v>0</v>
      </c>
      <c r="Y90" s="13">
        <f t="shared" si="123"/>
        <v>0</v>
      </c>
      <c r="Z90" s="13">
        <f t="shared" si="124"/>
        <v>0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</row>
    <row r="91" spans="1:345" s="14" customFormat="1">
      <c r="A91" s="12" t="s">
        <v>86</v>
      </c>
      <c r="B91" s="13">
        <f t="shared" si="100"/>
        <v>0</v>
      </c>
      <c r="C91" s="13">
        <f t="shared" si="101"/>
        <v>0</v>
      </c>
      <c r="D91" s="13">
        <f t="shared" si="102"/>
        <v>0</v>
      </c>
      <c r="E91" s="13">
        <f t="shared" si="103"/>
        <v>0</v>
      </c>
      <c r="F91" s="13">
        <f t="shared" si="104"/>
        <v>0</v>
      </c>
      <c r="G91" s="13">
        <f t="shared" si="105"/>
        <v>0</v>
      </c>
      <c r="H91" s="13">
        <f t="shared" si="106"/>
        <v>0</v>
      </c>
      <c r="I91" s="13">
        <f t="shared" si="107"/>
        <v>0</v>
      </c>
      <c r="J91" s="13">
        <f t="shared" si="108"/>
        <v>0</v>
      </c>
      <c r="K91" s="13">
        <f t="shared" si="109"/>
        <v>0</v>
      </c>
      <c r="L91" s="13">
        <f t="shared" si="110"/>
        <v>0</v>
      </c>
      <c r="M91" s="13">
        <f t="shared" si="111"/>
        <v>0</v>
      </c>
      <c r="N91" s="13">
        <f t="shared" si="112"/>
        <v>0</v>
      </c>
      <c r="O91" s="13">
        <f t="shared" si="113"/>
        <v>0</v>
      </c>
      <c r="P91" s="13">
        <f t="shared" si="114"/>
        <v>0</v>
      </c>
      <c r="Q91" s="13">
        <f t="shared" si="115"/>
        <v>0</v>
      </c>
      <c r="R91" s="13">
        <f t="shared" si="116"/>
        <v>0</v>
      </c>
      <c r="S91" s="13">
        <f t="shared" si="117"/>
        <v>0</v>
      </c>
      <c r="T91" s="13">
        <f t="shared" si="118"/>
        <v>0</v>
      </c>
      <c r="U91" s="13">
        <f t="shared" si="119"/>
        <v>0</v>
      </c>
      <c r="V91" s="13">
        <f t="shared" si="120"/>
        <v>0</v>
      </c>
      <c r="W91" s="13">
        <f t="shared" si="121"/>
        <v>0</v>
      </c>
      <c r="X91" s="13">
        <f t="shared" si="122"/>
        <v>0</v>
      </c>
      <c r="Y91" s="13">
        <f t="shared" si="123"/>
        <v>0</v>
      </c>
      <c r="Z91" s="13">
        <f t="shared" si="124"/>
        <v>0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</row>
    <row r="92" spans="1:345" s="14" customFormat="1">
      <c r="A92" s="12" t="s">
        <v>87</v>
      </c>
      <c r="B92" s="13">
        <f t="shared" si="100"/>
        <v>0</v>
      </c>
      <c r="C92" s="13">
        <f t="shared" si="101"/>
        <v>0</v>
      </c>
      <c r="D92" s="13">
        <f t="shared" si="102"/>
        <v>0</v>
      </c>
      <c r="E92" s="13">
        <f t="shared" si="103"/>
        <v>0</v>
      </c>
      <c r="F92" s="13">
        <f t="shared" si="104"/>
        <v>0</v>
      </c>
      <c r="G92" s="13">
        <f t="shared" si="105"/>
        <v>0</v>
      </c>
      <c r="H92" s="13">
        <f t="shared" si="106"/>
        <v>0</v>
      </c>
      <c r="I92" s="13">
        <f t="shared" si="107"/>
        <v>0</v>
      </c>
      <c r="J92" s="13">
        <f t="shared" si="108"/>
        <v>0</v>
      </c>
      <c r="K92" s="13">
        <f t="shared" si="109"/>
        <v>0</v>
      </c>
      <c r="L92" s="13">
        <f t="shared" si="110"/>
        <v>0</v>
      </c>
      <c r="M92" s="13">
        <f t="shared" si="111"/>
        <v>0</v>
      </c>
      <c r="N92" s="13">
        <f t="shared" si="112"/>
        <v>0</v>
      </c>
      <c r="O92" s="13">
        <f t="shared" si="113"/>
        <v>0</v>
      </c>
      <c r="P92" s="13">
        <f t="shared" si="114"/>
        <v>0</v>
      </c>
      <c r="Q92" s="13">
        <f t="shared" si="115"/>
        <v>0</v>
      </c>
      <c r="R92" s="13">
        <f t="shared" si="116"/>
        <v>0</v>
      </c>
      <c r="S92" s="13">
        <f t="shared" si="117"/>
        <v>0</v>
      </c>
      <c r="T92" s="13">
        <f t="shared" si="118"/>
        <v>0</v>
      </c>
      <c r="U92" s="13">
        <f t="shared" si="119"/>
        <v>0</v>
      </c>
      <c r="V92" s="13">
        <f t="shared" si="120"/>
        <v>0</v>
      </c>
      <c r="W92" s="13">
        <f t="shared" si="121"/>
        <v>0</v>
      </c>
      <c r="X92" s="13">
        <f t="shared" si="122"/>
        <v>0</v>
      </c>
      <c r="Y92" s="13">
        <f t="shared" si="123"/>
        <v>0</v>
      </c>
      <c r="Z92" s="13">
        <f t="shared" si="124"/>
        <v>0</v>
      </c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</row>
    <row r="93" spans="1:345" s="14" customFormat="1">
      <c r="A93" s="12" t="s">
        <v>88</v>
      </c>
      <c r="B93" s="13">
        <f t="shared" si="100"/>
        <v>0</v>
      </c>
      <c r="C93" s="13">
        <f t="shared" si="101"/>
        <v>0</v>
      </c>
      <c r="D93" s="13">
        <f t="shared" si="102"/>
        <v>0</v>
      </c>
      <c r="E93" s="13">
        <f t="shared" si="103"/>
        <v>0</v>
      </c>
      <c r="F93" s="13">
        <f t="shared" si="104"/>
        <v>0</v>
      </c>
      <c r="G93" s="13">
        <f t="shared" si="105"/>
        <v>0</v>
      </c>
      <c r="H93" s="13">
        <f t="shared" si="106"/>
        <v>0</v>
      </c>
      <c r="I93" s="13">
        <f t="shared" si="107"/>
        <v>0</v>
      </c>
      <c r="J93" s="13">
        <f t="shared" si="108"/>
        <v>0</v>
      </c>
      <c r="K93" s="13">
        <f t="shared" si="109"/>
        <v>0</v>
      </c>
      <c r="L93" s="13">
        <f t="shared" si="110"/>
        <v>0</v>
      </c>
      <c r="M93" s="13">
        <f t="shared" si="111"/>
        <v>0</v>
      </c>
      <c r="N93" s="13">
        <f t="shared" si="112"/>
        <v>0</v>
      </c>
      <c r="O93" s="13">
        <f t="shared" si="113"/>
        <v>0</v>
      </c>
      <c r="P93" s="13">
        <f t="shared" si="114"/>
        <v>0</v>
      </c>
      <c r="Q93" s="13">
        <f t="shared" si="115"/>
        <v>0</v>
      </c>
      <c r="R93" s="13">
        <f t="shared" si="116"/>
        <v>0</v>
      </c>
      <c r="S93" s="13">
        <f t="shared" si="117"/>
        <v>0</v>
      </c>
      <c r="T93" s="13">
        <f t="shared" si="118"/>
        <v>0</v>
      </c>
      <c r="U93" s="13">
        <f t="shared" si="119"/>
        <v>0</v>
      </c>
      <c r="V93" s="13">
        <f t="shared" si="120"/>
        <v>0</v>
      </c>
      <c r="W93" s="13">
        <f t="shared" si="121"/>
        <v>0</v>
      </c>
      <c r="X93" s="13">
        <f t="shared" si="122"/>
        <v>0</v>
      </c>
      <c r="Y93" s="13">
        <f t="shared" si="123"/>
        <v>0</v>
      </c>
      <c r="Z93" s="13">
        <f t="shared" si="124"/>
        <v>0</v>
      </c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</row>
    <row r="94" spans="1:345" s="14" customFormat="1">
      <c r="A94" s="15" t="s">
        <v>89</v>
      </c>
      <c r="B94" s="13">
        <f t="shared" si="100"/>
        <v>0</v>
      </c>
      <c r="C94" s="13">
        <f t="shared" si="101"/>
        <v>0</v>
      </c>
      <c r="D94" s="13">
        <f t="shared" si="102"/>
        <v>0</v>
      </c>
      <c r="E94" s="13">
        <f t="shared" si="103"/>
        <v>0</v>
      </c>
      <c r="F94" s="13">
        <f t="shared" si="104"/>
        <v>0</v>
      </c>
      <c r="G94" s="13">
        <f t="shared" si="105"/>
        <v>0</v>
      </c>
      <c r="H94" s="13">
        <f t="shared" si="106"/>
        <v>0</v>
      </c>
      <c r="I94" s="13">
        <f t="shared" si="107"/>
        <v>0</v>
      </c>
      <c r="J94" s="13">
        <f t="shared" si="108"/>
        <v>0</v>
      </c>
      <c r="K94" s="13">
        <f t="shared" si="109"/>
        <v>0</v>
      </c>
      <c r="L94" s="13">
        <f t="shared" si="110"/>
        <v>0</v>
      </c>
      <c r="M94" s="13">
        <f t="shared" si="111"/>
        <v>0</v>
      </c>
      <c r="N94" s="13">
        <f t="shared" si="112"/>
        <v>0</v>
      </c>
      <c r="O94" s="13">
        <f t="shared" si="113"/>
        <v>0</v>
      </c>
      <c r="P94" s="13">
        <f t="shared" si="114"/>
        <v>0</v>
      </c>
      <c r="Q94" s="13">
        <f t="shared" si="115"/>
        <v>0</v>
      </c>
      <c r="R94" s="13">
        <f t="shared" si="116"/>
        <v>0</v>
      </c>
      <c r="S94" s="13">
        <f t="shared" si="117"/>
        <v>0</v>
      </c>
      <c r="T94" s="13">
        <f t="shared" si="118"/>
        <v>0</v>
      </c>
      <c r="U94" s="13">
        <f t="shared" si="119"/>
        <v>0</v>
      </c>
      <c r="V94" s="13">
        <f t="shared" si="120"/>
        <v>0</v>
      </c>
      <c r="W94" s="13">
        <f t="shared" si="121"/>
        <v>0</v>
      </c>
      <c r="X94" s="13">
        <f t="shared" si="122"/>
        <v>0</v>
      </c>
      <c r="Y94" s="13">
        <f t="shared" si="123"/>
        <v>0</v>
      </c>
      <c r="Z94" s="13">
        <f t="shared" si="124"/>
        <v>0</v>
      </c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</row>
    <row r="95" spans="1:345" s="14" customFormat="1">
      <c r="A95" s="12" t="s">
        <v>90</v>
      </c>
      <c r="B95" s="13">
        <f t="shared" si="100"/>
        <v>0</v>
      </c>
      <c r="C95" s="13">
        <f t="shared" si="101"/>
        <v>0</v>
      </c>
      <c r="D95" s="13">
        <f t="shared" si="102"/>
        <v>0</v>
      </c>
      <c r="E95" s="13">
        <f t="shared" si="103"/>
        <v>0</v>
      </c>
      <c r="F95" s="13">
        <f t="shared" si="104"/>
        <v>0</v>
      </c>
      <c r="G95" s="13">
        <f t="shared" si="105"/>
        <v>0</v>
      </c>
      <c r="H95" s="13">
        <f t="shared" si="106"/>
        <v>0</v>
      </c>
      <c r="I95" s="13">
        <f t="shared" si="107"/>
        <v>0</v>
      </c>
      <c r="J95" s="13">
        <f t="shared" si="108"/>
        <v>0</v>
      </c>
      <c r="K95" s="13">
        <f t="shared" si="109"/>
        <v>0</v>
      </c>
      <c r="L95" s="13">
        <f t="shared" si="110"/>
        <v>0</v>
      </c>
      <c r="M95" s="13">
        <f t="shared" si="111"/>
        <v>0</v>
      </c>
      <c r="N95" s="13">
        <f t="shared" si="112"/>
        <v>0</v>
      </c>
      <c r="O95" s="13">
        <f t="shared" si="113"/>
        <v>0</v>
      </c>
      <c r="P95" s="13">
        <f t="shared" si="114"/>
        <v>0</v>
      </c>
      <c r="Q95" s="13">
        <f t="shared" si="115"/>
        <v>0</v>
      </c>
      <c r="R95" s="13">
        <f t="shared" si="116"/>
        <v>0</v>
      </c>
      <c r="S95" s="13">
        <f t="shared" si="117"/>
        <v>0</v>
      </c>
      <c r="T95" s="13">
        <f t="shared" si="118"/>
        <v>0</v>
      </c>
      <c r="U95" s="13">
        <f t="shared" si="119"/>
        <v>0</v>
      </c>
      <c r="V95" s="13">
        <f t="shared" si="120"/>
        <v>0</v>
      </c>
      <c r="W95" s="13">
        <f t="shared" si="121"/>
        <v>0</v>
      </c>
      <c r="X95" s="13">
        <f t="shared" si="122"/>
        <v>0</v>
      </c>
      <c r="Y95" s="13">
        <f t="shared" si="123"/>
        <v>0</v>
      </c>
      <c r="Z95" s="13">
        <f t="shared" si="124"/>
        <v>0</v>
      </c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</row>
    <row r="96" spans="1:345" s="14" customFormat="1">
      <c r="A96" s="12" t="s">
        <v>91</v>
      </c>
      <c r="B96" s="13">
        <f t="shared" si="100"/>
        <v>0</v>
      </c>
      <c r="C96" s="13">
        <f t="shared" si="101"/>
        <v>0</v>
      </c>
      <c r="D96" s="13">
        <f t="shared" si="102"/>
        <v>0</v>
      </c>
      <c r="E96" s="13">
        <f t="shared" si="103"/>
        <v>0</v>
      </c>
      <c r="F96" s="13">
        <f t="shared" si="104"/>
        <v>0</v>
      </c>
      <c r="G96" s="13">
        <f t="shared" si="105"/>
        <v>0</v>
      </c>
      <c r="H96" s="13">
        <f t="shared" si="106"/>
        <v>0</v>
      </c>
      <c r="I96" s="13">
        <f t="shared" si="107"/>
        <v>0</v>
      </c>
      <c r="J96" s="13">
        <f t="shared" si="108"/>
        <v>0</v>
      </c>
      <c r="K96" s="13">
        <f t="shared" si="109"/>
        <v>0</v>
      </c>
      <c r="L96" s="13">
        <f t="shared" si="110"/>
        <v>0</v>
      </c>
      <c r="M96" s="13">
        <f t="shared" si="111"/>
        <v>0</v>
      </c>
      <c r="N96" s="13">
        <f t="shared" si="112"/>
        <v>0</v>
      </c>
      <c r="O96" s="13">
        <f t="shared" si="113"/>
        <v>0</v>
      </c>
      <c r="P96" s="13">
        <f t="shared" si="114"/>
        <v>0</v>
      </c>
      <c r="Q96" s="13">
        <f t="shared" si="115"/>
        <v>0</v>
      </c>
      <c r="R96" s="13">
        <f t="shared" si="116"/>
        <v>0</v>
      </c>
      <c r="S96" s="13">
        <f t="shared" si="117"/>
        <v>0</v>
      </c>
      <c r="T96" s="13">
        <f t="shared" si="118"/>
        <v>0</v>
      </c>
      <c r="U96" s="13">
        <f t="shared" si="119"/>
        <v>0</v>
      </c>
      <c r="V96" s="13">
        <f t="shared" si="120"/>
        <v>0</v>
      </c>
      <c r="W96" s="13">
        <f t="shared" si="121"/>
        <v>0</v>
      </c>
      <c r="X96" s="13">
        <f t="shared" si="122"/>
        <v>0</v>
      </c>
      <c r="Y96" s="13">
        <f t="shared" si="123"/>
        <v>0</v>
      </c>
      <c r="Z96" s="13">
        <f t="shared" si="124"/>
        <v>0</v>
      </c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</row>
    <row r="97" spans="1:345" s="14" customFormat="1">
      <c r="A97" s="12" t="s">
        <v>92</v>
      </c>
      <c r="B97" s="13">
        <f t="shared" si="100"/>
        <v>0</v>
      </c>
      <c r="C97" s="13">
        <f t="shared" si="101"/>
        <v>0</v>
      </c>
      <c r="D97" s="13">
        <f t="shared" si="102"/>
        <v>0</v>
      </c>
      <c r="E97" s="13">
        <f t="shared" si="103"/>
        <v>0</v>
      </c>
      <c r="F97" s="13">
        <f t="shared" si="104"/>
        <v>0</v>
      </c>
      <c r="G97" s="13">
        <f t="shared" si="105"/>
        <v>0</v>
      </c>
      <c r="H97" s="13">
        <f t="shared" si="106"/>
        <v>0</v>
      </c>
      <c r="I97" s="13">
        <f t="shared" si="107"/>
        <v>0</v>
      </c>
      <c r="J97" s="13">
        <f t="shared" si="108"/>
        <v>0</v>
      </c>
      <c r="K97" s="13">
        <f t="shared" si="109"/>
        <v>0</v>
      </c>
      <c r="L97" s="13">
        <f t="shared" si="110"/>
        <v>0</v>
      </c>
      <c r="M97" s="13">
        <f t="shared" si="111"/>
        <v>0</v>
      </c>
      <c r="N97" s="13">
        <f t="shared" si="112"/>
        <v>0</v>
      </c>
      <c r="O97" s="13">
        <f t="shared" si="113"/>
        <v>0</v>
      </c>
      <c r="P97" s="13">
        <f t="shared" si="114"/>
        <v>0</v>
      </c>
      <c r="Q97" s="13">
        <f t="shared" si="115"/>
        <v>0</v>
      </c>
      <c r="R97" s="13">
        <f t="shared" si="116"/>
        <v>0</v>
      </c>
      <c r="S97" s="13">
        <f t="shared" si="117"/>
        <v>0</v>
      </c>
      <c r="T97" s="13">
        <f t="shared" si="118"/>
        <v>0</v>
      </c>
      <c r="U97" s="13">
        <f t="shared" si="119"/>
        <v>0</v>
      </c>
      <c r="V97" s="13">
        <f t="shared" si="120"/>
        <v>0</v>
      </c>
      <c r="W97" s="13">
        <f t="shared" si="121"/>
        <v>0</v>
      </c>
      <c r="X97" s="13">
        <f t="shared" si="122"/>
        <v>0</v>
      </c>
      <c r="Y97" s="13">
        <f t="shared" si="123"/>
        <v>0</v>
      </c>
      <c r="Z97" s="13">
        <f t="shared" si="124"/>
        <v>0</v>
      </c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</row>
    <row r="98" spans="1:345" s="14" customFormat="1">
      <c r="A98" s="12" t="s">
        <v>93</v>
      </c>
      <c r="B98" s="13">
        <f t="shared" si="100"/>
        <v>0</v>
      </c>
      <c r="C98" s="13">
        <f t="shared" si="101"/>
        <v>0</v>
      </c>
      <c r="D98" s="13">
        <f t="shared" si="102"/>
        <v>0</v>
      </c>
      <c r="E98" s="13">
        <f t="shared" si="103"/>
        <v>0</v>
      </c>
      <c r="F98" s="13">
        <f t="shared" si="104"/>
        <v>0</v>
      </c>
      <c r="G98" s="13">
        <f t="shared" si="105"/>
        <v>0</v>
      </c>
      <c r="H98" s="13">
        <f t="shared" si="106"/>
        <v>0</v>
      </c>
      <c r="I98" s="13">
        <f t="shared" si="107"/>
        <v>0</v>
      </c>
      <c r="J98" s="13">
        <f t="shared" si="108"/>
        <v>0</v>
      </c>
      <c r="K98" s="13">
        <f t="shared" si="109"/>
        <v>0</v>
      </c>
      <c r="L98" s="13">
        <f t="shared" si="110"/>
        <v>0</v>
      </c>
      <c r="M98" s="13">
        <f t="shared" si="111"/>
        <v>0</v>
      </c>
      <c r="N98" s="13">
        <f t="shared" si="112"/>
        <v>0</v>
      </c>
      <c r="O98" s="13">
        <f t="shared" si="113"/>
        <v>0</v>
      </c>
      <c r="P98" s="13">
        <f t="shared" si="114"/>
        <v>0</v>
      </c>
      <c r="Q98" s="13">
        <f t="shared" si="115"/>
        <v>0</v>
      </c>
      <c r="R98" s="13">
        <f t="shared" si="116"/>
        <v>0</v>
      </c>
      <c r="S98" s="13">
        <f t="shared" si="117"/>
        <v>0</v>
      </c>
      <c r="T98" s="13">
        <f t="shared" si="118"/>
        <v>0</v>
      </c>
      <c r="U98" s="13">
        <f t="shared" si="119"/>
        <v>0</v>
      </c>
      <c r="V98" s="13">
        <f t="shared" si="120"/>
        <v>0</v>
      </c>
      <c r="W98" s="13">
        <f t="shared" si="121"/>
        <v>0</v>
      </c>
      <c r="X98" s="13">
        <f t="shared" si="122"/>
        <v>0</v>
      </c>
      <c r="Y98" s="13">
        <f t="shared" si="123"/>
        <v>0</v>
      </c>
      <c r="Z98" s="13">
        <f t="shared" si="124"/>
        <v>0</v>
      </c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</row>
    <row r="99" spans="1:345" s="14" customFormat="1">
      <c r="A99" s="12" t="s">
        <v>94</v>
      </c>
      <c r="B99" s="13">
        <f t="shared" si="100"/>
        <v>0</v>
      </c>
      <c r="C99" s="13">
        <f t="shared" si="101"/>
        <v>0</v>
      </c>
      <c r="D99" s="13">
        <f t="shared" si="102"/>
        <v>0</v>
      </c>
      <c r="E99" s="13">
        <f t="shared" si="103"/>
        <v>0</v>
      </c>
      <c r="F99" s="13">
        <f t="shared" si="104"/>
        <v>0</v>
      </c>
      <c r="G99" s="13">
        <f t="shared" si="105"/>
        <v>0</v>
      </c>
      <c r="H99" s="13">
        <f t="shared" si="106"/>
        <v>0</v>
      </c>
      <c r="I99" s="13">
        <f t="shared" si="107"/>
        <v>0</v>
      </c>
      <c r="J99" s="13">
        <f t="shared" si="108"/>
        <v>0</v>
      </c>
      <c r="K99" s="13">
        <f t="shared" si="109"/>
        <v>0</v>
      </c>
      <c r="L99" s="13">
        <f t="shared" si="110"/>
        <v>0</v>
      </c>
      <c r="M99" s="13">
        <f t="shared" si="111"/>
        <v>0</v>
      </c>
      <c r="N99" s="13">
        <f t="shared" si="112"/>
        <v>0</v>
      </c>
      <c r="O99" s="13">
        <f t="shared" si="113"/>
        <v>0</v>
      </c>
      <c r="P99" s="13">
        <f t="shared" si="114"/>
        <v>0</v>
      </c>
      <c r="Q99" s="13">
        <f t="shared" si="115"/>
        <v>0</v>
      </c>
      <c r="R99" s="13">
        <f t="shared" si="116"/>
        <v>0</v>
      </c>
      <c r="S99" s="13">
        <f t="shared" si="117"/>
        <v>0</v>
      </c>
      <c r="T99" s="13">
        <f t="shared" si="118"/>
        <v>0</v>
      </c>
      <c r="U99" s="13">
        <f t="shared" si="119"/>
        <v>0</v>
      </c>
      <c r="V99" s="13">
        <f t="shared" si="120"/>
        <v>0</v>
      </c>
      <c r="W99" s="13">
        <f t="shared" si="121"/>
        <v>0</v>
      </c>
      <c r="X99" s="13">
        <f t="shared" si="122"/>
        <v>0</v>
      </c>
      <c r="Y99" s="13">
        <f t="shared" si="123"/>
        <v>0</v>
      </c>
      <c r="Z99" s="13">
        <f t="shared" si="124"/>
        <v>0</v>
      </c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</row>
    <row r="100" spans="1:345" s="14" customFormat="1">
      <c r="A100" s="12" t="s">
        <v>95</v>
      </c>
      <c r="B100" s="13">
        <f t="shared" si="100"/>
        <v>0</v>
      </c>
      <c r="C100" s="13">
        <f t="shared" si="101"/>
        <v>0</v>
      </c>
      <c r="D100" s="13">
        <f t="shared" si="102"/>
        <v>0</v>
      </c>
      <c r="E100" s="13">
        <f t="shared" si="103"/>
        <v>0</v>
      </c>
      <c r="F100" s="13">
        <f t="shared" si="104"/>
        <v>0</v>
      </c>
      <c r="G100" s="13">
        <f t="shared" si="105"/>
        <v>0</v>
      </c>
      <c r="H100" s="13">
        <f t="shared" si="106"/>
        <v>0</v>
      </c>
      <c r="I100" s="13">
        <f t="shared" si="107"/>
        <v>0</v>
      </c>
      <c r="J100" s="13">
        <f t="shared" si="108"/>
        <v>0</v>
      </c>
      <c r="K100" s="13">
        <f t="shared" si="109"/>
        <v>0</v>
      </c>
      <c r="L100" s="13">
        <f t="shared" si="110"/>
        <v>0</v>
      </c>
      <c r="M100" s="13">
        <f t="shared" si="111"/>
        <v>0</v>
      </c>
      <c r="N100" s="13">
        <f t="shared" si="112"/>
        <v>0</v>
      </c>
      <c r="O100" s="13">
        <f t="shared" si="113"/>
        <v>0</v>
      </c>
      <c r="P100" s="13">
        <f t="shared" si="114"/>
        <v>0</v>
      </c>
      <c r="Q100" s="13">
        <f t="shared" si="115"/>
        <v>0</v>
      </c>
      <c r="R100" s="13">
        <f t="shared" si="116"/>
        <v>0</v>
      </c>
      <c r="S100" s="13">
        <f t="shared" si="117"/>
        <v>0</v>
      </c>
      <c r="T100" s="13">
        <f t="shared" si="118"/>
        <v>0</v>
      </c>
      <c r="U100" s="13">
        <f t="shared" si="119"/>
        <v>0</v>
      </c>
      <c r="V100" s="13">
        <f t="shared" si="120"/>
        <v>0</v>
      </c>
      <c r="W100" s="13">
        <f t="shared" si="121"/>
        <v>0</v>
      </c>
      <c r="X100" s="13">
        <f t="shared" si="122"/>
        <v>0</v>
      </c>
      <c r="Y100" s="13">
        <f t="shared" si="123"/>
        <v>0</v>
      </c>
      <c r="Z100" s="13">
        <f t="shared" si="124"/>
        <v>0</v>
      </c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</row>
    <row r="101" spans="1:345" s="14" customFormat="1">
      <c r="A101" s="12" t="s">
        <v>96</v>
      </c>
      <c r="B101" s="13">
        <f t="shared" si="100"/>
        <v>0</v>
      </c>
      <c r="C101" s="13">
        <f t="shared" si="101"/>
        <v>0</v>
      </c>
      <c r="D101" s="13">
        <f t="shared" si="102"/>
        <v>0</v>
      </c>
      <c r="E101" s="13">
        <f t="shared" si="103"/>
        <v>0</v>
      </c>
      <c r="F101" s="13">
        <f t="shared" si="104"/>
        <v>0</v>
      </c>
      <c r="G101" s="13">
        <f t="shared" si="105"/>
        <v>0</v>
      </c>
      <c r="H101" s="13">
        <f t="shared" si="106"/>
        <v>0</v>
      </c>
      <c r="I101" s="13">
        <f t="shared" si="107"/>
        <v>0</v>
      </c>
      <c r="J101" s="13">
        <f t="shared" si="108"/>
        <v>0</v>
      </c>
      <c r="K101" s="13">
        <f t="shared" si="109"/>
        <v>0</v>
      </c>
      <c r="L101" s="13">
        <f t="shared" si="110"/>
        <v>0</v>
      </c>
      <c r="M101" s="13">
        <f t="shared" si="111"/>
        <v>0</v>
      </c>
      <c r="N101" s="13">
        <f t="shared" si="112"/>
        <v>0</v>
      </c>
      <c r="O101" s="13">
        <f t="shared" si="113"/>
        <v>0</v>
      </c>
      <c r="P101" s="13">
        <f t="shared" si="114"/>
        <v>0</v>
      </c>
      <c r="Q101" s="13">
        <f t="shared" si="115"/>
        <v>0</v>
      </c>
      <c r="R101" s="13">
        <f t="shared" si="116"/>
        <v>0</v>
      </c>
      <c r="S101" s="13">
        <f t="shared" si="117"/>
        <v>0</v>
      </c>
      <c r="T101" s="13">
        <f t="shared" si="118"/>
        <v>0</v>
      </c>
      <c r="U101" s="13">
        <f t="shared" si="119"/>
        <v>0</v>
      </c>
      <c r="V101" s="13">
        <f t="shared" si="120"/>
        <v>0</v>
      </c>
      <c r="W101" s="13">
        <f t="shared" si="121"/>
        <v>0</v>
      </c>
      <c r="X101" s="13">
        <f t="shared" si="122"/>
        <v>0</v>
      </c>
      <c r="Y101" s="13">
        <f t="shared" si="123"/>
        <v>0</v>
      </c>
      <c r="Z101" s="13">
        <f t="shared" si="124"/>
        <v>0</v>
      </c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>
        <v>1.2</v>
      </c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</row>
    <row r="102" spans="1:345" s="14" customFormat="1">
      <c r="A102" s="12" t="s">
        <v>97</v>
      </c>
      <c r="B102" s="13">
        <f t="shared" si="100"/>
        <v>0</v>
      </c>
      <c r="C102" s="13">
        <f t="shared" si="101"/>
        <v>0</v>
      </c>
      <c r="D102" s="13">
        <f t="shared" si="102"/>
        <v>0</v>
      </c>
      <c r="E102" s="13">
        <f t="shared" si="103"/>
        <v>0</v>
      </c>
      <c r="F102" s="13">
        <f t="shared" si="104"/>
        <v>0</v>
      </c>
      <c r="G102" s="13">
        <f t="shared" si="105"/>
        <v>0</v>
      </c>
      <c r="H102" s="13">
        <f t="shared" si="106"/>
        <v>0</v>
      </c>
      <c r="I102" s="13">
        <f t="shared" si="107"/>
        <v>0</v>
      </c>
      <c r="J102" s="13">
        <f t="shared" si="108"/>
        <v>0</v>
      </c>
      <c r="K102" s="13">
        <f t="shared" si="109"/>
        <v>0</v>
      </c>
      <c r="L102" s="13">
        <f t="shared" si="110"/>
        <v>0</v>
      </c>
      <c r="M102" s="13">
        <f t="shared" si="111"/>
        <v>0</v>
      </c>
      <c r="N102" s="13">
        <f t="shared" si="112"/>
        <v>0</v>
      </c>
      <c r="O102" s="13">
        <f t="shared" si="113"/>
        <v>0</v>
      </c>
      <c r="P102" s="13">
        <f t="shared" si="114"/>
        <v>0</v>
      </c>
      <c r="Q102" s="13">
        <f t="shared" si="115"/>
        <v>0</v>
      </c>
      <c r="R102" s="13">
        <f t="shared" si="116"/>
        <v>0</v>
      </c>
      <c r="S102" s="13">
        <f t="shared" si="117"/>
        <v>0</v>
      </c>
      <c r="T102" s="13">
        <f t="shared" si="118"/>
        <v>0</v>
      </c>
      <c r="U102" s="13">
        <f t="shared" si="119"/>
        <v>0</v>
      </c>
      <c r="V102" s="13">
        <f t="shared" si="120"/>
        <v>0</v>
      </c>
      <c r="W102" s="13">
        <f t="shared" si="121"/>
        <v>0</v>
      </c>
      <c r="X102" s="13">
        <f t="shared" si="122"/>
        <v>0</v>
      </c>
      <c r="Y102" s="13">
        <f t="shared" si="123"/>
        <v>0</v>
      </c>
      <c r="Z102" s="13">
        <f t="shared" si="124"/>
        <v>4.5288000000000004E-3</v>
      </c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>
        <v>4.5288000000000004</v>
      </c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</row>
    <row r="103" spans="1:345" s="14" customFormat="1">
      <c r="A103" s="15" t="s">
        <v>98</v>
      </c>
      <c r="B103" s="13">
        <f t="shared" si="100"/>
        <v>0</v>
      </c>
      <c r="C103" s="13">
        <f t="shared" si="101"/>
        <v>0</v>
      </c>
      <c r="D103" s="13">
        <f t="shared" si="102"/>
        <v>0</v>
      </c>
      <c r="E103" s="13">
        <f t="shared" si="103"/>
        <v>0</v>
      </c>
      <c r="F103" s="13">
        <f t="shared" si="104"/>
        <v>0</v>
      </c>
      <c r="G103" s="13">
        <f t="shared" si="105"/>
        <v>0</v>
      </c>
      <c r="H103" s="13">
        <f t="shared" si="106"/>
        <v>0</v>
      </c>
      <c r="I103" s="13">
        <f t="shared" si="107"/>
        <v>0</v>
      </c>
      <c r="J103" s="13">
        <f t="shared" si="108"/>
        <v>0</v>
      </c>
      <c r="K103" s="13">
        <f t="shared" si="109"/>
        <v>0</v>
      </c>
      <c r="L103" s="13">
        <f t="shared" si="110"/>
        <v>0</v>
      </c>
      <c r="M103" s="13">
        <f t="shared" si="111"/>
        <v>0</v>
      </c>
      <c r="N103" s="13">
        <f t="shared" si="112"/>
        <v>0</v>
      </c>
      <c r="O103" s="13">
        <f t="shared" si="113"/>
        <v>0</v>
      </c>
      <c r="P103" s="13">
        <f t="shared" si="114"/>
        <v>0</v>
      </c>
      <c r="Q103" s="13">
        <f t="shared" si="115"/>
        <v>0</v>
      </c>
      <c r="R103" s="13">
        <f t="shared" si="116"/>
        <v>0</v>
      </c>
      <c r="S103" s="13">
        <f t="shared" si="117"/>
        <v>0</v>
      </c>
      <c r="T103" s="13">
        <f t="shared" si="118"/>
        <v>0</v>
      </c>
      <c r="U103" s="13">
        <f t="shared" si="119"/>
        <v>0</v>
      </c>
      <c r="V103" s="13">
        <f t="shared" si="120"/>
        <v>0</v>
      </c>
      <c r="W103" s="13">
        <f t="shared" si="121"/>
        <v>0</v>
      </c>
      <c r="X103" s="13">
        <f t="shared" si="122"/>
        <v>0</v>
      </c>
      <c r="Y103" s="13">
        <f t="shared" si="123"/>
        <v>0</v>
      </c>
      <c r="Z103" s="13">
        <f t="shared" si="124"/>
        <v>0</v>
      </c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</row>
    <row r="104" spans="1:345" s="14" customFormat="1">
      <c r="A104" s="15" t="s">
        <v>99</v>
      </c>
      <c r="B104" s="13">
        <f t="shared" si="100"/>
        <v>0</v>
      </c>
      <c r="C104" s="13">
        <f t="shared" si="101"/>
        <v>0</v>
      </c>
      <c r="D104" s="13">
        <f t="shared" si="102"/>
        <v>0</v>
      </c>
      <c r="E104" s="13">
        <f t="shared" si="103"/>
        <v>0</v>
      </c>
      <c r="F104" s="13">
        <f t="shared" si="104"/>
        <v>0</v>
      </c>
      <c r="G104" s="13">
        <f t="shared" si="105"/>
        <v>0</v>
      </c>
      <c r="H104" s="13">
        <f t="shared" si="106"/>
        <v>0</v>
      </c>
      <c r="I104" s="13">
        <f t="shared" si="107"/>
        <v>0</v>
      </c>
      <c r="J104" s="13">
        <f t="shared" si="108"/>
        <v>0</v>
      </c>
      <c r="K104" s="13">
        <f t="shared" si="109"/>
        <v>0</v>
      </c>
      <c r="L104" s="13">
        <f t="shared" si="110"/>
        <v>0</v>
      </c>
      <c r="M104" s="13">
        <f t="shared" si="111"/>
        <v>0</v>
      </c>
      <c r="N104" s="13">
        <f t="shared" si="112"/>
        <v>0</v>
      </c>
      <c r="O104" s="13">
        <f t="shared" si="113"/>
        <v>0</v>
      </c>
      <c r="P104" s="13">
        <f t="shared" si="114"/>
        <v>0</v>
      </c>
      <c r="Q104" s="13">
        <f t="shared" si="115"/>
        <v>0</v>
      </c>
      <c r="R104" s="13">
        <f t="shared" si="116"/>
        <v>0</v>
      </c>
      <c r="S104" s="13">
        <f t="shared" si="117"/>
        <v>0</v>
      </c>
      <c r="T104" s="13">
        <f t="shared" si="118"/>
        <v>0</v>
      </c>
      <c r="U104" s="13">
        <f t="shared" si="119"/>
        <v>0</v>
      </c>
      <c r="V104" s="13">
        <f t="shared" si="120"/>
        <v>0</v>
      </c>
      <c r="W104" s="13">
        <f t="shared" si="121"/>
        <v>0</v>
      </c>
      <c r="X104" s="13">
        <f t="shared" si="122"/>
        <v>0</v>
      </c>
      <c r="Y104" s="13">
        <f t="shared" si="123"/>
        <v>0</v>
      </c>
      <c r="Z104" s="13">
        <f t="shared" si="124"/>
        <v>0</v>
      </c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</row>
    <row r="105" spans="1:345" s="14" customFormat="1">
      <c r="A105" s="15" t="s">
        <v>100</v>
      </c>
      <c r="B105" s="13">
        <f t="shared" si="100"/>
        <v>0</v>
      </c>
      <c r="C105" s="13">
        <f t="shared" si="101"/>
        <v>0</v>
      </c>
      <c r="D105" s="13">
        <f t="shared" si="102"/>
        <v>0</v>
      </c>
      <c r="E105" s="13">
        <f t="shared" si="103"/>
        <v>0</v>
      </c>
      <c r="F105" s="13">
        <f t="shared" si="104"/>
        <v>0</v>
      </c>
      <c r="G105" s="13">
        <f t="shared" si="105"/>
        <v>0</v>
      </c>
      <c r="H105" s="13">
        <f t="shared" si="106"/>
        <v>0</v>
      </c>
      <c r="I105" s="13">
        <f t="shared" si="107"/>
        <v>0</v>
      </c>
      <c r="J105" s="13">
        <f t="shared" si="108"/>
        <v>0</v>
      </c>
      <c r="K105" s="13">
        <f t="shared" si="109"/>
        <v>0</v>
      </c>
      <c r="L105" s="13">
        <f t="shared" si="110"/>
        <v>0</v>
      </c>
      <c r="M105" s="13">
        <f t="shared" si="111"/>
        <v>0</v>
      </c>
      <c r="N105" s="13">
        <f t="shared" si="112"/>
        <v>0</v>
      </c>
      <c r="O105" s="13">
        <f t="shared" si="113"/>
        <v>0</v>
      </c>
      <c r="P105" s="13">
        <f t="shared" si="114"/>
        <v>0</v>
      </c>
      <c r="Q105" s="13">
        <f t="shared" si="115"/>
        <v>0</v>
      </c>
      <c r="R105" s="13">
        <f t="shared" si="116"/>
        <v>0</v>
      </c>
      <c r="S105" s="13">
        <f t="shared" si="117"/>
        <v>0</v>
      </c>
      <c r="T105" s="13">
        <f t="shared" si="118"/>
        <v>0</v>
      </c>
      <c r="U105" s="13">
        <f t="shared" si="119"/>
        <v>0</v>
      </c>
      <c r="V105" s="13">
        <f t="shared" si="120"/>
        <v>0</v>
      </c>
      <c r="W105" s="13">
        <f t="shared" si="121"/>
        <v>0</v>
      </c>
      <c r="X105" s="13">
        <f t="shared" si="122"/>
        <v>0</v>
      </c>
      <c r="Y105" s="13">
        <f t="shared" si="123"/>
        <v>0</v>
      </c>
      <c r="Z105" s="13">
        <f t="shared" si="124"/>
        <v>0</v>
      </c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</row>
    <row r="106" spans="1:345" s="14" customFormat="1">
      <c r="A106" s="12" t="s">
        <v>101</v>
      </c>
      <c r="B106" s="13">
        <f t="shared" si="100"/>
        <v>0</v>
      </c>
      <c r="C106" s="13">
        <f t="shared" si="101"/>
        <v>0</v>
      </c>
      <c r="D106" s="13">
        <f t="shared" si="102"/>
        <v>0</v>
      </c>
      <c r="E106" s="13">
        <f t="shared" si="103"/>
        <v>0</v>
      </c>
      <c r="F106" s="13">
        <f t="shared" si="104"/>
        <v>0</v>
      </c>
      <c r="G106" s="13">
        <f t="shared" si="105"/>
        <v>0</v>
      </c>
      <c r="H106" s="13">
        <f t="shared" si="106"/>
        <v>0</v>
      </c>
      <c r="I106" s="13">
        <f t="shared" si="107"/>
        <v>0</v>
      </c>
      <c r="J106" s="13">
        <f t="shared" si="108"/>
        <v>0</v>
      </c>
      <c r="K106" s="13">
        <f t="shared" si="109"/>
        <v>0</v>
      </c>
      <c r="L106" s="13">
        <f t="shared" si="110"/>
        <v>0</v>
      </c>
      <c r="M106" s="13">
        <f t="shared" si="111"/>
        <v>0</v>
      </c>
      <c r="N106" s="13">
        <f t="shared" si="112"/>
        <v>0</v>
      </c>
      <c r="O106" s="13">
        <f t="shared" si="113"/>
        <v>0</v>
      </c>
      <c r="P106" s="13">
        <f t="shared" si="114"/>
        <v>0</v>
      </c>
      <c r="Q106" s="13">
        <f t="shared" si="115"/>
        <v>0</v>
      </c>
      <c r="R106" s="13">
        <f t="shared" si="116"/>
        <v>0</v>
      </c>
      <c r="S106" s="13">
        <f t="shared" si="117"/>
        <v>0</v>
      </c>
      <c r="T106" s="13">
        <f t="shared" si="118"/>
        <v>0</v>
      </c>
      <c r="U106" s="13">
        <f t="shared" si="119"/>
        <v>0</v>
      </c>
      <c r="V106" s="13">
        <f t="shared" si="120"/>
        <v>0</v>
      </c>
      <c r="W106" s="13">
        <f t="shared" si="121"/>
        <v>0</v>
      </c>
      <c r="X106" s="13">
        <f t="shared" si="122"/>
        <v>0</v>
      </c>
      <c r="Y106" s="13">
        <f t="shared" si="123"/>
        <v>0</v>
      </c>
      <c r="Z106" s="13">
        <f t="shared" si="124"/>
        <v>0</v>
      </c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</row>
    <row r="107" spans="1:345" s="14" customFormat="1">
      <c r="A107" s="15" t="s">
        <v>102</v>
      </c>
      <c r="B107" s="13">
        <f t="shared" si="100"/>
        <v>0</v>
      </c>
      <c r="C107" s="13">
        <f t="shared" si="101"/>
        <v>0</v>
      </c>
      <c r="D107" s="13">
        <f t="shared" si="102"/>
        <v>0</v>
      </c>
      <c r="E107" s="13">
        <f t="shared" si="103"/>
        <v>0</v>
      </c>
      <c r="F107" s="13">
        <f t="shared" si="104"/>
        <v>0</v>
      </c>
      <c r="G107" s="13">
        <f t="shared" si="105"/>
        <v>0</v>
      </c>
      <c r="H107" s="13">
        <f t="shared" si="106"/>
        <v>0</v>
      </c>
      <c r="I107" s="13">
        <f t="shared" si="107"/>
        <v>0</v>
      </c>
      <c r="J107" s="13">
        <f t="shared" si="108"/>
        <v>0</v>
      </c>
      <c r="K107" s="13">
        <f t="shared" si="109"/>
        <v>0</v>
      </c>
      <c r="L107" s="13">
        <f t="shared" si="110"/>
        <v>0</v>
      </c>
      <c r="M107" s="13">
        <f t="shared" si="111"/>
        <v>0</v>
      </c>
      <c r="N107" s="13">
        <f t="shared" si="112"/>
        <v>0</v>
      </c>
      <c r="O107" s="13">
        <f t="shared" si="113"/>
        <v>0</v>
      </c>
      <c r="P107" s="13">
        <f t="shared" si="114"/>
        <v>0</v>
      </c>
      <c r="Q107" s="13">
        <f t="shared" si="115"/>
        <v>0</v>
      </c>
      <c r="R107" s="13">
        <f t="shared" si="116"/>
        <v>0</v>
      </c>
      <c r="S107" s="13">
        <f t="shared" si="117"/>
        <v>0</v>
      </c>
      <c r="T107" s="13">
        <f t="shared" si="118"/>
        <v>0</v>
      </c>
      <c r="U107" s="13">
        <f t="shared" si="119"/>
        <v>0</v>
      </c>
      <c r="V107" s="13">
        <f t="shared" si="120"/>
        <v>0</v>
      </c>
      <c r="W107" s="13">
        <f t="shared" si="121"/>
        <v>0</v>
      </c>
      <c r="X107" s="13">
        <f t="shared" si="122"/>
        <v>0</v>
      </c>
      <c r="Y107" s="13">
        <f t="shared" si="123"/>
        <v>0</v>
      </c>
      <c r="Z107" s="13">
        <f t="shared" si="124"/>
        <v>0</v>
      </c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</row>
    <row r="108" spans="1:345" s="14" customFormat="1">
      <c r="A108" s="12" t="s">
        <v>103</v>
      </c>
      <c r="B108" s="13">
        <f t="shared" si="100"/>
        <v>0</v>
      </c>
      <c r="C108" s="13">
        <f t="shared" si="101"/>
        <v>0</v>
      </c>
      <c r="D108" s="13">
        <f t="shared" si="102"/>
        <v>0</v>
      </c>
      <c r="E108" s="13">
        <f t="shared" si="103"/>
        <v>0</v>
      </c>
      <c r="F108" s="13">
        <f t="shared" si="104"/>
        <v>0</v>
      </c>
      <c r="G108" s="13">
        <f t="shared" si="105"/>
        <v>0</v>
      </c>
      <c r="H108" s="13">
        <f t="shared" si="106"/>
        <v>0</v>
      </c>
      <c r="I108" s="13">
        <f t="shared" si="107"/>
        <v>0</v>
      </c>
      <c r="J108" s="13">
        <f t="shared" si="108"/>
        <v>0</v>
      </c>
      <c r="K108" s="13">
        <f t="shared" si="109"/>
        <v>0</v>
      </c>
      <c r="L108" s="13">
        <f t="shared" si="110"/>
        <v>0</v>
      </c>
      <c r="M108" s="13">
        <f t="shared" si="111"/>
        <v>0</v>
      </c>
      <c r="N108" s="13">
        <f t="shared" si="112"/>
        <v>0</v>
      </c>
      <c r="O108" s="13">
        <f t="shared" si="113"/>
        <v>0</v>
      </c>
      <c r="P108" s="13">
        <f t="shared" si="114"/>
        <v>0</v>
      </c>
      <c r="Q108" s="13">
        <f t="shared" si="115"/>
        <v>0</v>
      </c>
      <c r="R108" s="13">
        <f t="shared" si="116"/>
        <v>0</v>
      </c>
      <c r="S108" s="13">
        <f t="shared" si="117"/>
        <v>0</v>
      </c>
      <c r="T108" s="13">
        <f t="shared" si="118"/>
        <v>0</v>
      </c>
      <c r="U108" s="13">
        <f t="shared" si="119"/>
        <v>0</v>
      </c>
      <c r="V108" s="13">
        <f t="shared" si="120"/>
        <v>0</v>
      </c>
      <c r="W108" s="13">
        <f t="shared" si="121"/>
        <v>0</v>
      </c>
      <c r="X108" s="13">
        <f t="shared" si="122"/>
        <v>0</v>
      </c>
      <c r="Y108" s="13">
        <f t="shared" si="123"/>
        <v>0</v>
      </c>
      <c r="Z108" s="13">
        <f t="shared" si="124"/>
        <v>1.3845000000000001E-3</v>
      </c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>
        <v>1.3845000000000001</v>
      </c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</row>
    <row r="109" spans="1:345" s="14" customFormat="1">
      <c r="A109" s="15" t="s">
        <v>104</v>
      </c>
      <c r="B109" s="13">
        <f t="shared" si="100"/>
        <v>0</v>
      </c>
      <c r="C109" s="13">
        <f t="shared" si="101"/>
        <v>0</v>
      </c>
      <c r="D109" s="13">
        <f t="shared" si="102"/>
        <v>0</v>
      </c>
      <c r="E109" s="13">
        <f t="shared" si="103"/>
        <v>0</v>
      </c>
      <c r="F109" s="13">
        <f t="shared" si="104"/>
        <v>0</v>
      </c>
      <c r="G109" s="13">
        <f t="shared" si="105"/>
        <v>0</v>
      </c>
      <c r="H109" s="13">
        <f t="shared" si="106"/>
        <v>0</v>
      </c>
      <c r="I109" s="13">
        <f t="shared" si="107"/>
        <v>0</v>
      </c>
      <c r="J109" s="13">
        <f t="shared" si="108"/>
        <v>0</v>
      </c>
      <c r="K109" s="13">
        <f t="shared" si="109"/>
        <v>0</v>
      </c>
      <c r="L109" s="13">
        <f t="shared" si="110"/>
        <v>0</v>
      </c>
      <c r="M109" s="13">
        <f t="shared" si="111"/>
        <v>0</v>
      </c>
      <c r="N109" s="13">
        <f t="shared" si="112"/>
        <v>0</v>
      </c>
      <c r="O109" s="13">
        <f t="shared" si="113"/>
        <v>0</v>
      </c>
      <c r="P109" s="13">
        <f t="shared" si="114"/>
        <v>0</v>
      </c>
      <c r="Q109" s="13">
        <f t="shared" si="115"/>
        <v>0</v>
      </c>
      <c r="R109" s="13">
        <f t="shared" si="116"/>
        <v>0</v>
      </c>
      <c r="S109" s="13">
        <f t="shared" si="117"/>
        <v>0</v>
      </c>
      <c r="T109" s="13">
        <f t="shared" si="118"/>
        <v>0</v>
      </c>
      <c r="U109" s="13">
        <f t="shared" si="119"/>
        <v>0</v>
      </c>
      <c r="V109" s="13">
        <f t="shared" si="120"/>
        <v>0</v>
      </c>
      <c r="W109" s="13">
        <f t="shared" si="121"/>
        <v>0</v>
      </c>
      <c r="X109" s="13">
        <f t="shared" si="122"/>
        <v>0</v>
      </c>
      <c r="Y109" s="13">
        <f t="shared" si="123"/>
        <v>0</v>
      </c>
      <c r="Z109" s="13">
        <f t="shared" si="124"/>
        <v>0</v>
      </c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</row>
    <row r="110" spans="1:345" s="14" customFormat="1">
      <c r="A110" s="15" t="s">
        <v>105</v>
      </c>
      <c r="B110" s="13">
        <f t="shared" si="100"/>
        <v>0</v>
      </c>
      <c r="C110" s="13">
        <f t="shared" si="101"/>
        <v>0</v>
      </c>
      <c r="D110" s="13">
        <f t="shared" si="102"/>
        <v>0</v>
      </c>
      <c r="E110" s="13">
        <f t="shared" si="103"/>
        <v>0</v>
      </c>
      <c r="F110" s="13">
        <f t="shared" si="104"/>
        <v>0</v>
      </c>
      <c r="G110" s="13">
        <f t="shared" si="105"/>
        <v>0</v>
      </c>
      <c r="H110" s="13">
        <f t="shared" si="106"/>
        <v>0</v>
      </c>
      <c r="I110" s="13">
        <f t="shared" si="107"/>
        <v>0</v>
      </c>
      <c r="J110" s="13">
        <f t="shared" si="108"/>
        <v>0</v>
      </c>
      <c r="K110" s="13">
        <f t="shared" si="109"/>
        <v>0</v>
      </c>
      <c r="L110" s="13">
        <f t="shared" si="110"/>
        <v>0</v>
      </c>
      <c r="M110" s="13">
        <f t="shared" si="111"/>
        <v>0</v>
      </c>
      <c r="N110" s="13">
        <f t="shared" si="112"/>
        <v>0</v>
      </c>
      <c r="O110" s="13">
        <f t="shared" si="113"/>
        <v>0</v>
      </c>
      <c r="P110" s="13">
        <f t="shared" si="114"/>
        <v>0</v>
      </c>
      <c r="Q110" s="13">
        <f t="shared" si="115"/>
        <v>0</v>
      </c>
      <c r="R110" s="13">
        <f t="shared" si="116"/>
        <v>0</v>
      </c>
      <c r="S110" s="13">
        <f t="shared" si="117"/>
        <v>0</v>
      </c>
      <c r="T110" s="13">
        <f t="shared" si="118"/>
        <v>0</v>
      </c>
      <c r="U110" s="13">
        <f t="shared" si="119"/>
        <v>0</v>
      </c>
      <c r="V110" s="13">
        <f t="shared" si="120"/>
        <v>0</v>
      </c>
      <c r="W110" s="13">
        <f t="shared" si="121"/>
        <v>0</v>
      </c>
      <c r="X110" s="13">
        <f t="shared" si="122"/>
        <v>0</v>
      </c>
      <c r="Y110" s="13">
        <f t="shared" si="123"/>
        <v>0</v>
      </c>
      <c r="Z110" s="13">
        <f t="shared" si="124"/>
        <v>0</v>
      </c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</row>
    <row r="111" spans="1:345" s="14" customFormat="1">
      <c r="A111" s="12" t="s">
        <v>106</v>
      </c>
      <c r="B111" s="13">
        <f t="shared" si="100"/>
        <v>0</v>
      </c>
      <c r="C111" s="13">
        <f t="shared" si="101"/>
        <v>0</v>
      </c>
      <c r="D111" s="13">
        <f t="shared" si="102"/>
        <v>0</v>
      </c>
      <c r="E111" s="13">
        <f t="shared" si="103"/>
        <v>0</v>
      </c>
      <c r="F111" s="13">
        <f t="shared" si="104"/>
        <v>0</v>
      </c>
      <c r="G111" s="13">
        <f t="shared" si="105"/>
        <v>0</v>
      </c>
      <c r="H111" s="13">
        <f t="shared" si="106"/>
        <v>0</v>
      </c>
      <c r="I111" s="13">
        <f t="shared" si="107"/>
        <v>0</v>
      </c>
      <c r="J111" s="13">
        <f t="shared" si="108"/>
        <v>0</v>
      </c>
      <c r="K111" s="13">
        <f t="shared" si="109"/>
        <v>0</v>
      </c>
      <c r="L111" s="13">
        <f t="shared" si="110"/>
        <v>0</v>
      </c>
      <c r="M111" s="13">
        <f t="shared" si="111"/>
        <v>0</v>
      </c>
      <c r="N111" s="13">
        <f t="shared" si="112"/>
        <v>0</v>
      </c>
      <c r="O111" s="13">
        <f t="shared" si="113"/>
        <v>0</v>
      </c>
      <c r="P111" s="13">
        <f t="shared" si="114"/>
        <v>0</v>
      </c>
      <c r="Q111" s="13">
        <f t="shared" si="115"/>
        <v>0</v>
      </c>
      <c r="R111" s="13">
        <f t="shared" si="116"/>
        <v>0</v>
      </c>
      <c r="S111" s="13">
        <f t="shared" si="117"/>
        <v>0</v>
      </c>
      <c r="T111" s="13">
        <f t="shared" si="118"/>
        <v>0</v>
      </c>
      <c r="U111" s="13">
        <f t="shared" si="119"/>
        <v>0</v>
      </c>
      <c r="V111" s="13">
        <f t="shared" si="120"/>
        <v>0</v>
      </c>
      <c r="W111" s="13">
        <f t="shared" si="121"/>
        <v>0</v>
      </c>
      <c r="X111" s="13">
        <f t="shared" si="122"/>
        <v>0</v>
      </c>
      <c r="Y111" s="13">
        <f t="shared" si="123"/>
        <v>0</v>
      </c>
      <c r="Z111" s="13">
        <f t="shared" si="124"/>
        <v>0</v>
      </c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</row>
    <row r="112" spans="1:345" s="14" customFormat="1">
      <c r="A112" s="12" t="s">
        <v>107</v>
      </c>
      <c r="B112" s="13">
        <f t="shared" si="100"/>
        <v>0</v>
      </c>
      <c r="C112" s="13">
        <f t="shared" si="101"/>
        <v>0</v>
      </c>
      <c r="D112" s="13">
        <f t="shared" si="102"/>
        <v>0</v>
      </c>
      <c r="E112" s="13">
        <f t="shared" si="103"/>
        <v>0</v>
      </c>
      <c r="F112" s="13">
        <f t="shared" si="104"/>
        <v>0</v>
      </c>
      <c r="G112" s="13">
        <f t="shared" si="105"/>
        <v>0</v>
      </c>
      <c r="H112" s="13">
        <f t="shared" si="106"/>
        <v>0</v>
      </c>
      <c r="I112" s="13">
        <f t="shared" si="107"/>
        <v>0</v>
      </c>
      <c r="J112" s="13">
        <f t="shared" si="108"/>
        <v>0</v>
      </c>
      <c r="K112" s="13">
        <f t="shared" si="109"/>
        <v>0</v>
      </c>
      <c r="L112" s="13">
        <f t="shared" si="110"/>
        <v>0</v>
      </c>
      <c r="M112" s="13">
        <f t="shared" si="111"/>
        <v>0</v>
      </c>
      <c r="N112" s="13">
        <f t="shared" si="112"/>
        <v>0</v>
      </c>
      <c r="O112" s="13">
        <f t="shared" si="113"/>
        <v>0</v>
      </c>
      <c r="P112" s="13">
        <f t="shared" si="114"/>
        <v>0</v>
      </c>
      <c r="Q112" s="13">
        <f t="shared" si="115"/>
        <v>0</v>
      </c>
      <c r="R112" s="13">
        <f t="shared" si="116"/>
        <v>0</v>
      </c>
      <c r="S112" s="13">
        <f t="shared" si="117"/>
        <v>0</v>
      </c>
      <c r="T112" s="13">
        <f t="shared" si="118"/>
        <v>0</v>
      </c>
      <c r="U112" s="13">
        <f t="shared" si="119"/>
        <v>0</v>
      </c>
      <c r="V112" s="13">
        <f t="shared" si="120"/>
        <v>0</v>
      </c>
      <c r="W112" s="13">
        <f t="shared" si="121"/>
        <v>0</v>
      </c>
      <c r="X112" s="13">
        <f t="shared" si="122"/>
        <v>0</v>
      </c>
      <c r="Y112" s="13">
        <f t="shared" si="123"/>
        <v>0</v>
      </c>
      <c r="Z112" s="13">
        <f t="shared" si="124"/>
        <v>0</v>
      </c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</row>
    <row r="113" spans="1:345" s="14" customFormat="1">
      <c r="A113" s="15" t="s">
        <v>108</v>
      </c>
      <c r="B113" s="13">
        <f t="shared" si="100"/>
        <v>0</v>
      </c>
      <c r="C113" s="13">
        <f t="shared" si="101"/>
        <v>0</v>
      </c>
      <c r="D113" s="13">
        <f t="shared" si="102"/>
        <v>0</v>
      </c>
      <c r="E113" s="13">
        <f t="shared" si="103"/>
        <v>0</v>
      </c>
      <c r="F113" s="13">
        <f t="shared" si="104"/>
        <v>0</v>
      </c>
      <c r="G113" s="13">
        <f t="shared" si="105"/>
        <v>0</v>
      </c>
      <c r="H113" s="13">
        <f t="shared" si="106"/>
        <v>0</v>
      </c>
      <c r="I113" s="13">
        <f t="shared" si="107"/>
        <v>0</v>
      </c>
      <c r="J113" s="13">
        <f t="shared" si="108"/>
        <v>0</v>
      </c>
      <c r="K113" s="13">
        <f t="shared" si="109"/>
        <v>0</v>
      </c>
      <c r="L113" s="13">
        <f t="shared" si="110"/>
        <v>0</v>
      </c>
      <c r="M113" s="13">
        <f t="shared" si="111"/>
        <v>0</v>
      </c>
      <c r="N113" s="13">
        <f t="shared" si="112"/>
        <v>0</v>
      </c>
      <c r="O113" s="13">
        <f t="shared" si="113"/>
        <v>0</v>
      </c>
      <c r="P113" s="13">
        <f t="shared" si="114"/>
        <v>0</v>
      </c>
      <c r="Q113" s="13">
        <f t="shared" si="115"/>
        <v>0</v>
      </c>
      <c r="R113" s="13">
        <f t="shared" si="116"/>
        <v>0</v>
      </c>
      <c r="S113" s="13">
        <f t="shared" si="117"/>
        <v>0</v>
      </c>
      <c r="T113" s="13">
        <f t="shared" si="118"/>
        <v>0</v>
      </c>
      <c r="U113" s="13">
        <f t="shared" si="119"/>
        <v>0</v>
      </c>
      <c r="V113" s="13">
        <f t="shared" si="120"/>
        <v>0</v>
      </c>
      <c r="W113" s="13">
        <f t="shared" si="121"/>
        <v>0</v>
      </c>
      <c r="X113" s="13">
        <f t="shared" si="122"/>
        <v>0</v>
      </c>
      <c r="Y113" s="13">
        <f t="shared" si="123"/>
        <v>0</v>
      </c>
      <c r="Z113" s="13">
        <f t="shared" si="124"/>
        <v>0</v>
      </c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</row>
    <row r="114" spans="1:345" s="14" customFormat="1">
      <c r="A114" s="15" t="s">
        <v>109</v>
      </c>
      <c r="B114" s="13">
        <f t="shared" si="100"/>
        <v>0</v>
      </c>
      <c r="C114" s="13">
        <f t="shared" si="101"/>
        <v>0</v>
      </c>
      <c r="D114" s="13">
        <f t="shared" si="102"/>
        <v>0</v>
      </c>
      <c r="E114" s="13">
        <f t="shared" si="103"/>
        <v>0</v>
      </c>
      <c r="F114" s="13">
        <f t="shared" si="104"/>
        <v>0</v>
      </c>
      <c r="G114" s="13">
        <f t="shared" si="105"/>
        <v>0</v>
      </c>
      <c r="H114" s="13">
        <f t="shared" si="106"/>
        <v>0</v>
      </c>
      <c r="I114" s="13">
        <f t="shared" si="107"/>
        <v>0</v>
      </c>
      <c r="J114" s="13">
        <f t="shared" si="108"/>
        <v>0</v>
      </c>
      <c r="K114" s="13">
        <f t="shared" si="109"/>
        <v>0</v>
      </c>
      <c r="L114" s="13">
        <f t="shared" si="110"/>
        <v>0</v>
      </c>
      <c r="M114" s="13">
        <f t="shared" si="111"/>
        <v>0</v>
      </c>
      <c r="N114" s="13">
        <f t="shared" si="112"/>
        <v>0</v>
      </c>
      <c r="O114" s="13">
        <f t="shared" si="113"/>
        <v>0</v>
      </c>
      <c r="P114" s="13">
        <f t="shared" si="114"/>
        <v>0</v>
      </c>
      <c r="Q114" s="13">
        <f t="shared" si="115"/>
        <v>0</v>
      </c>
      <c r="R114" s="13">
        <f t="shared" si="116"/>
        <v>0</v>
      </c>
      <c r="S114" s="13">
        <f t="shared" si="117"/>
        <v>0</v>
      </c>
      <c r="T114" s="13">
        <f t="shared" si="118"/>
        <v>0</v>
      </c>
      <c r="U114" s="13">
        <f t="shared" si="119"/>
        <v>0</v>
      </c>
      <c r="V114" s="13">
        <f t="shared" si="120"/>
        <v>0</v>
      </c>
      <c r="W114" s="13">
        <f t="shared" si="121"/>
        <v>0</v>
      </c>
      <c r="X114" s="13">
        <f t="shared" si="122"/>
        <v>0</v>
      </c>
      <c r="Y114" s="13">
        <f t="shared" si="123"/>
        <v>0</v>
      </c>
      <c r="Z114" s="13">
        <f t="shared" si="124"/>
        <v>0</v>
      </c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</row>
    <row r="115" spans="1:345" s="14" customFormat="1">
      <c r="A115" s="15" t="s">
        <v>110</v>
      </c>
      <c r="B115" s="13">
        <f t="shared" si="100"/>
        <v>0</v>
      </c>
      <c r="C115" s="13">
        <f t="shared" si="101"/>
        <v>0</v>
      </c>
      <c r="D115" s="13">
        <f t="shared" si="102"/>
        <v>0</v>
      </c>
      <c r="E115" s="13">
        <f t="shared" si="103"/>
        <v>0</v>
      </c>
      <c r="F115" s="13">
        <f t="shared" si="104"/>
        <v>0</v>
      </c>
      <c r="G115" s="13">
        <f t="shared" si="105"/>
        <v>0</v>
      </c>
      <c r="H115" s="13">
        <f t="shared" si="106"/>
        <v>0</v>
      </c>
      <c r="I115" s="13">
        <f t="shared" si="107"/>
        <v>0</v>
      </c>
      <c r="J115" s="13">
        <f t="shared" si="108"/>
        <v>0</v>
      </c>
      <c r="K115" s="13">
        <f t="shared" si="109"/>
        <v>0</v>
      </c>
      <c r="L115" s="13">
        <f t="shared" si="110"/>
        <v>0</v>
      </c>
      <c r="M115" s="13">
        <f t="shared" si="111"/>
        <v>0</v>
      </c>
      <c r="N115" s="13">
        <f t="shared" si="112"/>
        <v>0</v>
      </c>
      <c r="O115" s="13">
        <f t="shared" si="113"/>
        <v>0</v>
      </c>
      <c r="P115" s="13">
        <f t="shared" si="114"/>
        <v>0</v>
      </c>
      <c r="Q115" s="13">
        <f t="shared" si="115"/>
        <v>0</v>
      </c>
      <c r="R115" s="13">
        <f t="shared" si="116"/>
        <v>0</v>
      </c>
      <c r="S115" s="13">
        <f t="shared" si="117"/>
        <v>0</v>
      </c>
      <c r="T115" s="13">
        <f t="shared" si="118"/>
        <v>0</v>
      </c>
      <c r="U115" s="13">
        <f t="shared" si="119"/>
        <v>0</v>
      </c>
      <c r="V115" s="13">
        <f t="shared" si="120"/>
        <v>0</v>
      </c>
      <c r="W115" s="13">
        <f t="shared" si="121"/>
        <v>0</v>
      </c>
      <c r="X115" s="13">
        <f t="shared" si="122"/>
        <v>0</v>
      </c>
      <c r="Y115" s="13">
        <f t="shared" si="123"/>
        <v>0</v>
      </c>
      <c r="Z115" s="13">
        <f t="shared" si="124"/>
        <v>0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</row>
    <row r="116" spans="1:345" s="14" customFormat="1">
      <c r="A116" s="15" t="s">
        <v>111</v>
      </c>
      <c r="B116" s="13">
        <f t="shared" si="100"/>
        <v>0</v>
      </c>
      <c r="C116" s="13">
        <f t="shared" si="101"/>
        <v>0</v>
      </c>
      <c r="D116" s="13">
        <f t="shared" si="102"/>
        <v>0</v>
      </c>
      <c r="E116" s="13">
        <f t="shared" si="103"/>
        <v>0</v>
      </c>
      <c r="F116" s="13">
        <f t="shared" si="104"/>
        <v>0</v>
      </c>
      <c r="G116" s="13">
        <f t="shared" si="105"/>
        <v>0</v>
      </c>
      <c r="H116" s="13">
        <f t="shared" si="106"/>
        <v>0</v>
      </c>
      <c r="I116" s="13">
        <f t="shared" si="107"/>
        <v>0</v>
      </c>
      <c r="J116" s="13">
        <f t="shared" si="108"/>
        <v>0</v>
      </c>
      <c r="K116" s="13">
        <f t="shared" si="109"/>
        <v>0</v>
      </c>
      <c r="L116" s="13">
        <f t="shared" si="110"/>
        <v>0</v>
      </c>
      <c r="M116" s="13">
        <f t="shared" si="111"/>
        <v>0</v>
      </c>
      <c r="N116" s="13">
        <f t="shared" si="112"/>
        <v>0</v>
      </c>
      <c r="O116" s="13">
        <f t="shared" si="113"/>
        <v>0</v>
      </c>
      <c r="P116" s="13">
        <f t="shared" si="114"/>
        <v>0</v>
      </c>
      <c r="Q116" s="13">
        <f t="shared" si="115"/>
        <v>0</v>
      </c>
      <c r="R116" s="13">
        <f t="shared" si="116"/>
        <v>0</v>
      </c>
      <c r="S116" s="13">
        <f t="shared" si="117"/>
        <v>0</v>
      </c>
      <c r="T116" s="13">
        <f t="shared" si="118"/>
        <v>0</v>
      </c>
      <c r="U116" s="13">
        <f t="shared" si="119"/>
        <v>0</v>
      </c>
      <c r="V116" s="13">
        <f t="shared" si="120"/>
        <v>0</v>
      </c>
      <c r="W116" s="13">
        <f t="shared" si="121"/>
        <v>0</v>
      </c>
      <c r="X116" s="13">
        <f t="shared" si="122"/>
        <v>0</v>
      </c>
      <c r="Y116" s="13">
        <f t="shared" si="123"/>
        <v>0</v>
      </c>
      <c r="Z116" s="13">
        <f t="shared" si="124"/>
        <v>0</v>
      </c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</row>
    <row r="117" spans="1:345" s="14" customFormat="1">
      <c r="A117" s="15" t="s">
        <v>112</v>
      </c>
      <c r="B117" s="13">
        <f t="shared" si="100"/>
        <v>0</v>
      </c>
      <c r="C117" s="13">
        <f t="shared" si="101"/>
        <v>0</v>
      </c>
      <c r="D117" s="13">
        <f t="shared" si="102"/>
        <v>0</v>
      </c>
      <c r="E117" s="13">
        <f t="shared" si="103"/>
        <v>0</v>
      </c>
      <c r="F117" s="13">
        <f t="shared" si="104"/>
        <v>0</v>
      </c>
      <c r="G117" s="13">
        <f t="shared" si="105"/>
        <v>0</v>
      </c>
      <c r="H117" s="13">
        <f t="shared" si="106"/>
        <v>0</v>
      </c>
      <c r="I117" s="13">
        <f t="shared" si="107"/>
        <v>0</v>
      </c>
      <c r="J117" s="13">
        <f t="shared" si="108"/>
        <v>0</v>
      </c>
      <c r="K117" s="13">
        <f t="shared" si="109"/>
        <v>0</v>
      </c>
      <c r="L117" s="13">
        <f t="shared" si="110"/>
        <v>0</v>
      </c>
      <c r="M117" s="13">
        <f t="shared" si="111"/>
        <v>0</v>
      </c>
      <c r="N117" s="13">
        <f t="shared" si="112"/>
        <v>0</v>
      </c>
      <c r="O117" s="13">
        <f t="shared" si="113"/>
        <v>0</v>
      </c>
      <c r="P117" s="13">
        <f t="shared" si="114"/>
        <v>0</v>
      </c>
      <c r="Q117" s="13">
        <f t="shared" si="115"/>
        <v>0</v>
      </c>
      <c r="R117" s="13">
        <f t="shared" si="116"/>
        <v>0</v>
      </c>
      <c r="S117" s="13">
        <f t="shared" si="117"/>
        <v>0</v>
      </c>
      <c r="T117" s="13">
        <f t="shared" si="118"/>
        <v>0</v>
      </c>
      <c r="U117" s="13">
        <f t="shared" si="119"/>
        <v>0</v>
      </c>
      <c r="V117" s="13">
        <f t="shared" si="120"/>
        <v>0</v>
      </c>
      <c r="W117" s="13">
        <f t="shared" si="121"/>
        <v>0</v>
      </c>
      <c r="X117" s="13">
        <f t="shared" si="122"/>
        <v>0</v>
      </c>
      <c r="Y117" s="13">
        <f t="shared" si="123"/>
        <v>0</v>
      </c>
      <c r="Z117" s="13">
        <f t="shared" si="124"/>
        <v>0</v>
      </c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</row>
    <row r="118" spans="1:345" s="14" customFormat="1">
      <c r="A118" s="15" t="s">
        <v>113</v>
      </c>
      <c r="B118" s="13">
        <f t="shared" si="100"/>
        <v>0</v>
      </c>
      <c r="C118" s="13">
        <f t="shared" si="101"/>
        <v>0</v>
      </c>
      <c r="D118" s="13">
        <f t="shared" si="102"/>
        <v>0</v>
      </c>
      <c r="E118" s="13">
        <f t="shared" si="103"/>
        <v>0</v>
      </c>
      <c r="F118" s="13">
        <f t="shared" si="104"/>
        <v>0</v>
      </c>
      <c r="G118" s="13">
        <f t="shared" si="105"/>
        <v>0</v>
      </c>
      <c r="H118" s="13">
        <f t="shared" si="106"/>
        <v>0</v>
      </c>
      <c r="I118" s="13">
        <f t="shared" si="107"/>
        <v>0</v>
      </c>
      <c r="J118" s="13">
        <f t="shared" si="108"/>
        <v>0</v>
      </c>
      <c r="K118" s="13">
        <f t="shared" si="109"/>
        <v>0</v>
      </c>
      <c r="L118" s="13">
        <f t="shared" si="110"/>
        <v>0</v>
      </c>
      <c r="M118" s="13">
        <f t="shared" si="111"/>
        <v>0</v>
      </c>
      <c r="N118" s="13">
        <f t="shared" si="112"/>
        <v>0</v>
      </c>
      <c r="O118" s="13">
        <f t="shared" si="113"/>
        <v>0</v>
      </c>
      <c r="P118" s="13">
        <f t="shared" si="114"/>
        <v>0</v>
      </c>
      <c r="Q118" s="13">
        <f t="shared" si="115"/>
        <v>0</v>
      </c>
      <c r="R118" s="13">
        <f t="shared" si="116"/>
        <v>0</v>
      </c>
      <c r="S118" s="13">
        <f t="shared" si="117"/>
        <v>0</v>
      </c>
      <c r="T118" s="13">
        <f t="shared" si="118"/>
        <v>0</v>
      </c>
      <c r="U118" s="13">
        <f t="shared" si="119"/>
        <v>0</v>
      </c>
      <c r="V118" s="13">
        <f t="shared" si="120"/>
        <v>0</v>
      </c>
      <c r="W118" s="13">
        <f t="shared" si="121"/>
        <v>0</v>
      </c>
      <c r="X118" s="13">
        <f t="shared" si="122"/>
        <v>0</v>
      </c>
      <c r="Y118" s="13">
        <f t="shared" si="123"/>
        <v>0</v>
      </c>
      <c r="Z118" s="13">
        <f t="shared" si="124"/>
        <v>0</v>
      </c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</row>
    <row r="119" spans="1:345" s="14" customFormat="1">
      <c r="A119" s="15" t="s">
        <v>114</v>
      </c>
      <c r="B119" s="13">
        <f t="shared" si="100"/>
        <v>0</v>
      </c>
      <c r="C119" s="13">
        <f t="shared" si="101"/>
        <v>0</v>
      </c>
      <c r="D119" s="13">
        <f t="shared" si="102"/>
        <v>0</v>
      </c>
      <c r="E119" s="13">
        <f t="shared" si="103"/>
        <v>0</v>
      </c>
      <c r="F119" s="13">
        <f t="shared" si="104"/>
        <v>0</v>
      </c>
      <c r="G119" s="13">
        <f t="shared" si="105"/>
        <v>0</v>
      </c>
      <c r="H119" s="13">
        <f t="shared" si="106"/>
        <v>0</v>
      </c>
      <c r="I119" s="13">
        <f t="shared" si="107"/>
        <v>0</v>
      </c>
      <c r="J119" s="13">
        <f t="shared" si="108"/>
        <v>0</v>
      </c>
      <c r="K119" s="13">
        <f t="shared" si="109"/>
        <v>0</v>
      </c>
      <c r="L119" s="13">
        <f t="shared" si="110"/>
        <v>0</v>
      </c>
      <c r="M119" s="13">
        <f t="shared" si="111"/>
        <v>0</v>
      </c>
      <c r="N119" s="13">
        <f t="shared" si="112"/>
        <v>0</v>
      </c>
      <c r="O119" s="13">
        <f t="shared" si="113"/>
        <v>0</v>
      </c>
      <c r="P119" s="13">
        <f t="shared" si="114"/>
        <v>0</v>
      </c>
      <c r="Q119" s="13">
        <f t="shared" si="115"/>
        <v>0</v>
      </c>
      <c r="R119" s="13">
        <f t="shared" si="116"/>
        <v>0</v>
      </c>
      <c r="S119" s="13">
        <f t="shared" si="117"/>
        <v>0</v>
      </c>
      <c r="T119" s="13">
        <f t="shared" si="118"/>
        <v>0</v>
      </c>
      <c r="U119" s="13">
        <f t="shared" si="119"/>
        <v>0</v>
      </c>
      <c r="V119" s="13">
        <f t="shared" si="120"/>
        <v>0</v>
      </c>
      <c r="W119" s="13">
        <f t="shared" si="121"/>
        <v>0</v>
      </c>
      <c r="X119" s="13">
        <f t="shared" si="122"/>
        <v>0</v>
      </c>
      <c r="Y119" s="13">
        <f t="shared" si="123"/>
        <v>0</v>
      </c>
      <c r="Z119" s="13">
        <f t="shared" si="124"/>
        <v>0</v>
      </c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</row>
    <row r="120" spans="1:345" s="14" customFormat="1">
      <c r="A120" s="15" t="s">
        <v>115</v>
      </c>
      <c r="B120" s="13">
        <f t="shared" si="100"/>
        <v>0</v>
      </c>
      <c r="C120" s="13">
        <f t="shared" si="101"/>
        <v>0</v>
      </c>
      <c r="D120" s="13">
        <f t="shared" si="102"/>
        <v>0</v>
      </c>
      <c r="E120" s="13">
        <f t="shared" si="103"/>
        <v>0</v>
      </c>
      <c r="F120" s="13">
        <f t="shared" si="104"/>
        <v>0</v>
      </c>
      <c r="G120" s="13">
        <f t="shared" si="105"/>
        <v>0</v>
      </c>
      <c r="H120" s="13">
        <f t="shared" si="106"/>
        <v>0</v>
      </c>
      <c r="I120" s="13">
        <f t="shared" si="107"/>
        <v>0</v>
      </c>
      <c r="J120" s="13">
        <f t="shared" si="108"/>
        <v>0</v>
      </c>
      <c r="K120" s="13">
        <f t="shared" si="109"/>
        <v>0</v>
      </c>
      <c r="L120" s="13">
        <f t="shared" si="110"/>
        <v>0</v>
      </c>
      <c r="M120" s="13">
        <f t="shared" si="111"/>
        <v>0</v>
      </c>
      <c r="N120" s="13">
        <f t="shared" si="112"/>
        <v>0</v>
      </c>
      <c r="O120" s="13">
        <f t="shared" si="113"/>
        <v>0</v>
      </c>
      <c r="P120" s="13">
        <f t="shared" si="114"/>
        <v>0</v>
      </c>
      <c r="Q120" s="13">
        <f t="shared" si="115"/>
        <v>0</v>
      </c>
      <c r="R120" s="13">
        <f t="shared" si="116"/>
        <v>0</v>
      </c>
      <c r="S120" s="13">
        <f t="shared" si="117"/>
        <v>0</v>
      </c>
      <c r="T120" s="13">
        <f t="shared" si="118"/>
        <v>0</v>
      </c>
      <c r="U120" s="13">
        <f t="shared" si="119"/>
        <v>0</v>
      </c>
      <c r="V120" s="13">
        <f t="shared" si="120"/>
        <v>0</v>
      </c>
      <c r="W120" s="13">
        <f t="shared" si="121"/>
        <v>0</v>
      </c>
      <c r="X120" s="13">
        <f t="shared" si="122"/>
        <v>0</v>
      </c>
      <c r="Y120" s="13">
        <f t="shared" si="123"/>
        <v>0</v>
      </c>
      <c r="Z120" s="13">
        <f t="shared" si="124"/>
        <v>0</v>
      </c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</row>
    <row r="121" spans="1:345" s="14" customFormat="1">
      <c r="A121" s="12" t="s">
        <v>116</v>
      </c>
      <c r="B121" s="13">
        <f t="shared" si="100"/>
        <v>0</v>
      </c>
      <c r="C121" s="13">
        <f t="shared" si="101"/>
        <v>0</v>
      </c>
      <c r="D121" s="13">
        <f t="shared" si="102"/>
        <v>0</v>
      </c>
      <c r="E121" s="13">
        <f t="shared" si="103"/>
        <v>0</v>
      </c>
      <c r="F121" s="13">
        <f t="shared" si="104"/>
        <v>0</v>
      </c>
      <c r="G121" s="13">
        <f t="shared" si="105"/>
        <v>0</v>
      </c>
      <c r="H121" s="13">
        <f t="shared" si="106"/>
        <v>0</v>
      </c>
      <c r="I121" s="13">
        <f t="shared" si="107"/>
        <v>0</v>
      </c>
      <c r="J121" s="13">
        <f t="shared" si="108"/>
        <v>0</v>
      </c>
      <c r="K121" s="13">
        <f t="shared" si="109"/>
        <v>0</v>
      </c>
      <c r="L121" s="13">
        <f t="shared" si="110"/>
        <v>0</v>
      </c>
      <c r="M121" s="13">
        <f t="shared" si="111"/>
        <v>0</v>
      </c>
      <c r="N121" s="13">
        <f t="shared" si="112"/>
        <v>0</v>
      </c>
      <c r="O121" s="13">
        <f t="shared" si="113"/>
        <v>0</v>
      </c>
      <c r="P121" s="13">
        <f t="shared" si="114"/>
        <v>0</v>
      </c>
      <c r="Q121" s="13">
        <f t="shared" si="115"/>
        <v>0</v>
      </c>
      <c r="R121" s="13">
        <f t="shared" si="116"/>
        <v>0</v>
      </c>
      <c r="S121" s="13">
        <f t="shared" si="117"/>
        <v>0</v>
      </c>
      <c r="T121" s="13">
        <f t="shared" si="118"/>
        <v>0</v>
      </c>
      <c r="U121" s="13">
        <f t="shared" si="119"/>
        <v>0</v>
      </c>
      <c r="V121" s="13">
        <f t="shared" si="120"/>
        <v>0</v>
      </c>
      <c r="W121" s="13">
        <f t="shared" si="121"/>
        <v>0</v>
      </c>
      <c r="X121" s="13">
        <f t="shared" si="122"/>
        <v>0</v>
      </c>
      <c r="Y121" s="13">
        <f t="shared" si="123"/>
        <v>0</v>
      </c>
      <c r="Z121" s="13">
        <f t="shared" si="124"/>
        <v>0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</row>
    <row r="122" spans="1:345" s="14" customFormat="1">
      <c r="A122" s="15" t="s">
        <v>117</v>
      </c>
      <c r="B122" s="13">
        <f t="shared" si="100"/>
        <v>0</v>
      </c>
      <c r="C122" s="13">
        <f t="shared" si="101"/>
        <v>0</v>
      </c>
      <c r="D122" s="13">
        <f t="shared" si="102"/>
        <v>0</v>
      </c>
      <c r="E122" s="13">
        <f t="shared" si="103"/>
        <v>0</v>
      </c>
      <c r="F122" s="13">
        <f t="shared" si="104"/>
        <v>0</v>
      </c>
      <c r="G122" s="13">
        <f t="shared" si="105"/>
        <v>0</v>
      </c>
      <c r="H122" s="13">
        <f t="shared" si="106"/>
        <v>0</v>
      </c>
      <c r="I122" s="13">
        <f t="shared" si="107"/>
        <v>0</v>
      </c>
      <c r="J122" s="13">
        <f t="shared" si="108"/>
        <v>0</v>
      </c>
      <c r="K122" s="13">
        <f t="shared" si="109"/>
        <v>0</v>
      </c>
      <c r="L122" s="13">
        <f t="shared" si="110"/>
        <v>0</v>
      </c>
      <c r="M122" s="13">
        <f t="shared" si="111"/>
        <v>0</v>
      </c>
      <c r="N122" s="13">
        <f t="shared" si="112"/>
        <v>0</v>
      </c>
      <c r="O122" s="13">
        <f t="shared" si="113"/>
        <v>0</v>
      </c>
      <c r="P122" s="13">
        <f t="shared" si="114"/>
        <v>0</v>
      </c>
      <c r="Q122" s="13">
        <f t="shared" si="115"/>
        <v>0</v>
      </c>
      <c r="R122" s="13">
        <f t="shared" si="116"/>
        <v>0</v>
      </c>
      <c r="S122" s="13">
        <f t="shared" si="117"/>
        <v>0</v>
      </c>
      <c r="T122" s="13">
        <f t="shared" si="118"/>
        <v>0</v>
      </c>
      <c r="U122" s="13">
        <f t="shared" si="119"/>
        <v>0</v>
      </c>
      <c r="V122" s="13">
        <f t="shared" si="120"/>
        <v>0</v>
      </c>
      <c r="W122" s="13">
        <f t="shared" si="121"/>
        <v>0</v>
      </c>
      <c r="X122" s="13">
        <f t="shared" si="122"/>
        <v>0</v>
      </c>
      <c r="Y122" s="13">
        <f t="shared" si="123"/>
        <v>0</v>
      </c>
      <c r="Z122" s="13">
        <f t="shared" si="124"/>
        <v>0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</row>
    <row r="123" spans="1:345" s="14" customFormat="1">
      <c r="A123" s="15" t="s">
        <v>118</v>
      </c>
      <c r="B123" s="13">
        <f t="shared" si="100"/>
        <v>0</v>
      </c>
      <c r="C123" s="13">
        <f t="shared" si="101"/>
        <v>0</v>
      </c>
      <c r="D123" s="13">
        <f t="shared" si="102"/>
        <v>0</v>
      </c>
      <c r="E123" s="13">
        <f t="shared" si="103"/>
        <v>0</v>
      </c>
      <c r="F123" s="13">
        <f t="shared" si="104"/>
        <v>0</v>
      </c>
      <c r="G123" s="13">
        <f t="shared" si="105"/>
        <v>0</v>
      </c>
      <c r="H123" s="13">
        <f t="shared" si="106"/>
        <v>0</v>
      </c>
      <c r="I123" s="13">
        <f t="shared" si="107"/>
        <v>0</v>
      </c>
      <c r="J123" s="13">
        <f t="shared" si="108"/>
        <v>0</v>
      </c>
      <c r="K123" s="13">
        <f t="shared" si="109"/>
        <v>0</v>
      </c>
      <c r="L123" s="13">
        <f t="shared" si="110"/>
        <v>0</v>
      </c>
      <c r="M123" s="13">
        <f t="shared" si="111"/>
        <v>0</v>
      </c>
      <c r="N123" s="13">
        <f t="shared" si="112"/>
        <v>0</v>
      </c>
      <c r="O123" s="13">
        <f t="shared" si="113"/>
        <v>0</v>
      </c>
      <c r="P123" s="13">
        <f t="shared" si="114"/>
        <v>0</v>
      </c>
      <c r="Q123" s="13">
        <f t="shared" si="115"/>
        <v>0</v>
      </c>
      <c r="R123" s="13">
        <f t="shared" si="116"/>
        <v>0</v>
      </c>
      <c r="S123" s="13">
        <f t="shared" si="117"/>
        <v>0</v>
      </c>
      <c r="T123" s="13">
        <f t="shared" si="118"/>
        <v>0</v>
      </c>
      <c r="U123" s="13">
        <f t="shared" si="119"/>
        <v>0</v>
      </c>
      <c r="V123" s="13">
        <f t="shared" si="120"/>
        <v>0</v>
      </c>
      <c r="W123" s="13">
        <f t="shared" si="121"/>
        <v>0</v>
      </c>
      <c r="X123" s="13">
        <f t="shared" si="122"/>
        <v>0</v>
      </c>
      <c r="Y123" s="13">
        <f t="shared" si="123"/>
        <v>0</v>
      </c>
      <c r="Z123" s="13">
        <f t="shared" si="124"/>
        <v>0</v>
      </c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</row>
    <row r="124" spans="1:345" s="14" customFormat="1">
      <c r="A124" s="15" t="s">
        <v>119</v>
      </c>
      <c r="B124" s="13">
        <f t="shared" si="100"/>
        <v>0</v>
      </c>
      <c r="C124" s="13">
        <f t="shared" si="101"/>
        <v>0</v>
      </c>
      <c r="D124" s="13">
        <f t="shared" si="102"/>
        <v>0</v>
      </c>
      <c r="E124" s="13">
        <f t="shared" si="103"/>
        <v>0</v>
      </c>
      <c r="F124" s="13">
        <f t="shared" si="104"/>
        <v>0</v>
      </c>
      <c r="G124" s="13">
        <f t="shared" si="105"/>
        <v>0</v>
      </c>
      <c r="H124" s="13">
        <f t="shared" si="106"/>
        <v>0</v>
      </c>
      <c r="I124" s="13">
        <f t="shared" si="107"/>
        <v>0</v>
      </c>
      <c r="J124" s="13">
        <f t="shared" si="108"/>
        <v>0</v>
      </c>
      <c r="K124" s="13">
        <f t="shared" si="109"/>
        <v>0</v>
      </c>
      <c r="L124" s="13">
        <f t="shared" si="110"/>
        <v>0</v>
      </c>
      <c r="M124" s="13">
        <f t="shared" si="111"/>
        <v>0</v>
      </c>
      <c r="N124" s="13">
        <f t="shared" si="112"/>
        <v>0</v>
      </c>
      <c r="O124" s="13">
        <f t="shared" si="113"/>
        <v>0</v>
      </c>
      <c r="P124" s="13">
        <f t="shared" si="114"/>
        <v>0</v>
      </c>
      <c r="Q124" s="13">
        <f t="shared" si="115"/>
        <v>0</v>
      </c>
      <c r="R124" s="13">
        <f t="shared" si="116"/>
        <v>0</v>
      </c>
      <c r="S124" s="13">
        <f t="shared" si="117"/>
        <v>0</v>
      </c>
      <c r="T124" s="13">
        <f t="shared" si="118"/>
        <v>0</v>
      </c>
      <c r="U124" s="13">
        <f t="shared" si="119"/>
        <v>0</v>
      </c>
      <c r="V124" s="13">
        <f t="shared" si="120"/>
        <v>0</v>
      </c>
      <c r="W124" s="13">
        <f t="shared" si="121"/>
        <v>0</v>
      </c>
      <c r="X124" s="13">
        <f t="shared" si="122"/>
        <v>0</v>
      </c>
      <c r="Y124" s="13">
        <f t="shared" si="123"/>
        <v>0</v>
      </c>
      <c r="Z124" s="13">
        <f t="shared" si="124"/>
        <v>0</v>
      </c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</row>
    <row r="125" spans="1:345" s="14" customFormat="1">
      <c r="A125" s="15" t="s">
        <v>120</v>
      </c>
      <c r="B125" s="13">
        <f t="shared" si="100"/>
        <v>0</v>
      </c>
      <c r="C125" s="13">
        <f t="shared" si="101"/>
        <v>0</v>
      </c>
      <c r="D125" s="13">
        <f t="shared" si="102"/>
        <v>0</v>
      </c>
      <c r="E125" s="13">
        <f t="shared" si="103"/>
        <v>0</v>
      </c>
      <c r="F125" s="13">
        <f t="shared" si="104"/>
        <v>0</v>
      </c>
      <c r="G125" s="13">
        <f t="shared" si="105"/>
        <v>0</v>
      </c>
      <c r="H125" s="13">
        <f t="shared" si="106"/>
        <v>0</v>
      </c>
      <c r="I125" s="13">
        <f t="shared" si="107"/>
        <v>0</v>
      </c>
      <c r="J125" s="13">
        <f t="shared" si="108"/>
        <v>0</v>
      </c>
      <c r="K125" s="13">
        <f t="shared" si="109"/>
        <v>0</v>
      </c>
      <c r="L125" s="13">
        <f t="shared" si="110"/>
        <v>0</v>
      </c>
      <c r="M125" s="13">
        <f t="shared" si="111"/>
        <v>0</v>
      </c>
      <c r="N125" s="13">
        <f t="shared" si="112"/>
        <v>0</v>
      </c>
      <c r="O125" s="13">
        <f t="shared" si="113"/>
        <v>0</v>
      </c>
      <c r="P125" s="13">
        <f t="shared" si="114"/>
        <v>0</v>
      </c>
      <c r="Q125" s="13">
        <f t="shared" si="115"/>
        <v>0</v>
      </c>
      <c r="R125" s="13">
        <f t="shared" si="116"/>
        <v>0</v>
      </c>
      <c r="S125" s="13">
        <f t="shared" si="117"/>
        <v>0</v>
      </c>
      <c r="T125" s="13">
        <f t="shared" si="118"/>
        <v>0</v>
      </c>
      <c r="U125" s="13">
        <f t="shared" si="119"/>
        <v>0</v>
      </c>
      <c r="V125" s="13">
        <f t="shared" si="120"/>
        <v>0</v>
      </c>
      <c r="W125" s="13">
        <f t="shared" si="121"/>
        <v>0</v>
      </c>
      <c r="X125" s="13">
        <f t="shared" si="122"/>
        <v>0</v>
      </c>
      <c r="Y125" s="13">
        <f t="shared" si="123"/>
        <v>0</v>
      </c>
      <c r="Z125" s="13">
        <f t="shared" si="124"/>
        <v>0</v>
      </c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</row>
    <row r="126" spans="1:345" s="14" customFormat="1">
      <c r="A126" s="12" t="s">
        <v>121</v>
      </c>
      <c r="B126" s="13">
        <f t="shared" si="100"/>
        <v>0</v>
      </c>
      <c r="C126" s="13">
        <f t="shared" si="101"/>
        <v>0</v>
      </c>
      <c r="D126" s="13">
        <f t="shared" si="102"/>
        <v>0</v>
      </c>
      <c r="E126" s="13">
        <f t="shared" si="103"/>
        <v>0</v>
      </c>
      <c r="F126" s="13">
        <f t="shared" si="104"/>
        <v>0</v>
      </c>
      <c r="G126" s="13">
        <f t="shared" si="105"/>
        <v>0</v>
      </c>
      <c r="H126" s="13">
        <f t="shared" si="106"/>
        <v>0</v>
      </c>
      <c r="I126" s="13">
        <f t="shared" si="107"/>
        <v>0</v>
      </c>
      <c r="J126" s="13">
        <f t="shared" si="108"/>
        <v>0</v>
      </c>
      <c r="K126" s="13">
        <f t="shared" si="109"/>
        <v>0</v>
      </c>
      <c r="L126" s="13">
        <f t="shared" si="110"/>
        <v>0</v>
      </c>
      <c r="M126" s="13">
        <f t="shared" si="111"/>
        <v>0</v>
      </c>
      <c r="N126" s="13">
        <f t="shared" si="112"/>
        <v>0</v>
      </c>
      <c r="O126" s="13">
        <f t="shared" si="113"/>
        <v>0</v>
      </c>
      <c r="P126" s="13">
        <f t="shared" si="114"/>
        <v>0</v>
      </c>
      <c r="Q126" s="13">
        <f t="shared" si="115"/>
        <v>0</v>
      </c>
      <c r="R126" s="13">
        <f t="shared" si="116"/>
        <v>0</v>
      </c>
      <c r="S126" s="13">
        <f t="shared" si="117"/>
        <v>0</v>
      </c>
      <c r="T126" s="13">
        <f t="shared" si="118"/>
        <v>0</v>
      </c>
      <c r="U126" s="13">
        <f t="shared" si="119"/>
        <v>0</v>
      </c>
      <c r="V126" s="13">
        <f t="shared" si="120"/>
        <v>0</v>
      </c>
      <c r="W126" s="13">
        <f t="shared" si="121"/>
        <v>0</v>
      </c>
      <c r="X126" s="13">
        <f t="shared" si="122"/>
        <v>0</v>
      </c>
      <c r="Y126" s="13">
        <f t="shared" si="123"/>
        <v>0</v>
      </c>
      <c r="Z126" s="13">
        <f t="shared" si="124"/>
        <v>0</v>
      </c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</row>
    <row r="127" spans="1:345" s="14" customFormat="1">
      <c r="A127" s="12" t="s">
        <v>122</v>
      </c>
      <c r="B127" s="13">
        <f t="shared" si="100"/>
        <v>0</v>
      </c>
      <c r="C127" s="13">
        <f t="shared" si="101"/>
        <v>0</v>
      </c>
      <c r="D127" s="13">
        <f t="shared" si="102"/>
        <v>0</v>
      </c>
      <c r="E127" s="13">
        <f t="shared" si="103"/>
        <v>0</v>
      </c>
      <c r="F127" s="13">
        <f t="shared" si="104"/>
        <v>0</v>
      </c>
      <c r="G127" s="13">
        <f t="shared" si="105"/>
        <v>0</v>
      </c>
      <c r="H127" s="13">
        <f t="shared" si="106"/>
        <v>0</v>
      </c>
      <c r="I127" s="13">
        <f t="shared" si="107"/>
        <v>0</v>
      </c>
      <c r="J127" s="13">
        <f t="shared" si="108"/>
        <v>0</v>
      </c>
      <c r="K127" s="13">
        <f t="shared" si="109"/>
        <v>0</v>
      </c>
      <c r="L127" s="13">
        <f t="shared" si="110"/>
        <v>0</v>
      </c>
      <c r="M127" s="13">
        <f t="shared" si="111"/>
        <v>0</v>
      </c>
      <c r="N127" s="13">
        <f t="shared" si="112"/>
        <v>0</v>
      </c>
      <c r="O127" s="13">
        <f t="shared" si="113"/>
        <v>0</v>
      </c>
      <c r="P127" s="13">
        <f t="shared" si="114"/>
        <v>0</v>
      </c>
      <c r="Q127" s="13">
        <f t="shared" si="115"/>
        <v>0</v>
      </c>
      <c r="R127" s="13">
        <f t="shared" si="116"/>
        <v>0</v>
      </c>
      <c r="S127" s="13">
        <f t="shared" si="117"/>
        <v>0</v>
      </c>
      <c r="T127" s="13">
        <f t="shared" si="118"/>
        <v>0</v>
      </c>
      <c r="U127" s="13">
        <f t="shared" si="119"/>
        <v>0</v>
      </c>
      <c r="V127" s="13">
        <f t="shared" si="120"/>
        <v>0</v>
      </c>
      <c r="W127" s="13">
        <f t="shared" si="121"/>
        <v>0</v>
      </c>
      <c r="X127" s="13">
        <f t="shared" si="122"/>
        <v>0</v>
      </c>
      <c r="Y127" s="13">
        <f t="shared" si="123"/>
        <v>0</v>
      </c>
      <c r="Z127" s="13">
        <f t="shared" si="124"/>
        <v>0</v>
      </c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</row>
    <row r="128" spans="1:345" s="14" customFormat="1">
      <c r="A128" s="12" t="s">
        <v>123</v>
      </c>
      <c r="B128" s="13">
        <f t="shared" si="100"/>
        <v>0</v>
      </c>
      <c r="C128" s="13">
        <f t="shared" si="101"/>
        <v>0</v>
      </c>
      <c r="D128" s="13">
        <f t="shared" si="102"/>
        <v>0</v>
      </c>
      <c r="E128" s="13">
        <f t="shared" si="103"/>
        <v>0</v>
      </c>
      <c r="F128" s="13">
        <f t="shared" si="104"/>
        <v>0</v>
      </c>
      <c r="G128" s="13">
        <f t="shared" si="105"/>
        <v>0</v>
      </c>
      <c r="H128" s="13">
        <f t="shared" si="106"/>
        <v>0</v>
      </c>
      <c r="I128" s="13">
        <f t="shared" si="107"/>
        <v>0</v>
      </c>
      <c r="J128" s="13">
        <f t="shared" si="108"/>
        <v>0</v>
      </c>
      <c r="K128" s="13">
        <f t="shared" si="109"/>
        <v>0</v>
      </c>
      <c r="L128" s="13">
        <f t="shared" si="110"/>
        <v>0</v>
      </c>
      <c r="M128" s="13">
        <f t="shared" si="111"/>
        <v>0</v>
      </c>
      <c r="N128" s="13">
        <f t="shared" si="112"/>
        <v>0</v>
      </c>
      <c r="O128" s="13">
        <f t="shared" si="113"/>
        <v>0</v>
      </c>
      <c r="P128" s="13">
        <f t="shared" si="114"/>
        <v>0</v>
      </c>
      <c r="Q128" s="13">
        <f t="shared" si="115"/>
        <v>0</v>
      </c>
      <c r="R128" s="13">
        <f t="shared" si="116"/>
        <v>0</v>
      </c>
      <c r="S128" s="13">
        <f t="shared" si="117"/>
        <v>0</v>
      </c>
      <c r="T128" s="13">
        <f t="shared" si="118"/>
        <v>0</v>
      </c>
      <c r="U128" s="13">
        <f t="shared" si="119"/>
        <v>0</v>
      </c>
      <c r="V128" s="13">
        <f t="shared" si="120"/>
        <v>0</v>
      </c>
      <c r="W128" s="13">
        <f t="shared" si="121"/>
        <v>0</v>
      </c>
      <c r="X128" s="13">
        <f t="shared" si="122"/>
        <v>0</v>
      </c>
      <c r="Y128" s="13">
        <f t="shared" si="123"/>
        <v>0</v>
      </c>
      <c r="Z128" s="13">
        <f t="shared" si="124"/>
        <v>0</v>
      </c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</row>
    <row r="129" spans="1:345" s="14" customFormat="1">
      <c r="A129" s="12" t="s">
        <v>124</v>
      </c>
      <c r="B129" s="13">
        <f t="shared" si="100"/>
        <v>0</v>
      </c>
      <c r="C129" s="13">
        <f t="shared" si="101"/>
        <v>0</v>
      </c>
      <c r="D129" s="13">
        <f t="shared" si="102"/>
        <v>0</v>
      </c>
      <c r="E129" s="13">
        <f t="shared" si="103"/>
        <v>0</v>
      </c>
      <c r="F129" s="13">
        <f t="shared" si="104"/>
        <v>0</v>
      </c>
      <c r="G129" s="13">
        <f t="shared" si="105"/>
        <v>0</v>
      </c>
      <c r="H129" s="13">
        <f t="shared" si="106"/>
        <v>0</v>
      </c>
      <c r="I129" s="13">
        <f t="shared" si="107"/>
        <v>0</v>
      </c>
      <c r="J129" s="13">
        <f t="shared" si="108"/>
        <v>0</v>
      </c>
      <c r="K129" s="13">
        <f t="shared" si="109"/>
        <v>0</v>
      </c>
      <c r="L129" s="13">
        <f t="shared" si="110"/>
        <v>0</v>
      </c>
      <c r="M129" s="13">
        <f t="shared" si="111"/>
        <v>0</v>
      </c>
      <c r="N129" s="13">
        <f t="shared" si="112"/>
        <v>0</v>
      </c>
      <c r="O129" s="13">
        <f t="shared" si="113"/>
        <v>0</v>
      </c>
      <c r="P129" s="13">
        <f t="shared" si="114"/>
        <v>0</v>
      </c>
      <c r="Q129" s="13">
        <f t="shared" si="115"/>
        <v>0</v>
      </c>
      <c r="R129" s="13">
        <f t="shared" si="116"/>
        <v>0</v>
      </c>
      <c r="S129" s="13">
        <f t="shared" si="117"/>
        <v>0</v>
      </c>
      <c r="T129" s="13">
        <f t="shared" si="118"/>
        <v>0</v>
      </c>
      <c r="U129" s="13">
        <f t="shared" si="119"/>
        <v>0</v>
      </c>
      <c r="V129" s="13">
        <f t="shared" si="120"/>
        <v>0</v>
      </c>
      <c r="W129" s="13">
        <f t="shared" si="121"/>
        <v>0</v>
      </c>
      <c r="X129" s="13">
        <f t="shared" si="122"/>
        <v>0</v>
      </c>
      <c r="Y129" s="13">
        <f t="shared" si="123"/>
        <v>0</v>
      </c>
      <c r="Z129" s="13">
        <f t="shared" si="124"/>
        <v>0</v>
      </c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</row>
    <row r="130" spans="1:345" s="14" customFormat="1">
      <c r="A130" s="15" t="s">
        <v>125</v>
      </c>
      <c r="B130" s="13">
        <f t="shared" si="100"/>
        <v>0</v>
      </c>
      <c r="C130" s="13">
        <f t="shared" si="101"/>
        <v>0</v>
      </c>
      <c r="D130" s="13">
        <f t="shared" si="102"/>
        <v>0</v>
      </c>
      <c r="E130" s="13">
        <f t="shared" si="103"/>
        <v>0</v>
      </c>
      <c r="F130" s="13">
        <f t="shared" si="104"/>
        <v>0</v>
      </c>
      <c r="G130" s="13">
        <f t="shared" si="105"/>
        <v>0</v>
      </c>
      <c r="H130" s="13">
        <f t="shared" si="106"/>
        <v>0</v>
      </c>
      <c r="I130" s="13">
        <f t="shared" si="107"/>
        <v>0</v>
      </c>
      <c r="J130" s="13">
        <f t="shared" si="108"/>
        <v>0</v>
      </c>
      <c r="K130" s="13">
        <f t="shared" si="109"/>
        <v>0</v>
      </c>
      <c r="L130" s="13">
        <f t="shared" si="110"/>
        <v>0</v>
      </c>
      <c r="M130" s="13">
        <f t="shared" si="111"/>
        <v>0</v>
      </c>
      <c r="N130" s="13">
        <f t="shared" si="112"/>
        <v>0</v>
      </c>
      <c r="O130" s="13">
        <f t="shared" si="113"/>
        <v>0</v>
      </c>
      <c r="P130" s="13">
        <f t="shared" si="114"/>
        <v>0</v>
      </c>
      <c r="Q130" s="13">
        <f t="shared" si="115"/>
        <v>0</v>
      </c>
      <c r="R130" s="13">
        <f t="shared" si="116"/>
        <v>0</v>
      </c>
      <c r="S130" s="13">
        <f t="shared" si="117"/>
        <v>0</v>
      </c>
      <c r="T130" s="13">
        <f t="shared" si="118"/>
        <v>0</v>
      </c>
      <c r="U130" s="13">
        <f t="shared" si="119"/>
        <v>0</v>
      </c>
      <c r="V130" s="13">
        <f t="shared" si="120"/>
        <v>0</v>
      </c>
      <c r="W130" s="13">
        <f t="shared" si="121"/>
        <v>0</v>
      </c>
      <c r="X130" s="13">
        <f t="shared" si="122"/>
        <v>0</v>
      </c>
      <c r="Y130" s="13">
        <f t="shared" si="123"/>
        <v>0</v>
      </c>
      <c r="Z130" s="13">
        <f t="shared" si="124"/>
        <v>0</v>
      </c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</row>
    <row r="131" spans="1:345" s="14" customFormat="1">
      <c r="A131" s="15" t="s">
        <v>126</v>
      </c>
      <c r="B131" s="13">
        <f t="shared" si="100"/>
        <v>0</v>
      </c>
      <c r="C131" s="13">
        <f t="shared" si="101"/>
        <v>0</v>
      </c>
      <c r="D131" s="13">
        <f t="shared" si="102"/>
        <v>0</v>
      </c>
      <c r="E131" s="13">
        <f t="shared" si="103"/>
        <v>0</v>
      </c>
      <c r="F131" s="13">
        <f t="shared" si="104"/>
        <v>0</v>
      </c>
      <c r="G131" s="13">
        <f t="shared" si="105"/>
        <v>0</v>
      </c>
      <c r="H131" s="13">
        <f t="shared" si="106"/>
        <v>0</v>
      </c>
      <c r="I131" s="13">
        <f t="shared" si="107"/>
        <v>0</v>
      </c>
      <c r="J131" s="13">
        <f t="shared" si="108"/>
        <v>0</v>
      </c>
      <c r="K131" s="13">
        <f t="shared" si="109"/>
        <v>0</v>
      </c>
      <c r="L131" s="13">
        <f t="shared" si="110"/>
        <v>0</v>
      </c>
      <c r="M131" s="13">
        <f t="shared" si="111"/>
        <v>0</v>
      </c>
      <c r="N131" s="13">
        <f t="shared" si="112"/>
        <v>0</v>
      </c>
      <c r="O131" s="13">
        <f t="shared" si="113"/>
        <v>0</v>
      </c>
      <c r="P131" s="13">
        <f t="shared" si="114"/>
        <v>0</v>
      </c>
      <c r="Q131" s="13">
        <f t="shared" si="115"/>
        <v>0</v>
      </c>
      <c r="R131" s="13">
        <f t="shared" si="116"/>
        <v>0</v>
      </c>
      <c r="S131" s="13">
        <f t="shared" si="117"/>
        <v>0</v>
      </c>
      <c r="T131" s="13">
        <f t="shared" si="118"/>
        <v>0</v>
      </c>
      <c r="U131" s="13">
        <f t="shared" si="119"/>
        <v>0</v>
      </c>
      <c r="V131" s="13">
        <f t="shared" si="120"/>
        <v>0</v>
      </c>
      <c r="W131" s="13">
        <f t="shared" si="121"/>
        <v>0</v>
      </c>
      <c r="X131" s="13">
        <f t="shared" si="122"/>
        <v>0</v>
      </c>
      <c r="Y131" s="13">
        <f t="shared" si="123"/>
        <v>0</v>
      </c>
      <c r="Z131" s="13">
        <f t="shared" si="124"/>
        <v>0</v>
      </c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</row>
    <row r="132" spans="1:345" s="14" customFormat="1">
      <c r="A132" s="15" t="s">
        <v>127</v>
      </c>
      <c r="B132" s="13">
        <f t="shared" si="100"/>
        <v>0</v>
      </c>
      <c r="C132" s="13">
        <f t="shared" si="101"/>
        <v>0</v>
      </c>
      <c r="D132" s="13">
        <f t="shared" si="102"/>
        <v>0</v>
      </c>
      <c r="E132" s="13">
        <f t="shared" si="103"/>
        <v>0</v>
      </c>
      <c r="F132" s="13">
        <f t="shared" si="104"/>
        <v>0</v>
      </c>
      <c r="G132" s="13">
        <f t="shared" si="105"/>
        <v>0</v>
      </c>
      <c r="H132" s="13">
        <f t="shared" si="106"/>
        <v>0</v>
      </c>
      <c r="I132" s="13">
        <f t="shared" si="107"/>
        <v>0</v>
      </c>
      <c r="J132" s="13">
        <f t="shared" si="108"/>
        <v>0</v>
      </c>
      <c r="K132" s="13">
        <f t="shared" si="109"/>
        <v>0</v>
      </c>
      <c r="L132" s="13">
        <f t="shared" si="110"/>
        <v>0</v>
      </c>
      <c r="M132" s="13">
        <f t="shared" si="111"/>
        <v>0</v>
      </c>
      <c r="N132" s="13">
        <f t="shared" si="112"/>
        <v>0</v>
      </c>
      <c r="O132" s="13">
        <f t="shared" si="113"/>
        <v>0</v>
      </c>
      <c r="P132" s="13">
        <f t="shared" si="114"/>
        <v>0</v>
      </c>
      <c r="Q132" s="13">
        <f t="shared" si="115"/>
        <v>0</v>
      </c>
      <c r="R132" s="13">
        <f t="shared" si="116"/>
        <v>0</v>
      </c>
      <c r="S132" s="13">
        <f t="shared" si="117"/>
        <v>0</v>
      </c>
      <c r="T132" s="13">
        <f t="shared" si="118"/>
        <v>0</v>
      </c>
      <c r="U132" s="13">
        <f t="shared" si="119"/>
        <v>0</v>
      </c>
      <c r="V132" s="13">
        <f t="shared" si="120"/>
        <v>0</v>
      </c>
      <c r="W132" s="13">
        <f t="shared" si="121"/>
        <v>0</v>
      </c>
      <c r="X132" s="13">
        <f t="shared" si="122"/>
        <v>0</v>
      </c>
      <c r="Y132" s="13">
        <f t="shared" si="123"/>
        <v>0</v>
      </c>
      <c r="Z132" s="13">
        <f t="shared" si="124"/>
        <v>0</v>
      </c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</row>
    <row r="133" spans="1:345" s="14" customFormat="1">
      <c r="A133" s="12" t="s">
        <v>128</v>
      </c>
      <c r="B133" s="13">
        <f t="shared" si="100"/>
        <v>0</v>
      </c>
      <c r="C133" s="13">
        <f t="shared" si="101"/>
        <v>0</v>
      </c>
      <c r="D133" s="13">
        <f t="shared" si="102"/>
        <v>0</v>
      </c>
      <c r="E133" s="13">
        <f t="shared" si="103"/>
        <v>0</v>
      </c>
      <c r="F133" s="13">
        <f t="shared" si="104"/>
        <v>0</v>
      </c>
      <c r="G133" s="13">
        <f t="shared" si="105"/>
        <v>0</v>
      </c>
      <c r="H133" s="13">
        <f t="shared" si="106"/>
        <v>0</v>
      </c>
      <c r="I133" s="13">
        <f t="shared" si="107"/>
        <v>0</v>
      </c>
      <c r="J133" s="13">
        <f t="shared" si="108"/>
        <v>0</v>
      </c>
      <c r="K133" s="13">
        <f t="shared" si="109"/>
        <v>0</v>
      </c>
      <c r="L133" s="13">
        <f t="shared" si="110"/>
        <v>0</v>
      </c>
      <c r="M133" s="13">
        <f t="shared" si="111"/>
        <v>0</v>
      </c>
      <c r="N133" s="13">
        <f t="shared" si="112"/>
        <v>0</v>
      </c>
      <c r="O133" s="13">
        <f t="shared" si="113"/>
        <v>0</v>
      </c>
      <c r="P133" s="13">
        <f t="shared" si="114"/>
        <v>0</v>
      </c>
      <c r="Q133" s="13">
        <f t="shared" si="115"/>
        <v>0</v>
      </c>
      <c r="R133" s="13">
        <f t="shared" si="116"/>
        <v>0</v>
      </c>
      <c r="S133" s="13">
        <f t="shared" si="117"/>
        <v>0</v>
      </c>
      <c r="T133" s="13">
        <f t="shared" si="118"/>
        <v>0</v>
      </c>
      <c r="U133" s="13">
        <f t="shared" si="119"/>
        <v>0</v>
      </c>
      <c r="V133" s="13">
        <f t="shared" si="120"/>
        <v>0</v>
      </c>
      <c r="W133" s="13">
        <f t="shared" si="121"/>
        <v>0</v>
      </c>
      <c r="X133" s="13">
        <f t="shared" si="122"/>
        <v>0</v>
      </c>
      <c r="Y133" s="13">
        <f t="shared" si="123"/>
        <v>0</v>
      </c>
      <c r="Z133" s="13">
        <f t="shared" si="124"/>
        <v>0</v>
      </c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</row>
    <row r="134" spans="1:345" s="14" customFormat="1">
      <c r="A134" s="15" t="s">
        <v>129</v>
      </c>
      <c r="B134" s="13">
        <f t="shared" si="100"/>
        <v>0</v>
      </c>
      <c r="C134" s="13">
        <f t="shared" si="101"/>
        <v>0</v>
      </c>
      <c r="D134" s="13">
        <f t="shared" si="102"/>
        <v>0</v>
      </c>
      <c r="E134" s="13">
        <f t="shared" si="103"/>
        <v>0</v>
      </c>
      <c r="F134" s="13">
        <f t="shared" si="104"/>
        <v>0</v>
      </c>
      <c r="G134" s="13">
        <f t="shared" si="105"/>
        <v>0</v>
      </c>
      <c r="H134" s="13">
        <f t="shared" si="106"/>
        <v>0</v>
      </c>
      <c r="I134" s="13">
        <f t="shared" si="107"/>
        <v>0</v>
      </c>
      <c r="J134" s="13">
        <f t="shared" si="108"/>
        <v>0</v>
      </c>
      <c r="K134" s="13">
        <f t="shared" si="109"/>
        <v>0</v>
      </c>
      <c r="L134" s="13">
        <f t="shared" si="110"/>
        <v>0</v>
      </c>
      <c r="M134" s="13">
        <f t="shared" si="111"/>
        <v>0</v>
      </c>
      <c r="N134" s="13">
        <f t="shared" si="112"/>
        <v>0</v>
      </c>
      <c r="O134" s="13">
        <f t="shared" si="113"/>
        <v>0</v>
      </c>
      <c r="P134" s="13">
        <f t="shared" si="114"/>
        <v>0</v>
      </c>
      <c r="Q134" s="13">
        <f t="shared" si="115"/>
        <v>0</v>
      </c>
      <c r="R134" s="13">
        <f t="shared" si="116"/>
        <v>0</v>
      </c>
      <c r="S134" s="13">
        <f t="shared" si="117"/>
        <v>0</v>
      </c>
      <c r="T134" s="13">
        <f t="shared" si="118"/>
        <v>0</v>
      </c>
      <c r="U134" s="13">
        <f t="shared" si="119"/>
        <v>0</v>
      </c>
      <c r="V134" s="13">
        <f t="shared" si="120"/>
        <v>0</v>
      </c>
      <c r="W134" s="13">
        <f t="shared" si="121"/>
        <v>0</v>
      </c>
      <c r="X134" s="13">
        <f t="shared" si="122"/>
        <v>0</v>
      </c>
      <c r="Y134" s="13">
        <f t="shared" si="123"/>
        <v>0</v>
      </c>
      <c r="Z134" s="13">
        <f t="shared" si="124"/>
        <v>0</v>
      </c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</row>
    <row r="135" spans="1:345" s="14" customFormat="1">
      <c r="A135" s="15" t="s">
        <v>130</v>
      </c>
      <c r="B135" s="13">
        <f t="shared" si="100"/>
        <v>0</v>
      </c>
      <c r="C135" s="13">
        <f t="shared" si="101"/>
        <v>0</v>
      </c>
      <c r="D135" s="13">
        <f t="shared" si="102"/>
        <v>0</v>
      </c>
      <c r="E135" s="13">
        <f t="shared" si="103"/>
        <v>0</v>
      </c>
      <c r="F135" s="13">
        <f t="shared" si="104"/>
        <v>0</v>
      </c>
      <c r="G135" s="13">
        <f t="shared" si="105"/>
        <v>0</v>
      </c>
      <c r="H135" s="13">
        <f t="shared" si="106"/>
        <v>0</v>
      </c>
      <c r="I135" s="13">
        <f t="shared" si="107"/>
        <v>0</v>
      </c>
      <c r="J135" s="13">
        <f t="shared" si="108"/>
        <v>0</v>
      </c>
      <c r="K135" s="13">
        <f t="shared" si="109"/>
        <v>0</v>
      </c>
      <c r="L135" s="13">
        <f t="shared" si="110"/>
        <v>0</v>
      </c>
      <c r="M135" s="13">
        <f t="shared" si="111"/>
        <v>0</v>
      </c>
      <c r="N135" s="13">
        <f t="shared" si="112"/>
        <v>0</v>
      </c>
      <c r="O135" s="13">
        <f t="shared" si="113"/>
        <v>0</v>
      </c>
      <c r="P135" s="13">
        <f t="shared" si="114"/>
        <v>0</v>
      </c>
      <c r="Q135" s="13">
        <f t="shared" si="115"/>
        <v>0</v>
      </c>
      <c r="R135" s="13">
        <f t="shared" si="116"/>
        <v>0</v>
      </c>
      <c r="S135" s="13">
        <f t="shared" si="117"/>
        <v>0</v>
      </c>
      <c r="T135" s="13">
        <f t="shared" si="118"/>
        <v>0</v>
      </c>
      <c r="U135" s="13">
        <f t="shared" si="119"/>
        <v>0</v>
      </c>
      <c r="V135" s="13">
        <f t="shared" si="120"/>
        <v>0</v>
      </c>
      <c r="W135" s="13">
        <f t="shared" si="121"/>
        <v>0</v>
      </c>
      <c r="X135" s="13">
        <f t="shared" si="122"/>
        <v>0</v>
      </c>
      <c r="Y135" s="13">
        <f t="shared" si="123"/>
        <v>0</v>
      </c>
      <c r="Z135" s="13">
        <f t="shared" si="124"/>
        <v>0</v>
      </c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</row>
    <row r="136" spans="1:345" s="14" customFormat="1">
      <c r="A136" s="15" t="s">
        <v>131</v>
      </c>
      <c r="B136" s="13">
        <f t="shared" si="100"/>
        <v>0</v>
      </c>
      <c r="C136" s="13">
        <f t="shared" si="101"/>
        <v>0</v>
      </c>
      <c r="D136" s="13">
        <f t="shared" si="102"/>
        <v>0</v>
      </c>
      <c r="E136" s="13">
        <f t="shared" si="103"/>
        <v>0</v>
      </c>
      <c r="F136" s="13">
        <f t="shared" si="104"/>
        <v>0</v>
      </c>
      <c r="G136" s="13">
        <f t="shared" si="105"/>
        <v>0</v>
      </c>
      <c r="H136" s="13">
        <f t="shared" si="106"/>
        <v>0</v>
      </c>
      <c r="I136" s="13">
        <f t="shared" si="107"/>
        <v>0</v>
      </c>
      <c r="J136" s="13">
        <f t="shared" si="108"/>
        <v>0</v>
      </c>
      <c r="K136" s="13">
        <f t="shared" si="109"/>
        <v>0</v>
      </c>
      <c r="L136" s="13">
        <f t="shared" si="110"/>
        <v>0</v>
      </c>
      <c r="M136" s="13">
        <f t="shared" si="111"/>
        <v>0</v>
      </c>
      <c r="N136" s="13">
        <f t="shared" si="112"/>
        <v>0</v>
      </c>
      <c r="O136" s="13">
        <f t="shared" si="113"/>
        <v>0</v>
      </c>
      <c r="P136" s="13">
        <f t="shared" si="114"/>
        <v>0</v>
      </c>
      <c r="Q136" s="13">
        <f t="shared" si="115"/>
        <v>0</v>
      </c>
      <c r="R136" s="13">
        <f t="shared" si="116"/>
        <v>0</v>
      </c>
      <c r="S136" s="13">
        <f t="shared" si="117"/>
        <v>0</v>
      </c>
      <c r="T136" s="13">
        <f t="shared" si="118"/>
        <v>0</v>
      </c>
      <c r="U136" s="13">
        <f t="shared" si="119"/>
        <v>0</v>
      </c>
      <c r="V136" s="13">
        <f t="shared" si="120"/>
        <v>0</v>
      </c>
      <c r="W136" s="13">
        <f t="shared" si="121"/>
        <v>0</v>
      </c>
      <c r="X136" s="13">
        <f t="shared" si="122"/>
        <v>0</v>
      </c>
      <c r="Y136" s="13">
        <f t="shared" si="123"/>
        <v>0</v>
      </c>
      <c r="Z136" s="13">
        <f t="shared" si="124"/>
        <v>0</v>
      </c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</row>
    <row r="137" spans="1:345" s="14" customFormat="1">
      <c r="A137" s="15" t="s">
        <v>132</v>
      </c>
      <c r="B137" s="13">
        <f t="shared" si="100"/>
        <v>0</v>
      </c>
      <c r="C137" s="13">
        <f t="shared" si="101"/>
        <v>0</v>
      </c>
      <c r="D137" s="13">
        <f t="shared" si="102"/>
        <v>0</v>
      </c>
      <c r="E137" s="13">
        <f t="shared" si="103"/>
        <v>0</v>
      </c>
      <c r="F137" s="13">
        <f t="shared" si="104"/>
        <v>0</v>
      </c>
      <c r="G137" s="13">
        <f t="shared" si="105"/>
        <v>0</v>
      </c>
      <c r="H137" s="13">
        <f t="shared" si="106"/>
        <v>0</v>
      </c>
      <c r="I137" s="13">
        <f t="shared" si="107"/>
        <v>0</v>
      </c>
      <c r="J137" s="13">
        <f t="shared" si="108"/>
        <v>0</v>
      </c>
      <c r="K137" s="13">
        <f t="shared" si="109"/>
        <v>0</v>
      </c>
      <c r="L137" s="13">
        <f t="shared" si="110"/>
        <v>0</v>
      </c>
      <c r="M137" s="13">
        <f t="shared" si="111"/>
        <v>0</v>
      </c>
      <c r="N137" s="13">
        <f t="shared" si="112"/>
        <v>0</v>
      </c>
      <c r="O137" s="13">
        <f t="shared" si="113"/>
        <v>0</v>
      </c>
      <c r="P137" s="13">
        <f t="shared" si="114"/>
        <v>0</v>
      </c>
      <c r="Q137" s="13">
        <f t="shared" si="115"/>
        <v>0</v>
      </c>
      <c r="R137" s="13">
        <f t="shared" si="116"/>
        <v>0</v>
      </c>
      <c r="S137" s="13">
        <f t="shared" si="117"/>
        <v>0</v>
      </c>
      <c r="T137" s="13">
        <f t="shared" si="118"/>
        <v>0</v>
      </c>
      <c r="U137" s="13">
        <f t="shared" si="119"/>
        <v>0</v>
      </c>
      <c r="V137" s="13">
        <f t="shared" si="120"/>
        <v>0</v>
      </c>
      <c r="W137" s="13">
        <f t="shared" si="121"/>
        <v>0</v>
      </c>
      <c r="X137" s="13">
        <f t="shared" si="122"/>
        <v>0</v>
      </c>
      <c r="Y137" s="13">
        <f t="shared" si="123"/>
        <v>0</v>
      </c>
      <c r="Z137" s="13">
        <f t="shared" si="124"/>
        <v>0</v>
      </c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</row>
    <row r="138" spans="1:345" s="14" customFormat="1">
      <c r="A138" s="12" t="s">
        <v>133</v>
      </c>
      <c r="B138" s="13">
        <f t="shared" si="100"/>
        <v>0</v>
      </c>
      <c r="C138" s="13">
        <f t="shared" si="101"/>
        <v>0</v>
      </c>
      <c r="D138" s="13">
        <f t="shared" si="102"/>
        <v>0</v>
      </c>
      <c r="E138" s="13">
        <f t="shared" si="103"/>
        <v>0</v>
      </c>
      <c r="F138" s="13">
        <f t="shared" si="104"/>
        <v>0</v>
      </c>
      <c r="G138" s="13">
        <f t="shared" si="105"/>
        <v>0</v>
      </c>
      <c r="H138" s="13">
        <f t="shared" si="106"/>
        <v>0</v>
      </c>
      <c r="I138" s="13">
        <f t="shared" si="107"/>
        <v>0</v>
      </c>
      <c r="J138" s="13">
        <f t="shared" si="108"/>
        <v>0</v>
      </c>
      <c r="K138" s="13">
        <f t="shared" si="109"/>
        <v>0</v>
      </c>
      <c r="L138" s="13">
        <f t="shared" si="110"/>
        <v>0</v>
      </c>
      <c r="M138" s="13">
        <f t="shared" si="111"/>
        <v>0</v>
      </c>
      <c r="N138" s="13">
        <f t="shared" si="112"/>
        <v>0</v>
      </c>
      <c r="O138" s="13">
        <f t="shared" si="113"/>
        <v>0</v>
      </c>
      <c r="P138" s="13">
        <f t="shared" si="114"/>
        <v>0</v>
      </c>
      <c r="Q138" s="13">
        <f t="shared" si="115"/>
        <v>0</v>
      </c>
      <c r="R138" s="13">
        <f t="shared" si="116"/>
        <v>0</v>
      </c>
      <c r="S138" s="13">
        <f t="shared" si="117"/>
        <v>0</v>
      </c>
      <c r="T138" s="13">
        <f t="shared" si="118"/>
        <v>0</v>
      </c>
      <c r="U138" s="13">
        <f t="shared" si="119"/>
        <v>0</v>
      </c>
      <c r="V138" s="13">
        <f t="shared" si="120"/>
        <v>0</v>
      </c>
      <c r="W138" s="13">
        <f t="shared" si="121"/>
        <v>0</v>
      </c>
      <c r="X138" s="13">
        <f t="shared" si="122"/>
        <v>0</v>
      </c>
      <c r="Y138" s="13">
        <f t="shared" si="123"/>
        <v>0</v>
      </c>
      <c r="Z138" s="13">
        <f t="shared" si="124"/>
        <v>0</v>
      </c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</row>
    <row r="139" spans="1:345" s="14" customFormat="1">
      <c r="A139" s="12" t="s">
        <v>134</v>
      </c>
      <c r="B139" s="13">
        <f t="shared" ref="B139:B162" si="125">SUM(AB139:AM139)/1000</f>
        <v>0</v>
      </c>
      <c r="C139" s="13">
        <f t="shared" ref="C139:C162" si="126">SUM(AN139:AY139)/1000</f>
        <v>0</v>
      </c>
      <c r="D139" s="13">
        <f t="shared" ref="D139:D162" si="127">SUM(AZ139:BK139)/1000</f>
        <v>0</v>
      </c>
      <c r="E139" s="13">
        <f t="shared" ref="E139:E162" si="128">SUM(BL139:BW139)/1000</f>
        <v>0</v>
      </c>
      <c r="F139" s="13">
        <f t="shared" ref="F139:F162" si="129">SUM(BX139:CI139)/1000</f>
        <v>0</v>
      </c>
      <c r="G139" s="13">
        <f t="shared" ref="G139:G162" si="130">SUM(CJ139:CU139)/1000</f>
        <v>0</v>
      </c>
      <c r="H139" s="13">
        <f t="shared" ref="H139:H162" si="131">SUM(CV139:DG139)/1000</f>
        <v>0</v>
      </c>
      <c r="I139" s="13">
        <f t="shared" ref="I139:I162" si="132">SUM(DH139:DS139)/1000</f>
        <v>0</v>
      </c>
      <c r="J139" s="13">
        <f t="shared" ref="J139:J162" si="133">SUM(DT139:EE139)/1000</f>
        <v>0</v>
      </c>
      <c r="K139" s="13">
        <f t="shared" ref="K139:K162" si="134">SUM(EF139:EQ139)/1000</f>
        <v>0</v>
      </c>
      <c r="L139" s="13">
        <f t="shared" ref="L139:L162" si="135">SUM(ER139:FC139)/1000</f>
        <v>0</v>
      </c>
      <c r="M139" s="13">
        <f t="shared" ref="M139:M162" si="136">SUM(FD139:FO139)/1000</f>
        <v>0</v>
      </c>
      <c r="N139" s="13">
        <f t="shared" ref="N139:N162" si="137">SUM(FP139:GA139)/1000</f>
        <v>0</v>
      </c>
      <c r="O139" s="13">
        <f t="shared" ref="O139:O162" si="138">SUM(GB139:GM139)/1000</f>
        <v>0</v>
      </c>
      <c r="P139" s="13">
        <f t="shared" ref="P139:P162" si="139">SUM(GN139:GY139)/1000</f>
        <v>0</v>
      </c>
      <c r="Q139" s="13">
        <f t="shared" ref="Q139:Q162" si="140">SUM(GZ139:HK139)/1000</f>
        <v>0</v>
      </c>
      <c r="R139" s="13">
        <f t="shared" ref="R139:R162" si="141">SUM(HL139:HW139)/1000</f>
        <v>0</v>
      </c>
      <c r="S139" s="13">
        <f t="shared" ref="S139:S162" si="142">SUM(HX139:II139)/1000</f>
        <v>0</v>
      </c>
      <c r="T139" s="13">
        <f t="shared" ref="T139:T162" si="143">SUM(IJ139:IU139)/1000</f>
        <v>0</v>
      </c>
      <c r="U139" s="13">
        <f t="shared" ref="U139:U162" si="144">SUM(IV139:JG139)/1000</f>
        <v>0</v>
      </c>
      <c r="V139" s="13">
        <f t="shared" ref="V139:V162" si="145">SUM(JH139:JS139)/1000</f>
        <v>0</v>
      </c>
      <c r="W139" s="13">
        <f t="shared" ref="W139:W162" si="146">SUM(JT139:KE139)/1000</f>
        <v>0</v>
      </c>
      <c r="X139" s="13">
        <f t="shared" ref="X139:X162" si="147">SUM(KF139:KQ139)/1000</f>
        <v>0</v>
      </c>
      <c r="Y139" s="13">
        <f t="shared" ref="Y139:Y162" si="148">SUM(KR139:LC139)/1000</f>
        <v>0</v>
      </c>
      <c r="Z139" s="13">
        <f t="shared" ref="Z139:Z162" si="149">SUM(LD139:LO139)/1000</f>
        <v>0</v>
      </c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</row>
    <row r="140" spans="1:345" s="14" customFormat="1">
      <c r="A140" s="12" t="s">
        <v>135</v>
      </c>
      <c r="B140" s="13">
        <f t="shared" si="125"/>
        <v>0</v>
      </c>
      <c r="C140" s="13">
        <f t="shared" si="126"/>
        <v>0</v>
      </c>
      <c r="D140" s="13">
        <f t="shared" si="127"/>
        <v>0</v>
      </c>
      <c r="E140" s="13">
        <f t="shared" si="128"/>
        <v>0</v>
      </c>
      <c r="F140" s="13">
        <f t="shared" si="129"/>
        <v>0</v>
      </c>
      <c r="G140" s="13">
        <f t="shared" si="130"/>
        <v>0</v>
      </c>
      <c r="H140" s="13">
        <f t="shared" si="131"/>
        <v>0</v>
      </c>
      <c r="I140" s="13">
        <f t="shared" si="132"/>
        <v>0</v>
      </c>
      <c r="J140" s="13">
        <f t="shared" si="133"/>
        <v>0</v>
      </c>
      <c r="K140" s="13">
        <f t="shared" si="134"/>
        <v>0</v>
      </c>
      <c r="L140" s="13">
        <f t="shared" si="135"/>
        <v>0</v>
      </c>
      <c r="M140" s="13">
        <f t="shared" si="136"/>
        <v>0</v>
      </c>
      <c r="N140" s="13">
        <f t="shared" si="137"/>
        <v>0</v>
      </c>
      <c r="O140" s="13">
        <f t="shared" si="138"/>
        <v>0</v>
      </c>
      <c r="P140" s="13">
        <f t="shared" si="139"/>
        <v>0</v>
      </c>
      <c r="Q140" s="13">
        <f t="shared" si="140"/>
        <v>0</v>
      </c>
      <c r="R140" s="13">
        <f t="shared" si="141"/>
        <v>0</v>
      </c>
      <c r="S140" s="13">
        <f t="shared" si="142"/>
        <v>0</v>
      </c>
      <c r="T140" s="13">
        <f t="shared" si="143"/>
        <v>0</v>
      </c>
      <c r="U140" s="13">
        <f t="shared" si="144"/>
        <v>0</v>
      </c>
      <c r="V140" s="13">
        <f t="shared" si="145"/>
        <v>0</v>
      </c>
      <c r="W140" s="13">
        <f t="shared" si="146"/>
        <v>0</v>
      </c>
      <c r="X140" s="13">
        <f t="shared" si="147"/>
        <v>0</v>
      </c>
      <c r="Y140" s="13">
        <f t="shared" si="148"/>
        <v>0</v>
      </c>
      <c r="Z140" s="13">
        <f t="shared" si="149"/>
        <v>0</v>
      </c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</row>
    <row r="141" spans="1:345" s="14" customFormat="1">
      <c r="A141" s="15" t="s">
        <v>136</v>
      </c>
      <c r="B141" s="13">
        <f t="shared" si="125"/>
        <v>0</v>
      </c>
      <c r="C141" s="13">
        <f t="shared" si="126"/>
        <v>0</v>
      </c>
      <c r="D141" s="13">
        <f t="shared" si="127"/>
        <v>0</v>
      </c>
      <c r="E141" s="13">
        <f t="shared" si="128"/>
        <v>0</v>
      </c>
      <c r="F141" s="13">
        <f t="shared" si="129"/>
        <v>0</v>
      </c>
      <c r="G141" s="13">
        <f t="shared" si="130"/>
        <v>0</v>
      </c>
      <c r="H141" s="13">
        <f t="shared" si="131"/>
        <v>0</v>
      </c>
      <c r="I141" s="13">
        <f t="shared" si="132"/>
        <v>0</v>
      </c>
      <c r="J141" s="13">
        <f t="shared" si="133"/>
        <v>0</v>
      </c>
      <c r="K141" s="13">
        <f t="shared" si="134"/>
        <v>0</v>
      </c>
      <c r="L141" s="13">
        <f t="shared" si="135"/>
        <v>0</v>
      </c>
      <c r="M141" s="13">
        <f t="shared" si="136"/>
        <v>0</v>
      </c>
      <c r="N141" s="13">
        <f t="shared" si="137"/>
        <v>0</v>
      </c>
      <c r="O141" s="13">
        <f t="shared" si="138"/>
        <v>0</v>
      </c>
      <c r="P141" s="13">
        <f t="shared" si="139"/>
        <v>0</v>
      </c>
      <c r="Q141" s="13">
        <f t="shared" si="140"/>
        <v>0</v>
      </c>
      <c r="R141" s="13">
        <f t="shared" si="141"/>
        <v>0</v>
      </c>
      <c r="S141" s="13">
        <f t="shared" si="142"/>
        <v>0</v>
      </c>
      <c r="T141" s="13">
        <f t="shared" si="143"/>
        <v>0</v>
      </c>
      <c r="U141" s="13">
        <f t="shared" si="144"/>
        <v>0</v>
      </c>
      <c r="V141" s="13">
        <f t="shared" si="145"/>
        <v>0</v>
      </c>
      <c r="W141" s="13">
        <f t="shared" si="146"/>
        <v>0</v>
      </c>
      <c r="X141" s="13">
        <f t="shared" si="147"/>
        <v>0</v>
      </c>
      <c r="Y141" s="13">
        <f t="shared" si="148"/>
        <v>0</v>
      </c>
      <c r="Z141" s="13">
        <f t="shared" si="149"/>
        <v>0.13912200000000002</v>
      </c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>
        <v>4.7789999999999999</v>
      </c>
      <c r="LF141" s="13">
        <v>33.984000000000002</v>
      </c>
      <c r="LG141" s="13">
        <v>14.337</v>
      </c>
      <c r="LH141" s="13">
        <v>9.5579999999999998</v>
      </c>
      <c r="LI141" s="13"/>
      <c r="LJ141" s="13"/>
      <c r="LK141" s="13">
        <v>47.79</v>
      </c>
      <c r="LL141" s="13"/>
      <c r="LM141" s="13"/>
      <c r="LN141" s="13">
        <v>9.5579999999999998</v>
      </c>
      <c r="LO141" s="13">
        <v>19.116</v>
      </c>
      <c r="LP141" s="13">
        <v>4.7789999999999999</v>
      </c>
      <c r="LQ141" s="13">
        <v>14.337</v>
      </c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</row>
    <row r="142" spans="1:345" s="14" customFormat="1">
      <c r="A142" s="15" t="s">
        <v>137</v>
      </c>
      <c r="B142" s="13">
        <f t="shared" si="125"/>
        <v>0</v>
      </c>
      <c r="C142" s="13">
        <f t="shared" si="126"/>
        <v>0</v>
      </c>
      <c r="D142" s="13">
        <f t="shared" si="127"/>
        <v>0</v>
      </c>
      <c r="E142" s="13">
        <f t="shared" si="128"/>
        <v>0</v>
      </c>
      <c r="F142" s="13">
        <f t="shared" si="129"/>
        <v>0</v>
      </c>
      <c r="G142" s="13">
        <f t="shared" si="130"/>
        <v>0</v>
      </c>
      <c r="H142" s="13">
        <f t="shared" si="131"/>
        <v>0</v>
      </c>
      <c r="I142" s="13">
        <f t="shared" si="132"/>
        <v>0</v>
      </c>
      <c r="J142" s="13">
        <f t="shared" si="133"/>
        <v>0</v>
      </c>
      <c r="K142" s="13">
        <f t="shared" si="134"/>
        <v>0</v>
      </c>
      <c r="L142" s="13">
        <f t="shared" si="135"/>
        <v>0</v>
      </c>
      <c r="M142" s="13">
        <f t="shared" si="136"/>
        <v>0</v>
      </c>
      <c r="N142" s="13">
        <f t="shared" si="137"/>
        <v>0</v>
      </c>
      <c r="O142" s="13">
        <f t="shared" si="138"/>
        <v>0</v>
      </c>
      <c r="P142" s="13">
        <f t="shared" si="139"/>
        <v>0</v>
      </c>
      <c r="Q142" s="13">
        <f t="shared" si="140"/>
        <v>0</v>
      </c>
      <c r="R142" s="13">
        <f t="shared" si="141"/>
        <v>0</v>
      </c>
      <c r="S142" s="13">
        <f t="shared" si="142"/>
        <v>0</v>
      </c>
      <c r="T142" s="13">
        <f t="shared" si="143"/>
        <v>0</v>
      </c>
      <c r="U142" s="13">
        <f t="shared" si="144"/>
        <v>0</v>
      </c>
      <c r="V142" s="13">
        <f t="shared" si="145"/>
        <v>0</v>
      </c>
      <c r="W142" s="13">
        <f t="shared" si="146"/>
        <v>0</v>
      </c>
      <c r="X142" s="13">
        <f t="shared" si="147"/>
        <v>0</v>
      </c>
      <c r="Y142" s="13">
        <f t="shared" si="148"/>
        <v>0</v>
      </c>
      <c r="Z142" s="13">
        <f t="shared" si="149"/>
        <v>0</v>
      </c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</row>
    <row r="143" spans="1:345" s="14" customFormat="1">
      <c r="A143" s="12" t="s">
        <v>138</v>
      </c>
      <c r="B143" s="13">
        <f t="shared" si="125"/>
        <v>0</v>
      </c>
      <c r="C143" s="13">
        <f t="shared" si="126"/>
        <v>0</v>
      </c>
      <c r="D143" s="13">
        <f t="shared" si="127"/>
        <v>0</v>
      </c>
      <c r="E143" s="13">
        <f t="shared" si="128"/>
        <v>0</v>
      </c>
      <c r="F143" s="13">
        <f t="shared" si="129"/>
        <v>0</v>
      </c>
      <c r="G143" s="13">
        <f t="shared" si="130"/>
        <v>0</v>
      </c>
      <c r="H143" s="13">
        <f t="shared" si="131"/>
        <v>0</v>
      </c>
      <c r="I143" s="13">
        <f t="shared" si="132"/>
        <v>0</v>
      </c>
      <c r="J143" s="13">
        <f t="shared" si="133"/>
        <v>0</v>
      </c>
      <c r="K143" s="13">
        <f t="shared" si="134"/>
        <v>0</v>
      </c>
      <c r="L143" s="13">
        <f t="shared" si="135"/>
        <v>0</v>
      </c>
      <c r="M143" s="13">
        <f t="shared" si="136"/>
        <v>0</v>
      </c>
      <c r="N143" s="13">
        <f t="shared" si="137"/>
        <v>0</v>
      </c>
      <c r="O143" s="13">
        <f t="shared" si="138"/>
        <v>0</v>
      </c>
      <c r="P143" s="13">
        <f t="shared" si="139"/>
        <v>0</v>
      </c>
      <c r="Q143" s="13">
        <f t="shared" si="140"/>
        <v>0</v>
      </c>
      <c r="R143" s="13">
        <f t="shared" si="141"/>
        <v>0</v>
      </c>
      <c r="S143" s="13">
        <f t="shared" si="142"/>
        <v>0</v>
      </c>
      <c r="T143" s="13">
        <f t="shared" si="143"/>
        <v>0</v>
      </c>
      <c r="U143" s="13">
        <f t="shared" si="144"/>
        <v>0</v>
      </c>
      <c r="V143" s="13">
        <f t="shared" si="145"/>
        <v>0</v>
      </c>
      <c r="W143" s="13">
        <f t="shared" si="146"/>
        <v>0</v>
      </c>
      <c r="X143" s="13">
        <f t="shared" si="147"/>
        <v>0</v>
      </c>
      <c r="Y143" s="13">
        <f t="shared" si="148"/>
        <v>0</v>
      </c>
      <c r="Z143" s="13">
        <f t="shared" si="149"/>
        <v>0</v>
      </c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</row>
    <row r="144" spans="1:345" s="14" customFormat="1">
      <c r="A144" s="12" t="s">
        <v>139</v>
      </c>
      <c r="B144" s="13">
        <f t="shared" si="125"/>
        <v>0</v>
      </c>
      <c r="C144" s="13">
        <f t="shared" si="126"/>
        <v>0</v>
      </c>
      <c r="D144" s="13">
        <f t="shared" si="127"/>
        <v>0</v>
      </c>
      <c r="E144" s="13">
        <f t="shared" si="128"/>
        <v>0</v>
      </c>
      <c r="F144" s="13">
        <f t="shared" si="129"/>
        <v>0</v>
      </c>
      <c r="G144" s="13">
        <f t="shared" si="130"/>
        <v>0</v>
      </c>
      <c r="H144" s="13">
        <f t="shared" si="131"/>
        <v>0</v>
      </c>
      <c r="I144" s="13">
        <f t="shared" si="132"/>
        <v>0</v>
      </c>
      <c r="J144" s="13">
        <f t="shared" si="133"/>
        <v>0</v>
      </c>
      <c r="K144" s="13">
        <f t="shared" si="134"/>
        <v>0</v>
      </c>
      <c r="L144" s="13">
        <f t="shared" si="135"/>
        <v>0</v>
      </c>
      <c r="M144" s="13">
        <f t="shared" si="136"/>
        <v>0</v>
      </c>
      <c r="N144" s="13">
        <f t="shared" si="137"/>
        <v>0</v>
      </c>
      <c r="O144" s="13">
        <f t="shared" si="138"/>
        <v>0</v>
      </c>
      <c r="P144" s="13">
        <f t="shared" si="139"/>
        <v>0</v>
      </c>
      <c r="Q144" s="13">
        <f t="shared" si="140"/>
        <v>0</v>
      </c>
      <c r="R144" s="13">
        <f t="shared" si="141"/>
        <v>0</v>
      </c>
      <c r="S144" s="13">
        <f t="shared" si="142"/>
        <v>0</v>
      </c>
      <c r="T144" s="13">
        <f t="shared" si="143"/>
        <v>0</v>
      </c>
      <c r="U144" s="13">
        <f t="shared" si="144"/>
        <v>0</v>
      </c>
      <c r="V144" s="13">
        <f t="shared" si="145"/>
        <v>0</v>
      </c>
      <c r="W144" s="13">
        <f t="shared" si="146"/>
        <v>0</v>
      </c>
      <c r="X144" s="13">
        <f t="shared" si="147"/>
        <v>0</v>
      </c>
      <c r="Y144" s="13">
        <f t="shared" si="148"/>
        <v>0</v>
      </c>
      <c r="Z144" s="13">
        <f t="shared" si="149"/>
        <v>0</v>
      </c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</row>
    <row r="145" spans="1:345" s="14" customFormat="1">
      <c r="A145" s="12" t="s">
        <v>140</v>
      </c>
      <c r="B145" s="13">
        <f t="shared" si="125"/>
        <v>0</v>
      </c>
      <c r="C145" s="13">
        <f t="shared" si="126"/>
        <v>0</v>
      </c>
      <c r="D145" s="13">
        <f t="shared" si="127"/>
        <v>0</v>
      </c>
      <c r="E145" s="13">
        <f t="shared" si="128"/>
        <v>0</v>
      </c>
      <c r="F145" s="13">
        <f t="shared" si="129"/>
        <v>0</v>
      </c>
      <c r="G145" s="13">
        <f t="shared" si="130"/>
        <v>0</v>
      </c>
      <c r="H145" s="13">
        <f t="shared" si="131"/>
        <v>0</v>
      </c>
      <c r="I145" s="13">
        <f t="shared" si="132"/>
        <v>0</v>
      </c>
      <c r="J145" s="13">
        <f t="shared" si="133"/>
        <v>0</v>
      </c>
      <c r="K145" s="13">
        <f t="shared" si="134"/>
        <v>0</v>
      </c>
      <c r="L145" s="13">
        <f t="shared" si="135"/>
        <v>0</v>
      </c>
      <c r="M145" s="13">
        <f t="shared" si="136"/>
        <v>0</v>
      </c>
      <c r="N145" s="13">
        <f t="shared" si="137"/>
        <v>0</v>
      </c>
      <c r="O145" s="13">
        <f t="shared" si="138"/>
        <v>0</v>
      </c>
      <c r="P145" s="13">
        <f t="shared" si="139"/>
        <v>0</v>
      </c>
      <c r="Q145" s="13">
        <f t="shared" si="140"/>
        <v>0</v>
      </c>
      <c r="R145" s="13">
        <f t="shared" si="141"/>
        <v>0</v>
      </c>
      <c r="S145" s="13">
        <f t="shared" si="142"/>
        <v>0</v>
      </c>
      <c r="T145" s="13">
        <f t="shared" si="143"/>
        <v>0</v>
      </c>
      <c r="U145" s="13">
        <f t="shared" si="144"/>
        <v>0</v>
      </c>
      <c r="V145" s="13">
        <f t="shared" si="145"/>
        <v>0</v>
      </c>
      <c r="W145" s="13">
        <f t="shared" si="146"/>
        <v>0</v>
      </c>
      <c r="X145" s="13">
        <f t="shared" si="147"/>
        <v>0</v>
      </c>
      <c r="Y145" s="13">
        <f t="shared" si="148"/>
        <v>0</v>
      </c>
      <c r="Z145" s="13">
        <f t="shared" si="149"/>
        <v>0</v>
      </c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</row>
    <row r="146" spans="1:345" s="14" customFormat="1">
      <c r="A146" s="12" t="s">
        <v>141</v>
      </c>
      <c r="B146" s="13">
        <f t="shared" si="125"/>
        <v>0</v>
      </c>
      <c r="C146" s="13">
        <f t="shared" si="126"/>
        <v>0</v>
      </c>
      <c r="D146" s="13">
        <f t="shared" si="127"/>
        <v>0</v>
      </c>
      <c r="E146" s="13">
        <f t="shared" si="128"/>
        <v>0</v>
      </c>
      <c r="F146" s="13">
        <f t="shared" si="129"/>
        <v>0</v>
      </c>
      <c r="G146" s="13">
        <f t="shared" si="130"/>
        <v>0</v>
      </c>
      <c r="H146" s="13">
        <f t="shared" si="131"/>
        <v>0</v>
      </c>
      <c r="I146" s="13">
        <f t="shared" si="132"/>
        <v>0</v>
      </c>
      <c r="J146" s="13">
        <f t="shared" si="133"/>
        <v>0</v>
      </c>
      <c r="K146" s="13">
        <f t="shared" si="134"/>
        <v>0</v>
      </c>
      <c r="L146" s="13">
        <f t="shared" si="135"/>
        <v>0</v>
      </c>
      <c r="M146" s="13">
        <f t="shared" si="136"/>
        <v>0</v>
      </c>
      <c r="N146" s="13">
        <f t="shared" si="137"/>
        <v>0</v>
      </c>
      <c r="O146" s="13">
        <f t="shared" si="138"/>
        <v>0</v>
      </c>
      <c r="P146" s="13">
        <f t="shared" si="139"/>
        <v>0</v>
      </c>
      <c r="Q146" s="13">
        <f t="shared" si="140"/>
        <v>0</v>
      </c>
      <c r="R146" s="13">
        <f t="shared" si="141"/>
        <v>0</v>
      </c>
      <c r="S146" s="13">
        <f t="shared" si="142"/>
        <v>0</v>
      </c>
      <c r="T146" s="13">
        <f t="shared" si="143"/>
        <v>0</v>
      </c>
      <c r="U146" s="13">
        <f t="shared" si="144"/>
        <v>0</v>
      </c>
      <c r="V146" s="13">
        <f t="shared" si="145"/>
        <v>0</v>
      </c>
      <c r="W146" s="13">
        <f t="shared" si="146"/>
        <v>0</v>
      </c>
      <c r="X146" s="13">
        <f t="shared" si="147"/>
        <v>0</v>
      </c>
      <c r="Y146" s="13">
        <f t="shared" si="148"/>
        <v>0</v>
      </c>
      <c r="Z146" s="13">
        <f t="shared" si="149"/>
        <v>0</v>
      </c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</row>
    <row r="147" spans="1:345" s="14" customFormat="1">
      <c r="A147" s="12" t="s">
        <v>142</v>
      </c>
      <c r="B147" s="13">
        <f t="shared" si="125"/>
        <v>0</v>
      </c>
      <c r="C147" s="13">
        <f t="shared" si="126"/>
        <v>0</v>
      </c>
      <c r="D147" s="13">
        <f t="shared" si="127"/>
        <v>0</v>
      </c>
      <c r="E147" s="13">
        <f t="shared" si="128"/>
        <v>0</v>
      </c>
      <c r="F147" s="13">
        <f t="shared" si="129"/>
        <v>0</v>
      </c>
      <c r="G147" s="13">
        <f t="shared" si="130"/>
        <v>0</v>
      </c>
      <c r="H147" s="13">
        <f t="shared" si="131"/>
        <v>0</v>
      </c>
      <c r="I147" s="13">
        <f t="shared" si="132"/>
        <v>0</v>
      </c>
      <c r="J147" s="13">
        <f t="shared" si="133"/>
        <v>0</v>
      </c>
      <c r="K147" s="13">
        <f t="shared" si="134"/>
        <v>0</v>
      </c>
      <c r="L147" s="13">
        <f t="shared" si="135"/>
        <v>0</v>
      </c>
      <c r="M147" s="13">
        <f t="shared" si="136"/>
        <v>0</v>
      </c>
      <c r="N147" s="13">
        <f t="shared" si="137"/>
        <v>0</v>
      </c>
      <c r="O147" s="13">
        <f t="shared" si="138"/>
        <v>0</v>
      </c>
      <c r="P147" s="13">
        <f t="shared" si="139"/>
        <v>0</v>
      </c>
      <c r="Q147" s="13">
        <f t="shared" si="140"/>
        <v>0</v>
      </c>
      <c r="R147" s="13">
        <f t="shared" si="141"/>
        <v>0</v>
      </c>
      <c r="S147" s="13">
        <f t="shared" si="142"/>
        <v>0</v>
      </c>
      <c r="T147" s="13">
        <f t="shared" si="143"/>
        <v>0</v>
      </c>
      <c r="U147" s="13">
        <f t="shared" si="144"/>
        <v>0</v>
      </c>
      <c r="V147" s="13">
        <f t="shared" si="145"/>
        <v>0</v>
      </c>
      <c r="W147" s="13">
        <f t="shared" si="146"/>
        <v>0</v>
      </c>
      <c r="X147" s="13">
        <f t="shared" si="147"/>
        <v>0</v>
      </c>
      <c r="Y147" s="13">
        <f t="shared" si="148"/>
        <v>0</v>
      </c>
      <c r="Z147" s="13">
        <f t="shared" si="149"/>
        <v>0</v>
      </c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</row>
    <row r="148" spans="1:345" s="14" customFormat="1">
      <c r="A148" s="15" t="s">
        <v>143</v>
      </c>
      <c r="B148" s="13">
        <f t="shared" si="125"/>
        <v>0</v>
      </c>
      <c r="C148" s="13">
        <f t="shared" si="126"/>
        <v>0</v>
      </c>
      <c r="D148" s="13">
        <f t="shared" si="127"/>
        <v>0</v>
      </c>
      <c r="E148" s="13">
        <f t="shared" si="128"/>
        <v>0</v>
      </c>
      <c r="F148" s="13">
        <f t="shared" si="129"/>
        <v>0</v>
      </c>
      <c r="G148" s="13">
        <f t="shared" si="130"/>
        <v>0</v>
      </c>
      <c r="H148" s="13">
        <f t="shared" si="131"/>
        <v>0</v>
      </c>
      <c r="I148" s="13">
        <f t="shared" si="132"/>
        <v>0</v>
      </c>
      <c r="J148" s="13">
        <f t="shared" si="133"/>
        <v>0</v>
      </c>
      <c r="K148" s="13">
        <f t="shared" si="134"/>
        <v>0</v>
      </c>
      <c r="L148" s="13">
        <f t="shared" si="135"/>
        <v>0</v>
      </c>
      <c r="M148" s="13">
        <f t="shared" si="136"/>
        <v>0</v>
      </c>
      <c r="N148" s="13">
        <f t="shared" si="137"/>
        <v>0</v>
      </c>
      <c r="O148" s="13">
        <f t="shared" si="138"/>
        <v>0</v>
      </c>
      <c r="P148" s="13">
        <f t="shared" si="139"/>
        <v>0</v>
      </c>
      <c r="Q148" s="13">
        <f t="shared" si="140"/>
        <v>0</v>
      </c>
      <c r="R148" s="13">
        <f t="shared" si="141"/>
        <v>0</v>
      </c>
      <c r="S148" s="13">
        <f t="shared" si="142"/>
        <v>0</v>
      </c>
      <c r="T148" s="13">
        <f t="shared" si="143"/>
        <v>0</v>
      </c>
      <c r="U148" s="13">
        <f t="shared" si="144"/>
        <v>0</v>
      </c>
      <c r="V148" s="13">
        <f t="shared" si="145"/>
        <v>0</v>
      </c>
      <c r="W148" s="13">
        <f t="shared" si="146"/>
        <v>0</v>
      </c>
      <c r="X148" s="13">
        <f t="shared" si="147"/>
        <v>0</v>
      </c>
      <c r="Y148" s="13">
        <f t="shared" si="148"/>
        <v>0</v>
      </c>
      <c r="Z148" s="13">
        <f t="shared" si="149"/>
        <v>9.3749999999999997E-4</v>
      </c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>
        <v>0.9375</v>
      </c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</row>
    <row r="149" spans="1:345" s="14" customFormat="1">
      <c r="A149" s="12" t="s">
        <v>144</v>
      </c>
      <c r="B149" s="13">
        <f t="shared" si="125"/>
        <v>0</v>
      </c>
      <c r="C149" s="13">
        <f t="shared" si="126"/>
        <v>0</v>
      </c>
      <c r="D149" s="13">
        <f t="shared" si="127"/>
        <v>0</v>
      </c>
      <c r="E149" s="13">
        <f t="shared" si="128"/>
        <v>0</v>
      </c>
      <c r="F149" s="13">
        <f t="shared" si="129"/>
        <v>0</v>
      </c>
      <c r="G149" s="13">
        <f t="shared" si="130"/>
        <v>0</v>
      </c>
      <c r="H149" s="13">
        <f t="shared" si="131"/>
        <v>0</v>
      </c>
      <c r="I149" s="13">
        <f t="shared" si="132"/>
        <v>0</v>
      </c>
      <c r="J149" s="13">
        <f t="shared" si="133"/>
        <v>0</v>
      </c>
      <c r="K149" s="13">
        <f t="shared" si="134"/>
        <v>0</v>
      </c>
      <c r="L149" s="13">
        <f t="shared" si="135"/>
        <v>0</v>
      </c>
      <c r="M149" s="13">
        <f t="shared" si="136"/>
        <v>0</v>
      </c>
      <c r="N149" s="13">
        <f t="shared" si="137"/>
        <v>0</v>
      </c>
      <c r="O149" s="13">
        <f t="shared" si="138"/>
        <v>0</v>
      </c>
      <c r="P149" s="13">
        <f t="shared" si="139"/>
        <v>0</v>
      </c>
      <c r="Q149" s="13">
        <f t="shared" si="140"/>
        <v>0</v>
      </c>
      <c r="R149" s="13">
        <f t="shared" si="141"/>
        <v>0</v>
      </c>
      <c r="S149" s="13">
        <f t="shared" si="142"/>
        <v>0</v>
      </c>
      <c r="T149" s="13">
        <f t="shared" si="143"/>
        <v>0</v>
      </c>
      <c r="U149" s="13">
        <f t="shared" si="144"/>
        <v>0</v>
      </c>
      <c r="V149" s="13">
        <f t="shared" si="145"/>
        <v>0</v>
      </c>
      <c r="W149" s="13">
        <f t="shared" si="146"/>
        <v>0</v>
      </c>
      <c r="X149" s="13">
        <f t="shared" si="147"/>
        <v>0</v>
      </c>
      <c r="Y149" s="13">
        <f t="shared" si="148"/>
        <v>0</v>
      </c>
      <c r="Z149" s="13">
        <f t="shared" si="149"/>
        <v>0</v>
      </c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</row>
    <row r="150" spans="1:345" s="14" customFormat="1">
      <c r="A150" s="15" t="s">
        <v>145</v>
      </c>
      <c r="B150" s="13">
        <f t="shared" si="125"/>
        <v>0</v>
      </c>
      <c r="C150" s="13">
        <f t="shared" si="126"/>
        <v>0</v>
      </c>
      <c r="D150" s="13">
        <f t="shared" si="127"/>
        <v>0</v>
      </c>
      <c r="E150" s="13">
        <f t="shared" si="128"/>
        <v>0</v>
      </c>
      <c r="F150" s="13">
        <f t="shared" si="129"/>
        <v>0</v>
      </c>
      <c r="G150" s="13">
        <f t="shared" si="130"/>
        <v>0</v>
      </c>
      <c r="H150" s="13">
        <f t="shared" si="131"/>
        <v>0</v>
      </c>
      <c r="I150" s="13">
        <f t="shared" si="132"/>
        <v>0</v>
      </c>
      <c r="J150" s="13">
        <f t="shared" si="133"/>
        <v>0</v>
      </c>
      <c r="K150" s="13">
        <f t="shared" si="134"/>
        <v>0</v>
      </c>
      <c r="L150" s="13">
        <f t="shared" si="135"/>
        <v>0</v>
      </c>
      <c r="M150" s="13">
        <f t="shared" si="136"/>
        <v>0</v>
      </c>
      <c r="N150" s="13">
        <f t="shared" si="137"/>
        <v>0</v>
      </c>
      <c r="O150" s="13">
        <f t="shared" si="138"/>
        <v>0</v>
      </c>
      <c r="P150" s="13">
        <f t="shared" si="139"/>
        <v>0</v>
      </c>
      <c r="Q150" s="13">
        <f t="shared" si="140"/>
        <v>0</v>
      </c>
      <c r="R150" s="13">
        <f t="shared" si="141"/>
        <v>0</v>
      </c>
      <c r="S150" s="13">
        <f t="shared" si="142"/>
        <v>0</v>
      </c>
      <c r="T150" s="13">
        <f t="shared" si="143"/>
        <v>0</v>
      </c>
      <c r="U150" s="13">
        <f t="shared" si="144"/>
        <v>0</v>
      </c>
      <c r="V150" s="13">
        <f t="shared" si="145"/>
        <v>0</v>
      </c>
      <c r="W150" s="13">
        <f t="shared" si="146"/>
        <v>0</v>
      </c>
      <c r="X150" s="13">
        <f t="shared" si="147"/>
        <v>0</v>
      </c>
      <c r="Y150" s="13">
        <f t="shared" si="148"/>
        <v>0</v>
      </c>
      <c r="Z150" s="13">
        <f t="shared" si="149"/>
        <v>0</v>
      </c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</row>
    <row r="151" spans="1:345" s="14" customFormat="1">
      <c r="A151" s="15" t="s">
        <v>146</v>
      </c>
      <c r="B151" s="13">
        <f t="shared" si="125"/>
        <v>0</v>
      </c>
      <c r="C151" s="13">
        <f t="shared" si="126"/>
        <v>0</v>
      </c>
      <c r="D151" s="13">
        <f t="shared" si="127"/>
        <v>0</v>
      </c>
      <c r="E151" s="13">
        <f t="shared" si="128"/>
        <v>0</v>
      </c>
      <c r="F151" s="13">
        <f t="shared" si="129"/>
        <v>0</v>
      </c>
      <c r="G151" s="13">
        <f t="shared" si="130"/>
        <v>0</v>
      </c>
      <c r="H151" s="13">
        <f t="shared" si="131"/>
        <v>0</v>
      </c>
      <c r="I151" s="13">
        <f t="shared" si="132"/>
        <v>0</v>
      </c>
      <c r="J151" s="13">
        <f t="shared" si="133"/>
        <v>0</v>
      </c>
      <c r="K151" s="13">
        <f t="shared" si="134"/>
        <v>0</v>
      </c>
      <c r="L151" s="13">
        <f t="shared" si="135"/>
        <v>0</v>
      </c>
      <c r="M151" s="13">
        <f t="shared" si="136"/>
        <v>0</v>
      </c>
      <c r="N151" s="13">
        <f t="shared" si="137"/>
        <v>0</v>
      </c>
      <c r="O151" s="13">
        <f t="shared" si="138"/>
        <v>0</v>
      </c>
      <c r="P151" s="13">
        <f t="shared" si="139"/>
        <v>0</v>
      </c>
      <c r="Q151" s="13">
        <f t="shared" si="140"/>
        <v>0</v>
      </c>
      <c r="R151" s="13">
        <f t="shared" si="141"/>
        <v>0</v>
      </c>
      <c r="S151" s="13">
        <f t="shared" si="142"/>
        <v>0</v>
      </c>
      <c r="T151" s="13">
        <f t="shared" si="143"/>
        <v>0</v>
      </c>
      <c r="U151" s="13">
        <f t="shared" si="144"/>
        <v>0</v>
      </c>
      <c r="V151" s="13">
        <f t="shared" si="145"/>
        <v>0</v>
      </c>
      <c r="W151" s="13">
        <f t="shared" si="146"/>
        <v>0</v>
      </c>
      <c r="X151" s="13">
        <f t="shared" si="147"/>
        <v>0</v>
      </c>
      <c r="Y151" s="13">
        <f t="shared" si="148"/>
        <v>0</v>
      </c>
      <c r="Z151" s="13">
        <f t="shared" si="149"/>
        <v>0</v>
      </c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</row>
    <row r="152" spans="1:345" s="14" customFormat="1">
      <c r="A152" s="15" t="s">
        <v>147</v>
      </c>
      <c r="B152" s="13">
        <f t="shared" si="125"/>
        <v>0</v>
      </c>
      <c r="C152" s="13">
        <f t="shared" si="126"/>
        <v>0</v>
      </c>
      <c r="D152" s="13">
        <f t="shared" si="127"/>
        <v>0</v>
      </c>
      <c r="E152" s="13">
        <f t="shared" si="128"/>
        <v>0</v>
      </c>
      <c r="F152" s="13">
        <f t="shared" si="129"/>
        <v>0</v>
      </c>
      <c r="G152" s="13">
        <f t="shared" si="130"/>
        <v>0</v>
      </c>
      <c r="H152" s="13">
        <f t="shared" si="131"/>
        <v>0</v>
      </c>
      <c r="I152" s="13">
        <f t="shared" si="132"/>
        <v>0</v>
      </c>
      <c r="J152" s="13">
        <f t="shared" si="133"/>
        <v>0</v>
      </c>
      <c r="K152" s="13">
        <f t="shared" si="134"/>
        <v>0</v>
      </c>
      <c r="L152" s="13">
        <f t="shared" si="135"/>
        <v>0</v>
      </c>
      <c r="M152" s="13">
        <f t="shared" si="136"/>
        <v>0</v>
      </c>
      <c r="N152" s="13">
        <f t="shared" si="137"/>
        <v>0</v>
      </c>
      <c r="O152" s="13">
        <f t="shared" si="138"/>
        <v>0</v>
      </c>
      <c r="P152" s="13">
        <f t="shared" si="139"/>
        <v>0</v>
      </c>
      <c r="Q152" s="13">
        <f t="shared" si="140"/>
        <v>0</v>
      </c>
      <c r="R152" s="13">
        <f t="shared" si="141"/>
        <v>0</v>
      </c>
      <c r="S152" s="13">
        <f t="shared" si="142"/>
        <v>0</v>
      </c>
      <c r="T152" s="13">
        <f t="shared" si="143"/>
        <v>0</v>
      </c>
      <c r="U152" s="13">
        <f t="shared" si="144"/>
        <v>0</v>
      </c>
      <c r="V152" s="13">
        <f t="shared" si="145"/>
        <v>0</v>
      </c>
      <c r="W152" s="13">
        <f t="shared" si="146"/>
        <v>0</v>
      </c>
      <c r="X152" s="13">
        <f t="shared" si="147"/>
        <v>0</v>
      </c>
      <c r="Y152" s="13">
        <f t="shared" si="148"/>
        <v>0</v>
      </c>
      <c r="Z152" s="13">
        <f t="shared" si="149"/>
        <v>0</v>
      </c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</row>
    <row r="153" spans="1:345" s="14" customFormat="1">
      <c r="A153" s="12" t="s">
        <v>148</v>
      </c>
      <c r="B153" s="13">
        <f t="shared" si="125"/>
        <v>0</v>
      </c>
      <c r="C153" s="13">
        <f t="shared" si="126"/>
        <v>0</v>
      </c>
      <c r="D153" s="13">
        <f t="shared" si="127"/>
        <v>0</v>
      </c>
      <c r="E153" s="13">
        <f t="shared" si="128"/>
        <v>0</v>
      </c>
      <c r="F153" s="13">
        <f t="shared" si="129"/>
        <v>0</v>
      </c>
      <c r="G153" s="13">
        <f t="shared" si="130"/>
        <v>0</v>
      </c>
      <c r="H153" s="13">
        <f t="shared" si="131"/>
        <v>0</v>
      </c>
      <c r="I153" s="13">
        <f t="shared" si="132"/>
        <v>0</v>
      </c>
      <c r="J153" s="13">
        <f t="shared" si="133"/>
        <v>0</v>
      </c>
      <c r="K153" s="13">
        <f t="shared" si="134"/>
        <v>0</v>
      </c>
      <c r="L153" s="13">
        <f t="shared" si="135"/>
        <v>0</v>
      </c>
      <c r="M153" s="13">
        <f t="shared" si="136"/>
        <v>0</v>
      </c>
      <c r="N153" s="13">
        <f t="shared" si="137"/>
        <v>0</v>
      </c>
      <c r="O153" s="13">
        <f t="shared" si="138"/>
        <v>0</v>
      </c>
      <c r="P153" s="13">
        <f t="shared" si="139"/>
        <v>0</v>
      </c>
      <c r="Q153" s="13">
        <f t="shared" si="140"/>
        <v>0</v>
      </c>
      <c r="R153" s="13">
        <f t="shared" si="141"/>
        <v>0</v>
      </c>
      <c r="S153" s="13">
        <f t="shared" si="142"/>
        <v>0</v>
      </c>
      <c r="T153" s="13">
        <f t="shared" si="143"/>
        <v>0</v>
      </c>
      <c r="U153" s="13">
        <f t="shared" si="144"/>
        <v>0</v>
      </c>
      <c r="V153" s="13">
        <f t="shared" si="145"/>
        <v>0</v>
      </c>
      <c r="W153" s="13">
        <f t="shared" si="146"/>
        <v>0</v>
      </c>
      <c r="X153" s="13">
        <f t="shared" si="147"/>
        <v>0</v>
      </c>
      <c r="Y153" s="13">
        <f t="shared" si="148"/>
        <v>0</v>
      </c>
      <c r="Z153" s="13">
        <f t="shared" si="149"/>
        <v>0</v>
      </c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</row>
    <row r="154" spans="1:345" s="14" customFormat="1">
      <c r="A154" s="12" t="s">
        <v>149</v>
      </c>
      <c r="B154" s="13">
        <f t="shared" si="125"/>
        <v>0</v>
      </c>
      <c r="C154" s="13">
        <f t="shared" si="126"/>
        <v>0</v>
      </c>
      <c r="D154" s="13">
        <f t="shared" si="127"/>
        <v>0</v>
      </c>
      <c r="E154" s="13">
        <f t="shared" si="128"/>
        <v>0</v>
      </c>
      <c r="F154" s="13">
        <f t="shared" si="129"/>
        <v>0</v>
      </c>
      <c r="G154" s="13">
        <f t="shared" si="130"/>
        <v>0</v>
      </c>
      <c r="H154" s="13">
        <f t="shared" si="131"/>
        <v>0</v>
      </c>
      <c r="I154" s="13">
        <f t="shared" si="132"/>
        <v>0</v>
      </c>
      <c r="J154" s="13">
        <f t="shared" si="133"/>
        <v>0</v>
      </c>
      <c r="K154" s="13">
        <f t="shared" si="134"/>
        <v>0</v>
      </c>
      <c r="L154" s="13">
        <f t="shared" si="135"/>
        <v>0</v>
      </c>
      <c r="M154" s="13">
        <f t="shared" si="136"/>
        <v>0</v>
      </c>
      <c r="N154" s="13">
        <f t="shared" si="137"/>
        <v>0</v>
      </c>
      <c r="O154" s="13">
        <f t="shared" si="138"/>
        <v>0</v>
      </c>
      <c r="P154" s="13">
        <f t="shared" si="139"/>
        <v>0</v>
      </c>
      <c r="Q154" s="13">
        <f t="shared" si="140"/>
        <v>0</v>
      </c>
      <c r="R154" s="13">
        <f t="shared" si="141"/>
        <v>0</v>
      </c>
      <c r="S154" s="13">
        <f t="shared" si="142"/>
        <v>0</v>
      </c>
      <c r="T154" s="13">
        <f t="shared" si="143"/>
        <v>0</v>
      </c>
      <c r="U154" s="13">
        <f t="shared" si="144"/>
        <v>0</v>
      </c>
      <c r="V154" s="13">
        <f t="shared" si="145"/>
        <v>0</v>
      </c>
      <c r="W154" s="13">
        <f t="shared" si="146"/>
        <v>0</v>
      </c>
      <c r="X154" s="13">
        <f t="shared" si="147"/>
        <v>0</v>
      </c>
      <c r="Y154" s="13">
        <f t="shared" si="148"/>
        <v>0</v>
      </c>
      <c r="Z154" s="13">
        <f t="shared" si="149"/>
        <v>0</v>
      </c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</row>
    <row r="155" spans="1:345" s="14" customFormat="1">
      <c r="A155" s="12" t="s">
        <v>150</v>
      </c>
      <c r="B155" s="13">
        <f t="shared" si="125"/>
        <v>0</v>
      </c>
      <c r="C155" s="13">
        <f t="shared" si="126"/>
        <v>0</v>
      </c>
      <c r="D155" s="13">
        <f t="shared" si="127"/>
        <v>0</v>
      </c>
      <c r="E155" s="13">
        <f t="shared" si="128"/>
        <v>0</v>
      </c>
      <c r="F155" s="13">
        <f t="shared" si="129"/>
        <v>0</v>
      </c>
      <c r="G155" s="13">
        <f t="shared" si="130"/>
        <v>0</v>
      </c>
      <c r="H155" s="13">
        <f t="shared" si="131"/>
        <v>0</v>
      </c>
      <c r="I155" s="13">
        <f t="shared" si="132"/>
        <v>0</v>
      </c>
      <c r="J155" s="13">
        <f t="shared" si="133"/>
        <v>0</v>
      </c>
      <c r="K155" s="13">
        <f t="shared" si="134"/>
        <v>0</v>
      </c>
      <c r="L155" s="13">
        <f t="shared" si="135"/>
        <v>0</v>
      </c>
      <c r="M155" s="13">
        <f t="shared" si="136"/>
        <v>0</v>
      </c>
      <c r="N155" s="13">
        <f t="shared" si="137"/>
        <v>0</v>
      </c>
      <c r="O155" s="13">
        <f t="shared" si="138"/>
        <v>0</v>
      </c>
      <c r="P155" s="13">
        <f t="shared" si="139"/>
        <v>0</v>
      </c>
      <c r="Q155" s="13">
        <f t="shared" si="140"/>
        <v>0</v>
      </c>
      <c r="R155" s="13">
        <f t="shared" si="141"/>
        <v>0</v>
      </c>
      <c r="S155" s="13">
        <f t="shared" si="142"/>
        <v>0</v>
      </c>
      <c r="T155" s="13">
        <f t="shared" si="143"/>
        <v>0</v>
      </c>
      <c r="U155" s="13">
        <f t="shared" si="144"/>
        <v>0</v>
      </c>
      <c r="V155" s="13">
        <f t="shared" si="145"/>
        <v>0</v>
      </c>
      <c r="W155" s="13">
        <f t="shared" si="146"/>
        <v>0</v>
      </c>
      <c r="X155" s="13">
        <f t="shared" si="147"/>
        <v>0</v>
      </c>
      <c r="Y155" s="13">
        <f t="shared" si="148"/>
        <v>0</v>
      </c>
      <c r="Z155" s="13">
        <f t="shared" si="149"/>
        <v>0</v>
      </c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</row>
    <row r="156" spans="1:345" s="14" customFormat="1">
      <c r="A156" s="15" t="s">
        <v>151</v>
      </c>
      <c r="B156" s="13">
        <f t="shared" si="125"/>
        <v>0</v>
      </c>
      <c r="C156" s="13">
        <f t="shared" si="126"/>
        <v>0</v>
      </c>
      <c r="D156" s="13">
        <f t="shared" si="127"/>
        <v>0</v>
      </c>
      <c r="E156" s="13">
        <f t="shared" si="128"/>
        <v>0</v>
      </c>
      <c r="F156" s="13">
        <f t="shared" si="129"/>
        <v>0</v>
      </c>
      <c r="G156" s="13">
        <f t="shared" si="130"/>
        <v>0</v>
      </c>
      <c r="H156" s="13">
        <f t="shared" si="131"/>
        <v>0</v>
      </c>
      <c r="I156" s="13">
        <f t="shared" si="132"/>
        <v>0</v>
      </c>
      <c r="J156" s="13">
        <f t="shared" si="133"/>
        <v>0</v>
      </c>
      <c r="K156" s="13">
        <f t="shared" si="134"/>
        <v>0</v>
      </c>
      <c r="L156" s="13">
        <f t="shared" si="135"/>
        <v>0</v>
      </c>
      <c r="M156" s="13">
        <f t="shared" si="136"/>
        <v>0</v>
      </c>
      <c r="N156" s="13">
        <f t="shared" si="137"/>
        <v>0</v>
      </c>
      <c r="O156" s="13">
        <f t="shared" si="138"/>
        <v>0</v>
      </c>
      <c r="P156" s="13">
        <f t="shared" si="139"/>
        <v>0</v>
      </c>
      <c r="Q156" s="13">
        <f t="shared" si="140"/>
        <v>0</v>
      </c>
      <c r="R156" s="13">
        <f t="shared" si="141"/>
        <v>0</v>
      </c>
      <c r="S156" s="13">
        <f t="shared" si="142"/>
        <v>0</v>
      </c>
      <c r="T156" s="13">
        <f t="shared" si="143"/>
        <v>0</v>
      </c>
      <c r="U156" s="13">
        <f t="shared" si="144"/>
        <v>0</v>
      </c>
      <c r="V156" s="13">
        <f t="shared" si="145"/>
        <v>0</v>
      </c>
      <c r="W156" s="13">
        <f t="shared" si="146"/>
        <v>0</v>
      </c>
      <c r="X156" s="13">
        <f t="shared" si="147"/>
        <v>0</v>
      </c>
      <c r="Y156" s="13">
        <f t="shared" si="148"/>
        <v>0</v>
      </c>
      <c r="Z156" s="13">
        <f t="shared" si="149"/>
        <v>0</v>
      </c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</row>
    <row r="157" spans="1:345" s="14" customFormat="1">
      <c r="A157" s="12" t="s">
        <v>152</v>
      </c>
      <c r="B157" s="13">
        <f t="shared" si="125"/>
        <v>0</v>
      </c>
      <c r="C157" s="13">
        <f t="shared" si="126"/>
        <v>0</v>
      </c>
      <c r="D157" s="13">
        <f t="shared" si="127"/>
        <v>0</v>
      </c>
      <c r="E157" s="13">
        <f t="shared" si="128"/>
        <v>0</v>
      </c>
      <c r="F157" s="13">
        <f t="shared" si="129"/>
        <v>0</v>
      </c>
      <c r="G157" s="13">
        <f t="shared" si="130"/>
        <v>0</v>
      </c>
      <c r="H157" s="13">
        <f t="shared" si="131"/>
        <v>0</v>
      </c>
      <c r="I157" s="13">
        <f t="shared" si="132"/>
        <v>0</v>
      </c>
      <c r="J157" s="13">
        <f t="shared" si="133"/>
        <v>0</v>
      </c>
      <c r="K157" s="13">
        <f t="shared" si="134"/>
        <v>0</v>
      </c>
      <c r="L157" s="13">
        <f t="shared" si="135"/>
        <v>0</v>
      </c>
      <c r="M157" s="13">
        <f t="shared" si="136"/>
        <v>0</v>
      </c>
      <c r="N157" s="13">
        <f t="shared" si="137"/>
        <v>0</v>
      </c>
      <c r="O157" s="13">
        <f t="shared" si="138"/>
        <v>0</v>
      </c>
      <c r="P157" s="13">
        <f t="shared" si="139"/>
        <v>0</v>
      </c>
      <c r="Q157" s="13">
        <f t="shared" si="140"/>
        <v>0</v>
      </c>
      <c r="R157" s="13">
        <f t="shared" si="141"/>
        <v>0</v>
      </c>
      <c r="S157" s="13">
        <f t="shared" si="142"/>
        <v>0</v>
      </c>
      <c r="T157" s="13">
        <f t="shared" si="143"/>
        <v>0</v>
      </c>
      <c r="U157" s="13">
        <f t="shared" si="144"/>
        <v>0</v>
      </c>
      <c r="V157" s="13">
        <f t="shared" si="145"/>
        <v>0</v>
      </c>
      <c r="W157" s="13">
        <f t="shared" si="146"/>
        <v>0</v>
      </c>
      <c r="X157" s="13">
        <f t="shared" si="147"/>
        <v>0</v>
      </c>
      <c r="Y157" s="13">
        <f t="shared" si="148"/>
        <v>0</v>
      </c>
      <c r="Z157" s="13">
        <f t="shared" si="149"/>
        <v>0</v>
      </c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</row>
    <row r="158" spans="1:345" s="14" customFormat="1">
      <c r="A158" s="15" t="s">
        <v>153</v>
      </c>
      <c r="B158" s="13">
        <f t="shared" si="125"/>
        <v>0</v>
      </c>
      <c r="C158" s="13">
        <f t="shared" si="126"/>
        <v>0</v>
      </c>
      <c r="D158" s="13">
        <f t="shared" si="127"/>
        <v>0</v>
      </c>
      <c r="E158" s="13">
        <f t="shared" si="128"/>
        <v>0</v>
      </c>
      <c r="F158" s="13">
        <f t="shared" si="129"/>
        <v>0</v>
      </c>
      <c r="G158" s="13">
        <f t="shared" si="130"/>
        <v>0</v>
      </c>
      <c r="H158" s="13">
        <f t="shared" si="131"/>
        <v>0</v>
      </c>
      <c r="I158" s="13">
        <f t="shared" si="132"/>
        <v>0</v>
      </c>
      <c r="J158" s="13">
        <f t="shared" si="133"/>
        <v>0</v>
      </c>
      <c r="K158" s="13">
        <f t="shared" si="134"/>
        <v>0</v>
      </c>
      <c r="L158" s="13">
        <f t="shared" si="135"/>
        <v>0</v>
      </c>
      <c r="M158" s="13">
        <f t="shared" si="136"/>
        <v>0</v>
      </c>
      <c r="N158" s="13">
        <f t="shared" si="137"/>
        <v>0</v>
      </c>
      <c r="O158" s="13">
        <f t="shared" si="138"/>
        <v>0</v>
      </c>
      <c r="P158" s="13">
        <f t="shared" si="139"/>
        <v>0</v>
      </c>
      <c r="Q158" s="13">
        <f t="shared" si="140"/>
        <v>0</v>
      </c>
      <c r="R158" s="13">
        <f t="shared" si="141"/>
        <v>0</v>
      </c>
      <c r="S158" s="13">
        <f t="shared" si="142"/>
        <v>0</v>
      </c>
      <c r="T158" s="13">
        <f t="shared" si="143"/>
        <v>0</v>
      </c>
      <c r="U158" s="13">
        <f t="shared" si="144"/>
        <v>0</v>
      </c>
      <c r="V158" s="13">
        <f t="shared" si="145"/>
        <v>0</v>
      </c>
      <c r="W158" s="13">
        <f t="shared" si="146"/>
        <v>0</v>
      </c>
      <c r="X158" s="13">
        <f t="shared" si="147"/>
        <v>0</v>
      </c>
      <c r="Y158" s="13">
        <f t="shared" si="148"/>
        <v>0</v>
      </c>
      <c r="Z158" s="13">
        <f t="shared" si="149"/>
        <v>0</v>
      </c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</row>
    <row r="159" spans="1:345" s="14" customFormat="1">
      <c r="A159" s="15" t="s">
        <v>154</v>
      </c>
      <c r="B159" s="13">
        <f t="shared" si="125"/>
        <v>0</v>
      </c>
      <c r="C159" s="13">
        <f t="shared" si="126"/>
        <v>0</v>
      </c>
      <c r="D159" s="13">
        <f t="shared" si="127"/>
        <v>0</v>
      </c>
      <c r="E159" s="13">
        <f t="shared" si="128"/>
        <v>0</v>
      </c>
      <c r="F159" s="13">
        <f t="shared" si="129"/>
        <v>0</v>
      </c>
      <c r="G159" s="13">
        <f t="shared" si="130"/>
        <v>0</v>
      </c>
      <c r="H159" s="13">
        <f t="shared" si="131"/>
        <v>0</v>
      </c>
      <c r="I159" s="13">
        <f t="shared" si="132"/>
        <v>0</v>
      </c>
      <c r="J159" s="13">
        <f t="shared" si="133"/>
        <v>0</v>
      </c>
      <c r="K159" s="13">
        <f t="shared" si="134"/>
        <v>0</v>
      </c>
      <c r="L159" s="13">
        <f t="shared" si="135"/>
        <v>0</v>
      </c>
      <c r="M159" s="13">
        <f t="shared" si="136"/>
        <v>0</v>
      </c>
      <c r="N159" s="13">
        <f t="shared" si="137"/>
        <v>0</v>
      </c>
      <c r="O159" s="13">
        <f t="shared" si="138"/>
        <v>0</v>
      </c>
      <c r="P159" s="13">
        <f t="shared" si="139"/>
        <v>0</v>
      </c>
      <c r="Q159" s="13">
        <f t="shared" si="140"/>
        <v>0</v>
      </c>
      <c r="R159" s="13">
        <f t="shared" si="141"/>
        <v>0</v>
      </c>
      <c r="S159" s="13">
        <f t="shared" si="142"/>
        <v>0</v>
      </c>
      <c r="T159" s="13">
        <f t="shared" si="143"/>
        <v>0</v>
      </c>
      <c r="U159" s="13">
        <f t="shared" si="144"/>
        <v>0</v>
      </c>
      <c r="V159" s="13">
        <f t="shared" si="145"/>
        <v>0</v>
      </c>
      <c r="W159" s="13">
        <f t="shared" si="146"/>
        <v>0</v>
      </c>
      <c r="X159" s="13">
        <f t="shared" si="147"/>
        <v>0</v>
      </c>
      <c r="Y159" s="13">
        <f t="shared" si="148"/>
        <v>0</v>
      </c>
      <c r="Z159" s="13">
        <f t="shared" si="149"/>
        <v>0</v>
      </c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</row>
    <row r="160" spans="1:345" s="14" customFormat="1">
      <c r="A160" s="15" t="s">
        <v>155</v>
      </c>
      <c r="B160" s="13">
        <f t="shared" si="125"/>
        <v>0</v>
      </c>
      <c r="C160" s="13">
        <f t="shared" si="126"/>
        <v>0</v>
      </c>
      <c r="D160" s="13">
        <f t="shared" si="127"/>
        <v>0</v>
      </c>
      <c r="E160" s="13">
        <f t="shared" si="128"/>
        <v>0</v>
      </c>
      <c r="F160" s="13">
        <f t="shared" si="129"/>
        <v>0</v>
      </c>
      <c r="G160" s="13">
        <f t="shared" si="130"/>
        <v>0</v>
      </c>
      <c r="H160" s="13">
        <f t="shared" si="131"/>
        <v>0</v>
      </c>
      <c r="I160" s="13">
        <f t="shared" si="132"/>
        <v>0</v>
      </c>
      <c r="J160" s="13">
        <f t="shared" si="133"/>
        <v>0</v>
      </c>
      <c r="K160" s="13">
        <f t="shared" si="134"/>
        <v>0</v>
      </c>
      <c r="L160" s="13">
        <f t="shared" si="135"/>
        <v>0</v>
      </c>
      <c r="M160" s="13">
        <f t="shared" si="136"/>
        <v>0</v>
      </c>
      <c r="N160" s="13">
        <f t="shared" si="137"/>
        <v>0</v>
      </c>
      <c r="O160" s="13">
        <f t="shared" si="138"/>
        <v>0</v>
      </c>
      <c r="P160" s="13">
        <f t="shared" si="139"/>
        <v>0</v>
      </c>
      <c r="Q160" s="13">
        <f t="shared" si="140"/>
        <v>0</v>
      </c>
      <c r="R160" s="13">
        <f t="shared" si="141"/>
        <v>0</v>
      </c>
      <c r="S160" s="13">
        <f t="shared" si="142"/>
        <v>0</v>
      </c>
      <c r="T160" s="13">
        <f t="shared" si="143"/>
        <v>0</v>
      </c>
      <c r="U160" s="13">
        <f t="shared" si="144"/>
        <v>0</v>
      </c>
      <c r="V160" s="13">
        <f t="shared" si="145"/>
        <v>0</v>
      </c>
      <c r="W160" s="13">
        <f t="shared" si="146"/>
        <v>0</v>
      </c>
      <c r="X160" s="13">
        <f t="shared" si="147"/>
        <v>0</v>
      </c>
      <c r="Y160" s="13">
        <f t="shared" si="148"/>
        <v>0</v>
      </c>
      <c r="Z160" s="13">
        <f t="shared" si="149"/>
        <v>0</v>
      </c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</row>
    <row r="161" spans="1:345" s="14" customFormat="1">
      <c r="A161" s="12" t="s">
        <v>156</v>
      </c>
      <c r="B161" s="13">
        <f t="shared" si="125"/>
        <v>0</v>
      </c>
      <c r="C161" s="13">
        <f t="shared" si="126"/>
        <v>0</v>
      </c>
      <c r="D161" s="13">
        <f t="shared" si="127"/>
        <v>0</v>
      </c>
      <c r="E161" s="13">
        <f t="shared" si="128"/>
        <v>0</v>
      </c>
      <c r="F161" s="13">
        <f t="shared" si="129"/>
        <v>0</v>
      </c>
      <c r="G161" s="13">
        <f t="shared" si="130"/>
        <v>0</v>
      </c>
      <c r="H161" s="13">
        <f t="shared" si="131"/>
        <v>0</v>
      </c>
      <c r="I161" s="13">
        <f t="shared" si="132"/>
        <v>0</v>
      </c>
      <c r="J161" s="13">
        <f t="shared" si="133"/>
        <v>0</v>
      </c>
      <c r="K161" s="13">
        <f t="shared" si="134"/>
        <v>0</v>
      </c>
      <c r="L161" s="13">
        <f t="shared" si="135"/>
        <v>0</v>
      </c>
      <c r="M161" s="13">
        <f t="shared" si="136"/>
        <v>0</v>
      </c>
      <c r="N161" s="13">
        <f t="shared" si="137"/>
        <v>0</v>
      </c>
      <c r="O161" s="13">
        <f t="shared" si="138"/>
        <v>0</v>
      </c>
      <c r="P161" s="13">
        <f t="shared" si="139"/>
        <v>0</v>
      </c>
      <c r="Q161" s="13">
        <f t="shared" si="140"/>
        <v>0</v>
      </c>
      <c r="R161" s="13">
        <f t="shared" si="141"/>
        <v>0</v>
      </c>
      <c r="S161" s="13">
        <f t="shared" si="142"/>
        <v>0</v>
      </c>
      <c r="T161" s="13">
        <f t="shared" si="143"/>
        <v>0</v>
      </c>
      <c r="U161" s="13">
        <f t="shared" si="144"/>
        <v>0</v>
      </c>
      <c r="V161" s="13">
        <f t="shared" si="145"/>
        <v>0</v>
      </c>
      <c r="W161" s="13">
        <f t="shared" si="146"/>
        <v>0</v>
      </c>
      <c r="X161" s="13">
        <f t="shared" si="147"/>
        <v>0</v>
      </c>
      <c r="Y161" s="13">
        <f t="shared" si="148"/>
        <v>0</v>
      </c>
      <c r="Z161" s="13">
        <f t="shared" si="149"/>
        <v>0</v>
      </c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</row>
    <row r="162" spans="1:345" s="14" customFormat="1">
      <c r="A162" s="15" t="s">
        <v>157</v>
      </c>
      <c r="B162" s="13">
        <f t="shared" si="125"/>
        <v>0</v>
      </c>
      <c r="C162" s="13">
        <f t="shared" si="126"/>
        <v>0</v>
      </c>
      <c r="D162" s="13">
        <f t="shared" si="127"/>
        <v>0</v>
      </c>
      <c r="E162" s="13">
        <f t="shared" si="128"/>
        <v>0</v>
      </c>
      <c r="F162" s="13">
        <f t="shared" si="129"/>
        <v>0</v>
      </c>
      <c r="G162" s="13">
        <f t="shared" si="130"/>
        <v>0</v>
      </c>
      <c r="H162" s="13">
        <f t="shared" si="131"/>
        <v>0</v>
      </c>
      <c r="I162" s="13">
        <f t="shared" si="132"/>
        <v>0</v>
      </c>
      <c r="J162" s="13">
        <f t="shared" si="133"/>
        <v>0</v>
      </c>
      <c r="K162" s="13">
        <f t="shared" si="134"/>
        <v>0</v>
      </c>
      <c r="L162" s="13">
        <f t="shared" si="135"/>
        <v>0</v>
      </c>
      <c r="M162" s="13">
        <f t="shared" si="136"/>
        <v>0</v>
      </c>
      <c r="N162" s="13">
        <f t="shared" si="137"/>
        <v>0</v>
      </c>
      <c r="O162" s="13">
        <f t="shared" si="138"/>
        <v>0</v>
      </c>
      <c r="P162" s="13">
        <f t="shared" si="139"/>
        <v>0</v>
      </c>
      <c r="Q162" s="13">
        <f t="shared" si="140"/>
        <v>0</v>
      </c>
      <c r="R162" s="13">
        <f t="shared" si="141"/>
        <v>0</v>
      </c>
      <c r="S162" s="13">
        <f t="shared" si="142"/>
        <v>0</v>
      </c>
      <c r="T162" s="13">
        <f t="shared" si="143"/>
        <v>0</v>
      </c>
      <c r="U162" s="13">
        <f t="shared" si="144"/>
        <v>0</v>
      </c>
      <c r="V162" s="13">
        <f t="shared" si="145"/>
        <v>0</v>
      </c>
      <c r="W162" s="13">
        <f t="shared" si="146"/>
        <v>0</v>
      </c>
      <c r="X162" s="13">
        <f t="shared" si="147"/>
        <v>0</v>
      </c>
      <c r="Y162" s="13">
        <f t="shared" si="148"/>
        <v>0</v>
      </c>
      <c r="Z162" s="13">
        <f t="shared" si="149"/>
        <v>0</v>
      </c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</row>
    <row r="163" spans="1:345" s="14" customForma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</row>
    <row r="164" spans="1:345" s="14" customFormat="1">
      <c r="A164" s="15" t="s">
        <v>158</v>
      </c>
      <c r="B164" s="13">
        <f t="shared" ref="B164:Z164" si="150">SUM(B165:B229)</f>
        <v>0</v>
      </c>
      <c r="C164" s="13">
        <f t="shared" si="150"/>
        <v>0</v>
      </c>
      <c r="D164" s="13">
        <f t="shared" si="150"/>
        <v>0</v>
      </c>
      <c r="E164" s="13">
        <f t="shared" si="150"/>
        <v>0</v>
      </c>
      <c r="F164" s="13">
        <f t="shared" si="150"/>
        <v>0</v>
      </c>
      <c r="G164" s="13">
        <f t="shared" si="150"/>
        <v>0</v>
      </c>
      <c r="H164" s="13">
        <f t="shared" si="150"/>
        <v>0</v>
      </c>
      <c r="I164" s="13">
        <f t="shared" si="150"/>
        <v>0</v>
      </c>
      <c r="J164" s="13">
        <f t="shared" si="150"/>
        <v>0</v>
      </c>
      <c r="K164" s="13">
        <f t="shared" si="150"/>
        <v>0</v>
      </c>
      <c r="L164" s="13">
        <f t="shared" si="150"/>
        <v>0</v>
      </c>
      <c r="M164" s="13">
        <f t="shared" si="150"/>
        <v>0</v>
      </c>
      <c r="N164" s="13">
        <f t="shared" si="150"/>
        <v>0</v>
      </c>
      <c r="O164" s="13">
        <f t="shared" si="150"/>
        <v>0</v>
      </c>
      <c r="P164" s="13">
        <f t="shared" si="150"/>
        <v>0</v>
      </c>
      <c r="Q164" s="13">
        <f t="shared" si="150"/>
        <v>0</v>
      </c>
      <c r="R164" s="13">
        <f t="shared" si="150"/>
        <v>0</v>
      </c>
      <c r="S164" s="13">
        <f t="shared" si="150"/>
        <v>0</v>
      </c>
      <c r="T164" s="13">
        <f t="shared" si="150"/>
        <v>0</v>
      </c>
      <c r="U164" s="13">
        <f t="shared" si="150"/>
        <v>0</v>
      </c>
      <c r="V164" s="13">
        <f t="shared" si="150"/>
        <v>0</v>
      </c>
      <c r="W164" s="13">
        <f t="shared" si="150"/>
        <v>0</v>
      </c>
      <c r="X164" s="13">
        <f t="shared" si="150"/>
        <v>0</v>
      </c>
      <c r="Y164" s="13">
        <f t="shared" si="150"/>
        <v>0</v>
      </c>
      <c r="Z164" s="13">
        <f t="shared" si="150"/>
        <v>4.8441000000000005E-3</v>
      </c>
      <c r="AB164" s="13">
        <f t="shared" ref="AB164:CM164" si="151">SUM(AB165:AB229)</f>
        <v>0</v>
      </c>
      <c r="AC164" s="13">
        <f t="shared" si="151"/>
        <v>0</v>
      </c>
      <c r="AD164" s="13">
        <f t="shared" si="151"/>
        <v>0</v>
      </c>
      <c r="AE164" s="13">
        <f t="shared" si="151"/>
        <v>0</v>
      </c>
      <c r="AF164" s="13">
        <f t="shared" si="151"/>
        <v>0</v>
      </c>
      <c r="AG164" s="13">
        <f t="shared" si="151"/>
        <v>0</v>
      </c>
      <c r="AH164" s="13">
        <f t="shared" si="151"/>
        <v>0</v>
      </c>
      <c r="AI164" s="13">
        <f t="shared" si="151"/>
        <v>0</v>
      </c>
      <c r="AJ164" s="13">
        <f t="shared" si="151"/>
        <v>0</v>
      </c>
      <c r="AK164" s="13">
        <f t="shared" si="151"/>
        <v>0</v>
      </c>
      <c r="AL164" s="13">
        <f t="shared" si="151"/>
        <v>0</v>
      </c>
      <c r="AM164" s="13">
        <f t="shared" si="151"/>
        <v>0</v>
      </c>
      <c r="AN164" s="13">
        <f t="shared" si="151"/>
        <v>0</v>
      </c>
      <c r="AO164" s="13">
        <f t="shared" si="151"/>
        <v>0</v>
      </c>
      <c r="AP164" s="13">
        <f t="shared" si="151"/>
        <v>0</v>
      </c>
      <c r="AQ164" s="13">
        <f t="shared" si="151"/>
        <v>0</v>
      </c>
      <c r="AR164" s="13">
        <f t="shared" si="151"/>
        <v>0</v>
      </c>
      <c r="AS164" s="13">
        <f t="shared" si="151"/>
        <v>0</v>
      </c>
      <c r="AT164" s="13">
        <f t="shared" si="151"/>
        <v>0</v>
      </c>
      <c r="AU164" s="13">
        <f t="shared" si="151"/>
        <v>0</v>
      </c>
      <c r="AV164" s="13">
        <f t="shared" si="151"/>
        <v>0</v>
      </c>
      <c r="AW164" s="13">
        <f t="shared" si="151"/>
        <v>0</v>
      </c>
      <c r="AX164" s="13">
        <f t="shared" si="151"/>
        <v>0</v>
      </c>
      <c r="AY164" s="13">
        <f t="shared" si="151"/>
        <v>0</v>
      </c>
      <c r="AZ164" s="13">
        <f t="shared" si="151"/>
        <v>0</v>
      </c>
      <c r="BA164" s="13">
        <f t="shared" si="151"/>
        <v>0</v>
      </c>
      <c r="BB164" s="13">
        <f t="shared" si="151"/>
        <v>0</v>
      </c>
      <c r="BC164" s="13">
        <f t="shared" si="151"/>
        <v>0</v>
      </c>
      <c r="BD164" s="13">
        <f t="shared" si="151"/>
        <v>0</v>
      </c>
      <c r="BE164" s="13">
        <f t="shared" si="151"/>
        <v>0</v>
      </c>
      <c r="BF164" s="13">
        <f t="shared" si="151"/>
        <v>0</v>
      </c>
      <c r="BG164" s="13">
        <f t="shared" si="151"/>
        <v>0</v>
      </c>
      <c r="BH164" s="13">
        <f t="shared" si="151"/>
        <v>0</v>
      </c>
      <c r="BI164" s="13">
        <f t="shared" si="151"/>
        <v>0</v>
      </c>
      <c r="BJ164" s="13">
        <f t="shared" si="151"/>
        <v>0</v>
      </c>
      <c r="BK164" s="13">
        <f t="shared" si="151"/>
        <v>0</v>
      </c>
      <c r="BL164" s="13">
        <f t="shared" si="151"/>
        <v>0</v>
      </c>
      <c r="BM164" s="13">
        <f t="shared" si="151"/>
        <v>0</v>
      </c>
      <c r="BN164" s="13">
        <f t="shared" si="151"/>
        <v>0</v>
      </c>
      <c r="BO164" s="13">
        <f t="shared" si="151"/>
        <v>0</v>
      </c>
      <c r="BP164" s="13">
        <f t="shared" si="151"/>
        <v>0</v>
      </c>
      <c r="BQ164" s="13">
        <f t="shared" si="151"/>
        <v>0</v>
      </c>
      <c r="BR164" s="13">
        <f t="shared" si="151"/>
        <v>0</v>
      </c>
      <c r="BS164" s="13">
        <f t="shared" si="151"/>
        <v>0</v>
      </c>
      <c r="BT164" s="13">
        <f t="shared" si="151"/>
        <v>0</v>
      </c>
      <c r="BU164" s="13">
        <f t="shared" si="151"/>
        <v>0</v>
      </c>
      <c r="BV164" s="13">
        <f t="shared" si="151"/>
        <v>0</v>
      </c>
      <c r="BW164" s="13">
        <f t="shared" si="151"/>
        <v>0</v>
      </c>
      <c r="BX164" s="13">
        <f t="shared" si="151"/>
        <v>0</v>
      </c>
      <c r="BY164" s="13">
        <f t="shared" si="151"/>
        <v>0</v>
      </c>
      <c r="BZ164" s="13">
        <f t="shared" si="151"/>
        <v>0</v>
      </c>
      <c r="CA164" s="13">
        <f t="shared" si="151"/>
        <v>0</v>
      </c>
      <c r="CB164" s="13">
        <f t="shared" si="151"/>
        <v>0</v>
      </c>
      <c r="CC164" s="13">
        <f t="shared" si="151"/>
        <v>0</v>
      </c>
      <c r="CD164" s="13">
        <f t="shared" si="151"/>
        <v>0</v>
      </c>
      <c r="CE164" s="13">
        <f t="shared" si="151"/>
        <v>0</v>
      </c>
      <c r="CF164" s="13">
        <f t="shared" si="151"/>
        <v>0</v>
      </c>
      <c r="CG164" s="13">
        <f t="shared" si="151"/>
        <v>0</v>
      </c>
      <c r="CH164" s="13">
        <f t="shared" si="151"/>
        <v>0</v>
      </c>
      <c r="CI164" s="13">
        <f t="shared" si="151"/>
        <v>0</v>
      </c>
      <c r="CJ164" s="13">
        <f t="shared" si="151"/>
        <v>0</v>
      </c>
      <c r="CK164" s="13">
        <f t="shared" si="151"/>
        <v>0</v>
      </c>
      <c r="CL164" s="13">
        <f t="shared" si="151"/>
        <v>0</v>
      </c>
      <c r="CM164" s="13">
        <f t="shared" si="151"/>
        <v>0</v>
      </c>
      <c r="CN164" s="13">
        <f t="shared" ref="CN164:EY164" si="152">SUM(CN165:CN229)</f>
        <v>0</v>
      </c>
      <c r="CO164" s="13">
        <f t="shared" si="152"/>
        <v>0</v>
      </c>
      <c r="CP164" s="13">
        <f t="shared" si="152"/>
        <v>0</v>
      </c>
      <c r="CQ164" s="13">
        <f t="shared" si="152"/>
        <v>0</v>
      </c>
      <c r="CR164" s="13">
        <f t="shared" si="152"/>
        <v>0</v>
      </c>
      <c r="CS164" s="13">
        <f t="shared" si="152"/>
        <v>0</v>
      </c>
      <c r="CT164" s="13">
        <f t="shared" si="152"/>
        <v>0</v>
      </c>
      <c r="CU164" s="13">
        <f t="shared" si="152"/>
        <v>0</v>
      </c>
      <c r="CV164" s="13">
        <f t="shared" si="152"/>
        <v>0</v>
      </c>
      <c r="CW164" s="13">
        <f t="shared" si="152"/>
        <v>0</v>
      </c>
      <c r="CX164" s="13">
        <f t="shared" si="152"/>
        <v>0</v>
      </c>
      <c r="CY164" s="13">
        <f t="shared" si="152"/>
        <v>0</v>
      </c>
      <c r="CZ164" s="13">
        <f t="shared" si="152"/>
        <v>0</v>
      </c>
      <c r="DA164" s="13">
        <f t="shared" si="152"/>
        <v>0</v>
      </c>
      <c r="DB164" s="13">
        <f t="shared" si="152"/>
        <v>0</v>
      </c>
      <c r="DC164" s="13">
        <f t="shared" si="152"/>
        <v>0</v>
      </c>
      <c r="DD164" s="13">
        <f t="shared" si="152"/>
        <v>0</v>
      </c>
      <c r="DE164" s="13">
        <f t="shared" si="152"/>
        <v>0</v>
      </c>
      <c r="DF164" s="13">
        <f t="shared" si="152"/>
        <v>0</v>
      </c>
      <c r="DG164" s="13">
        <f t="shared" si="152"/>
        <v>0</v>
      </c>
      <c r="DH164" s="13">
        <f t="shared" si="152"/>
        <v>0</v>
      </c>
      <c r="DI164" s="13">
        <f t="shared" si="152"/>
        <v>0</v>
      </c>
      <c r="DJ164" s="13">
        <f t="shared" si="152"/>
        <v>0</v>
      </c>
      <c r="DK164" s="13">
        <f t="shared" si="152"/>
        <v>0</v>
      </c>
      <c r="DL164" s="13">
        <f t="shared" si="152"/>
        <v>0</v>
      </c>
      <c r="DM164" s="13">
        <f t="shared" si="152"/>
        <v>0</v>
      </c>
      <c r="DN164" s="13">
        <f t="shared" si="152"/>
        <v>0</v>
      </c>
      <c r="DO164" s="13">
        <f t="shared" si="152"/>
        <v>0</v>
      </c>
      <c r="DP164" s="13">
        <f t="shared" si="152"/>
        <v>0</v>
      </c>
      <c r="DQ164" s="13">
        <f t="shared" si="152"/>
        <v>0</v>
      </c>
      <c r="DR164" s="13">
        <f t="shared" si="152"/>
        <v>0</v>
      </c>
      <c r="DS164" s="13">
        <f t="shared" si="152"/>
        <v>0</v>
      </c>
      <c r="DT164" s="13">
        <f t="shared" si="152"/>
        <v>0</v>
      </c>
      <c r="DU164" s="13">
        <f t="shared" si="152"/>
        <v>0</v>
      </c>
      <c r="DV164" s="13">
        <f t="shared" si="152"/>
        <v>0</v>
      </c>
      <c r="DW164" s="13">
        <f t="shared" si="152"/>
        <v>0</v>
      </c>
      <c r="DX164" s="13">
        <f t="shared" si="152"/>
        <v>0</v>
      </c>
      <c r="DY164" s="13">
        <f t="shared" si="152"/>
        <v>0</v>
      </c>
      <c r="DZ164" s="13">
        <f t="shared" si="152"/>
        <v>0</v>
      </c>
      <c r="EA164" s="13">
        <f t="shared" si="152"/>
        <v>0</v>
      </c>
      <c r="EB164" s="13">
        <f t="shared" si="152"/>
        <v>0</v>
      </c>
      <c r="EC164" s="13">
        <f t="shared" si="152"/>
        <v>0</v>
      </c>
      <c r="ED164" s="13">
        <f t="shared" si="152"/>
        <v>0</v>
      </c>
      <c r="EE164" s="13">
        <f t="shared" si="152"/>
        <v>0</v>
      </c>
      <c r="EF164" s="13">
        <f t="shared" si="152"/>
        <v>0</v>
      </c>
      <c r="EG164" s="13">
        <f t="shared" si="152"/>
        <v>0</v>
      </c>
      <c r="EH164" s="13">
        <f t="shared" si="152"/>
        <v>0</v>
      </c>
      <c r="EI164" s="13">
        <f t="shared" si="152"/>
        <v>0</v>
      </c>
      <c r="EJ164" s="13">
        <f t="shared" si="152"/>
        <v>0</v>
      </c>
      <c r="EK164" s="13">
        <f t="shared" si="152"/>
        <v>0</v>
      </c>
      <c r="EL164" s="13">
        <f t="shared" si="152"/>
        <v>0</v>
      </c>
      <c r="EM164" s="13">
        <f t="shared" si="152"/>
        <v>0</v>
      </c>
      <c r="EN164" s="13">
        <f t="shared" si="152"/>
        <v>0</v>
      </c>
      <c r="EO164" s="13">
        <f t="shared" si="152"/>
        <v>0</v>
      </c>
      <c r="EP164" s="13">
        <f t="shared" si="152"/>
        <v>0</v>
      </c>
      <c r="EQ164" s="13">
        <f t="shared" si="152"/>
        <v>0</v>
      </c>
      <c r="ER164" s="13">
        <f t="shared" si="152"/>
        <v>0</v>
      </c>
      <c r="ES164" s="13">
        <f t="shared" si="152"/>
        <v>0</v>
      </c>
      <c r="ET164" s="13">
        <f t="shared" si="152"/>
        <v>0</v>
      </c>
      <c r="EU164" s="13">
        <f t="shared" si="152"/>
        <v>0</v>
      </c>
      <c r="EV164" s="13">
        <f t="shared" si="152"/>
        <v>0</v>
      </c>
      <c r="EW164" s="13">
        <f t="shared" si="152"/>
        <v>0</v>
      </c>
      <c r="EX164" s="13">
        <f t="shared" si="152"/>
        <v>0</v>
      </c>
      <c r="EY164" s="13">
        <f t="shared" si="152"/>
        <v>0</v>
      </c>
      <c r="EZ164" s="13">
        <f t="shared" ref="EZ164:HK164" si="153">SUM(EZ165:EZ229)</f>
        <v>0</v>
      </c>
      <c r="FA164" s="13">
        <f t="shared" si="153"/>
        <v>0</v>
      </c>
      <c r="FB164" s="13">
        <f t="shared" si="153"/>
        <v>0</v>
      </c>
      <c r="FC164" s="13">
        <f t="shared" si="153"/>
        <v>0</v>
      </c>
      <c r="FD164" s="13">
        <f t="shared" si="153"/>
        <v>0</v>
      </c>
      <c r="FE164" s="13">
        <f t="shared" si="153"/>
        <v>0</v>
      </c>
      <c r="FF164" s="13">
        <f t="shared" si="153"/>
        <v>0</v>
      </c>
      <c r="FG164" s="13">
        <f t="shared" si="153"/>
        <v>0</v>
      </c>
      <c r="FH164" s="13">
        <f t="shared" si="153"/>
        <v>0</v>
      </c>
      <c r="FI164" s="13">
        <f t="shared" si="153"/>
        <v>0</v>
      </c>
      <c r="FJ164" s="13">
        <f t="shared" si="153"/>
        <v>0</v>
      </c>
      <c r="FK164" s="13">
        <f t="shared" si="153"/>
        <v>0</v>
      </c>
      <c r="FL164" s="13">
        <f t="shared" si="153"/>
        <v>0</v>
      </c>
      <c r="FM164" s="13">
        <f t="shared" si="153"/>
        <v>0</v>
      </c>
      <c r="FN164" s="13">
        <f t="shared" si="153"/>
        <v>0</v>
      </c>
      <c r="FO164" s="13">
        <f t="shared" si="153"/>
        <v>0</v>
      </c>
      <c r="FP164" s="13">
        <f t="shared" si="153"/>
        <v>0</v>
      </c>
      <c r="FQ164" s="13">
        <f t="shared" si="153"/>
        <v>0</v>
      </c>
      <c r="FR164" s="13">
        <f t="shared" si="153"/>
        <v>0</v>
      </c>
      <c r="FS164" s="13">
        <f t="shared" si="153"/>
        <v>0</v>
      </c>
      <c r="FT164" s="13">
        <f t="shared" si="153"/>
        <v>0</v>
      </c>
      <c r="FU164" s="13">
        <f t="shared" si="153"/>
        <v>0</v>
      </c>
      <c r="FV164" s="13">
        <f t="shared" si="153"/>
        <v>0</v>
      </c>
      <c r="FW164" s="13">
        <f t="shared" si="153"/>
        <v>0</v>
      </c>
      <c r="FX164" s="13">
        <f t="shared" si="153"/>
        <v>0</v>
      </c>
      <c r="FY164" s="13">
        <f t="shared" si="153"/>
        <v>0</v>
      </c>
      <c r="FZ164" s="13">
        <f t="shared" si="153"/>
        <v>0</v>
      </c>
      <c r="GA164" s="13">
        <f t="shared" si="153"/>
        <v>0</v>
      </c>
      <c r="GB164" s="13">
        <f t="shared" si="153"/>
        <v>0</v>
      </c>
      <c r="GC164" s="13">
        <f t="shared" si="153"/>
        <v>0</v>
      </c>
      <c r="GD164" s="13">
        <f t="shared" si="153"/>
        <v>0</v>
      </c>
      <c r="GE164" s="13">
        <f t="shared" si="153"/>
        <v>0</v>
      </c>
      <c r="GF164" s="13">
        <f t="shared" si="153"/>
        <v>0</v>
      </c>
      <c r="GG164" s="13">
        <f t="shared" si="153"/>
        <v>0</v>
      </c>
      <c r="GH164" s="13">
        <f t="shared" si="153"/>
        <v>0</v>
      </c>
      <c r="GI164" s="13">
        <f t="shared" si="153"/>
        <v>0</v>
      </c>
      <c r="GJ164" s="13">
        <f t="shared" si="153"/>
        <v>0</v>
      </c>
      <c r="GK164" s="13">
        <f t="shared" si="153"/>
        <v>0</v>
      </c>
      <c r="GL164" s="13">
        <f t="shared" si="153"/>
        <v>0</v>
      </c>
      <c r="GM164" s="13">
        <f t="shared" si="153"/>
        <v>0</v>
      </c>
      <c r="GN164" s="13">
        <f t="shared" si="153"/>
        <v>0</v>
      </c>
      <c r="GO164" s="13">
        <f t="shared" si="153"/>
        <v>0</v>
      </c>
      <c r="GP164" s="13">
        <f t="shared" si="153"/>
        <v>0</v>
      </c>
      <c r="GQ164" s="13">
        <f t="shared" si="153"/>
        <v>0</v>
      </c>
      <c r="GR164" s="13">
        <f t="shared" si="153"/>
        <v>0</v>
      </c>
      <c r="GS164" s="13">
        <f t="shared" si="153"/>
        <v>0</v>
      </c>
      <c r="GT164" s="13">
        <f t="shared" si="153"/>
        <v>0</v>
      </c>
      <c r="GU164" s="13">
        <f t="shared" si="153"/>
        <v>0</v>
      </c>
      <c r="GV164" s="13">
        <f t="shared" si="153"/>
        <v>0</v>
      </c>
      <c r="GW164" s="13">
        <f t="shared" si="153"/>
        <v>0</v>
      </c>
      <c r="GX164" s="13">
        <f t="shared" si="153"/>
        <v>0</v>
      </c>
      <c r="GY164" s="13">
        <f t="shared" si="153"/>
        <v>0</v>
      </c>
      <c r="GZ164" s="13">
        <f t="shared" si="153"/>
        <v>0</v>
      </c>
      <c r="HA164" s="13">
        <f t="shared" si="153"/>
        <v>0</v>
      </c>
      <c r="HB164" s="13">
        <f t="shared" si="153"/>
        <v>0</v>
      </c>
      <c r="HC164" s="13">
        <f t="shared" si="153"/>
        <v>0</v>
      </c>
      <c r="HD164" s="13">
        <f t="shared" si="153"/>
        <v>0</v>
      </c>
      <c r="HE164" s="13">
        <f t="shared" si="153"/>
        <v>0</v>
      </c>
      <c r="HF164" s="13">
        <f t="shared" si="153"/>
        <v>0</v>
      </c>
      <c r="HG164" s="13">
        <f t="shared" si="153"/>
        <v>0</v>
      </c>
      <c r="HH164" s="13">
        <f t="shared" si="153"/>
        <v>0</v>
      </c>
      <c r="HI164" s="13">
        <f t="shared" si="153"/>
        <v>0</v>
      </c>
      <c r="HJ164" s="13">
        <f t="shared" si="153"/>
        <v>0</v>
      </c>
      <c r="HK164" s="13">
        <f t="shared" si="153"/>
        <v>0</v>
      </c>
      <c r="HL164" s="13">
        <f t="shared" ref="HL164:JW164" si="154">SUM(HL165:HL229)</f>
        <v>0</v>
      </c>
      <c r="HM164" s="13">
        <f t="shared" si="154"/>
        <v>0</v>
      </c>
      <c r="HN164" s="13">
        <f t="shared" si="154"/>
        <v>0</v>
      </c>
      <c r="HO164" s="13">
        <f t="shared" si="154"/>
        <v>0</v>
      </c>
      <c r="HP164" s="13">
        <f t="shared" si="154"/>
        <v>0</v>
      </c>
      <c r="HQ164" s="13">
        <f t="shared" si="154"/>
        <v>0</v>
      </c>
      <c r="HR164" s="13">
        <f t="shared" si="154"/>
        <v>0</v>
      </c>
      <c r="HS164" s="13">
        <f t="shared" si="154"/>
        <v>0</v>
      </c>
      <c r="HT164" s="13">
        <f t="shared" si="154"/>
        <v>0</v>
      </c>
      <c r="HU164" s="13">
        <f t="shared" si="154"/>
        <v>0</v>
      </c>
      <c r="HV164" s="13">
        <f t="shared" si="154"/>
        <v>0</v>
      </c>
      <c r="HW164" s="13">
        <f t="shared" si="154"/>
        <v>0</v>
      </c>
      <c r="HX164" s="13">
        <f t="shared" si="154"/>
        <v>0</v>
      </c>
      <c r="HY164" s="13">
        <f t="shared" si="154"/>
        <v>0</v>
      </c>
      <c r="HZ164" s="13">
        <f t="shared" si="154"/>
        <v>0</v>
      </c>
      <c r="IA164" s="13">
        <f t="shared" si="154"/>
        <v>0</v>
      </c>
      <c r="IB164" s="13">
        <f t="shared" si="154"/>
        <v>0</v>
      </c>
      <c r="IC164" s="13">
        <f t="shared" si="154"/>
        <v>0</v>
      </c>
      <c r="ID164" s="13">
        <f t="shared" si="154"/>
        <v>0</v>
      </c>
      <c r="IE164" s="13">
        <f t="shared" si="154"/>
        <v>0</v>
      </c>
      <c r="IF164" s="13">
        <f t="shared" si="154"/>
        <v>0</v>
      </c>
      <c r="IG164" s="13">
        <f t="shared" si="154"/>
        <v>0</v>
      </c>
      <c r="IH164" s="13">
        <f t="shared" si="154"/>
        <v>0</v>
      </c>
      <c r="II164" s="13">
        <f t="shared" si="154"/>
        <v>0</v>
      </c>
      <c r="IJ164" s="13">
        <f t="shared" si="154"/>
        <v>0</v>
      </c>
      <c r="IK164" s="13">
        <f t="shared" si="154"/>
        <v>0</v>
      </c>
      <c r="IL164" s="13">
        <f t="shared" si="154"/>
        <v>0</v>
      </c>
      <c r="IM164" s="13">
        <f t="shared" si="154"/>
        <v>0</v>
      </c>
      <c r="IN164" s="13">
        <f t="shared" si="154"/>
        <v>0</v>
      </c>
      <c r="IO164" s="13">
        <f t="shared" si="154"/>
        <v>0</v>
      </c>
      <c r="IP164" s="13">
        <f t="shared" si="154"/>
        <v>0</v>
      </c>
      <c r="IQ164" s="13">
        <f t="shared" si="154"/>
        <v>0</v>
      </c>
      <c r="IR164" s="13">
        <f t="shared" si="154"/>
        <v>0</v>
      </c>
      <c r="IS164" s="13">
        <f t="shared" si="154"/>
        <v>0</v>
      </c>
      <c r="IT164" s="13">
        <f t="shared" si="154"/>
        <v>0</v>
      </c>
      <c r="IU164" s="13">
        <f t="shared" si="154"/>
        <v>0</v>
      </c>
      <c r="IV164" s="13">
        <f t="shared" si="154"/>
        <v>0</v>
      </c>
      <c r="IW164" s="13">
        <f t="shared" si="154"/>
        <v>0</v>
      </c>
      <c r="IX164" s="13">
        <f t="shared" si="154"/>
        <v>0</v>
      </c>
      <c r="IY164" s="13">
        <f t="shared" si="154"/>
        <v>0</v>
      </c>
      <c r="IZ164" s="13">
        <f t="shared" si="154"/>
        <v>0</v>
      </c>
      <c r="JA164" s="13">
        <f t="shared" si="154"/>
        <v>0</v>
      </c>
      <c r="JB164" s="13">
        <f t="shared" si="154"/>
        <v>0</v>
      </c>
      <c r="JC164" s="13">
        <f t="shared" si="154"/>
        <v>0</v>
      </c>
      <c r="JD164" s="13">
        <f t="shared" si="154"/>
        <v>0</v>
      </c>
      <c r="JE164" s="13">
        <f t="shared" si="154"/>
        <v>0</v>
      </c>
      <c r="JF164" s="13">
        <f t="shared" si="154"/>
        <v>0</v>
      </c>
      <c r="JG164" s="13">
        <f t="shared" si="154"/>
        <v>0</v>
      </c>
      <c r="JH164" s="13">
        <f t="shared" si="154"/>
        <v>0</v>
      </c>
      <c r="JI164" s="13">
        <f t="shared" si="154"/>
        <v>0</v>
      </c>
      <c r="JJ164" s="13">
        <f t="shared" si="154"/>
        <v>0</v>
      </c>
      <c r="JK164" s="13">
        <f t="shared" si="154"/>
        <v>0</v>
      </c>
      <c r="JL164" s="13">
        <f t="shared" si="154"/>
        <v>0</v>
      </c>
      <c r="JM164" s="13">
        <f t="shared" si="154"/>
        <v>0</v>
      </c>
      <c r="JN164" s="13">
        <f t="shared" si="154"/>
        <v>0</v>
      </c>
      <c r="JO164" s="13">
        <f t="shared" si="154"/>
        <v>0</v>
      </c>
      <c r="JP164" s="13">
        <f t="shared" si="154"/>
        <v>0</v>
      </c>
      <c r="JQ164" s="13">
        <f t="shared" si="154"/>
        <v>0</v>
      </c>
      <c r="JR164" s="13">
        <f t="shared" si="154"/>
        <v>0</v>
      </c>
      <c r="JS164" s="13">
        <f t="shared" si="154"/>
        <v>0</v>
      </c>
      <c r="JT164" s="13">
        <f t="shared" si="154"/>
        <v>0</v>
      </c>
      <c r="JU164" s="13">
        <f t="shared" si="154"/>
        <v>0</v>
      </c>
      <c r="JV164" s="13">
        <f t="shared" si="154"/>
        <v>0</v>
      </c>
      <c r="JW164" s="13">
        <f t="shared" si="154"/>
        <v>0</v>
      </c>
      <c r="JX164" s="13">
        <f t="shared" ref="JX164:MG164" si="155">SUM(JX165:JX229)</f>
        <v>0</v>
      </c>
      <c r="JY164" s="13">
        <f t="shared" si="155"/>
        <v>0</v>
      </c>
      <c r="JZ164" s="13">
        <f t="shared" si="155"/>
        <v>0</v>
      </c>
      <c r="KA164" s="13">
        <f t="shared" si="155"/>
        <v>0</v>
      </c>
      <c r="KB164" s="13">
        <f t="shared" si="155"/>
        <v>0</v>
      </c>
      <c r="KC164" s="13">
        <f t="shared" si="155"/>
        <v>0</v>
      </c>
      <c r="KD164" s="13">
        <f t="shared" si="155"/>
        <v>0</v>
      </c>
      <c r="KE164" s="13">
        <f t="shared" si="155"/>
        <v>0</v>
      </c>
      <c r="KF164" s="13">
        <f t="shared" si="155"/>
        <v>0</v>
      </c>
      <c r="KG164" s="13">
        <f t="shared" si="155"/>
        <v>0</v>
      </c>
      <c r="KH164" s="13">
        <f t="shared" si="155"/>
        <v>0</v>
      </c>
      <c r="KI164" s="13">
        <f t="shared" si="155"/>
        <v>0</v>
      </c>
      <c r="KJ164" s="13">
        <f t="shared" si="155"/>
        <v>0</v>
      </c>
      <c r="KK164" s="13">
        <f t="shared" si="155"/>
        <v>0</v>
      </c>
      <c r="KL164" s="13">
        <f t="shared" si="155"/>
        <v>0</v>
      </c>
      <c r="KM164" s="13">
        <f t="shared" si="155"/>
        <v>0</v>
      </c>
      <c r="KN164" s="13">
        <f t="shared" si="155"/>
        <v>0</v>
      </c>
      <c r="KO164" s="13">
        <f t="shared" si="155"/>
        <v>0</v>
      </c>
      <c r="KP164" s="13">
        <f t="shared" si="155"/>
        <v>0</v>
      </c>
      <c r="KQ164" s="13">
        <f t="shared" si="155"/>
        <v>0</v>
      </c>
      <c r="KR164" s="13">
        <f t="shared" si="155"/>
        <v>0</v>
      </c>
      <c r="KS164" s="13">
        <f t="shared" si="155"/>
        <v>0</v>
      </c>
      <c r="KT164" s="13">
        <f t="shared" si="155"/>
        <v>0</v>
      </c>
      <c r="KU164" s="13">
        <f t="shared" si="155"/>
        <v>0</v>
      </c>
      <c r="KV164" s="13">
        <f t="shared" si="155"/>
        <v>0</v>
      </c>
      <c r="KW164" s="13">
        <f t="shared" si="155"/>
        <v>0</v>
      </c>
      <c r="KX164" s="13">
        <f t="shared" si="155"/>
        <v>0</v>
      </c>
      <c r="KY164" s="13">
        <f t="shared" si="155"/>
        <v>0</v>
      </c>
      <c r="KZ164" s="13">
        <f t="shared" si="155"/>
        <v>0</v>
      </c>
      <c r="LA164" s="13">
        <f t="shared" si="155"/>
        <v>0</v>
      </c>
      <c r="LB164" s="13">
        <f t="shared" si="155"/>
        <v>0</v>
      </c>
      <c r="LC164" s="13">
        <f t="shared" si="155"/>
        <v>0</v>
      </c>
      <c r="LD164" s="13">
        <f t="shared" si="155"/>
        <v>0</v>
      </c>
      <c r="LE164" s="13">
        <f t="shared" si="155"/>
        <v>0</v>
      </c>
      <c r="LF164" s="13">
        <f t="shared" si="155"/>
        <v>0</v>
      </c>
      <c r="LG164" s="13">
        <f t="shared" si="155"/>
        <v>0</v>
      </c>
      <c r="LH164" s="13">
        <f t="shared" si="155"/>
        <v>0</v>
      </c>
      <c r="LI164" s="13">
        <f t="shared" si="155"/>
        <v>4.8441000000000001</v>
      </c>
      <c r="LJ164" s="13">
        <f t="shared" si="155"/>
        <v>0</v>
      </c>
      <c r="LK164" s="13">
        <f t="shared" si="155"/>
        <v>0</v>
      </c>
      <c r="LL164" s="13">
        <f t="shared" si="155"/>
        <v>0</v>
      </c>
      <c r="LM164" s="13">
        <f t="shared" si="155"/>
        <v>0</v>
      </c>
      <c r="LN164" s="13">
        <f t="shared" si="155"/>
        <v>0</v>
      </c>
      <c r="LO164" s="13">
        <f t="shared" si="155"/>
        <v>0</v>
      </c>
      <c r="LP164" s="13">
        <f t="shared" si="155"/>
        <v>0</v>
      </c>
      <c r="LQ164" s="13">
        <f t="shared" si="155"/>
        <v>0</v>
      </c>
      <c r="LR164" s="13">
        <f t="shared" si="155"/>
        <v>0</v>
      </c>
      <c r="LS164" s="13">
        <f t="shared" si="155"/>
        <v>0</v>
      </c>
      <c r="LT164" s="13">
        <f t="shared" si="155"/>
        <v>0</v>
      </c>
      <c r="LU164" s="13">
        <f t="shared" si="155"/>
        <v>0</v>
      </c>
      <c r="LV164" s="13">
        <f t="shared" si="155"/>
        <v>0</v>
      </c>
      <c r="LW164" s="13">
        <f t="shared" si="155"/>
        <v>0</v>
      </c>
      <c r="LX164" s="13">
        <f t="shared" si="155"/>
        <v>0</v>
      </c>
      <c r="LY164" s="13">
        <f t="shared" si="155"/>
        <v>0</v>
      </c>
      <c r="LZ164" s="13">
        <f t="shared" si="155"/>
        <v>0</v>
      </c>
      <c r="MA164" s="13">
        <f t="shared" si="155"/>
        <v>0</v>
      </c>
      <c r="MB164" s="13">
        <f t="shared" si="155"/>
        <v>0</v>
      </c>
      <c r="MC164" s="13">
        <f t="shared" si="155"/>
        <v>0</v>
      </c>
      <c r="MD164" s="13">
        <f t="shared" si="155"/>
        <v>0</v>
      </c>
      <c r="ME164" s="13">
        <f t="shared" si="155"/>
        <v>0</v>
      </c>
      <c r="MF164" s="13">
        <f t="shared" si="155"/>
        <v>0</v>
      </c>
      <c r="MG164" s="13">
        <f t="shared" si="155"/>
        <v>0</v>
      </c>
    </row>
    <row r="165" spans="1:345" s="14" customFormat="1">
      <c r="A165" s="15" t="s">
        <v>159</v>
      </c>
      <c r="B165" s="13">
        <f t="shared" ref="B165:B228" si="156">SUM(AB165:AM165)/1000</f>
        <v>0</v>
      </c>
      <c r="C165" s="13">
        <f t="shared" ref="C165:C228" si="157">SUM(AN165:AY165)/1000</f>
        <v>0</v>
      </c>
      <c r="D165" s="13">
        <f t="shared" ref="D165:D228" si="158">SUM(AZ165:BK165)/1000</f>
        <v>0</v>
      </c>
      <c r="E165" s="13">
        <f t="shared" ref="E165:E228" si="159">SUM(BL165:BW165)/1000</f>
        <v>0</v>
      </c>
      <c r="F165" s="13">
        <f t="shared" ref="F165:F228" si="160">SUM(BX165:CI165)/1000</f>
        <v>0</v>
      </c>
      <c r="G165" s="13">
        <f t="shared" ref="G165:G228" si="161">SUM(CJ165:CU165)/1000</f>
        <v>0</v>
      </c>
      <c r="H165" s="13">
        <f t="shared" ref="H165:H228" si="162">SUM(CV165:DG165)/1000</f>
        <v>0</v>
      </c>
      <c r="I165" s="13">
        <f t="shared" ref="I165:I228" si="163">SUM(DH165:DS165)/1000</f>
        <v>0</v>
      </c>
      <c r="J165" s="13">
        <f t="shared" ref="J165:J228" si="164">SUM(DT165:EE165)/1000</f>
        <v>0</v>
      </c>
      <c r="K165" s="13">
        <f t="shared" ref="K165:K228" si="165">SUM(EF165:EQ165)/1000</f>
        <v>0</v>
      </c>
      <c r="L165" s="13">
        <f t="shared" ref="L165:L228" si="166">SUM(ER165:FC165)/1000</f>
        <v>0</v>
      </c>
      <c r="M165" s="13">
        <f t="shared" ref="M165:M228" si="167">SUM(FD165:FO165)/1000</f>
        <v>0</v>
      </c>
      <c r="N165" s="13">
        <f t="shared" ref="N165:N228" si="168">SUM(FP165:GA165)/1000</f>
        <v>0</v>
      </c>
      <c r="O165" s="13">
        <f t="shared" ref="O165:O228" si="169">SUM(GB165:GM165)/1000</f>
        <v>0</v>
      </c>
      <c r="P165" s="13">
        <f t="shared" ref="P165:P228" si="170">SUM(GN165:GY165)/1000</f>
        <v>0</v>
      </c>
      <c r="Q165" s="13">
        <f t="shared" ref="Q165:Q228" si="171">SUM(GZ165:HK165)/1000</f>
        <v>0</v>
      </c>
      <c r="R165" s="13">
        <f t="shared" ref="R165:R228" si="172">SUM(HL165:HW165)/1000</f>
        <v>0</v>
      </c>
      <c r="S165" s="13">
        <f t="shared" ref="S165:S228" si="173">SUM(HX165:II165)/1000</f>
        <v>0</v>
      </c>
      <c r="T165" s="13">
        <f t="shared" ref="T165:T228" si="174">SUM(IJ165:IU165)/1000</f>
        <v>0</v>
      </c>
      <c r="U165" s="13">
        <f t="shared" ref="U165:U228" si="175">SUM(IV165:JG165)/1000</f>
        <v>0</v>
      </c>
      <c r="V165" s="13">
        <f t="shared" ref="V165:V228" si="176">SUM(JH165:JS165)/1000</f>
        <v>0</v>
      </c>
      <c r="W165" s="13">
        <f t="shared" ref="W165:W228" si="177">SUM(JT165:KE165)/1000</f>
        <v>0</v>
      </c>
      <c r="X165" s="13">
        <f t="shared" ref="X165:X228" si="178">SUM(KF165:KQ165)/1000</f>
        <v>0</v>
      </c>
      <c r="Y165" s="13">
        <f t="shared" ref="Y165:Y228" si="179">SUM(KR165:LC165)/1000</f>
        <v>0</v>
      </c>
      <c r="Z165" s="13">
        <f t="shared" ref="Z165:Z228" si="180">SUM(LD165:LO165)/1000</f>
        <v>0</v>
      </c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</row>
    <row r="166" spans="1:345" s="14" customFormat="1">
      <c r="A166" s="15" t="s">
        <v>160</v>
      </c>
      <c r="B166" s="13">
        <f t="shared" si="156"/>
        <v>0</v>
      </c>
      <c r="C166" s="13">
        <f t="shared" si="157"/>
        <v>0</v>
      </c>
      <c r="D166" s="13">
        <f t="shared" si="158"/>
        <v>0</v>
      </c>
      <c r="E166" s="13">
        <f t="shared" si="159"/>
        <v>0</v>
      </c>
      <c r="F166" s="13">
        <f t="shared" si="160"/>
        <v>0</v>
      </c>
      <c r="G166" s="13">
        <f t="shared" si="161"/>
        <v>0</v>
      </c>
      <c r="H166" s="13">
        <f t="shared" si="162"/>
        <v>0</v>
      </c>
      <c r="I166" s="13">
        <f t="shared" si="163"/>
        <v>0</v>
      </c>
      <c r="J166" s="13">
        <f t="shared" si="164"/>
        <v>0</v>
      </c>
      <c r="K166" s="13">
        <f t="shared" si="165"/>
        <v>0</v>
      </c>
      <c r="L166" s="13">
        <f t="shared" si="166"/>
        <v>0</v>
      </c>
      <c r="M166" s="13">
        <f t="shared" si="167"/>
        <v>0</v>
      </c>
      <c r="N166" s="13">
        <f t="shared" si="168"/>
        <v>0</v>
      </c>
      <c r="O166" s="13">
        <f t="shared" si="169"/>
        <v>0</v>
      </c>
      <c r="P166" s="13">
        <f t="shared" si="170"/>
        <v>0</v>
      </c>
      <c r="Q166" s="13">
        <f t="shared" si="171"/>
        <v>0</v>
      </c>
      <c r="R166" s="13">
        <f t="shared" si="172"/>
        <v>0</v>
      </c>
      <c r="S166" s="13">
        <f t="shared" si="173"/>
        <v>0</v>
      </c>
      <c r="T166" s="13">
        <f t="shared" si="174"/>
        <v>0</v>
      </c>
      <c r="U166" s="13">
        <f t="shared" si="175"/>
        <v>0</v>
      </c>
      <c r="V166" s="13">
        <f t="shared" si="176"/>
        <v>0</v>
      </c>
      <c r="W166" s="13">
        <f t="shared" si="177"/>
        <v>0</v>
      </c>
      <c r="X166" s="13">
        <f t="shared" si="178"/>
        <v>0</v>
      </c>
      <c r="Y166" s="13">
        <f t="shared" si="179"/>
        <v>0</v>
      </c>
      <c r="Z166" s="13">
        <f t="shared" si="180"/>
        <v>0</v>
      </c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</row>
    <row r="167" spans="1:345" s="14" customFormat="1">
      <c r="A167" s="12" t="s">
        <v>161</v>
      </c>
      <c r="B167" s="13">
        <f t="shared" si="156"/>
        <v>0</v>
      </c>
      <c r="C167" s="13">
        <f t="shared" si="157"/>
        <v>0</v>
      </c>
      <c r="D167" s="13">
        <f t="shared" si="158"/>
        <v>0</v>
      </c>
      <c r="E167" s="13">
        <f t="shared" si="159"/>
        <v>0</v>
      </c>
      <c r="F167" s="13">
        <f t="shared" si="160"/>
        <v>0</v>
      </c>
      <c r="G167" s="13">
        <f t="shared" si="161"/>
        <v>0</v>
      </c>
      <c r="H167" s="13">
        <f t="shared" si="162"/>
        <v>0</v>
      </c>
      <c r="I167" s="13">
        <f t="shared" si="163"/>
        <v>0</v>
      </c>
      <c r="J167" s="13">
        <f t="shared" si="164"/>
        <v>0</v>
      </c>
      <c r="K167" s="13">
        <f t="shared" si="165"/>
        <v>0</v>
      </c>
      <c r="L167" s="13">
        <f t="shared" si="166"/>
        <v>0</v>
      </c>
      <c r="M167" s="13">
        <f t="shared" si="167"/>
        <v>0</v>
      </c>
      <c r="N167" s="13">
        <f t="shared" si="168"/>
        <v>0</v>
      </c>
      <c r="O167" s="13">
        <f t="shared" si="169"/>
        <v>0</v>
      </c>
      <c r="P167" s="13">
        <f t="shared" si="170"/>
        <v>0</v>
      </c>
      <c r="Q167" s="13">
        <f t="shared" si="171"/>
        <v>0</v>
      </c>
      <c r="R167" s="13">
        <f t="shared" si="172"/>
        <v>0</v>
      </c>
      <c r="S167" s="13">
        <f t="shared" si="173"/>
        <v>0</v>
      </c>
      <c r="T167" s="13">
        <f t="shared" si="174"/>
        <v>0</v>
      </c>
      <c r="U167" s="13">
        <f t="shared" si="175"/>
        <v>0</v>
      </c>
      <c r="V167" s="13">
        <f t="shared" si="176"/>
        <v>0</v>
      </c>
      <c r="W167" s="13">
        <f t="shared" si="177"/>
        <v>0</v>
      </c>
      <c r="X167" s="13">
        <f t="shared" si="178"/>
        <v>0</v>
      </c>
      <c r="Y167" s="13">
        <f t="shared" si="179"/>
        <v>0</v>
      </c>
      <c r="Z167" s="13">
        <f t="shared" si="180"/>
        <v>0</v>
      </c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</row>
    <row r="168" spans="1:345" s="14" customFormat="1">
      <c r="A168" s="15" t="s">
        <v>162</v>
      </c>
      <c r="B168" s="13">
        <f t="shared" si="156"/>
        <v>0</v>
      </c>
      <c r="C168" s="13">
        <f t="shared" si="157"/>
        <v>0</v>
      </c>
      <c r="D168" s="13">
        <f t="shared" si="158"/>
        <v>0</v>
      </c>
      <c r="E168" s="13">
        <f t="shared" si="159"/>
        <v>0</v>
      </c>
      <c r="F168" s="13">
        <f t="shared" si="160"/>
        <v>0</v>
      </c>
      <c r="G168" s="13">
        <f t="shared" si="161"/>
        <v>0</v>
      </c>
      <c r="H168" s="13">
        <f t="shared" si="162"/>
        <v>0</v>
      </c>
      <c r="I168" s="13">
        <f t="shared" si="163"/>
        <v>0</v>
      </c>
      <c r="J168" s="13">
        <f t="shared" si="164"/>
        <v>0</v>
      </c>
      <c r="K168" s="13">
        <f t="shared" si="165"/>
        <v>0</v>
      </c>
      <c r="L168" s="13">
        <f t="shared" si="166"/>
        <v>0</v>
      </c>
      <c r="M168" s="13">
        <f t="shared" si="167"/>
        <v>0</v>
      </c>
      <c r="N168" s="13">
        <f t="shared" si="168"/>
        <v>0</v>
      </c>
      <c r="O168" s="13">
        <f t="shared" si="169"/>
        <v>0</v>
      </c>
      <c r="P168" s="13">
        <f t="shared" si="170"/>
        <v>0</v>
      </c>
      <c r="Q168" s="13">
        <f t="shared" si="171"/>
        <v>0</v>
      </c>
      <c r="R168" s="13">
        <f t="shared" si="172"/>
        <v>0</v>
      </c>
      <c r="S168" s="13">
        <f t="shared" si="173"/>
        <v>0</v>
      </c>
      <c r="T168" s="13">
        <f t="shared" si="174"/>
        <v>0</v>
      </c>
      <c r="U168" s="13">
        <f t="shared" si="175"/>
        <v>0</v>
      </c>
      <c r="V168" s="13">
        <f t="shared" si="176"/>
        <v>0</v>
      </c>
      <c r="W168" s="13">
        <f t="shared" si="177"/>
        <v>0</v>
      </c>
      <c r="X168" s="13">
        <f t="shared" si="178"/>
        <v>0</v>
      </c>
      <c r="Y168" s="13">
        <f t="shared" si="179"/>
        <v>0</v>
      </c>
      <c r="Z168" s="13">
        <f t="shared" si="180"/>
        <v>0</v>
      </c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</row>
    <row r="169" spans="1:345" s="14" customFormat="1">
      <c r="A169" s="15" t="s">
        <v>163</v>
      </c>
      <c r="B169" s="13">
        <f t="shared" si="156"/>
        <v>0</v>
      </c>
      <c r="C169" s="13">
        <f t="shared" si="157"/>
        <v>0</v>
      </c>
      <c r="D169" s="13">
        <f t="shared" si="158"/>
        <v>0</v>
      </c>
      <c r="E169" s="13">
        <f t="shared" si="159"/>
        <v>0</v>
      </c>
      <c r="F169" s="13">
        <f t="shared" si="160"/>
        <v>0</v>
      </c>
      <c r="G169" s="13">
        <f t="shared" si="161"/>
        <v>0</v>
      </c>
      <c r="H169" s="13">
        <f t="shared" si="162"/>
        <v>0</v>
      </c>
      <c r="I169" s="13">
        <f t="shared" si="163"/>
        <v>0</v>
      </c>
      <c r="J169" s="13">
        <f t="shared" si="164"/>
        <v>0</v>
      </c>
      <c r="K169" s="13">
        <f t="shared" si="165"/>
        <v>0</v>
      </c>
      <c r="L169" s="13">
        <f t="shared" si="166"/>
        <v>0</v>
      </c>
      <c r="M169" s="13">
        <f t="shared" si="167"/>
        <v>0</v>
      </c>
      <c r="N169" s="13">
        <f t="shared" si="168"/>
        <v>0</v>
      </c>
      <c r="O169" s="13">
        <f t="shared" si="169"/>
        <v>0</v>
      </c>
      <c r="P169" s="13">
        <f t="shared" si="170"/>
        <v>0</v>
      </c>
      <c r="Q169" s="13">
        <f t="shared" si="171"/>
        <v>0</v>
      </c>
      <c r="R169" s="13">
        <f t="shared" si="172"/>
        <v>0</v>
      </c>
      <c r="S169" s="13">
        <f t="shared" si="173"/>
        <v>0</v>
      </c>
      <c r="T169" s="13">
        <f t="shared" si="174"/>
        <v>0</v>
      </c>
      <c r="U169" s="13">
        <f t="shared" si="175"/>
        <v>0</v>
      </c>
      <c r="V169" s="13">
        <f t="shared" si="176"/>
        <v>0</v>
      </c>
      <c r="W169" s="13">
        <f t="shared" si="177"/>
        <v>0</v>
      </c>
      <c r="X169" s="13">
        <f t="shared" si="178"/>
        <v>0</v>
      </c>
      <c r="Y169" s="13">
        <f t="shared" si="179"/>
        <v>0</v>
      </c>
      <c r="Z169" s="13">
        <f t="shared" si="180"/>
        <v>0</v>
      </c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</row>
    <row r="170" spans="1:345" s="14" customFormat="1">
      <c r="A170" s="15" t="s">
        <v>164</v>
      </c>
      <c r="B170" s="13">
        <f t="shared" si="156"/>
        <v>0</v>
      </c>
      <c r="C170" s="13">
        <f t="shared" si="157"/>
        <v>0</v>
      </c>
      <c r="D170" s="13">
        <f t="shared" si="158"/>
        <v>0</v>
      </c>
      <c r="E170" s="13">
        <f t="shared" si="159"/>
        <v>0</v>
      </c>
      <c r="F170" s="13">
        <f t="shared" si="160"/>
        <v>0</v>
      </c>
      <c r="G170" s="13">
        <f t="shared" si="161"/>
        <v>0</v>
      </c>
      <c r="H170" s="13">
        <f t="shared" si="162"/>
        <v>0</v>
      </c>
      <c r="I170" s="13">
        <f t="shared" si="163"/>
        <v>0</v>
      </c>
      <c r="J170" s="13">
        <f t="shared" si="164"/>
        <v>0</v>
      </c>
      <c r="K170" s="13">
        <f t="shared" si="165"/>
        <v>0</v>
      </c>
      <c r="L170" s="13">
        <f t="shared" si="166"/>
        <v>0</v>
      </c>
      <c r="M170" s="13">
        <f t="shared" si="167"/>
        <v>0</v>
      </c>
      <c r="N170" s="13">
        <f t="shared" si="168"/>
        <v>0</v>
      </c>
      <c r="O170" s="13">
        <f t="shared" si="169"/>
        <v>0</v>
      </c>
      <c r="P170" s="13">
        <f t="shared" si="170"/>
        <v>0</v>
      </c>
      <c r="Q170" s="13">
        <f t="shared" si="171"/>
        <v>0</v>
      </c>
      <c r="R170" s="13">
        <f t="shared" si="172"/>
        <v>0</v>
      </c>
      <c r="S170" s="13">
        <f t="shared" si="173"/>
        <v>0</v>
      </c>
      <c r="T170" s="13">
        <f t="shared" si="174"/>
        <v>0</v>
      </c>
      <c r="U170" s="13">
        <f t="shared" si="175"/>
        <v>0</v>
      </c>
      <c r="V170" s="13">
        <f t="shared" si="176"/>
        <v>0</v>
      </c>
      <c r="W170" s="13">
        <f t="shared" si="177"/>
        <v>0</v>
      </c>
      <c r="X170" s="13">
        <f t="shared" si="178"/>
        <v>0</v>
      </c>
      <c r="Y170" s="13">
        <f t="shared" si="179"/>
        <v>0</v>
      </c>
      <c r="Z170" s="13">
        <f t="shared" si="180"/>
        <v>0</v>
      </c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</row>
    <row r="171" spans="1:345" s="14" customFormat="1">
      <c r="A171" s="15" t="s">
        <v>165</v>
      </c>
      <c r="B171" s="13">
        <f t="shared" si="156"/>
        <v>0</v>
      </c>
      <c r="C171" s="13">
        <f t="shared" si="157"/>
        <v>0</v>
      </c>
      <c r="D171" s="13">
        <f t="shared" si="158"/>
        <v>0</v>
      </c>
      <c r="E171" s="13">
        <f t="shared" si="159"/>
        <v>0</v>
      </c>
      <c r="F171" s="13">
        <f t="shared" si="160"/>
        <v>0</v>
      </c>
      <c r="G171" s="13">
        <f t="shared" si="161"/>
        <v>0</v>
      </c>
      <c r="H171" s="13">
        <f t="shared" si="162"/>
        <v>0</v>
      </c>
      <c r="I171" s="13">
        <f t="shared" si="163"/>
        <v>0</v>
      </c>
      <c r="J171" s="13">
        <f t="shared" si="164"/>
        <v>0</v>
      </c>
      <c r="K171" s="13">
        <f t="shared" si="165"/>
        <v>0</v>
      </c>
      <c r="L171" s="13">
        <f t="shared" si="166"/>
        <v>0</v>
      </c>
      <c r="M171" s="13">
        <f t="shared" si="167"/>
        <v>0</v>
      </c>
      <c r="N171" s="13">
        <f t="shared" si="168"/>
        <v>0</v>
      </c>
      <c r="O171" s="13">
        <f t="shared" si="169"/>
        <v>0</v>
      </c>
      <c r="P171" s="13">
        <f t="shared" si="170"/>
        <v>0</v>
      </c>
      <c r="Q171" s="13">
        <f t="shared" si="171"/>
        <v>0</v>
      </c>
      <c r="R171" s="13">
        <f t="shared" si="172"/>
        <v>0</v>
      </c>
      <c r="S171" s="13">
        <f t="shared" si="173"/>
        <v>0</v>
      </c>
      <c r="T171" s="13">
        <f t="shared" si="174"/>
        <v>0</v>
      </c>
      <c r="U171" s="13">
        <f t="shared" si="175"/>
        <v>0</v>
      </c>
      <c r="V171" s="13">
        <f t="shared" si="176"/>
        <v>0</v>
      </c>
      <c r="W171" s="13">
        <f t="shared" si="177"/>
        <v>0</v>
      </c>
      <c r="X171" s="13">
        <f t="shared" si="178"/>
        <v>0</v>
      </c>
      <c r="Y171" s="13">
        <f t="shared" si="179"/>
        <v>0</v>
      </c>
      <c r="Z171" s="13">
        <f t="shared" si="180"/>
        <v>0</v>
      </c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</row>
    <row r="172" spans="1:345" s="14" customFormat="1">
      <c r="A172" s="15" t="s">
        <v>166</v>
      </c>
      <c r="B172" s="13">
        <f t="shared" si="156"/>
        <v>0</v>
      </c>
      <c r="C172" s="13">
        <f t="shared" si="157"/>
        <v>0</v>
      </c>
      <c r="D172" s="13">
        <f t="shared" si="158"/>
        <v>0</v>
      </c>
      <c r="E172" s="13">
        <f t="shared" si="159"/>
        <v>0</v>
      </c>
      <c r="F172" s="13">
        <f t="shared" si="160"/>
        <v>0</v>
      </c>
      <c r="G172" s="13">
        <f t="shared" si="161"/>
        <v>0</v>
      </c>
      <c r="H172" s="13">
        <f t="shared" si="162"/>
        <v>0</v>
      </c>
      <c r="I172" s="13">
        <f t="shared" si="163"/>
        <v>0</v>
      </c>
      <c r="J172" s="13">
        <f t="shared" si="164"/>
        <v>0</v>
      </c>
      <c r="K172" s="13">
        <f t="shared" si="165"/>
        <v>0</v>
      </c>
      <c r="L172" s="13">
        <f t="shared" si="166"/>
        <v>0</v>
      </c>
      <c r="M172" s="13">
        <f t="shared" si="167"/>
        <v>0</v>
      </c>
      <c r="N172" s="13">
        <f t="shared" si="168"/>
        <v>0</v>
      </c>
      <c r="O172" s="13">
        <f t="shared" si="169"/>
        <v>0</v>
      </c>
      <c r="P172" s="13">
        <f t="shared" si="170"/>
        <v>0</v>
      </c>
      <c r="Q172" s="13">
        <f t="shared" si="171"/>
        <v>0</v>
      </c>
      <c r="R172" s="13">
        <f t="shared" si="172"/>
        <v>0</v>
      </c>
      <c r="S172" s="13">
        <f t="shared" si="173"/>
        <v>0</v>
      </c>
      <c r="T172" s="13">
        <f t="shared" si="174"/>
        <v>0</v>
      </c>
      <c r="U172" s="13">
        <f t="shared" si="175"/>
        <v>0</v>
      </c>
      <c r="V172" s="13">
        <f t="shared" si="176"/>
        <v>0</v>
      </c>
      <c r="W172" s="13">
        <f t="shared" si="177"/>
        <v>0</v>
      </c>
      <c r="X172" s="13">
        <f t="shared" si="178"/>
        <v>0</v>
      </c>
      <c r="Y172" s="13">
        <f t="shared" si="179"/>
        <v>0</v>
      </c>
      <c r="Z172" s="13">
        <f t="shared" si="180"/>
        <v>4.8441000000000005E-3</v>
      </c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>
        <v>4.8441000000000001</v>
      </c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</row>
    <row r="173" spans="1:345" s="14" customFormat="1">
      <c r="A173" s="12" t="s">
        <v>167</v>
      </c>
      <c r="B173" s="13">
        <f t="shared" si="156"/>
        <v>0</v>
      </c>
      <c r="C173" s="13">
        <f t="shared" si="157"/>
        <v>0</v>
      </c>
      <c r="D173" s="13">
        <f t="shared" si="158"/>
        <v>0</v>
      </c>
      <c r="E173" s="13">
        <f t="shared" si="159"/>
        <v>0</v>
      </c>
      <c r="F173" s="13">
        <f t="shared" si="160"/>
        <v>0</v>
      </c>
      <c r="G173" s="13">
        <f t="shared" si="161"/>
        <v>0</v>
      </c>
      <c r="H173" s="13">
        <f t="shared" si="162"/>
        <v>0</v>
      </c>
      <c r="I173" s="13">
        <f t="shared" si="163"/>
        <v>0</v>
      </c>
      <c r="J173" s="13">
        <f t="shared" si="164"/>
        <v>0</v>
      </c>
      <c r="K173" s="13">
        <f t="shared" si="165"/>
        <v>0</v>
      </c>
      <c r="L173" s="13">
        <f t="shared" si="166"/>
        <v>0</v>
      </c>
      <c r="M173" s="13">
        <f t="shared" si="167"/>
        <v>0</v>
      </c>
      <c r="N173" s="13">
        <f t="shared" si="168"/>
        <v>0</v>
      </c>
      <c r="O173" s="13">
        <f t="shared" si="169"/>
        <v>0</v>
      </c>
      <c r="P173" s="13">
        <f t="shared" si="170"/>
        <v>0</v>
      </c>
      <c r="Q173" s="13">
        <f t="shared" si="171"/>
        <v>0</v>
      </c>
      <c r="R173" s="13">
        <f t="shared" si="172"/>
        <v>0</v>
      </c>
      <c r="S173" s="13">
        <f t="shared" si="173"/>
        <v>0</v>
      </c>
      <c r="T173" s="13">
        <f t="shared" si="174"/>
        <v>0</v>
      </c>
      <c r="U173" s="13">
        <f t="shared" si="175"/>
        <v>0</v>
      </c>
      <c r="V173" s="13">
        <f t="shared" si="176"/>
        <v>0</v>
      </c>
      <c r="W173" s="13">
        <f t="shared" si="177"/>
        <v>0</v>
      </c>
      <c r="X173" s="13">
        <f t="shared" si="178"/>
        <v>0</v>
      </c>
      <c r="Y173" s="13">
        <f t="shared" si="179"/>
        <v>0</v>
      </c>
      <c r="Z173" s="13">
        <f t="shared" si="180"/>
        <v>0</v>
      </c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</row>
    <row r="174" spans="1:345" s="14" customFormat="1">
      <c r="A174" s="12" t="s">
        <v>168</v>
      </c>
      <c r="B174" s="13">
        <f t="shared" si="156"/>
        <v>0</v>
      </c>
      <c r="C174" s="13">
        <f t="shared" si="157"/>
        <v>0</v>
      </c>
      <c r="D174" s="13">
        <f t="shared" si="158"/>
        <v>0</v>
      </c>
      <c r="E174" s="13">
        <f t="shared" si="159"/>
        <v>0</v>
      </c>
      <c r="F174" s="13">
        <f t="shared" si="160"/>
        <v>0</v>
      </c>
      <c r="G174" s="13">
        <f t="shared" si="161"/>
        <v>0</v>
      </c>
      <c r="H174" s="13">
        <f t="shared" si="162"/>
        <v>0</v>
      </c>
      <c r="I174" s="13">
        <f t="shared" si="163"/>
        <v>0</v>
      </c>
      <c r="J174" s="13">
        <f t="shared" si="164"/>
        <v>0</v>
      </c>
      <c r="K174" s="13">
        <f t="shared" si="165"/>
        <v>0</v>
      </c>
      <c r="L174" s="13">
        <f t="shared" si="166"/>
        <v>0</v>
      </c>
      <c r="M174" s="13">
        <f t="shared" si="167"/>
        <v>0</v>
      </c>
      <c r="N174" s="13">
        <f t="shared" si="168"/>
        <v>0</v>
      </c>
      <c r="O174" s="13">
        <f t="shared" si="169"/>
        <v>0</v>
      </c>
      <c r="P174" s="13">
        <f t="shared" si="170"/>
        <v>0</v>
      </c>
      <c r="Q174" s="13">
        <f t="shared" si="171"/>
        <v>0</v>
      </c>
      <c r="R174" s="13">
        <f t="shared" si="172"/>
        <v>0</v>
      </c>
      <c r="S174" s="13">
        <f t="shared" si="173"/>
        <v>0</v>
      </c>
      <c r="T174" s="13">
        <f t="shared" si="174"/>
        <v>0</v>
      </c>
      <c r="U174" s="13">
        <f t="shared" si="175"/>
        <v>0</v>
      </c>
      <c r="V174" s="13">
        <f t="shared" si="176"/>
        <v>0</v>
      </c>
      <c r="W174" s="13">
        <f t="shared" si="177"/>
        <v>0</v>
      </c>
      <c r="X174" s="13">
        <f t="shared" si="178"/>
        <v>0</v>
      </c>
      <c r="Y174" s="13">
        <f t="shared" si="179"/>
        <v>0</v>
      </c>
      <c r="Z174" s="13">
        <f t="shared" si="180"/>
        <v>0</v>
      </c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</row>
    <row r="175" spans="1:345" s="14" customFormat="1">
      <c r="A175" s="15" t="s">
        <v>169</v>
      </c>
      <c r="B175" s="13">
        <f t="shared" si="156"/>
        <v>0</v>
      </c>
      <c r="C175" s="13">
        <f t="shared" si="157"/>
        <v>0</v>
      </c>
      <c r="D175" s="13">
        <f t="shared" si="158"/>
        <v>0</v>
      </c>
      <c r="E175" s="13">
        <f t="shared" si="159"/>
        <v>0</v>
      </c>
      <c r="F175" s="13">
        <f t="shared" si="160"/>
        <v>0</v>
      </c>
      <c r="G175" s="13">
        <f t="shared" si="161"/>
        <v>0</v>
      </c>
      <c r="H175" s="13">
        <f t="shared" si="162"/>
        <v>0</v>
      </c>
      <c r="I175" s="13">
        <f t="shared" si="163"/>
        <v>0</v>
      </c>
      <c r="J175" s="13">
        <f t="shared" si="164"/>
        <v>0</v>
      </c>
      <c r="K175" s="13">
        <f t="shared" si="165"/>
        <v>0</v>
      </c>
      <c r="L175" s="13">
        <f t="shared" si="166"/>
        <v>0</v>
      </c>
      <c r="M175" s="13">
        <f t="shared" si="167"/>
        <v>0</v>
      </c>
      <c r="N175" s="13">
        <f t="shared" si="168"/>
        <v>0</v>
      </c>
      <c r="O175" s="13">
        <f t="shared" si="169"/>
        <v>0</v>
      </c>
      <c r="P175" s="13">
        <f t="shared" si="170"/>
        <v>0</v>
      </c>
      <c r="Q175" s="13">
        <f t="shared" si="171"/>
        <v>0</v>
      </c>
      <c r="R175" s="13">
        <f t="shared" si="172"/>
        <v>0</v>
      </c>
      <c r="S175" s="13">
        <f t="shared" si="173"/>
        <v>0</v>
      </c>
      <c r="T175" s="13">
        <f t="shared" si="174"/>
        <v>0</v>
      </c>
      <c r="U175" s="13">
        <f t="shared" si="175"/>
        <v>0</v>
      </c>
      <c r="V175" s="13">
        <f t="shared" si="176"/>
        <v>0</v>
      </c>
      <c r="W175" s="13">
        <f t="shared" si="177"/>
        <v>0</v>
      </c>
      <c r="X175" s="13">
        <f t="shared" si="178"/>
        <v>0</v>
      </c>
      <c r="Y175" s="13">
        <f t="shared" si="179"/>
        <v>0</v>
      </c>
      <c r="Z175" s="13">
        <f t="shared" si="180"/>
        <v>0</v>
      </c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</row>
    <row r="176" spans="1:345" s="14" customFormat="1">
      <c r="A176" s="12" t="s">
        <v>170</v>
      </c>
      <c r="B176" s="13">
        <f t="shared" si="156"/>
        <v>0</v>
      </c>
      <c r="C176" s="13">
        <f t="shared" si="157"/>
        <v>0</v>
      </c>
      <c r="D176" s="13">
        <f t="shared" si="158"/>
        <v>0</v>
      </c>
      <c r="E176" s="13">
        <f t="shared" si="159"/>
        <v>0</v>
      </c>
      <c r="F176" s="13">
        <f t="shared" si="160"/>
        <v>0</v>
      </c>
      <c r="G176" s="13">
        <f t="shared" si="161"/>
        <v>0</v>
      </c>
      <c r="H176" s="13">
        <f t="shared" si="162"/>
        <v>0</v>
      </c>
      <c r="I176" s="13">
        <f t="shared" si="163"/>
        <v>0</v>
      </c>
      <c r="J176" s="13">
        <f t="shared" si="164"/>
        <v>0</v>
      </c>
      <c r="K176" s="13">
        <f t="shared" si="165"/>
        <v>0</v>
      </c>
      <c r="L176" s="13">
        <f t="shared" si="166"/>
        <v>0</v>
      </c>
      <c r="M176" s="13">
        <f t="shared" si="167"/>
        <v>0</v>
      </c>
      <c r="N176" s="13">
        <f t="shared" si="168"/>
        <v>0</v>
      </c>
      <c r="O176" s="13">
        <f t="shared" si="169"/>
        <v>0</v>
      </c>
      <c r="P176" s="13">
        <f t="shared" si="170"/>
        <v>0</v>
      </c>
      <c r="Q176" s="13">
        <f t="shared" si="171"/>
        <v>0</v>
      </c>
      <c r="R176" s="13">
        <f t="shared" si="172"/>
        <v>0</v>
      </c>
      <c r="S176" s="13">
        <f t="shared" si="173"/>
        <v>0</v>
      </c>
      <c r="T176" s="13">
        <f t="shared" si="174"/>
        <v>0</v>
      </c>
      <c r="U176" s="13">
        <f t="shared" si="175"/>
        <v>0</v>
      </c>
      <c r="V176" s="13">
        <f t="shared" si="176"/>
        <v>0</v>
      </c>
      <c r="W176" s="13">
        <f t="shared" si="177"/>
        <v>0</v>
      </c>
      <c r="X176" s="13">
        <f t="shared" si="178"/>
        <v>0</v>
      </c>
      <c r="Y176" s="13">
        <f t="shared" si="179"/>
        <v>0</v>
      </c>
      <c r="Z176" s="13">
        <f t="shared" si="180"/>
        <v>0</v>
      </c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</row>
    <row r="177" spans="1:345" s="14" customFormat="1">
      <c r="A177" s="15" t="s">
        <v>171</v>
      </c>
      <c r="B177" s="13">
        <f t="shared" si="156"/>
        <v>0</v>
      </c>
      <c r="C177" s="13">
        <f t="shared" si="157"/>
        <v>0</v>
      </c>
      <c r="D177" s="13">
        <f t="shared" si="158"/>
        <v>0</v>
      </c>
      <c r="E177" s="13">
        <f t="shared" si="159"/>
        <v>0</v>
      </c>
      <c r="F177" s="13">
        <f t="shared" si="160"/>
        <v>0</v>
      </c>
      <c r="G177" s="13">
        <f t="shared" si="161"/>
        <v>0</v>
      </c>
      <c r="H177" s="13">
        <f t="shared" si="162"/>
        <v>0</v>
      </c>
      <c r="I177" s="13">
        <f t="shared" si="163"/>
        <v>0</v>
      </c>
      <c r="J177" s="13">
        <f t="shared" si="164"/>
        <v>0</v>
      </c>
      <c r="K177" s="13">
        <f t="shared" si="165"/>
        <v>0</v>
      </c>
      <c r="L177" s="13">
        <f t="shared" si="166"/>
        <v>0</v>
      </c>
      <c r="M177" s="13">
        <f t="shared" si="167"/>
        <v>0</v>
      </c>
      <c r="N177" s="13">
        <f t="shared" si="168"/>
        <v>0</v>
      </c>
      <c r="O177" s="13">
        <f t="shared" si="169"/>
        <v>0</v>
      </c>
      <c r="P177" s="13">
        <f t="shared" si="170"/>
        <v>0</v>
      </c>
      <c r="Q177" s="13">
        <f t="shared" si="171"/>
        <v>0</v>
      </c>
      <c r="R177" s="13">
        <f t="shared" si="172"/>
        <v>0</v>
      </c>
      <c r="S177" s="13">
        <f t="shared" si="173"/>
        <v>0</v>
      </c>
      <c r="T177" s="13">
        <f t="shared" si="174"/>
        <v>0</v>
      </c>
      <c r="U177" s="13">
        <f t="shared" si="175"/>
        <v>0</v>
      </c>
      <c r="V177" s="13">
        <f t="shared" si="176"/>
        <v>0</v>
      </c>
      <c r="W177" s="13">
        <f t="shared" si="177"/>
        <v>0</v>
      </c>
      <c r="X177" s="13">
        <f t="shared" si="178"/>
        <v>0</v>
      </c>
      <c r="Y177" s="13">
        <f t="shared" si="179"/>
        <v>0</v>
      </c>
      <c r="Z177" s="13">
        <f t="shared" si="180"/>
        <v>0</v>
      </c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</row>
    <row r="178" spans="1:345" s="14" customFormat="1">
      <c r="A178" s="15" t="s">
        <v>172</v>
      </c>
      <c r="B178" s="13">
        <f t="shared" si="156"/>
        <v>0</v>
      </c>
      <c r="C178" s="13">
        <f t="shared" si="157"/>
        <v>0</v>
      </c>
      <c r="D178" s="13">
        <f t="shared" si="158"/>
        <v>0</v>
      </c>
      <c r="E178" s="13">
        <f t="shared" si="159"/>
        <v>0</v>
      </c>
      <c r="F178" s="13">
        <f t="shared" si="160"/>
        <v>0</v>
      </c>
      <c r="G178" s="13">
        <f t="shared" si="161"/>
        <v>0</v>
      </c>
      <c r="H178" s="13">
        <f t="shared" si="162"/>
        <v>0</v>
      </c>
      <c r="I178" s="13">
        <f t="shared" si="163"/>
        <v>0</v>
      </c>
      <c r="J178" s="13">
        <f t="shared" si="164"/>
        <v>0</v>
      </c>
      <c r="K178" s="13">
        <f t="shared" si="165"/>
        <v>0</v>
      </c>
      <c r="L178" s="13">
        <f t="shared" si="166"/>
        <v>0</v>
      </c>
      <c r="M178" s="13">
        <f t="shared" si="167"/>
        <v>0</v>
      </c>
      <c r="N178" s="13">
        <f t="shared" si="168"/>
        <v>0</v>
      </c>
      <c r="O178" s="13">
        <f t="shared" si="169"/>
        <v>0</v>
      </c>
      <c r="P178" s="13">
        <f t="shared" si="170"/>
        <v>0</v>
      </c>
      <c r="Q178" s="13">
        <f t="shared" si="171"/>
        <v>0</v>
      </c>
      <c r="R178" s="13">
        <f t="shared" si="172"/>
        <v>0</v>
      </c>
      <c r="S178" s="13">
        <f t="shared" si="173"/>
        <v>0</v>
      </c>
      <c r="T178" s="13">
        <f t="shared" si="174"/>
        <v>0</v>
      </c>
      <c r="U178" s="13">
        <f t="shared" si="175"/>
        <v>0</v>
      </c>
      <c r="V178" s="13">
        <f t="shared" si="176"/>
        <v>0</v>
      </c>
      <c r="W178" s="13">
        <f t="shared" si="177"/>
        <v>0</v>
      </c>
      <c r="X178" s="13">
        <f t="shared" si="178"/>
        <v>0</v>
      </c>
      <c r="Y178" s="13">
        <f t="shared" si="179"/>
        <v>0</v>
      </c>
      <c r="Z178" s="13">
        <f t="shared" si="180"/>
        <v>0</v>
      </c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</row>
    <row r="179" spans="1:345" s="14" customFormat="1">
      <c r="A179" s="15" t="s">
        <v>173</v>
      </c>
      <c r="B179" s="13">
        <f t="shared" si="156"/>
        <v>0</v>
      </c>
      <c r="C179" s="13">
        <f t="shared" si="157"/>
        <v>0</v>
      </c>
      <c r="D179" s="13">
        <f t="shared" si="158"/>
        <v>0</v>
      </c>
      <c r="E179" s="13">
        <f t="shared" si="159"/>
        <v>0</v>
      </c>
      <c r="F179" s="13">
        <f t="shared" si="160"/>
        <v>0</v>
      </c>
      <c r="G179" s="13">
        <f t="shared" si="161"/>
        <v>0</v>
      </c>
      <c r="H179" s="13">
        <f t="shared" si="162"/>
        <v>0</v>
      </c>
      <c r="I179" s="13">
        <f t="shared" si="163"/>
        <v>0</v>
      </c>
      <c r="J179" s="13">
        <f t="shared" si="164"/>
        <v>0</v>
      </c>
      <c r="K179" s="13">
        <f t="shared" si="165"/>
        <v>0</v>
      </c>
      <c r="L179" s="13">
        <f t="shared" si="166"/>
        <v>0</v>
      </c>
      <c r="M179" s="13">
        <f t="shared" si="167"/>
        <v>0</v>
      </c>
      <c r="N179" s="13">
        <f t="shared" si="168"/>
        <v>0</v>
      </c>
      <c r="O179" s="13">
        <f t="shared" si="169"/>
        <v>0</v>
      </c>
      <c r="P179" s="13">
        <f t="shared" si="170"/>
        <v>0</v>
      </c>
      <c r="Q179" s="13">
        <f t="shared" si="171"/>
        <v>0</v>
      </c>
      <c r="R179" s="13">
        <f t="shared" si="172"/>
        <v>0</v>
      </c>
      <c r="S179" s="13">
        <f t="shared" si="173"/>
        <v>0</v>
      </c>
      <c r="T179" s="13">
        <f t="shared" si="174"/>
        <v>0</v>
      </c>
      <c r="U179" s="13">
        <f t="shared" si="175"/>
        <v>0</v>
      </c>
      <c r="V179" s="13">
        <f t="shared" si="176"/>
        <v>0</v>
      </c>
      <c r="W179" s="13">
        <f t="shared" si="177"/>
        <v>0</v>
      </c>
      <c r="X179" s="13">
        <f t="shared" si="178"/>
        <v>0</v>
      </c>
      <c r="Y179" s="13">
        <f t="shared" si="179"/>
        <v>0</v>
      </c>
      <c r="Z179" s="13">
        <f t="shared" si="180"/>
        <v>0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</row>
    <row r="180" spans="1:345" s="14" customFormat="1">
      <c r="A180" s="15" t="s">
        <v>174</v>
      </c>
      <c r="B180" s="13">
        <f t="shared" si="156"/>
        <v>0</v>
      </c>
      <c r="C180" s="13">
        <f t="shared" si="157"/>
        <v>0</v>
      </c>
      <c r="D180" s="13">
        <f t="shared" si="158"/>
        <v>0</v>
      </c>
      <c r="E180" s="13">
        <f t="shared" si="159"/>
        <v>0</v>
      </c>
      <c r="F180" s="13">
        <f t="shared" si="160"/>
        <v>0</v>
      </c>
      <c r="G180" s="13">
        <f t="shared" si="161"/>
        <v>0</v>
      </c>
      <c r="H180" s="13">
        <f t="shared" si="162"/>
        <v>0</v>
      </c>
      <c r="I180" s="13">
        <f t="shared" si="163"/>
        <v>0</v>
      </c>
      <c r="J180" s="13">
        <f t="shared" si="164"/>
        <v>0</v>
      </c>
      <c r="K180" s="13">
        <f t="shared" si="165"/>
        <v>0</v>
      </c>
      <c r="L180" s="13">
        <f t="shared" si="166"/>
        <v>0</v>
      </c>
      <c r="M180" s="13">
        <f t="shared" si="167"/>
        <v>0</v>
      </c>
      <c r="N180" s="13">
        <f t="shared" si="168"/>
        <v>0</v>
      </c>
      <c r="O180" s="13">
        <f t="shared" si="169"/>
        <v>0</v>
      </c>
      <c r="P180" s="13">
        <f t="shared" si="170"/>
        <v>0</v>
      </c>
      <c r="Q180" s="13">
        <f t="shared" si="171"/>
        <v>0</v>
      </c>
      <c r="R180" s="13">
        <f t="shared" si="172"/>
        <v>0</v>
      </c>
      <c r="S180" s="13">
        <f t="shared" si="173"/>
        <v>0</v>
      </c>
      <c r="T180" s="13">
        <f t="shared" si="174"/>
        <v>0</v>
      </c>
      <c r="U180" s="13">
        <f t="shared" si="175"/>
        <v>0</v>
      </c>
      <c r="V180" s="13">
        <f t="shared" si="176"/>
        <v>0</v>
      </c>
      <c r="W180" s="13">
        <f t="shared" si="177"/>
        <v>0</v>
      </c>
      <c r="X180" s="13">
        <f t="shared" si="178"/>
        <v>0</v>
      </c>
      <c r="Y180" s="13">
        <f t="shared" si="179"/>
        <v>0</v>
      </c>
      <c r="Z180" s="13">
        <f t="shared" si="180"/>
        <v>0</v>
      </c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</row>
    <row r="181" spans="1:345" s="14" customFormat="1">
      <c r="A181" s="12" t="s">
        <v>175</v>
      </c>
      <c r="B181" s="13">
        <f t="shared" si="156"/>
        <v>0</v>
      </c>
      <c r="C181" s="13">
        <f t="shared" si="157"/>
        <v>0</v>
      </c>
      <c r="D181" s="13">
        <f t="shared" si="158"/>
        <v>0</v>
      </c>
      <c r="E181" s="13">
        <f t="shared" si="159"/>
        <v>0</v>
      </c>
      <c r="F181" s="13">
        <f t="shared" si="160"/>
        <v>0</v>
      </c>
      <c r="G181" s="13">
        <f t="shared" si="161"/>
        <v>0</v>
      </c>
      <c r="H181" s="13">
        <f t="shared" si="162"/>
        <v>0</v>
      </c>
      <c r="I181" s="13">
        <f t="shared" si="163"/>
        <v>0</v>
      </c>
      <c r="J181" s="13">
        <f t="shared" si="164"/>
        <v>0</v>
      </c>
      <c r="K181" s="13">
        <f t="shared" si="165"/>
        <v>0</v>
      </c>
      <c r="L181" s="13">
        <f t="shared" si="166"/>
        <v>0</v>
      </c>
      <c r="M181" s="13">
        <f t="shared" si="167"/>
        <v>0</v>
      </c>
      <c r="N181" s="13">
        <f t="shared" si="168"/>
        <v>0</v>
      </c>
      <c r="O181" s="13">
        <f t="shared" si="169"/>
        <v>0</v>
      </c>
      <c r="P181" s="13">
        <f t="shared" si="170"/>
        <v>0</v>
      </c>
      <c r="Q181" s="13">
        <f t="shared" si="171"/>
        <v>0</v>
      </c>
      <c r="R181" s="13">
        <f t="shared" si="172"/>
        <v>0</v>
      </c>
      <c r="S181" s="13">
        <f t="shared" si="173"/>
        <v>0</v>
      </c>
      <c r="T181" s="13">
        <f t="shared" si="174"/>
        <v>0</v>
      </c>
      <c r="U181" s="13">
        <f t="shared" si="175"/>
        <v>0</v>
      </c>
      <c r="V181" s="13">
        <f t="shared" si="176"/>
        <v>0</v>
      </c>
      <c r="W181" s="13">
        <f t="shared" si="177"/>
        <v>0</v>
      </c>
      <c r="X181" s="13">
        <f t="shared" si="178"/>
        <v>0</v>
      </c>
      <c r="Y181" s="13">
        <f t="shared" si="179"/>
        <v>0</v>
      </c>
      <c r="Z181" s="13">
        <f t="shared" si="180"/>
        <v>0</v>
      </c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</row>
    <row r="182" spans="1:345" s="14" customFormat="1">
      <c r="A182" s="12" t="s">
        <v>176</v>
      </c>
      <c r="B182" s="13">
        <f t="shared" si="156"/>
        <v>0</v>
      </c>
      <c r="C182" s="13">
        <f t="shared" si="157"/>
        <v>0</v>
      </c>
      <c r="D182" s="13">
        <f t="shared" si="158"/>
        <v>0</v>
      </c>
      <c r="E182" s="13">
        <f t="shared" si="159"/>
        <v>0</v>
      </c>
      <c r="F182" s="13">
        <f t="shared" si="160"/>
        <v>0</v>
      </c>
      <c r="G182" s="13">
        <f t="shared" si="161"/>
        <v>0</v>
      </c>
      <c r="H182" s="13">
        <f t="shared" si="162"/>
        <v>0</v>
      </c>
      <c r="I182" s="13">
        <f t="shared" si="163"/>
        <v>0</v>
      </c>
      <c r="J182" s="13">
        <f t="shared" si="164"/>
        <v>0</v>
      </c>
      <c r="K182" s="13">
        <f t="shared" si="165"/>
        <v>0</v>
      </c>
      <c r="L182" s="13">
        <f t="shared" si="166"/>
        <v>0</v>
      </c>
      <c r="M182" s="13">
        <f t="shared" si="167"/>
        <v>0</v>
      </c>
      <c r="N182" s="13">
        <f t="shared" si="168"/>
        <v>0</v>
      </c>
      <c r="O182" s="13">
        <f t="shared" si="169"/>
        <v>0</v>
      </c>
      <c r="P182" s="13">
        <f t="shared" si="170"/>
        <v>0</v>
      </c>
      <c r="Q182" s="13">
        <f t="shared" si="171"/>
        <v>0</v>
      </c>
      <c r="R182" s="13">
        <f t="shared" si="172"/>
        <v>0</v>
      </c>
      <c r="S182" s="13">
        <f t="shared" si="173"/>
        <v>0</v>
      </c>
      <c r="T182" s="13">
        <f t="shared" si="174"/>
        <v>0</v>
      </c>
      <c r="U182" s="13">
        <f t="shared" si="175"/>
        <v>0</v>
      </c>
      <c r="V182" s="13">
        <f t="shared" si="176"/>
        <v>0</v>
      </c>
      <c r="W182" s="13">
        <f t="shared" si="177"/>
        <v>0</v>
      </c>
      <c r="X182" s="13">
        <f t="shared" si="178"/>
        <v>0</v>
      </c>
      <c r="Y182" s="13">
        <f t="shared" si="179"/>
        <v>0</v>
      </c>
      <c r="Z182" s="13">
        <f t="shared" si="180"/>
        <v>0</v>
      </c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</row>
    <row r="183" spans="1:345" s="14" customFormat="1">
      <c r="A183" s="15" t="s">
        <v>177</v>
      </c>
      <c r="B183" s="13">
        <f t="shared" si="156"/>
        <v>0</v>
      </c>
      <c r="C183" s="13">
        <f t="shared" si="157"/>
        <v>0</v>
      </c>
      <c r="D183" s="13">
        <f t="shared" si="158"/>
        <v>0</v>
      </c>
      <c r="E183" s="13">
        <f t="shared" si="159"/>
        <v>0</v>
      </c>
      <c r="F183" s="13">
        <f t="shared" si="160"/>
        <v>0</v>
      </c>
      <c r="G183" s="13">
        <f t="shared" si="161"/>
        <v>0</v>
      </c>
      <c r="H183" s="13">
        <f t="shared" si="162"/>
        <v>0</v>
      </c>
      <c r="I183" s="13">
        <f t="shared" si="163"/>
        <v>0</v>
      </c>
      <c r="J183" s="13">
        <f t="shared" si="164"/>
        <v>0</v>
      </c>
      <c r="K183" s="13">
        <f t="shared" si="165"/>
        <v>0</v>
      </c>
      <c r="L183" s="13">
        <f t="shared" si="166"/>
        <v>0</v>
      </c>
      <c r="M183" s="13">
        <f t="shared" si="167"/>
        <v>0</v>
      </c>
      <c r="N183" s="13">
        <f t="shared" si="168"/>
        <v>0</v>
      </c>
      <c r="O183" s="13">
        <f t="shared" si="169"/>
        <v>0</v>
      </c>
      <c r="P183" s="13">
        <f t="shared" si="170"/>
        <v>0</v>
      </c>
      <c r="Q183" s="13">
        <f t="shared" si="171"/>
        <v>0</v>
      </c>
      <c r="R183" s="13">
        <f t="shared" si="172"/>
        <v>0</v>
      </c>
      <c r="S183" s="13">
        <f t="shared" si="173"/>
        <v>0</v>
      </c>
      <c r="T183" s="13">
        <f t="shared" si="174"/>
        <v>0</v>
      </c>
      <c r="U183" s="13">
        <f t="shared" si="175"/>
        <v>0</v>
      </c>
      <c r="V183" s="13">
        <f t="shared" si="176"/>
        <v>0</v>
      </c>
      <c r="W183" s="13">
        <f t="shared" si="177"/>
        <v>0</v>
      </c>
      <c r="X183" s="13">
        <f t="shared" si="178"/>
        <v>0</v>
      </c>
      <c r="Y183" s="13">
        <f t="shared" si="179"/>
        <v>0</v>
      </c>
      <c r="Z183" s="13">
        <f t="shared" si="180"/>
        <v>0</v>
      </c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</row>
    <row r="184" spans="1:345" s="14" customFormat="1">
      <c r="A184" s="12" t="s">
        <v>178</v>
      </c>
      <c r="B184" s="13">
        <f t="shared" si="156"/>
        <v>0</v>
      </c>
      <c r="C184" s="13">
        <f t="shared" si="157"/>
        <v>0</v>
      </c>
      <c r="D184" s="13">
        <f t="shared" si="158"/>
        <v>0</v>
      </c>
      <c r="E184" s="13">
        <f t="shared" si="159"/>
        <v>0</v>
      </c>
      <c r="F184" s="13">
        <f t="shared" si="160"/>
        <v>0</v>
      </c>
      <c r="G184" s="13">
        <f t="shared" si="161"/>
        <v>0</v>
      </c>
      <c r="H184" s="13">
        <f t="shared" si="162"/>
        <v>0</v>
      </c>
      <c r="I184" s="13">
        <f t="shared" si="163"/>
        <v>0</v>
      </c>
      <c r="J184" s="13">
        <f t="shared" si="164"/>
        <v>0</v>
      </c>
      <c r="K184" s="13">
        <f t="shared" si="165"/>
        <v>0</v>
      </c>
      <c r="L184" s="13">
        <f t="shared" si="166"/>
        <v>0</v>
      </c>
      <c r="M184" s="13">
        <f t="shared" si="167"/>
        <v>0</v>
      </c>
      <c r="N184" s="13">
        <f t="shared" si="168"/>
        <v>0</v>
      </c>
      <c r="O184" s="13">
        <f t="shared" si="169"/>
        <v>0</v>
      </c>
      <c r="P184" s="13">
        <f t="shared" si="170"/>
        <v>0</v>
      </c>
      <c r="Q184" s="13">
        <f t="shared" si="171"/>
        <v>0</v>
      </c>
      <c r="R184" s="13">
        <f t="shared" si="172"/>
        <v>0</v>
      </c>
      <c r="S184" s="13">
        <f t="shared" si="173"/>
        <v>0</v>
      </c>
      <c r="T184" s="13">
        <f t="shared" si="174"/>
        <v>0</v>
      </c>
      <c r="U184" s="13">
        <f t="shared" si="175"/>
        <v>0</v>
      </c>
      <c r="V184" s="13">
        <f t="shared" si="176"/>
        <v>0</v>
      </c>
      <c r="W184" s="13">
        <f t="shared" si="177"/>
        <v>0</v>
      </c>
      <c r="X184" s="13">
        <f t="shared" si="178"/>
        <v>0</v>
      </c>
      <c r="Y184" s="13">
        <f t="shared" si="179"/>
        <v>0</v>
      </c>
      <c r="Z184" s="13">
        <f t="shared" si="180"/>
        <v>0</v>
      </c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</row>
    <row r="185" spans="1:345" s="14" customFormat="1">
      <c r="A185" s="12" t="s">
        <v>179</v>
      </c>
      <c r="B185" s="13">
        <f t="shared" si="156"/>
        <v>0</v>
      </c>
      <c r="C185" s="13">
        <f t="shared" si="157"/>
        <v>0</v>
      </c>
      <c r="D185" s="13">
        <f t="shared" si="158"/>
        <v>0</v>
      </c>
      <c r="E185" s="13">
        <f t="shared" si="159"/>
        <v>0</v>
      </c>
      <c r="F185" s="13">
        <f t="shared" si="160"/>
        <v>0</v>
      </c>
      <c r="G185" s="13">
        <f t="shared" si="161"/>
        <v>0</v>
      </c>
      <c r="H185" s="13">
        <f t="shared" si="162"/>
        <v>0</v>
      </c>
      <c r="I185" s="13">
        <f t="shared" si="163"/>
        <v>0</v>
      </c>
      <c r="J185" s="13">
        <f t="shared" si="164"/>
        <v>0</v>
      </c>
      <c r="K185" s="13">
        <f t="shared" si="165"/>
        <v>0</v>
      </c>
      <c r="L185" s="13">
        <f t="shared" si="166"/>
        <v>0</v>
      </c>
      <c r="M185" s="13">
        <f t="shared" si="167"/>
        <v>0</v>
      </c>
      <c r="N185" s="13">
        <f t="shared" si="168"/>
        <v>0</v>
      </c>
      <c r="O185" s="13">
        <f t="shared" si="169"/>
        <v>0</v>
      </c>
      <c r="P185" s="13">
        <f t="shared" si="170"/>
        <v>0</v>
      </c>
      <c r="Q185" s="13">
        <f t="shared" si="171"/>
        <v>0</v>
      </c>
      <c r="R185" s="13">
        <f t="shared" si="172"/>
        <v>0</v>
      </c>
      <c r="S185" s="13">
        <f t="shared" si="173"/>
        <v>0</v>
      </c>
      <c r="T185" s="13">
        <f t="shared" si="174"/>
        <v>0</v>
      </c>
      <c r="U185" s="13">
        <f t="shared" si="175"/>
        <v>0</v>
      </c>
      <c r="V185" s="13">
        <f t="shared" si="176"/>
        <v>0</v>
      </c>
      <c r="W185" s="13">
        <f t="shared" si="177"/>
        <v>0</v>
      </c>
      <c r="X185" s="13">
        <f t="shared" si="178"/>
        <v>0</v>
      </c>
      <c r="Y185" s="13">
        <f t="shared" si="179"/>
        <v>0</v>
      </c>
      <c r="Z185" s="13">
        <f t="shared" si="180"/>
        <v>0</v>
      </c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</row>
    <row r="186" spans="1:345" s="14" customFormat="1">
      <c r="A186" s="15" t="s">
        <v>180</v>
      </c>
      <c r="B186" s="13">
        <f t="shared" si="156"/>
        <v>0</v>
      </c>
      <c r="C186" s="13">
        <f t="shared" si="157"/>
        <v>0</v>
      </c>
      <c r="D186" s="13">
        <f t="shared" si="158"/>
        <v>0</v>
      </c>
      <c r="E186" s="13">
        <f t="shared" si="159"/>
        <v>0</v>
      </c>
      <c r="F186" s="13">
        <f t="shared" si="160"/>
        <v>0</v>
      </c>
      <c r="G186" s="13">
        <f t="shared" si="161"/>
        <v>0</v>
      </c>
      <c r="H186" s="13">
        <f t="shared" si="162"/>
        <v>0</v>
      </c>
      <c r="I186" s="13">
        <f t="shared" si="163"/>
        <v>0</v>
      </c>
      <c r="J186" s="13">
        <f t="shared" si="164"/>
        <v>0</v>
      </c>
      <c r="K186" s="13">
        <f t="shared" si="165"/>
        <v>0</v>
      </c>
      <c r="L186" s="13">
        <f t="shared" si="166"/>
        <v>0</v>
      </c>
      <c r="M186" s="13">
        <f t="shared" si="167"/>
        <v>0</v>
      </c>
      <c r="N186" s="13">
        <f t="shared" si="168"/>
        <v>0</v>
      </c>
      <c r="O186" s="13">
        <f t="shared" si="169"/>
        <v>0</v>
      </c>
      <c r="P186" s="13">
        <f t="shared" si="170"/>
        <v>0</v>
      </c>
      <c r="Q186" s="13">
        <f t="shared" si="171"/>
        <v>0</v>
      </c>
      <c r="R186" s="13">
        <f t="shared" si="172"/>
        <v>0</v>
      </c>
      <c r="S186" s="13">
        <f t="shared" si="173"/>
        <v>0</v>
      </c>
      <c r="T186" s="13">
        <f t="shared" si="174"/>
        <v>0</v>
      </c>
      <c r="U186" s="13">
        <f t="shared" si="175"/>
        <v>0</v>
      </c>
      <c r="V186" s="13">
        <f t="shared" si="176"/>
        <v>0</v>
      </c>
      <c r="W186" s="13">
        <f t="shared" si="177"/>
        <v>0</v>
      </c>
      <c r="X186" s="13">
        <f t="shared" si="178"/>
        <v>0</v>
      </c>
      <c r="Y186" s="13">
        <f t="shared" si="179"/>
        <v>0</v>
      </c>
      <c r="Z186" s="13">
        <f t="shared" si="180"/>
        <v>0</v>
      </c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</row>
    <row r="187" spans="1:345" s="14" customFormat="1">
      <c r="A187" s="15" t="s">
        <v>181</v>
      </c>
      <c r="B187" s="13">
        <f t="shared" si="156"/>
        <v>0</v>
      </c>
      <c r="C187" s="13">
        <f t="shared" si="157"/>
        <v>0</v>
      </c>
      <c r="D187" s="13">
        <f t="shared" si="158"/>
        <v>0</v>
      </c>
      <c r="E187" s="13">
        <f t="shared" si="159"/>
        <v>0</v>
      </c>
      <c r="F187" s="13">
        <f t="shared" si="160"/>
        <v>0</v>
      </c>
      <c r="G187" s="13">
        <f t="shared" si="161"/>
        <v>0</v>
      </c>
      <c r="H187" s="13">
        <f t="shared" si="162"/>
        <v>0</v>
      </c>
      <c r="I187" s="13">
        <f t="shared" si="163"/>
        <v>0</v>
      </c>
      <c r="J187" s="13">
        <f t="shared" si="164"/>
        <v>0</v>
      </c>
      <c r="K187" s="13">
        <f t="shared" si="165"/>
        <v>0</v>
      </c>
      <c r="L187" s="13">
        <f t="shared" si="166"/>
        <v>0</v>
      </c>
      <c r="M187" s="13">
        <f t="shared" si="167"/>
        <v>0</v>
      </c>
      <c r="N187" s="13">
        <f t="shared" si="168"/>
        <v>0</v>
      </c>
      <c r="O187" s="13">
        <f t="shared" si="169"/>
        <v>0</v>
      </c>
      <c r="P187" s="13">
        <f t="shared" si="170"/>
        <v>0</v>
      </c>
      <c r="Q187" s="13">
        <f t="shared" si="171"/>
        <v>0</v>
      </c>
      <c r="R187" s="13">
        <f t="shared" si="172"/>
        <v>0</v>
      </c>
      <c r="S187" s="13">
        <f t="shared" si="173"/>
        <v>0</v>
      </c>
      <c r="T187" s="13">
        <f t="shared" si="174"/>
        <v>0</v>
      </c>
      <c r="U187" s="13">
        <f t="shared" si="175"/>
        <v>0</v>
      </c>
      <c r="V187" s="13">
        <f t="shared" si="176"/>
        <v>0</v>
      </c>
      <c r="W187" s="13">
        <f t="shared" si="177"/>
        <v>0</v>
      </c>
      <c r="X187" s="13">
        <f t="shared" si="178"/>
        <v>0</v>
      </c>
      <c r="Y187" s="13">
        <f t="shared" si="179"/>
        <v>0</v>
      </c>
      <c r="Z187" s="13">
        <f t="shared" si="180"/>
        <v>0</v>
      </c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</row>
    <row r="188" spans="1:345" s="14" customFormat="1">
      <c r="A188" s="12" t="s">
        <v>182</v>
      </c>
      <c r="B188" s="13">
        <f t="shared" si="156"/>
        <v>0</v>
      </c>
      <c r="C188" s="13">
        <f t="shared" si="157"/>
        <v>0</v>
      </c>
      <c r="D188" s="13">
        <f t="shared" si="158"/>
        <v>0</v>
      </c>
      <c r="E188" s="13">
        <f t="shared" si="159"/>
        <v>0</v>
      </c>
      <c r="F188" s="13">
        <f t="shared" si="160"/>
        <v>0</v>
      </c>
      <c r="G188" s="13">
        <f t="shared" si="161"/>
        <v>0</v>
      </c>
      <c r="H188" s="13">
        <f t="shared" si="162"/>
        <v>0</v>
      </c>
      <c r="I188" s="13">
        <f t="shared" si="163"/>
        <v>0</v>
      </c>
      <c r="J188" s="13">
        <f t="shared" si="164"/>
        <v>0</v>
      </c>
      <c r="K188" s="13">
        <f t="shared" si="165"/>
        <v>0</v>
      </c>
      <c r="L188" s="13">
        <f t="shared" si="166"/>
        <v>0</v>
      </c>
      <c r="M188" s="13">
        <f t="shared" si="167"/>
        <v>0</v>
      </c>
      <c r="N188" s="13">
        <f t="shared" si="168"/>
        <v>0</v>
      </c>
      <c r="O188" s="13">
        <f t="shared" si="169"/>
        <v>0</v>
      </c>
      <c r="P188" s="13">
        <f t="shared" si="170"/>
        <v>0</v>
      </c>
      <c r="Q188" s="13">
        <f t="shared" si="171"/>
        <v>0</v>
      </c>
      <c r="R188" s="13">
        <f t="shared" si="172"/>
        <v>0</v>
      </c>
      <c r="S188" s="13">
        <f t="shared" si="173"/>
        <v>0</v>
      </c>
      <c r="T188" s="13">
        <f t="shared" si="174"/>
        <v>0</v>
      </c>
      <c r="U188" s="13">
        <f t="shared" si="175"/>
        <v>0</v>
      </c>
      <c r="V188" s="13">
        <f t="shared" si="176"/>
        <v>0</v>
      </c>
      <c r="W188" s="13">
        <f t="shared" si="177"/>
        <v>0</v>
      </c>
      <c r="X188" s="13">
        <f t="shared" si="178"/>
        <v>0</v>
      </c>
      <c r="Y188" s="13">
        <f t="shared" si="179"/>
        <v>0</v>
      </c>
      <c r="Z188" s="13">
        <f t="shared" si="180"/>
        <v>0</v>
      </c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</row>
    <row r="189" spans="1:345" s="14" customFormat="1">
      <c r="A189" s="15" t="s">
        <v>183</v>
      </c>
      <c r="B189" s="13">
        <f t="shared" si="156"/>
        <v>0</v>
      </c>
      <c r="C189" s="13">
        <f t="shared" si="157"/>
        <v>0</v>
      </c>
      <c r="D189" s="13">
        <f t="shared" si="158"/>
        <v>0</v>
      </c>
      <c r="E189" s="13">
        <f t="shared" si="159"/>
        <v>0</v>
      </c>
      <c r="F189" s="13">
        <f t="shared" si="160"/>
        <v>0</v>
      </c>
      <c r="G189" s="13">
        <f t="shared" si="161"/>
        <v>0</v>
      </c>
      <c r="H189" s="13">
        <f t="shared" si="162"/>
        <v>0</v>
      </c>
      <c r="I189" s="13">
        <f t="shared" si="163"/>
        <v>0</v>
      </c>
      <c r="J189" s="13">
        <f t="shared" si="164"/>
        <v>0</v>
      </c>
      <c r="K189" s="13">
        <f t="shared" si="165"/>
        <v>0</v>
      </c>
      <c r="L189" s="13">
        <f t="shared" si="166"/>
        <v>0</v>
      </c>
      <c r="M189" s="13">
        <f t="shared" si="167"/>
        <v>0</v>
      </c>
      <c r="N189" s="13">
        <f t="shared" si="168"/>
        <v>0</v>
      </c>
      <c r="O189" s="13">
        <f t="shared" si="169"/>
        <v>0</v>
      </c>
      <c r="P189" s="13">
        <f t="shared" si="170"/>
        <v>0</v>
      </c>
      <c r="Q189" s="13">
        <f t="shared" si="171"/>
        <v>0</v>
      </c>
      <c r="R189" s="13">
        <f t="shared" si="172"/>
        <v>0</v>
      </c>
      <c r="S189" s="13">
        <f t="shared" si="173"/>
        <v>0</v>
      </c>
      <c r="T189" s="13">
        <f t="shared" si="174"/>
        <v>0</v>
      </c>
      <c r="U189" s="13">
        <f t="shared" si="175"/>
        <v>0</v>
      </c>
      <c r="V189" s="13">
        <f t="shared" si="176"/>
        <v>0</v>
      </c>
      <c r="W189" s="13">
        <f t="shared" si="177"/>
        <v>0</v>
      </c>
      <c r="X189" s="13">
        <f t="shared" si="178"/>
        <v>0</v>
      </c>
      <c r="Y189" s="13">
        <f t="shared" si="179"/>
        <v>0</v>
      </c>
      <c r="Z189" s="13">
        <f t="shared" si="180"/>
        <v>0</v>
      </c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</row>
    <row r="190" spans="1:345" s="14" customFormat="1">
      <c r="A190" s="15" t="s">
        <v>184</v>
      </c>
      <c r="B190" s="13">
        <f t="shared" si="156"/>
        <v>0</v>
      </c>
      <c r="C190" s="13">
        <f t="shared" si="157"/>
        <v>0</v>
      </c>
      <c r="D190" s="13">
        <f t="shared" si="158"/>
        <v>0</v>
      </c>
      <c r="E190" s="13">
        <f t="shared" si="159"/>
        <v>0</v>
      </c>
      <c r="F190" s="13">
        <f t="shared" si="160"/>
        <v>0</v>
      </c>
      <c r="G190" s="13">
        <f t="shared" si="161"/>
        <v>0</v>
      </c>
      <c r="H190" s="13">
        <f t="shared" si="162"/>
        <v>0</v>
      </c>
      <c r="I190" s="13">
        <f t="shared" si="163"/>
        <v>0</v>
      </c>
      <c r="J190" s="13">
        <f t="shared" si="164"/>
        <v>0</v>
      </c>
      <c r="K190" s="13">
        <f t="shared" si="165"/>
        <v>0</v>
      </c>
      <c r="L190" s="13">
        <f t="shared" si="166"/>
        <v>0</v>
      </c>
      <c r="M190" s="13">
        <f t="shared" si="167"/>
        <v>0</v>
      </c>
      <c r="N190" s="13">
        <f t="shared" si="168"/>
        <v>0</v>
      </c>
      <c r="O190" s="13">
        <f t="shared" si="169"/>
        <v>0</v>
      </c>
      <c r="P190" s="13">
        <f t="shared" si="170"/>
        <v>0</v>
      </c>
      <c r="Q190" s="13">
        <f t="shared" si="171"/>
        <v>0</v>
      </c>
      <c r="R190" s="13">
        <f t="shared" si="172"/>
        <v>0</v>
      </c>
      <c r="S190" s="13">
        <f t="shared" si="173"/>
        <v>0</v>
      </c>
      <c r="T190" s="13">
        <f t="shared" si="174"/>
        <v>0</v>
      </c>
      <c r="U190" s="13">
        <f t="shared" si="175"/>
        <v>0</v>
      </c>
      <c r="V190" s="13">
        <f t="shared" si="176"/>
        <v>0</v>
      </c>
      <c r="W190" s="13">
        <f t="shared" si="177"/>
        <v>0</v>
      </c>
      <c r="X190" s="13">
        <f t="shared" si="178"/>
        <v>0</v>
      </c>
      <c r="Y190" s="13">
        <f t="shared" si="179"/>
        <v>0</v>
      </c>
      <c r="Z190" s="13">
        <f t="shared" si="180"/>
        <v>0</v>
      </c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</row>
    <row r="191" spans="1:345" s="14" customFormat="1">
      <c r="A191" s="15" t="s">
        <v>185</v>
      </c>
      <c r="B191" s="13">
        <f t="shared" si="156"/>
        <v>0</v>
      </c>
      <c r="C191" s="13">
        <f t="shared" si="157"/>
        <v>0</v>
      </c>
      <c r="D191" s="13">
        <f t="shared" si="158"/>
        <v>0</v>
      </c>
      <c r="E191" s="13">
        <f t="shared" si="159"/>
        <v>0</v>
      </c>
      <c r="F191" s="13">
        <f t="shared" si="160"/>
        <v>0</v>
      </c>
      <c r="G191" s="13">
        <f t="shared" si="161"/>
        <v>0</v>
      </c>
      <c r="H191" s="13">
        <f t="shared" si="162"/>
        <v>0</v>
      </c>
      <c r="I191" s="13">
        <f t="shared" si="163"/>
        <v>0</v>
      </c>
      <c r="J191" s="13">
        <f t="shared" si="164"/>
        <v>0</v>
      </c>
      <c r="K191" s="13">
        <f t="shared" si="165"/>
        <v>0</v>
      </c>
      <c r="L191" s="13">
        <f t="shared" si="166"/>
        <v>0</v>
      </c>
      <c r="M191" s="13">
        <f t="shared" si="167"/>
        <v>0</v>
      </c>
      <c r="N191" s="13">
        <f t="shared" si="168"/>
        <v>0</v>
      </c>
      <c r="O191" s="13">
        <f t="shared" si="169"/>
        <v>0</v>
      </c>
      <c r="P191" s="13">
        <f t="shared" si="170"/>
        <v>0</v>
      </c>
      <c r="Q191" s="13">
        <f t="shared" si="171"/>
        <v>0</v>
      </c>
      <c r="R191" s="13">
        <f t="shared" si="172"/>
        <v>0</v>
      </c>
      <c r="S191" s="13">
        <f t="shared" si="173"/>
        <v>0</v>
      </c>
      <c r="T191" s="13">
        <f t="shared" si="174"/>
        <v>0</v>
      </c>
      <c r="U191" s="13">
        <f t="shared" si="175"/>
        <v>0</v>
      </c>
      <c r="V191" s="13">
        <f t="shared" si="176"/>
        <v>0</v>
      </c>
      <c r="W191" s="13">
        <f t="shared" si="177"/>
        <v>0</v>
      </c>
      <c r="X191" s="13">
        <f t="shared" si="178"/>
        <v>0</v>
      </c>
      <c r="Y191" s="13">
        <f t="shared" si="179"/>
        <v>0</v>
      </c>
      <c r="Z191" s="13">
        <f t="shared" si="180"/>
        <v>0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</row>
    <row r="192" spans="1:345" s="14" customFormat="1">
      <c r="A192" s="15" t="s">
        <v>186</v>
      </c>
      <c r="B192" s="13">
        <f t="shared" si="156"/>
        <v>0</v>
      </c>
      <c r="C192" s="13">
        <f t="shared" si="157"/>
        <v>0</v>
      </c>
      <c r="D192" s="13">
        <f t="shared" si="158"/>
        <v>0</v>
      </c>
      <c r="E192" s="13">
        <f t="shared" si="159"/>
        <v>0</v>
      </c>
      <c r="F192" s="13">
        <f t="shared" si="160"/>
        <v>0</v>
      </c>
      <c r="G192" s="13">
        <f t="shared" si="161"/>
        <v>0</v>
      </c>
      <c r="H192" s="13">
        <f t="shared" si="162"/>
        <v>0</v>
      </c>
      <c r="I192" s="13">
        <f t="shared" si="163"/>
        <v>0</v>
      </c>
      <c r="J192" s="13">
        <f t="shared" si="164"/>
        <v>0</v>
      </c>
      <c r="K192" s="13">
        <f t="shared" si="165"/>
        <v>0</v>
      </c>
      <c r="L192" s="13">
        <f t="shared" si="166"/>
        <v>0</v>
      </c>
      <c r="M192" s="13">
        <f t="shared" si="167"/>
        <v>0</v>
      </c>
      <c r="N192" s="13">
        <f t="shared" si="168"/>
        <v>0</v>
      </c>
      <c r="O192" s="13">
        <f t="shared" si="169"/>
        <v>0</v>
      </c>
      <c r="P192" s="13">
        <f t="shared" si="170"/>
        <v>0</v>
      </c>
      <c r="Q192" s="13">
        <f t="shared" si="171"/>
        <v>0</v>
      </c>
      <c r="R192" s="13">
        <f t="shared" si="172"/>
        <v>0</v>
      </c>
      <c r="S192" s="13">
        <f t="shared" si="173"/>
        <v>0</v>
      </c>
      <c r="T192" s="13">
        <f t="shared" si="174"/>
        <v>0</v>
      </c>
      <c r="U192" s="13">
        <f t="shared" si="175"/>
        <v>0</v>
      </c>
      <c r="V192" s="13">
        <f t="shared" si="176"/>
        <v>0</v>
      </c>
      <c r="W192" s="13">
        <f t="shared" si="177"/>
        <v>0</v>
      </c>
      <c r="X192" s="13">
        <f t="shared" si="178"/>
        <v>0</v>
      </c>
      <c r="Y192" s="13">
        <f t="shared" si="179"/>
        <v>0</v>
      </c>
      <c r="Z192" s="13">
        <f t="shared" si="180"/>
        <v>0</v>
      </c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</row>
    <row r="193" spans="1:345" s="14" customFormat="1">
      <c r="A193" s="15" t="s">
        <v>187</v>
      </c>
      <c r="B193" s="13">
        <f t="shared" si="156"/>
        <v>0</v>
      </c>
      <c r="C193" s="13">
        <f t="shared" si="157"/>
        <v>0</v>
      </c>
      <c r="D193" s="13">
        <f t="shared" si="158"/>
        <v>0</v>
      </c>
      <c r="E193" s="13">
        <f t="shared" si="159"/>
        <v>0</v>
      </c>
      <c r="F193" s="13">
        <f t="shared" si="160"/>
        <v>0</v>
      </c>
      <c r="G193" s="13">
        <f t="shared" si="161"/>
        <v>0</v>
      </c>
      <c r="H193" s="13">
        <f t="shared" si="162"/>
        <v>0</v>
      </c>
      <c r="I193" s="13">
        <f t="shared" si="163"/>
        <v>0</v>
      </c>
      <c r="J193" s="13">
        <f t="shared" si="164"/>
        <v>0</v>
      </c>
      <c r="K193" s="13">
        <f t="shared" si="165"/>
        <v>0</v>
      </c>
      <c r="L193" s="13">
        <f t="shared" si="166"/>
        <v>0</v>
      </c>
      <c r="M193" s="13">
        <f t="shared" si="167"/>
        <v>0</v>
      </c>
      <c r="N193" s="13">
        <f t="shared" si="168"/>
        <v>0</v>
      </c>
      <c r="O193" s="13">
        <f t="shared" si="169"/>
        <v>0</v>
      </c>
      <c r="P193" s="13">
        <f t="shared" si="170"/>
        <v>0</v>
      </c>
      <c r="Q193" s="13">
        <f t="shared" si="171"/>
        <v>0</v>
      </c>
      <c r="R193" s="13">
        <f t="shared" si="172"/>
        <v>0</v>
      </c>
      <c r="S193" s="13">
        <f t="shared" si="173"/>
        <v>0</v>
      </c>
      <c r="T193" s="13">
        <f t="shared" si="174"/>
        <v>0</v>
      </c>
      <c r="U193" s="13">
        <f t="shared" si="175"/>
        <v>0</v>
      </c>
      <c r="V193" s="13">
        <f t="shared" si="176"/>
        <v>0</v>
      </c>
      <c r="W193" s="13">
        <f t="shared" si="177"/>
        <v>0</v>
      </c>
      <c r="X193" s="13">
        <f t="shared" si="178"/>
        <v>0</v>
      </c>
      <c r="Y193" s="13">
        <f t="shared" si="179"/>
        <v>0</v>
      </c>
      <c r="Z193" s="13">
        <f t="shared" si="180"/>
        <v>0</v>
      </c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</row>
    <row r="194" spans="1:345" s="14" customFormat="1">
      <c r="A194" s="15" t="s">
        <v>188</v>
      </c>
      <c r="B194" s="13">
        <f t="shared" si="156"/>
        <v>0</v>
      </c>
      <c r="C194" s="13">
        <f t="shared" si="157"/>
        <v>0</v>
      </c>
      <c r="D194" s="13">
        <f t="shared" si="158"/>
        <v>0</v>
      </c>
      <c r="E194" s="13">
        <f t="shared" si="159"/>
        <v>0</v>
      </c>
      <c r="F194" s="13">
        <f t="shared" si="160"/>
        <v>0</v>
      </c>
      <c r="G194" s="13">
        <f t="shared" si="161"/>
        <v>0</v>
      </c>
      <c r="H194" s="13">
        <f t="shared" si="162"/>
        <v>0</v>
      </c>
      <c r="I194" s="13">
        <f t="shared" si="163"/>
        <v>0</v>
      </c>
      <c r="J194" s="13">
        <f t="shared" si="164"/>
        <v>0</v>
      </c>
      <c r="K194" s="13">
        <f t="shared" si="165"/>
        <v>0</v>
      </c>
      <c r="L194" s="13">
        <f t="shared" si="166"/>
        <v>0</v>
      </c>
      <c r="M194" s="13">
        <f t="shared" si="167"/>
        <v>0</v>
      </c>
      <c r="N194" s="13">
        <f t="shared" si="168"/>
        <v>0</v>
      </c>
      <c r="O194" s="13">
        <f t="shared" si="169"/>
        <v>0</v>
      </c>
      <c r="P194" s="13">
        <f t="shared" si="170"/>
        <v>0</v>
      </c>
      <c r="Q194" s="13">
        <f t="shared" si="171"/>
        <v>0</v>
      </c>
      <c r="R194" s="13">
        <f t="shared" si="172"/>
        <v>0</v>
      </c>
      <c r="S194" s="13">
        <f t="shared" si="173"/>
        <v>0</v>
      </c>
      <c r="T194" s="13">
        <f t="shared" si="174"/>
        <v>0</v>
      </c>
      <c r="U194" s="13">
        <f t="shared" si="175"/>
        <v>0</v>
      </c>
      <c r="V194" s="13">
        <f t="shared" si="176"/>
        <v>0</v>
      </c>
      <c r="W194" s="13">
        <f t="shared" si="177"/>
        <v>0</v>
      </c>
      <c r="X194" s="13">
        <f t="shared" si="178"/>
        <v>0</v>
      </c>
      <c r="Y194" s="13">
        <f t="shared" si="179"/>
        <v>0</v>
      </c>
      <c r="Z194" s="13">
        <f t="shared" si="180"/>
        <v>0</v>
      </c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</row>
    <row r="195" spans="1:345" s="14" customFormat="1">
      <c r="A195" s="15" t="s">
        <v>189</v>
      </c>
      <c r="B195" s="13">
        <f t="shared" si="156"/>
        <v>0</v>
      </c>
      <c r="C195" s="13">
        <f t="shared" si="157"/>
        <v>0</v>
      </c>
      <c r="D195" s="13">
        <f t="shared" si="158"/>
        <v>0</v>
      </c>
      <c r="E195" s="13">
        <f t="shared" si="159"/>
        <v>0</v>
      </c>
      <c r="F195" s="13">
        <f t="shared" si="160"/>
        <v>0</v>
      </c>
      <c r="G195" s="13">
        <f t="shared" si="161"/>
        <v>0</v>
      </c>
      <c r="H195" s="13">
        <f t="shared" si="162"/>
        <v>0</v>
      </c>
      <c r="I195" s="13">
        <f t="shared" si="163"/>
        <v>0</v>
      </c>
      <c r="J195" s="13">
        <f t="shared" si="164"/>
        <v>0</v>
      </c>
      <c r="K195" s="13">
        <f t="shared" si="165"/>
        <v>0</v>
      </c>
      <c r="L195" s="13">
        <f t="shared" si="166"/>
        <v>0</v>
      </c>
      <c r="M195" s="13">
        <f t="shared" si="167"/>
        <v>0</v>
      </c>
      <c r="N195" s="13">
        <f t="shared" si="168"/>
        <v>0</v>
      </c>
      <c r="O195" s="13">
        <f t="shared" si="169"/>
        <v>0</v>
      </c>
      <c r="P195" s="13">
        <f t="shared" si="170"/>
        <v>0</v>
      </c>
      <c r="Q195" s="13">
        <f t="shared" si="171"/>
        <v>0</v>
      </c>
      <c r="R195" s="13">
        <f t="shared" si="172"/>
        <v>0</v>
      </c>
      <c r="S195" s="13">
        <f t="shared" si="173"/>
        <v>0</v>
      </c>
      <c r="T195" s="13">
        <f t="shared" si="174"/>
        <v>0</v>
      </c>
      <c r="U195" s="13">
        <f t="shared" si="175"/>
        <v>0</v>
      </c>
      <c r="V195" s="13">
        <f t="shared" si="176"/>
        <v>0</v>
      </c>
      <c r="W195" s="13">
        <f t="shared" si="177"/>
        <v>0</v>
      </c>
      <c r="X195" s="13">
        <f t="shared" si="178"/>
        <v>0</v>
      </c>
      <c r="Y195" s="13">
        <f t="shared" si="179"/>
        <v>0</v>
      </c>
      <c r="Z195" s="13">
        <f t="shared" si="180"/>
        <v>0</v>
      </c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</row>
    <row r="196" spans="1:345" s="14" customFormat="1">
      <c r="A196" s="15" t="s">
        <v>190</v>
      </c>
      <c r="B196" s="13">
        <f t="shared" si="156"/>
        <v>0</v>
      </c>
      <c r="C196" s="13">
        <f t="shared" si="157"/>
        <v>0</v>
      </c>
      <c r="D196" s="13">
        <f t="shared" si="158"/>
        <v>0</v>
      </c>
      <c r="E196" s="13">
        <f t="shared" si="159"/>
        <v>0</v>
      </c>
      <c r="F196" s="13">
        <f t="shared" si="160"/>
        <v>0</v>
      </c>
      <c r="G196" s="13">
        <f t="shared" si="161"/>
        <v>0</v>
      </c>
      <c r="H196" s="13">
        <f t="shared" si="162"/>
        <v>0</v>
      </c>
      <c r="I196" s="13">
        <f t="shared" si="163"/>
        <v>0</v>
      </c>
      <c r="J196" s="13">
        <f t="shared" si="164"/>
        <v>0</v>
      </c>
      <c r="K196" s="13">
        <f t="shared" si="165"/>
        <v>0</v>
      </c>
      <c r="L196" s="13">
        <f t="shared" si="166"/>
        <v>0</v>
      </c>
      <c r="M196" s="13">
        <f t="shared" si="167"/>
        <v>0</v>
      </c>
      <c r="N196" s="13">
        <f t="shared" si="168"/>
        <v>0</v>
      </c>
      <c r="O196" s="13">
        <f t="shared" si="169"/>
        <v>0</v>
      </c>
      <c r="P196" s="13">
        <f t="shared" si="170"/>
        <v>0</v>
      </c>
      <c r="Q196" s="13">
        <f t="shared" si="171"/>
        <v>0</v>
      </c>
      <c r="R196" s="13">
        <f t="shared" si="172"/>
        <v>0</v>
      </c>
      <c r="S196" s="13">
        <f t="shared" si="173"/>
        <v>0</v>
      </c>
      <c r="T196" s="13">
        <f t="shared" si="174"/>
        <v>0</v>
      </c>
      <c r="U196" s="13">
        <f t="shared" si="175"/>
        <v>0</v>
      </c>
      <c r="V196" s="13">
        <f t="shared" si="176"/>
        <v>0</v>
      </c>
      <c r="W196" s="13">
        <f t="shared" si="177"/>
        <v>0</v>
      </c>
      <c r="X196" s="13">
        <f t="shared" si="178"/>
        <v>0</v>
      </c>
      <c r="Y196" s="13">
        <f t="shared" si="179"/>
        <v>0</v>
      </c>
      <c r="Z196" s="13">
        <f t="shared" si="180"/>
        <v>0</v>
      </c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</row>
    <row r="197" spans="1:345" s="14" customFormat="1">
      <c r="A197" s="15" t="s">
        <v>191</v>
      </c>
      <c r="B197" s="13">
        <f t="shared" si="156"/>
        <v>0</v>
      </c>
      <c r="C197" s="13">
        <f t="shared" si="157"/>
        <v>0</v>
      </c>
      <c r="D197" s="13">
        <f t="shared" si="158"/>
        <v>0</v>
      </c>
      <c r="E197" s="13">
        <f t="shared" si="159"/>
        <v>0</v>
      </c>
      <c r="F197" s="13">
        <f t="shared" si="160"/>
        <v>0</v>
      </c>
      <c r="G197" s="13">
        <f t="shared" si="161"/>
        <v>0</v>
      </c>
      <c r="H197" s="13">
        <f t="shared" si="162"/>
        <v>0</v>
      </c>
      <c r="I197" s="13">
        <f t="shared" si="163"/>
        <v>0</v>
      </c>
      <c r="J197" s="13">
        <f t="shared" si="164"/>
        <v>0</v>
      </c>
      <c r="K197" s="13">
        <f t="shared" si="165"/>
        <v>0</v>
      </c>
      <c r="L197" s="13">
        <f t="shared" si="166"/>
        <v>0</v>
      </c>
      <c r="M197" s="13">
        <f t="shared" si="167"/>
        <v>0</v>
      </c>
      <c r="N197" s="13">
        <f t="shared" si="168"/>
        <v>0</v>
      </c>
      <c r="O197" s="13">
        <f t="shared" si="169"/>
        <v>0</v>
      </c>
      <c r="P197" s="13">
        <f t="shared" si="170"/>
        <v>0</v>
      </c>
      <c r="Q197" s="13">
        <f t="shared" si="171"/>
        <v>0</v>
      </c>
      <c r="R197" s="13">
        <f t="shared" si="172"/>
        <v>0</v>
      </c>
      <c r="S197" s="13">
        <f t="shared" si="173"/>
        <v>0</v>
      </c>
      <c r="T197" s="13">
        <f t="shared" si="174"/>
        <v>0</v>
      </c>
      <c r="U197" s="13">
        <f t="shared" si="175"/>
        <v>0</v>
      </c>
      <c r="V197" s="13">
        <f t="shared" si="176"/>
        <v>0</v>
      </c>
      <c r="W197" s="13">
        <f t="shared" si="177"/>
        <v>0</v>
      </c>
      <c r="X197" s="13">
        <f t="shared" si="178"/>
        <v>0</v>
      </c>
      <c r="Y197" s="13">
        <f t="shared" si="179"/>
        <v>0</v>
      </c>
      <c r="Z197" s="13">
        <f t="shared" si="180"/>
        <v>0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</row>
    <row r="198" spans="1:345" s="14" customFormat="1">
      <c r="A198" s="15" t="s">
        <v>192</v>
      </c>
      <c r="B198" s="13">
        <f t="shared" si="156"/>
        <v>0</v>
      </c>
      <c r="C198" s="13">
        <f t="shared" si="157"/>
        <v>0</v>
      </c>
      <c r="D198" s="13">
        <f t="shared" si="158"/>
        <v>0</v>
      </c>
      <c r="E198" s="13">
        <f t="shared" si="159"/>
        <v>0</v>
      </c>
      <c r="F198" s="13">
        <f t="shared" si="160"/>
        <v>0</v>
      </c>
      <c r="G198" s="13">
        <f t="shared" si="161"/>
        <v>0</v>
      </c>
      <c r="H198" s="13">
        <f t="shared" si="162"/>
        <v>0</v>
      </c>
      <c r="I198" s="13">
        <f t="shared" si="163"/>
        <v>0</v>
      </c>
      <c r="J198" s="13">
        <f t="shared" si="164"/>
        <v>0</v>
      </c>
      <c r="K198" s="13">
        <f t="shared" si="165"/>
        <v>0</v>
      </c>
      <c r="L198" s="13">
        <f t="shared" si="166"/>
        <v>0</v>
      </c>
      <c r="M198" s="13">
        <f t="shared" si="167"/>
        <v>0</v>
      </c>
      <c r="N198" s="13">
        <f t="shared" si="168"/>
        <v>0</v>
      </c>
      <c r="O198" s="13">
        <f t="shared" si="169"/>
        <v>0</v>
      </c>
      <c r="P198" s="13">
        <f t="shared" si="170"/>
        <v>0</v>
      </c>
      <c r="Q198" s="13">
        <f t="shared" si="171"/>
        <v>0</v>
      </c>
      <c r="R198" s="13">
        <f t="shared" si="172"/>
        <v>0</v>
      </c>
      <c r="S198" s="13">
        <f t="shared" si="173"/>
        <v>0</v>
      </c>
      <c r="T198" s="13">
        <f t="shared" si="174"/>
        <v>0</v>
      </c>
      <c r="U198" s="13">
        <f t="shared" si="175"/>
        <v>0</v>
      </c>
      <c r="V198" s="13">
        <f t="shared" si="176"/>
        <v>0</v>
      </c>
      <c r="W198" s="13">
        <f t="shared" si="177"/>
        <v>0</v>
      </c>
      <c r="X198" s="13">
        <f t="shared" si="178"/>
        <v>0</v>
      </c>
      <c r="Y198" s="13">
        <f t="shared" si="179"/>
        <v>0</v>
      </c>
      <c r="Z198" s="13">
        <f t="shared" si="180"/>
        <v>0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</row>
    <row r="199" spans="1:345" s="14" customFormat="1">
      <c r="A199" s="15" t="s">
        <v>193</v>
      </c>
      <c r="B199" s="13">
        <f t="shared" si="156"/>
        <v>0</v>
      </c>
      <c r="C199" s="13">
        <f t="shared" si="157"/>
        <v>0</v>
      </c>
      <c r="D199" s="13">
        <f t="shared" si="158"/>
        <v>0</v>
      </c>
      <c r="E199" s="13">
        <f t="shared" si="159"/>
        <v>0</v>
      </c>
      <c r="F199" s="13">
        <f t="shared" si="160"/>
        <v>0</v>
      </c>
      <c r="G199" s="13">
        <f t="shared" si="161"/>
        <v>0</v>
      </c>
      <c r="H199" s="13">
        <f t="shared" si="162"/>
        <v>0</v>
      </c>
      <c r="I199" s="13">
        <f t="shared" si="163"/>
        <v>0</v>
      </c>
      <c r="J199" s="13">
        <f t="shared" si="164"/>
        <v>0</v>
      </c>
      <c r="K199" s="13">
        <f t="shared" si="165"/>
        <v>0</v>
      </c>
      <c r="L199" s="13">
        <f t="shared" si="166"/>
        <v>0</v>
      </c>
      <c r="M199" s="13">
        <f t="shared" si="167"/>
        <v>0</v>
      </c>
      <c r="N199" s="13">
        <f t="shared" si="168"/>
        <v>0</v>
      </c>
      <c r="O199" s="13">
        <f t="shared" si="169"/>
        <v>0</v>
      </c>
      <c r="P199" s="13">
        <f t="shared" si="170"/>
        <v>0</v>
      </c>
      <c r="Q199" s="13">
        <f t="shared" si="171"/>
        <v>0</v>
      </c>
      <c r="R199" s="13">
        <f t="shared" si="172"/>
        <v>0</v>
      </c>
      <c r="S199" s="13">
        <f t="shared" si="173"/>
        <v>0</v>
      </c>
      <c r="T199" s="13">
        <f t="shared" si="174"/>
        <v>0</v>
      </c>
      <c r="U199" s="13">
        <f t="shared" si="175"/>
        <v>0</v>
      </c>
      <c r="V199" s="13">
        <f t="shared" si="176"/>
        <v>0</v>
      </c>
      <c r="W199" s="13">
        <f t="shared" si="177"/>
        <v>0</v>
      </c>
      <c r="X199" s="13">
        <f t="shared" si="178"/>
        <v>0</v>
      </c>
      <c r="Y199" s="13">
        <f t="shared" si="179"/>
        <v>0</v>
      </c>
      <c r="Z199" s="13">
        <f t="shared" si="180"/>
        <v>0</v>
      </c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</row>
    <row r="200" spans="1:345" s="14" customFormat="1">
      <c r="A200" s="12" t="s">
        <v>194</v>
      </c>
      <c r="B200" s="13">
        <f t="shared" si="156"/>
        <v>0</v>
      </c>
      <c r="C200" s="13">
        <f t="shared" si="157"/>
        <v>0</v>
      </c>
      <c r="D200" s="13">
        <f t="shared" si="158"/>
        <v>0</v>
      </c>
      <c r="E200" s="13">
        <f t="shared" si="159"/>
        <v>0</v>
      </c>
      <c r="F200" s="13">
        <f t="shared" si="160"/>
        <v>0</v>
      </c>
      <c r="G200" s="13">
        <f t="shared" si="161"/>
        <v>0</v>
      </c>
      <c r="H200" s="13">
        <f t="shared" si="162"/>
        <v>0</v>
      </c>
      <c r="I200" s="13">
        <f t="shared" si="163"/>
        <v>0</v>
      </c>
      <c r="J200" s="13">
        <f t="shared" si="164"/>
        <v>0</v>
      </c>
      <c r="K200" s="13">
        <f t="shared" si="165"/>
        <v>0</v>
      </c>
      <c r="L200" s="13">
        <f t="shared" si="166"/>
        <v>0</v>
      </c>
      <c r="M200" s="13">
        <f t="shared" si="167"/>
        <v>0</v>
      </c>
      <c r="N200" s="13">
        <f t="shared" si="168"/>
        <v>0</v>
      </c>
      <c r="O200" s="13">
        <f t="shared" si="169"/>
        <v>0</v>
      </c>
      <c r="P200" s="13">
        <f t="shared" si="170"/>
        <v>0</v>
      </c>
      <c r="Q200" s="13">
        <f t="shared" si="171"/>
        <v>0</v>
      </c>
      <c r="R200" s="13">
        <f t="shared" si="172"/>
        <v>0</v>
      </c>
      <c r="S200" s="13">
        <f t="shared" si="173"/>
        <v>0</v>
      </c>
      <c r="T200" s="13">
        <f t="shared" si="174"/>
        <v>0</v>
      </c>
      <c r="U200" s="13">
        <f t="shared" si="175"/>
        <v>0</v>
      </c>
      <c r="V200" s="13">
        <f t="shared" si="176"/>
        <v>0</v>
      </c>
      <c r="W200" s="13">
        <f t="shared" si="177"/>
        <v>0</v>
      </c>
      <c r="X200" s="13">
        <f t="shared" si="178"/>
        <v>0</v>
      </c>
      <c r="Y200" s="13">
        <f t="shared" si="179"/>
        <v>0</v>
      </c>
      <c r="Z200" s="13">
        <f t="shared" si="180"/>
        <v>0</v>
      </c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</row>
    <row r="201" spans="1:345" s="14" customFormat="1">
      <c r="A201" s="15" t="s">
        <v>195</v>
      </c>
      <c r="B201" s="13">
        <f t="shared" si="156"/>
        <v>0</v>
      </c>
      <c r="C201" s="13">
        <f t="shared" si="157"/>
        <v>0</v>
      </c>
      <c r="D201" s="13">
        <f t="shared" si="158"/>
        <v>0</v>
      </c>
      <c r="E201" s="13">
        <f t="shared" si="159"/>
        <v>0</v>
      </c>
      <c r="F201" s="13">
        <f t="shared" si="160"/>
        <v>0</v>
      </c>
      <c r="G201" s="13">
        <f t="shared" si="161"/>
        <v>0</v>
      </c>
      <c r="H201" s="13">
        <f t="shared" si="162"/>
        <v>0</v>
      </c>
      <c r="I201" s="13">
        <f t="shared" si="163"/>
        <v>0</v>
      </c>
      <c r="J201" s="13">
        <f t="shared" si="164"/>
        <v>0</v>
      </c>
      <c r="K201" s="13">
        <f t="shared" si="165"/>
        <v>0</v>
      </c>
      <c r="L201" s="13">
        <f t="shared" si="166"/>
        <v>0</v>
      </c>
      <c r="M201" s="13">
        <f t="shared" si="167"/>
        <v>0</v>
      </c>
      <c r="N201" s="13">
        <f t="shared" si="168"/>
        <v>0</v>
      </c>
      <c r="O201" s="13">
        <f t="shared" si="169"/>
        <v>0</v>
      </c>
      <c r="P201" s="13">
        <f t="shared" si="170"/>
        <v>0</v>
      </c>
      <c r="Q201" s="13">
        <f t="shared" si="171"/>
        <v>0</v>
      </c>
      <c r="R201" s="13">
        <f t="shared" si="172"/>
        <v>0</v>
      </c>
      <c r="S201" s="13">
        <f t="shared" si="173"/>
        <v>0</v>
      </c>
      <c r="T201" s="13">
        <f t="shared" si="174"/>
        <v>0</v>
      </c>
      <c r="U201" s="13">
        <f t="shared" si="175"/>
        <v>0</v>
      </c>
      <c r="V201" s="13">
        <f t="shared" si="176"/>
        <v>0</v>
      </c>
      <c r="W201" s="13">
        <f t="shared" si="177"/>
        <v>0</v>
      </c>
      <c r="X201" s="13">
        <f t="shared" si="178"/>
        <v>0</v>
      </c>
      <c r="Y201" s="13">
        <f t="shared" si="179"/>
        <v>0</v>
      </c>
      <c r="Z201" s="13">
        <f t="shared" si="180"/>
        <v>0</v>
      </c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</row>
    <row r="202" spans="1:345" s="14" customFormat="1">
      <c r="A202" s="15" t="s">
        <v>196</v>
      </c>
      <c r="B202" s="13">
        <f t="shared" si="156"/>
        <v>0</v>
      </c>
      <c r="C202" s="13">
        <f t="shared" si="157"/>
        <v>0</v>
      </c>
      <c r="D202" s="13">
        <f t="shared" si="158"/>
        <v>0</v>
      </c>
      <c r="E202" s="13">
        <f t="shared" si="159"/>
        <v>0</v>
      </c>
      <c r="F202" s="13">
        <f t="shared" si="160"/>
        <v>0</v>
      </c>
      <c r="G202" s="13">
        <f t="shared" si="161"/>
        <v>0</v>
      </c>
      <c r="H202" s="13">
        <f t="shared" si="162"/>
        <v>0</v>
      </c>
      <c r="I202" s="13">
        <f t="shared" si="163"/>
        <v>0</v>
      </c>
      <c r="J202" s="13">
        <f t="shared" si="164"/>
        <v>0</v>
      </c>
      <c r="K202" s="13">
        <f t="shared" si="165"/>
        <v>0</v>
      </c>
      <c r="L202" s="13">
        <f t="shared" si="166"/>
        <v>0</v>
      </c>
      <c r="M202" s="13">
        <f t="shared" si="167"/>
        <v>0</v>
      </c>
      <c r="N202" s="13">
        <f t="shared" si="168"/>
        <v>0</v>
      </c>
      <c r="O202" s="13">
        <f t="shared" si="169"/>
        <v>0</v>
      </c>
      <c r="P202" s="13">
        <f t="shared" si="170"/>
        <v>0</v>
      </c>
      <c r="Q202" s="13">
        <f t="shared" si="171"/>
        <v>0</v>
      </c>
      <c r="R202" s="13">
        <f t="shared" si="172"/>
        <v>0</v>
      </c>
      <c r="S202" s="13">
        <f t="shared" si="173"/>
        <v>0</v>
      </c>
      <c r="T202" s="13">
        <f t="shared" si="174"/>
        <v>0</v>
      </c>
      <c r="U202" s="13">
        <f t="shared" si="175"/>
        <v>0</v>
      </c>
      <c r="V202" s="13">
        <f t="shared" si="176"/>
        <v>0</v>
      </c>
      <c r="W202" s="13">
        <f t="shared" si="177"/>
        <v>0</v>
      </c>
      <c r="X202" s="13">
        <f t="shared" si="178"/>
        <v>0</v>
      </c>
      <c r="Y202" s="13">
        <f t="shared" si="179"/>
        <v>0</v>
      </c>
      <c r="Z202" s="13">
        <f t="shared" si="180"/>
        <v>0</v>
      </c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</row>
    <row r="203" spans="1:345" s="14" customFormat="1">
      <c r="A203" s="15" t="s">
        <v>197</v>
      </c>
      <c r="B203" s="13">
        <f t="shared" si="156"/>
        <v>0</v>
      </c>
      <c r="C203" s="13">
        <f t="shared" si="157"/>
        <v>0</v>
      </c>
      <c r="D203" s="13">
        <f t="shared" si="158"/>
        <v>0</v>
      </c>
      <c r="E203" s="13">
        <f t="shared" si="159"/>
        <v>0</v>
      </c>
      <c r="F203" s="13">
        <f t="shared" si="160"/>
        <v>0</v>
      </c>
      <c r="G203" s="13">
        <f t="shared" si="161"/>
        <v>0</v>
      </c>
      <c r="H203" s="13">
        <f t="shared" si="162"/>
        <v>0</v>
      </c>
      <c r="I203" s="13">
        <f t="shared" si="163"/>
        <v>0</v>
      </c>
      <c r="J203" s="13">
        <f t="shared" si="164"/>
        <v>0</v>
      </c>
      <c r="K203" s="13">
        <f t="shared" si="165"/>
        <v>0</v>
      </c>
      <c r="L203" s="13">
        <f t="shared" si="166"/>
        <v>0</v>
      </c>
      <c r="M203" s="13">
        <f t="shared" si="167"/>
        <v>0</v>
      </c>
      <c r="N203" s="13">
        <f t="shared" si="168"/>
        <v>0</v>
      </c>
      <c r="O203" s="13">
        <f t="shared" si="169"/>
        <v>0</v>
      </c>
      <c r="P203" s="13">
        <f t="shared" si="170"/>
        <v>0</v>
      </c>
      <c r="Q203" s="13">
        <f t="shared" si="171"/>
        <v>0</v>
      </c>
      <c r="R203" s="13">
        <f t="shared" si="172"/>
        <v>0</v>
      </c>
      <c r="S203" s="13">
        <f t="shared" si="173"/>
        <v>0</v>
      </c>
      <c r="T203" s="13">
        <f t="shared" si="174"/>
        <v>0</v>
      </c>
      <c r="U203" s="13">
        <f t="shared" si="175"/>
        <v>0</v>
      </c>
      <c r="V203" s="13">
        <f t="shared" si="176"/>
        <v>0</v>
      </c>
      <c r="W203" s="13">
        <f t="shared" si="177"/>
        <v>0</v>
      </c>
      <c r="X203" s="13">
        <f t="shared" si="178"/>
        <v>0</v>
      </c>
      <c r="Y203" s="13">
        <f t="shared" si="179"/>
        <v>0</v>
      </c>
      <c r="Z203" s="13">
        <f t="shared" si="180"/>
        <v>0</v>
      </c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</row>
    <row r="204" spans="1:345" s="14" customFormat="1">
      <c r="A204" s="15" t="s">
        <v>198</v>
      </c>
      <c r="B204" s="13">
        <f t="shared" si="156"/>
        <v>0</v>
      </c>
      <c r="C204" s="13">
        <f t="shared" si="157"/>
        <v>0</v>
      </c>
      <c r="D204" s="13">
        <f t="shared" si="158"/>
        <v>0</v>
      </c>
      <c r="E204" s="13">
        <f t="shared" si="159"/>
        <v>0</v>
      </c>
      <c r="F204" s="13">
        <f t="shared" si="160"/>
        <v>0</v>
      </c>
      <c r="G204" s="13">
        <f t="shared" si="161"/>
        <v>0</v>
      </c>
      <c r="H204" s="13">
        <f t="shared" si="162"/>
        <v>0</v>
      </c>
      <c r="I204" s="13">
        <f t="shared" si="163"/>
        <v>0</v>
      </c>
      <c r="J204" s="13">
        <f t="shared" si="164"/>
        <v>0</v>
      </c>
      <c r="K204" s="13">
        <f t="shared" si="165"/>
        <v>0</v>
      </c>
      <c r="L204" s="13">
        <f t="shared" si="166"/>
        <v>0</v>
      </c>
      <c r="M204" s="13">
        <f t="shared" si="167"/>
        <v>0</v>
      </c>
      <c r="N204" s="13">
        <f t="shared" si="168"/>
        <v>0</v>
      </c>
      <c r="O204" s="13">
        <f t="shared" si="169"/>
        <v>0</v>
      </c>
      <c r="P204" s="13">
        <f t="shared" si="170"/>
        <v>0</v>
      </c>
      <c r="Q204" s="13">
        <f t="shared" si="171"/>
        <v>0</v>
      </c>
      <c r="R204" s="13">
        <f t="shared" si="172"/>
        <v>0</v>
      </c>
      <c r="S204" s="13">
        <f t="shared" si="173"/>
        <v>0</v>
      </c>
      <c r="T204" s="13">
        <f t="shared" si="174"/>
        <v>0</v>
      </c>
      <c r="U204" s="13">
        <f t="shared" si="175"/>
        <v>0</v>
      </c>
      <c r="V204" s="13">
        <f t="shared" si="176"/>
        <v>0</v>
      </c>
      <c r="W204" s="13">
        <f t="shared" si="177"/>
        <v>0</v>
      </c>
      <c r="X204" s="13">
        <f t="shared" si="178"/>
        <v>0</v>
      </c>
      <c r="Y204" s="13">
        <f t="shared" si="179"/>
        <v>0</v>
      </c>
      <c r="Z204" s="13">
        <f t="shared" si="180"/>
        <v>0</v>
      </c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</row>
    <row r="205" spans="1:345" s="14" customFormat="1">
      <c r="A205" s="15" t="s">
        <v>199</v>
      </c>
      <c r="B205" s="13">
        <f t="shared" si="156"/>
        <v>0</v>
      </c>
      <c r="C205" s="13">
        <f t="shared" si="157"/>
        <v>0</v>
      </c>
      <c r="D205" s="13">
        <f t="shared" si="158"/>
        <v>0</v>
      </c>
      <c r="E205" s="13">
        <f t="shared" si="159"/>
        <v>0</v>
      </c>
      <c r="F205" s="13">
        <f t="shared" si="160"/>
        <v>0</v>
      </c>
      <c r="G205" s="13">
        <f t="shared" si="161"/>
        <v>0</v>
      </c>
      <c r="H205" s="13">
        <f t="shared" si="162"/>
        <v>0</v>
      </c>
      <c r="I205" s="13">
        <f t="shared" si="163"/>
        <v>0</v>
      </c>
      <c r="J205" s="13">
        <f t="shared" si="164"/>
        <v>0</v>
      </c>
      <c r="K205" s="13">
        <f t="shared" si="165"/>
        <v>0</v>
      </c>
      <c r="L205" s="13">
        <f t="shared" si="166"/>
        <v>0</v>
      </c>
      <c r="M205" s="13">
        <f t="shared" si="167"/>
        <v>0</v>
      </c>
      <c r="N205" s="13">
        <f t="shared" si="168"/>
        <v>0</v>
      </c>
      <c r="O205" s="13">
        <f t="shared" si="169"/>
        <v>0</v>
      </c>
      <c r="P205" s="13">
        <f t="shared" si="170"/>
        <v>0</v>
      </c>
      <c r="Q205" s="13">
        <f t="shared" si="171"/>
        <v>0</v>
      </c>
      <c r="R205" s="13">
        <f t="shared" si="172"/>
        <v>0</v>
      </c>
      <c r="S205" s="13">
        <f t="shared" si="173"/>
        <v>0</v>
      </c>
      <c r="T205" s="13">
        <f t="shared" si="174"/>
        <v>0</v>
      </c>
      <c r="U205" s="13">
        <f t="shared" si="175"/>
        <v>0</v>
      </c>
      <c r="V205" s="13">
        <f t="shared" si="176"/>
        <v>0</v>
      </c>
      <c r="W205" s="13">
        <f t="shared" si="177"/>
        <v>0</v>
      </c>
      <c r="X205" s="13">
        <f t="shared" si="178"/>
        <v>0</v>
      </c>
      <c r="Y205" s="13">
        <f t="shared" si="179"/>
        <v>0</v>
      </c>
      <c r="Z205" s="13">
        <f t="shared" si="180"/>
        <v>0</v>
      </c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</row>
    <row r="206" spans="1:345" s="14" customFormat="1">
      <c r="A206" s="12" t="s">
        <v>200</v>
      </c>
      <c r="B206" s="13">
        <f t="shared" si="156"/>
        <v>0</v>
      </c>
      <c r="C206" s="13">
        <f t="shared" si="157"/>
        <v>0</v>
      </c>
      <c r="D206" s="13">
        <f t="shared" si="158"/>
        <v>0</v>
      </c>
      <c r="E206" s="13">
        <f t="shared" si="159"/>
        <v>0</v>
      </c>
      <c r="F206" s="13">
        <f t="shared" si="160"/>
        <v>0</v>
      </c>
      <c r="G206" s="13">
        <f t="shared" si="161"/>
        <v>0</v>
      </c>
      <c r="H206" s="13">
        <f t="shared" si="162"/>
        <v>0</v>
      </c>
      <c r="I206" s="13">
        <f t="shared" si="163"/>
        <v>0</v>
      </c>
      <c r="J206" s="13">
        <f t="shared" si="164"/>
        <v>0</v>
      </c>
      <c r="K206" s="13">
        <f t="shared" si="165"/>
        <v>0</v>
      </c>
      <c r="L206" s="13">
        <f t="shared" si="166"/>
        <v>0</v>
      </c>
      <c r="M206" s="13">
        <f t="shared" si="167"/>
        <v>0</v>
      </c>
      <c r="N206" s="13">
        <f t="shared" si="168"/>
        <v>0</v>
      </c>
      <c r="O206" s="13">
        <f t="shared" si="169"/>
        <v>0</v>
      </c>
      <c r="P206" s="13">
        <f t="shared" si="170"/>
        <v>0</v>
      </c>
      <c r="Q206" s="13">
        <f t="shared" si="171"/>
        <v>0</v>
      </c>
      <c r="R206" s="13">
        <f t="shared" si="172"/>
        <v>0</v>
      </c>
      <c r="S206" s="13">
        <f t="shared" si="173"/>
        <v>0</v>
      </c>
      <c r="T206" s="13">
        <f t="shared" si="174"/>
        <v>0</v>
      </c>
      <c r="U206" s="13">
        <f t="shared" si="175"/>
        <v>0</v>
      </c>
      <c r="V206" s="13">
        <f t="shared" si="176"/>
        <v>0</v>
      </c>
      <c r="W206" s="13">
        <f t="shared" si="177"/>
        <v>0</v>
      </c>
      <c r="X206" s="13">
        <f t="shared" si="178"/>
        <v>0</v>
      </c>
      <c r="Y206" s="13">
        <f t="shared" si="179"/>
        <v>0</v>
      </c>
      <c r="Z206" s="13">
        <f t="shared" si="180"/>
        <v>0</v>
      </c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</row>
    <row r="207" spans="1:345" s="14" customFormat="1">
      <c r="A207" s="15" t="s">
        <v>201</v>
      </c>
      <c r="B207" s="13">
        <f t="shared" si="156"/>
        <v>0</v>
      </c>
      <c r="C207" s="13">
        <f t="shared" si="157"/>
        <v>0</v>
      </c>
      <c r="D207" s="13">
        <f t="shared" si="158"/>
        <v>0</v>
      </c>
      <c r="E207" s="13">
        <f t="shared" si="159"/>
        <v>0</v>
      </c>
      <c r="F207" s="13">
        <f t="shared" si="160"/>
        <v>0</v>
      </c>
      <c r="G207" s="13">
        <f t="shared" si="161"/>
        <v>0</v>
      </c>
      <c r="H207" s="13">
        <f t="shared" si="162"/>
        <v>0</v>
      </c>
      <c r="I207" s="13">
        <f t="shared" si="163"/>
        <v>0</v>
      </c>
      <c r="J207" s="13">
        <f t="shared" si="164"/>
        <v>0</v>
      </c>
      <c r="K207" s="13">
        <f t="shared" si="165"/>
        <v>0</v>
      </c>
      <c r="L207" s="13">
        <f t="shared" si="166"/>
        <v>0</v>
      </c>
      <c r="M207" s="13">
        <f t="shared" si="167"/>
        <v>0</v>
      </c>
      <c r="N207" s="13">
        <f t="shared" si="168"/>
        <v>0</v>
      </c>
      <c r="O207" s="13">
        <f t="shared" si="169"/>
        <v>0</v>
      </c>
      <c r="P207" s="13">
        <f t="shared" si="170"/>
        <v>0</v>
      </c>
      <c r="Q207" s="13">
        <f t="shared" si="171"/>
        <v>0</v>
      </c>
      <c r="R207" s="13">
        <f t="shared" si="172"/>
        <v>0</v>
      </c>
      <c r="S207" s="13">
        <f t="shared" si="173"/>
        <v>0</v>
      </c>
      <c r="T207" s="13">
        <f t="shared" si="174"/>
        <v>0</v>
      </c>
      <c r="U207" s="13">
        <f t="shared" si="175"/>
        <v>0</v>
      </c>
      <c r="V207" s="13">
        <f t="shared" si="176"/>
        <v>0</v>
      </c>
      <c r="W207" s="13">
        <f t="shared" si="177"/>
        <v>0</v>
      </c>
      <c r="X207" s="13">
        <f t="shared" si="178"/>
        <v>0</v>
      </c>
      <c r="Y207" s="13">
        <f t="shared" si="179"/>
        <v>0</v>
      </c>
      <c r="Z207" s="13">
        <f t="shared" si="180"/>
        <v>0</v>
      </c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</row>
    <row r="208" spans="1:345" s="14" customFormat="1">
      <c r="A208" s="15" t="s">
        <v>202</v>
      </c>
      <c r="B208" s="13">
        <f t="shared" si="156"/>
        <v>0</v>
      </c>
      <c r="C208" s="13">
        <f t="shared" si="157"/>
        <v>0</v>
      </c>
      <c r="D208" s="13">
        <f t="shared" si="158"/>
        <v>0</v>
      </c>
      <c r="E208" s="13">
        <f t="shared" si="159"/>
        <v>0</v>
      </c>
      <c r="F208" s="13">
        <f t="shared" si="160"/>
        <v>0</v>
      </c>
      <c r="G208" s="13">
        <f t="shared" si="161"/>
        <v>0</v>
      </c>
      <c r="H208" s="13">
        <f t="shared" si="162"/>
        <v>0</v>
      </c>
      <c r="I208" s="13">
        <f t="shared" si="163"/>
        <v>0</v>
      </c>
      <c r="J208" s="13">
        <f t="shared" si="164"/>
        <v>0</v>
      </c>
      <c r="K208" s="13">
        <f t="shared" si="165"/>
        <v>0</v>
      </c>
      <c r="L208" s="13">
        <f t="shared" si="166"/>
        <v>0</v>
      </c>
      <c r="M208" s="13">
        <f t="shared" si="167"/>
        <v>0</v>
      </c>
      <c r="N208" s="13">
        <f t="shared" si="168"/>
        <v>0</v>
      </c>
      <c r="O208" s="13">
        <f t="shared" si="169"/>
        <v>0</v>
      </c>
      <c r="P208" s="13">
        <f t="shared" si="170"/>
        <v>0</v>
      </c>
      <c r="Q208" s="13">
        <f t="shared" si="171"/>
        <v>0</v>
      </c>
      <c r="R208" s="13">
        <f t="shared" si="172"/>
        <v>0</v>
      </c>
      <c r="S208" s="13">
        <f t="shared" si="173"/>
        <v>0</v>
      </c>
      <c r="T208" s="13">
        <f t="shared" si="174"/>
        <v>0</v>
      </c>
      <c r="U208" s="13">
        <f t="shared" si="175"/>
        <v>0</v>
      </c>
      <c r="V208" s="13">
        <f t="shared" si="176"/>
        <v>0</v>
      </c>
      <c r="W208" s="13">
        <f t="shared" si="177"/>
        <v>0</v>
      </c>
      <c r="X208" s="13">
        <f t="shared" si="178"/>
        <v>0</v>
      </c>
      <c r="Y208" s="13">
        <f t="shared" si="179"/>
        <v>0</v>
      </c>
      <c r="Z208" s="13">
        <f t="shared" si="180"/>
        <v>0</v>
      </c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</row>
    <row r="209" spans="1:345" s="14" customFormat="1">
      <c r="A209" s="12" t="s">
        <v>203</v>
      </c>
      <c r="B209" s="13">
        <f t="shared" si="156"/>
        <v>0</v>
      </c>
      <c r="C209" s="13">
        <f t="shared" si="157"/>
        <v>0</v>
      </c>
      <c r="D209" s="13">
        <f t="shared" si="158"/>
        <v>0</v>
      </c>
      <c r="E209" s="13">
        <f t="shared" si="159"/>
        <v>0</v>
      </c>
      <c r="F209" s="13">
        <f t="shared" si="160"/>
        <v>0</v>
      </c>
      <c r="G209" s="13">
        <f t="shared" si="161"/>
        <v>0</v>
      </c>
      <c r="H209" s="13">
        <f t="shared" si="162"/>
        <v>0</v>
      </c>
      <c r="I209" s="13">
        <f t="shared" si="163"/>
        <v>0</v>
      </c>
      <c r="J209" s="13">
        <f t="shared" si="164"/>
        <v>0</v>
      </c>
      <c r="K209" s="13">
        <f t="shared" si="165"/>
        <v>0</v>
      </c>
      <c r="L209" s="13">
        <f t="shared" si="166"/>
        <v>0</v>
      </c>
      <c r="M209" s="13">
        <f t="shared" si="167"/>
        <v>0</v>
      </c>
      <c r="N209" s="13">
        <f t="shared" si="168"/>
        <v>0</v>
      </c>
      <c r="O209" s="13">
        <f t="shared" si="169"/>
        <v>0</v>
      </c>
      <c r="P209" s="13">
        <f t="shared" si="170"/>
        <v>0</v>
      </c>
      <c r="Q209" s="13">
        <f t="shared" si="171"/>
        <v>0</v>
      </c>
      <c r="R209" s="13">
        <f t="shared" si="172"/>
        <v>0</v>
      </c>
      <c r="S209" s="13">
        <f t="shared" si="173"/>
        <v>0</v>
      </c>
      <c r="T209" s="13">
        <f t="shared" si="174"/>
        <v>0</v>
      </c>
      <c r="U209" s="13">
        <f t="shared" si="175"/>
        <v>0</v>
      </c>
      <c r="V209" s="13">
        <f t="shared" si="176"/>
        <v>0</v>
      </c>
      <c r="W209" s="13">
        <f t="shared" si="177"/>
        <v>0</v>
      </c>
      <c r="X209" s="13">
        <f t="shared" si="178"/>
        <v>0</v>
      </c>
      <c r="Y209" s="13">
        <f t="shared" si="179"/>
        <v>0</v>
      </c>
      <c r="Z209" s="13">
        <f t="shared" si="180"/>
        <v>0</v>
      </c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</row>
    <row r="210" spans="1:345" s="14" customFormat="1">
      <c r="A210" s="15" t="s">
        <v>204</v>
      </c>
      <c r="B210" s="13">
        <f t="shared" si="156"/>
        <v>0</v>
      </c>
      <c r="C210" s="13">
        <f t="shared" si="157"/>
        <v>0</v>
      </c>
      <c r="D210" s="13">
        <f t="shared" si="158"/>
        <v>0</v>
      </c>
      <c r="E210" s="13">
        <f t="shared" si="159"/>
        <v>0</v>
      </c>
      <c r="F210" s="13">
        <f t="shared" si="160"/>
        <v>0</v>
      </c>
      <c r="G210" s="13">
        <f t="shared" si="161"/>
        <v>0</v>
      </c>
      <c r="H210" s="13">
        <f t="shared" si="162"/>
        <v>0</v>
      </c>
      <c r="I210" s="13">
        <f t="shared" si="163"/>
        <v>0</v>
      </c>
      <c r="J210" s="13">
        <f t="shared" si="164"/>
        <v>0</v>
      </c>
      <c r="K210" s="13">
        <f t="shared" si="165"/>
        <v>0</v>
      </c>
      <c r="L210" s="13">
        <f t="shared" si="166"/>
        <v>0</v>
      </c>
      <c r="M210" s="13">
        <f t="shared" si="167"/>
        <v>0</v>
      </c>
      <c r="N210" s="13">
        <f t="shared" si="168"/>
        <v>0</v>
      </c>
      <c r="O210" s="13">
        <f t="shared" si="169"/>
        <v>0</v>
      </c>
      <c r="P210" s="13">
        <f t="shared" si="170"/>
        <v>0</v>
      </c>
      <c r="Q210" s="13">
        <f t="shared" si="171"/>
        <v>0</v>
      </c>
      <c r="R210" s="13">
        <f t="shared" si="172"/>
        <v>0</v>
      </c>
      <c r="S210" s="13">
        <f t="shared" si="173"/>
        <v>0</v>
      </c>
      <c r="T210" s="13">
        <f t="shared" si="174"/>
        <v>0</v>
      </c>
      <c r="U210" s="13">
        <f t="shared" si="175"/>
        <v>0</v>
      </c>
      <c r="V210" s="13">
        <f t="shared" si="176"/>
        <v>0</v>
      </c>
      <c r="W210" s="13">
        <f t="shared" si="177"/>
        <v>0</v>
      </c>
      <c r="X210" s="13">
        <f t="shared" si="178"/>
        <v>0</v>
      </c>
      <c r="Y210" s="13">
        <f t="shared" si="179"/>
        <v>0</v>
      </c>
      <c r="Z210" s="13">
        <f t="shared" si="180"/>
        <v>0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</row>
    <row r="211" spans="1:345" s="14" customFormat="1">
      <c r="A211" s="15" t="s">
        <v>205</v>
      </c>
      <c r="B211" s="13">
        <f t="shared" si="156"/>
        <v>0</v>
      </c>
      <c r="C211" s="13">
        <f t="shared" si="157"/>
        <v>0</v>
      </c>
      <c r="D211" s="13">
        <f t="shared" si="158"/>
        <v>0</v>
      </c>
      <c r="E211" s="13">
        <f t="shared" si="159"/>
        <v>0</v>
      </c>
      <c r="F211" s="13">
        <f t="shared" si="160"/>
        <v>0</v>
      </c>
      <c r="G211" s="13">
        <f t="shared" si="161"/>
        <v>0</v>
      </c>
      <c r="H211" s="13">
        <f t="shared" si="162"/>
        <v>0</v>
      </c>
      <c r="I211" s="13">
        <f t="shared" si="163"/>
        <v>0</v>
      </c>
      <c r="J211" s="13">
        <f t="shared" si="164"/>
        <v>0</v>
      </c>
      <c r="K211" s="13">
        <f t="shared" si="165"/>
        <v>0</v>
      </c>
      <c r="L211" s="13">
        <f t="shared" si="166"/>
        <v>0</v>
      </c>
      <c r="M211" s="13">
        <f t="shared" si="167"/>
        <v>0</v>
      </c>
      <c r="N211" s="13">
        <f t="shared" si="168"/>
        <v>0</v>
      </c>
      <c r="O211" s="13">
        <f t="shared" si="169"/>
        <v>0</v>
      </c>
      <c r="P211" s="13">
        <f t="shared" si="170"/>
        <v>0</v>
      </c>
      <c r="Q211" s="13">
        <f t="shared" si="171"/>
        <v>0</v>
      </c>
      <c r="R211" s="13">
        <f t="shared" si="172"/>
        <v>0</v>
      </c>
      <c r="S211" s="13">
        <f t="shared" si="173"/>
        <v>0</v>
      </c>
      <c r="T211" s="13">
        <f t="shared" si="174"/>
        <v>0</v>
      </c>
      <c r="U211" s="13">
        <f t="shared" si="175"/>
        <v>0</v>
      </c>
      <c r="V211" s="13">
        <f t="shared" si="176"/>
        <v>0</v>
      </c>
      <c r="W211" s="13">
        <f t="shared" si="177"/>
        <v>0</v>
      </c>
      <c r="X211" s="13">
        <f t="shared" si="178"/>
        <v>0</v>
      </c>
      <c r="Y211" s="13">
        <f t="shared" si="179"/>
        <v>0</v>
      </c>
      <c r="Z211" s="13">
        <f t="shared" si="180"/>
        <v>0</v>
      </c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</row>
    <row r="212" spans="1:345" s="14" customFormat="1">
      <c r="A212" s="15" t="s">
        <v>206</v>
      </c>
      <c r="B212" s="13">
        <f t="shared" si="156"/>
        <v>0</v>
      </c>
      <c r="C212" s="13">
        <f t="shared" si="157"/>
        <v>0</v>
      </c>
      <c r="D212" s="13">
        <f t="shared" si="158"/>
        <v>0</v>
      </c>
      <c r="E212" s="13">
        <f t="shared" si="159"/>
        <v>0</v>
      </c>
      <c r="F212" s="13">
        <f t="shared" si="160"/>
        <v>0</v>
      </c>
      <c r="G212" s="13">
        <f t="shared" si="161"/>
        <v>0</v>
      </c>
      <c r="H212" s="13">
        <f t="shared" si="162"/>
        <v>0</v>
      </c>
      <c r="I212" s="13">
        <f t="shared" si="163"/>
        <v>0</v>
      </c>
      <c r="J212" s="13">
        <f t="shared" si="164"/>
        <v>0</v>
      </c>
      <c r="K212" s="13">
        <f t="shared" si="165"/>
        <v>0</v>
      </c>
      <c r="L212" s="13">
        <f t="shared" si="166"/>
        <v>0</v>
      </c>
      <c r="M212" s="13">
        <f t="shared" si="167"/>
        <v>0</v>
      </c>
      <c r="N212" s="13">
        <f t="shared" si="168"/>
        <v>0</v>
      </c>
      <c r="O212" s="13">
        <f t="shared" si="169"/>
        <v>0</v>
      </c>
      <c r="P212" s="13">
        <f t="shared" si="170"/>
        <v>0</v>
      </c>
      <c r="Q212" s="13">
        <f t="shared" si="171"/>
        <v>0</v>
      </c>
      <c r="R212" s="13">
        <f t="shared" si="172"/>
        <v>0</v>
      </c>
      <c r="S212" s="13">
        <f t="shared" si="173"/>
        <v>0</v>
      </c>
      <c r="T212" s="13">
        <f t="shared" si="174"/>
        <v>0</v>
      </c>
      <c r="U212" s="13">
        <f t="shared" si="175"/>
        <v>0</v>
      </c>
      <c r="V212" s="13">
        <f t="shared" si="176"/>
        <v>0</v>
      </c>
      <c r="W212" s="13">
        <f t="shared" si="177"/>
        <v>0</v>
      </c>
      <c r="X212" s="13">
        <f t="shared" si="178"/>
        <v>0</v>
      </c>
      <c r="Y212" s="13">
        <f t="shared" si="179"/>
        <v>0</v>
      </c>
      <c r="Z212" s="13">
        <f t="shared" si="180"/>
        <v>0</v>
      </c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</row>
    <row r="213" spans="1:345" s="14" customFormat="1">
      <c r="A213" s="15" t="s">
        <v>207</v>
      </c>
      <c r="B213" s="13">
        <f t="shared" si="156"/>
        <v>0</v>
      </c>
      <c r="C213" s="13">
        <f t="shared" si="157"/>
        <v>0</v>
      </c>
      <c r="D213" s="13">
        <f t="shared" si="158"/>
        <v>0</v>
      </c>
      <c r="E213" s="13">
        <f t="shared" si="159"/>
        <v>0</v>
      </c>
      <c r="F213" s="13">
        <f t="shared" si="160"/>
        <v>0</v>
      </c>
      <c r="G213" s="13">
        <f t="shared" si="161"/>
        <v>0</v>
      </c>
      <c r="H213" s="13">
        <f t="shared" si="162"/>
        <v>0</v>
      </c>
      <c r="I213" s="13">
        <f t="shared" si="163"/>
        <v>0</v>
      </c>
      <c r="J213" s="13">
        <f t="shared" si="164"/>
        <v>0</v>
      </c>
      <c r="K213" s="13">
        <f t="shared" si="165"/>
        <v>0</v>
      </c>
      <c r="L213" s="13">
        <f t="shared" si="166"/>
        <v>0</v>
      </c>
      <c r="M213" s="13">
        <f t="shared" si="167"/>
        <v>0</v>
      </c>
      <c r="N213" s="13">
        <f t="shared" si="168"/>
        <v>0</v>
      </c>
      <c r="O213" s="13">
        <f t="shared" si="169"/>
        <v>0</v>
      </c>
      <c r="P213" s="13">
        <f t="shared" si="170"/>
        <v>0</v>
      </c>
      <c r="Q213" s="13">
        <f t="shared" si="171"/>
        <v>0</v>
      </c>
      <c r="R213" s="13">
        <f t="shared" si="172"/>
        <v>0</v>
      </c>
      <c r="S213" s="13">
        <f t="shared" si="173"/>
        <v>0</v>
      </c>
      <c r="T213" s="13">
        <f t="shared" si="174"/>
        <v>0</v>
      </c>
      <c r="U213" s="13">
        <f t="shared" si="175"/>
        <v>0</v>
      </c>
      <c r="V213" s="13">
        <f t="shared" si="176"/>
        <v>0</v>
      </c>
      <c r="W213" s="13">
        <f t="shared" si="177"/>
        <v>0</v>
      </c>
      <c r="X213" s="13">
        <f t="shared" si="178"/>
        <v>0</v>
      </c>
      <c r="Y213" s="13">
        <f t="shared" si="179"/>
        <v>0</v>
      </c>
      <c r="Z213" s="13">
        <f t="shared" si="180"/>
        <v>0</v>
      </c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</row>
    <row r="214" spans="1:345" s="14" customFormat="1">
      <c r="A214" s="15" t="s">
        <v>208</v>
      </c>
      <c r="B214" s="13">
        <f t="shared" si="156"/>
        <v>0</v>
      </c>
      <c r="C214" s="13">
        <f t="shared" si="157"/>
        <v>0</v>
      </c>
      <c r="D214" s="13">
        <f t="shared" si="158"/>
        <v>0</v>
      </c>
      <c r="E214" s="13">
        <f t="shared" si="159"/>
        <v>0</v>
      </c>
      <c r="F214" s="13">
        <f t="shared" si="160"/>
        <v>0</v>
      </c>
      <c r="G214" s="13">
        <f t="shared" si="161"/>
        <v>0</v>
      </c>
      <c r="H214" s="13">
        <f t="shared" si="162"/>
        <v>0</v>
      </c>
      <c r="I214" s="13">
        <f t="shared" si="163"/>
        <v>0</v>
      </c>
      <c r="J214" s="13">
        <f t="shared" si="164"/>
        <v>0</v>
      </c>
      <c r="K214" s="13">
        <f t="shared" si="165"/>
        <v>0</v>
      </c>
      <c r="L214" s="13">
        <f t="shared" si="166"/>
        <v>0</v>
      </c>
      <c r="M214" s="13">
        <f t="shared" si="167"/>
        <v>0</v>
      </c>
      <c r="N214" s="13">
        <f t="shared" si="168"/>
        <v>0</v>
      </c>
      <c r="O214" s="13">
        <f t="shared" si="169"/>
        <v>0</v>
      </c>
      <c r="P214" s="13">
        <f t="shared" si="170"/>
        <v>0</v>
      </c>
      <c r="Q214" s="13">
        <f t="shared" si="171"/>
        <v>0</v>
      </c>
      <c r="R214" s="13">
        <f t="shared" si="172"/>
        <v>0</v>
      </c>
      <c r="S214" s="13">
        <f t="shared" si="173"/>
        <v>0</v>
      </c>
      <c r="T214" s="13">
        <f t="shared" si="174"/>
        <v>0</v>
      </c>
      <c r="U214" s="13">
        <f t="shared" si="175"/>
        <v>0</v>
      </c>
      <c r="V214" s="13">
        <f t="shared" si="176"/>
        <v>0</v>
      </c>
      <c r="W214" s="13">
        <f t="shared" si="177"/>
        <v>0</v>
      </c>
      <c r="X214" s="13">
        <f t="shared" si="178"/>
        <v>0</v>
      </c>
      <c r="Y214" s="13">
        <f t="shared" si="179"/>
        <v>0</v>
      </c>
      <c r="Z214" s="13">
        <f t="shared" si="180"/>
        <v>0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</row>
    <row r="215" spans="1:345" s="14" customFormat="1">
      <c r="A215" s="15" t="s">
        <v>209</v>
      </c>
      <c r="B215" s="13">
        <f t="shared" si="156"/>
        <v>0</v>
      </c>
      <c r="C215" s="13">
        <f t="shared" si="157"/>
        <v>0</v>
      </c>
      <c r="D215" s="13">
        <f t="shared" si="158"/>
        <v>0</v>
      </c>
      <c r="E215" s="13">
        <f t="shared" si="159"/>
        <v>0</v>
      </c>
      <c r="F215" s="13">
        <f t="shared" si="160"/>
        <v>0</v>
      </c>
      <c r="G215" s="13">
        <f t="shared" si="161"/>
        <v>0</v>
      </c>
      <c r="H215" s="13">
        <f t="shared" si="162"/>
        <v>0</v>
      </c>
      <c r="I215" s="13">
        <f t="shared" si="163"/>
        <v>0</v>
      </c>
      <c r="J215" s="13">
        <f t="shared" si="164"/>
        <v>0</v>
      </c>
      <c r="K215" s="13">
        <f t="shared" si="165"/>
        <v>0</v>
      </c>
      <c r="L215" s="13">
        <f t="shared" si="166"/>
        <v>0</v>
      </c>
      <c r="M215" s="13">
        <f t="shared" si="167"/>
        <v>0</v>
      </c>
      <c r="N215" s="13">
        <f t="shared" si="168"/>
        <v>0</v>
      </c>
      <c r="O215" s="13">
        <f t="shared" si="169"/>
        <v>0</v>
      </c>
      <c r="P215" s="13">
        <f t="shared" si="170"/>
        <v>0</v>
      </c>
      <c r="Q215" s="13">
        <f t="shared" si="171"/>
        <v>0</v>
      </c>
      <c r="R215" s="13">
        <f t="shared" si="172"/>
        <v>0</v>
      </c>
      <c r="S215" s="13">
        <f t="shared" si="173"/>
        <v>0</v>
      </c>
      <c r="T215" s="13">
        <f t="shared" si="174"/>
        <v>0</v>
      </c>
      <c r="U215" s="13">
        <f t="shared" si="175"/>
        <v>0</v>
      </c>
      <c r="V215" s="13">
        <f t="shared" si="176"/>
        <v>0</v>
      </c>
      <c r="W215" s="13">
        <f t="shared" si="177"/>
        <v>0</v>
      </c>
      <c r="X215" s="13">
        <f t="shared" si="178"/>
        <v>0</v>
      </c>
      <c r="Y215" s="13">
        <f t="shared" si="179"/>
        <v>0</v>
      </c>
      <c r="Z215" s="13">
        <f t="shared" si="180"/>
        <v>0</v>
      </c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</row>
    <row r="216" spans="1:345" s="14" customFormat="1">
      <c r="A216" s="15" t="s">
        <v>210</v>
      </c>
      <c r="B216" s="13">
        <f t="shared" si="156"/>
        <v>0</v>
      </c>
      <c r="C216" s="13">
        <f t="shared" si="157"/>
        <v>0</v>
      </c>
      <c r="D216" s="13">
        <f t="shared" si="158"/>
        <v>0</v>
      </c>
      <c r="E216" s="13">
        <f t="shared" si="159"/>
        <v>0</v>
      </c>
      <c r="F216" s="13">
        <f t="shared" si="160"/>
        <v>0</v>
      </c>
      <c r="G216" s="13">
        <f t="shared" si="161"/>
        <v>0</v>
      </c>
      <c r="H216" s="13">
        <f t="shared" si="162"/>
        <v>0</v>
      </c>
      <c r="I216" s="13">
        <f t="shared" si="163"/>
        <v>0</v>
      </c>
      <c r="J216" s="13">
        <f t="shared" si="164"/>
        <v>0</v>
      </c>
      <c r="K216" s="13">
        <f t="shared" si="165"/>
        <v>0</v>
      </c>
      <c r="L216" s="13">
        <f t="shared" si="166"/>
        <v>0</v>
      </c>
      <c r="M216" s="13">
        <f t="shared" si="167"/>
        <v>0</v>
      </c>
      <c r="N216" s="13">
        <f t="shared" si="168"/>
        <v>0</v>
      </c>
      <c r="O216" s="13">
        <f t="shared" si="169"/>
        <v>0</v>
      </c>
      <c r="P216" s="13">
        <f t="shared" si="170"/>
        <v>0</v>
      </c>
      <c r="Q216" s="13">
        <f t="shared" si="171"/>
        <v>0</v>
      </c>
      <c r="R216" s="13">
        <f t="shared" si="172"/>
        <v>0</v>
      </c>
      <c r="S216" s="13">
        <f t="shared" si="173"/>
        <v>0</v>
      </c>
      <c r="T216" s="13">
        <f t="shared" si="174"/>
        <v>0</v>
      </c>
      <c r="U216" s="13">
        <f t="shared" si="175"/>
        <v>0</v>
      </c>
      <c r="V216" s="13">
        <f t="shared" si="176"/>
        <v>0</v>
      </c>
      <c r="W216" s="13">
        <f t="shared" si="177"/>
        <v>0</v>
      </c>
      <c r="X216" s="13">
        <f t="shared" si="178"/>
        <v>0</v>
      </c>
      <c r="Y216" s="13">
        <f t="shared" si="179"/>
        <v>0</v>
      </c>
      <c r="Z216" s="13">
        <f t="shared" si="180"/>
        <v>0</v>
      </c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</row>
    <row r="217" spans="1:345" s="14" customFormat="1">
      <c r="A217" s="12" t="s">
        <v>211</v>
      </c>
      <c r="B217" s="13">
        <f t="shared" si="156"/>
        <v>0</v>
      </c>
      <c r="C217" s="13">
        <f t="shared" si="157"/>
        <v>0</v>
      </c>
      <c r="D217" s="13">
        <f t="shared" si="158"/>
        <v>0</v>
      </c>
      <c r="E217" s="13">
        <f t="shared" si="159"/>
        <v>0</v>
      </c>
      <c r="F217" s="13">
        <f t="shared" si="160"/>
        <v>0</v>
      </c>
      <c r="G217" s="13">
        <f t="shared" si="161"/>
        <v>0</v>
      </c>
      <c r="H217" s="13">
        <f t="shared" si="162"/>
        <v>0</v>
      </c>
      <c r="I217" s="13">
        <f t="shared" si="163"/>
        <v>0</v>
      </c>
      <c r="J217" s="13">
        <f t="shared" si="164"/>
        <v>0</v>
      </c>
      <c r="K217" s="13">
        <f t="shared" si="165"/>
        <v>0</v>
      </c>
      <c r="L217" s="13">
        <f t="shared" si="166"/>
        <v>0</v>
      </c>
      <c r="M217" s="13">
        <f t="shared" si="167"/>
        <v>0</v>
      </c>
      <c r="N217" s="13">
        <f t="shared" si="168"/>
        <v>0</v>
      </c>
      <c r="O217" s="13">
        <f t="shared" si="169"/>
        <v>0</v>
      </c>
      <c r="P217" s="13">
        <f t="shared" si="170"/>
        <v>0</v>
      </c>
      <c r="Q217" s="13">
        <f t="shared" si="171"/>
        <v>0</v>
      </c>
      <c r="R217" s="13">
        <f t="shared" si="172"/>
        <v>0</v>
      </c>
      <c r="S217" s="13">
        <f t="shared" si="173"/>
        <v>0</v>
      </c>
      <c r="T217" s="13">
        <f t="shared" si="174"/>
        <v>0</v>
      </c>
      <c r="U217" s="13">
        <f t="shared" si="175"/>
        <v>0</v>
      </c>
      <c r="V217" s="13">
        <f t="shared" si="176"/>
        <v>0</v>
      </c>
      <c r="W217" s="13">
        <f t="shared" si="177"/>
        <v>0</v>
      </c>
      <c r="X217" s="13">
        <f t="shared" si="178"/>
        <v>0</v>
      </c>
      <c r="Y217" s="13">
        <f t="shared" si="179"/>
        <v>0</v>
      </c>
      <c r="Z217" s="13">
        <f t="shared" si="180"/>
        <v>0</v>
      </c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</row>
    <row r="218" spans="1:345" s="14" customFormat="1">
      <c r="A218" s="12" t="s">
        <v>212</v>
      </c>
      <c r="B218" s="13">
        <f t="shared" si="156"/>
        <v>0</v>
      </c>
      <c r="C218" s="13">
        <f t="shared" si="157"/>
        <v>0</v>
      </c>
      <c r="D218" s="13">
        <f t="shared" si="158"/>
        <v>0</v>
      </c>
      <c r="E218" s="13">
        <f t="shared" si="159"/>
        <v>0</v>
      </c>
      <c r="F218" s="13">
        <f t="shared" si="160"/>
        <v>0</v>
      </c>
      <c r="G218" s="13">
        <f t="shared" si="161"/>
        <v>0</v>
      </c>
      <c r="H218" s="13">
        <f t="shared" si="162"/>
        <v>0</v>
      </c>
      <c r="I218" s="13">
        <f t="shared" si="163"/>
        <v>0</v>
      </c>
      <c r="J218" s="13">
        <f t="shared" si="164"/>
        <v>0</v>
      </c>
      <c r="K218" s="13">
        <f t="shared" si="165"/>
        <v>0</v>
      </c>
      <c r="L218" s="13">
        <f t="shared" si="166"/>
        <v>0</v>
      </c>
      <c r="M218" s="13">
        <f t="shared" si="167"/>
        <v>0</v>
      </c>
      <c r="N218" s="13">
        <f t="shared" si="168"/>
        <v>0</v>
      </c>
      <c r="O218" s="13">
        <f t="shared" si="169"/>
        <v>0</v>
      </c>
      <c r="P218" s="13">
        <f t="shared" si="170"/>
        <v>0</v>
      </c>
      <c r="Q218" s="13">
        <f t="shared" si="171"/>
        <v>0</v>
      </c>
      <c r="R218" s="13">
        <f t="shared" si="172"/>
        <v>0</v>
      </c>
      <c r="S218" s="13">
        <f t="shared" si="173"/>
        <v>0</v>
      </c>
      <c r="T218" s="13">
        <f t="shared" si="174"/>
        <v>0</v>
      </c>
      <c r="U218" s="13">
        <f t="shared" si="175"/>
        <v>0</v>
      </c>
      <c r="V218" s="13">
        <f t="shared" si="176"/>
        <v>0</v>
      </c>
      <c r="W218" s="13">
        <f t="shared" si="177"/>
        <v>0</v>
      </c>
      <c r="X218" s="13">
        <f t="shared" si="178"/>
        <v>0</v>
      </c>
      <c r="Y218" s="13">
        <f t="shared" si="179"/>
        <v>0</v>
      </c>
      <c r="Z218" s="13">
        <f t="shared" si="180"/>
        <v>0</v>
      </c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</row>
    <row r="219" spans="1:345" s="14" customFormat="1">
      <c r="A219" s="12" t="s">
        <v>213</v>
      </c>
      <c r="B219" s="13">
        <f t="shared" si="156"/>
        <v>0</v>
      </c>
      <c r="C219" s="13">
        <f t="shared" si="157"/>
        <v>0</v>
      </c>
      <c r="D219" s="13">
        <f t="shared" si="158"/>
        <v>0</v>
      </c>
      <c r="E219" s="13">
        <f t="shared" si="159"/>
        <v>0</v>
      </c>
      <c r="F219" s="13">
        <f t="shared" si="160"/>
        <v>0</v>
      </c>
      <c r="G219" s="13">
        <f t="shared" si="161"/>
        <v>0</v>
      </c>
      <c r="H219" s="13">
        <f t="shared" si="162"/>
        <v>0</v>
      </c>
      <c r="I219" s="13">
        <f t="shared" si="163"/>
        <v>0</v>
      </c>
      <c r="J219" s="13">
        <f t="shared" si="164"/>
        <v>0</v>
      </c>
      <c r="K219" s="13">
        <f t="shared" si="165"/>
        <v>0</v>
      </c>
      <c r="L219" s="13">
        <f t="shared" si="166"/>
        <v>0</v>
      </c>
      <c r="M219" s="13">
        <f t="shared" si="167"/>
        <v>0</v>
      </c>
      <c r="N219" s="13">
        <f t="shared" si="168"/>
        <v>0</v>
      </c>
      <c r="O219" s="13">
        <f t="shared" si="169"/>
        <v>0</v>
      </c>
      <c r="P219" s="13">
        <f t="shared" si="170"/>
        <v>0</v>
      </c>
      <c r="Q219" s="13">
        <f t="shared" si="171"/>
        <v>0</v>
      </c>
      <c r="R219" s="13">
        <f t="shared" si="172"/>
        <v>0</v>
      </c>
      <c r="S219" s="13">
        <f t="shared" si="173"/>
        <v>0</v>
      </c>
      <c r="T219" s="13">
        <f t="shared" si="174"/>
        <v>0</v>
      </c>
      <c r="U219" s="13">
        <f t="shared" si="175"/>
        <v>0</v>
      </c>
      <c r="V219" s="13">
        <f t="shared" si="176"/>
        <v>0</v>
      </c>
      <c r="W219" s="13">
        <f t="shared" si="177"/>
        <v>0</v>
      </c>
      <c r="X219" s="13">
        <f t="shared" si="178"/>
        <v>0</v>
      </c>
      <c r="Y219" s="13">
        <f t="shared" si="179"/>
        <v>0</v>
      </c>
      <c r="Z219" s="13">
        <f t="shared" si="180"/>
        <v>0</v>
      </c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</row>
    <row r="220" spans="1:345" s="14" customFormat="1">
      <c r="A220" s="12" t="s">
        <v>214</v>
      </c>
      <c r="B220" s="13">
        <f t="shared" si="156"/>
        <v>0</v>
      </c>
      <c r="C220" s="13">
        <f t="shared" si="157"/>
        <v>0</v>
      </c>
      <c r="D220" s="13">
        <f t="shared" si="158"/>
        <v>0</v>
      </c>
      <c r="E220" s="13">
        <f t="shared" si="159"/>
        <v>0</v>
      </c>
      <c r="F220" s="13">
        <f t="shared" si="160"/>
        <v>0</v>
      </c>
      <c r="G220" s="13">
        <f t="shared" si="161"/>
        <v>0</v>
      </c>
      <c r="H220" s="13">
        <f t="shared" si="162"/>
        <v>0</v>
      </c>
      <c r="I220" s="13">
        <f t="shared" si="163"/>
        <v>0</v>
      </c>
      <c r="J220" s="13">
        <f t="shared" si="164"/>
        <v>0</v>
      </c>
      <c r="K220" s="13">
        <f t="shared" si="165"/>
        <v>0</v>
      </c>
      <c r="L220" s="13">
        <f t="shared" si="166"/>
        <v>0</v>
      </c>
      <c r="M220" s="13">
        <f t="shared" si="167"/>
        <v>0</v>
      </c>
      <c r="N220" s="13">
        <f t="shared" si="168"/>
        <v>0</v>
      </c>
      <c r="O220" s="13">
        <f t="shared" si="169"/>
        <v>0</v>
      </c>
      <c r="P220" s="13">
        <f t="shared" si="170"/>
        <v>0</v>
      </c>
      <c r="Q220" s="13">
        <f t="shared" si="171"/>
        <v>0</v>
      </c>
      <c r="R220" s="13">
        <f t="shared" si="172"/>
        <v>0</v>
      </c>
      <c r="S220" s="13">
        <f t="shared" si="173"/>
        <v>0</v>
      </c>
      <c r="T220" s="13">
        <f t="shared" si="174"/>
        <v>0</v>
      </c>
      <c r="U220" s="13">
        <f t="shared" si="175"/>
        <v>0</v>
      </c>
      <c r="V220" s="13">
        <f t="shared" si="176"/>
        <v>0</v>
      </c>
      <c r="W220" s="13">
        <f t="shared" si="177"/>
        <v>0</v>
      </c>
      <c r="X220" s="13">
        <f t="shared" si="178"/>
        <v>0</v>
      </c>
      <c r="Y220" s="13">
        <f t="shared" si="179"/>
        <v>0</v>
      </c>
      <c r="Z220" s="13">
        <f t="shared" si="180"/>
        <v>0</v>
      </c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</row>
    <row r="221" spans="1:345" s="14" customFormat="1">
      <c r="A221" s="15" t="s">
        <v>215</v>
      </c>
      <c r="B221" s="13">
        <f t="shared" si="156"/>
        <v>0</v>
      </c>
      <c r="C221" s="13">
        <f t="shared" si="157"/>
        <v>0</v>
      </c>
      <c r="D221" s="13">
        <f t="shared" si="158"/>
        <v>0</v>
      </c>
      <c r="E221" s="13">
        <f t="shared" si="159"/>
        <v>0</v>
      </c>
      <c r="F221" s="13">
        <f t="shared" si="160"/>
        <v>0</v>
      </c>
      <c r="G221" s="13">
        <f t="shared" si="161"/>
        <v>0</v>
      </c>
      <c r="H221" s="13">
        <f t="shared" si="162"/>
        <v>0</v>
      </c>
      <c r="I221" s="13">
        <f t="shared" si="163"/>
        <v>0</v>
      </c>
      <c r="J221" s="13">
        <f t="shared" si="164"/>
        <v>0</v>
      </c>
      <c r="K221" s="13">
        <f t="shared" si="165"/>
        <v>0</v>
      </c>
      <c r="L221" s="13">
        <f t="shared" si="166"/>
        <v>0</v>
      </c>
      <c r="M221" s="13">
        <f t="shared" si="167"/>
        <v>0</v>
      </c>
      <c r="N221" s="13">
        <f t="shared" si="168"/>
        <v>0</v>
      </c>
      <c r="O221" s="13">
        <f t="shared" si="169"/>
        <v>0</v>
      </c>
      <c r="P221" s="13">
        <f t="shared" si="170"/>
        <v>0</v>
      </c>
      <c r="Q221" s="13">
        <f t="shared" si="171"/>
        <v>0</v>
      </c>
      <c r="R221" s="13">
        <f t="shared" si="172"/>
        <v>0</v>
      </c>
      <c r="S221" s="13">
        <f t="shared" si="173"/>
        <v>0</v>
      </c>
      <c r="T221" s="13">
        <f t="shared" si="174"/>
        <v>0</v>
      </c>
      <c r="U221" s="13">
        <f t="shared" si="175"/>
        <v>0</v>
      </c>
      <c r="V221" s="13">
        <f t="shared" si="176"/>
        <v>0</v>
      </c>
      <c r="W221" s="13">
        <f t="shared" si="177"/>
        <v>0</v>
      </c>
      <c r="X221" s="13">
        <f t="shared" si="178"/>
        <v>0</v>
      </c>
      <c r="Y221" s="13">
        <f t="shared" si="179"/>
        <v>0</v>
      </c>
      <c r="Z221" s="13">
        <f t="shared" si="180"/>
        <v>0</v>
      </c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</row>
    <row r="222" spans="1:345" s="14" customFormat="1">
      <c r="A222" s="15" t="s">
        <v>216</v>
      </c>
      <c r="B222" s="13">
        <f t="shared" si="156"/>
        <v>0</v>
      </c>
      <c r="C222" s="13">
        <f t="shared" si="157"/>
        <v>0</v>
      </c>
      <c r="D222" s="13">
        <f t="shared" si="158"/>
        <v>0</v>
      </c>
      <c r="E222" s="13">
        <f t="shared" si="159"/>
        <v>0</v>
      </c>
      <c r="F222" s="13">
        <f t="shared" si="160"/>
        <v>0</v>
      </c>
      <c r="G222" s="13">
        <f t="shared" si="161"/>
        <v>0</v>
      </c>
      <c r="H222" s="13">
        <f t="shared" si="162"/>
        <v>0</v>
      </c>
      <c r="I222" s="13">
        <f t="shared" si="163"/>
        <v>0</v>
      </c>
      <c r="J222" s="13">
        <f t="shared" si="164"/>
        <v>0</v>
      </c>
      <c r="K222" s="13">
        <f t="shared" si="165"/>
        <v>0</v>
      </c>
      <c r="L222" s="13">
        <f t="shared" si="166"/>
        <v>0</v>
      </c>
      <c r="M222" s="13">
        <f t="shared" si="167"/>
        <v>0</v>
      </c>
      <c r="N222" s="13">
        <f t="shared" si="168"/>
        <v>0</v>
      </c>
      <c r="O222" s="13">
        <f t="shared" si="169"/>
        <v>0</v>
      </c>
      <c r="P222" s="13">
        <f t="shared" si="170"/>
        <v>0</v>
      </c>
      <c r="Q222" s="13">
        <f t="shared" si="171"/>
        <v>0</v>
      </c>
      <c r="R222" s="13">
        <f t="shared" si="172"/>
        <v>0</v>
      </c>
      <c r="S222" s="13">
        <f t="shared" si="173"/>
        <v>0</v>
      </c>
      <c r="T222" s="13">
        <f t="shared" si="174"/>
        <v>0</v>
      </c>
      <c r="U222" s="13">
        <f t="shared" si="175"/>
        <v>0</v>
      </c>
      <c r="V222" s="13">
        <f t="shared" si="176"/>
        <v>0</v>
      </c>
      <c r="W222" s="13">
        <f t="shared" si="177"/>
        <v>0</v>
      </c>
      <c r="X222" s="13">
        <f t="shared" si="178"/>
        <v>0</v>
      </c>
      <c r="Y222" s="13">
        <f t="shared" si="179"/>
        <v>0</v>
      </c>
      <c r="Z222" s="13">
        <f t="shared" si="180"/>
        <v>0</v>
      </c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</row>
    <row r="223" spans="1:345" s="14" customFormat="1">
      <c r="A223" s="15" t="s">
        <v>217</v>
      </c>
      <c r="B223" s="13">
        <f t="shared" si="156"/>
        <v>0</v>
      </c>
      <c r="C223" s="13">
        <f t="shared" si="157"/>
        <v>0</v>
      </c>
      <c r="D223" s="13">
        <f t="shared" si="158"/>
        <v>0</v>
      </c>
      <c r="E223" s="13">
        <f t="shared" si="159"/>
        <v>0</v>
      </c>
      <c r="F223" s="13">
        <f t="shared" si="160"/>
        <v>0</v>
      </c>
      <c r="G223" s="13">
        <f t="shared" si="161"/>
        <v>0</v>
      </c>
      <c r="H223" s="13">
        <f t="shared" si="162"/>
        <v>0</v>
      </c>
      <c r="I223" s="13">
        <f t="shared" si="163"/>
        <v>0</v>
      </c>
      <c r="J223" s="13">
        <f t="shared" si="164"/>
        <v>0</v>
      </c>
      <c r="K223" s="13">
        <f t="shared" si="165"/>
        <v>0</v>
      </c>
      <c r="L223" s="13">
        <f t="shared" si="166"/>
        <v>0</v>
      </c>
      <c r="M223" s="13">
        <f t="shared" si="167"/>
        <v>0</v>
      </c>
      <c r="N223" s="13">
        <f t="shared" si="168"/>
        <v>0</v>
      </c>
      <c r="O223" s="13">
        <f t="shared" si="169"/>
        <v>0</v>
      </c>
      <c r="P223" s="13">
        <f t="shared" si="170"/>
        <v>0</v>
      </c>
      <c r="Q223" s="13">
        <f t="shared" si="171"/>
        <v>0</v>
      </c>
      <c r="R223" s="13">
        <f t="shared" si="172"/>
        <v>0</v>
      </c>
      <c r="S223" s="13">
        <f t="shared" si="173"/>
        <v>0</v>
      </c>
      <c r="T223" s="13">
        <f t="shared" si="174"/>
        <v>0</v>
      </c>
      <c r="U223" s="13">
        <f t="shared" si="175"/>
        <v>0</v>
      </c>
      <c r="V223" s="13">
        <f t="shared" si="176"/>
        <v>0</v>
      </c>
      <c r="W223" s="13">
        <f t="shared" si="177"/>
        <v>0</v>
      </c>
      <c r="X223" s="13">
        <f t="shared" si="178"/>
        <v>0</v>
      </c>
      <c r="Y223" s="13">
        <f t="shared" si="179"/>
        <v>0</v>
      </c>
      <c r="Z223" s="13">
        <f t="shared" si="180"/>
        <v>0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</row>
    <row r="224" spans="1:345" s="14" customFormat="1">
      <c r="A224" s="15" t="s">
        <v>218</v>
      </c>
      <c r="B224" s="13">
        <f t="shared" si="156"/>
        <v>0</v>
      </c>
      <c r="C224" s="13">
        <f t="shared" si="157"/>
        <v>0</v>
      </c>
      <c r="D224" s="13">
        <f t="shared" si="158"/>
        <v>0</v>
      </c>
      <c r="E224" s="13">
        <f t="shared" si="159"/>
        <v>0</v>
      </c>
      <c r="F224" s="13">
        <f t="shared" si="160"/>
        <v>0</v>
      </c>
      <c r="G224" s="13">
        <f t="shared" si="161"/>
        <v>0</v>
      </c>
      <c r="H224" s="13">
        <f t="shared" si="162"/>
        <v>0</v>
      </c>
      <c r="I224" s="13">
        <f t="shared" si="163"/>
        <v>0</v>
      </c>
      <c r="J224" s="13">
        <f t="shared" si="164"/>
        <v>0</v>
      </c>
      <c r="K224" s="13">
        <f t="shared" si="165"/>
        <v>0</v>
      </c>
      <c r="L224" s="13">
        <f t="shared" si="166"/>
        <v>0</v>
      </c>
      <c r="M224" s="13">
        <f t="shared" si="167"/>
        <v>0</v>
      </c>
      <c r="N224" s="13">
        <f t="shared" si="168"/>
        <v>0</v>
      </c>
      <c r="O224" s="13">
        <f t="shared" si="169"/>
        <v>0</v>
      </c>
      <c r="P224" s="13">
        <f t="shared" si="170"/>
        <v>0</v>
      </c>
      <c r="Q224" s="13">
        <f t="shared" si="171"/>
        <v>0</v>
      </c>
      <c r="R224" s="13">
        <f t="shared" si="172"/>
        <v>0</v>
      </c>
      <c r="S224" s="13">
        <f t="shared" si="173"/>
        <v>0</v>
      </c>
      <c r="T224" s="13">
        <f t="shared" si="174"/>
        <v>0</v>
      </c>
      <c r="U224" s="13">
        <f t="shared" si="175"/>
        <v>0</v>
      </c>
      <c r="V224" s="13">
        <f t="shared" si="176"/>
        <v>0</v>
      </c>
      <c r="W224" s="13">
        <f t="shared" si="177"/>
        <v>0</v>
      </c>
      <c r="X224" s="13">
        <f t="shared" si="178"/>
        <v>0</v>
      </c>
      <c r="Y224" s="13">
        <f t="shared" si="179"/>
        <v>0</v>
      </c>
      <c r="Z224" s="13">
        <f t="shared" si="180"/>
        <v>0</v>
      </c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</row>
    <row r="225" spans="1:345" s="14" customFormat="1">
      <c r="A225" s="15" t="s">
        <v>219</v>
      </c>
      <c r="B225" s="13">
        <f t="shared" si="156"/>
        <v>0</v>
      </c>
      <c r="C225" s="13">
        <f t="shared" si="157"/>
        <v>0</v>
      </c>
      <c r="D225" s="13">
        <f t="shared" si="158"/>
        <v>0</v>
      </c>
      <c r="E225" s="13">
        <f t="shared" si="159"/>
        <v>0</v>
      </c>
      <c r="F225" s="13">
        <f t="shared" si="160"/>
        <v>0</v>
      </c>
      <c r="G225" s="13">
        <f t="shared" si="161"/>
        <v>0</v>
      </c>
      <c r="H225" s="13">
        <f t="shared" si="162"/>
        <v>0</v>
      </c>
      <c r="I225" s="13">
        <f t="shared" si="163"/>
        <v>0</v>
      </c>
      <c r="J225" s="13">
        <f t="shared" si="164"/>
        <v>0</v>
      </c>
      <c r="K225" s="13">
        <f t="shared" si="165"/>
        <v>0</v>
      </c>
      <c r="L225" s="13">
        <f t="shared" si="166"/>
        <v>0</v>
      </c>
      <c r="M225" s="13">
        <f t="shared" si="167"/>
        <v>0</v>
      </c>
      <c r="N225" s="13">
        <f t="shared" si="168"/>
        <v>0</v>
      </c>
      <c r="O225" s="13">
        <f t="shared" si="169"/>
        <v>0</v>
      </c>
      <c r="P225" s="13">
        <f t="shared" si="170"/>
        <v>0</v>
      </c>
      <c r="Q225" s="13">
        <f t="shared" si="171"/>
        <v>0</v>
      </c>
      <c r="R225" s="13">
        <f t="shared" si="172"/>
        <v>0</v>
      </c>
      <c r="S225" s="13">
        <f t="shared" si="173"/>
        <v>0</v>
      </c>
      <c r="T225" s="13">
        <f t="shared" si="174"/>
        <v>0</v>
      </c>
      <c r="U225" s="13">
        <f t="shared" si="175"/>
        <v>0</v>
      </c>
      <c r="V225" s="13">
        <f t="shared" si="176"/>
        <v>0</v>
      </c>
      <c r="W225" s="13">
        <f t="shared" si="177"/>
        <v>0</v>
      </c>
      <c r="X225" s="13">
        <f t="shared" si="178"/>
        <v>0</v>
      </c>
      <c r="Y225" s="13">
        <f t="shared" si="179"/>
        <v>0</v>
      </c>
      <c r="Z225" s="13">
        <f t="shared" si="180"/>
        <v>0</v>
      </c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</row>
    <row r="226" spans="1:345" s="14" customFormat="1">
      <c r="A226" s="15" t="s">
        <v>220</v>
      </c>
      <c r="B226" s="13">
        <f t="shared" si="156"/>
        <v>0</v>
      </c>
      <c r="C226" s="13">
        <f t="shared" si="157"/>
        <v>0</v>
      </c>
      <c r="D226" s="13">
        <f t="shared" si="158"/>
        <v>0</v>
      </c>
      <c r="E226" s="13">
        <f t="shared" si="159"/>
        <v>0</v>
      </c>
      <c r="F226" s="13">
        <f t="shared" si="160"/>
        <v>0</v>
      </c>
      <c r="G226" s="13">
        <f t="shared" si="161"/>
        <v>0</v>
      </c>
      <c r="H226" s="13">
        <f t="shared" si="162"/>
        <v>0</v>
      </c>
      <c r="I226" s="13">
        <f t="shared" si="163"/>
        <v>0</v>
      </c>
      <c r="J226" s="13">
        <f t="shared" si="164"/>
        <v>0</v>
      </c>
      <c r="K226" s="13">
        <f t="shared" si="165"/>
        <v>0</v>
      </c>
      <c r="L226" s="13">
        <f t="shared" si="166"/>
        <v>0</v>
      </c>
      <c r="M226" s="13">
        <f t="shared" si="167"/>
        <v>0</v>
      </c>
      <c r="N226" s="13">
        <f t="shared" si="168"/>
        <v>0</v>
      </c>
      <c r="O226" s="13">
        <f t="shared" si="169"/>
        <v>0</v>
      </c>
      <c r="P226" s="13">
        <f t="shared" si="170"/>
        <v>0</v>
      </c>
      <c r="Q226" s="13">
        <f t="shared" si="171"/>
        <v>0</v>
      </c>
      <c r="R226" s="13">
        <f t="shared" si="172"/>
        <v>0</v>
      </c>
      <c r="S226" s="13">
        <f t="shared" si="173"/>
        <v>0</v>
      </c>
      <c r="T226" s="13">
        <f t="shared" si="174"/>
        <v>0</v>
      </c>
      <c r="U226" s="13">
        <f t="shared" si="175"/>
        <v>0</v>
      </c>
      <c r="V226" s="13">
        <f t="shared" si="176"/>
        <v>0</v>
      </c>
      <c r="W226" s="13">
        <f t="shared" si="177"/>
        <v>0</v>
      </c>
      <c r="X226" s="13">
        <f t="shared" si="178"/>
        <v>0</v>
      </c>
      <c r="Y226" s="13">
        <f t="shared" si="179"/>
        <v>0</v>
      </c>
      <c r="Z226" s="13">
        <f t="shared" si="180"/>
        <v>0</v>
      </c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</row>
    <row r="227" spans="1:345" s="14" customFormat="1">
      <c r="A227" s="12" t="s">
        <v>221</v>
      </c>
      <c r="B227" s="13">
        <f t="shared" si="156"/>
        <v>0</v>
      </c>
      <c r="C227" s="13">
        <f t="shared" si="157"/>
        <v>0</v>
      </c>
      <c r="D227" s="13">
        <f t="shared" si="158"/>
        <v>0</v>
      </c>
      <c r="E227" s="13">
        <f t="shared" si="159"/>
        <v>0</v>
      </c>
      <c r="F227" s="13">
        <f t="shared" si="160"/>
        <v>0</v>
      </c>
      <c r="G227" s="13">
        <f t="shared" si="161"/>
        <v>0</v>
      </c>
      <c r="H227" s="13">
        <f t="shared" si="162"/>
        <v>0</v>
      </c>
      <c r="I227" s="13">
        <f t="shared" si="163"/>
        <v>0</v>
      </c>
      <c r="J227" s="13">
        <f t="shared" si="164"/>
        <v>0</v>
      </c>
      <c r="K227" s="13">
        <f t="shared" si="165"/>
        <v>0</v>
      </c>
      <c r="L227" s="13">
        <f t="shared" si="166"/>
        <v>0</v>
      </c>
      <c r="M227" s="13">
        <f t="shared" si="167"/>
        <v>0</v>
      </c>
      <c r="N227" s="13">
        <f t="shared" si="168"/>
        <v>0</v>
      </c>
      <c r="O227" s="13">
        <f t="shared" si="169"/>
        <v>0</v>
      </c>
      <c r="P227" s="13">
        <f t="shared" si="170"/>
        <v>0</v>
      </c>
      <c r="Q227" s="13">
        <f t="shared" si="171"/>
        <v>0</v>
      </c>
      <c r="R227" s="13">
        <f t="shared" si="172"/>
        <v>0</v>
      </c>
      <c r="S227" s="13">
        <f t="shared" si="173"/>
        <v>0</v>
      </c>
      <c r="T227" s="13">
        <f t="shared" si="174"/>
        <v>0</v>
      </c>
      <c r="U227" s="13">
        <f t="shared" si="175"/>
        <v>0</v>
      </c>
      <c r="V227" s="13">
        <f t="shared" si="176"/>
        <v>0</v>
      </c>
      <c r="W227" s="13">
        <f t="shared" si="177"/>
        <v>0</v>
      </c>
      <c r="X227" s="13">
        <f t="shared" si="178"/>
        <v>0</v>
      </c>
      <c r="Y227" s="13">
        <f t="shared" si="179"/>
        <v>0</v>
      </c>
      <c r="Z227" s="13">
        <f t="shared" si="180"/>
        <v>0</v>
      </c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</row>
    <row r="228" spans="1:345" s="14" customFormat="1">
      <c r="A228" s="15" t="s">
        <v>222</v>
      </c>
      <c r="B228" s="13">
        <f t="shared" si="156"/>
        <v>0</v>
      </c>
      <c r="C228" s="13">
        <f t="shared" si="157"/>
        <v>0</v>
      </c>
      <c r="D228" s="13">
        <f t="shared" si="158"/>
        <v>0</v>
      </c>
      <c r="E228" s="13">
        <f t="shared" si="159"/>
        <v>0</v>
      </c>
      <c r="F228" s="13">
        <f t="shared" si="160"/>
        <v>0</v>
      </c>
      <c r="G228" s="13">
        <f t="shared" si="161"/>
        <v>0</v>
      </c>
      <c r="H228" s="13">
        <f t="shared" si="162"/>
        <v>0</v>
      </c>
      <c r="I228" s="13">
        <f t="shared" si="163"/>
        <v>0</v>
      </c>
      <c r="J228" s="13">
        <f t="shared" si="164"/>
        <v>0</v>
      </c>
      <c r="K228" s="13">
        <f t="shared" si="165"/>
        <v>0</v>
      </c>
      <c r="L228" s="13">
        <f t="shared" si="166"/>
        <v>0</v>
      </c>
      <c r="M228" s="13">
        <f t="shared" si="167"/>
        <v>0</v>
      </c>
      <c r="N228" s="13">
        <f t="shared" si="168"/>
        <v>0</v>
      </c>
      <c r="O228" s="13">
        <f t="shared" si="169"/>
        <v>0</v>
      </c>
      <c r="P228" s="13">
        <f t="shared" si="170"/>
        <v>0</v>
      </c>
      <c r="Q228" s="13">
        <f t="shared" si="171"/>
        <v>0</v>
      </c>
      <c r="R228" s="13">
        <f t="shared" si="172"/>
        <v>0</v>
      </c>
      <c r="S228" s="13">
        <f t="shared" si="173"/>
        <v>0</v>
      </c>
      <c r="T228" s="13">
        <f t="shared" si="174"/>
        <v>0</v>
      </c>
      <c r="U228" s="13">
        <f t="shared" si="175"/>
        <v>0</v>
      </c>
      <c r="V228" s="13">
        <f t="shared" si="176"/>
        <v>0</v>
      </c>
      <c r="W228" s="13">
        <f t="shared" si="177"/>
        <v>0</v>
      </c>
      <c r="X228" s="13">
        <f t="shared" si="178"/>
        <v>0</v>
      </c>
      <c r="Y228" s="13">
        <f t="shared" si="179"/>
        <v>0</v>
      </c>
      <c r="Z228" s="13">
        <f t="shared" si="180"/>
        <v>0</v>
      </c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</row>
    <row r="229" spans="1:345" s="14" customFormat="1">
      <c r="A229" s="15" t="s">
        <v>223</v>
      </c>
      <c r="B229" s="13">
        <f t="shared" ref="B229" si="181">SUM(AB229:AM229)/1000</f>
        <v>0</v>
      </c>
      <c r="C229" s="13">
        <f t="shared" ref="C229" si="182">SUM(AN229:AY229)/1000</f>
        <v>0</v>
      </c>
      <c r="D229" s="13">
        <f t="shared" ref="D229" si="183">SUM(AZ229:BK229)/1000</f>
        <v>0</v>
      </c>
      <c r="E229" s="13">
        <f t="shared" ref="E229" si="184">SUM(BL229:BW229)/1000</f>
        <v>0</v>
      </c>
      <c r="F229" s="13">
        <f t="shared" ref="F229" si="185">SUM(BX229:CI229)/1000</f>
        <v>0</v>
      </c>
      <c r="G229" s="13">
        <f t="shared" ref="G229" si="186">SUM(CJ229:CU229)/1000</f>
        <v>0</v>
      </c>
      <c r="H229" s="13">
        <f t="shared" ref="H229" si="187">SUM(CV229:DG229)/1000</f>
        <v>0</v>
      </c>
      <c r="I229" s="13">
        <f t="shared" ref="I229" si="188">SUM(DH229:DS229)/1000</f>
        <v>0</v>
      </c>
      <c r="J229" s="13">
        <f t="shared" ref="J229" si="189">SUM(DT229:EE229)/1000</f>
        <v>0</v>
      </c>
      <c r="K229" s="13">
        <f t="shared" ref="K229" si="190">SUM(EF229:EQ229)/1000</f>
        <v>0</v>
      </c>
      <c r="L229" s="13">
        <f t="shared" ref="L229" si="191">SUM(ER229:FC229)/1000</f>
        <v>0</v>
      </c>
      <c r="M229" s="13">
        <f t="shared" ref="M229" si="192">SUM(FD229:FO229)/1000</f>
        <v>0</v>
      </c>
      <c r="N229" s="13">
        <f t="shared" ref="N229" si="193">SUM(FP229:GA229)/1000</f>
        <v>0</v>
      </c>
      <c r="O229" s="13">
        <f t="shared" ref="O229" si="194">SUM(GB229:GM229)/1000</f>
        <v>0</v>
      </c>
      <c r="P229" s="13">
        <f t="shared" ref="P229" si="195">SUM(GN229:GY229)/1000</f>
        <v>0</v>
      </c>
      <c r="Q229" s="13">
        <f t="shared" ref="Q229" si="196">SUM(GZ229:HK229)/1000</f>
        <v>0</v>
      </c>
      <c r="R229" s="13">
        <f t="shared" ref="R229" si="197">SUM(HL229:HW229)/1000</f>
        <v>0</v>
      </c>
      <c r="S229" s="13">
        <f t="shared" ref="S229" si="198">SUM(HX229:II229)/1000</f>
        <v>0</v>
      </c>
      <c r="T229" s="13">
        <f t="shared" ref="T229" si="199">SUM(IJ229:IU229)/1000</f>
        <v>0</v>
      </c>
      <c r="U229" s="13">
        <f t="shared" ref="U229" si="200">SUM(IV229:JG229)/1000</f>
        <v>0</v>
      </c>
      <c r="V229" s="13">
        <f t="shared" ref="V229" si="201">SUM(JH229:JS229)/1000</f>
        <v>0</v>
      </c>
      <c r="W229" s="13">
        <f t="shared" ref="W229" si="202">SUM(JT229:KE229)/1000</f>
        <v>0</v>
      </c>
      <c r="X229" s="13">
        <f t="shared" ref="X229" si="203">SUM(KF229:KQ229)/1000</f>
        <v>0</v>
      </c>
      <c r="Y229" s="13">
        <f t="shared" ref="Y229" si="204">SUM(KR229:LC229)/1000</f>
        <v>0</v>
      </c>
      <c r="Z229" s="13">
        <f t="shared" ref="Z229" si="205">SUM(LD229:LO229)/1000</f>
        <v>0</v>
      </c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</row>
    <row r="230" spans="1:345" s="14" customFormat="1">
      <c r="A230" s="15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</row>
    <row r="231" spans="1:345" s="14" customFormat="1">
      <c r="A231" s="15" t="s">
        <v>224</v>
      </c>
      <c r="B231" s="13">
        <f t="shared" ref="B231:Z231" si="206">SUM(B232:B287)</f>
        <v>0</v>
      </c>
      <c r="C231" s="13">
        <f t="shared" si="206"/>
        <v>0</v>
      </c>
      <c r="D231" s="13">
        <f t="shared" si="206"/>
        <v>0</v>
      </c>
      <c r="E231" s="13">
        <f t="shared" si="206"/>
        <v>0</v>
      </c>
      <c r="F231" s="13">
        <f t="shared" si="206"/>
        <v>0</v>
      </c>
      <c r="G231" s="13">
        <f t="shared" si="206"/>
        <v>0</v>
      </c>
      <c r="H231" s="13">
        <f t="shared" si="206"/>
        <v>0</v>
      </c>
      <c r="I231" s="13">
        <f t="shared" si="206"/>
        <v>0</v>
      </c>
      <c r="J231" s="13">
        <f t="shared" si="206"/>
        <v>0</v>
      </c>
      <c r="K231" s="13">
        <f t="shared" si="206"/>
        <v>0</v>
      </c>
      <c r="L231" s="13">
        <f t="shared" si="206"/>
        <v>0</v>
      </c>
      <c r="M231" s="13">
        <f t="shared" si="206"/>
        <v>0</v>
      </c>
      <c r="N231" s="13">
        <f t="shared" si="206"/>
        <v>0</v>
      </c>
      <c r="O231" s="13">
        <f t="shared" si="206"/>
        <v>0</v>
      </c>
      <c r="P231" s="13">
        <f t="shared" si="206"/>
        <v>0</v>
      </c>
      <c r="Q231" s="13">
        <f t="shared" si="206"/>
        <v>0</v>
      </c>
      <c r="R231" s="13">
        <f t="shared" si="206"/>
        <v>0</v>
      </c>
      <c r="S231" s="13">
        <f t="shared" si="206"/>
        <v>0</v>
      </c>
      <c r="T231" s="13">
        <f t="shared" si="206"/>
        <v>0</v>
      </c>
      <c r="U231" s="13">
        <f t="shared" si="206"/>
        <v>0</v>
      </c>
      <c r="V231" s="13">
        <f t="shared" si="206"/>
        <v>0</v>
      </c>
      <c r="W231" s="13">
        <f t="shared" si="206"/>
        <v>0</v>
      </c>
      <c r="X231" s="13">
        <f t="shared" si="206"/>
        <v>0</v>
      </c>
      <c r="Y231" s="13">
        <f t="shared" si="206"/>
        <v>0</v>
      </c>
      <c r="Z231" s="13">
        <f t="shared" si="206"/>
        <v>90.220905899999991</v>
      </c>
      <c r="AB231" s="13">
        <f t="shared" ref="AB231:CM231" si="207">SUM(AB232:AB287)</f>
        <v>0</v>
      </c>
      <c r="AC231" s="13">
        <f t="shared" si="207"/>
        <v>0</v>
      </c>
      <c r="AD231" s="13">
        <f t="shared" si="207"/>
        <v>0</v>
      </c>
      <c r="AE231" s="13">
        <f t="shared" si="207"/>
        <v>0</v>
      </c>
      <c r="AF231" s="13">
        <f t="shared" si="207"/>
        <v>0</v>
      </c>
      <c r="AG231" s="13">
        <f t="shared" si="207"/>
        <v>0</v>
      </c>
      <c r="AH231" s="13">
        <f t="shared" si="207"/>
        <v>0</v>
      </c>
      <c r="AI231" s="13">
        <f t="shared" si="207"/>
        <v>0</v>
      </c>
      <c r="AJ231" s="13">
        <f t="shared" si="207"/>
        <v>0</v>
      </c>
      <c r="AK231" s="13">
        <f t="shared" si="207"/>
        <v>0</v>
      </c>
      <c r="AL231" s="13">
        <f t="shared" si="207"/>
        <v>0</v>
      </c>
      <c r="AM231" s="13">
        <f t="shared" si="207"/>
        <v>0</v>
      </c>
      <c r="AN231" s="13">
        <f t="shared" si="207"/>
        <v>0</v>
      </c>
      <c r="AO231" s="13">
        <f t="shared" si="207"/>
        <v>0</v>
      </c>
      <c r="AP231" s="13">
        <f t="shared" si="207"/>
        <v>0</v>
      </c>
      <c r="AQ231" s="13">
        <f t="shared" si="207"/>
        <v>0</v>
      </c>
      <c r="AR231" s="13">
        <f t="shared" si="207"/>
        <v>0</v>
      </c>
      <c r="AS231" s="13">
        <f t="shared" si="207"/>
        <v>0</v>
      </c>
      <c r="AT231" s="13">
        <f t="shared" si="207"/>
        <v>0</v>
      </c>
      <c r="AU231" s="13">
        <f t="shared" si="207"/>
        <v>0</v>
      </c>
      <c r="AV231" s="13">
        <f t="shared" si="207"/>
        <v>0</v>
      </c>
      <c r="AW231" s="13">
        <f t="shared" si="207"/>
        <v>0</v>
      </c>
      <c r="AX231" s="13">
        <f t="shared" si="207"/>
        <v>0</v>
      </c>
      <c r="AY231" s="13">
        <f t="shared" si="207"/>
        <v>0</v>
      </c>
      <c r="AZ231" s="13">
        <f t="shared" si="207"/>
        <v>0</v>
      </c>
      <c r="BA231" s="13">
        <f t="shared" si="207"/>
        <v>0</v>
      </c>
      <c r="BB231" s="13">
        <f t="shared" si="207"/>
        <v>0</v>
      </c>
      <c r="BC231" s="13">
        <f t="shared" si="207"/>
        <v>0</v>
      </c>
      <c r="BD231" s="13">
        <f t="shared" si="207"/>
        <v>0</v>
      </c>
      <c r="BE231" s="13">
        <f t="shared" si="207"/>
        <v>0</v>
      </c>
      <c r="BF231" s="13">
        <f t="shared" si="207"/>
        <v>0</v>
      </c>
      <c r="BG231" s="13">
        <f t="shared" si="207"/>
        <v>0</v>
      </c>
      <c r="BH231" s="13">
        <f t="shared" si="207"/>
        <v>0</v>
      </c>
      <c r="BI231" s="13">
        <f t="shared" si="207"/>
        <v>0</v>
      </c>
      <c r="BJ231" s="13">
        <f t="shared" si="207"/>
        <v>0</v>
      </c>
      <c r="BK231" s="13">
        <f t="shared" si="207"/>
        <v>0</v>
      </c>
      <c r="BL231" s="13">
        <f t="shared" si="207"/>
        <v>0</v>
      </c>
      <c r="BM231" s="13">
        <f t="shared" si="207"/>
        <v>0</v>
      </c>
      <c r="BN231" s="13">
        <f t="shared" si="207"/>
        <v>0</v>
      </c>
      <c r="BO231" s="13">
        <f t="shared" si="207"/>
        <v>0</v>
      </c>
      <c r="BP231" s="13">
        <f t="shared" si="207"/>
        <v>0</v>
      </c>
      <c r="BQ231" s="13">
        <f t="shared" si="207"/>
        <v>0</v>
      </c>
      <c r="BR231" s="13">
        <f t="shared" si="207"/>
        <v>0</v>
      </c>
      <c r="BS231" s="13">
        <f t="shared" si="207"/>
        <v>0</v>
      </c>
      <c r="BT231" s="13">
        <f t="shared" si="207"/>
        <v>0</v>
      </c>
      <c r="BU231" s="13">
        <f t="shared" si="207"/>
        <v>0</v>
      </c>
      <c r="BV231" s="13">
        <f t="shared" si="207"/>
        <v>0</v>
      </c>
      <c r="BW231" s="13">
        <f t="shared" si="207"/>
        <v>0</v>
      </c>
      <c r="BX231" s="13">
        <f t="shared" si="207"/>
        <v>0</v>
      </c>
      <c r="BY231" s="13">
        <f t="shared" si="207"/>
        <v>0</v>
      </c>
      <c r="BZ231" s="13">
        <f t="shared" si="207"/>
        <v>0</v>
      </c>
      <c r="CA231" s="13">
        <f t="shared" si="207"/>
        <v>0</v>
      </c>
      <c r="CB231" s="13">
        <f t="shared" si="207"/>
        <v>0</v>
      </c>
      <c r="CC231" s="13">
        <f t="shared" si="207"/>
        <v>0</v>
      </c>
      <c r="CD231" s="13">
        <f t="shared" si="207"/>
        <v>0</v>
      </c>
      <c r="CE231" s="13">
        <f t="shared" si="207"/>
        <v>0</v>
      </c>
      <c r="CF231" s="13">
        <f t="shared" si="207"/>
        <v>0</v>
      </c>
      <c r="CG231" s="13">
        <f t="shared" si="207"/>
        <v>0</v>
      </c>
      <c r="CH231" s="13">
        <f t="shared" si="207"/>
        <v>0</v>
      </c>
      <c r="CI231" s="13">
        <f t="shared" si="207"/>
        <v>0</v>
      </c>
      <c r="CJ231" s="13">
        <f t="shared" si="207"/>
        <v>0</v>
      </c>
      <c r="CK231" s="13">
        <f t="shared" si="207"/>
        <v>0</v>
      </c>
      <c r="CL231" s="13">
        <f t="shared" si="207"/>
        <v>0</v>
      </c>
      <c r="CM231" s="13">
        <f t="shared" si="207"/>
        <v>0</v>
      </c>
      <c r="CN231" s="13">
        <f t="shared" ref="CN231:EY231" si="208">SUM(CN232:CN287)</f>
        <v>0</v>
      </c>
      <c r="CO231" s="13">
        <f t="shared" si="208"/>
        <v>0</v>
      </c>
      <c r="CP231" s="13">
        <f t="shared" si="208"/>
        <v>0</v>
      </c>
      <c r="CQ231" s="13">
        <f t="shared" si="208"/>
        <v>0</v>
      </c>
      <c r="CR231" s="13">
        <f t="shared" si="208"/>
        <v>0</v>
      </c>
      <c r="CS231" s="13">
        <f t="shared" si="208"/>
        <v>0</v>
      </c>
      <c r="CT231" s="13">
        <f t="shared" si="208"/>
        <v>0</v>
      </c>
      <c r="CU231" s="13">
        <f t="shared" si="208"/>
        <v>0</v>
      </c>
      <c r="CV231" s="13">
        <f t="shared" si="208"/>
        <v>0</v>
      </c>
      <c r="CW231" s="13">
        <f t="shared" si="208"/>
        <v>0</v>
      </c>
      <c r="CX231" s="13">
        <f t="shared" si="208"/>
        <v>0</v>
      </c>
      <c r="CY231" s="13">
        <f t="shared" si="208"/>
        <v>0</v>
      </c>
      <c r="CZ231" s="13">
        <f t="shared" si="208"/>
        <v>0</v>
      </c>
      <c r="DA231" s="13">
        <f t="shared" si="208"/>
        <v>0</v>
      </c>
      <c r="DB231" s="13">
        <f t="shared" si="208"/>
        <v>0</v>
      </c>
      <c r="DC231" s="13">
        <f t="shared" si="208"/>
        <v>0</v>
      </c>
      <c r="DD231" s="13">
        <f t="shared" si="208"/>
        <v>0</v>
      </c>
      <c r="DE231" s="13">
        <f t="shared" si="208"/>
        <v>0</v>
      </c>
      <c r="DF231" s="13">
        <f t="shared" si="208"/>
        <v>0</v>
      </c>
      <c r="DG231" s="13">
        <f t="shared" si="208"/>
        <v>0</v>
      </c>
      <c r="DH231" s="13">
        <f t="shared" si="208"/>
        <v>0</v>
      </c>
      <c r="DI231" s="13">
        <f t="shared" si="208"/>
        <v>0</v>
      </c>
      <c r="DJ231" s="13">
        <f t="shared" si="208"/>
        <v>0</v>
      </c>
      <c r="DK231" s="13">
        <f t="shared" si="208"/>
        <v>0</v>
      </c>
      <c r="DL231" s="13">
        <f t="shared" si="208"/>
        <v>0</v>
      </c>
      <c r="DM231" s="13">
        <f t="shared" si="208"/>
        <v>0</v>
      </c>
      <c r="DN231" s="13">
        <f t="shared" si="208"/>
        <v>0</v>
      </c>
      <c r="DO231" s="13">
        <f t="shared" si="208"/>
        <v>0</v>
      </c>
      <c r="DP231" s="13">
        <f t="shared" si="208"/>
        <v>0</v>
      </c>
      <c r="DQ231" s="13">
        <f t="shared" si="208"/>
        <v>0</v>
      </c>
      <c r="DR231" s="13">
        <f t="shared" si="208"/>
        <v>0</v>
      </c>
      <c r="DS231" s="13">
        <f t="shared" si="208"/>
        <v>0</v>
      </c>
      <c r="DT231" s="13">
        <f t="shared" si="208"/>
        <v>0</v>
      </c>
      <c r="DU231" s="13">
        <f t="shared" si="208"/>
        <v>0</v>
      </c>
      <c r="DV231" s="13">
        <f t="shared" si="208"/>
        <v>0</v>
      </c>
      <c r="DW231" s="13">
        <f t="shared" si="208"/>
        <v>0</v>
      </c>
      <c r="DX231" s="13">
        <f t="shared" si="208"/>
        <v>0</v>
      </c>
      <c r="DY231" s="13">
        <f t="shared" si="208"/>
        <v>0</v>
      </c>
      <c r="DZ231" s="13">
        <f t="shared" si="208"/>
        <v>0</v>
      </c>
      <c r="EA231" s="13">
        <f t="shared" si="208"/>
        <v>0</v>
      </c>
      <c r="EB231" s="13">
        <f t="shared" si="208"/>
        <v>0</v>
      </c>
      <c r="EC231" s="13">
        <f t="shared" si="208"/>
        <v>0</v>
      </c>
      <c r="ED231" s="13">
        <f t="shared" si="208"/>
        <v>0</v>
      </c>
      <c r="EE231" s="13">
        <f t="shared" si="208"/>
        <v>0</v>
      </c>
      <c r="EF231" s="13">
        <f t="shared" si="208"/>
        <v>0</v>
      </c>
      <c r="EG231" s="13">
        <f t="shared" si="208"/>
        <v>0</v>
      </c>
      <c r="EH231" s="13">
        <f t="shared" si="208"/>
        <v>0</v>
      </c>
      <c r="EI231" s="13">
        <f t="shared" si="208"/>
        <v>0</v>
      </c>
      <c r="EJ231" s="13">
        <f t="shared" si="208"/>
        <v>0</v>
      </c>
      <c r="EK231" s="13">
        <f t="shared" si="208"/>
        <v>0</v>
      </c>
      <c r="EL231" s="13">
        <f t="shared" si="208"/>
        <v>0</v>
      </c>
      <c r="EM231" s="13">
        <f t="shared" si="208"/>
        <v>0</v>
      </c>
      <c r="EN231" s="13">
        <f t="shared" si="208"/>
        <v>0</v>
      </c>
      <c r="EO231" s="13">
        <f t="shared" si="208"/>
        <v>0</v>
      </c>
      <c r="EP231" s="13">
        <f t="shared" si="208"/>
        <v>0</v>
      </c>
      <c r="EQ231" s="13">
        <f t="shared" si="208"/>
        <v>0</v>
      </c>
      <c r="ER231" s="13">
        <f t="shared" si="208"/>
        <v>0</v>
      </c>
      <c r="ES231" s="13">
        <f t="shared" si="208"/>
        <v>0</v>
      </c>
      <c r="ET231" s="13">
        <f t="shared" si="208"/>
        <v>0</v>
      </c>
      <c r="EU231" s="13">
        <f t="shared" si="208"/>
        <v>0</v>
      </c>
      <c r="EV231" s="13">
        <f t="shared" si="208"/>
        <v>0</v>
      </c>
      <c r="EW231" s="13">
        <f t="shared" si="208"/>
        <v>0</v>
      </c>
      <c r="EX231" s="13">
        <f t="shared" si="208"/>
        <v>0</v>
      </c>
      <c r="EY231" s="13">
        <f t="shared" si="208"/>
        <v>0</v>
      </c>
      <c r="EZ231" s="13">
        <f t="shared" ref="EZ231:HK231" si="209">SUM(EZ232:EZ287)</f>
        <v>0</v>
      </c>
      <c r="FA231" s="13">
        <f t="shared" si="209"/>
        <v>0</v>
      </c>
      <c r="FB231" s="13">
        <f t="shared" si="209"/>
        <v>0</v>
      </c>
      <c r="FC231" s="13">
        <f t="shared" si="209"/>
        <v>0</v>
      </c>
      <c r="FD231" s="13">
        <f t="shared" si="209"/>
        <v>0</v>
      </c>
      <c r="FE231" s="13">
        <f t="shared" si="209"/>
        <v>0</v>
      </c>
      <c r="FF231" s="13">
        <f t="shared" si="209"/>
        <v>0</v>
      </c>
      <c r="FG231" s="13">
        <f t="shared" si="209"/>
        <v>0</v>
      </c>
      <c r="FH231" s="13">
        <f t="shared" si="209"/>
        <v>0</v>
      </c>
      <c r="FI231" s="13">
        <f t="shared" si="209"/>
        <v>0</v>
      </c>
      <c r="FJ231" s="13">
        <f t="shared" si="209"/>
        <v>0</v>
      </c>
      <c r="FK231" s="13">
        <f t="shared" si="209"/>
        <v>0</v>
      </c>
      <c r="FL231" s="13">
        <f t="shared" si="209"/>
        <v>0</v>
      </c>
      <c r="FM231" s="13">
        <f t="shared" si="209"/>
        <v>0</v>
      </c>
      <c r="FN231" s="13">
        <f t="shared" si="209"/>
        <v>0</v>
      </c>
      <c r="FO231" s="13">
        <f t="shared" si="209"/>
        <v>0</v>
      </c>
      <c r="FP231" s="13">
        <f t="shared" si="209"/>
        <v>0</v>
      </c>
      <c r="FQ231" s="13">
        <f t="shared" si="209"/>
        <v>0</v>
      </c>
      <c r="FR231" s="13">
        <f t="shared" si="209"/>
        <v>0</v>
      </c>
      <c r="FS231" s="13">
        <f t="shared" si="209"/>
        <v>0</v>
      </c>
      <c r="FT231" s="13">
        <f t="shared" si="209"/>
        <v>0</v>
      </c>
      <c r="FU231" s="13">
        <f t="shared" si="209"/>
        <v>0</v>
      </c>
      <c r="FV231" s="13">
        <f t="shared" si="209"/>
        <v>0</v>
      </c>
      <c r="FW231" s="13">
        <f t="shared" si="209"/>
        <v>0</v>
      </c>
      <c r="FX231" s="13">
        <f t="shared" si="209"/>
        <v>0</v>
      </c>
      <c r="FY231" s="13">
        <f t="shared" si="209"/>
        <v>0</v>
      </c>
      <c r="FZ231" s="13">
        <f t="shared" si="209"/>
        <v>0</v>
      </c>
      <c r="GA231" s="13">
        <f t="shared" si="209"/>
        <v>0</v>
      </c>
      <c r="GB231" s="13">
        <f t="shared" si="209"/>
        <v>0</v>
      </c>
      <c r="GC231" s="13">
        <f t="shared" si="209"/>
        <v>0</v>
      </c>
      <c r="GD231" s="13">
        <f t="shared" si="209"/>
        <v>0</v>
      </c>
      <c r="GE231" s="13">
        <f t="shared" si="209"/>
        <v>0</v>
      </c>
      <c r="GF231" s="13">
        <f t="shared" si="209"/>
        <v>0</v>
      </c>
      <c r="GG231" s="13">
        <f t="shared" si="209"/>
        <v>0</v>
      </c>
      <c r="GH231" s="13">
        <f t="shared" si="209"/>
        <v>0</v>
      </c>
      <c r="GI231" s="13">
        <f t="shared" si="209"/>
        <v>0</v>
      </c>
      <c r="GJ231" s="13">
        <f t="shared" si="209"/>
        <v>0</v>
      </c>
      <c r="GK231" s="13">
        <f t="shared" si="209"/>
        <v>0</v>
      </c>
      <c r="GL231" s="13">
        <f t="shared" si="209"/>
        <v>0</v>
      </c>
      <c r="GM231" s="13">
        <f t="shared" si="209"/>
        <v>0</v>
      </c>
      <c r="GN231" s="13">
        <f t="shared" si="209"/>
        <v>0</v>
      </c>
      <c r="GO231" s="13">
        <f t="shared" si="209"/>
        <v>0</v>
      </c>
      <c r="GP231" s="13">
        <f t="shared" si="209"/>
        <v>0</v>
      </c>
      <c r="GQ231" s="13">
        <f t="shared" si="209"/>
        <v>0</v>
      </c>
      <c r="GR231" s="13">
        <f t="shared" si="209"/>
        <v>0</v>
      </c>
      <c r="GS231" s="13">
        <f t="shared" si="209"/>
        <v>0</v>
      </c>
      <c r="GT231" s="13">
        <f t="shared" si="209"/>
        <v>0</v>
      </c>
      <c r="GU231" s="13">
        <f t="shared" si="209"/>
        <v>0</v>
      </c>
      <c r="GV231" s="13">
        <f t="shared" si="209"/>
        <v>0</v>
      </c>
      <c r="GW231" s="13">
        <f t="shared" si="209"/>
        <v>0</v>
      </c>
      <c r="GX231" s="13">
        <f t="shared" si="209"/>
        <v>0</v>
      </c>
      <c r="GY231" s="13">
        <f t="shared" si="209"/>
        <v>0</v>
      </c>
      <c r="GZ231" s="13">
        <f t="shared" si="209"/>
        <v>0</v>
      </c>
      <c r="HA231" s="13">
        <f t="shared" si="209"/>
        <v>0</v>
      </c>
      <c r="HB231" s="13">
        <f t="shared" si="209"/>
        <v>0</v>
      </c>
      <c r="HC231" s="13">
        <f t="shared" si="209"/>
        <v>0</v>
      </c>
      <c r="HD231" s="13">
        <f t="shared" si="209"/>
        <v>0</v>
      </c>
      <c r="HE231" s="13">
        <f t="shared" si="209"/>
        <v>0</v>
      </c>
      <c r="HF231" s="13">
        <f t="shared" si="209"/>
        <v>0</v>
      </c>
      <c r="HG231" s="13">
        <f t="shared" si="209"/>
        <v>0</v>
      </c>
      <c r="HH231" s="13">
        <f t="shared" si="209"/>
        <v>0</v>
      </c>
      <c r="HI231" s="13">
        <f t="shared" si="209"/>
        <v>0</v>
      </c>
      <c r="HJ231" s="13">
        <f t="shared" si="209"/>
        <v>0</v>
      </c>
      <c r="HK231" s="13">
        <f t="shared" si="209"/>
        <v>0</v>
      </c>
      <c r="HL231" s="13">
        <f t="shared" ref="HL231:JW231" si="210">SUM(HL232:HL287)</f>
        <v>0</v>
      </c>
      <c r="HM231" s="13">
        <f t="shared" si="210"/>
        <v>0</v>
      </c>
      <c r="HN231" s="13">
        <f t="shared" si="210"/>
        <v>0</v>
      </c>
      <c r="HO231" s="13">
        <f t="shared" si="210"/>
        <v>0</v>
      </c>
      <c r="HP231" s="13">
        <f t="shared" si="210"/>
        <v>0</v>
      </c>
      <c r="HQ231" s="13">
        <f t="shared" si="210"/>
        <v>0</v>
      </c>
      <c r="HR231" s="13">
        <f t="shared" si="210"/>
        <v>0</v>
      </c>
      <c r="HS231" s="13">
        <f t="shared" si="210"/>
        <v>0</v>
      </c>
      <c r="HT231" s="13">
        <f t="shared" si="210"/>
        <v>0</v>
      </c>
      <c r="HU231" s="13">
        <f t="shared" si="210"/>
        <v>0</v>
      </c>
      <c r="HV231" s="13">
        <f t="shared" si="210"/>
        <v>0</v>
      </c>
      <c r="HW231" s="13">
        <f t="shared" si="210"/>
        <v>0</v>
      </c>
      <c r="HX231" s="13">
        <f t="shared" si="210"/>
        <v>0</v>
      </c>
      <c r="HY231" s="13">
        <f t="shared" si="210"/>
        <v>0</v>
      </c>
      <c r="HZ231" s="13">
        <f t="shared" si="210"/>
        <v>0</v>
      </c>
      <c r="IA231" s="13">
        <f t="shared" si="210"/>
        <v>0</v>
      </c>
      <c r="IB231" s="13">
        <f t="shared" si="210"/>
        <v>0</v>
      </c>
      <c r="IC231" s="13">
        <f t="shared" si="210"/>
        <v>0</v>
      </c>
      <c r="ID231" s="13">
        <f t="shared" si="210"/>
        <v>0</v>
      </c>
      <c r="IE231" s="13">
        <f t="shared" si="210"/>
        <v>0</v>
      </c>
      <c r="IF231" s="13">
        <f t="shared" si="210"/>
        <v>0</v>
      </c>
      <c r="IG231" s="13">
        <f t="shared" si="210"/>
        <v>0</v>
      </c>
      <c r="IH231" s="13">
        <f t="shared" si="210"/>
        <v>0</v>
      </c>
      <c r="II231" s="13">
        <f t="shared" si="210"/>
        <v>0</v>
      </c>
      <c r="IJ231" s="13">
        <f t="shared" si="210"/>
        <v>0</v>
      </c>
      <c r="IK231" s="13">
        <f t="shared" si="210"/>
        <v>0</v>
      </c>
      <c r="IL231" s="13">
        <f t="shared" si="210"/>
        <v>0</v>
      </c>
      <c r="IM231" s="13">
        <f t="shared" si="210"/>
        <v>0</v>
      </c>
      <c r="IN231" s="13">
        <f t="shared" si="210"/>
        <v>0</v>
      </c>
      <c r="IO231" s="13">
        <f t="shared" si="210"/>
        <v>0</v>
      </c>
      <c r="IP231" s="13">
        <f t="shared" si="210"/>
        <v>0</v>
      </c>
      <c r="IQ231" s="13">
        <f t="shared" si="210"/>
        <v>0</v>
      </c>
      <c r="IR231" s="13">
        <f t="shared" si="210"/>
        <v>0</v>
      </c>
      <c r="IS231" s="13">
        <f t="shared" si="210"/>
        <v>0</v>
      </c>
      <c r="IT231" s="13">
        <f t="shared" si="210"/>
        <v>0</v>
      </c>
      <c r="IU231" s="13">
        <f t="shared" si="210"/>
        <v>0</v>
      </c>
      <c r="IV231" s="13">
        <f t="shared" si="210"/>
        <v>0</v>
      </c>
      <c r="IW231" s="13">
        <f t="shared" si="210"/>
        <v>0</v>
      </c>
      <c r="IX231" s="13">
        <f t="shared" si="210"/>
        <v>0</v>
      </c>
      <c r="IY231" s="13">
        <f t="shared" si="210"/>
        <v>0</v>
      </c>
      <c r="IZ231" s="13">
        <f t="shared" si="210"/>
        <v>0</v>
      </c>
      <c r="JA231" s="13">
        <f t="shared" si="210"/>
        <v>0</v>
      </c>
      <c r="JB231" s="13">
        <f t="shared" si="210"/>
        <v>0</v>
      </c>
      <c r="JC231" s="13">
        <f t="shared" si="210"/>
        <v>0</v>
      </c>
      <c r="JD231" s="13">
        <f t="shared" si="210"/>
        <v>0</v>
      </c>
      <c r="JE231" s="13">
        <f t="shared" si="210"/>
        <v>0</v>
      </c>
      <c r="JF231" s="13">
        <f t="shared" si="210"/>
        <v>0</v>
      </c>
      <c r="JG231" s="13">
        <f t="shared" si="210"/>
        <v>0</v>
      </c>
      <c r="JH231" s="13">
        <f t="shared" si="210"/>
        <v>0</v>
      </c>
      <c r="JI231" s="13">
        <f t="shared" si="210"/>
        <v>0</v>
      </c>
      <c r="JJ231" s="13">
        <f t="shared" si="210"/>
        <v>0</v>
      </c>
      <c r="JK231" s="13">
        <f t="shared" si="210"/>
        <v>0</v>
      </c>
      <c r="JL231" s="13">
        <f t="shared" si="210"/>
        <v>0</v>
      </c>
      <c r="JM231" s="13">
        <f t="shared" si="210"/>
        <v>0</v>
      </c>
      <c r="JN231" s="13">
        <f t="shared" si="210"/>
        <v>0</v>
      </c>
      <c r="JO231" s="13">
        <f t="shared" si="210"/>
        <v>0</v>
      </c>
      <c r="JP231" s="13">
        <f t="shared" si="210"/>
        <v>0</v>
      </c>
      <c r="JQ231" s="13">
        <f t="shared" si="210"/>
        <v>0</v>
      </c>
      <c r="JR231" s="13">
        <f t="shared" si="210"/>
        <v>0</v>
      </c>
      <c r="JS231" s="13">
        <f t="shared" si="210"/>
        <v>0</v>
      </c>
      <c r="JT231" s="13">
        <f t="shared" si="210"/>
        <v>0</v>
      </c>
      <c r="JU231" s="13">
        <f t="shared" si="210"/>
        <v>0</v>
      </c>
      <c r="JV231" s="13">
        <f t="shared" si="210"/>
        <v>0</v>
      </c>
      <c r="JW231" s="13">
        <f t="shared" si="210"/>
        <v>0</v>
      </c>
      <c r="JX231" s="13">
        <f t="shared" ref="JX231:MG231" si="211">SUM(JX232:JX287)</f>
        <v>0</v>
      </c>
      <c r="JY231" s="13">
        <f t="shared" si="211"/>
        <v>0</v>
      </c>
      <c r="JZ231" s="13">
        <f t="shared" si="211"/>
        <v>0</v>
      </c>
      <c r="KA231" s="13">
        <f t="shared" si="211"/>
        <v>0</v>
      </c>
      <c r="KB231" s="13">
        <f t="shared" si="211"/>
        <v>0</v>
      </c>
      <c r="KC231" s="13">
        <f t="shared" si="211"/>
        <v>0</v>
      </c>
      <c r="KD231" s="13">
        <f t="shared" si="211"/>
        <v>0</v>
      </c>
      <c r="KE231" s="13">
        <f t="shared" si="211"/>
        <v>0</v>
      </c>
      <c r="KF231" s="13">
        <f t="shared" si="211"/>
        <v>0</v>
      </c>
      <c r="KG231" s="13">
        <f t="shared" si="211"/>
        <v>0</v>
      </c>
      <c r="KH231" s="13">
        <f t="shared" si="211"/>
        <v>0</v>
      </c>
      <c r="KI231" s="13">
        <f t="shared" si="211"/>
        <v>0</v>
      </c>
      <c r="KJ231" s="13">
        <f t="shared" si="211"/>
        <v>0</v>
      </c>
      <c r="KK231" s="13">
        <f t="shared" si="211"/>
        <v>0</v>
      </c>
      <c r="KL231" s="13">
        <f t="shared" si="211"/>
        <v>0</v>
      </c>
      <c r="KM231" s="13">
        <f t="shared" si="211"/>
        <v>0</v>
      </c>
      <c r="KN231" s="13">
        <f t="shared" si="211"/>
        <v>0</v>
      </c>
      <c r="KO231" s="13">
        <f t="shared" si="211"/>
        <v>0</v>
      </c>
      <c r="KP231" s="13">
        <f t="shared" si="211"/>
        <v>0</v>
      </c>
      <c r="KQ231" s="13">
        <f t="shared" si="211"/>
        <v>0</v>
      </c>
      <c r="KR231" s="13">
        <f t="shared" si="211"/>
        <v>0</v>
      </c>
      <c r="KS231" s="13">
        <f t="shared" si="211"/>
        <v>0</v>
      </c>
      <c r="KT231" s="13">
        <f t="shared" si="211"/>
        <v>0</v>
      </c>
      <c r="KU231" s="13">
        <f t="shared" si="211"/>
        <v>0</v>
      </c>
      <c r="KV231" s="13">
        <f t="shared" si="211"/>
        <v>0</v>
      </c>
      <c r="KW231" s="13">
        <f t="shared" si="211"/>
        <v>0</v>
      </c>
      <c r="KX231" s="13">
        <f t="shared" si="211"/>
        <v>0</v>
      </c>
      <c r="KY231" s="13">
        <f t="shared" si="211"/>
        <v>0</v>
      </c>
      <c r="KZ231" s="13">
        <f t="shared" si="211"/>
        <v>0</v>
      </c>
      <c r="LA231" s="13">
        <f t="shared" si="211"/>
        <v>0</v>
      </c>
      <c r="LB231" s="13">
        <f t="shared" si="211"/>
        <v>0</v>
      </c>
      <c r="LC231" s="13">
        <f t="shared" si="211"/>
        <v>0</v>
      </c>
      <c r="LD231" s="13">
        <f t="shared" si="211"/>
        <v>0</v>
      </c>
      <c r="LE231" s="13">
        <f t="shared" si="211"/>
        <v>3984.3456000000001</v>
      </c>
      <c r="LF231" s="13">
        <f t="shared" si="211"/>
        <v>10143.554700000001</v>
      </c>
      <c r="LG231" s="13">
        <f t="shared" si="211"/>
        <v>8866.5450000000001</v>
      </c>
      <c r="LH231" s="13">
        <f t="shared" si="211"/>
        <v>15373.672500000001</v>
      </c>
      <c r="LI231" s="13">
        <f t="shared" si="211"/>
        <v>11242.843800000001</v>
      </c>
      <c r="LJ231" s="13">
        <f t="shared" si="211"/>
        <v>10728.736199999999</v>
      </c>
      <c r="LK231" s="13">
        <f t="shared" si="211"/>
        <v>10297.674900000002</v>
      </c>
      <c r="LL231" s="13">
        <f t="shared" si="211"/>
        <v>7203.4049999999997</v>
      </c>
      <c r="LM231" s="13">
        <f t="shared" si="211"/>
        <v>5674.0410000000002</v>
      </c>
      <c r="LN231" s="13">
        <f t="shared" si="211"/>
        <v>4844.9045999999998</v>
      </c>
      <c r="LO231" s="13">
        <f t="shared" si="211"/>
        <v>1861.1825999999999</v>
      </c>
      <c r="LP231" s="13">
        <f t="shared" si="211"/>
        <v>1415.2659000000001</v>
      </c>
      <c r="LQ231" s="13">
        <f t="shared" si="211"/>
        <v>2224.4486999999999</v>
      </c>
      <c r="LR231" s="13">
        <f t="shared" si="211"/>
        <v>0</v>
      </c>
      <c r="LS231" s="13">
        <f t="shared" si="211"/>
        <v>0</v>
      </c>
      <c r="LT231" s="13">
        <f t="shared" si="211"/>
        <v>0</v>
      </c>
      <c r="LU231" s="13">
        <f t="shared" si="211"/>
        <v>0</v>
      </c>
      <c r="LV231" s="13">
        <f t="shared" si="211"/>
        <v>0</v>
      </c>
      <c r="LW231" s="13">
        <f t="shared" si="211"/>
        <v>0</v>
      </c>
      <c r="LX231" s="13">
        <f t="shared" si="211"/>
        <v>0</v>
      </c>
      <c r="LY231" s="13">
        <f t="shared" si="211"/>
        <v>0</v>
      </c>
      <c r="LZ231" s="13">
        <f t="shared" si="211"/>
        <v>0</v>
      </c>
      <c r="MA231" s="13">
        <f t="shared" si="211"/>
        <v>0</v>
      </c>
      <c r="MB231" s="13">
        <f t="shared" si="211"/>
        <v>0</v>
      </c>
      <c r="MC231" s="13">
        <f t="shared" si="211"/>
        <v>0</v>
      </c>
      <c r="MD231" s="13">
        <f t="shared" si="211"/>
        <v>0</v>
      </c>
      <c r="ME231" s="13">
        <f t="shared" si="211"/>
        <v>0</v>
      </c>
      <c r="MF231" s="13">
        <f t="shared" si="211"/>
        <v>0</v>
      </c>
      <c r="MG231" s="13">
        <f t="shared" si="211"/>
        <v>0</v>
      </c>
    </row>
    <row r="232" spans="1:345" s="14" customFormat="1">
      <c r="A232" s="15" t="s">
        <v>225</v>
      </c>
      <c r="B232" s="13">
        <f t="shared" ref="B232:B287" si="212">SUM(AB232:AM232)/1000</f>
        <v>0</v>
      </c>
      <c r="C232" s="13">
        <f t="shared" ref="C232:C287" si="213">SUM(AN232:AY232)/1000</f>
        <v>0</v>
      </c>
      <c r="D232" s="13">
        <f t="shared" ref="D232:D287" si="214">SUM(AZ232:BK232)/1000</f>
        <v>0</v>
      </c>
      <c r="E232" s="13">
        <f t="shared" ref="E232:E287" si="215">SUM(BL232:BW232)/1000</f>
        <v>0</v>
      </c>
      <c r="F232" s="13">
        <f t="shared" ref="F232:F287" si="216">SUM(BX232:CI232)/1000</f>
        <v>0</v>
      </c>
      <c r="G232" s="13">
        <f t="shared" ref="G232:G287" si="217">SUM(CJ232:CU232)/1000</f>
        <v>0</v>
      </c>
      <c r="H232" s="13">
        <f t="shared" ref="H232:H287" si="218">SUM(CV232:DG232)/1000</f>
        <v>0</v>
      </c>
      <c r="I232" s="13">
        <f t="shared" ref="I232:I287" si="219">SUM(DH232:DS232)/1000</f>
        <v>0</v>
      </c>
      <c r="J232" s="13">
        <f t="shared" ref="J232:J287" si="220">SUM(DT232:EE232)/1000</f>
        <v>0</v>
      </c>
      <c r="K232" s="13">
        <f t="shared" ref="K232:K287" si="221">SUM(EF232:EQ232)/1000</f>
        <v>0</v>
      </c>
      <c r="L232" s="13">
        <f t="shared" ref="L232:L287" si="222">SUM(ER232:FC232)/1000</f>
        <v>0</v>
      </c>
      <c r="M232" s="13">
        <f t="shared" ref="M232:M287" si="223">SUM(FD232:FO232)/1000</f>
        <v>0</v>
      </c>
      <c r="N232" s="13">
        <f t="shared" ref="N232:N287" si="224">SUM(FP232:GA232)/1000</f>
        <v>0</v>
      </c>
      <c r="O232" s="13">
        <f t="shared" ref="O232:O287" si="225">SUM(GB232:GM232)/1000</f>
        <v>0</v>
      </c>
      <c r="P232" s="13">
        <f t="shared" ref="P232:P287" si="226">SUM(GN232:GY232)/1000</f>
        <v>0</v>
      </c>
      <c r="Q232" s="13">
        <f t="shared" ref="Q232:Q287" si="227">SUM(GZ232:HK232)/1000</f>
        <v>0</v>
      </c>
      <c r="R232" s="13">
        <f t="shared" ref="R232:R287" si="228">SUM(HL232:HW232)/1000</f>
        <v>0</v>
      </c>
      <c r="S232" s="13">
        <f t="shared" ref="S232:S287" si="229">SUM(HX232:II232)/1000</f>
        <v>0</v>
      </c>
      <c r="T232" s="13">
        <f t="shared" ref="T232:T287" si="230">SUM(IJ232:IU232)/1000</f>
        <v>0</v>
      </c>
      <c r="U232" s="13">
        <f t="shared" ref="U232:U287" si="231">SUM(IV232:JG232)/1000</f>
        <v>0</v>
      </c>
      <c r="V232" s="13">
        <f t="shared" ref="V232:V287" si="232">SUM(JH232:JS232)/1000</f>
        <v>0</v>
      </c>
      <c r="W232" s="13">
        <f t="shared" ref="W232:W287" si="233">SUM(JT232:KE232)/1000</f>
        <v>0</v>
      </c>
      <c r="X232" s="13">
        <f t="shared" ref="X232:X287" si="234">SUM(KF232:KQ232)/1000</f>
        <v>0</v>
      </c>
      <c r="Y232" s="13">
        <f t="shared" ref="Y232:Y287" si="235">SUM(KR232:LC232)/1000</f>
        <v>0</v>
      </c>
      <c r="Z232" s="13">
        <f t="shared" ref="Z232:Z287" si="236">SUM(LD232:LO232)/1000</f>
        <v>0</v>
      </c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</row>
    <row r="233" spans="1:345" s="14" customFormat="1">
      <c r="A233" s="15" t="s">
        <v>226</v>
      </c>
      <c r="B233" s="13">
        <f t="shared" si="212"/>
        <v>0</v>
      </c>
      <c r="C233" s="13">
        <f t="shared" si="213"/>
        <v>0</v>
      </c>
      <c r="D233" s="13">
        <f t="shared" si="214"/>
        <v>0</v>
      </c>
      <c r="E233" s="13">
        <f t="shared" si="215"/>
        <v>0</v>
      </c>
      <c r="F233" s="13">
        <f t="shared" si="216"/>
        <v>0</v>
      </c>
      <c r="G233" s="13">
        <f t="shared" si="217"/>
        <v>0</v>
      </c>
      <c r="H233" s="13">
        <f t="shared" si="218"/>
        <v>0</v>
      </c>
      <c r="I233" s="13">
        <f t="shared" si="219"/>
        <v>0</v>
      </c>
      <c r="J233" s="13">
        <f t="shared" si="220"/>
        <v>0</v>
      </c>
      <c r="K233" s="13">
        <f t="shared" si="221"/>
        <v>0</v>
      </c>
      <c r="L233" s="13">
        <f t="shared" si="222"/>
        <v>0</v>
      </c>
      <c r="M233" s="13">
        <f t="shared" si="223"/>
        <v>0</v>
      </c>
      <c r="N233" s="13">
        <f t="shared" si="224"/>
        <v>0</v>
      </c>
      <c r="O233" s="13">
        <f t="shared" si="225"/>
        <v>0</v>
      </c>
      <c r="P233" s="13">
        <f t="shared" si="226"/>
        <v>0</v>
      </c>
      <c r="Q233" s="13">
        <f t="shared" si="227"/>
        <v>0</v>
      </c>
      <c r="R233" s="13">
        <f t="shared" si="228"/>
        <v>0</v>
      </c>
      <c r="S233" s="13">
        <f t="shared" si="229"/>
        <v>0</v>
      </c>
      <c r="T233" s="13">
        <f t="shared" si="230"/>
        <v>0</v>
      </c>
      <c r="U233" s="13">
        <f t="shared" si="231"/>
        <v>0</v>
      </c>
      <c r="V233" s="13">
        <f t="shared" si="232"/>
        <v>0</v>
      </c>
      <c r="W233" s="13">
        <f t="shared" si="233"/>
        <v>0</v>
      </c>
      <c r="X233" s="13">
        <f t="shared" si="234"/>
        <v>0</v>
      </c>
      <c r="Y233" s="13">
        <f t="shared" si="235"/>
        <v>0</v>
      </c>
      <c r="Z233" s="13">
        <f t="shared" si="236"/>
        <v>8.2740000000000005E-4</v>
      </c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>
        <v>0.82740000000000002</v>
      </c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</row>
    <row r="234" spans="1:345" s="14" customFormat="1">
      <c r="A234" s="15" t="s">
        <v>227</v>
      </c>
      <c r="B234" s="13">
        <f t="shared" si="212"/>
        <v>0</v>
      </c>
      <c r="C234" s="13">
        <f t="shared" si="213"/>
        <v>0</v>
      </c>
      <c r="D234" s="13">
        <f t="shared" si="214"/>
        <v>0</v>
      </c>
      <c r="E234" s="13">
        <f t="shared" si="215"/>
        <v>0</v>
      </c>
      <c r="F234" s="13">
        <f t="shared" si="216"/>
        <v>0</v>
      </c>
      <c r="G234" s="13">
        <f t="shared" si="217"/>
        <v>0</v>
      </c>
      <c r="H234" s="13">
        <f t="shared" si="218"/>
        <v>0</v>
      </c>
      <c r="I234" s="13">
        <f t="shared" si="219"/>
        <v>0</v>
      </c>
      <c r="J234" s="13">
        <f t="shared" si="220"/>
        <v>0</v>
      </c>
      <c r="K234" s="13">
        <f t="shared" si="221"/>
        <v>0</v>
      </c>
      <c r="L234" s="13">
        <f t="shared" si="222"/>
        <v>0</v>
      </c>
      <c r="M234" s="13">
        <f t="shared" si="223"/>
        <v>0</v>
      </c>
      <c r="N234" s="13">
        <f t="shared" si="224"/>
        <v>0</v>
      </c>
      <c r="O234" s="13">
        <f t="shared" si="225"/>
        <v>0</v>
      </c>
      <c r="P234" s="13">
        <f t="shared" si="226"/>
        <v>0</v>
      </c>
      <c r="Q234" s="13">
        <f t="shared" si="227"/>
        <v>0</v>
      </c>
      <c r="R234" s="13">
        <f t="shared" si="228"/>
        <v>0</v>
      </c>
      <c r="S234" s="13">
        <f t="shared" si="229"/>
        <v>0</v>
      </c>
      <c r="T234" s="13">
        <f t="shared" si="230"/>
        <v>0</v>
      </c>
      <c r="U234" s="13">
        <f t="shared" si="231"/>
        <v>0</v>
      </c>
      <c r="V234" s="13">
        <f t="shared" si="232"/>
        <v>0</v>
      </c>
      <c r="W234" s="13">
        <f t="shared" si="233"/>
        <v>0</v>
      </c>
      <c r="X234" s="13">
        <f t="shared" si="234"/>
        <v>0</v>
      </c>
      <c r="Y234" s="13">
        <f t="shared" si="235"/>
        <v>0</v>
      </c>
      <c r="Z234" s="13">
        <f t="shared" si="236"/>
        <v>0</v>
      </c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</row>
    <row r="235" spans="1:345" s="14" customFormat="1">
      <c r="A235" s="15" t="s">
        <v>228</v>
      </c>
      <c r="B235" s="13">
        <f t="shared" si="212"/>
        <v>0</v>
      </c>
      <c r="C235" s="13">
        <f t="shared" si="213"/>
        <v>0</v>
      </c>
      <c r="D235" s="13">
        <f t="shared" si="214"/>
        <v>0</v>
      </c>
      <c r="E235" s="13">
        <f t="shared" si="215"/>
        <v>0</v>
      </c>
      <c r="F235" s="13">
        <f t="shared" si="216"/>
        <v>0</v>
      </c>
      <c r="G235" s="13">
        <f t="shared" si="217"/>
        <v>0</v>
      </c>
      <c r="H235" s="13">
        <f t="shared" si="218"/>
        <v>0</v>
      </c>
      <c r="I235" s="13">
        <f t="shared" si="219"/>
        <v>0</v>
      </c>
      <c r="J235" s="13">
        <f t="shared" si="220"/>
        <v>0</v>
      </c>
      <c r="K235" s="13">
        <f t="shared" si="221"/>
        <v>0</v>
      </c>
      <c r="L235" s="13">
        <f t="shared" si="222"/>
        <v>0</v>
      </c>
      <c r="M235" s="13">
        <f t="shared" si="223"/>
        <v>0</v>
      </c>
      <c r="N235" s="13">
        <f t="shared" si="224"/>
        <v>0</v>
      </c>
      <c r="O235" s="13">
        <f t="shared" si="225"/>
        <v>0</v>
      </c>
      <c r="P235" s="13">
        <f t="shared" si="226"/>
        <v>0</v>
      </c>
      <c r="Q235" s="13">
        <f t="shared" si="227"/>
        <v>0</v>
      </c>
      <c r="R235" s="13">
        <f t="shared" si="228"/>
        <v>0</v>
      </c>
      <c r="S235" s="13">
        <f t="shared" si="229"/>
        <v>0</v>
      </c>
      <c r="T235" s="13">
        <f t="shared" si="230"/>
        <v>0</v>
      </c>
      <c r="U235" s="13">
        <f t="shared" si="231"/>
        <v>0</v>
      </c>
      <c r="V235" s="13">
        <f t="shared" si="232"/>
        <v>0</v>
      </c>
      <c r="W235" s="13">
        <f t="shared" si="233"/>
        <v>0</v>
      </c>
      <c r="X235" s="13">
        <f t="shared" si="234"/>
        <v>0</v>
      </c>
      <c r="Y235" s="13">
        <f t="shared" si="235"/>
        <v>0</v>
      </c>
      <c r="Z235" s="13">
        <f t="shared" si="236"/>
        <v>0</v>
      </c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</row>
    <row r="236" spans="1:345" s="14" customFormat="1">
      <c r="A236" s="15" t="s">
        <v>229</v>
      </c>
      <c r="B236" s="13">
        <f t="shared" si="212"/>
        <v>0</v>
      </c>
      <c r="C236" s="13">
        <f t="shared" si="213"/>
        <v>0</v>
      </c>
      <c r="D236" s="13">
        <f t="shared" si="214"/>
        <v>0</v>
      </c>
      <c r="E236" s="13">
        <f t="shared" si="215"/>
        <v>0</v>
      </c>
      <c r="F236" s="13">
        <f t="shared" si="216"/>
        <v>0</v>
      </c>
      <c r="G236" s="13">
        <f t="shared" si="217"/>
        <v>0</v>
      </c>
      <c r="H236" s="13">
        <f t="shared" si="218"/>
        <v>0</v>
      </c>
      <c r="I236" s="13">
        <f t="shared" si="219"/>
        <v>0</v>
      </c>
      <c r="J236" s="13">
        <f t="shared" si="220"/>
        <v>0</v>
      </c>
      <c r="K236" s="13">
        <f t="shared" si="221"/>
        <v>0</v>
      </c>
      <c r="L236" s="13">
        <f t="shared" si="222"/>
        <v>0</v>
      </c>
      <c r="M236" s="13">
        <f t="shared" si="223"/>
        <v>0</v>
      </c>
      <c r="N236" s="13">
        <f t="shared" si="224"/>
        <v>0</v>
      </c>
      <c r="O236" s="13">
        <f t="shared" si="225"/>
        <v>0</v>
      </c>
      <c r="P236" s="13">
        <f t="shared" si="226"/>
        <v>0</v>
      </c>
      <c r="Q236" s="13">
        <f t="shared" si="227"/>
        <v>0</v>
      </c>
      <c r="R236" s="13">
        <f t="shared" si="228"/>
        <v>0</v>
      </c>
      <c r="S236" s="13">
        <f t="shared" si="229"/>
        <v>0</v>
      </c>
      <c r="T236" s="13">
        <f t="shared" si="230"/>
        <v>0</v>
      </c>
      <c r="U236" s="13">
        <f t="shared" si="231"/>
        <v>0</v>
      </c>
      <c r="V236" s="13">
        <f t="shared" si="232"/>
        <v>0</v>
      </c>
      <c r="W236" s="13">
        <f t="shared" si="233"/>
        <v>0</v>
      </c>
      <c r="X236" s="13">
        <f t="shared" si="234"/>
        <v>0</v>
      </c>
      <c r="Y236" s="13">
        <f t="shared" si="235"/>
        <v>0</v>
      </c>
      <c r="Z236" s="13">
        <f t="shared" si="236"/>
        <v>3.0239999999999998E-4</v>
      </c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>
        <v>0.3024</v>
      </c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</row>
    <row r="237" spans="1:345" s="14" customFormat="1">
      <c r="A237" s="15" t="s">
        <v>230</v>
      </c>
      <c r="B237" s="13">
        <f t="shared" si="212"/>
        <v>0</v>
      </c>
      <c r="C237" s="13">
        <f t="shared" si="213"/>
        <v>0</v>
      </c>
      <c r="D237" s="13">
        <f t="shared" si="214"/>
        <v>0</v>
      </c>
      <c r="E237" s="13">
        <f t="shared" si="215"/>
        <v>0</v>
      </c>
      <c r="F237" s="13">
        <f t="shared" si="216"/>
        <v>0</v>
      </c>
      <c r="G237" s="13">
        <f t="shared" si="217"/>
        <v>0</v>
      </c>
      <c r="H237" s="13">
        <f t="shared" si="218"/>
        <v>0</v>
      </c>
      <c r="I237" s="13">
        <f t="shared" si="219"/>
        <v>0</v>
      </c>
      <c r="J237" s="13">
        <f t="shared" si="220"/>
        <v>0</v>
      </c>
      <c r="K237" s="13">
        <f t="shared" si="221"/>
        <v>0</v>
      </c>
      <c r="L237" s="13">
        <f t="shared" si="222"/>
        <v>0</v>
      </c>
      <c r="M237" s="13">
        <f t="shared" si="223"/>
        <v>0</v>
      </c>
      <c r="N237" s="13">
        <f t="shared" si="224"/>
        <v>0</v>
      </c>
      <c r="O237" s="13">
        <f t="shared" si="225"/>
        <v>0</v>
      </c>
      <c r="P237" s="13">
        <f t="shared" si="226"/>
        <v>0</v>
      </c>
      <c r="Q237" s="13">
        <f t="shared" si="227"/>
        <v>0</v>
      </c>
      <c r="R237" s="13">
        <f t="shared" si="228"/>
        <v>0</v>
      </c>
      <c r="S237" s="13">
        <f t="shared" si="229"/>
        <v>0</v>
      </c>
      <c r="T237" s="13">
        <f t="shared" si="230"/>
        <v>0</v>
      </c>
      <c r="U237" s="13">
        <f t="shared" si="231"/>
        <v>0</v>
      </c>
      <c r="V237" s="13">
        <f t="shared" si="232"/>
        <v>0</v>
      </c>
      <c r="W237" s="13">
        <f t="shared" si="233"/>
        <v>0</v>
      </c>
      <c r="X237" s="13">
        <f t="shared" si="234"/>
        <v>0</v>
      </c>
      <c r="Y237" s="13">
        <f t="shared" si="235"/>
        <v>0</v>
      </c>
      <c r="Z237" s="13">
        <f t="shared" si="236"/>
        <v>0</v>
      </c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</row>
    <row r="238" spans="1:345" s="14" customFormat="1">
      <c r="A238" s="15" t="s">
        <v>231</v>
      </c>
      <c r="B238" s="13">
        <f t="shared" si="212"/>
        <v>0</v>
      </c>
      <c r="C238" s="13">
        <f t="shared" si="213"/>
        <v>0</v>
      </c>
      <c r="D238" s="13">
        <f t="shared" si="214"/>
        <v>0</v>
      </c>
      <c r="E238" s="13">
        <f t="shared" si="215"/>
        <v>0</v>
      </c>
      <c r="F238" s="13">
        <f t="shared" si="216"/>
        <v>0</v>
      </c>
      <c r="G238" s="13">
        <f t="shared" si="217"/>
        <v>0</v>
      </c>
      <c r="H238" s="13">
        <f t="shared" si="218"/>
        <v>0</v>
      </c>
      <c r="I238" s="13">
        <f t="shared" si="219"/>
        <v>0</v>
      </c>
      <c r="J238" s="13">
        <f t="shared" si="220"/>
        <v>0</v>
      </c>
      <c r="K238" s="13">
        <f t="shared" si="221"/>
        <v>0</v>
      </c>
      <c r="L238" s="13">
        <f t="shared" si="222"/>
        <v>0</v>
      </c>
      <c r="M238" s="13">
        <f t="shared" si="223"/>
        <v>0</v>
      </c>
      <c r="N238" s="13">
        <f t="shared" si="224"/>
        <v>0</v>
      </c>
      <c r="O238" s="13">
        <f t="shared" si="225"/>
        <v>0</v>
      </c>
      <c r="P238" s="13">
        <f t="shared" si="226"/>
        <v>0</v>
      </c>
      <c r="Q238" s="13">
        <f t="shared" si="227"/>
        <v>0</v>
      </c>
      <c r="R238" s="13">
        <f t="shared" si="228"/>
        <v>0</v>
      </c>
      <c r="S238" s="13">
        <f t="shared" si="229"/>
        <v>0</v>
      </c>
      <c r="T238" s="13">
        <f t="shared" si="230"/>
        <v>0</v>
      </c>
      <c r="U238" s="13">
        <f t="shared" si="231"/>
        <v>0</v>
      </c>
      <c r="V238" s="13">
        <f t="shared" si="232"/>
        <v>0</v>
      </c>
      <c r="W238" s="13">
        <f t="shared" si="233"/>
        <v>0</v>
      </c>
      <c r="X238" s="13">
        <f t="shared" si="234"/>
        <v>0</v>
      </c>
      <c r="Y238" s="13">
        <f t="shared" si="235"/>
        <v>0</v>
      </c>
      <c r="Z238" s="13">
        <f t="shared" si="236"/>
        <v>9.5339999999999997E-4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>
        <v>0.95340000000000003</v>
      </c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</row>
    <row r="239" spans="1:345" s="14" customFormat="1">
      <c r="A239" s="15" t="s">
        <v>232</v>
      </c>
      <c r="B239" s="13">
        <f t="shared" si="212"/>
        <v>0</v>
      </c>
      <c r="C239" s="13">
        <f t="shared" si="213"/>
        <v>0</v>
      </c>
      <c r="D239" s="13">
        <f t="shared" si="214"/>
        <v>0</v>
      </c>
      <c r="E239" s="13">
        <f t="shared" si="215"/>
        <v>0</v>
      </c>
      <c r="F239" s="13">
        <f t="shared" si="216"/>
        <v>0</v>
      </c>
      <c r="G239" s="13">
        <f t="shared" si="217"/>
        <v>0</v>
      </c>
      <c r="H239" s="13">
        <f t="shared" si="218"/>
        <v>0</v>
      </c>
      <c r="I239" s="13">
        <f t="shared" si="219"/>
        <v>0</v>
      </c>
      <c r="J239" s="13">
        <f t="shared" si="220"/>
        <v>0</v>
      </c>
      <c r="K239" s="13">
        <f t="shared" si="221"/>
        <v>0</v>
      </c>
      <c r="L239" s="13">
        <f t="shared" si="222"/>
        <v>0</v>
      </c>
      <c r="M239" s="13">
        <f t="shared" si="223"/>
        <v>0</v>
      </c>
      <c r="N239" s="13">
        <f t="shared" si="224"/>
        <v>0</v>
      </c>
      <c r="O239" s="13">
        <f t="shared" si="225"/>
        <v>0</v>
      </c>
      <c r="P239" s="13">
        <f t="shared" si="226"/>
        <v>0</v>
      </c>
      <c r="Q239" s="13">
        <f t="shared" si="227"/>
        <v>0</v>
      </c>
      <c r="R239" s="13">
        <f t="shared" si="228"/>
        <v>0</v>
      </c>
      <c r="S239" s="13">
        <f t="shared" si="229"/>
        <v>0</v>
      </c>
      <c r="T239" s="13">
        <f t="shared" si="230"/>
        <v>0</v>
      </c>
      <c r="U239" s="13">
        <f t="shared" si="231"/>
        <v>0</v>
      </c>
      <c r="V239" s="13">
        <f t="shared" si="232"/>
        <v>0</v>
      </c>
      <c r="W239" s="13">
        <f t="shared" si="233"/>
        <v>0</v>
      </c>
      <c r="X239" s="13">
        <f t="shared" si="234"/>
        <v>0</v>
      </c>
      <c r="Y239" s="13">
        <f t="shared" si="235"/>
        <v>0</v>
      </c>
      <c r="Z239" s="13">
        <f t="shared" si="236"/>
        <v>0</v>
      </c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P239" s="13"/>
      <c r="KQ239" s="13"/>
      <c r="KR239" s="13"/>
      <c r="KS239" s="13"/>
      <c r="KT239" s="13"/>
      <c r="KU239" s="13"/>
      <c r="KV239" s="13"/>
      <c r="KW239" s="13"/>
      <c r="KX239" s="13"/>
      <c r="KY239" s="13"/>
      <c r="KZ239" s="13"/>
      <c r="LA239" s="13"/>
      <c r="LB239" s="13"/>
      <c r="LC239" s="13"/>
      <c r="LD239" s="13"/>
      <c r="LE239" s="13"/>
      <c r="LF239" s="13"/>
      <c r="LG239" s="13"/>
      <c r="LH239" s="13"/>
      <c r="LI239" s="13"/>
      <c r="LJ239" s="13"/>
      <c r="LK239" s="13"/>
      <c r="LL239" s="13"/>
      <c r="LM239" s="13"/>
      <c r="LN239" s="13"/>
      <c r="LO239" s="13"/>
      <c r="LP239" s="13"/>
      <c r="LQ239" s="13"/>
      <c r="LR239" s="13"/>
      <c r="LS239" s="13"/>
      <c r="LT239" s="13"/>
      <c r="LU239" s="13"/>
      <c r="LV239" s="13"/>
      <c r="LW239" s="13"/>
      <c r="LX239" s="13"/>
      <c r="LY239" s="13"/>
      <c r="LZ239" s="13"/>
      <c r="MA239" s="13"/>
      <c r="MB239" s="13"/>
      <c r="MC239" s="13"/>
      <c r="MD239" s="13"/>
      <c r="ME239" s="13"/>
      <c r="MF239" s="13"/>
      <c r="MG239" s="13"/>
    </row>
    <row r="240" spans="1:345" s="14" customFormat="1">
      <c r="A240" s="15" t="s">
        <v>233</v>
      </c>
      <c r="B240" s="13">
        <f t="shared" si="212"/>
        <v>0</v>
      </c>
      <c r="C240" s="13">
        <f t="shared" si="213"/>
        <v>0</v>
      </c>
      <c r="D240" s="13">
        <f t="shared" si="214"/>
        <v>0</v>
      </c>
      <c r="E240" s="13">
        <f t="shared" si="215"/>
        <v>0</v>
      </c>
      <c r="F240" s="13">
        <f t="shared" si="216"/>
        <v>0</v>
      </c>
      <c r="G240" s="13">
        <f t="shared" si="217"/>
        <v>0</v>
      </c>
      <c r="H240" s="13">
        <f t="shared" si="218"/>
        <v>0</v>
      </c>
      <c r="I240" s="13">
        <f t="shared" si="219"/>
        <v>0</v>
      </c>
      <c r="J240" s="13">
        <f t="shared" si="220"/>
        <v>0</v>
      </c>
      <c r="K240" s="13">
        <f t="shared" si="221"/>
        <v>0</v>
      </c>
      <c r="L240" s="13">
        <f t="shared" si="222"/>
        <v>0</v>
      </c>
      <c r="M240" s="13">
        <f t="shared" si="223"/>
        <v>0</v>
      </c>
      <c r="N240" s="13">
        <f t="shared" si="224"/>
        <v>0</v>
      </c>
      <c r="O240" s="13">
        <f t="shared" si="225"/>
        <v>0</v>
      </c>
      <c r="P240" s="13">
        <f t="shared" si="226"/>
        <v>0</v>
      </c>
      <c r="Q240" s="13">
        <f t="shared" si="227"/>
        <v>0</v>
      </c>
      <c r="R240" s="13">
        <f t="shared" si="228"/>
        <v>0</v>
      </c>
      <c r="S240" s="13">
        <f t="shared" si="229"/>
        <v>0</v>
      </c>
      <c r="T240" s="13">
        <f t="shared" si="230"/>
        <v>0</v>
      </c>
      <c r="U240" s="13">
        <f t="shared" si="231"/>
        <v>0</v>
      </c>
      <c r="V240" s="13">
        <f t="shared" si="232"/>
        <v>0</v>
      </c>
      <c r="W240" s="13">
        <f t="shared" si="233"/>
        <v>0</v>
      </c>
      <c r="X240" s="13">
        <f t="shared" si="234"/>
        <v>0</v>
      </c>
      <c r="Y240" s="13">
        <f t="shared" si="235"/>
        <v>0</v>
      </c>
      <c r="Z240" s="13">
        <f t="shared" si="236"/>
        <v>0</v>
      </c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13"/>
      <c r="LC240" s="13"/>
      <c r="LD240" s="13"/>
      <c r="LE240" s="13"/>
      <c r="LF240" s="13"/>
      <c r="LG240" s="13"/>
      <c r="LH240" s="13"/>
      <c r="LI240" s="13"/>
      <c r="LJ240" s="13"/>
      <c r="LK240" s="13"/>
      <c r="LL240" s="13"/>
      <c r="LM240" s="13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3"/>
      <c r="MF240" s="13"/>
      <c r="MG240" s="13"/>
    </row>
    <row r="241" spans="1:345" s="14" customFormat="1">
      <c r="A241" s="15" t="s">
        <v>234</v>
      </c>
      <c r="B241" s="13">
        <f t="shared" si="212"/>
        <v>0</v>
      </c>
      <c r="C241" s="13">
        <f t="shared" si="213"/>
        <v>0</v>
      </c>
      <c r="D241" s="13">
        <f t="shared" si="214"/>
        <v>0</v>
      </c>
      <c r="E241" s="13">
        <f t="shared" si="215"/>
        <v>0</v>
      </c>
      <c r="F241" s="13">
        <f t="shared" si="216"/>
        <v>0</v>
      </c>
      <c r="G241" s="13">
        <f t="shared" si="217"/>
        <v>0</v>
      </c>
      <c r="H241" s="13">
        <f t="shared" si="218"/>
        <v>0</v>
      </c>
      <c r="I241" s="13">
        <f t="shared" si="219"/>
        <v>0</v>
      </c>
      <c r="J241" s="13">
        <f t="shared" si="220"/>
        <v>0</v>
      </c>
      <c r="K241" s="13">
        <f t="shared" si="221"/>
        <v>0</v>
      </c>
      <c r="L241" s="13">
        <f t="shared" si="222"/>
        <v>0</v>
      </c>
      <c r="M241" s="13">
        <f t="shared" si="223"/>
        <v>0</v>
      </c>
      <c r="N241" s="13">
        <f t="shared" si="224"/>
        <v>0</v>
      </c>
      <c r="O241" s="13">
        <f t="shared" si="225"/>
        <v>0</v>
      </c>
      <c r="P241" s="13">
        <f t="shared" si="226"/>
        <v>0</v>
      </c>
      <c r="Q241" s="13">
        <f t="shared" si="227"/>
        <v>0</v>
      </c>
      <c r="R241" s="13">
        <f t="shared" si="228"/>
        <v>0</v>
      </c>
      <c r="S241" s="13">
        <f t="shared" si="229"/>
        <v>0</v>
      </c>
      <c r="T241" s="13">
        <f t="shared" si="230"/>
        <v>0</v>
      </c>
      <c r="U241" s="13">
        <f t="shared" si="231"/>
        <v>0</v>
      </c>
      <c r="V241" s="13">
        <f t="shared" si="232"/>
        <v>0</v>
      </c>
      <c r="W241" s="13">
        <f t="shared" si="233"/>
        <v>0</v>
      </c>
      <c r="X241" s="13">
        <f t="shared" si="234"/>
        <v>0</v>
      </c>
      <c r="Y241" s="13">
        <f t="shared" si="235"/>
        <v>0</v>
      </c>
      <c r="Z241" s="13">
        <f t="shared" si="236"/>
        <v>0</v>
      </c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13"/>
      <c r="LC241" s="13"/>
      <c r="LD241" s="13"/>
      <c r="LE241" s="13"/>
      <c r="LF241" s="13"/>
      <c r="LG241" s="13"/>
      <c r="LH241" s="13"/>
      <c r="LI241" s="13"/>
      <c r="LJ241" s="13"/>
      <c r="LK241" s="13"/>
      <c r="LL241" s="13"/>
      <c r="LM241" s="13"/>
      <c r="LN241" s="13"/>
      <c r="LO241" s="13"/>
      <c r="LP241" s="13"/>
      <c r="LQ241" s="13">
        <v>1.1073</v>
      </c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3"/>
      <c r="MF241" s="13"/>
      <c r="MG241" s="13"/>
    </row>
    <row r="242" spans="1:345" s="14" customFormat="1">
      <c r="A242" s="15" t="s">
        <v>235</v>
      </c>
      <c r="B242" s="13">
        <f t="shared" si="212"/>
        <v>0</v>
      </c>
      <c r="C242" s="13">
        <f t="shared" si="213"/>
        <v>0</v>
      </c>
      <c r="D242" s="13">
        <f t="shared" si="214"/>
        <v>0</v>
      </c>
      <c r="E242" s="13">
        <f t="shared" si="215"/>
        <v>0</v>
      </c>
      <c r="F242" s="13">
        <f t="shared" si="216"/>
        <v>0</v>
      </c>
      <c r="G242" s="13">
        <f t="shared" si="217"/>
        <v>0</v>
      </c>
      <c r="H242" s="13">
        <f t="shared" si="218"/>
        <v>0</v>
      </c>
      <c r="I242" s="13">
        <f t="shared" si="219"/>
        <v>0</v>
      </c>
      <c r="J242" s="13">
        <f t="shared" si="220"/>
        <v>0</v>
      </c>
      <c r="K242" s="13">
        <f t="shared" si="221"/>
        <v>0</v>
      </c>
      <c r="L242" s="13">
        <f t="shared" si="222"/>
        <v>0</v>
      </c>
      <c r="M242" s="13">
        <f t="shared" si="223"/>
        <v>0</v>
      </c>
      <c r="N242" s="13">
        <f t="shared" si="224"/>
        <v>0</v>
      </c>
      <c r="O242" s="13">
        <f t="shared" si="225"/>
        <v>0</v>
      </c>
      <c r="P242" s="13">
        <f t="shared" si="226"/>
        <v>0</v>
      </c>
      <c r="Q242" s="13">
        <f t="shared" si="227"/>
        <v>0</v>
      </c>
      <c r="R242" s="13">
        <f t="shared" si="228"/>
        <v>0</v>
      </c>
      <c r="S242" s="13">
        <f t="shared" si="229"/>
        <v>0</v>
      </c>
      <c r="T242" s="13">
        <f t="shared" si="230"/>
        <v>0</v>
      </c>
      <c r="U242" s="13">
        <f t="shared" si="231"/>
        <v>0</v>
      </c>
      <c r="V242" s="13">
        <f t="shared" si="232"/>
        <v>0</v>
      </c>
      <c r="W242" s="13">
        <f t="shared" si="233"/>
        <v>0</v>
      </c>
      <c r="X242" s="13">
        <f t="shared" si="234"/>
        <v>0</v>
      </c>
      <c r="Y242" s="13">
        <f t="shared" si="235"/>
        <v>0</v>
      </c>
      <c r="Z242" s="13">
        <f t="shared" si="236"/>
        <v>0</v>
      </c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P242" s="13"/>
      <c r="KQ242" s="13"/>
      <c r="KR242" s="13"/>
      <c r="KS242" s="13"/>
      <c r="KT242" s="13"/>
      <c r="KU242" s="13"/>
      <c r="KV242" s="13"/>
      <c r="KW242" s="13"/>
      <c r="KX242" s="13"/>
      <c r="KY242" s="13"/>
      <c r="KZ242" s="13"/>
      <c r="LA242" s="13"/>
      <c r="LB242" s="13"/>
      <c r="LC242" s="13"/>
      <c r="LD242" s="13"/>
      <c r="LE242" s="13"/>
      <c r="LF242" s="13"/>
      <c r="LG242" s="13"/>
      <c r="LH242" s="13"/>
      <c r="LI242" s="13"/>
      <c r="LJ242" s="13"/>
      <c r="LK242" s="13"/>
      <c r="LL242" s="13"/>
      <c r="LM242" s="13"/>
      <c r="LN242" s="13"/>
      <c r="LO242" s="13"/>
      <c r="LP242" s="13"/>
      <c r="LQ242" s="13"/>
      <c r="LR242" s="13"/>
      <c r="LS242" s="13"/>
      <c r="LT242" s="13"/>
      <c r="LU242" s="13"/>
      <c r="LV242" s="13"/>
      <c r="LW242" s="13"/>
      <c r="LX242" s="13"/>
      <c r="LY242" s="13"/>
      <c r="LZ242" s="13"/>
      <c r="MA242" s="13"/>
      <c r="MB242" s="13"/>
      <c r="MC242" s="13"/>
      <c r="MD242" s="13"/>
      <c r="ME242" s="13"/>
      <c r="MF242" s="13"/>
      <c r="MG242" s="13"/>
    </row>
    <row r="243" spans="1:345" s="14" customFormat="1">
      <c r="A243" s="15" t="s">
        <v>236</v>
      </c>
      <c r="B243" s="13">
        <f t="shared" si="212"/>
        <v>0</v>
      </c>
      <c r="C243" s="13">
        <f t="shared" si="213"/>
        <v>0</v>
      </c>
      <c r="D243" s="13">
        <f t="shared" si="214"/>
        <v>0</v>
      </c>
      <c r="E243" s="13">
        <f t="shared" si="215"/>
        <v>0</v>
      </c>
      <c r="F243" s="13">
        <f t="shared" si="216"/>
        <v>0</v>
      </c>
      <c r="G243" s="13">
        <f t="shared" si="217"/>
        <v>0</v>
      </c>
      <c r="H243" s="13">
        <f t="shared" si="218"/>
        <v>0</v>
      </c>
      <c r="I243" s="13">
        <f t="shared" si="219"/>
        <v>0</v>
      </c>
      <c r="J243" s="13">
        <f t="shared" si="220"/>
        <v>0</v>
      </c>
      <c r="K243" s="13">
        <f t="shared" si="221"/>
        <v>0</v>
      </c>
      <c r="L243" s="13">
        <f t="shared" si="222"/>
        <v>0</v>
      </c>
      <c r="M243" s="13">
        <f t="shared" si="223"/>
        <v>0</v>
      </c>
      <c r="N243" s="13">
        <f t="shared" si="224"/>
        <v>0</v>
      </c>
      <c r="O243" s="13">
        <f t="shared" si="225"/>
        <v>0</v>
      </c>
      <c r="P243" s="13">
        <f t="shared" si="226"/>
        <v>0</v>
      </c>
      <c r="Q243" s="13">
        <f t="shared" si="227"/>
        <v>0</v>
      </c>
      <c r="R243" s="13">
        <f t="shared" si="228"/>
        <v>0</v>
      </c>
      <c r="S243" s="13">
        <f t="shared" si="229"/>
        <v>0</v>
      </c>
      <c r="T243" s="13">
        <f t="shared" si="230"/>
        <v>0</v>
      </c>
      <c r="U243" s="13">
        <f t="shared" si="231"/>
        <v>0</v>
      </c>
      <c r="V243" s="13">
        <f t="shared" si="232"/>
        <v>0</v>
      </c>
      <c r="W243" s="13">
        <f t="shared" si="233"/>
        <v>0</v>
      </c>
      <c r="X243" s="13">
        <f t="shared" si="234"/>
        <v>0</v>
      </c>
      <c r="Y243" s="13">
        <f t="shared" si="235"/>
        <v>0</v>
      </c>
      <c r="Z243" s="13">
        <f t="shared" si="236"/>
        <v>80.930264999999991</v>
      </c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P243" s="13"/>
      <c r="KQ243" s="13"/>
      <c r="KR243" s="13"/>
      <c r="KS243" s="13"/>
      <c r="KT243" s="13"/>
      <c r="KU243" s="13"/>
      <c r="KV243" s="13"/>
      <c r="KW243" s="13"/>
      <c r="KX243" s="13"/>
      <c r="KY243" s="13"/>
      <c r="KZ243" s="13"/>
      <c r="LA243" s="13"/>
      <c r="LB243" s="13"/>
      <c r="LC243" s="13"/>
      <c r="LD243" s="13"/>
      <c r="LE243" s="13">
        <v>2157.3647999999998</v>
      </c>
      <c r="LF243" s="13">
        <v>6513.7403999999997</v>
      </c>
      <c r="LG243" s="13">
        <v>8782.0535999999993</v>
      </c>
      <c r="LH243" s="13">
        <v>14275.169400000001</v>
      </c>
      <c r="LI243" s="13">
        <v>10260.469800000001</v>
      </c>
      <c r="LJ243" s="13">
        <v>10667.3634</v>
      </c>
      <c r="LK243" s="13">
        <v>10270.147800000001</v>
      </c>
      <c r="LL243" s="13">
        <v>6255.99</v>
      </c>
      <c r="LM243" s="13">
        <v>5661.5156999999999</v>
      </c>
      <c r="LN243" s="13">
        <v>4233.7995000000001</v>
      </c>
      <c r="LO243" s="13">
        <v>1852.6505999999999</v>
      </c>
      <c r="LP243" s="13">
        <v>1287.6596999999999</v>
      </c>
      <c r="LQ243" s="13">
        <v>2138.3078999999998</v>
      </c>
      <c r="LR243" s="13"/>
      <c r="LS243" s="13"/>
      <c r="LT243" s="13"/>
      <c r="LU243" s="13"/>
      <c r="LV243" s="13"/>
      <c r="LW243" s="13"/>
      <c r="LX243" s="13"/>
      <c r="LY243" s="13"/>
      <c r="LZ243" s="13"/>
      <c r="MA243" s="13"/>
      <c r="MB243" s="13"/>
      <c r="MC243" s="13"/>
      <c r="MD243" s="13"/>
      <c r="ME243" s="13"/>
      <c r="MF243" s="13"/>
      <c r="MG243" s="13"/>
    </row>
    <row r="244" spans="1:345" s="14" customFormat="1">
      <c r="A244" s="15" t="s">
        <v>237</v>
      </c>
      <c r="B244" s="13">
        <f t="shared" si="212"/>
        <v>0</v>
      </c>
      <c r="C244" s="13">
        <f t="shared" si="213"/>
        <v>0</v>
      </c>
      <c r="D244" s="13">
        <f t="shared" si="214"/>
        <v>0</v>
      </c>
      <c r="E244" s="13">
        <f t="shared" si="215"/>
        <v>0</v>
      </c>
      <c r="F244" s="13">
        <f t="shared" si="216"/>
        <v>0</v>
      </c>
      <c r="G244" s="13">
        <f t="shared" si="217"/>
        <v>0</v>
      </c>
      <c r="H244" s="13">
        <f t="shared" si="218"/>
        <v>0</v>
      </c>
      <c r="I244" s="13">
        <f t="shared" si="219"/>
        <v>0</v>
      </c>
      <c r="J244" s="13">
        <f t="shared" si="220"/>
        <v>0</v>
      </c>
      <c r="K244" s="13">
        <f t="shared" si="221"/>
        <v>0</v>
      </c>
      <c r="L244" s="13">
        <f t="shared" si="222"/>
        <v>0</v>
      </c>
      <c r="M244" s="13">
        <f t="shared" si="223"/>
        <v>0</v>
      </c>
      <c r="N244" s="13">
        <f t="shared" si="224"/>
        <v>0</v>
      </c>
      <c r="O244" s="13">
        <f t="shared" si="225"/>
        <v>0</v>
      </c>
      <c r="P244" s="13">
        <f t="shared" si="226"/>
        <v>0</v>
      </c>
      <c r="Q244" s="13">
        <f t="shared" si="227"/>
        <v>0</v>
      </c>
      <c r="R244" s="13">
        <f t="shared" si="228"/>
        <v>0</v>
      </c>
      <c r="S244" s="13">
        <f t="shared" si="229"/>
        <v>0</v>
      </c>
      <c r="T244" s="13">
        <f t="shared" si="230"/>
        <v>0</v>
      </c>
      <c r="U244" s="13">
        <f t="shared" si="231"/>
        <v>0</v>
      </c>
      <c r="V244" s="13">
        <f t="shared" si="232"/>
        <v>0</v>
      </c>
      <c r="W244" s="13">
        <f t="shared" si="233"/>
        <v>0</v>
      </c>
      <c r="X244" s="13">
        <f t="shared" si="234"/>
        <v>0</v>
      </c>
      <c r="Y244" s="13">
        <f t="shared" si="235"/>
        <v>0</v>
      </c>
      <c r="Z244" s="13">
        <f t="shared" si="236"/>
        <v>0</v>
      </c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13"/>
      <c r="LC244" s="13"/>
      <c r="LD244" s="13"/>
      <c r="LE244" s="13"/>
      <c r="LF244" s="13"/>
      <c r="LG244" s="13"/>
      <c r="LH244" s="13"/>
      <c r="LI244" s="13"/>
      <c r="LJ244" s="13"/>
      <c r="LK244" s="13"/>
      <c r="LL244" s="13"/>
      <c r="LM244" s="13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Y244" s="13"/>
      <c r="LZ244" s="13"/>
      <c r="MA244" s="13"/>
      <c r="MB244" s="13"/>
      <c r="MC244" s="13"/>
      <c r="MD244" s="13"/>
      <c r="ME244" s="13"/>
      <c r="MF244" s="13"/>
      <c r="MG244" s="13"/>
    </row>
    <row r="245" spans="1:345" s="14" customFormat="1">
      <c r="A245" s="15" t="s">
        <v>238</v>
      </c>
      <c r="B245" s="13">
        <f t="shared" si="212"/>
        <v>0</v>
      </c>
      <c r="C245" s="13">
        <f t="shared" si="213"/>
        <v>0</v>
      </c>
      <c r="D245" s="13">
        <f t="shared" si="214"/>
        <v>0</v>
      </c>
      <c r="E245" s="13">
        <f t="shared" si="215"/>
        <v>0</v>
      </c>
      <c r="F245" s="13">
        <f t="shared" si="216"/>
        <v>0</v>
      </c>
      <c r="G245" s="13">
        <f t="shared" si="217"/>
        <v>0</v>
      </c>
      <c r="H245" s="13">
        <f t="shared" si="218"/>
        <v>0</v>
      </c>
      <c r="I245" s="13">
        <f t="shared" si="219"/>
        <v>0</v>
      </c>
      <c r="J245" s="13">
        <f t="shared" si="220"/>
        <v>0</v>
      </c>
      <c r="K245" s="13">
        <f t="shared" si="221"/>
        <v>0</v>
      </c>
      <c r="L245" s="13">
        <f t="shared" si="222"/>
        <v>0</v>
      </c>
      <c r="M245" s="13">
        <f t="shared" si="223"/>
        <v>0</v>
      </c>
      <c r="N245" s="13">
        <f t="shared" si="224"/>
        <v>0</v>
      </c>
      <c r="O245" s="13">
        <f t="shared" si="225"/>
        <v>0</v>
      </c>
      <c r="P245" s="13">
        <f t="shared" si="226"/>
        <v>0</v>
      </c>
      <c r="Q245" s="13">
        <f t="shared" si="227"/>
        <v>0</v>
      </c>
      <c r="R245" s="13">
        <f t="shared" si="228"/>
        <v>0</v>
      </c>
      <c r="S245" s="13">
        <f t="shared" si="229"/>
        <v>0</v>
      </c>
      <c r="T245" s="13">
        <f t="shared" si="230"/>
        <v>0</v>
      </c>
      <c r="U245" s="13">
        <f t="shared" si="231"/>
        <v>0</v>
      </c>
      <c r="V245" s="13">
        <f t="shared" si="232"/>
        <v>0</v>
      </c>
      <c r="W245" s="13">
        <f t="shared" si="233"/>
        <v>0</v>
      </c>
      <c r="X245" s="13">
        <f t="shared" si="234"/>
        <v>0</v>
      </c>
      <c r="Y245" s="13">
        <f t="shared" si="235"/>
        <v>0</v>
      </c>
      <c r="Z245" s="13">
        <f t="shared" si="236"/>
        <v>0.1115202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3"/>
      <c r="KW245" s="13"/>
      <c r="KX245" s="13"/>
      <c r="KY245" s="13"/>
      <c r="KZ245" s="13"/>
      <c r="LA245" s="13"/>
      <c r="LB245" s="13"/>
      <c r="LC245" s="13"/>
      <c r="LD245" s="13"/>
      <c r="LE245" s="13">
        <v>44.3703</v>
      </c>
      <c r="LF245" s="13">
        <v>22.959299999999999</v>
      </c>
      <c r="LG245" s="13">
        <v>44.190600000000003</v>
      </c>
      <c r="LH245" s="13"/>
      <c r="LI245" s="13"/>
      <c r="LJ245" s="13"/>
      <c r="LK245" s="13"/>
      <c r="LL245" s="13"/>
      <c r="LM245" s="13"/>
      <c r="LN245" s="13"/>
      <c r="LO245" s="13"/>
      <c r="LP245" s="13"/>
      <c r="LQ245" s="13"/>
      <c r="LR245" s="13"/>
      <c r="LS245" s="13"/>
      <c r="LT245" s="13"/>
      <c r="LU245" s="13"/>
      <c r="LV245" s="13"/>
      <c r="LW245" s="13"/>
      <c r="LX245" s="13"/>
      <c r="LY245" s="13"/>
      <c r="LZ245" s="13"/>
      <c r="MA245" s="13"/>
      <c r="MB245" s="13"/>
      <c r="MC245" s="13"/>
      <c r="MD245" s="13"/>
      <c r="ME245" s="13"/>
      <c r="MF245" s="13"/>
      <c r="MG245" s="13"/>
    </row>
    <row r="246" spans="1:345" s="14" customFormat="1">
      <c r="A246" s="15" t="s">
        <v>239</v>
      </c>
      <c r="B246" s="13">
        <f t="shared" si="212"/>
        <v>0</v>
      </c>
      <c r="C246" s="13">
        <f t="shared" si="213"/>
        <v>0</v>
      </c>
      <c r="D246" s="13">
        <f t="shared" si="214"/>
        <v>0</v>
      </c>
      <c r="E246" s="13">
        <f t="shared" si="215"/>
        <v>0</v>
      </c>
      <c r="F246" s="13">
        <f t="shared" si="216"/>
        <v>0</v>
      </c>
      <c r="G246" s="13">
        <f t="shared" si="217"/>
        <v>0</v>
      </c>
      <c r="H246" s="13">
        <f t="shared" si="218"/>
        <v>0</v>
      </c>
      <c r="I246" s="13">
        <f t="shared" si="219"/>
        <v>0</v>
      </c>
      <c r="J246" s="13">
        <f t="shared" si="220"/>
        <v>0</v>
      </c>
      <c r="K246" s="13">
        <f t="shared" si="221"/>
        <v>0</v>
      </c>
      <c r="L246" s="13">
        <f t="shared" si="222"/>
        <v>0</v>
      </c>
      <c r="M246" s="13">
        <f t="shared" si="223"/>
        <v>0</v>
      </c>
      <c r="N246" s="13">
        <f t="shared" si="224"/>
        <v>0</v>
      </c>
      <c r="O246" s="13">
        <f t="shared" si="225"/>
        <v>0</v>
      </c>
      <c r="P246" s="13">
        <f t="shared" si="226"/>
        <v>0</v>
      </c>
      <c r="Q246" s="13">
        <f t="shared" si="227"/>
        <v>0</v>
      </c>
      <c r="R246" s="13">
        <f t="shared" si="228"/>
        <v>0</v>
      </c>
      <c r="S246" s="13">
        <f t="shared" si="229"/>
        <v>0</v>
      </c>
      <c r="T246" s="13">
        <f t="shared" si="230"/>
        <v>0</v>
      </c>
      <c r="U246" s="13">
        <f t="shared" si="231"/>
        <v>0</v>
      </c>
      <c r="V246" s="13">
        <f t="shared" si="232"/>
        <v>0</v>
      </c>
      <c r="W246" s="13">
        <f t="shared" si="233"/>
        <v>0</v>
      </c>
      <c r="X246" s="13">
        <f t="shared" si="234"/>
        <v>0</v>
      </c>
      <c r="Y246" s="13">
        <f t="shared" si="235"/>
        <v>0</v>
      </c>
      <c r="Z246" s="13">
        <f t="shared" si="236"/>
        <v>4.2119999999999996E-3</v>
      </c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13"/>
      <c r="LC246" s="13"/>
      <c r="LD246" s="13"/>
      <c r="LE246" s="13"/>
      <c r="LF246" s="13"/>
      <c r="LG246" s="13"/>
      <c r="LH246" s="13"/>
      <c r="LI246" s="13"/>
      <c r="LJ246" s="13"/>
      <c r="LK246" s="13"/>
      <c r="LL246" s="13"/>
      <c r="LM246" s="13"/>
      <c r="LN246" s="13"/>
      <c r="LO246" s="13">
        <v>4.2119999999999997</v>
      </c>
      <c r="LP246" s="13"/>
      <c r="LQ246" s="13"/>
      <c r="LR246" s="13"/>
      <c r="LS246" s="13"/>
      <c r="LT246" s="13"/>
      <c r="LU246" s="13"/>
      <c r="LV246" s="13"/>
      <c r="LW246" s="13"/>
      <c r="LX246" s="13"/>
      <c r="LY246" s="13"/>
      <c r="LZ246" s="13"/>
      <c r="MA246" s="13"/>
      <c r="MB246" s="13"/>
      <c r="MC246" s="13"/>
      <c r="MD246" s="13"/>
      <c r="ME246" s="13"/>
      <c r="MF246" s="13"/>
      <c r="MG246" s="13"/>
    </row>
    <row r="247" spans="1:345" s="14" customFormat="1">
      <c r="A247" s="12" t="s">
        <v>240</v>
      </c>
      <c r="B247" s="13">
        <f t="shared" si="212"/>
        <v>0</v>
      </c>
      <c r="C247" s="13">
        <f t="shared" si="213"/>
        <v>0</v>
      </c>
      <c r="D247" s="13">
        <f t="shared" si="214"/>
        <v>0</v>
      </c>
      <c r="E247" s="13">
        <f t="shared" si="215"/>
        <v>0</v>
      </c>
      <c r="F247" s="13">
        <f t="shared" si="216"/>
        <v>0</v>
      </c>
      <c r="G247" s="13">
        <f t="shared" si="217"/>
        <v>0</v>
      </c>
      <c r="H247" s="13">
        <f t="shared" si="218"/>
        <v>0</v>
      </c>
      <c r="I247" s="13">
        <f t="shared" si="219"/>
        <v>0</v>
      </c>
      <c r="J247" s="13">
        <f t="shared" si="220"/>
        <v>0</v>
      </c>
      <c r="K247" s="13">
        <f t="shared" si="221"/>
        <v>0</v>
      </c>
      <c r="L247" s="13">
        <f t="shared" si="222"/>
        <v>0</v>
      </c>
      <c r="M247" s="13">
        <f t="shared" si="223"/>
        <v>0</v>
      </c>
      <c r="N247" s="13">
        <f t="shared" si="224"/>
        <v>0</v>
      </c>
      <c r="O247" s="13">
        <f t="shared" si="225"/>
        <v>0</v>
      </c>
      <c r="P247" s="13">
        <f t="shared" si="226"/>
        <v>0</v>
      </c>
      <c r="Q247" s="13">
        <f t="shared" si="227"/>
        <v>0</v>
      </c>
      <c r="R247" s="13">
        <f t="shared" si="228"/>
        <v>0</v>
      </c>
      <c r="S247" s="13">
        <f t="shared" si="229"/>
        <v>0</v>
      </c>
      <c r="T247" s="13">
        <f t="shared" si="230"/>
        <v>0</v>
      </c>
      <c r="U247" s="13">
        <f t="shared" si="231"/>
        <v>0</v>
      </c>
      <c r="V247" s="13">
        <f t="shared" si="232"/>
        <v>0</v>
      </c>
      <c r="W247" s="13">
        <f t="shared" si="233"/>
        <v>0</v>
      </c>
      <c r="X247" s="13">
        <f t="shared" si="234"/>
        <v>0</v>
      </c>
      <c r="Y247" s="13">
        <f t="shared" si="235"/>
        <v>0</v>
      </c>
      <c r="Z247" s="13">
        <f t="shared" si="236"/>
        <v>0</v>
      </c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P247" s="13"/>
      <c r="KQ247" s="13"/>
      <c r="KR247" s="13"/>
      <c r="KS247" s="13"/>
      <c r="KT247" s="13"/>
      <c r="KU247" s="13"/>
      <c r="KV247" s="13"/>
      <c r="KW247" s="13"/>
      <c r="KX247" s="13"/>
      <c r="KY247" s="13"/>
      <c r="KZ247" s="13"/>
      <c r="LA247" s="13"/>
      <c r="LB247" s="13"/>
      <c r="LC247" s="13"/>
      <c r="LD247" s="13"/>
      <c r="LE247" s="13"/>
      <c r="LF247" s="13"/>
      <c r="LG247" s="13"/>
      <c r="LH247" s="13"/>
      <c r="LI247" s="13"/>
      <c r="LJ247" s="13"/>
      <c r="LK247" s="13"/>
      <c r="LL247" s="13"/>
      <c r="LM247" s="13"/>
      <c r="LN247" s="13"/>
      <c r="LO247" s="13"/>
      <c r="LP247" s="13"/>
      <c r="LQ247" s="13"/>
      <c r="LR247" s="13"/>
      <c r="LS247" s="13"/>
      <c r="LT247" s="13"/>
      <c r="LU247" s="13"/>
      <c r="LV247" s="13"/>
      <c r="LW247" s="13"/>
      <c r="LX247" s="13"/>
      <c r="LY247" s="13"/>
      <c r="LZ247" s="13"/>
      <c r="MA247" s="13"/>
      <c r="MB247" s="13"/>
      <c r="MC247" s="13"/>
      <c r="MD247" s="13"/>
      <c r="ME247" s="13"/>
      <c r="MF247" s="13"/>
      <c r="MG247" s="13"/>
    </row>
    <row r="248" spans="1:345" s="14" customFormat="1">
      <c r="A248" s="15" t="s">
        <v>241</v>
      </c>
      <c r="B248" s="13">
        <f t="shared" si="212"/>
        <v>0</v>
      </c>
      <c r="C248" s="13">
        <f t="shared" si="213"/>
        <v>0</v>
      </c>
      <c r="D248" s="13">
        <f t="shared" si="214"/>
        <v>0</v>
      </c>
      <c r="E248" s="13">
        <f t="shared" si="215"/>
        <v>0</v>
      </c>
      <c r="F248" s="13">
        <f t="shared" si="216"/>
        <v>0</v>
      </c>
      <c r="G248" s="13">
        <f t="shared" si="217"/>
        <v>0</v>
      </c>
      <c r="H248" s="13">
        <f t="shared" si="218"/>
        <v>0</v>
      </c>
      <c r="I248" s="13">
        <f t="shared" si="219"/>
        <v>0</v>
      </c>
      <c r="J248" s="13">
        <f t="shared" si="220"/>
        <v>0</v>
      </c>
      <c r="K248" s="13">
        <f t="shared" si="221"/>
        <v>0</v>
      </c>
      <c r="L248" s="13">
        <f t="shared" si="222"/>
        <v>0</v>
      </c>
      <c r="M248" s="13">
        <f t="shared" si="223"/>
        <v>0</v>
      </c>
      <c r="N248" s="13">
        <f t="shared" si="224"/>
        <v>0</v>
      </c>
      <c r="O248" s="13">
        <f t="shared" si="225"/>
        <v>0</v>
      </c>
      <c r="P248" s="13">
        <f t="shared" si="226"/>
        <v>0</v>
      </c>
      <c r="Q248" s="13">
        <f t="shared" si="227"/>
        <v>0</v>
      </c>
      <c r="R248" s="13">
        <f t="shared" si="228"/>
        <v>0</v>
      </c>
      <c r="S248" s="13">
        <f t="shared" si="229"/>
        <v>0</v>
      </c>
      <c r="T248" s="13">
        <f t="shared" si="230"/>
        <v>0</v>
      </c>
      <c r="U248" s="13">
        <f t="shared" si="231"/>
        <v>0</v>
      </c>
      <c r="V248" s="13">
        <f t="shared" si="232"/>
        <v>0</v>
      </c>
      <c r="W248" s="13">
        <f t="shared" si="233"/>
        <v>0</v>
      </c>
      <c r="X248" s="13">
        <f t="shared" si="234"/>
        <v>0</v>
      </c>
      <c r="Y248" s="13">
        <f t="shared" si="235"/>
        <v>0</v>
      </c>
      <c r="Z248" s="13">
        <f t="shared" si="236"/>
        <v>0</v>
      </c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3"/>
      <c r="IN248" s="13"/>
      <c r="IO248" s="13"/>
      <c r="IP248" s="13"/>
      <c r="IQ248" s="13"/>
      <c r="IR248" s="13"/>
      <c r="IS248" s="13"/>
      <c r="IT248" s="13"/>
      <c r="IU248" s="13"/>
      <c r="IV248" s="13"/>
      <c r="IW248" s="13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3"/>
      <c r="KG248" s="13"/>
      <c r="KH248" s="13"/>
      <c r="KI248" s="13"/>
      <c r="KJ248" s="13"/>
      <c r="KK248" s="13"/>
      <c r="KL248" s="13"/>
      <c r="KM248" s="13"/>
      <c r="KN248" s="13"/>
      <c r="KO248" s="13"/>
      <c r="KP248" s="13"/>
      <c r="KQ248" s="13"/>
      <c r="KR248" s="13"/>
      <c r="KS248" s="13"/>
      <c r="KT248" s="13"/>
      <c r="KU248" s="13"/>
      <c r="KV248" s="13"/>
      <c r="KW248" s="13"/>
      <c r="KX248" s="13"/>
      <c r="KY248" s="13"/>
      <c r="KZ248" s="13"/>
      <c r="LA248" s="13"/>
      <c r="LB248" s="13"/>
      <c r="LC248" s="13"/>
      <c r="LD248" s="13"/>
      <c r="LE248" s="13"/>
      <c r="LF248" s="13"/>
      <c r="LG248" s="13"/>
      <c r="LH248" s="13"/>
      <c r="LI248" s="13"/>
      <c r="LJ248" s="13"/>
      <c r="LK248" s="13"/>
      <c r="LL248" s="13"/>
      <c r="LM248" s="13"/>
      <c r="LN248" s="13"/>
      <c r="LO248" s="13"/>
      <c r="LP248" s="13"/>
      <c r="LQ248" s="13"/>
      <c r="LR248" s="13"/>
      <c r="LS248" s="13"/>
      <c r="LT248" s="13"/>
      <c r="LU248" s="13"/>
      <c r="LV248" s="13"/>
      <c r="LW248" s="13"/>
      <c r="LX248" s="13"/>
      <c r="LY248" s="13"/>
      <c r="LZ248" s="13"/>
      <c r="MA248" s="13"/>
      <c r="MB248" s="13"/>
      <c r="MC248" s="13"/>
      <c r="MD248" s="13"/>
      <c r="ME248" s="13"/>
      <c r="MF248" s="13"/>
      <c r="MG248" s="13"/>
    </row>
    <row r="249" spans="1:345" s="14" customFormat="1">
      <c r="A249" s="15" t="s">
        <v>242</v>
      </c>
      <c r="B249" s="13">
        <f t="shared" si="212"/>
        <v>0</v>
      </c>
      <c r="C249" s="13">
        <f t="shared" si="213"/>
        <v>0</v>
      </c>
      <c r="D249" s="13">
        <f t="shared" si="214"/>
        <v>0</v>
      </c>
      <c r="E249" s="13">
        <f t="shared" si="215"/>
        <v>0</v>
      </c>
      <c r="F249" s="13">
        <f t="shared" si="216"/>
        <v>0</v>
      </c>
      <c r="G249" s="13">
        <f t="shared" si="217"/>
        <v>0</v>
      </c>
      <c r="H249" s="13">
        <f t="shared" si="218"/>
        <v>0</v>
      </c>
      <c r="I249" s="13">
        <f t="shared" si="219"/>
        <v>0</v>
      </c>
      <c r="J249" s="13">
        <f t="shared" si="220"/>
        <v>0</v>
      </c>
      <c r="K249" s="13">
        <f t="shared" si="221"/>
        <v>0</v>
      </c>
      <c r="L249" s="13">
        <f t="shared" si="222"/>
        <v>0</v>
      </c>
      <c r="M249" s="13">
        <f t="shared" si="223"/>
        <v>0</v>
      </c>
      <c r="N249" s="13">
        <f t="shared" si="224"/>
        <v>0</v>
      </c>
      <c r="O249" s="13">
        <f t="shared" si="225"/>
        <v>0</v>
      </c>
      <c r="P249" s="13">
        <f t="shared" si="226"/>
        <v>0</v>
      </c>
      <c r="Q249" s="13">
        <f t="shared" si="227"/>
        <v>0</v>
      </c>
      <c r="R249" s="13">
        <f t="shared" si="228"/>
        <v>0</v>
      </c>
      <c r="S249" s="13">
        <f t="shared" si="229"/>
        <v>0</v>
      </c>
      <c r="T249" s="13">
        <f t="shared" si="230"/>
        <v>0</v>
      </c>
      <c r="U249" s="13">
        <f t="shared" si="231"/>
        <v>0</v>
      </c>
      <c r="V249" s="13">
        <f t="shared" si="232"/>
        <v>0</v>
      </c>
      <c r="W249" s="13">
        <f t="shared" si="233"/>
        <v>0</v>
      </c>
      <c r="X249" s="13">
        <f t="shared" si="234"/>
        <v>0</v>
      </c>
      <c r="Y249" s="13">
        <f t="shared" si="235"/>
        <v>0</v>
      </c>
      <c r="Z249" s="13">
        <f t="shared" si="236"/>
        <v>0</v>
      </c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13"/>
      <c r="IN249" s="13"/>
      <c r="IO249" s="13"/>
      <c r="IP249" s="13"/>
      <c r="IQ249" s="13"/>
      <c r="IR249" s="13"/>
      <c r="IS249" s="13"/>
      <c r="IT249" s="13"/>
      <c r="IU249" s="13"/>
      <c r="IV249" s="13"/>
      <c r="IW249" s="13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3"/>
      <c r="KG249" s="13"/>
      <c r="KH249" s="13"/>
      <c r="KI249" s="13"/>
      <c r="KJ249" s="13"/>
      <c r="KK249" s="13"/>
      <c r="KL249" s="13"/>
      <c r="KM249" s="13"/>
      <c r="KN249" s="13"/>
      <c r="KO249" s="13"/>
      <c r="KP249" s="13"/>
      <c r="KQ249" s="13"/>
      <c r="KR249" s="13"/>
      <c r="KS249" s="13"/>
      <c r="KT249" s="13"/>
      <c r="KU249" s="13"/>
      <c r="KV249" s="13"/>
      <c r="KW249" s="13"/>
      <c r="KX249" s="13"/>
      <c r="KY249" s="13"/>
      <c r="KZ249" s="13"/>
      <c r="LA249" s="13"/>
      <c r="LB249" s="13"/>
      <c r="LC249" s="13"/>
      <c r="LD249" s="13"/>
      <c r="LE249" s="13"/>
      <c r="LF249" s="13"/>
      <c r="LG249" s="13"/>
      <c r="LH249" s="13"/>
      <c r="LI249" s="13"/>
      <c r="LJ249" s="13"/>
      <c r="LK249" s="13"/>
      <c r="LL249" s="13"/>
      <c r="LM249" s="13"/>
      <c r="LN249" s="13"/>
      <c r="LO249" s="13"/>
      <c r="LP249" s="13"/>
      <c r="LQ249" s="13"/>
      <c r="LR249" s="13"/>
      <c r="LS249" s="13"/>
      <c r="LT249" s="13"/>
      <c r="LU249" s="13"/>
      <c r="LV249" s="13"/>
      <c r="LW249" s="13"/>
      <c r="LX249" s="13"/>
      <c r="LY249" s="13"/>
      <c r="LZ249" s="13"/>
      <c r="MA249" s="13"/>
      <c r="MB249" s="13"/>
      <c r="MC249" s="13"/>
      <c r="MD249" s="13"/>
      <c r="ME249" s="13"/>
      <c r="MF249" s="13"/>
      <c r="MG249" s="13"/>
    </row>
    <row r="250" spans="1:345" s="14" customFormat="1">
      <c r="A250" s="12" t="s">
        <v>243</v>
      </c>
      <c r="B250" s="13">
        <f t="shared" si="212"/>
        <v>0</v>
      </c>
      <c r="C250" s="13">
        <f t="shared" si="213"/>
        <v>0</v>
      </c>
      <c r="D250" s="13">
        <f t="shared" si="214"/>
        <v>0</v>
      </c>
      <c r="E250" s="13">
        <f t="shared" si="215"/>
        <v>0</v>
      </c>
      <c r="F250" s="13">
        <f t="shared" si="216"/>
        <v>0</v>
      </c>
      <c r="G250" s="13">
        <f t="shared" si="217"/>
        <v>0</v>
      </c>
      <c r="H250" s="13">
        <f t="shared" si="218"/>
        <v>0</v>
      </c>
      <c r="I250" s="13">
        <f t="shared" si="219"/>
        <v>0</v>
      </c>
      <c r="J250" s="13">
        <f t="shared" si="220"/>
        <v>0</v>
      </c>
      <c r="K250" s="13">
        <f t="shared" si="221"/>
        <v>0</v>
      </c>
      <c r="L250" s="13">
        <f t="shared" si="222"/>
        <v>0</v>
      </c>
      <c r="M250" s="13">
        <f t="shared" si="223"/>
        <v>0</v>
      </c>
      <c r="N250" s="13">
        <f t="shared" si="224"/>
        <v>0</v>
      </c>
      <c r="O250" s="13">
        <f t="shared" si="225"/>
        <v>0</v>
      </c>
      <c r="P250" s="13">
        <f t="shared" si="226"/>
        <v>0</v>
      </c>
      <c r="Q250" s="13">
        <f t="shared" si="227"/>
        <v>0</v>
      </c>
      <c r="R250" s="13">
        <f t="shared" si="228"/>
        <v>0</v>
      </c>
      <c r="S250" s="13">
        <f t="shared" si="229"/>
        <v>0</v>
      </c>
      <c r="T250" s="13">
        <f t="shared" si="230"/>
        <v>0</v>
      </c>
      <c r="U250" s="13">
        <f t="shared" si="231"/>
        <v>0</v>
      </c>
      <c r="V250" s="13">
        <f t="shared" si="232"/>
        <v>0</v>
      </c>
      <c r="W250" s="13">
        <f t="shared" si="233"/>
        <v>0</v>
      </c>
      <c r="X250" s="13">
        <f t="shared" si="234"/>
        <v>0</v>
      </c>
      <c r="Y250" s="13">
        <f t="shared" si="235"/>
        <v>0</v>
      </c>
      <c r="Z250" s="13">
        <f t="shared" si="236"/>
        <v>0</v>
      </c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13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3"/>
      <c r="KG250" s="13"/>
      <c r="KH250" s="13"/>
      <c r="KI250" s="13"/>
      <c r="KJ250" s="13"/>
      <c r="KK250" s="13"/>
      <c r="KL250" s="13"/>
      <c r="KM250" s="13"/>
      <c r="KN250" s="13"/>
      <c r="KO250" s="13"/>
      <c r="KP250" s="13"/>
      <c r="KQ250" s="13"/>
      <c r="KR250" s="13"/>
      <c r="KS250" s="13"/>
      <c r="KT250" s="13"/>
      <c r="KU250" s="13"/>
      <c r="KV250" s="13"/>
      <c r="KW250" s="13"/>
      <c r="KX250" s="13"/>
      <c r="KY250" s="13"/>
      <c r="KZ250" s="13"/>
      <c r="LA250" s="13"/>
      <c r="LB250" s="13"/>
      <c r="LC250" s="13"/>
      <c r="LD250" s="13"/>
      <c r="LE250" s="13"/>
      <c r="LF250" s="13"/>
      <c r="LG250" s="13"/>
      <c r="LH250" s="13"/>
      <c r="LI250" s="13"/>
      <c r="LJ250" s="13"/>
      <c r="LK250" s="13"/>
      <c r="LL250" s="13"/>
      <c r="LM250" s="13"/>
      <c r="LN250" s="13"/>
      <c r="LO250" s="13"/>
      <c r="LP250" s="13"/>
      <c r="LQ250" s="13"/>
      <c r="LR250" s="13"/>
      <c r="LS250" s="13"/>
      <c r="LT250" s="13"/>
      <c r="LU250" s="13"/>
      <c r="LV250" s="13"/>
      <c r="LW250" s="13"/>
      <c r="LX250" s="13"/>
      <c r="LY250" s="13"/>
      <c r="LZ250" s="13"/>
      <c r="MA250" s="13"/>
      <c r="MB250" s="13"/>
      <c r="MC250" s="13"/>
      <c r="MD250" s="13"/>
      <c r="ME250" s="13"/>
      <c r="MF250" s="13"/>
      <c r="MG250" s="13"/>
    </row>
    <row r="251" spans="1:345" s="14" customFormat="1">
      <c r="A251" s="15" t="s">
        <v>244</v>
      </c>
      <c r="B251" s="13">
        <f t="shared" si="212"/>
        <v>0</v>
      </c>
      <c r="C251" s="13">
        <f t="shared" si="213"/>
        <v>0</v>
      </c>
      <c r="D251" s="13">
        <f t="shared" si="214"/>
        <v>0</v>
      </c>
      <c r="E251" s="13">
        <f t="shared" si="215"/>
        <v>0</v>
      </c>
      <c r="F251" s="13">
        <f t="shared" si="216"/>
        <v>0</v>
      </c>
      <c r="G251" s="13">
        <f t="shared" si="217"/>
        <v>0</v>
      </c>
      <c r="H251" s="13">
        <f t="shared" si="218"/>
        <v>0</v>
      </c>
      <c r="I251" s="13">
        <f t="shared" si="219"/>
        <v>0</v>
      </c>
      <c r="J251" s="13">
        <f t="shared" si="220"/>
        <v>0</v>
      </c>
      <c r="K251" s="13">
        <f t="shared" si="221"/>
        <v>0</v>
      </c>
      <c r="L251" s="13">
        <f t="shared" si="222"/>
        <v>0</v>
      </c>
      <c r="M251" s="13">
        <f t="shared" si="223"/>
        <v>0</v>
      </c>
      <c r="N251" s="13">
        <f t="shared" si="224"/>
        <v>0</v>
      </c>
      <c r="O251" s="13">
        <f t="shared" si="225"/>
        <v>0</v>
      </c>
      <c r="P251" s="13">
        <f t="shared" si="226"/>
        <v>0</v>
      </c>
      <c r="Q251" s="13">
        <f t="shared" si="227"/>
        <v>0</v>
      </c>
      <c r="R251" s="13">
        <f t="shared" si="228"/>
        <v>0</v>
      </c>
      <c r="S251" s="13">
        <f t="shared" si="229"/>
        <v>0</v>
      </c>
      <c r="T251" s="13">
        <f t="shared" si="230"/>
        <v>0</v>
      </c>
      <c r="U251" s="13">
        <f t="shared" si="231"/>
        <v>0</v>
      </c>
      <c r="V251" s="13">
        <f t="shared" si="232"/>
        <v>0</v>
      </c>
      <c r="W251" s="13">
        <f t="shared" si="233"/>
        <v>0</v>
      </c>
      <c r="X251" s="13">
        <f t="shared" si="234"/>
        <v>0</v>
      </c>
      <c r="Y251" s="13">
        <f t="shared" si="235"/>
        <v>0</v>
      </c>
      <c r="Z251" s="13">
        <f t="shared" si="236"/>
        <v>0</v>
      </c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13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3"/>
      <c r="KG251" s="13"/>
      <c r="KH251" s="13"/>
      <c r="KI251" s="13"/>
      <c r="KJ251" s="13"/>
      <c r="KK251" s="13"/>
      <c r="KL251" s="13"/>
      <c r="KM251" s="13"/>
      <c r="KN251" s="13"/>
      <c r="KO251" s="13"/>
      <c r="KP251" s="13"/>
      <c r="KQ251" s="13"/>
      <c r="KR251" s="13"/>
      <c r="KS251" s="13"/>
      <c r="KT251" s="13"/>
      <c r="KU251" s="13"/>
      <c r="KV251" s="13"/>
      <c r="KW251" s="13"/>
      <c r="KX251" s="13"/>
      <c r="KY251" s="13"/>
      <c r="KZ251" s="13"/>
      <c r="LA251" s="13"/>
      <c r="LB251" s="13"/>
      <c r="LC251" s="13"/>
      <c r="LD251" s="13"/>
      <c r="LE251" s="13"/>
      <c r="LF251" s="13"/>
      <c r="LG251" s="13"/>
      <c r="LH251" s="13"/>
      <c r="LI251" s="13"/>
      <c r="LJ251" s="13"/>
      <c r="LK251" s="13"/>
      <c r="LL251" s="13"/>
      <c r="LM251" s="13"/>
      <c r="LN251" s="13"/>
      <c r="LO251" s="13"/>
      <c r="LP251" s="13"/>
      <c r="LQ251" s="13"/>
      <c r="LR251" s="13"/>
      <c r="LS251" s="13"/>
      <c r="LT251" s="13"/>
      <c r="LU251" s="13"/>
      <c r="LV251" s="13"/>
      <c r="LW251" s="13"/>
      <c r="LX251" s="13"/>
      <c r="LY251" s="13"/>
      <c r="LZ251" s="13"/>
      <c r="MA251" s="13"/>
      <c r="MB251" s="13"/>
      <c r="MC251" s="13"/>
      <c r="MD251" s="13"/>
      <c r="ME251" s="13"/>
      <c r="MF251" s="13"/>
      <c r="MG251" s="13"/>
    </row>
    <row r="252" spans="1:345" s="14" customFormat="1">
      <c r="A252" s="12" t="s">
        <v>245</v>
      </c>
      <c r="B252" s="13">
        <f t="shared" si="212"/>
        <v>0</v>
      </c>
      <c r="C252" s="13">
        <f t="shared" si="213"/>
        <v>0</v>
      </c>
      <c r="D252" s="13">
        <f t="shared" si="214"/>
        <v>0</v>
      </c>
      <c r="E252" s="13">
        <f t="shared" si="215"/>
        <v>0</v>
      </c>
      <c r="F252" s="13">
        <f t="shared" si="216"/>
        <v>0</v>
      </c>
      <c r="G252" s="13">
        <f t="shared" si="217"/>
        <v>0</v>
      </c>
      <c r="H252" s="13">
        <f t="shared" si="218"/>
        <v>0</v>
      </c>
      <c r="I252" s="13">
        <f t="shared" si="219"/>
        <v>0</v>
      </c>
      <c r="J252" s="13">
        <f t="shared" si="220"/>
        <v>0</v>
      </c>
      <c r="K252" s="13">
        <f t="shared" si="221"/>
        <v>0</v>
      </c>
      <c r="L252" s="13">
        <f t="shared" si="222"/>
        <v>0</v>
      </c>
      <c r="M252" s="13">
        <f t="shared" si="223"/>
        <v>0</v>
      </c>
      <c r="N252" s="13">
        <f t="shared" si="224"/>
        <v>0</v>
      </c>
      <c r="O252" s="13">
        <f t="shared" si="225"/>
        <v>0</v>
      </c>
      <c r="P252" s="13">
        <f t="shared" si="226"/>
        <v>0</v>
      </c>
      <c r="Q252" s="13">
        <f t="shared" si="227"/>
        <v>0</v>
      </c>
      <c r="R252" s="13">
        <f t="shared" si="228"/>
        <v>0</v>
      </c>
      <c r="S252" s="13">
        <f t="shared" si="229"/>
        <v>0</v>
      </c>
      <c r="T252" s="13">
        <f t="shared" si="230"/>
        <v>0</v>
      </c>
      <c r="U252" s="13">
        <f t="shared" si="231"/>
        <v>0</v>
      </c>
      <c r="V252" s="13">
        <f t="shared" si="232"/>
        <v>0</v>
      </c>
      <c r="W252" s="13">
        <f t="shared" si="233"/>
        <v>0</v>
      </c>
      <c r="X252" s="13">
        <f t="shared" si="234"/>
        <v>0</v>
      </c>
      <c r="Y252" s="13">
        <f t="shared" si="235"/>
        <v>0</v>
      </c>
      <c r="Z252" s="13">
        <f t="shared" si="236"/>
        <v>3.6687E-3</v>
      </c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/>
      <c r="HY252" s="13"/>
      <c r="HZ252" s="13"/>
      <c r="IA252" s="13"/>
      <c r="IB252" s="13"/>
      <c r="IC252" s="13"/>
      <c r="ID252" s="13"/>
      <c r="IE252" s="13"/>
      <c r="IF252" s="13"/>
      <c r="IG252" s="13"/>
      <c r="IH252" s="13"/>
      <c r="II252" s="13"/>
      <c r="IJ252" s="13"/>
      <c r="IK252" s="13"/>
      <c r="IL252" s="13"/>
      <c r="IM252" s="13"/>
      <c r="IN252" s="13"/>
      <c r="IO252" s="13"/>
      <c r="IP252" s="13"/>
      <c r="IQ252" s="13"/>
      <c r="IR252" s="13"/>
      <c r="IS252" s="13"/>
      <c r="IT252" s="13"/>
      <c r="IU252" s="13"/>
      <c r="IV252" s="13"/>
      <c r="IW252" s="13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3"/>
      <c r="KG252" s="13"/>
      <c r="KH252" s="13"/>
      <c r="KI252" s="13"/>
      <c r="KJ252" s="13"/>
      <c r="KK252" s="13"/>
      <c r="KL252" s="13"/>
      <c r="KM252" s="13"/>
      <c r="KN252" s="13"/>
      <c r="KO252" s="13"/>
      <c r="KP252" s="13"/>
      <c r="KQ252" s="13"/>
      <c r="KR252" s="13"/>
      <c r="KS252" s="13"/>
      <c r="KT252" s="13"/>
      <c r="KU252" s="13"/>
      <c r="KV252" s="13"/>
      <c r="KW252" s="13"/>
      <c r="KX252" s="13"/>
      <c r="KY252" s="13"/>
      <c r="KZ252" s="13"/>
      <c r="LA252" s="13"/>
      <c r="LB252" s="13"/>
      <c r="LC252" s="13"/>
      <c r="LD252" s="13"/>
      <c r="LE252" s="13"/>
      <c r="LF252" s="13"/>
      <c r="LG252" s="13"/>
      <c r="LH252" s="13">
        <v>3.6686999999999999</v>
      </c>
      <c r="LI252" s="13"/>
      <c r="LJ252" s="13"/>
      <c r="LK252" s="13"/>
      <c r="LL252" s="13"/>
      <c r="LM252" s="13"/>
      <c r="LN252" s="13"/>
      <c r="LO252" s="13"/>
      <c r="LP252" s="13"/>
      <c r="LQ252" s="13"/>
      <c r="LR252" s="13"/>
      <c r="LS252" s="13"/>
      <c r="LT252" s="13"/>
      <c r="LU252" s="13"/>
      <c r="LV252" s="13"/>
      <c r="LW252" s="13"/>
      <c r="LX252" s="13"/>
      <c r="LY252" s="13"/>
      <c r="LZ252" s="13"/>
      <c r="MA252" s="13"/>
      <c r="MB252" s="13"/>
      <c r="MC252" s="13"/>
      <c r="MD252" s="13"/>
      <c r="ME252" s="13"/>
      <c r="MF252" s="13"/>
      <c r="MG252" s="13"/>
    </row>
    <row r="253" spans="1:345" s="14" customFormat="1">
      <c r="A253" s="12" t="s">
        <v>246</v>
      </c>
      <c r="B253" s="13">
        <f t="shared" si="212"/>
        <v>0</v>
      </c>
      <c r="C253" s="13">
        <f t="shared" si="213"/>
        <v>0</v>
      </c>
      <c r="D253" s="13">
        <f t="shared" si="214"/>
        <v>0</v>
      </c>
      <c r="E253" s="13">
        <f t="shared" si="215"/>
        <v>0</v>
      </c>
      <c r="F253" s="13">
        <f t="shared" si="216"/>
        <v>0</v>
      </c>
      <c r="G253" s="13">
        <f t="shared" si="217"/>
        <v>0</v>
      </c>
      <c r="H253" s="13">
        <f t="shared" si="218"/>
        <v>0</v>
      </c>
      <c r="I253" s="13">
        <f t="shared" si="219"/>
        <v>0</v>
      </c>
      <c r="J253" s="13">
        <f t="shared" si="220"/>
        <v>0</v>
      </c>
      <c r="K253" s="13">
        <f t="shared" si="221"/>
        <v>0</v>
      </c>
      <c r="L253" s="13">
        <f t="shared" si="222"/>
        <v>0</v>
      </c>
      <c r="M253" s="13">
        <f t="shared" si="223"/>
        <v>0</v>
      </c>
      <c r="N253" s="13">
        <f t="shared" si="224"/>
        <v>0</v>
      </c>
      <c r="O253" s="13">
        <f t="shared" si="225"/>
        <v>0</v>
      </c>
      <c r="P253" s="13">
        <f t="shared" si="226"/>
        <v>0</v>
      </c>
      <c r="Q253" s="13">
        <f t="shared" si="227"/>
        <v>0</v>
      </c>
      <c r="R253" s="13">
        <f t="shared" si="228"/>
        <v>0</v>
      </c>
      <c r="S253" s="13">
        <f t="shared" si="229"/>
        <v>0</v>
      </c>
      <c r="T253" s="13">
        <f t="shared" si="230"/>
        <v>0</v>
      </c>
      <c r="U253" s="13">
        <f t="shared" si="231"/>
        <v>0</v>
      </c>
      <c r="V253" s="13">
        <f t="shared" si="232"/>
        <v>0</v>
      </c>
      <c r="W253" s="13">
        <f t="shared" si="233"/>
        <v>0</v>
      </c>
      <c r="X253" s="13">
        <f t="shared" si="234"/>
        <v>0</v>
      </c>
      <c r="Y253" s="13">
        <f t="shared" si="235"/>
        <v>0</v>
      </c>
      <c r="Z253" s="13">
        <f t="shared" si="236"/>
        <v>0</v>
      </c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  <c r="HQ253" s="13"/>
      <c r="HR253" s="13"/>
      <c r="HS253" s="13"/>
      <c r="HT253" s="13"/>
      <c r="HU253" s="13"/>
      <c r="HV253" s="13"/>
      <c r="HW253" s="13"/>
      <c r="HX253" s="13"/>
      <c r="HY253" s="13"/>
      <c r="HZ253" s="13"/>
      <c r="IA253" s="13"/>
      <c r="IB253" s="13"/>
      <c r="IC253" s="13"/>
      <c r="ID253" s="13"/>
      <c r="IE253" s="13"/>
      <c r="IF253" s="13"/>
      <c r="IG253" s="13"/>
      <c r="IH253" s="13"/>
      <c r="II253" s="13"/>
      <c r="IJ253" s="13"/>
      <c r="IK253" s="13"/>
      <c r="IL253" s="13"/>
      <c r="IM253" s="13"/>
      <c r="IN253" s="13"/>
      <c r="IO253" s="13"/>
      <c r="IP253" s="13"/>
      <c r="IQ253" s="13"/>
      <c r="IR253" s="13"/>
      <c r="IS253" s="13"/>
      <c r="IT253" s="13"/>
      <c r="IU253" s="13"/>
      <c r="IV253" s="13"/>
      <c r="IW253" s="13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3"/>
      <c r="KG253" s="13"/>
      <c r="KH253" s="13"/>
      <c r="KI253" s="13"/>
      <c r="KJ253" s="13"/>
      <c r="KK253" s="13"/>
      <c r="KL253" s="13"/>
      <c r="KM253" s="13"/>
      <c r="KN253" s="13"/>
      <c r="KO253" s="13"/>
      <c r="KP253" s="13"/>
      <c r="KQ253" s="13"/>
      <c r="KR253" s="13"/>
      <c r="KS253" s="13"/>
      <c r="KT253" s="13"/>
      <c r="KU253" s="13"/>
      <c r="KV253" s="13"/>
      <c r="KW253" s="13"/>
      <c r="KX253" s="13"/>
      <c r="KY253" s="13"/>
      <c r="KZ253" s="13"/>
      <c r="LA253" s="13"/>
      <c r="LB253" s="13"/>
      <c r="LC253" s="13"/>
      <c r="LD253" s="13"/>
      <c r="LE253" s="13"/>
      <c r="LF253" s="13"/>
      <c r="LG253" s="13"/>
      <c r="LH253" s="13"/>
      <c r="LI253" s="13"/>
      <c r="LJ253" s="13"/>
      <c r="LK253" s="13"/>
      <c r="LL253" s="13"/>
      <c r="LM253" s="13"/>
      <c r="LN253" s="13"/>
      <c r="LO253" s="13"/>
      <c r="LP253" s="13"/>
      <c r="LQ253" s="13"/>
      <c r="LR253" s="13"/>
      <c r="LS253" s="13"/>
      <c r="LT253" s="13"/>
      <c r="LU253" s="13"/>
      <c r="LV253" s="13"/>
      <c r="LW253" s="13"/>
      <c r="LX253" s="13"/>
      <c r="LY253" s="13"/>
      <c r="LZ253" s="13"/>
      <c r="MA253" s="13"/>
      <c r="MB253" s="13"/>
      <c r="MC253" s="13"/>
      <c r="MD253" s="13"/>
      <c r="ME253" s="13"/>
      <c r="MF253" s="13"/>
      <c r="MG253" s="13"/>
    </row>
    <row r="254" spans="1:345" s="14" customFormat="1">
      <c r="A254" s="15" t="s">
        <v>247</v>
      </c>
      <c r="B254" s="13">
        <f t="shared" si="212"/>
        <v>0</v>
      </c>
      <c r="C254" s="13">
        <f t="shared" si="213"/>
        <v>0</v>
      </c>
      <c r="D254" s="13">
        <f t="shared" si="214"/>
        <v>0</v>
      </c>
      <c r="E254" s="13">
        <f t="shared" si="215"/>
        <v>0</v>
      </c>
      <c r="F254" s="13">
        <f t="shared" si="216"/>
        <v>0</v>
      </c>
      <c r="G254" s="13">
        <f t="shared" si="217"/>
        <v>0</v>
      </c>
      <c r="H254" s="13">
        <f t="shared" si="218"/>
        <v>0</v>
      </c>
      <c r="I254" s="13">
        <f t="shared" si="219"/>
        <v>0</v>
      </c>
      <c r="J254" s="13">
        <f t="shared" si="220"/>
        <v>0</v>
      </c>
      <c r="K254" s="13">
        <f t="shared" si="221"/>
        <v>0</v>
      </c>
      <c r="L254" s="13">
        <f t="shared" si="222"/>
        <v>0</v>
      </c>
      <c r="M254" s="13">
        <f t="shared" si="223"/>
        <v>0</v>
      </c>
      <c r="N254" s="13">
        <f t="shared" si="224"/>
        <v>0</v>
      </c>
      <c r="O254" s="13">
        <f t="shared" si="225"/>
        <v>0</v>
      </c>
      <c r="P254" s="13">
        <f t="shared" si="226"/>
        <v>0</v>
      </c>
      <c r="Q254" s="13">
        <f t="shared" si="227"/>
        <v>0</v>
      </c>
      <c r="R254" s="13">
        <f t="shared" si="228"/>
        <v>0</v>
      </c>
      <c r="S254" s="13">
        <f t="shared" si="229"/>
        <v>0</v>
      </c>
      <c r="T254" s="13">
        <f t="shared" si="230"/>
        <v>0</v>
      </c>
      <c r="U254" s="13">
        <f t="shared" si="231"/>
        <v>0</v>
      </c>
      <c r="V254" s="13">
        <f t="shared" si="232"/>
        <v>0</v>
      </c>
      <c r="W254" s="13">
        <f t="shared" si="233"/>
        <v>0</v>
      </c>
      <c r="X254" s="13">
        <f t="shared" si="234"/>
        <v>0</v>
      </c>
      <c r="Y254" s="13">
        <f t="shared" si="235"/>
        <v>0</v>
      </c>
      <c r="Z254" s="13">
        <f t="shared" si="236"/>
        <v>0</v>
      </c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/>
      <c r="HY254" s="13"/>
      <c r="HZ254" s="13"/>
      <c r="IA254" s="13"/>
      <c r="IB254" s="13"/>
      <c r="IC254" s="13"/>
      <c r="ID254" s="13"/>
      <c r="IE254" s="13"/>
      <c r="IF254" s="13"/>
      <c r="IG254" s="13"/>
      <c r="IH254" s="13"/>
      <c r="II254" s="13"/>
      <c r="IJ254" s="13"/>
      <c r="IK254" s="13"/>
      <c r="IL254" s="13"/>
      <c r="IM254" s="13"/>
      <c r="IN254" s="13"/>
      <c r="IO254" s="13"/>
      <c r="IP254" s="13"/>
      <c r="IQ254" s="13"/>
      <c r="IR254" s="13"/>
      <c r="IS254" s="13"/>
      <c r="IT254" s="13"/>
      <c r="IU254" s="13"/>
      <c r="IV254" s="13"/>
      <c r="IW254" s="13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3"/>
      <c r="KG254" s="13"/>
      <c r="KH254" s="13"/>
      <c r="KI254" s="13"/>
      <c r="KJ254" s="13"/>
      <c r="KK254" s="13"/>
      <c r="KL254" s="13"/>
      <c r="KM254" s="13"/>
      <c r="KN254" s="13"/>
      <c r="KO254" s="13"/>
      <c r="KP254" s="13"/>
      <c r="KQ254" s="13"/>
      <c r="KR254" s="13"/>
      <c r="KS254" s="13"/>
      <c r="KT254" s="13"/>
      <c r="KU254" s="13"/>
      <c r="KV254" s="13"/>
      <c r="KW254" s="13"/>
      <c r="KX254" s="13"/>
      <c r="KY254" s="13"/>
      <c r="KZ254" s="13"/>
      <c r="LA254" s="13"/>
      <c r="LB254" s="13"/>
      <c r="LC254" s="13"/>
      <c r="LD254" s="13"/>
      <c r="LE254" s="13"/>
      <c r="LF254" s="13"/>
      <c r="LG254" s="13"/>
      <c r="LH254" s="13"/>
      <c r="LI254" s="13"/>
      <c r="LJ254" s="13"/>
      <c r="LK254" s="13"/>
      <c r="LL254" s="13"/>
      <c r="LM254" s="13"/>
      <c r="LN254" s="13"/>
      <c r="LO254" s="13"/>
      <c r="LP254" s="13"/>
      <c r="LQ254" s="13"/>
      <c r="LR254" s="13"/>
      <c r="LS254" s="13"/>
      <c r="LT254" s="13"/>
      <c r="LU254" s="13"/>
      <c r="LV254" s="13"/>
      <c r="LW254" s="13"/>
      <c r="LX254" s="13"/>
      <c r="LY254" s="13"/>
      <c r="LZ254" s="13"/>
      <c r="MA254" s="13"/>
      <c r="MB254" s="13"/>
      <c r="MC254" s="13"/>
      <c r="MD254" s="13"/>
      <c r="ME254" s="13"/>
      <c r="MF254" s="13"/>
      <c r="MG254" s="13"/>
    </row>
    <row r="255" spans="1:345" s="14" customFormat="1">
      <c r="A255" s="12" t="s">
        <v>248</v>
      </c>
      <c r="B255" s="13">
        <f t="shared" si="212"/>
        <v>0</v>
      </c>
      <c r="C255" s="13">
        <f t="shared" si="213"/>
        <v>0</v>
      </c>
      <c r="D255" s="13">
        <f t="shared" si="214"/>
        <v>0</v>
      </c>
      <c r="E255" s="13">
        <f t="shared" si="215"/>
        <v>0</v>
      </c>
      <c r="F255" s="13">
        <f t="shared" si="216"/>
        <v>0</v>
      </c>
      <c r="G255" s="13">
        <f t="shared" si="217"/>
        <v>0</v>
      </c>
      <c r="H255" s="13">
        <f t="shared" si="218"/>
        <v>0</v>
      </c>
      <c r="I255" s="13">
        <f t="shared" si="219"/>
        <v>0</v>
      </c>
      <c r="J255" s="13">
        <f t="shared" si="220"/>
        <v>0</v>
      </c>
      <c r="K255" s="13">
        <f t="shared" si="221"/>
        <v>0</v>
      </c>
      <c r="L255" s="13">
        <f t="shared" si="222"/>
        <v>0</v>
      </c>
      <c r="M255" s="13">
        <f t="shared" si="223"/>
        <v>0</v>
      </c>
      <c r="N255" s="13">
        <f t="shared" si="224"/>
        <v>0</v>
      </c>
      <c r="O255" s="13">
        <f t="shared" si="225"/>
        <v>0</v>
      </c>
      <c r="P255" s="13">
        <f t="shared" si="226"/>
        <v>0</v>
      </c>
      <c r="Q255" s="13">
        <f t="shared" si="227"/>
        <v>0</v>
      </c>
      <c r="R255" s="13">
        <f t="shared" si="228"/>
        <v>0</v>
      </c>
      <c r="S255" s="13">
        <f t="shared" si="229"/>
        <v>0</v>
      </c>
      <c r="T255" s="13">
        <f t="shared" si="230"/>
        <v>0</v>
      </c>
      <c r="U255" s="13">
        <f t="shared" si="231"/>
        <v>0</v>
      </c>
      <c r="V255" s="13">
        <f t="shared" si="232"/>
        <v>0</v>
      </c>
      <c r="W255" s="13">
        <f t="shared" si="233"/>
        <v>0</v>
      </c>
      <c r="X255" s="13">
        <f t="shared" si="234"/>
        <v>0</v>
      </c>
      <c r="Y255" s="13">
        <f t="shared" si="235"/>
        <v>0</v>
      </c>
      <c r="Z255" s="13">
        <f t="shared" si="236"/>
        <v>0</v>
      </c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/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  <c r="HQ255" s="13"/>
      <c r="HR255" s="13"/>
      <c r="HS255" s="13"/>
      <c r="HT255" s="13"/>
      <c r="HU255" s="13"/>
      <c r="HV255" s="13"/>
      <c r="HW255" s="13"/>
      <c r="HX255" s="13"/>
      <c r="HY255" s="13"/>
      <c r="HZ255" s="13"/>
      <c r="IA255" s="13"/>
      <c r="IB255" s="13"/>
      <c r="IC255" s="13"/>
      <c r="ID255" s="13"/>
      <c r="IE255" s="13"/>
      <c r="IF255" s="13"/>
      <c r="IG255" s="13"/>
      <c r="IH255" s="13"/>
      <c r="II255" s="13"/>
      <c r="IJ255" s="13"/>
      <c r="IK255" s="13"/>
      <c r="IL255" s="13"/>
      <c r="IM255" s="13"/>
      <c r="IN255" s="13"/>
      <c r="IO255" s="13"/>
      <c r="IP255" s="13"/>
      <c r="IQ255" s="13"/>
      <c r="IR255" s="13"/>
      <c r="IS255" s="13"/>
      <c r="IT255" s="13"/>
      <c r="IU255" s="13"/>
      <c r="IV255" s="13"/>
      <c r="IW255" s="13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3"/>
      <c r="KG255" s="13"/>
      <c r="KH255" s="13"/>
      <c r="KI255" s="13"/>
      <c r="KJ255" s="13"/>
      <c r="KK255" s="13"/>
      <c r="KL255" s="13"/>
      <c r="KM255" s="13"/>
      <c r="KN255" s="13"/>
      <c r="KO255" s="13"/>
      <c r="KP255" s="13"/>
      <c r="KQ255" s="13"/>
      <c r="KR255" s="13"/>
      <c r="KS255" s="13"/>
      <c r="KT255" s="13"/>
      <c r="KU255" s="13"/>
      <c r="KV255" s="13"/>
      <c r="KW255" s="13"/>
      <c r="KX255" s="13"/>
      <c r="KY255" s="13"/>
      <c r="KZ255" s="13"/>
      <c r="LA255" s="13"/>
      <c r="LB255" s="13"/>
      <c r="LC255" s="13"/>
      <c r="LD255" s="13"/>
      <c r="LE255" s="13"/>
      <c r="LF255" s="13"/>
      <c r="LG255" s="13"/>
      <c r="LH255" s="13"/>
      <c r="LI255" s="13"/>
      <c r="LJ255" s="13"/>
      <c r="LK255" s="13"/>
      <c r="LL255" s="13"/>
      <c r="LM255" s="13"/>
      <c r="LN255" s="13"/>
      <c r="LO255" s="13"/>
      <c r="LP255" s="13"/>
      <c r="LQ255" s="13"/>
      <c r="LR255" s="13"/>
      <c r="LS255" s="13"/>
      <c r="LT255" s="13"/>
      <c r="LU255" s="13"/>
      <c r="LV255" s="13"/>
      <c r="LW255" s="13"/>
      <c r="LX255" s="13"/>
      <c r="LY255" s="13"/>
      <c r="LZ255" s="13"/>
      <c r="MA255" s="13"/>
      <c r="MB255" s="13"/>
      <c r="MC255" s="13"/>
      <c r="MD255" s="13"/>
      <c r="ME255" s="13"/>
      <c r="MF255" s="13"/>
      <c r="MG255" s="13"/>
    </row>
    <row r="256" spans="1:345" s="14" customFormat="1">
      <c r="A256" s="12" t="s">
        <v>249</v>
      </c>
      <c r="B256" s="13">
        <f t="shared" si="212"/>
        <v>0</v>
      </c>
      <c r="C256" s="13">
        <f t="shared" si="213"/>
        <v>0</v>
      </c>
      <c r="D256" s="13">
        <f t="shared" si="214"/>
        <v>0</v>
      </c>
      <c r="E256" s="13">
        <f t="shared" si="215"/>
        <v>0</v>
      </c>
      <c r="F256" s="13">
        <f t="shared" si="216"/>
        <v>0</v>
      </c>
      <c r="G256" s="13">
        <f t="shared" si="217"/>
        <v>0</v>
      </c>
      <c r="H256" s="13">
        <f t="shared" si="218"/>
        <v>0</v>
      </c>
      <c r="I256" s="13">
        <f t="shared" si="219"/>
        <v>0</v>
      </c>
      <c r="J256" s="13">
        <f t="shared" si="220"/>
        <v>0</v>
      </c>
      <c r="K256" s="13">
        <f t="shared" si="221"/>
        <v>0</v>
      </c>
      <c r="L256" s="13">
        <f t="shared" si="222"/>
        <v>0</v>
      </c>
      <c r="M256" s="13">
        <f t="shared" si="223"/>
        <v>0</v>
      </c>
      <c r="N256" s="13">
        <f t="shared" si="224"/>
        <v>0</v>
      </c>
      <c r="O256" s="13">
        <f t="shared" si="225"/>
        <v>0</v>
      </c>
      <c r="P256" s="13">
        <f t="shared" si="226"/>
        <v>0</v>
      </c>
      <c r="Q256" s="13">
        <f t="shared" si="227"/>
        <v>0</v>
      </c>
      <c r="R256" s="13">
        <f t="shared" si="228"/>
        <v>0</v>
      </c>
      <c r="S256" s="13">
        <f t="shared" si="229"/>
        <v>0</v>
      </c>
      <c r="T256" s="13">
        <f t="shared" si="230"/>
        <v>0</v>
      </c>
      <c r="U256" s="13">
        <f t="shared" si="231"/>
        <v>0</v>
      </c>
      <c r="V256" s="13">
        <f t="shared" si="232"/>
        <v>0</v>
      </c>
      <c r="W256" s="13">
        <f t="shared" si="233"/>
        <v>0</v>
      </c>
      <c r="X256" s="13">
        <f t="shared" si="234"/>
        <v>0</v>
      </c>
      <c r="Y256" s="13">
        <f t="shared" si="235"/>
        <v>0</v>
      </c>
      <c r="Z256" s="13">
        <f t="shared" si="236"/>
        <v>0</v>
      </c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/>
      <c r="HY256" s="13"/>
      <c r="HZ256" s="13"/>
      <c r="IA256" s="13"/>
      <c r="IB256" s="13"/>
      <c r="IC256" s="13"/>
      <c r="ID256" s="13"/>
      <c r="IE256" s="13"/>
      <c r="IF256" s="13"/>
      <c r="IG256" s="13"/>
      <c r="IH256" s="13"/>
      <c r="II256" s="13"/>
      <c r="IJ256" s="13"/>
      <c r="IK256" s="13"/>
      <c r="IL256" s="13"/>
      <c r="IM256" s="13"/>
      <c r="IN256" s="13"/>
      <c r="IO256" s="13"/>
      <c r="IP256" s="13"/>
      <c r="IQ256" s="13"/>
      <c r="IR256" s="13"/>
      <c r="IS256" s="13"/>
      <c r="IT256" s="13"/>
      <c r="IU256" s="13"/>
      <c r="IV256" s="13"/>
      <c r="IW256" s="13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3"/>
      <c r="KG256" s="13"/>
      <c r="KH256" s="13"/>
      <c r="KI256" s="13"/>
      <c r="KJ256" s="13"/>
      <c r="KK256" s="13"/>
      <c r="KL256" s="13"/>
      <c r="KM256" s="13"/>
      <c r="KN256" s="13"/>
      <c r="KO256" s="13"/>
      <c r="KP256" s="13"/>
      <c r="KQ256" s="13"/>
      <c r="KR256" s="13"/>
      <c r="KS256" s="13"/>
      <c r="KT256" s="13"/>
      <c r="KU256" s="13"/>
      <c r="KV256" s="13"/>
      <c r="KW256" s="13"/>
      <c r="KX256" s="13"/>
      <c r="KY256" s="13"/>
      <c r="KZ256" s="13"/>
      <c r="LA256" s="13"/>
      <c r="LB256" s="13"/>
      <c r="LC256" s="13"/>
      <c r="LD256" s="13"/>
      <c r="LE256" s="13"/>
      <c r="LF256" s="13"/>
      <c r="LG256" s="13"/>
      <c r="LH256" s="13"/>
      <c r="LI256" s="13"/>
      <c r="LJ256" s="13"/>
      <c r="LK256" s="13"/>
      <c r="LL256" s="13"/>
      <c r="LM256" s="13"/>
      <c r="LN256" s="13"/>
      <c r="LO256" s="13"/>
      <c r="LP256" s="13"/>
      <c r="LQ256" s="13"/>
      <c r="LR256" s="13"/>
      <c r="LS256" s="13"/>
      <c r="LT256" s="13"/>
      <c r="LU256" s="13"/>
      <c r="LV256" s="13"/>
      <c r="LW256" s="13"/>
      <c r="LX256" s="13"/>
      <c r="LY256" s="13"/>
      <c r="LZ256" s="13"/>
      <c r="MA256" s="13"/>
      <c r="MB256" s="13"/>
      <c r="MC256" s="13"/>
      <c r="MD256" s="13"/>
      <c r="ME256" s="13"/>
      <c r="MF256" s="13"/>
      <c r="MG256" s="13"/>
    </row>
    <row r="257" spans="1:345" s="14" customFormat="1">
      <c r="A257" s="15" t="s">
        <v>250</v>
      </c>
      <c r="B257" s="13">
        <f t="shared" si="212"/>
        <v>0</v>
      </c>
      <c r="C257" s="13">
        <f t="shared" si="213"/>
        <v>0</v>
      </c>
      <c r="D257" s="13">
        <f t="shared" si="214"/>
        <v>0</v>
      </c>
      <c r="E257" s="13">
        <f t="shared" si="215"/>
        <v>0</v>
      </c>
      <c r="F257" s="13">
        <f t="shared" si="216"/>
        <v>0</v>
      </c>
      <c r="G257" s="13">
        <f t="shared" si="217"/>
        <v>0</v>
      </c>
      <c r="H257" s="13">
        <f t="shared" si="218"/>
        <v>0</v>
      </c>
      <c r="I257" s="13">
        <f t="shared" si="219"/>
        <v>0</v>
      </c>
      <c r="J257" s="13">
        <f t="shared" si="220"/>
        <v>0</v>
      </c>
      <c r="K257" s="13">
        <f t="shared" si="221"/>
        <v>0</v>
      </c>
      <c r="L257" s="13">
        <f t="shared" si="222"/>
        <v>0</v>
      </c>
      <c r="M257" s="13">
        <f t="shared" si="223"/>
        <v>0</v>
      </c>
      <c r="N257" s="13">
        <f t="shared" si="224"/>
        <v>0</v>
      </c>
      <c r="O257" s="13">
        <f t="shared" si="225"/>
        <v>0</v>
      </c>
      <c r="P257" s="13">
        <f t="shared" si="226"/>
        <v>0</v>
      </c>
      <c r="Q257" s="13">
        <f t="shared" si="227"/>
        <v>0</v>
      </c>
      <c r="R257" s="13">
        <f t="shared" si="228"/>
        <v>0</v>
      </c>
      <c r="S257" s="13">
        <f t="shared" si="229"/>
        <v>0</v>
      </c>
      <c r="T257" s="13">
        <f t="shared" si="230"/>
        <v>0</v>
      </c>
      <c r="U257" s="13">
        <f t="shared" si="231"/>
        <v>0</v>
      </c>
      <c r="V257" s="13">
        <f t="shared" si="232"/>
        <v>0</v>
      </c>
      <c r="W257" s="13">
        <f t="shared" si="233"/>
        <v>0</v>
      </c>
      <c r="X257" s="13">
        <f t="shared" si="234"/>
        <v>0</v>
      </c>
      <c r="Y257" s="13">
        <f t="shared" si="235"/>
        <v>0</v>
      </c>
      <c r="Z257" s="13">
        <f t="shared" si="236"/>
        <v>0</v>
      </c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/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  <c r="HQ257" s="13"/>
      <c r="HR257" s="13"/>
      <c r="HS257" s="13"/>
      <c r="HT257" s="13"/>
      <c r="HU257" s="13"/>
      <c r="HV257" s="13"/>
      <c r="HW257" s="13"/>
      <c r="HX257" s="13"/>
      <c r="HY257" s="13"/>
      <c r="HZ257" s="13"/>
      <c r="IA257" s="13"/>
      <c r="IB257" s="13"/>
      <c r="IC257" s="13"/>
      <c r="ID257" s="13"/>
      <c r="IE257" s="13"/>
      <c r="IF257" s="13"/>
      <c r="IG257" s="13"/>
      <c r="IH257" s="13"/>
      <c r="II257" s="13"/>
      <c r="IJ257" s="13"/>
      <c r="IK257" s="13"/>
      <c r="IL257" s="13"/>
      <c r="IM257" s="13"/>
      <c r="IN257" s="13"/>
      <c r="IO257" s="13"/>
      <c r="IP257" s="13"/>
      <c r="IQ257" s="13"/>
      <c r="IR257" s="13"/>
      <c r="IS257" s="13"/>
      <c r="IT257" s="13"/>
      <c r="IU257" s="13"/>
      <c r="IV257" s="13"/>
      <c r="IW257" s="13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3"/>
      <c r="KG257" s="13"/>
      <c r="KH257" s="13"/>
      <c r="KI257" s="13"/>
      <c r="KJ257" s="13"/>
      <c r="KK257" s="13"/>
      <c r="KL257" s="13"/>
      <c r="KM257" s="13"/>
      <c r="KN257" s="13"/>
      <c r="KO257" s="13"/>
      <c r="KP257" s="13"/>
      <c r="KQ257" s="13"/>
      <c r="KR257" s="13"/>
      <c r="KS257" s="13"/>
      <c r="KT257" s="13"/>
      <c r="KU257" s="13"/>
      <c r="KV257" s="13"/>
      <c r="KW257" s="13"/>
      <c r="KX257" s="13"/>
      <c r="KY257" s="13"/>
      <c r="KZ257" s="13"/>
      <c r="LA257" s="13"/>
      <c r="LB257" s="13"/>
      <c r="LC257" s="13"/>
      <c r="LD257" s="13"/>
      <c r="LE257" s="13"/>
      <c r="LF257" s="13"/>
      <c r="LG257" s="13"/>
      <c r="LH257" s="13"/>
      <c r="LI257" s="13"/>
      <c r="LJ257" s="13"/>
      <c r="LK257" s="13"/>
      <c r="LL257" s="13"/>
      <c r="LM257" s="13"/>
      <c r="LN257" s="13"/>
      <c r="LO257" s="13"/>
      <c r="LP257" s="13"/>
      <c r="LQ257" s="13"/>
      <c r="LR257" s="13"/>
      <c r="LS257" s="13"/>
      <c r="LT257" s="13"/>
      <c r="LU257" s="13"/>
      <c r="LV257" s="13"/>
      <c r="LW257" s="13"/>
      <c r="LX257" s="13"/>
      <c r="LY257" s="13"/>
      <c r="LZ257" s="13"/>
      <c r="MA257" s="13"/>
      <c r="MB257" s="13"/>
      <c r="MC257" s="13"/>
      <c r="MD257" s="13"/>
      <c r="ME257" s="13"/>
      <c r="MF257" s="13"/>
      <c r="MG257" s="13"/>
    </row>
    <row r="258" spans="1:345" s="14" customFormat="1">
      <c r="A258" s="15" t="s">
        <v>251</v>
      </c>
      <c r="B258" s="13">
        <f t="shared" si="212"/>
        <v>0</v>
      </c>
      <c r="C258" s="13">
        <f t="shared" si="213"/>
        <v>0</v>
      </c>
      <c r="D258" s="13">
        <f t="shared" si="214"/>
        <v>0</v>
      </c>
      <c r="E258" s="13">
        <f t="shared" si="215"/>
        <v>0</v>
      </c>
      <c r="F258" s="13">
        <f t="shared" si="216"/>
        <v>0</v>
      </c>
      <c r="G258" s="13">
        <f t="shared" si="217"/>
        <v>0</v>
      </c>
      <c r="H258" s="13">
        <f t="shared" si="218"/>
        <v>0</v>
      </c>
      <c r="I258" s="13">
        <f t="shared" si="219"/>
        <v>0</v>
      </c>
      <c r="J258" s="13">
        <f t="shared" si="220"/>
        <v>0</v>
      </c>
      <c r="K258" s="13">
        <f t="shared" si="221"/>
        <v>0</v>
      </c>
      <c r="L258" s="13">
        <f t="shared" si="222"/>
        <v>0</v>
      </c>
      <c r="M258" s="13">
        <f t="shared" si="223"/>
        <v>0</v>
      </c>
      <c r="N258" s="13">
        <f t="shared" si="224"/>
        <v>0</v>
      </c>
      <c r="O258" s="13">
        <f t="shared" si="225"/>
        <v>0</v>
      </c>
      <c r="P258" s="13">
        <f t="shared" si="226"/>
        <v>0</v>
      </c>
      <c r="Q258" s="13">
        <f t="shared" si="227"/>
        <v>0</v>
      </c>
      <c r="R258" s="13">
        <f t="shared" si="228"/>
        <v>0</v>
      </c>
      <c r="S258" s="13">
        <f t="shared" si="229"/>
        <v>0</v>
      </c>
      <c r="T258" s="13">
        <f t="shared" si="230"/>
        <v>0</v>
      </c>
      <c r="U258" s="13">
        <f t="shared" si="231"/>
        <v>0</v>
      </c>
      <c r="V258" s="13">
        <f t="shared" si="232"/>
        <v>0</v>
      </c>
      <c r="W258" s="13">
        <f t="shared" si="233"/>
        <v>0</v>
      </c>
      <c r="X258" s="13">
        <f t="shared" si="234"/>
        <v>0</v>
      </c>
      <c r="Y258" s="13">
        <f t="shared" si="235"/>
        <v>0</v>
      </c>
      <c r="Z258" s="13">
        <f t="shared" si="236"/>
        <v>0</v>
      </c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/>
      <c r="HY258" s="13"/>
      <c r="HZ258" s="13"/>
      <c r="IA258" s="13"/>
      <c r="IB258" s="13"/>
      <c r="IC258" s="13"/>
      <c r="ID258" s="13"/>
      <c r="IE258" s="13"/>
      <c r="IF258" s="13"/>
      <c r="IG258" s="13"/>
      <c r="IH258" s="13"/>
      <c r="II258" s="13"/>
      <c r="IJ258" s="13"/>
      <c r="IK258" s="13"/>
      <c r="IL258" s="13"/>
      <c r="IM258" s="13"/>
      <c r="IN258" s="13"/>
      <c r="IO258" s="13"/>
      <c r="IP258" s="13"/>
      <c r="IQ258" s="13"/>
      <c r="IR258" s="13"/>
      <c r="IS258" s="13"/>
      <c r="IT258" s="13"/>
      <c r="IU258" s="13"/>
      <c r="IV258" s="13"/>
      <c r="IW258" s="13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3"/>
      <c r="KG258" s="13"/>
      <c r="KH258" s="13"/>
      <c r="KI258" s="13"/>
      <c r="KJ258" s="13"/>
      <c r="KK258" s="13"/>
      <c r="KL258" s="13"/>
      <c r="KM258" s="13"/>
      <c r="KN258" s="13"/>
      <c r="KO258" s="13"/>
      <c r="KP258" s="13"/>
      <c r="KQ258" s="13"/>
      <c r="KR258" s="13"/>
      <c r="KS258" s="13"/>
      <c r="KT258" s="13"/>
      <c r="KU258" s="13"/>
      <c r="KV258" s="13"/>
      <c r="KW258" s="13"/>
      <c r="KX258" s="13"/>
      <c r="KY258" s="13"/>
      <c r="KZ258" s="13"/>
      <c r="LA258" s="13"/>
      <c r="LB258" s="13"/>
      <c r="LC258" s="13"/>
      <c r="LD258" s="13"/>
      <c r="LE258" s="13"/>
      <c r="LF258" s="13"/>
      <c r="LG258" s="13"/>
      <c r="LH258" s="13"/>
      <c r="LI258" s="13"/>
      <c r="LJ258" s="13"/>
      <c r="LK258" s="13"/>
      <c r="LL258" s="13"/>
      <c r="LM258" s="13"/>
      <c r="LN258" s="13"/>
      <c r="LO258" s="13"/>
      <c r="LP258" s="13"/>
      <c r="LQ258" s="13"/>
      <c r="LR258" s="13"/>
      <c r="LS258" s="13"/>
      <c r="LT258" s="13"/>
      <c r="LU258" s="13"/>
      <c r="LV258" s="13"/>
      <c r="LW258" s="13"/>
      <c r="LX258" s="13"/>
      <c r="LY258" s="13"/>
      <c r="LZ258" s="13"/>
      <c r="MA258" s="13"/>
      <c r="MB258" s="13"/>
      <c r="MC258" s="13"/>
      <c r="MD258" s="13"/>
      <c r="ME258" s="13"/>
      <c r="MF258" s="13"/>
      <c r="MG258" s="13"/>
    </row>
    <row r="259" spans="1:345" s="14" customFormat="1">
      <c r="A259" s="15" t="s">
        <v>252</v>
      </c>
      <c r="B259" s="13">
        <f t="shared" si="212"/>
        <v>0</v>
      </c>
      <c r="C259" s="13">
        <f t="shared" si="213"/>
        <v>0</v>
      </c>
      <c r="D259" s="13">
        <f t="shared" si="214"/>
        <v>0</v>
      </c>
      <c r="E259" s="13">
        <f t="shared" si="215"/>
        <v>0</v>
      </c>
      <c r="F259" s="13">
        <f t="shared" si="216"/>
        <v>0</v>
      </c>
      <c r="G259" s="13">
        <f t="shared" si="217"/>
        <v>0</v>
      </c>
      <c r="H259" s="13">
        <f t="shared" si="218"/>
        <v>0</v>
      </c>
      <c r="I259" s="13">
        <f t="shared" si="219"/>
        <v>0</v>
      </c>
      <c r="J259" s="13">
        <f t="shared" si="220"/>
        <v>0</v>
      </c>
      <c r="K259" s="13">
        <f t="shared" si="221"/>
        <v>0</v>
      </c>
      <c r="L259" s="13">
        <f t="shared" si="222"/>
        <v>0</v>
      </c>
      <c r="M259" s="13">
        <f t="shared" si="223"/>
        <v>0</v>
      </c>
      <c r="N259" s="13">
        <f t="shared" si="224"/>
        <v>0</v>
      </c>
      <c r="O259" s="13">
        <f t="shared" si="225"/>
        <v>0</v>
      </c>
      <c r="P259" s="13">
        <f t="shared" si="226"/>
        <v>0</v>
      </c>
      <c r="Q259" s="13">
        <f t="shared" si="227"/>
        <v>0</v>
      </c>
      <c r="R259" s="13">
        <f t="shared" si="228"/>
        <v>0</v>
      </c>
      <c r="S259" s="13">
        <f t="shared" si="229"/>
        <v>0</v>
      </c>
      <c r="T259" s="13">
        <f t="shared" si="230"/>
        <v>0</v>
      </c>
      <c r="U259" s="13">
        <f t="shared" si="231"/>
        <v>0</v>
      </c>
      <c r="V259" s="13">
        <f t="shared" si="232"/>
        <v>0</v>
      </c>
      <c r="W259" s="13">
        <f t="shared" si="233"/>
        <v>0</v>
      </c>
      <c r="X259" s="13">
        <f t="shared" si="234"/>
        <v>0</v>
      </c>
      <c r="Y259" s="13">
        <f t="shared" si="235"/>
        <v>0</v>
      </c>
      <c r="Z259" s="13">
        <f t="shared" si="236"/>
        <v>0</v>
      </c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  <c r="HQ259" s="13"/>
      <c r="HR259" s="13"/>
      <c r="HS259" s="13"/>
      <c r="HT259" s="13"/>
      <c r="HU259" s="13"/>
      <c r="HV259" s="13"/>
      <c r="HW259" s="13"/>
      <c r="HX259" s="13"/>
      <c r="HY259" s="13"/>
      <c r="HZ259" s="13"/>
      <c r="IA259" s="13"/>
      <c r="IB259" s="13"/>
      <c r="IC259" s="13"/>
      <c r="ID259" s="13"/>
      <c r="IE259" s="13"/>
      <c r="IF259" s="13"/>
      <c r="IG259" s="13"/>
      <c r="IH259" s="13"/>
      <c r="II259" s="13"/>
      <c r="IJ259" s="13"/>
      <c r="IK259" s="13"/>
      <c r="IL259" s="13"/>
      <c r="IM259" s="13"/>
      <c r="IN259" s="13"/>
      <c r="IO259" s="13"/>
      <c r="IP259" s="13"/>
      <c r="IQ259" s="13"/>
      <c r="IR259" s="13"/>
      <c r="IS259" s="13"/>
      <c r="IT259" s="13"/>
      <c r="IU259" s="13"/>
      <c r="IV259" s="13"/>
      <c r="IW259" s="13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3"/>
      <c r="KG259" s="13"/>
      <c r="KH259" s="13"/>
      <c r="KI259" s="13"/>
      <c r="KJ259" s="13"/>
      <c r="KK259" s="13"/>
      <c r="KL259" s="13"/>
      <c r="KM259" s="13"/>
      <c r="KN259" s="13"/>
      <c r="KO259" s="13"/>
      <c r="KP259" s="13"/>
      <c r="KQ259" s="13"/>
      <c r="KR259" s="13"/>
      <c r="KS259" s="13"/>
      <c r="KT259" s="13"/>
      <c r="KU259" s="13"/>
      <c r="KV259" s="13"/>
      <c r="KW259" s="13"/>
      <c r="KX259" s="13"/>
      <c r="KY259" s="13"/>
      <c r="KZ259" s="13"/>
      <c r="LA259" s="13"/>
      <c r="LB259" s="13"/>
      <c r="LC259" s="13"/>
      <c r="LD259" s="13"/>
      <c r="LE259" s="13"/>
      <c r="LF259" s="13"/>
      <c r="LG259" s="13"/>
      <c r="LH259" s="13"/>
      <c r="LI259" s="13"/>
      <c r="LJ259" s="13"/>
      <c r="LK259" s="13"/>
      <c r="LL259" s="13"/>
      <c r="LM259" s="13"/>
      <c r="LN259" s="13"/>
      <c r="LO259" s="13"/>
      <c r="LP259" s="13"/>
      <c r="LQ259" s="13"/>
      <c r="LR259" s="13"/>
      <c r="LS259" s="13"/>
      <c r="LT259" s="13"/>
      <c r="LU259" s="13"/>
      <c r="LV259" s="13"/>
      <c r="LW259" s="13"/>
      <c r="LX259" s="13"/>
      <c r="LY259" s="13"/>
      <c r="LZ259" s="13"/>
      <c r="MA259" s="13"/>
      <c r="MB259" s="13"/>
      <c r="MC259" s="13"/>
      <c r="MD259" s="13"/>
      <c r="ME259" s="13"/>
      <c r="MF259" s="13"/>
      <c r="MG259" s="13"/>
    </row>
    <row r="260" spans="1:345" s="14" customFormat="1">
      <c r="A260" s="15" t="s">
        <v>253</v>
      </c>
      <c r="B260" s="13">
        <f t="shared" si="212"/>
        <v>0</v>
      </c>
      <c r="C260" s="13">
        <f t="shared" si="213"/>
        <v>0</v>
      </c>
      <c r="D260" s="13">
        <f t="shared" si="214"/>
        <v>0</v>
      </c>
      <c r="E260" s="13">
        <f t="shared" si="215"/>
        <v>0</v>
      </c>
      <c r="F260" s="13">
        <f t="shared" si="216"/>
        <v>0</v>
      </c>
      <c r="G260" s="13">
        <f t="shared" si="217"/>
        <v>0</v>
      </c>
      <c r="H260" s="13">
        <f t="shared" si="218"/>
        <v>0</v>
      </c>
      <c r="I260" s="13">
        <f t="shared" si="219"/>
        <v>0</v>
      </c>
      <c r="J260" s="13">
        <f t="shared" si="220"/>
        <v>0</v>
      </c>
      <c r="K260" s="13">
        <f t="shared" si="221"/>
        <v>0</v>
      </c>
      <c r="L260" s="13">
        <f t="shared" si="222"/>
        <v>0</v>
      </c>
      <c r="M260" s="13">
        <f t="shared" si="223"/>
        <v>0</v>
      </c>
      <c r="N260" s="13">
        <f t="shared" si="224"/>
        <v>0</v>
      </c>
      <c r="O260" s="13">
        <f t="shared" si="225"/>
        <v>0</v>
      </c>
      <c r="P260" s="13">
        <f t="shared" si="226"/>
        <v>0</v>
      </c>
      <c r="Q260" s="13">
        <f t="shared" si="227"/>
        <v>0</v>
      </c>
      <c r="R260" s="13">
        <f t="shared" si="228"/>
        <v>0</v>
      </c>
      <c r="S260" s="13">
        <f t="shared" si="229"/>
        <v>0</v>
      </c>
      <c r="T260" s="13">
        <f t="shared" si="230"/>
        <v>0</v>
      </c>
      <c r="U260" s="13">
        <f t="shared" si="231"/>
        <v>0</v>
      </c>
      <c r="V260" s="13">
        <f t="shared" si="232"/>
        <v>0</v>
      </c>
      <c r="W260" s="13">
        <f t="shared" si="233"/>
        <v>0</v>
      </c>
      <c r="X260" s="13">
        <f t="shared" si="234"/>
        <v>0</v>
      </c>
      <c r="Y260" s="13">
        <f t="shared" si="235"/>
        <v>0</v>
      </c>
      <c r="Z260" s="13">
        <f t="shared" si="236"/>
        <v>0</v>
      </c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/>
      <c r="HY260" s="13"/>
      <c r="HZ260" s="13"/>
      <c r="IA260" s="13"/>
      <c r="IB260" s="13"/>
      <c r="IC260" s="13"/>
      <c r="ID260" s="13"/>
      <c r="IE260" s="13"/>
      <c r="IF260" s="13"/>
      <c r="IG260" s="13"/>
      <c r="IH260" s="13"/>
      <c r="II260" s="13"/>
      <c r="IJ260" s="13"/>
      <c r="IK260" s="13"/>
      <c r="IL260" s="13"/>
      <c r="IM260" s="13"/>
      <c r="IN260" s="13"/>
      <c r="IO260" s="13"/>
      <c r="IP260" s="13"/>
      <c r="IQ260" s="13"/>
      <c r="IR260" s="13"/>
      <c r="IS260" s="13"/>
      <c r="IT260" s="13"/>
      <c r="IU260" s="13"/>
      <c r="IV260" s="13"/>
      <c r="IW260" s="13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3"/>
      <c r="KG260" s="13"/>
      <c r="KH260" s="13"/>
      <c r="KI260" s="13"/>
      <c r="KJ260" s="13"/>
      <c r="KK260" s="13"/>
      <c r="KL260" s="13"/>
      <c r="KM260" s="13"/>
      <c r="KN260" s="13"/>
      <c r="KO260" s="13"/>
      <c r="KP260" s="13"/>
      <c r="KQ260" s="13"/>
      <c r="KR260" s="13"/>
      <c r="KS260" s="13"/>
      <c r="KT260" s="13"/>
      <c r="KU260" s="13"/>
      <c r="KV260" s="13"/>
      <c r="KW260" s="13"/>
      <c r="KX260" s="13"/>
      <c r="KY260" s="13"/>
      <c r="KZ260" s="13"/>
      <c r="LA260" s="13"/>
      <c r="LB260" s="13"/>
      <c r="LC260" s="13"/>
      <c r="LD260" s="13"/>
      <c r="LE260" s="13"/>
      <c r="LF260" s="13"/>
      <c r="LG260" s="13"/>
      <c r="LH260" s="13"/>
      <c r="LI260" s="13"/>
      <c r="LJ260" s="13"/>
      <c r="LK260" s="13"/>
      <c r="LL260" s="13"/>
      <c r="LM260" s="13"/>
      <c r="LN260" s="13"/>
      <c r="LO260" s="13"/>
      <c r="LP260" s="13"/>
      <c r="LQ260" s="13"/>
      <c r="LR260" s="13"/>
      <c r="LS260" s="13"/>
      <c r="LT260" s="13"/>
      <c r="LU260" s="13"/>
      <c r="LV260" s="13"/>
      <c r="LW260" s="13"/>
      <c r="LX260" s="13"/>
      <c r="LY260" s="13"/>
      <c r="LZ260" s="13"/>
      <c r="MA260" s="13"/>
      <c r="MB260" s="13"/>
      <c r="MC260" s="13"/>
      <c r="MD260" s="13"/>
      <c r="ME260" s="13"/>
      <c r="MF260" s="13"/>
      <c r="MG260" s="13"/>
    </row>
    <row r="261" spans="1:345" s="14" customFormat="1">
      <c r="A261" s="15" t="s">
        <v>254</v>
      </c>
      <c r="B261" s="13">
        <f t="shared" si="212"/>
        <v>0</v>
      </c>
      <c r="C261" s="13">
        <f t="shared" si="213"/>
        <v>0</v>
      </c>
      <c r="D261" s="13">
        <f t="shared" si="214"/>
        <v>0</v>
      </c>
      <c r="E261" s="13">
        <f t="shared" si="215"/>
        <v>0</v>
      </c>
      <c r="F261" s="13">
        <f t="shared" si="216"/>
        <v>0</v>
      </c>
      <c r="G261" s="13">
        <f t="shared" si="217"/>
        <v>0</v>
      </c>
      <c r="H261" s="13">
        <f t="shared" si="218"/>
        <v>0</v>
      </c>
      <c r="I261" s="13">
        <f t="shared" si="219"/>
        <v>0</v>
      </c>
      <c r="J261" s="13">
        <f t="shared" si="220"/>
        <v>0</v>
      </c>
      <c r="K261" s="13">
        <f t="shared" si="221"/>
        <v>0</v>
      </c>
      <c r="L261" s="13">
        <f t="shared" si="222"/>
        <v>0</v>
      </c>
      <c r="M261" s="13">
        <f t="shared" si="223"/>
        <v>0</v>
      </c>
      <c r="N261" s="13">
        <f t="shared" si="224"/>
        <v>0</v>
      </c>
      <c r="O261" s="13">
        <f t="shared" si="225"/>
        <v>0</v>
      </c>
      <c r="P261" s="13">
        <f t="shared" si="226"/>
        <v>0</v>
      </c>
      <c r="Q261" s="13">
        <f t="shared" si="227"/>
        <v>0</v>
      </c>
      <c r="R261" s="13">
        <f t="shared" si="228"/>
        <v>0</v>
      </c>
      <c r="S261" s="13">
        <f t="shared" si="229"/>
        <v>0</v>
      </c>
      <c r="T261" s="13">
        <f t="shared" si="230"/>
        <v>0</v>
      </c>
      <c r="U261" s="13">
        <f t="shared" si="231"/>
        <v>0</v>
      </c>
      <c r="V261" s="13">
        <f t="shared" si="232"/>
        <v>0</v>
      </c>
      <c r="W261" s="13">
        <f t="shared" si="233"/>
        <v>0</v>
      </c>
      <c r="X261" s="13">
        <f t="shared" si="234"/>
        <v>0</v>
      </c>
      <c r="Y261" s="13">
        <f t="shared" si="235"/>
        <v>0</v>
      </c>
      <c r="Z261" s="13">
        <f t="shared" si="236"/>
        <v>0</v>
      </c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13"/>
      <c r="IK261" s="13"/>
      <c r="IL261" s="13"/>
      <c r="IM261" s="13"/>
      <c r="IN261" s="13"/>
      <c r="IO261" s="13"/>
      <c r="IP261" s="13"/>
      <c r="IQ261" s="13"/>
      <c r="IR261" s="13"/>
      <c r="IS261" s="13"/>
      <c r="IT261" s="13"/>
      <c r="IU261" s="13"/>
      <c r="IV261" s="13"/>
      <c r="IW261" s="13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3"/>
      <c r="KG261" s="13"/>
      <c r="KH261" s="13"/>
      <c r="KI261" s="13"/>
      <c r="KJ261" s="13"/>
      <c r="KK261" s="13"/>
      <c r="KL261" s="13"/>
      <c r="KM261" s="13"/>
      <c r="KN261" s="13"/>
      <c r="KO261" s="13"/>
      <c r="KP261" s="13"/>
      <c r="KQ261" s="13"/>
      <c r="KR261" s="13"/>
      <c r="KS261" s="13"/>
      <c r="KT261" s="13"/>
      <c r="KU261" s="13"/>
      <c r="KV261" s="13"/>
      <c r="KW261" s="13"/>
      <c r="KX261" s="13"/>
      <c r="KY261" s="13"/>
      <c r="KZ261" s="13"/>
      <c r="LA261" s="13"/>
      <c r="LB261" s="13"/>
      <c r="LC261" s="13"/>
      <c r="LD261" s="13"/>
      <c r="LE261" s="13"/>
      <c r="LF261" s="13"/>
      <c r="LG261" s="13"/>
      <c r="LH261" s="13"/>
      <c r="LI261" s="13"/>
      <c r="LJ261" s="13"/>
      <c r="LK261" s="13"/>
      <c r="LL261" s="13"/>
      <c r="LM261" s="13"/>
      <c r="LN261" s="13"/>
      <c r="LO261" s="13"/>
      <c r="LP261" s="13"/>
      <c r="LQ261" s="13"/>
      <c r="LR261" s="13"/>
      <c r="LS261" s="13"/>
      <c r="LT261" s="13"/>
      <c r="LU261" s="13"/>
      <c r="LV261" s="13"/>
      <c r="LW261" s="13"/>
      <c r="LX261" s="13"/>
      <c r="LY261" s="13"/>
      <c r="LZ261" s="13"/>
      <c r="MA261" s="13"/>
      <c r="MB261" s="13"/>
      <c r="MC261" s="13"/>
      <c r="MD261" s="13"/>
      <c r="ME261" s="13"/>
      <c r="MF261" s="13"/>
      <c r="MG261" s="13"/>
    </row>
    <row r="262" spans="1:345" s="14" customFormat="1">
      <c r="A262" s="15" t="s">
        <v>255</v>
      </c>
      <c r="B262" s="13">
        <f t="shared" si="212"/>
        <v>0</v>
      </c>
      <c r="C262" s="13">
        <f t="shared" si="213"/>
        <v>0</v>
      </c>
      <c r="D262" s="13">
        <f t="shared" si="214"/>
        <v>0</v>
      </c>
      <c r="E262" s="13">
        <f t="shared" si="215"/>
        <v>0</v>
      </c>
      <c r="F262" s="13">
        <f t="shared" si="216"/>
        <v>0</v>
      </c>
      <c r="G262" s="13">
        <f t="shared" si="217"/>
        <v>0</v>
      </c>
      <c r="H262" s="13">
        <f t="shared" si="218"/>
        <v>0</v>
      </c>
      <c r="I262" s="13">
        <f t="shared" si="219"/>
        <v>0</v>
      </c>
      <c r="J262" s="13">
        <f t="shared" si="220"/>
        <v>0</v>
      </c>
      <c r="K262" s="13">
        <f t="shared" si="221"/>
        <v>0</v>
      </c>
      <c r="L262" s="13">
        <f t="shared" si="222"/>
        <v>0</v>
      </c>
      <c r="M262" s="13">
        <f t="shared" si="223"/>
        <v>0</v>
      </c>
      <c r="N262" s="13">
        <f t="shared" si="224"/>
        <v>0</v>
      </c>
      <c r="O262" s="13">
        <f t="shared" si="225"/>
        <v>0</v>
      </c>
      <c r="P262" s="13">
        <f t="shared" si="226"/>
        <v>0</v>
      </c>
      <c r="Q262" s="13">
        <f t="shared" si="227"/>
        <v>0</v>
      </c>
      <c r="R262" s="13">
        <f t="shared" si="228"/>
        <v>0</v>
      </c>
      <c r="S262" s="13">
        <f t="shared" si="229"/>
        <v>0</v>
      </c>
      <c r="T262" s="13">
        <f t="shared" si="230"/>
        <v>0</v>
      </c>
      <c r="U262" s="13">
        <f t="shared" si="231"/>
        <v>0</v>
      </c>
      <c r="V262" s="13">
        <f t="shared" si="232"/>
        <v>0</v>
      </c>
      <c r="W262" s="13">
        <f t="shared" si="233"/>
        <v>0</v>
      </c>
      <c r="X262" s="13">
        <f t="shared" si="234"/>
        <v>0</v>
      </c>
      <c r="Y262" s="13">
        <f t="shared" si="235"/>
        <v>0</v>
      </c>
      <c r="Z262" s="13">
        <f t="shared" si="236"/>
        <v>0</v>
      </c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/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  <c r="IW262" s="13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3"/>
      <c r="KG262" s="13"/>
      <c r="KH262" s="13"/>
      <c r="KI262" s="13"/>
      <c r="KJ262" s="13"/>
      <c r="KK262" s="13"/>
      <c r="KL262" s="13"/>
      <c r="KM262" s="13"/>
      <c r="KN262" s="13"/>
      <c r="KO262" s="13"/>
      <c r="KP262" s="13"/>
      <c r="KQ262" s="13"/>
      <c r="KR262" s="13"/>
      <c r="KS262" s="13"/>
      <c r="KT262" s="13"/>
      <c r="KU262" s="13"/>
      <c r="KV262" s="13"/>
      <c r="KW262" s="13"/>
      <c r="KX262" s="13"/>
      <c r="KY262" s="13"/>
      <c r="KZ262" s="13"/>
      <c r="LA262" s="13"/>
      <c r="LB262" s="13"/>
      <c r="LC262" s="13"/>
      <c r="LD262" s="13"/>
      <c r="LE262" s="13"/>
      <c r="LF262" s="13"/>
      <c r="LG262" s="13"/>
      <c r="LH262" s="13"/>
      <c r="LI262" s="13"/>
      <c r="LJ262" s="13"/>
      <c r="LK262" s="13"/>
      <c r="LL262" s="13"/>
      <c r="LM262" s="13"/>
      <c r="LN262" s="13"/>
      <c r="LO262" s="13"/>
      <c r="LP262" s="13"/>
      <c r="LQ262" s="13"/>
      <c r="LR262" s="13"/>
      <c r="LS262" s="13"/>
      <c r="LT262" s="13"/>
      <c r="LU262" s="13"/>
      <c r="LV262" s="13"/>
      <c r="LW262" s="13"/>
      <c r="LX262" s="13"/>
      <c r="LY262" s="13"/>
      <c r="LZ262" s="13"/>
      <c r="MA262" s="13"/>
      <c r="MB262" s="13"/>
      <c r="MC262" s="13"/>
      <c r="MD262" s="13"/>
      <c r="ME262" s="13"/>
      <c r="MF262" s="13"/>
      <c r="MG262" s="13"/>
    </row>
    <row r="263" spans="1:345" s="14" customFormat="1">
      <c r="A263" s="15" t="s">
        <v>256</v>
      </c>
      <c r="B263" s="13">
        <f t="shared" si="212"/>
        <v>0</v>
      </c>
      <c r="C263" s="13">
        <f t="shared" si="213"/>
        <v>0</v>
      </c>
      <c r="D263" s="13">
        <f t="shared" si="214"/>
        <v>0</v>
      </c>
      <c r="E263" s="13">
        <f t="shared" si="215"/>
        <v>0</v>
      </c>
      <c r="F263" s="13">
        <f t="shared" si="216"/>
        <v>0</v>
      </c>
      <c r="G263" s="13">
        <f t="shared" si="217"/>
        <v>0</v>
      </c>
      <c r="H263" s="13">
        <f t="shared" si="218"/>
        <v>0</v>
      </c>
      <c r="I263" s="13">
        <f t="shared" si="219"/>
        <v>0</v>
      </c>
      <c r="J263" s="13">
        <f t="shared" si="220"/>
        <v>0</v>
      </c>
      <c r="K263" s="13">
        <f t="shared" si="221"/>
        <v>0</v>
      </c>
      <c r="L263" s="13">
        <f t="shared" si="222"/>
        <v>0</v>
      </c>
      <c r="M263" s="13">
        <f t="shared" si="223"/>
        <v>0</v>
      </c>
      <c r="N263" s="13">
        <f t="shared" si="224"/>
        <v>0</v>
      </c>
      <c r="O263" s="13">
        <f t="shared" si="225"/>
        <v>0</v>
      </c>
      <c r="P263" s="13">
        <f t="shared" si="226"/>
        <v>0</v>
      </c>
      <c r="Q263" s="13">
        <f t="shared" si="227"/>
        <v>0</v>
      </c>
      <c r="R263" s="13">
        <f t="shared" si="228"/>
        <v>0</v>
      </c>
      <c r="S263" s="13">
        <f t="shared" si="229"/>
        <v>0</v>
      </c>
      <c r="T263" s="13">
        <f t="shared" si="230"/>
        <v>0</v>
      </c>
      <c r="U263" s="13">
        <f t="shared" si="231"/>
        <v>0</v>
      </c>
      <c r="V263" s="13">
        <f t="shared" si="232"/>
        <v>0</v>
      </c>
      <c r="W263" s="13">
        <f t="shared" si="233"/>
        <v>0</v>
      </c>
      <c r="X263" s="13">
        <f t="shared" si="234"/>
        <v>0</v>
      </c>
      <c r="Y263" s="13">
        <f t="shared" si="235"/>
        <v>0</v>
      </c>
      <c r="Z263" s="13">
        <f t="shared" si="236"/>
        <v>8.8080000000000005E-4</v>
      </c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13"/>
      <c r="IK263" s="13"/>
      <c r="IL263" s="13"/>
      <c r="IM263" s="13"/>
      <c r="IN263" s="13"/>
      <c r="IO263" s="13"/>
      <c r="IP263" s="13"/>
      <c r="IQ263" s="13"/>
      <c r="IR263" s="13"/>
      <c r="IS263" s="13"/>
      <c r="IT263" s="13"/>
      <c r="IU263" s="13"/>
      <c r="IV263" s="13"/>
      <c r="IW263" s="13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3"/>
      <c r="KG263" s="13"/>
      <c r="KH263" s="13"/>
      <c r="KI263" s="13"/>
      <c r="KJ263" s="13"/>
      <c r="KK263" s="13"/>
      <c r="KL263" s="13"/>
      <c r="KM263" s="13"/>
      <c r="KN263" s="13"/>
      <c r="KO263" s="13"/>
      <c r="KP263" s="13"/>
      <c r="KQ263" s="13"/>
      <c r="KR263" s="13"/>
      <c r="KS263" s="13"/>
      <c r="KT263" s="13"/>
      <c r="KU263" s="13"/>
      <c r="KV263" s="13"/>
      <c r="KW263" s="13"/>
      <c r="KX263" s="13"/>
      <c r="KY263" s="13"/>
      <c r="KZ263" s="13"/>
      <c r="LA263" s="13"/>
      <c r="LB263" s="13"/>
      <c r="LC263" s="13"/>
      <c r="LD263" s="13"/>
      <c r="LE263" s="13"/>
      <c r="LF263" s="13"/>
      <c r="LG263" s="13"/>
      <c r="LH263" s="13"/>
      <c r="LI263" s="13"/>
      <c r="LJ263" s="13"/>
      <c r="LK263" s="13"/>
      <c r="LL263" s="13"/>
      <c r="LM263" s="13"/>
      <c r="LN263" s="13">
        <v>0.88080000000000003</v>
      </c>
      <c r="LO263" s="13"/>
      <c r="LP263" s="13"/>
      <c r="LQ263" s="13"/>
      <c r="LR263" s="13"/>
      <c r="LS263" s="13"/>
      <c r="LT263" s="13"/>
      <c r="LU263" s="13"/>
      <c r="LV263" s="13"/>
      <c r="LW263" s="13"/>
      <c r="LX263" s="13"/>
      <c r="LY263" s="13"/>
      <c r="LZ263" s="13"/>
      <c r="MA263" s="13"/>
      <c r="MB263" s="13"/>
      <c r="MC263" s="13"/>
      <c r="MD263" s="13"/>
      <c r="ME263" s="13"/>
      <c r="MF263" s="13"/>
      <c r="MG263" s="13"/>
    </row>
    <row r="264" spans="1:345" s="14" customFormat="1">
      <c r="A264" s="12" t="s">
        <v>257</v>
      </c>
      <c r="B264" s="13">
        <f t="shared" si="212"/>
        <v>0</v>
      </c>
      <c r="C264" s="13">
        <f t="shared" si="213"/>
        <v>0</v>
      </c>
      <c r="D264" s="13">
        <f t="shared" si="214"/>
        <v>0</v>
      </c>
      <c r="E264" s="13">
        <f t="shared" si="215"/>
        <v>0</v>
      </c>
      <c r="F264" s="13">
        <f t="shared" si="216"/>
        <v>0</v>
      </c>
      <c r="G264" s="13">
        <f t="shared" si="217"/>
        <v>0</v>
      </c>
      <c r="H264" s="13">
        <f t="shared" si="218"/>
        <v>0</v>
      </c>
      <c r="I264" s="13">
        <f t="shared" si="219"/>
        <v>0</v>
      </c>
      <c r="J264" s="13">
        <f t="shared" si="220"/>
        <v>0</v>
      </c>
      <c r="K264" s="13">
        <f t="shared" si="221"/>
        <v>0</v>
      </c>
      <c r="L264" s="13">
        <f t="shared" si="222"/>
        <v>0</v>
      </c>
      <c r="M264" s="13">
        <f t="shared" si="223"/>
        <v>0</v>
      </c>
      <c r="N264" s="13">
        <f t="shared" si="224"/>
        <v>0</v>
      </c>
      <c r="O264" s="13">
        <f t="shared" si="225"/>
        <v>0</v>
      </c>
      <c r="P264" s="13">
        <f t="shared" si="226"/>
        <v>0</v>
      </c>
      <c r="Q264" s="13">
        <f t="shared" si="227"/>
        <v>0</v>
      </c>
      <c r="R264" s="13">
        <f t="shared" si="228"/>
        <v>0</v>
      </c>
      <c r="S264" s="13">
        <f t="shared" si="229"/>
        <v>0</v>
      </c>
      <c r="T264" s="13">
        <f t="shared" si="230"/>
        <v>0</v>
      </c>
      <c r="U264" s="13">
        <f t="shared" si="231"/>
        <v>0</v>
      </c>
      <c r="V264" s="13">
        <f t="shared" si="232"/>
        <v>0</v>
      </c>
      <c r="W264" s="13">
        <f t="shared" si="233"/>
        <v>0</v>
      </c>
      <c r="X264" s="13">
        <f t="shared" si="234"/>
        <v>0</v>
      </c>
      <c r="Y264" s="13">
        <f t="shared" si="235"/>
        <v>0</v>
      </c>
      <c r="Z264" s="13">
        <f t="shared" si="236"/>
        <v>0</v>
      </c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  <c r="HQ264" s="13"/>
      <c r="HR264" s="13"/>
      <c r="HS264" s="13"/>
      <c r="HT264" s="13"/>
      <c r="HU264" s="13"/>
      <c r="HV264" s="13"/>
      <c r="HW264" s="13"/>
      <c r="HX264" s="13"/>
      <c r="HY264" s="13"/>
      <c r="HZ264" s="13"/>
      <c r="IA264" s="13"/>
      <c r="IB264" s="13"/>
      <c r="IC264" s="13"/>
      <c r="ID264" s="13"/>
      <c r="IE264" s="13"/>
      <c r="IF264" s="13"/>
      <c r="IG264" s="13"/>
      <c r="IH264" s="13"/>
      <c r="II264" s="13"/>
      <c r="IJ264" s="13"/>
      <c r="IK264" s="13"/>
      <c r="IL264" s="13"/>
      <c r="IM264" s="13"/>
      <c r="IN264" s="13"/>
      <c r="IO264" s="13"/>
      <c r="IP264" s="13"/>
      <c r="IQ264" s="13"/>
      <c r="IR264" s="13"/>
      <c r="IS264" s="13"/>
      <c r="IT264" s="13"/>
      <c r="IU264" s="13"/>
      <c r="IV264" s="13"/>
      <c r="IW264" s="13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3"/>
      <c r="KG264" s="13"/>
      <c r="KH264" s="13"/>
      <c r="KI264" s="13"/>
      <c r="KJ264" s="13"/>
      <c r="KK264" s="13"/>
      <c r="KL264" s="13"/>
      <c r="KM264" s="13"/>
      <c r="KN264" s="13"/>
      <c r="KO264" s="13"/>
      <c r="KP264" s="13"/>
      <c r="KQ264" s="13"/>
      <c r="KR264" s="13"/>
      <c r="KS264" s="13"/>
      <c r="KT264" s="13"/>
      <c r="KU264" s="13"/>
      <c r="KV264" s="13"/>
      <c r="KW264" s="13"/>
      <c r="KX264" s="13"/>
      <c r="KY264" s="13"/>
      <c r="KZ264" s="13"/>
      <c r="LA264" s="13"/>
      <c r="LB264" s="13"/>
      <c r="LC264" s="13"/>
      <c r="LD264" s="13"/>
      <c r="LE264" s="13"/>
      <c r="LF264" s="13"/>
      <c r="LG264" s="13"/>
      <c r="LH264" s="13"/>
      <c r="LI264" s="13"/>
      <c r="LJ264" s="13"/>
      <c r="LK264" s="13"/>
      <c r="LL264" s="13"/>
      <c r="LM264" s="13"/>
      <c r="LN264" s="13"/>
      <c r="LO264" s="13"/>
      <c r="LP264" s="13"/>
      <c r="LQ264" s="13"/>
      <c r="LR264" s="13"/>
      <c r="LS264" s="13"/>
      <c r="LT264" s="13"/>
      <c r="LU264" s="13"/>
      <c r="LV264" s="13"/>
      <c r="LW264" s="13"/>
      <c r="LX264" s="13"/>
      <c r="LY264" s="13"/>
      <c r="LZ264" s="13"/>
      <c r="MA264" s="13"/>
      <c r="MB264" s="13"/>
      <c r="MC264" s="13"/>
      <c r="MD264" s="13"/>
      <c r="ME264" s="13"/>
      <c r="MF264" s="13"/>
      <c r="MG264" s="13"/>
    </row>
    <row r="265" spans="1:345" s="14" customFormat="1">
      <c r="A265" s="15" t="s">
        <v>258</v>
      </c>
      <c r="B265" s="13">
        <f t="shared" si="212"/>
        <v>0</v>
      </c>
      <c r="C265" s="13">
        <f t="shared" si="213"/>
        <v>0</v>
      </c>
      <c r="D265" s="13">
        <f t="shared" si="214"/>
        <v>0</v>
      </c>
      <c r="E265" s="13">
        <f t="shared" si="215"/>
        <v>0</v>
      </c>
      <c r="F265" s="13">
        <f t="shared" si="216"/>
        <v>0</v>
      </c>
      <c r="G265" s="13">
        <f t="shared" si="217"/>
        <v>0</v>
      </c>
      <c r="H265" s="13">
        <f t="shared" si="218"/>
        <v>0</v>
      </c>
      <c r="I265" s="13">
        <f t="shared" si="219"/>
        <v>0</v>
      </c>
      <c r="J265" s="13">
        <f t="shared" si="220"/>
        <v>0</v>
      </c>
      <c r="K265" s="13">
        <f t="shared" si="221"/>
        <v>0</v>
      </c>
      <c r="L265" s="13">
        <f t="shared" si="222"/>
        <v>0</v>
      </c>
      <c r="M265" s="13">
        <f t="shared" si="223"/>
        <v>0</v>
      </c>
      <c r="N265" s="13">
        <f t="shared" si="224"/>
        <v>0</v>
      </c>
      <c r="O265" s="13">
        <f t="shared" si="225"/>
        <v>0</v>
      </c>
      <c r="P265" s="13">
        <f t="shared" si="226"/>
        <v>0</v>
      </c>
      <c r="Q265" s="13">
        <f t="shared" si="227"/>
        <v>0</v>
      </c>
      <c r="R265" s="13">
        <f t="shared" si="228"/>
        <v>0</v>
      </c>
      <c r="S265" s="13">
        <f t="shared" si="229"/>
        <v>0</v>
      </c>
      <c r="T265" s="13">
        <f t="shared" si="230"/>
        <v>0</v>
      </c>
      <c r="U265" s="13">
        <f t="shared" si="231"/>
        <v>0</v>
      </c>
      <c r="V265" s="13">
        <f t="shared" si="232"/>
        <v>0</v>
      </c>
      <c r="W265" s="13">
        <f t="shared" si="233"/>
        <v>0</v>
      </c>
      <c r="X265" s="13">
        <f t="shared" si="234"/>
        <v>0</v>
      </c>
      <c r="Y265" s="13">
        <f t="shared" si="235"/>
        <v>0</v>
      </c>
      <c r="Z265" s="13">
        <f t="shared" si="236"/>
        <v>0</v>
      </c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  <c r="HQ265" s="13"/>
      <c r="HR265" s="13"/>
      <c r="HS265" s="13"/>
      <c r="HT265" s="13"/>
      <c r="HU265" s="13"/>
      <c r="HV265" s="13"/>
      <c r="HW265" s="13"/>
      <c r="HX265" s="13"/>
      <c r="HY265" s="13"/>
      <c r="HZ265" s="13"/>
      <c r="IA265" s="13"/>
      <c r="IB265" s="13"/>
      <c r="IC265" s="13"/>
      <c r="ID265" s="13"/>
      <c r="IE265" s="13"/>
      <c r="IF265" s="13"/>
      <c r="IG265" s="13"/>
      <c r="IH265" s="13"/>
      <c r="II265" s="13"/>
      <c r="IJ265" s="13"/>
      <c r="IK265" s="13"/>
      <c r="IL265" s="13"/>
      <c r="IM265" s="13"/>
      <c r="IN265" s="13"/>
      <c r="IO265" s="13"/>
      <c r="IP265" s="13"/>
      <c r="IQ265" s="13"/>
      <c r="IR265" s="13"/>
      <c r="IS265" s="13"/>
      <c r="IT265" s="13"/>
      <c r="IU265" s="13"/>
      <c r="IV265" s="13"/>
      <c r="IW265" s="13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3"/>
      <c r="KG265" s="13"/>
      <c r="KH265" s="13"/>
      <c r="KI265" s="13"/>
      <c r="KJ265" s="13"/>
      <c r="KK265" s="13"/>
      <c r="KL265" s="13"/>
      <c r="KM265" s="13"/>
      <c r="KN265" s="13"/>
      <c r="KO265" s="13"/>
      <c r="KP265" s="13"/>
      <c r="KQ265" s="13"/>
      <c r="KR265" s="13"/>
      <c r="KS265" s="13"/>
      <c r="KT265" s="13"/>
      <c r="KU265" s="13"/>
      <c r="KV265" s="13"/>
      <c r="KW265" s="13"/>
      <c r="KX265" s="13"/>
      <c r="KY265" s="13"/>
      <c r="KZ265" s="13"/>
      <c r="LA265" s="13"/>
      <c r="LB265" s="13"/>
      <c r="LC265" s="13"/>
      <c r="LD265" s="13"/>
      <c r="LE265" s="13"/>
      <c r="LF265" s="13"/>
      <c r="LG265" s="13"/>
      <c r="LH265" s="13"/>
      <c r="LI265" s="13"/>
      <c r="LJ265" s="13"/>
      <c r="LK265" s="13"/>
      <c r="LL265" s="13"/>
      <c r="LM265" s="13"/>
      <c r="LN265" s="13"/>
      <c r="LO265" s="13"/>
      <c r="LP265" s="13"/>
      <c r="LQ265" s="13"/>
      <c r="LR265" s="13"/>
      <c r="LS265" s="13"/>
      <c r="LT265" s="13"/>
      <c r="LU265" s="13"/>
      <c r="LV265" s="13"/>
      <c r="LW265" s="13"/>
      <c r="LX265" s="13"/>
      <c r="LY265" s="13"/>
      <c r="LZ265" s="13"/>
      <c r="MA265" s="13"/>
      <c r="MB265" s="13"/>
      <c r="MC265" s="13"/>
      <c r="MD265" s="13"/>
      <c r="ME265" s="13"/>
      <c r="MF265" s="13"/>
      <c r="MG265" s="13"/>
    </row>
    <row r="266" spans="1:345" s="14" customFormat="1">
      <c r="A266" s="15" t="s">
        <v>259</v>
      </c>
      <c r="B266" s="13">
        <f t="shared" si="212"/>
        <v>0</v>
      </c>
      <c r="C266" s="13">
        <f t="shared" si="213"/>
        <v>0</v>
      </c>
      <c r="D266" s="13">
        <f t="shared" si="214"/>
        <v>0</v>
      </c>
      <c r="E266" s="13">
        <f t="shared" si="215"/>
        <v>0</v>
      </c>
      <c r="F266" s="13">
        <f t="shared" si="216"/>
        <v>0</v>
      </c>
      <c r="G266" s="13">
        <f t="shared" si="217"/>
        <v>0</v>
      </c>
      <c r="H266" s="13">
        <f t="shared" si="218"/>
        <v>0</v>
      </c>
      <c r="I266" s="13">
        <f t="shared" si="219"/>
        <v>0</v>
      </c>
      <c r="J266" s="13">
        <f t="shared" si="220"/>
        <v>0</v>
      </c>
      <c r="K266" s="13">
        <f t="shared" si="221"/>
        <v>0</v>
      </c>
      <c r="L266" s="13">
        <f t="shared" si="222"/>
        <v>0</v>
      </c>
      <c r="M266" s="13">
        <f t="shared" si="223"/>
        <v>0</v>
      </c>
      <c r="N266" s="13">
        <f t="shared" si="224"/>
        <v>0</v>
      </c>
      <c r="O266" s="13">
        <f t="shared" si="225"/>
        <v>0</v>
      </c>
      <c r="P266" s="13">
        <f t="shared" si="226"/>
        <v>0</v>
      </c>
      <c r="Q266" s="13">
        <f t="shared" si="227"/>
        <v>0</v>
      </c>
      <c r="R266" s="13">
        <f t="shared" si="228"/>
        <v>0</v>
      </c>
      <c r="S266" s="13">
        <f t="shared" si="229"/>
        <v>0</v>
      </c>
      <c r="T266" s="13">
        <f t="shared" si="230"/>
        <v>0</v>
      </c>
      <c r="U266" s="13">
        <f t="shared" si="231"/>
        <v>0</v>
      </c>
      <c r="V266" s="13">
        <f t="shared" si="232"/>
        <v>0</v>
      </c>
      <c r="W266" s="13">
        <f t="shared" si="233"/>
        <v>0</v>
      </c>
      <c r="X266" s="13">
        <f t="shared" si="234"/>
        <v>0</v>
      </c>
      <c r="Y266" s="13">
        <f t="shared" si="235"/>
        <v>0</v>
      </c>
      <c r="Z266" s="13">
        <f t="shared" si="236"/>
        <v>1.5569187</v>
      </c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/>
      <c r="HY266" s="13"/>
      <c r="HZ266" s="13"/>
      <c r="IA266" s="13"/>
      <c r="IB266" s="13"/>
      <c r="IC266" s="13"/>
      <c r="ID266" s="13"/>
      <c r="IE266" s="13"/>
      <c r="IF266" s="13"/>
      <c r="IG266" s="13"/>
      <c r="IH266" s="13"/>
      <c r="II266" s="13"/>
      <c r="IJ266" s="13"/>
      <c r="IK266" s="13"/>
      <c r="IL266" s="13"/>
      <c r="IM266" s="13"/>
      <c r="IN266" s="13"/>
      <c r="IO266" s="13"/>
      <c r="IP266" s="13"/>
      <c r="IQ266" s="13"/>
      <c r="IR266" s="13"/>
      <c r="IS266" s="13"/>
      <c r="IT266" s="13"/>
      <c r="IU266" s="13"/>
      <c r="IV266" s="13"/>
      <c r="IW266" s="13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3"/>
      <c r="KG266" s="13"/>
      <c r="KH266" s="13"/>
      <c r="KI266" s="13"/>
      <c r="KJ266" s="13"/>
      <c r="KK266" s="13"/>
      <c r="KL266" s="13"/>
      <c r="KM266" s="13"/>
      <c r="KN266" s="13"/>
      <c r="KO266" s="13"/>
      <c r="KP266" s="13"/>
      <c r="KQ266" s="13"/>
      <c r="KR266" s="13"/>
      <c r="KS266" s="13"/>
      <c r="KT266" s="13"/>
      <c r="KU266" s="13"/>
      <c r="KV266" s="13"/>
      <c r="KW266" s="13"/>
      <c r="KX266" s="13"/>
      <c r="KY266" s="13"/>
      <c r="KZ266" s="13"/>
      <c r="LA266" s="13"/>
      <c r="LB266" s="13"/>
      <c r="LC266" s="13"/>
      <c r="LD266" s="13"/>
      <c r="LE266" s="13">
        <v>697.76580000000001</v>
      </c>
      <c r="LF266" s="13">
        <v>69.6417</v>
      </c>
      <c r="LG266" s="13">
        <v>39.473399999999998</v>
      </c>
      <c r="LH266" s="13">
        <v>26.1675</v>
      </c>
      <c r="LI266" s="13">
        <v>4.5342000000000002</v>
      </c>
      <c r="LJ266" s="13">
        <v>61.372799999999998</v>
      </c>
      <c r="LK266" s="13">
        <v>26.573699999999999</v>
      </c>
      <c r="LL266" s="13">
        <v>4.32</v>
      </c>
      <c r="LM266" s="13">
        <v>12.5253</v>
      </c>
      <c r="LN266" s="13">
        <v>610.22429999999997</v>
      </c>
      <c r="LO266" s="13">
        <v>4.32</v>
      </c>
      <c r="LP266" s="13">
        <v>116.7414</v>
      </c>
      <c r="LQ266" s="13">
        <v>84.290999999999997</v>
      </c>
      <c r="LR266" s="13"/>
      <c r="LS266" s="13"/>
      <c r="LT266" s="13"/>
      <c r="LU266" s="13"/>
      <c r="LV266" s="13"/>
      <c r="LW266" s="13"/>
      <c r="LX266" s="13"/>
      <c r="LY266" s="13"/>
      <c r="LZ266" s="13"/>
      <c r="MA266" s="13"/>
      <c r="MB266" s="13"/>
      <c r="MC266" s="13"/>
      <c r="MD266" s="13"/>
      <c r="ME266" s="13"/>
      <c r="MF266" s="13"/>
      <c r="MG266" s="13"/>
    </row>
    <row r="267" spans="1:345" s="14" customFormat="1">
      <c r="A267" s="15" t="s">
        <v>260</v>
      </c>
      <c r="B267" s="13">
        <f t="shared" si="212"/>
        <v>0</v>
      </c>
      <c r="C267" s="13">
        <f t="shared" si="213"/>
        <v>0</v>
      </c>
      <c r="D267" s="13">
        <f t="shared" si="214"/>
        <v>0</v>
      </c>
      <c r="E267" s="13">
        <f t="shared" si="215"/>
        <v>0</v>
      </c>
      <c r="F267" s="13">
        <f t="shared" si="216"/>
        <v>0</v>
      </c>
      <c r="G267" s="13">
        <f t="shared" si="217"/>
        <v>0</v>
      </c>
      <c r="H267" s="13">
        <f t="shared" si="218"/>
        <v>0</v>
      </c>
      <c r="I267" s="13">
        <f t="shared" si="219"/>
        <v>0</v>
      </c>
      <c r="J267" s="13">
        <f t="shared" si="220"/>
        <v>0</v>
      </c>
      <c r="K267" s="13">
        <f t="shared" si="221"/>
        <v>0</v>
      </c>
      <c r="L267" s="13">
        <f t="shared" si="222"/>
        <v>0</v>
      </c>
      <c r="M267" s="13">
        <f t="shared" si="223"/>
        <v>0</v>
      </c>
      <c r="N267" s="13">
        <f t="shared" si="224"/>
        <v>0</v>
      </c>
      <c r="O267" s="13">
        <f t="shared" si="225"/>
        <v>0</v>
      </c>
      <c r="P267" s="13">
        <f t="shared" si="226"/>
        <v>0</v>
      </c>
      <c r="Q267" s="13">
        <f t="shared" si="227"/>
        <v>0</v>
      </c>
      <c r="R267" s="13">
        <f t="shared" si="228"/>
        <v>0</v>
      </c>
      <c r="S267" s="13">
        <f t="shared" si="229"/>
        <v>0</v>
      </c>
      <c r="T267" s="13">
        <f t="shared" si="230"/>
        <v>0</v>
      </c>
      <c r="U267" s="13">
        <f t="shared" si="231"/>
        <v>0</v>
      </c>
      <c r="V267" s="13">
        <f t="shared" si="232"/>
        <v>0</v>
      </c>
      <c r="W267" s="13">
        <f t="shared" si="233"/>
        <v>0</v>
      </c>
      <c r="X267" s="13">
        <f t="shared" si="234"/>
        <v>0</v>
      </c>
      <c r="Y267" s="13">
        <f t="shared" si="235"/>
        <v>0</v>
      </c>
      <c r="Z267" s="13">
        <f t="shared" si="236"/>
        <v>0</v>
      </c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  <c r="HQ267" s="13"/>
      <c r="HR267" s="13"/>
      <c r="HS267" s="13"/>
      <c r="HT267" s="13"/>
      <c r="HU267" s="13"/>
      <c r="HV267" s="13"/>
      <c r="HW267" s="13"/>
      <c r="HX267" s="13"/>
      <c r="HY267" s="13"/>
      <c r="HZ267" s="13"/>
      <c r="IA267" s="13"/>
      <c r="IB267" s="13"/>
      <c r="IC267" s="13"/>
      <c r="ID267" s="13"/>
      <c r="IE267" s="13"/>
      <c r="IF267" s="13"/>
      <c r="IG267" s="13"/>
      <c r="IH267" s="13"/>
      <c r="II267" s="13"/>
      <c r="IJ267" s="13"/>
      <c r="IK267" s="13"/>
      <c r="IL267" s="13"/>
      <c r="IM267" s="13"/>
      <c r="IN267" s="13"/>
      <c r="IO267" s="13"/>
      <c r="IP267" s="13"/>
      <c r="IQ267" s="13"/>
      <c r="IR267" s="13"/>
      <c r="IS267" s="13"/>
      <c r="IT267" s="13"/>
      <c r="IU267" s="13"/>
      <c r="IV267" s="13"/>
      <c r="IW267" s="13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3"/>
      <c r="KG267" s="13"/>
      <c r="KH267" s="13"/>
      <c r="KI267" s="13"/>
      <c r="KJ267" s="13"/>
      <c r="KK267" s="13"/>
      <c r="KL267" s="13"/>
      <c r="KM267" s="13"/>
      <c r="KN267" s="13"/>
      <c r="KO267" s="13"/>
      <c r="KP267" s="13"/>
      <c r="KQ267" s="13"/>
      <c r="KR267" s="13"/>
      <c r="KS267" s="13"/>
      <c r="KT267" s="13"/>
      <c r="KU267" s="13"/>
      <c r="KV267" s="13"/>
      <c r="KW267" s="13"/>
      <c r="KX267" s="13"/>
      <c r="KY267" s="13"/>
      <c r="KZ267" s="13"/>
      <c r="LA267" s="13"/>
      <c r="LB267" s="13"/>
      <c r="LC267" s="13"/>
      <c r="LD267" s="13"/>
      <c r="LE267" s="13"/>
      <c r="LF267" s="13"/>
      <c r="LG267" s="13"/>
      <c r="LH267" s="13"/>
      <c r="LI267" s="13"/>
      <c r="LJ267" s="13"/>
      <c r="LK267" s="13"/>
      <c r="LL267" s="13"/>
      <c r="LM267" s="13"/>
      <c r="LN267" s="13"/>
      <c r="LO267" s="13"/>
      <c r="LP267" s="13"/>
      <c r="LQ267" s="13"/>
      <c r="LR267" s="13"/>
      <c r="LS267" s="13"/>
      <c r="LT267" s="13"/>
      <c r="LU267" s="13"/>
      <c r="LV267" s="13"/>
      <c r="LW267" s="13"/>
      <c r="LX267" s="13"/>
      <c r="LY267" s="13"/>
      <c r="LZ267" s="13"/>
      <c r="MA267" s="13"/>
      <c r="MB267" s="13"/>
      <c r="MC267" s="13"/>
      <c r="MD267" s="13"/>
      <c r="ME267" s="13"/>
      <c r="MF267" s="13"/>
      <c r="MG267" s="13"/>
    </row>
    <row r="268" spans="1:345" s="14" customFormat="1">
      <c r="A268" s="12" t="s">
        <v>261</v>
      </c>
      <c r="B268" s="13">
        <f t="shared" si="212"/>
        <v>0</v>
      </c>
      <c r="C268" s="13">
        <f t="shared" si="213"/>
        <v>0</v>
      </c>
      <c r="D268" s="13">
        <f t="shared" si="214"/>
        <v>0</v>
      </c>
      <c r="E268" s="13">
        <f t="shared" si="215"/>
        <v>0</v>
      </c>
      <c r="F268" s="13">
        <f t="shared" si="216"/>
        <v>0</v>
      </c>
      <c r="G268" s="13">
        <f t="shared" si="217"/>
        <v>0</v>
      </c>
      <c r="H268" s="13">
        <f t="shared" si="218"/>
        <v>0</v>
      </c>
      <c r="I268" s="13">
        <f t="shared" si="219"/>
        <v>0</v>
      </c>
      <c r="J268" s="13">
        <f t="shared" si="220"/>
        <v>0</v>
      </c>
      <c r="K268" s="13">
        <f t="shared" si="221"/>
        <v>0</v>
      </c>
      <c r="L268" s="13">
        <f t="shared" si="222"/>
        <v>0</v>
      </c>
      <c r="M268" s="13">
        <f t="shared" si="223"/>
        <v>0</v>
      </c>
      <c r="N268" s="13">
        <f t="shared" si="224"/>
        <v>0</v>
      </c>
      <c r="O268" s="13">
        <f t="shared" si="225"/>
        <v>0</v>
      </c>
      <c r="P268" s="13">
        <f t="shared" si="226"/>
        <v>0</v>
      </c>
      <c r="Q268" s="13">
        <f t="shared" si="227"/>
        <v>0</v>
      </c>
      <c r="R268" s="13">
        <f t="shared" si="228"/>
        <v>0</v>
      </c>
      <c r="S268" s="13">
        <f t="shared" si="229"/>
        <v>0</v>
      </c>
      <c r="T268" s="13">
        <f t="shared" si="230"/>
        <v>0</v>
      </c>
      <c r="U268" s="13">
        <f t="shared" si="231"/>
        <v>0</v>
      </c>
      <c r="V268" s="13">
        <f t="shared" si="232"/>
        <v>0</v>
      </c>
      <c r="W268" s="13">
        <f t="shared" si="233"/>
        <v>0</v>
      </c>
      <c r="X268" s="13">
        <f t="shared" si="234"/>
        <v>0</v>
      </c>
      <c r="Y268" s="13">
        <f t="shared" si="235"/>
        <v>0</v>
      </c>
      <c r="Z268" s="13">
        <f t="shared" si="236"/>
        <v>7.6290000000000006E-4</v>
      </c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/>
      <c r="II268" s="13"/>
      <c r="IJ268" s="13"/>
      <c r="IK268" s="13"/>
      <c r="IL268" s="13"/>
      <c r="IM268" s="13"/>
      <c r="IN268" s="13"/>
      <c r="IO268" s="13"/>
      <c r="IP268" s="13"/>
      <c r="IQ268" s="13"/>
      <c r="IR268" s="13"/>
      <c r="IS268" s="13"/>
      <c r="IT268" s="13"/>
      <c r="IU268" s="13"/>
      <c r="IV268" s="13"/>
      <c r="IW268" s="13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3"/>
      <c r="KG268" s="13"/>
      <c r="KH268" s="13"/>
      <c r="KI268" s="13"/>
      <c r="KJ268" s="13"/>
      <c r="KK268" s="13"/>
      <c r="KL268" s="13"/>
      <c r="KM268" s="13"/>
      <c r="KN268" s="13"/>
      <c r="KO268" s="13"/>
      <c r="KP268" s="13"/>
      <c r="KQ268" s="13"/>
      <c r="KR268" s="13"/>
      <c r="KS268" s="13"/>
      <c r="KT268" s="13"/>
      <c r="KU268" s="13"/>
      <c r="KV268" s="13"/>
      <c r="KW268" s="13"/>
      <c r="KX268" s="13"/>
      <c r="KY268" s="13"/>
      <c r="KZ268" s="13"/>
      <c r="LA268" s="13"/>
      <c r="LB268" s="13"/>
      <c r="LC268" s="13"/>
      <c r="LD268" s="13"/>
      <c r="LE268" s="13">
        <v>0.76290000000000002</v>
      </c>
      <c r="LF268" s="13"/>
      <c r="LG268" s="13"/>
      <c r="LH268" s="13"/>
      <c r="LI268" s="13"/>
      <c r="LJ268" s="13"/>
      <c r="LK268" s="13"/>
      <c r="LL268" s="13"/>
      <c r="LM268" s="13"/>
      <c r="LN268" s="13"/>
      <c r="LO268" s="13"/>
      <c r="LP268" s="13"/>
      <c r="LQ268" s="13">
        <v>0.74250000000000005</v>
      </c>
      <c r="LR268" s="13"/>
      <c r="LS268" s="13"/>
      <c r="LT268" s="13"/>
      <c r="LU268" s="13"/>
      <c r="LV268" s="13"/>
      <c r="LW268" s="13"/>
      <c r="LX268" s="13"/>
      <c r="LY268" s="13"/>
      <c r="LZ268" s="13"/>
      <c r="MA268" s="13"/>
      <c r="MB268" s="13"/>
      <c r="MC268" s="13"/>
      <c r="MD268" s="13"/>
      <c r="ME268" s="13"/>
      <c r="MF268" s="13"/>
      <c r="MG268" s="13"/>
    </row>
    <row r="269" spans="1:345" s="14" customFormat="1">
      <c r="A269" s="12" t="s">
        <v>262</v>
      </c>
      <c r="B269" s="13">
        <f t="shared" si="212"/>
        <v>0</v>
      </c>
      <c r="C269" s="13">
        <f t="shared" si="213"/>
        <v>0</v>
      </c>
      <c r="D269" s="13">
        <f t="shared" si="214"/>
        <v>0</v>
      </c>
      <c r="E269" s="13">
        <f t="shared" si="215"/>
        <v>0</v>
      </c>
      <c r="F269" s="13">
        <f t="shared" si="216"/>
        <v>0</v>
      </c>
      <c r="G269" s="13">
        <f t="shared" si="217"/>
        <v>0</v>
      </c>
      <c r="H269" s="13">
        <f t="shared" si="218"/>
        <v>0</v>
      </c>
      <c r="I269" s="13">
        <f t="shared" si="219"/>
        <v>0</v>
      </c>
      <c r="J269" s="13">
        <f t="shared" si="220"/>
        <v>0</v>
      </c>
      <c r="K269" s="13">
        <f t="shared" si="221"/>
        <v>0</v>
      </c>
      <c r="L269" s="13">
        <f t="shared" si="222"/>
        <v>0</v>
      </c>
      <c r="M269" s="13">
        <f t="shared" si="223"/>
        <v>0</v>
      </c>
      <c r="N269" s="13">
        <f t="shared" si="224"/>
        <v>0</v>
      </c>
      <c r="O269" s="13">
        <f t="shared" si="225"/>
        <v>0</v>
      </c>
      <c r="P269" s="13">
        <f t="shared" si="226"/>
        <v>0</v>
      </c>
      <c r="Q269" s="13">
        <f t="shared" si="227"/>
        <v>0</v>
      </c>
      <c r="R269" s="13">
        <f t="shared" si="228"/>
        <v>0</v>
      </c>
      <c r="S269" s="13">
        <f t="shared" si="229"/>
        <v>0</v>
      </c>
      <c r="T269" s="13">
        <f t="shared" si="230"/>
        <v>0</v>
      </c>
      <c r="U269" s="13">
        <f t="shared" si="231"/>
        <v>0</v>
      </c>
      <c r="V269" s="13">
        <f t="shared" si="232"/>
        <v>0</v>
      </c>
      <c r="W269" s="13">
        <f t="shared" si="233"/>
        <v>0</v>
      </c>
      <c r="X269" s="13">
        <f t="shared" si="234"/>
        <v>0</v>
      </c>
      <c r="Y269" s="13">
        <f t="shared" si="235"/>
        <v>0</v>
      </c>
      <c r="Z269" s="13">
        <f t="shared" si="236"/>
        <v>0</v>
      </c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/>
      <c r="II269" s="13"/>
      <c r="IJ269" s="13"/>
      <c r="IK269" s="13"/>
      <c r="IL269" s="13"/>
      <c r="IM269" s="13"/>
      <c r="IN269" s="13"/>
      <c r="IO269" s="13"/>
      <c r="IP269" s="13"/>
      <c r="IQ269" s="13"/>
      <c r="IR269" s="13"/>
      <c r="IS269" s="13"/>
      <c r="IT269" s="13"/>
      <c r="IU269" s="13"/>
      <c r="IV269" s="13"/>
      <c r="IW269" s="13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3"/>
      <c r="KG269" s="13"/>
      <c r="KH269" s="13"/>
      <c r="KI269" s="13"/>
      <c r="KJ269" s="13"/>
      <c r="KK269" s="13"/>
      <c r="KL269" s="13"/>
      <c r="KM269" s="13"/>
      <c r="KN269" s="13"/>
      <c r="KO269" s="13"/>
      <c r="KP269" s="13"/>
      <c r="KQ269" s="13"/>
      <c r="KR269" s="13"/>
      <c r="KS269" s="13"/>
      <c r="KT269" s="13"/>
      <c r="KU269" s="13"/>
      <c r="KV269" s="13"/>
      <c r="KW269" s="13"/>
      <c r="KX269" s="13"/>
      <c r="KY269" s="13"/>
      <c r="KZ269" s="13"/>
      <c r="LA269" s="13"/>
      <c r="LB269" s="13"/>
      <c r="LC269" s="13"/>
      <c r="LD269" s="13"/>
      <c r="LE269" s="13"/>
      <c r="LF269" s="13"/>
      <c r="LG269" s="13"/>
      <c r="LH269" s="13"/>
      <c r="LI269" s="13"/>
      <c r="LJ269" s="13"/>
      <c r="LK269" s="13"/>
      <c r="LL269" s="13"/>
      <c r="LM269" s="13"/>
      <c r="LN269" s="13"/>
      <c r="LO269" s="13"/>
      <c r="LP269" s="13"/>
      <c r="LQ269" s="13"/>
      <c r="LR269" s="13"/>
      <c r="LS269" s="13"/>
      <c r="LT269" s="13"/>
      <c r="LU269" s="13"/>
      <c r="LV269" s="13"/>
      <c r="LW269" s="13"/>
      <c r="LX269" s="13"/>
      <c r="LY269" s="13"/>
      <c r="LZ269" s="13"/>
      <c r="MA269" s="13"/>
      <c r="MB269" s="13"/>
      <c r="MC269" s="13"/>
      <c r="MD269" s="13"/>
      <c r="ME269" s="13"/>
      <c r="MF269" s="13"/>
      <c r="MG269" s="13"/>
    </row>
    <row r="270" spans="1:345" s="14" customFormat="1">
      <c r="A270" s="15" t="s">
        <v>263</v>
      </c>
      <c r="B270" s="13">
        <f t="shared" si="212"/>
        <v>0</v>
      </c>
      <c r="C270" s="13">
        <f t="shared" si="213"/>
        <v>0</v>
      </c>
      <c r="D270" s="13">
        <f t="shared" si="214"/>
        <v>0</v>
      </c>
      <c r="E270" s="13">
        <f t="shared" si="215"/>
        <v>0</v>
      </c>
      <c r="F270" s="13">
        <f t="shared" si="216"/>
        <v>0</v>
      </c>
      <c r="G270" s="13">
        <f t="shared" si="217"/>
        <v>0</v>
      </c>
      <c r="H270" s="13">
        <f t="shared" si="218"/>
        <v>0</v>
      </c>
      <c r="I270" s="13">
        <f t="shared" si="219"/>
        <v>0</v>
      </c>
      <c r="J270" s="13">
        <f t="shared" si="220"/>
        <v>0</v>
      </c>
      <c r="K270" s="13">
        <f t="shared" si="221"/>
        <v>0</v>
      </c>
      <c r="L270" s="13">
        <f t="shared" si="222"/>
        <v>0</v>
      </c>
      <c r="M270" s="13">
        <f t="shared" si="223"/>
        <v>0</v>
      </c>
      <c r="N270" s="13">
        <f t="shared" si="224"/>
        <v>0</v>
      </c>
      <c r="O270" s="13">
        <f t="shared" si="225"/>
        <v>0</v>
      </c>
      <c r="P270" s="13">
        <f t="shared" si="226"/>
        <v>0</v>
      </c>
      <c r="Q270" s="13">
        <f t="shared" si="227"/>
        <v>0</v>
      </c>
      <c r="R270" s="13">
        <f t="shared" si="228"/>
        <v>0</v>
      </c>
      <c r="S270" s="13">
        <f t="shared" si="229"/>
        <v>0</v>
      </c>
      <c r="T270" s="13">
        <f t="shared" si="230"/>
        <v>0</v>
      </c>
      <c r="U270" s="13">
        <f t="shared" si="231"/>
        <v>0</v>
      </c>
      <c r="V270" s="13">
        <f t="shared" si="232"/>
        <v>0</v>
      </c>
      <c r="W270" s="13">
        <f t="shared" si="233"/>
        <v>0</v>
      </c>
      <c r="X270" s="13">
        <f t="shared" si="234"/>
        <v>0</v>
      </c>
      <c r="Y270" s="13">
        <f t="shared" si="235"/>
        <v>0</v>
      </c>
      <c r="Z270" s="13">
        <f t="shared" si="236"/>
        <v>0</v>
      </c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/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  <c r="IW270" s="13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3"/>
      <c r="KG270" s="13"/>
      <c r="KH270" s="13"/>
      <c r="KI270" s="13"/>
      <c r="KJ270" s="13"/>
      <c r="KK270" s="13"/>
      <c r="KL270" s="13"/>
      <c r="KM270" s="13"/>
      <c r="KN270" s="13"/>
      <c r="KO270" s="13"/>
      <c r="KP270" s="13"/>
      <c r="KQ270" s="13"/>
      <c r="KR270" s="13"/>
      <c r="KS270" s="13"/>
      <c r="KT270" s="13"/>
      <c r="KU270" s="13"/>
      <c r="KV270" s="13"/>
      <c r="KW270" s="13"/>
      <c r="KX270" s="13"/>
      <c r="KY270" s="13"/>
      <c r="KZ270" s="13"/>
      <c r="LA270" s="13"/>
      <c r="LB270" s="13"/>
      <c r="LC270" s="13"/>
      <c r="LD270" s="13"/>
      <c r="LE270" s="13"/>
      <c r="LF270" s="13"/>
      <c r="LG270" s="13"/>
      <c r="LH270" s="13"/>
      <c r="LI270" s="13"/>
      <c r="LJ270" s="13"/>
      <c r="LK270" s="13"/>
      <c r="LL270" s="13"/>
      <c r="LM270" s="13"/>
      <c r="LN270" s="13"/>
      <c r="LO270" s="13"/>
      <c r="LP270" s="13"/>
      <c r="LQ270" s="13"/>
      <c r="LR270" s="13"/>
      <c r="LS270" s="13"/>
      <c r="LT270" s="13"/>
      <c r="LU270" s="13"/>
      <c r="LV270" s="13"/>
      <c r="LW270" s="13"/>
      <c r="LX270" s="13"/>
      <c r="LY270" s="13"/>
      <c r="LZ270" s="13"/>
      <c r="MA270" s="13"/>
      <c r="MB270" s="13"/>
      <c r="MC270" s="13"/>
      <c r="MD270" s="13"/>
      <c r="ME270" s="13"/>
      <c r="MF270" s="13"/>
      <c r="MG270" s="13"/>
    </row>
    <row r="271" spans="1:345" s="14" customFormat="1">
      <c r="A271" s="15" t="s">
        <v>264</v>
      </c>
      <c r="B271" s="13">
        <f t="shared" si="212"/>
        <v>0</v>
      </c>
      <c r="C271" s="13">
        <f t="shared" si="213"/>
        <v>0</v>
      </c>
      <c r="D271" s="13">
        <f t="shared" si="214"/>
        <v>0</v>
      </c>
      <c r="E271" s="13">
        <f t="shared" si="215"/>
        <v>0</v>
      </c>
      <c r="F271" s="13">
        <f t="shared" si="216"/>
        <v>0</v>
      </c>
      <c r="G271" s="13">
        <f t="shared" si="217"/>
        <v>0</v>
      </c>
      <c r="H271" s="13">
        <f t="shared" si="218"/>
        <v>0</v>
      </c>
      <c r="I271" s="13">
        <f t="shared" si="219"/>
        <v>0</v>
      </c>
      <c r="J271" s="13">
        <f t="shared" si="220"/>
        <v>0</v>
      </c>
      <c r="K271" s="13">
        <f t="shared" si="221"/>
        <v>0</v>
      </c>
      <c r="L271" s="13">
        <f t="shared" si="222"/>
        <v>0</v>
      </c>
      <c r="M271" s="13">
        <f t="shared" si="223"/>
        <v>0</v>
      </c>
      <c r="N271" s="13">
        <f t="shared" si="224"/>
        <v>0</v>
      </c>
      <c r="O271" s="13">
        <f t="shared" si="225"/>
        <v>0</v>
      </c>
      <c r="P271" s="13">
        <f t="shared" si="226"/>
        <v>0</v>
      </c>
      <c r="Q271" s="13">
        <f t="shared" si="227"/>
        <v>0</v>
      </c>
      <c r="R271" s="13">
        <f t="shared" si="228"/>
        <v>0</v>
      </c>
      <c r="S271" s="13">
        <f t="shared" si="229"/>
        <v>0</v>
      </c>
      <c r="T271" s="13">
        <f t="shared" si="230"/>
        <v>0</v>
      </c>
      <c r="U271" s="13">
        <f t="shared" si="231"/>
        <v>0</v>
      </c>
      <c r="V271" s="13">
        <f t="shared" si="232"/>
        <v>0</v>
      </c>
      <c r="W271" s="13">
        <f t="shared" si="233"/>
        <v>0</v>
      </c>
      <c r="X271" s="13">
        <f t="shared" si="234"/>
        <v>0</v>
      </c>
      <c r="Y271" s="13">
        <f t="shared" si="235"/>
        <v>0</v>
      </c>
      <c r="Z271" s="13">
        <f t="shared" si="236"/>
        <v>0</v>
      </c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  <c r="HQ271" s="13"/>
      <c r="HR271" s="13"/>
      <c r="HS271" s="13"/>
      <c r="HT271" s="13"/>
      <c r="HU271" s="13"/>
      <c r="HV271" s="13"/>
      <c r="HW271" s="13"/>
      <c r="HX271" s="13"/>
      <c r="HY271" s="13"/>
      <c r="HZ271" s="13"/>
      <c r="IA271" s="13"/>
      <c r="IB271" s="13"/>
      <c r="IC271" s="13"/>
      <c r="ID271" s="13"/>
      <c r="IE271" s="13"/>
      <c r="IF271" s="13"/>
      <c r="IG271" s="13"/>
      <c r="IH271" s="13"/>
      <c r="II271" s="13"/>
      <c r="IJ271" s="13"/>
      <c r="IK271" s="13"/>
      <c r="IL271" s="13"/>
      <c r="IM271" s="13"/>
      <c r="IN271" s="13"/>
      <c r="IO271" s="13"/>
      <c r="IP271" s="13"/>
      <c r="IQ271" s="13"/>
      <c r="IR271" s="13"/>
      <c r="IS271" s="13"/>
      <c r="IT271" s="13"/>
      <c r="IU271" s="13"/>
      <c r="IV271" s="13"/>
      <c r="IW271" s="13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3"/>
      <c r="KG271" s="13"/>
      <c r="KH271" s="13"/>
      <c r="KI271" s="13"/>
      <c r="KJ271" s="13"/>
      <c r="KK271" s="13"/>
      <c r="KL271" s="13"/>
      <c r="KM271" s="13"/>
      <c r="KN271" s="13"/>
      <c r="KO271" s="13"/>
      <c r="KP271" s="13"/>
      <c r="KQ271" s="13"/>
      <c r="KR271" s="13"/>
      <c r="KS271" s="13"/>
      <c r="KT271" s="13"/>
      <c r="KU271" s="13"/>
      <c r="KV271" s="13"/>
      <c r="KW271" s="13"/>
      <c r="KX271" s="13"/>
      <c r="KY271" s="13"/>
      <c r="KZ271" s="13"/>
      <c r="LA271" s="13"/>
      <c r="LB271" s="13"/>
      <c r="LC271" s="13"/>
      <c r="LD271" s="13"/>
      <c r="LE271" s="13"/>
      <c r="LF271" s="13"/>
      <c r="LG271" s="13"/>
      <c r="LH271" s="13"/>
      <c r="LI271" s="13"/>
      <c r="LJ271" s="13"/>
      <c r="LK271" s="13"/>
      <c r="LL271" s="13"/>
      <c r="LM271" s="13"/>
      <c r="LN271" s="13"/>
      <c r="LO271" s="13"/>
      <c r="LP271" s="13"/>
      <c r="LQ271" s="13"/>
      <c r="LR271" s="13"/>
      <c r="LS271" s="13"/>
      <c r="LT271" s="13"/>
      <c r="LU271" s="13"/>
      <c r="LV271" s="13"/>
      <c r="LW271" s="13"/>
      <c r="LX271" s="13"/>
      <c r="LY271" s="13"/>
      <c r="LZ271" s="13"/>
      <c r="MA271" s="13"/>
      <c r="MB271" s="13"/>
      <c r="MC271" s="13"/>
      <c r="MD271" s="13"/>
      <c r="ME271" s="13"/>
      <c r="MF271" s="13"/>
      <c r="MG271" s="13"/>
    </row>
    <row r="272" spans="1:345" s="14" customFormat="1">
      <c r="A272" s="12" t="s">
        <v>265</v>
      </c>
      <c r="B272" s="13">
        <f t="shared" si="212"/>
        <v>0</v>
      </c>
      <c r="C272" s="13">
        <f t="shared" si="213"/>
        <v>0</v>
      </c>
      <c r="D272" s="13">
        <f t="shared" si="214"/>
        <v>0</v>
      </c>
      <c r="E272" s="13">
        <f t="shared" si="215"/>
        <v>0</v>
      </c>
      <c r="F272" s="13">
        <f t="shared" si="216"/>
        <v>0</v>
      </c>
      <c r="G272" s="13">
        <f t="shared" si="217"/>
        <v>0</v>
      </c>
      <c r="H272" s="13">
        <f t="shared" si="218"/>
        <v>0</v>
      </c>
      <c r="I272" s="13">
        <f t="shared" si="219"/>
        <v>0</v>
      </c>
      <c r="J272" s="13">
        <f t="shared" si="220"/>
        <v>0</v>
      </c>
      <c r="K272" s="13">
        <f t="shared" si="221"/>
        <v>0</v>
      </c>
      <c r="L272" s="13">
        <f t="shared" si="222"/>
        <v>0</v>
      </c>
      <c r="M272" s="13">
        <f t="shared" si="223"/>
        <v>0</v>
      </c>
      <c r="N272" s="13">
        <f t="shared" si="224"/>
        <v>0</v>
      </c>
      <c r="O272" s="13">
        <f t="shared" si="225"/>
        <v>0</v>
      </c>
      <c r="P272" s="13">
        <f t="shared" si="226"/>
        <v>0</v>
      </c>
      <c r="Q272" s="13">
        <f t="shared" si="227"/>
        <v>0</v>
      </c>
      <c r="R272" s="13">
        <f t="shared" si="228"/>
        <v>0</v>
      </c>
      <c r="S272" s="13">
        <f t="shared" si="229"/>
        <v>0</v>
      </c>
      <c r="T272" s="13">
        <f t="shared" si="230"/>
        <v>0</v>
      </c>
      <c r="U272" s="13">
        <f t="shared" si="231"/>
        <v>0</v>
      </c>
      <c r="V272" s="13">
        <f t="shared" si="232"/>
        <v>0</v>
      </c>
      <c r="W272" s="13">
        <f t="shared" si="233"/>
        <v>0</v>
      </c>
      <c r="X272" s="13">
        <f t="shared" si="234"/>
        <v>0</v>
      </c>
      <c r="Y272" s="13">
        <f t="shared" si="235"/>
        <v>0</v>
      </c>
      <c r="Z272" s="13">
        <f t="shared" si="236"/>
        <v>0</v>
      </c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3"/>
      <c r="HY272" s="13"/>
      <c r="HZ272" s="13"/>
      <c r="IA272" s="13"/>
      <c r="IB272" s="13"/>
      <c r="IC272" s="13"/>
      <c r="ID272" s="13"/>
      <c r="IE272" s="13"/>
      <c r="IF272" s="13"/>
      <c r="IG272" s="13"/>
      <c r="IH272" s="13"/>
      <c r="II272" s="13"/>
      <c r="IJ272" s="13"/>
      <c r="IK272" s="13"/>
      <c r="IL272" s="13"/>
      <c r="IM272" s="13"/>
      <c r="IN272" s="13"/>
      <c r="IO272" s="13"/>
      <c r="IP272" s="13"/>
      <c r="IQ272" s="13"/>
      <c r="IR272" s="13"/>
      <c r="IS272" s="13"/>
      <c r="IT272" s="13"/>
      <c r="IU272" s="13"/>
      <c r="IV272" s="13"/>
      <c r="IW272" s="13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3"/>
      <c r="KG272" s="13"/>
      <c r="KH272" s="13"/>
      <c r="KI272" s="13"/>
      <c r="KJ272" s="13"/>
      <c r="KK272" s="13"/>
      <c r="KL272" s="13"/>
      <c r="KM272" s="13"/>
      <c r="KN272" s="13"/>
      <c r="KO272" s="13"/>
      <c r="KP272" s="13"/>
      <c r="KQ272" s="13"/>
      <c r="KR272" s="13"/>
      <c r="KS272" s="13"/>
      <c r="KT272" s="13"/>
      <c r="KU272" s="13"/>
      <c r="KV272" s="13"/>
      <c r="KW272" s="13"/>
      <c r="KX272" s="13"/>
      <c r="KY272" s="13"/>
      <c r="KZ272" s="13"/>
      <c r="LA272" s="13"/>
      <c r="LB272" s="13"/>
      <c r="LC272" s="13"/>
      <c r="LD272" s="13"/>
      <c r="LE272" s="13"/>
      <c r="LF272" s="13"/>
      <c r="LG272" s="13"/>
      <c r="LH272" s="13"/>
      <c r="LI272" s="13"/>
      <c r="LJ272" s="13"/>
      <c r="LK272" s="13"/>
      <c r="LL272" s="13"/>
      <c r="LM272" s="13"/>
      <c r="LN272" s="13"/>
      <c r="LO272" s="13"/>
      <c r="LP272" s="13"/>
      <c r="LQ272" s="13"/>
      <c r="LR272" s="13"/>
      <c r="LS272" s="13"/>
      <c r="LT272" s="13"/>
      <c r="LU272" s="13"/>
      <c r="LV272" s="13"/>
      <c r="LW272" s="13"/>
      <c r="LX272" s="13"/>
      <c r="LY272" s="13"/>
      <c r="LZ272" s="13"/>
      <c r="MA272" s="13"/>
      <c r="MB272" s="13"/>
      <c r="MC272" s="13"/>
      <c r="MD272" s="13"/>
      <c r="ME272" s="13"/>
      <c r="MF272" s="13"/>
      <c r="MG272" s="13"/>
    </row>
    <row r="273" spans="1:345" s="14" customFormat="1">
      <c r="A273" s="15" t="s">
        <v>266</v>
      </c>
      <c r="B273" s="13">
        <f t="shared" si="212"/>
        <v>0</v>
      </c>
      <c r="C273" s="13">
        <f t="shared" si="213"/>
        <v>0</v>
      </c>
      <c r="D273" s="13">
        <f t="shared" si="214"/>
        <v>0</v>
      </c>
      <c r="E273" s="13">
        <f t="shared" si="215"/>
        <v>0</v>
      </c>
      <c r="F273" s="13">
        <f t="shared" si="216"/>
        <v>0</v>
      </c>
      <c r="G273" s="13">
        <f t="shared" si="217"/>
        <v>0</v>
      </c>
      <c r="H273" s="13">
        <f t="shared" si="218"/>
        <v>0</v>
      </c>
      <c r="I273" s="13">
        <f t="shared" si="219"/>
        <v>0</v>
      </c>
      <c r="J273" s="13">
        <f t="shared" si="220"/>
        <v>0</v>
      </c>
      <c r="K273" s="13">
        <f t="shared" si="221"/>
        <v>0</v>
      </c>
      <c r="L273" s="13">
        <f t="shared" si="222"/>
        <v>0</v>
      </c>
      <c r="M273" s="13">
        <f t="shared" si="223"/>
        <v>0</v>
      </c>
      <c r="N273" s="13">
        <f t="shared" si="224"/>
        <v>0</v>
      </c>
      <c r="O273" s="13">
        <f t="shared" si="225"/>
        <v>0</v>
      </c>
      <c r="P273" s="13">
        <f t="shared" si="226"/>
        <v>0</v>
      </c>
      <c r="Q273" s="13">
        <f t="shared" si="227"/>
        <v>0</v>
      </c>
      <c r="R273" s="13">
        <f t="shared" si="228"/>
        <v>0</v>
      </c>
      <c r="S273" s="13">
        <f t="shared" si="229"/>
        <v>0</v>
      </c>
      <c r="T273" s="13">
        <f t="shared" si="230"/>
        <v>0</v>
      </c>
      <c r="U273" s="13">
        <f t="shared" si="231"/>
        <v>0</v>
      </c>
      <c r="V273" s="13">
        <f t="shared" si="232"/>
        <v>0</v>
      </c>
      <c r="W273" s="13">
        <f t="shared" si="233"/>
        <v>0</v>
      </c>
      <c r="X273" s="13">
        <f t="shared" si="234"/>
        <v>0</v>
      </c>
      <c r="Y273" s="13">
        <f t="shared" si="235"/>
        <v>0</v>
      </c>
      <c r="Z273" s="13">
        <f t="shared" si="236"/>
        <v>0</v>
      </c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  <c r="HQ273" s="13"/>
      <c r="HR273" s="13"/>
      <c r="HS273" s="13"/>
      <c r="HT273" s="13"/>
      <c r="HU273" s="13"/>
      <c r="HV273" s="13"/>
      <c r="HW273" s="13"/>
      <c r="HX273" s="13"/>
      <c r="HY273" s="13"/>
      <c r="HZ273" s="13"/>
      <c r="IA273" s="13"/>
      <c r="IB273" s="13"/>
      <c r="IC273" s="13"/>
      <c r="ID273" s="13"/>
      <c r="IE273" s="13"/>
      <c r="IF273" s="13"/>
      <c r="IG273" s="13"/>
      <c r="IH273" s="13"/>
      <c r="II273" s="13"/>
      <c r="IJ273" s="13"/>
      <c r="IK273" s="13"/>
      <c r="IL273" s="13"/>
      <c r="IM273" s="13"/>
      <c r="IN273" s="13"/>
      <c r="IO273" s="13"/>
      <c r="IP273" s="13"/>
      <c r="IQ273" s="13"/>
      <c r="IR273" s="13"/>
      <c r="IS273" s="13"/>
      <c r="IT273" s="13"/>
      <c r="IU273" s="13"/>
      <c r="IV273" s="13"/>
      <c r="IW273" s="13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3"/>
      <c r="KG273" s="13"/>
      <c r="KH273" s="13"/>
      <c r="KI273" s="13"/>
      <c r="KJ273" s="13"/>
      <c r="KK273" s="13"/>
      <c r="KL273" s="13"/>
      <c r="KM273" s="13"/>
      <c r="KN273" s="13"/>
      <c r="KO273" s="13"/>
      <c r="KP273" s="13"/>
      <c r="KQ273" s="13"/>
      <c r="KR273" s="13"/>
      <c r="KS273" s="13"/>
      <c r="KT273" s="13"/>
      <c r="KU273" s="13"/>
      <c r="KV273" s="13"/>
      <c r="KW273" s="13"/>
      <c r="KX273" s="13"/>
      <c r="KY273" s="13"/>
      <c r="KZ273" s="13"/>
      <c r="LA273" s="13"/>
      <c r="LB273" s="13"/>
      <c r="LC273" s="13"/>
      <c r="LD273" s="13"/>
      <c r="LE273" s="13"/>
      <c r="LF273" s="13"/>
      <c r="LG273" s="13"/>
      <c r="LH273" s="13"/>
      <c r="LI273" s="13"/>
      <c r="LJ273" s="13"/>
      <c r="LK273" s="13"/>
      <c r="LL273" s="13"/>
      <c r="LM273" s="13"/>
      <c r="LN273" s="13"/>
      <c r="LO273" s="13"/>
      <c r="LP273" s="13"/>
      <c r="LQ273" s="13"/>
      <c r="LR273" s="13"/>
      <c r="LS273" s="13"/>
      <c r="LT273" s="13"/>
      <c r="LU273" s="13"/>
      <c r="LV273" s="13"/>
      <c r="LW273" s="13"/>
      <c r="LX273" s="13"/>
      <c r="LY273" s="13"/>
      <c r="LZ273" s="13"/>
      <c r="MA273" s="13"/>
      <c r="MB273" s="13"/>
      <c r="MC273" s="13"/>
      <c r="MD273" s="13"/>
      <c r="ME273" s="13"/>
      <c r="MF273" s="13"/>
      <c r="MG273" s="13"/>
    </row>
    <row r="274" spans="1:345" s="14" customFormat="1">
      <c r="A274" s="15" t="s">
        <v>267</v>
      </c>
      <c r="B274" s="13">
        <f t="shared" si="212"/>
        <v>0</v>
      </c>
      <c r="C274" s="13">
        <f t="shared" si="213"/>
        <v>0</v>
      </c>
      <c r="D274" s="13">
        <f t="shared" si="214"/>
        <v>0</v>
      </c>
      <c r="E274" s="13">
        <f t="shared" si="215"/>
        <v>0</v>
      </c>
      <c r="F274" s="13">
        <f t="shared" si="216"/>
        <v>0</v>
      </c>
      <c r="G274" s="13">
        <f t="shared" si="217"/>
        <v>0</v>
      </c>
      <c r="H274" s="13">
        <f t="shared" si="218"/>
        <v>0</v>
      </c>
      <c r="I274" s="13">
        <f t="shared" si="219"/>
        <v>0</v>
      </c>
      <c r="J274" s="13">
        <f t="shared" si="220"/>
        <v>0</v>
      </c>
      <c r="K274" s="13">
        <f t="shared" si="221"/>
        <v>0</v>
      </c>
      <c r="L274" s="13">
        <f t="shared" si="222"/>
        <v>0</v>
      </c>
      <c r="M274" s="13">
        <f t="shared" si="223"/>
        <v>0</v>
      </c>
      <c r="N274" s="13">
        <f t="shared" si="224"/>
        <v>0</v>
      </c>
      <c r="O274" s="13">
        <f t="shared" si="225"/>
        <v>0</v>
      </c>
      <c r="P274" s="13">
        <f t="shared" si="226"/>
        <v>0</v>
      </c>
      <c r="Q274" s="13">
        <f t="shared" si="227"/>
        <v>0</v>
      </c>
      <c r="R274" s="13">
        <f t="shared" si="228"/>
        <v>0</v>
      </c>
      <c r="S274" s="13">
        <f t="shared" si="229"/>
        <v>0</v>
      </c>
      <c r="T274" s="13">
        <f t="shared" si="230"/>
        <v>0</v>
      </c>
      <c r="U274" s="13">
        <f t="shared" si="231"/>
        <v>0</v>
      </c>
      <c r="V274" s="13">
        <f t="shared" si="232"/>
        <v>0</v>
      </c>
      <c r="W274" s="13">
        <f t="shared" si="233"/>
        <v>0</v>
      </c>
      <c r="X274" s="13">
        <f t="shared" si="234"/>
        <v>0</v>
      </c>
      <c r="Y274" s="13">
        <f t="shared" si="235"/>
        <v>0</v>
      </c>
      <c r="Z274" s="13">
        <f t="shared" si="236"/>
        <v>7.6105944000000001</v>
      </c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/>
      <c r="II274" s="13"/>
      <c r="IJ274" s="13"/>
      <c r="IK274" s="13"/>
      <c r="IL274" s="13"/>
      <c r="IM274" s="13"/>
      <c r="IN274" s="13"/>
      <c r="IO274" s="13"/>
      <c r="IP274" s="13"/>
      <c r="IQ274" s="13"/>
      <c r="IR274" s="13"/>
      <c r="IS274" s="13"/>
      <c r="IT274" s="13"/>
      <c r="IU274" s="13"/>
      <c r="IV274" s="13"/>
      <c r="IW274" s="13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3"/>
      <c r="KG274" s="13"/>
      <c r="KH274" s="13"/>
      <c r="KI274" s="13"/>
      <c r="KJ274" s="13"/>
      <c r="KK274" s="13"/>
      <c r="KL274" s="13"/>
      <c r="KM274" s="13"/>
      <c r="KN274" s="13"/>
      <c r="KO274" s="13"/>
      <c r="KP274" s="13"/>
      <c r="KQ274" s="13"/>
      <c r="KR274" s="13"/>
      <c r="KS274" s="13"/>
      <c r="KT274" s="13"/>
      <c r="KU274" s="13"/>
      <c r="KV274" s="13"/>
      <c r="KW274" s="13"/>
      <c r="KX274" s="13"/>
      <c r="KY274" s="13"/>
      <c r="KZ274" s="13"/>
      <c r="LA274" s="13"/>
      <c r="LB274" s="13"/>
      <c r="LC274" s="13"/>
      <c r="LD274" s="13"/>
      <c r="LE274" s="13">
        <v>1084.0817999999999</v>
      </c>
      <c r="LF274" s="13">
        <v>3537.2132999999999</v>
      </c>
      <c r="LG274" s="13"/>
      <c r="LH274" s="13">
        <v>1068.6668999999999</v>
      </c>
      <c r="LI274" s="13">
        <v>977.53740000000005</v>
      </c>
      <c r="LJ274" s="13"/>
      <c r="LK274" s="13"/>
      <c r="LL274" s="13">
        <v>943.09500000000003</v>
      </c>
      <c r="LM274" s="13"/>
      <c r="LN274" s="13"/>
      <c r="LO274" s="13"/>
      <c r="LP274" s="13">
        <v>10.864800000000001</v>
      </c>
      <c r="LQ274" s="13"/>
      <c r="LR274" s="13"/>
      <c r="LS274" s="13"/>
      <c r="LT274" s="13"/>
      <c r="LU274" s="13"/>
      <c r="LV274" s="13"/>
      <c r="LW274" s="13"/>
      <c r="LX274" s="13"/>
      <c r="LY274" s="13"/>
      <c r="LZ274" s="13"/>
      <c r="MA274" s="13"/>
      <c r="MB274" s="13"/>
      <c r="MC274" s="13"/>
      <c r="MD274" s="13"/>
      <c r="ME274" s="13"/>
      <c r="MF274" s="13"/>
      <c r="MG274" s="13"/>
    </row>
    <row r="275" spans="1:345" s="14" customFormat="1">
      <c r="A275" s="15" t="s">
        <v>268</v>
      </c>
      <c r="B275" s="13">
        <f t="shared" si="212"/>
        <v>0</v>
      </c>
      <c r="C275" s="13">
        <f t="shared" si="213"/>
        <v>0</v>
      </c>
      <c r="D275" s="13">
        <f t="shared" si="214"/>
        <v>0</v>
      </c>
      <c r="E275" s="13">
        <f t="shared" si="215"/>
        <v>0</v>
      </c>
      <c r="F275" s="13">
        <f t="shared" si="216"/>
        <v>0</v>
      </c>
      <c r="G275" s="13">
        <f t="shared" si="217"/>
        <v>0</v>
      </c>
      <c r="H275" s="13">
        <f t="shared" si="218"/>
        <v>0</v>
      </c>
      <c r="I275" s="13">
        <f t="shared" si="219"/>
        <v>0</v>
      </c>
      <c r="J275" s="13">
        <f t="shared" si="220"/>
        <v>0</v>
      </c>
      <c r="K275" s="13">
        <f t="shared" si="221"/>
        <v>0</v>
      </c>
      <c r="L275" s="13">
        <f t="shared" si="222"/>
        <v>0</v>
      </c>
      <c r="M275" s="13">
        <f t="shared" si="223"/>
        <v>0</v>
      </c>
      <c r="N275" s="13">
        <f t="shared" si="224"/>
        <v>0</v>
      </c>
      <c r="O275" s="13">
        <f t="shared" si="225"/>
        <v>0</v>
      </c>
      <c r="P275" s="13">
        <f t="shared" si="226"/>
        <v>0</v>
      </c>
      <c r="Q275" s="13">
        <f t="shared" si="227"/>
        <v>0</v>
      </c>
      <c r="R275" s="13">
        <f t="shared" si="228"/>
        <v>0</v>
      </c>
      <c r="S275" s="13">
        <f t="shared" si="229"/>
        <v>0</v>
      </c>
      <c r="T275" s="13">
        <f t="shared" si="230"/>
        <v>0</v>
      </c>
      <c r="U275" s="13">
        <f t="shared" si="231"/>
        <v>0</v>
      </c>
      <c r="V275" s="13">
        <f t="shared" si="232"/>
        <v>0</v>
      </c>
      <c r="W275" s="13">
        <f t="shared" si="233"/>
        <v>0</v>
      </c>
      <c r="X275" s="13">
        <f t="shared" si="234"/>
        <v>0</v>
      </c>
      <c r="Y275" s="13">
        <f t="shared" si="235"/>
        <v>0</v>
      </c>
      <c r="Z275" s="13">
        <f t="shared" si="236"/>
        <v>0</v>
      </c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/>
      <c r="GI275" s="13"/>
      <c r="GJ275" s="13"/>
      <c r="GK275" s="13"/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  <c r="HQ275" s="13"/>
      <c r="HR275" s="13"/>
      <c r="HS275" s="13"/>
      <c r="HT275" s="13"/>
      <c r="HU275" s="13"/>
      <c r="HV275" s="13"/>
      <c r="HW275" s="13"/>
      <c r="HX275" s="13"/>
      <c r="HY275" s="13"/>
      <c r="HZ275" s="13"/>
      <c r="IA275" s="13"/>
      <c r="IB275" s="13"/>
      <c r="IC275" s="13"/>
      <c r="ID275" s="13"/>
      <c r="IE275" s="13"/>
      <c r="IF275" s="13"/>
      <c r="IG275" s="13"/>
      <c r="IH275" s="13"/>
      <c r="II275" s="13"/>
      <c r="IJ275" s="13"/>
      <c r="IK275" s="13"/>
      <c r="IL275" s="13"/>
      <c r="IM275" s="13"/>
      <c r="IN275" s="13"/>
      <c r="IO275" s="13"/>
      <c r="IP275" s="13"/>
      <c r="IQ275" s="13"/>
      <c r="IR275" s="13"/>
      <c r="IS275" s="13"/>
      <c r="IT275" s="13"/>
      <c r="IU275" s="13"/>
      <c r="IV275" s="13"/>
      <c r="IW275" s="13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3"/>
      <c r="KG275" s="13"/>
      <c r="KH275" s="13"/>
      <c r="KI275" s="13"/>
      <c r="KJ275" s="13"/>
      <c r="KK275" s="13"/>
      <c r="KL275" s="13"/>
      <c r="KM275" s="13"/>
      <c r="KN275" s="13"/>
      <c r="KO275" s="13"/>
      <c r="KP275" s="13"/>
      <c r="KQ275" s="13"/>
      <c r="KR275" s="13"/>
      <c r="KS275" s="13"/>
      <c r="KT275" s="13"/>
      <c r="KU275" s="13"/>
      <c r="KV275" s="13"/>
      <c r="KW275" s="13"/>
      <c r="KX275" s="13"/>
      <c r="KY275" s="13"/>
      <c r="KZ275" s="13"/>
      <c r="LA275" s="13"/>
      <c r="LB275" s="13"/>
      <c r="LC275" s="13"/>
      <c r="LD275" s="13"/>
      <c r="LE275" s="13"/>
      <c r="LF275" s="13"/>
      <c r="LG275" s="13"/>
      <c r="LH275" s="13"/>
      <c r="LI275" s="13"/>
      <c r="LJ275" s="13"/>
      <c r="LK275" s="13"/>
      <c r="LL275" s="13"/>
      <c r="LM275" s="13"/>
      <c r="LN275" s="13"/>
      <c r="LO275" s="13"/>
      <c r="LP275" s="13"/>
      <c r="LQ275" s="13"/>
      <c r="LR275" s="13"/>
      <c r="LS275" s="13"/>
      <c r="LT275" s="13"/>
      <c r="LU275" s="13"/>
      <c r="LV275" s="13"/>
      <c r="LW275" s="13"/>
      <c r="LX275" s="13"/>
      <c r="LY275" s="13"/>
      <c r="LZ275" s="13"/>
      <c r="MA275" s="13"/>
      <c r="MB275" s="13"/>
      <c r="MC275" s="13"/>
      <c r="MD275" s="13"/>
      <c r="ME275" s="13"/>
      <c r="MF275" s="13"/>
      <c r="MG275" s="13"/>
    </row>
    <row r="276" spans="1:345" s="14" customFormat="1">
      <c r="A276" s="12" t="s">
        <v>269</v>
      </c>
      <c r="B276" s="13">
        <f t="shared" si="212"/>
        <v>0</v>
      </c>
      <c r="C276" s="13">
        <f t="shared" si="213"/>
        <v>0</v>
      </c>
      <c r="D276" s="13">
        <f t="shared" si="214"/>
        <v>0</v>
      </c>
      <c r="E276" s="13">
        <f t="shared" si="215"/>
        <v>0</v>
      </c>
      <c r="F276" s="13">
        <f t="shared" si="216"/>
        <v>0</v>
      </c>
      <c r="G276" s="13">
        <f t="shared" si="217"/>
        <v>0</v>
      </c>
      <c r="H276" s="13">
        <f t="shared" si="218"/>
        <v>0</v>
      </c>
      <c r="I276" s="13">
        <f t="shared" si="219"/>
        <v>0</v>
      </c>
      <c r="J276" s="13">
        <f t="shared" si="220"/>
        <v>0</v>
      </c>
      <c r="K276" s="13">
        <f t="shared" si="221"/>
        <v>0</v>
      </c>
      <c r="L276" s="13">
        <f t="shared" si="222"/>
        <v>0</v>
      </c>
      <c r="M276" s="13">
        <f t="shared" si="223"/>
        <v>0</v>
      </c>
      <c r="N276" s="13">
        <f t="shared" si="224"/>
        <v>0</v>
      </c>
      <c r="O276" s="13">
        <f t="shared" si="225"/>
        <v>0</v>
      </c>
      <c r="P276" s="13">
        <f t="shared" si="226"/>
        <v>0</v>
      </c>
      <c r="Q276" s="13">
        <f t="shared" si="227"/>
        <v>0</v>
      </c>
      <c r="R276" s="13">
        <f t="shared" si="228"/>
        <v>0</v>
      </c>
      <c r="S276" s="13">
        <f t="shared" si="229"/>
        <v>0</v>
      </c>
      <c r="T276" s="13">
        <f t="shared" si="230"/>
        <v>0</v>
      </c>
      <c r="U276" s="13">
        <f t="shared" si="231"/>
        <v>0</v>
      </c>
      <c r="V276" s="13">
        <f t="shared" si="232"/>
        <v>0</v>
      </c>
      <c r="W276" s="13">
        <f t="shared" si="233"/>
        <v>0</v>
      </c>
      <c r="X276" s="13">
        <f t="shared" si="234"/>
        <v>0</v>
      </c>
      <c r="Y276" s="13">
        <f t="shared" si="235"/>
        <v>0</v>
      </c>
      <c r="Z276" s="13">
        <f t="shared" si="236"/>
        <v>0</v>
      </c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/>
      <c r="HY276" s="13"/>
      <c r="HZ276" s="13"/>
      <c r="IA276" s="13"/>
      <c r="IB276" s="13"/>
      <c r="IC276" s="13"/>
      <c r="ID276" s="13"/>
      <c r="IE276" s="13"/>
      <c r="IF276" s="13"/>
      <c r="IG276" s="13"/>
      <c r="IH276" s="13"/>
      <c r="II276" s="13"/>
      <c r="IJ276" s="13"/>
      <c r="IK276" s="13"/>
      <c r="IL276" s="13"/>
      <c r="IM276" s="13"/>
      <c r="IN276" s="13"/>
      <c r="IO276" s="13"/>
      <c r="IP276" s="13"/>
      <c r="IQ276" s="13"/>
      <c r="IR276" s="13"/>
      <c r="IS276" s="13"/>
      <c r="IT276" s="13"/>
      <c r="IU276" s="13"/>
      <c r="IV276" s="13"/>
      <c r="IW276" s="13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3"/>
      <c r="KG276" s="13"/>
      <c r="KH276" s="13"/>
      <c r="KI276" s="13"/>
      <c r="KJ276" s="13"/>
      <c r="KK276" s="13"/>
      <c r="KL276" s="13"/>
      <c r="KM276" s="13"/>
      <c r="KN276" s="13"/>
      <c r="KO276" s="13"/>
      <c r="KP276" s="13"/>
      <c r="KQ276" s="13"/>
      <c r="KR276" s="13"/>
      <c r="KS276" s="13"/>
      <c r="KT276" s="13"/>
      <c r="KU276" s="13"/>
      <c r="KV276" s="13"/>
      <c r="KW276" s="13"/>
      <c r="KX276" s="13"/>
      <c r="KY276" s="13"/>
      <c r="KZ276" s="13"/>
      <c r="LA276" s="13"/>
      <c r="LB276" s="13"/>
      <c r="LC276" s="13"/>
      <c r="LD276" s="13"/>
      <c r="LE276" s="13"/>
      <c r="LF276" s="13"/>
      <c r="LG276" s="13"/>
      <c r="LH276" s="13"/>
      <c r="LI276" s="13"/>
      <c r="LJ276" s="13"/>
      <c r="LK276" s="13"/>
      <c r="LL276" s="13"/>
      <c r="LM276" s="13"/>
      <c r="LN276" s="13"/>
      <c r="LO276" s="13"/>
      <c r="LP276" s="13"/>
      <c r="LQ276" s="13"/>
      <c r="LR276" s="13"/>
      <c r="LS276" s="13"/>
      <c r="LT276" s="13"/>
      <c r="LU276" s="13"/>
      <c r="LV276" s="13"/>
      <c r="LW276" s="13"/>
      <c r="LX276" s="13"/>
      <c r="LY276" s="13"/>
      <c r="LZ276" s="13"/>
      <c r="MA276" s="13"/>
      <c r="MB276" s="13"/>
      <c r="MC276" s="13"/>
      <c r="MD276" s="13"/>
      <c r="ME276" s="13"/>
      <c r="MF276" s="13"/>
      <c r="MG276" s="13"/>
    </row>
    <row r="277" spans="1:345" s="14" customFormat="1">
      <c r="A277" s="12" t="s">
        <v>270</v>
      </c>
      <c r="B277" s="13">
        <f t="shared" si="212"/>
        <v>0</v>
      </c>
      <c r="C277" s="13">
        <f t="shared" si="213"/>
        <v>0</v>
      </c>
      <c r="D277" s="13">
        <f t="shared" si="214"/>
        <v>0</v>
      </c>
      <c r="E277" s="13">
        <f t="shared" si="215"/>
        <v>0</v>
      </c>
      <c r="F277" s="13">
        <f t="shared" si="216"/>
        <v>0</v>
      </c>
      <c r="G277" s="13">
        <f t="shared" si="217"/>
        <v>0</v>
      </c>
      <c r="H277" s="13">
        <f t="shared" si="218"/>
        <v>0</v>
      </c>
      <c r="I277" s="13">
        <f t="shared" si="219"/>
        <v>0</v>
      </c>
      <c r="J277" s="13">
        <f t="shared" si="220"/>
        <v>0</v>
      </c>
      <c r="K277" s="13">
        <f t="shared" si="221"/>
        <v>0</v>
      </c>
      <c r="L277" s="13">
        <f t="shared" si="222"/>
        <v>0</v>
      </c>
      <c r="M277" s="13">
        <f t="shared" si="223"/>
        <v>0</v>
      </c>
      <c r="N277" s="13">
        <f t="shared" si="224"/>
        <v>0</v>
      </c>
      <c r="O277" s="13">
        <f t="shared" si="225"/>
        <v>0</v>
      </c>
      <c r="P277" s="13">
        <f t="shared" si="226"/>
        <v>0</v>
      </c>
      <c r="Q277" s="13">
        <f t="shared" si="227"/>
        <v>0</v>
      </c>
      <c r="R277" s="13">
        <f t="shared" si="228"/>
        <v>0</v>
      </c>
      <c r="S277" s="13">
        <f t="shared" si="229"/>
        <v>0</v>
      </c>
      <c r="T277" s="13">
        <f t="shared" si="230"/>
        <v>0</v>
      </c>
      <c r="U277" s="13">
        <f t="shared" si="231"/>
        <v>0</v>
      </c>
      <c r="V277" s="13">
        <f t="shared" si="232"/>
        <v>0</v>
      </c>
      <c r="W277" s="13">
        <f t="shared" si="233"/>
        <v>0</v>
      </c>
      <c r="X277" s="13">
        <f t="shared" si="234"/>
        <v>0</v>
      </c>
      <c r="Y277" s="13">
        <f t="shared" si="235"/>
        <v>0</v>
      </c>
      <c r="Z277" s="13">
        <f t="shared" si="236"/>
        <v>0</v>
      </c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3"/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  <c r="HQ277" s="13"/>
      <c r="HR277" s="13"/>
      <c r="HS277" s="13"/>
      <c r="HT277" s="13"/>
      <c r="HU277" s="13"/>
      <c r="HV277" s="13"/>
      <c r="HW277" s="13"/>
      <c r="HX277" s="13"/>
      <c r="HY277" s="13"/>
      <c r="HZ277" s="13"/>
      <c r="IA277" s="13"/>
      <c r="IB277" s="13"/>
      <c r="IC277" s="13"/>
      <c r="ID277" s="13"/>
      <c r="IE277" s="13"/>
      <c r="IF277" s="13"/>
      <c r="IG277" s="13"/>
      <c r="IH277" s="13"/>
      <c r="II277" s="13"/>
      <c r="IJ277" s="13"/>
      <c r="IK277" s="13"/>
      <c r="IL277" s="13"/>
      <c r="IM277" s="13"/>
      <c r="IN277" s="13"/>
      <c r="IO277" s="13"/>
      <c r="IP277" s="13"/>
      <c r="IQ277" s="13"/>
      <c r="IR277" s="13"/>
      <c r="IS277" s="13"/>
      <c r="IT277" s="13"/>
      <c r="IU277" s="13"/>
      <c r="IV277" s="13"/>
      <c r="IW277" s="13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3"/>
      <c r="KG277" s="13"/>
      <c r="KH277" s="13"/>
      <c r="KI277" s="13"/>
      <c r="KJ277" s="13"/>
      <c r="KK277" s="13"/>
      <c r="KL277" s="13"/>
      <c r="KM277" s="13"/>
      <c r="KN277" s="13"/>
      <c r="KO277" s="13"/>
      <c r="KP277" s="13"/>
      <c r="KQ277" s="13"/>
      <c r="KR277" s="13"/>
      <c r="KS277" s="13"/>
      <c r="KT277" s="13"/>
      <c r="KU277" s="13"/>
      <c r="KV277" s="13"/>
      <c r="KW277" s="13"/>
      <c r="KX277" s="13"/>
      <c r="KY277" s="13"/>
      <c r="KZ277" s="13"/>
      <c r="LA277" s="13"/>
      <c r="LB277" s="13"/>
      <c r="LC277" s="13"/>
      <c r="LD277" s="13"/>
      <c r="LE277" s="13"/>
      <c r="LF277" s="13"/>
      <c r="LG277" s="13"/>
      <c r="LH277" s="13"/>
      <c r="LI277" s="13"/>
      <c r="LJ277" s="13"/>
      <c r="LK277" s="13"/>
      <c r="LL277" s="13"/>
      <c r="LM277" s="13"/>
      <c r="LN277" s="13"/>
      <c r="LO277" s="13"/>
      <c r="LP277" s="13"/>
      <c r="LQ277" s="13"/>
      <c r="LR277" s="13"/>
      <c r="LS277" s="13"/>
      <c r="LT277" s="13"/>
      <c r="LU277" s="13"/>
      <c r="LV277" s="13"/>
      <c r="LW277" s="13"/>
      <c r="LX277" s="13"/>
      <c r="LY277" s="13"/>
      <c r="LZ277" s="13"/>
      <c r="MA277" s="13"/>
      <c r="MB277" s="13"/>
      <c r="MC277" s="13"/>
      <c r="MD277" s="13"/>
      <c r="ME277" s="13"/>
      <c r="MF277" s="13"/>
      <c r="MG277" s="13"/>
    </row>
    <row r="278" spans="1:345" s="14" customFormat="1">
      <c r="A278" s="12" t="s">
        <v>271</v>
      </c>
      <c r="B278" s="13">
        <f t="shared" si="212"/>
        <v>0</v>
      </c>
      <c r="C278" s="13">
        <f t="shared" si="213"/>
        <v>0</v>
      </c>
      <c r="D278" s="13">
        <f t="shared" si="214"/>
        <v>0</v>
      </c>
      <c r="E278" s="13">
        <f t="shared" si="215"/>
        <v>0</v>
      </c>
      <c r="F278" s="13">
        <f t="shared" si="216"/>
        <v>0</v>
      </c>
      <c r="G278" s="13">
        <f t="shared" si="217"/>
        <v>0</v>
      </c>
      <c r="H278" s="13">
        <f t="shared" si="218"/>
        <v>0</v>
      </c>
      <c r="I278" s="13">
        <f t="shared" si="219"/>
        <v>0</v>
      </c>
      <c r="J278" s="13">
        <f t="shared" si="220"/>
        <v>0</v>
      </c>
      <c r="K278" s="13">
        <f t="shared" si="221"/>
        <v>0</v>
      </c>
      <c r="L278" s="13">
        <f t="shared" si="222"/>
        <v>0</v>
      </c>
      <c r="M278" s="13">
        <f t="shared" si="223"/>
        <v>0</v>
      </c>
      <c r="N278" s="13">
        <f t="shared" si="224"/>
        <v>0</v>
      </c>
      <c r="O278" s="13">
        <f t="shared" si="225"/>
        <v>0</v>
      </c>
      <c r="P278" s="13">
        <f t="shared" si="226"/>
        <v>0</v>
      </c>
      <c r="Q278" s="13">
        <f t="shared" si="227"/>
        <v>0</v>
      </c>
      <c r="R278" s="13">
        <f t="shared" si="228"/>
        <v>0</v>
      </c>
      <c r="S278" s="13">
        <f t="shared" si="229"/>
        <v>0</v>
      </c>
      <c r="T278" s="13">
        <f t="shared" si="230"/>
        <v>0</v>
      </c>
      <c r="U278" s="13">
        <f t="shared" si="231"/>
        <v>0</v>
      </c>
      <c r="V278" s="13">
        <f t="shared" si="232"/>
        <v>0</v>
      </c>
      <c r="W278" s="13">
        <f t="shared" si="233"/>
        <v>0</v>
      </c>
      <c r="X278" s="13">
        <f t="shared" si="234"/>
        <v>0</v>
      </c>
      <c r="Y278" s="13">
        <f t="shared" si="235"/>
        <v>0</v>
      </c>
      <c r="Z278" s="13">
        <f t="shared" si="236"/>
        <v>0</v>
      </c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13"/>
      <c r="HP278" s="13"/>
      <c r="HQ278" s="13"/>
      <c r="HR278" s="13"/>
      <c r="HS278" s="13"/>
      <c r="HT278" s="13"/>
      <c r="HU278" s="13"/>
      <c r="HV278" s="13"/>
      <c r="HW278" s="13"/>
      <c r="HX278" s="13"/>
      <c r="HY278" s="13"/>
      <c r="HZ278" s="13"/>
      <c r="IA278" s="13"/>
      <c r="IB278" s="13"/>
      <c r="IC278" s="13"/>
      <c r="ID278" s="13"/>
      <c r="IE278" s="13"/>
      <c r="IF278" s="13"/>
      <c r="IG278" s="13"/>
      <c r="IH278" s="13"/>
      <c r="II278" s="13"/>
      <c r="IJ278" s="13"/>
      <c r="IK278" s="13"/>
      <c r="IL278" s="13"/>
      <c r="IM278" s="13"/>
      <c r="IN278" s="13"/>
      <c r="IO278" s="13"/>
      <c r="IP278" s="13"/>
      <c r="IQ278" s="13"/>
      <c r="IR278" s="13"/>
      <c r="IS278" s="13"/>
      <c r="IT278" s="13"/>
      <c r="IU278" s="13"/>
      <c r="IV278" s="13"/>
      <c r="IW278" s="13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3"/>
      <c r="KG278" s="13"/>
      <c r="KH278" s="13"/>
      <c r="KI278" s="13"/>
      <c r="KJ278" s="13"/>
      <c r="KK278" s="13"/>
      <c r="KL278" s="13"/>
      <c r="KM278" s="13"/>
      <c r="KN278" s="13"/>
      <c r="KO278" s="13"/>
      <c r="KP278" s="13"/>
      <c r="KQ278" s="13"/>
      <c r="KR278" s="13"/>
      <c r="KS278" s="13"/>
      <c r="KT278" s="13"/>
      <c r="KU278" s="13"/>
      <c r="KV278" s="13"/>
      <c r="KW278" s="13"/>
      <c r="KX278" s="13"/>
      <c r="KY278" s="13"/>
      <c r="KZ278" s="13"/>
      <c r="LA278" s="13"/>
      <c r="LB278" s="13"/>
      <c r="LC278" s="13"/>
      <c r="LD278" s="13"/>
      <c r="LE278" s="13"/>
      <c r="LF278" s="13"/>
      <c r="LG278" s="13"/>
      <c r="LH278" s="13"/>
      <c r="LI278" s="13"/>
      <c r="LJ278" s="13"/>
      <c r="LK278" s="13"/>
      <c r="LL278" s="13"/>
      <c r="LM278" s="13"/>
      <c r="LN278" s="13"/>
      <c r="LO278" s="13"/>
      <c r="LP278" s="13"/>
      <c r="LQ278" s="13"/>
      <c r="LR278" s="13"/>
      <c r="LS278" s="13"/>
      <c r="LT278" s="13"/>
      <c r="LU278" s="13"/>
      <c r="LV278" s="13"/>
      <c r="LW278" s="13"/>
      <c r="LX278" s="13"/>
      <c r="LY278" s="13"/>
      <c r="LZ278" s="13"/>
      <c r="MA278" s="13"/>
      <c r="MB278" s="13"/>
      <c r="MC278" s="13"/>
      <c r="MD278" s="13"/>
      <c r="ME278" s="13"/>
      <c r="MF278" s="13"/>
      <c r="MG278" s="13"/>
    </row>
    <row r="279" spans="1:345" s="14" customFormat="1">
      <c r="A279" s="12" t="s">
        <v>272</v>
      </c>
      <c r="B279" s="13">
        <f t="shared" si="212"/>
        <v>0</v>
      </c>
      <c r="C279" s="13">
        <f t="shared" si="213"/>
        <v>0</v>
      </c>
      <c r="D279" s="13">
        <f t="shared" si="214"/>
        <v>0</v>
      </c>
      <c r="E279" s="13">
        <f t="shared" si="215"/>
        <v>0</v>
      </c>
      <c r="F279" s="13">
        <f t="shared" si="216"/>
        <v>0</v>
      </c>
      <c r="G279" s="13">
        <f t="shared" si="217"/>
        <v>0</v>
      </c>
      <c r="H279" s="13">
        <f t="shared" si="218"/>
        <v>0</v>
      </c>
      <c r="I279" s="13">
        <f t="shared" si="219"/>
        <v>0</v>
      </c>
      <c r="J279" s="13">
        <f t="shared" si="220"/>
        <v>0</v>
      </c>
      <c r="K279" s="13">
        <f t="shared" si="221"/>
        <v>0</v>
      </c>
      <c r="L279" s="13">
        <f t="shared" si="222"/>
        <v>0</v>
      </c>
      <c r="M279" s="13">
        <f t="shared" si="223"/>
        <v>0</v>
      </c>
      <c r="N279" s="13">
        <f t="shared" si="224"/>
        <v>0</v>
      </c>
      <c r="O279" s="13">
        <f t="shared" si="225"/>
        <v>0</v>
      </c>
      <c r="P279" s="13">
        <f t="shared" si="226"/>
        <v>0</v>
      </c>
      <c r="Q279" s="13">
        <f t="shared" si="227"/>
        <v>0</v>
      </c>
      <c r="R279" s="13">
        <f t="shared" si="228"/>
        <v>0</v>
      </c>
      <c r="S279" s="13">
        <f t="shared" si="229"/>
        <v>0</v>
      </c>
      <c r="T279" s="13">
        <f t="shared" si="230"/>
        <v>0</v>
      </c>
      <c r="U279" s="13">
        <f t="shared" si="231"/>
        <v>0</v>
      </c>
      <c r="V279" s="13">
        <f t="shared" si="232"/>
        <v>0</v>
      </c>
      <c r="W279" s="13">
        <f t="shared" si="233"/>
        <v>0</v>
      </c>
      <c r="X279" s="13">
        <f t="shared" si="234"/>
        <v>0</v>
      </c>
      <c r="Y279" s="13">
        <f t="shared" si="235"/>
        <v>0</v>
      </c>
      <c r="Z279" s="13">
        <f t="shared" si="236"/>
        <v>0</v>
      </c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13"/>
      <c r="HP279" s="13"/>
      <c r="HQ279" s="13"/>
      <c r="HR279" s="13"/>
      <c r="HS279" s="13"/>
      <c r="HT279" s="13"/>
      <c r="HU279" s="13"/>
      <c r="HV279" s="13"/>
      <c r="HW279" s="13"/>
      <c r="HX279" s="13"/>
      <c r="HY279" s="13"/>
      <c r="HZ279" s="13"/>
      <c r="IA279" s="13"/>
      <c r="IB279" s="13"/>
      <c r="IC279" s="13"/>
      <c r="ID279" s="13"/>
      <c r="IE279" s="13"/>
      <c r="IF279" s="13"/>
      <c r="IG279" s="13"/>
      <c r="IH279" s="13"/>
      <c r="II279" s="13"/>
      <c r="IJ279" s="13"/>
      <c r="IK279" s="13"/>
      <c r="IL279" s="13"/>
      <c r="IM279" s="13"/>
      <c r="IN279" s="13"/>
      <c r="IO279" s="13"/>
      <c r="IP279" s="13"/>
      <c r="IQ279" s="13"/>
      <c r="IR279" s="13"/>
      <c r="IS279" s="13"/>
      <c r="IT279" s="13"/>
      <c r="IU279" s="13"/>
      <c r="IV279" s="13"/>
      <c r="IW279" s="13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3"/>
      <c r="KG279" s="13"/>
      <c r="KH279" s="13"/>
      <c r="KI279" s="13"/>
      <c r="KJ279" s="13"/>
      <c r="KK279" s="13"/>
      <c r="KL279" s="13"/>
      <c r="KM279" s="13"/>
      <c r="KN279" s="13"/>
      <c r="KO279" s="13"/>
      <c r="KP279" s="13"/>
      <c r="KQ279" s="13"/>
      <c r="KR279" s="13"/>
      <c r="KS279" s="13"/>
      <c r="KT279" s="13"/>
      <c r="KU279" s="13"/>
      <c r="KV279" s="13"/>
      <c r="KW279" s="13"/>
      <c r="KX279" s="13"/>
      <c r="KY279" s="13"/>
      <c r="KZ279" s="13"/>
      <c r="LA279" s="13"/>
      <c r="LB279" s="13"/>
      <c r="LC279" s="13"/>
      <c r="LD279" s="13"/>
      <c r="LE279" s="13"/>
      <c r="LF279" s="13"/>
      <c r="LG279" s="13"/>
      <c r="LH279" s="13"/>
      <c r="LI279" s="13"/>
      <c r="LJ279" s="13"/>
      <c r="LK279" s="13"/>
      <c r="LL279" s="13"/>
      <c r="LM279" s="13"/>
      <c r="LN279" s="13"/>
      <c r="LO279" s="13"/>
      <c r="LP279" s="13"/>
      <c r="LQ279" s="13"/>
      <c r="LR279" s="13"/>
      <c r="LS279" s="13"/>
      <c r="LT279" s="13"/>
      <c r="LU279" s="13"/>
      <c r="LV279" s="13"/>
      <c r="LW279" s="13"/>
      <c r="LX279" s="13"/>
      <c r="LY279" s="13"/>
      <c r="LZ279" s="13"/>
      <c r="MA279" s="13"/>
      <c r="MB279" s="13"/>
      <c r="MC279" s="13"/>
      <c r="MD279" s="13"/>
      <c r="ME279" s="13"/>
      <c r="MF279" s="13"/>
      <c r="MG279" s="13"/>
    </row>
    <row r="280" spans="1:345" s="14" customFormat="1">
      <c r="A280" s="12" t="s">
        <v>273</v>
      </c>
      <c r="B280" s="13">
        <f t="shared" si="212"/>
        <v>0</v>
      </c>
      <c r="C280" s="13">
        <f t="shared" si="213"/>
        <v>0</v>
      </c>
      <c r="D280" s="13">
        <f t="shared" si="214"/>
        <v>0</v>
      </c>
      <c r="E280" s="13">
        <f t="shared" si="215"/>
        <v>0</v>
      </c>
      <c r="F280" s="13">
        <f t="shared" si="216"/>
        <v>0</v>
      </c>
      <c r="G280" s="13">
        <f t="shared" si="217"/>
        <v>0</v>
      </c>
      <c r="H280" s="13">
        <f t="shared" si="218"/>
        <v>0</v>
      </c>
      <c r="I280" s="13">
        <f t="shared" si="219"/>
        <v>0</v>
      </c>
      <c r="J280" s="13">
        <f t="shared" si="220"/>
        <v>0</v>
      </c>
      <c r="K280" s="13">
        <f t="shared" si="221"/>
        <v>0</v>
      </c>
      <c r="L280" s="13">
        <f t="shared" si="222"/>
        <v>0</v>
      </c>
      <c r="M280" s="13">
        <f t="shared" si="223"/>
        <v>0</v>
      </c>
      <c r="N280" s="13">
        <f t="shared" si="224"/>
        <v>0</v>
      </c>
      <c r="O280" s="13">
        <f t="shared" si="225"/>
        <v>0</v>
      </c>
      <c r="P280" s="13">
        <f t="shared" si="226"/>
        <v>0</v>
      </c>
      <c r="Q280" s="13">
        <f t="shared" si="227"/>
        <v>0</v>
      </c>
      <c r="R280" s="13">
        <f t="shared" si="228"/>
        <v>0</v>
      </c>
      <c r="S280" s="13">
        <f t="shared" si="229"/>
        <v>0</v>
      </c>
      <c r="T280" s="13">
        <f t="shared" si="230"/>
        <v>0</v>
      </c>
      <c r="U280" s="13">
        <f t="shared" si="231"/>
        <v>0</v>
      </c>
      <c r="V280" s="13">
        <f t="shared" si="232"/>
        <v>0</v>
      </c>
      <c r="W280" s="13">
        <f t="shared" si="233"/>
        <v>0</v>
      </c>
      <c r="X280" s="13">
        <f t="shared" si="234"/>
        <v>0</v>
      </c>
      <c r="Y280" s="13">
        <f t="shared" si="235"/>
        <v>0</v>
      </c>
      <c r="Z280" s="13">
        <f t="shared" si="236"/>
        <v>0</v>
      </c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  <c r="HQ280" s="13"/>
      <c r="HR280" s="13"/>
      <c r="HS280" s="13"/>
      <c r="HT280" s="13"/>
      <c r="HU280" s="13"/>
      <c r="HV280" s="13"/>
      <c r="HW280" s="13"/>
      <c r="HX280" s="13"/>
      <c r="HY280" s="13"/>
      <c r="HZ280" s="13"/>
      <c r="IA280" s="13"/>
      <c r="IB280" s="13"/>
      <c r="IC280" s="13"/>
      <c r="ID280" s="13"/>
      <c r="IE280" s="13"/>
      <c r="IF280" s="13"/>
      <c r="IG280" s="13"/>
      <c r="IH280" s="13"/>
      <c r="II280" s="13"/>
      <c r="IJ280" s="13"/>
      <c r="IK280" s="13"/>
      <c r="IL280" s="13"/>
      <c r="IM280" s="13"/>
      <c r="IN280" s="13"/>
      <c r="IO280" s="13"/>
      <c r="IP280" s="13"/>
      <c r="IQ280" s="13"/>
      <c r="IR280" s="13"/>
      <c r="IS280" s="13"/>
      <c r="IT280" s="13"/>
      <c r="IU280" s="13"/>
      <c r="IV280" s="13"/>
      <c r="IW280" s="13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3"/>
      <c r="KG280" s="13"/>
      <c r="KH280" s="13"/>
      <c r="KI280" s="13"/>
      <c r="KJ280" s="13"/>
      <c r="KK280" s="13"/>
      <c r="KL280" s="13"/>
      <c r="KM280" s="13"/>
      <c r="KN280" s="13"/>
      <c r="KO280" s="13"/>
      <c r="KP280" s="13"/>
      <c r="KQ280" s="13"/>
      <c r="KR280" s="13"/>
      <c r="KS280" s="13"/>
      <c r="KT280" s="13"/>
      <c r="KU280" s="13"/>
      <c r="KV280" s="13"/>
      <c r="KW280" s="13"/>
      <c r="KX280" s="13"/>
      <c r="KY280" s="13"/>
      <c r="KZ280" s="13"/>
      <c r="LA280" s="13"/>
      <c r="LB280" s="13"/>
      <c r="LC280" s="13"/>
      <c r="LD280" s="13"/>
      <c r="LE280" s="13"/>
      <c r="LF280" s="13"/>
      <c r="LG280" s="13"/>
      <c r="LH280" s="13"/>
      <c r="LI280" s="13"/>
      <c r="LJ280" s="13"/>
      <c r="LK280" s="13"/>
      <c r="LL280" s="13"/>
      <c r="LM280" s="13"/>
      <c r="LN280" s="13"/>
      <c r="LO280" s="13"/>
      <c r="LP280" s="13"/>
      <c r="LQ280" s="13"/>
      <c r="LR280" s="13"/>
      <c r="LS280" s="13"/>
      <c r="LT280" s="13"/>
      <c r="LU280" s="13"/>
      <c r="LV280" s="13"/>
      <c r="LW280" s="13"/>
      <c r="LX280" s="13"/>
      <c r="LY280" s="13"/>
      <c r="LZ280" s="13"/>
      <c r="MA280" s="13"/>
      <c r="MB280" s="13"/>
      <c r="MC280" s="13"/>
      <c r="MD280" s="13"/>
      <c r="ME280" s="13"/>
      <c r="MF280" s="13"/>
      <c r="MG280" s="13"/>
    </row>
    <row r="281" spans="1:345" s="14" customFormat="1">
      <c r="A281" s="15" t="s">
        <v>274</v>
      </c>
      <c r="B281" s="13">
        <f t="shared" si="212"/>
        <v>0</v>
      </c>
      <c r="C281" s="13">
        <f t="shared" si="213"/>
        <v>0</v>
      </c>
      <c r="D281" s="13">
        <f t="shared" si="214"/>
        <v>0</v>
      </c>
      <c r="E281" s="13">
        <f t="shared" si="215"/>
        <v>0</v>
      </c>
      <c r="F281" s="13">
        <f t="shared" si="216"/>
        <v>0</v>
      </c>
      <c r="G281" s="13">
        <f t="shared" si="217"/>
        <v>0</v>
      </c>
      <c r="H281" s="13">
        <f t="shared" si="218"/>
        <v>0</v>
      </c>
      <c r="I281" s="13">
        <f t="shared" si="219"/>
        <v>0</v>
      </c>
      <c r="J281" s="13">
        <f t="shared" si="220"/>
        <v>0</v>
      </c>
      <c r="K281" s="13">
        <f t="shared" si="221"/>
        <v>0</v>
      </c>
      <c r="L281" s="13">
        <f t="shared" si="222"/>
        <v>0</v>
      </c>
      <c r="M281" s="13">
        <f t="shared" si="223"/>
        <v>0</v>
      </c>
      <c r="N281" s="13">
        <f t="shared" si="224"/>
        <v>0</v>
      </c>
      <c r="O281" s="13">
        <f t="shared" si="225"/>
        <v>0</v>
      </c>
      <c r="P281" s="13">
        <f t="shared" si="226"/>
        <v>0</v>
      </c>
      <c r="Q281" s="13">
        <f t="shared" si="227"/>
        <v>0</v>
      </c>
      <c r="R281" s="13">
        <f t="shared" si="228"/>
        <v>0</v>
      </c>
      <c r="S281" s="13">
        <f t="shared" si="229"/>
        <v>0</v>
      </c>
      <c r="T281" s="13">
        <f t="shared" si="230"/>
        <v>0</v>
      </c>
      <c r="U281" s="13">
        <f t="shared" si="231"/>
        <v>0</v>
      </c>
      <c r="V281" s="13">
        <f t="shared" si="232"/>
        <v>0</v>
      </c>
      <c r="W281" s="13">
        <f t="shared" si="233"/>
        <v>0</v>
      </c>
      <c r="X281" s="13">
        <f t="shared" si="234"/>
        <v>0</v>
      </c>
      <c r="Y281" s="13">
        <f t="shared" si="235"/>
        <v>0</v>
      </c>
      <c r="Z281" s="13">
        <f t="shared" si="236"/>
        <v>0</v>
      </c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/>
      <c r="HQ281" s="13"/>
      <c r="HR281" s="13"/>
      <c r="HS281" s="13"/>
      <c r="HT281" s="13"/>
      <c r="HU281" s="13"/>
      <c r="HV281" s="13"/>
      <c r="HW281" s="13"/>
      <c r="HX281" s="13"/>
      <c r="HY281" s="13"/>
      <c r="HZ281" s="13"/>
      <c r="IA281" s="13"/>
      <c r="IB281" s="13"/>
      <c r="IC281" s="13"/>
      <c r="ID281" s="13"/>
      <c r="IE281" s="13"/>
      <c r="IF281" s="13"/>
      <c r="IG281" s="13"/>
      <c r="IH281" s="13"/>
      <c r="II281" s="13"/>
      <c r="IJ281" s="13"/>
      <c r="IK281" s="13"/>
      <c r="IL281" s="13"/>
      <c r="IM281" s="13"/>
      <c r="IN281" s="13"/>
      <c r="IO281" s="13"/>
      <c r="IP281" s="13"/>
      <c r="IQ281" s="13"/>
      <c r="IR281" s="13"/>
      <c r="IS281" s="13"/>
      <c r="IT281" s="13"/>
      <c r="IU281" s="13"/>
      <c r="IV281" s="13"/>
      <c r="IW281" s="13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3"/>
      <c r="KG281" s="13"/>
      <c r="KH281" s="13"/>
      <c r="KI281" s="13"/>
      <c r="KJ281" s="13"/>
      <c r="KK281" s="13"/>
      <c r="KL281" s="13"/>
      <c r="KM281" s="13"/>
      <c r="KN281" s="13"/>
      <c r="KO281" s="13"/>
      <c r="KP281" s="13"/>
      <c r="KQ281" s="13"/>
      <c r="KR281" s="13"/>
      <c r="KS281" s="13"/>
      <c r="KT281" s="13"/>
      <c r="KU281" s="13"/>
      <c r="KV281" s="13"/>
      <c r="KW281" s="13"/>
      <c r="KX281" s="13"/>
      <c r="KY281" s="13"/>
      <c r="KZ281" s="13"/>
      <c r="LA281" s="13"/>
      <c r="LB281" s="13"/>
      <c r="LC281" s="13"/>
      <c r="LD281" s="13"/>
      <c r="LE281" s="13"/>
      <c r="LF281" s="13"/>
      <c r="LG281" s="13"/>
      <c r="LH281" s="13"/>
      <c r="LI281" s="13"/>
      <c r="LJ281" s="13"/>
      <c r="LK281" s="13"/>
      <c r="LL281" s="13"/>
      <c r="LM281" s="13"/>
      <c r="LN281" s="13"/>
      <c r="LO281" s="13"/>
      <c r="LP281" s="13"/>
      <c r="LQ281" s="13"/>
      <c r="LR281" s="13"/>
      <c r="LS281" s="13"/>
      <c r="LT281" s="13"/>
      <c r="LU281" s="13"/>
      <c r="LV281" s="13"/>
      <c r="LW281" s="13"/>
      <c r="LX281" s="13"/>
      <c r="LY281" s="13"/>
      <c r="LZ281" s="13"/>
      <c r="MA281" s="13"/>
      <c r="MB281" s="13"/>
      <c r="MC281" s="13"/>
      <c r="MD281" s="13"/>
      <c r="ME281" s="13"/>
      <c r="MF281" s="13"/>
      <c r="MG281" s="13"/>
    </row>
    <row r="282" spans="1:345" s="14" customFormat="1">
      <c r="A282" s="12" t="s">
        <v>275</v>
      </c>
      <c r="B282" s="13">
        <f t="shared" si="212"/>
        <v>0</v>
      </c>
      <c r="C282" s="13">
        <f t="shared" si="213"/>
        <v>0</v>
      </c>
      <c r="D282" s="13">
        <f t="shared" si="214"/>
        <v>0</v>
      </c>
      <c r="E282" s="13">
        <f t="shared" si="215"/>
        <v>0</v>
      </c>
      <c r="F282" s="13">
        <f t="shared" si="216"/>
        <v>0</v>
      </c>
      <c r="G282" s="13">
        <f t="shared" si="217"/>
        <v>0</v>
      </c>
      <c r="H282" s="13">
        <f t="shared" si="218"/>
        <v>0</v>
      </c>
      <c r="I282" s="13">
        <f t="shared" si="219"/>
        <v>0</v>
      </c>
      <c r="J282" s="13">
        <f t="shared" si="220"/>
        <v>0</v>
      </c>
      <c r="K282" s="13">
        <f t="shared" si="221"/>
        <v>0</v>
      </c>
      <c r="L282" s="13">
        <f t="shared" si="222"/>
        <v>0</v>
      </c>
      <c r="M282" s="13">
        <f t="shared" si="223"/>
        <v>0</v>
      </c>
      <c r="N282" s="13">
        <f t="shared" si="224"/>
        <v>0</v>
      </c>
      <c r="O282" s="13">
        <f t="shared" si="225"/>
        <v>0</v>
      </c>
      <c r="P282" s="13">
        <f t="shared" si="226"/>
        <v>0</v>
      </c>
      <c r="Q282" s="13">
        <f t="shared" si="227"/>
        <v>0</v>
      </c>
      <c r="R282" s="13">
        <f t="shared" si="228"/>
        <v>0</v>
      </c>
      <c r="S282" s="13">
        <f t="shared" si="229"/>
        <v>0</v>
      </c>
      <c r="T282" s="13">
        <f t="shared" si="230"/>
        <v>0</v>
      </c>
      <c r="U282" s="13">
        <f t="shared" si="231"/>
        <v>0</v>
      </c>
      <c r="V282" s="13">
        <f t="shared" si="232"/>
        <v>0</v>
      </c>
      <c r="W282" s="13">
        <f t="shared" si="233"/>
        <v>0</v>
      </c>
      <c r="X282" s="13">
        <f t="shared" si="234"/>
        <v>0</v>
      </c>
      <c r="Y282" s="13">
        <f t="shared" si="235"/>
        <v>0</v>
      </c>
      <c r="Z282" s="13">
        <f t="shared" si="236"/>
        <v>0</v>
      </c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/>
      <c r="HY282" s="13"/>
      <c r="HZ282" s="13"/>
      <c r="IA282" s="13"/>
      <c r="IB282" s="13"/>
      <c r="IC282" s="13"/>
      <c r="ID282" s="13"/>
      <c r="IE282" s="13"/>
      <c r="IF282" s="13"/>
      <c r="IG282" s="13"/>
      <c r="IH282" s="13"/>
      <c r="II282" s="13"/>
      <c r="IJ282" s="13"/>
      <c r="IK282" s="13"/>
      <c r="IL282" s="13"/>
      <c r="IM282" s="13"/>
      <c r="IN282" s="13"/>
      <c r="IO282" s="13"/>
      <c r="IP282" s="13"/>
      <c r="IQ282" s="13"/>
      <c r="IR282" s="13"/>
      <c r="IS282" s="13"/>
      <c r="IT282" s="13"/>
      <c r="IU282" s="13"/>
      <c r="IV282" s="13"/>
      <c r="IW282" s="13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3"/>
      <c r="KG282" s="13"/>
      <c r="KH282" s="13"/>
      <c r="KI282" s="13"/>
      <c r="KJ282" s="13"/>
      <c r="KK282" s="13"/>
      <c r="KL282" s="13"/>
      <c r="KM282" s="13"/>
      <c r="KN282" s="13"/>
      <c r="KO282" s="13"/>
      <c r="KP282" s="13"/>
      <c r="KQ282" s="13"/>
      <c r="KR282" s="13"/>
      <c r="KS282" s="13"/>
      <c r="KT282" s="13"/>
      <c r="KU282" s="13"/>
      <c r="KV282" s="13"/>
      <c r="KW282" s="13"/>
      <c r="KX282" s="13"/>
      <c r="KY282" s="13"/>
      <c r="KZ282" s="13"/>
      <c r="LA282" s="13"/>
      <c r="LB282" s="13"/>
      <c r="LC282" s="13"/>
      <c r="LD282" s="13"/>
      <c r="LE282" s="13"/>
      <c r="LF282" s="13"/>
      <c r="LG282" s="13"/>
      <c r="LH282" s="13"/>
      <c r="LI282" s="13"/>
      <c r="LJ282" s="13"/>
      <c r="LK282" s="13"/>
      <c r="LL282" s="13"/>
      <c r="LM282" s="13"/>
      <c r="LN282" s="13"/>
      <c r="LO282" s="13"/>
      <c r="LP282" s="13"/>
      <c r="LQ282" s="13"/>
      <c r="LR282" s="13"/>
      <c r="LS282" s="13"/>
      <c r="LT282" s="13"/>
      <c r="LU282" s="13"/>
      <c r="LV282" s="13"/>
      <c r="LW282" s="13"/>
      <c r="LX282" s="13"/>
      <c r="LY282" s="13"/>
      <c r="LZ282" s="13"/>
      <c r="MA282" s="13"/>
      <c r="MB282" s="13"/>
      <c r="MC282" s="13"/>
      <c r="MD282" s="13"/>
      <c r="ME282" s="13"/>
      <c r="MF282" s="13"/>
      <c r="MG282" s="13"/>
    </row>
    <row r="283" spans="1:345" s="14" customFormat="1">
      <c r="A283" s="15" t="s">
        <v>276</v>
      </c>
      <c r="B283" s="13">
        <f t="shared" si="212"/>
        <v>0</v>
      </c>
      <c r="C283" s="13">
        <f t="shared" si="213"/>
        <v>0</v>
      </c>
      <c r="D283" s="13">
        <f t="shared" si="214"/>
        <v>0</v>
      </c>
      <c r="E283" s="13">
        <f t="shared" si="215"/>
        <v>0</v>
      </c>
      <c r="F283" s="13">
        <f t="shared" si="216"/>
        <v>0</v>
      </c>
      <c r="G283" s="13">
        <f t="shared" si="217"/>
        <v>0</v>
      </c>
      <c r="H283" s="13">
        <f t="shared" si="218"/>
        <v>0</v>
      </c>
      <c r="I283" s="13">
        <f t="shared" si="219"/>
        <v>0</v>
      </c>
      <c r="J283" s="13">
        <f t="shared" si="220"/>
        <v>0</v>
      </c>
      <c r="K283" s="13">
        <f t="shared" si="221"/>
        <v>0</v>
      </c>
      <c r="L283" s="13">
        <f t="shared" si="222"/>
        <v>0</v>
      </c>
      <c r="M283" s="13">
        <f t="shared" si="223"/>
        <v>0</v>
      </c>
      <c r="N283" s="13">
        <f t="shared" si="224"/>
        <v>0</v>
      </c>
      <c r="O283" s="13">
        <f t="shared" si="225"/>
        <v>0</v>
      </c>
      <c r="P283" s="13">
        <f t="shared" si="226"/>
        <v>0</v>
      </c>
      <c r="Q283" s="13">
        <f t="shared" si="227"/>
        <v>0</v>
      </c>
      <c r="R283" s="13">
        <f t="shared" si="228"/>
        <v>0</v>
      </c>
      <c r="S283" s="13">
        <f t="shared" si="229"/>
        <v>0</v>
      </c>
      <c r="T283" s="13">
        <f t="shared" si="230"/>
        <v>0</v>
      </c>
      <c r="U283" s="13">
        <f t="shared" si="231"/>
        <v>0</v>
      </c>
      <c r="V283" s="13">
        <f t="shared" si="232"/>
        <v>0</v>
      </c>
      <c r="W283" s="13">
        <f t="shared" si="233"/>
        <v>0</v>
      </c>
      <c r="X283" s="13">
        <f t="shared" si="234"/>
        <v>0</v>
      </c>
      <c r="Y283" s="13">
        <f t="shared" si="235"/>
        <v>0</v>
      </c>
      <c r="Z283" s="13">
        <f t="shared" si="236"/>
        <v>0</v>
      </c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13"/>
      <c r="HP283" s="13"/>
      <c r="HQ283" s="13"/>
      <c r="HR283" s="13"/>
      <c r="HS283" s="13"/>
      <c r="HT283" s="13"/>
      <c r="HU283" s="13"/>
      <c r="HV283" s="13"/>
      <c r="HW283" s="13"/>
      <c r="HX283" s="13"/>
      <c r="HY283" s="13"/>
      <c r="HZ283" s="13"/>
      <c r="IA283" s="13"/>
      <c r="IB283" s="13"/>
      <c r="IC283" s="13"/>
      <c r="ID283" s="13"/>
      <c r="IE283" s="13"/>
      <c r="IF283" s="13"/>
      <c r="IG283" s="13"/>
      <c r="IH283" s="13"/>
      <c r="II283" s="13"/>
      <c r="IJ283" s="13"/>
      <c r="IK283" s="13"/>
      <c r="IL283" s="13"/>
      <c r="IM283" s="13"/>
      <c r="IN283" s="13"/>
      <c r="IO283" s="13"/>
      <c r="IP283" s="13"/>
      <c r="IQ283" s="13"/>
      <c r="IR283" s="13"/>
      <c r="IS283" s="13"/>
      <c r="IT283" s="13"/>
      <c r="IU283" s="13"/>
      <c r="IV283" s="13"/>
      <c r="IW283" s="13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3"/>
      <c r="KG283" s="13"/>
      <c r="KH283" s="13"/>
      <c r="KI283" s="13"/>
      <c r="KJ283" s="13"/>
      <c r="KK283" s="13"/>
      <c r="KL283" s="13"/>
      <c r="KM283" s="13"/>
      <c r="KN283" s="13"/>
      <c r="KO283" s="13"/>
      <c r="KP283" s="13"/>
      <c r="KQ283" s="13"/>
      <c r="KR283" s="13"/>
      <c r="KS283" s="13"/>
      <c r="KT283" s="13"/>
      <c r="KU283" s="13"/>
      <c r="KV283" s="13"/>
      <c r="KW283" s="13"/>
      <c r="KX283" s="13"/>
      <c r="KY283" s="13"/>
      <c r="KZ283" s="13"/>
      <c r="LA283" s="13"/>
      <c r="LB283" s="13"/>
      <c r="LC283" s="13"/>
      <c r="LD283" s="13"/>
      <c r="LE283" s="13"/>
      <c r="LF283" s="13"/>
      <c r="LG283" s="13"/>
      <c r="LH283" s="13"/>
      <c r="LI283" s="13"/>
      <c r="LJ283" s="13"/>
      <c r="LK283" s="13"/>
      <c r="LL283" s="13"/>
      <c r="LM283" s="13"/>
      <c r="LN283" s="13"/>
      <c r="LO283" s="13"/>
      <c r="LP283" s="13"/>
      <c r="LQ283" s="13"/>
      <c r="LR283" s="13"/>
      <c r="LS283" s="13"/>
      <c r="LT283" s="13"/>
      <c r="LU283" s="13"/>
      <c r="LV283" s="13"/>
      <c r="LW283" s="13"/>
      <c r="LX283" s="13"/>
      <c r="LY283" s="13"/>
      <c r="LZ283" s="13"/>
      <c r="MA283" s="13"/>
      <c r="MB283" s="13"/>
      <c r="MC283" s="13"/>
      <c r="MD283" s="13"/>
      <c r="ME283" s="13"/>
      <c r="MF283" s="13"/>
      <c r="MG283" s="13"/>
    </row>
    <row r="284" spans="1:345" s="14" customFormat="1">
      <c r="A284" s="15" t="s">
        <v>277</v>
      </c>
      <c r="B284" s="13">
        <f t="shared" si="212"/>
        <v>0</v>
      </c>
      <c r="C284" s="13">
        <f t="shared" si="213"/>
        <v>0</v>
      </c>
      <c r="D284" s="13">
        <f t="shared" si="214"/>
        <v>0</v>
      </c>
      <c r="E284" s="13">
        <f t="shared" si="215"/>
        <v>0</v>
      </c>
      <c r="F284" s="13">
        <f t="shared" si="216"/>
        <v>0</v>
      </c>
      <c r="G284" s="13">
        <f t="shared" si="217"/>
        <v>0</v>
      </c>
      <c r="H284" s="13">
        <f t="shared" si="218"/>
        <v>0</v>
      </c>
      <c r="I284" s="13">
        <f t="shared" si="219"/>
        <v>0</v>
      </c>
      <c r="J284" s="13">
        <f t="shared" si="220"/>
        <v>0</v>
      </c>
      <c r="K284" s="13">
        <f t="shared" si="221"/>
        <v>0</v>
      </c>
      <c r="L284" s="13">
        <f t="shared" si="222"/>
        <v>0</v>
      </c>
      <c r="M284" s="13">
        <f t="shared" si="223"/>
        <v>0</v>
      </c>
      <c r="N284" s="13">
        <f t="shared" si="224"/>
        <v>0</v>
      </c>
      <c r="O284" s="13">
        <f t="shared" si="225"/>
        <v>0</v>
      </c>
      <c r="P284" s="13">
        <f t="shared" si="226"/>
        <v>0</v>
      </c>
      <c r="Q284" s="13">
        <f t="shared" si="227"/>
        <v>0</v>
      </c>
      <c r="R284" s="13">
        <f t="shared" si="228"/>
        <v>0</v>
      </c>
      <c r="S284" s="13">
        <f t="shared" si="229"/>
        <v>0</v>
      </c>
      <c r="T284" s="13">
        <f t="shared" si="230"/>
        <v>0</v>
      </c>
      <c r="U284" s="13">
        <f t="shared" si="231"/>
        <v>0</v>
      </c>
      <c r="V284" s="13">
        <f t="shared" si="232"/>
        <v>0</v>
      </c>
      <c r="W284" s="13">
        <f t="shared" si="233"/>
        <v>0</v>
      </c>
      <c r="X284" s="13">
        <f t="shared" si="234"/>
        <v>0</v>
      </c>
      <c r="Y284" s="13">
        <f t="shared" si="235"/>
        <v>0</v>
      </c>
      <c r="Z284" s="13">
        <f t="shared" si="236"/>
        <v>0</v>
      </c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/>
      <c r="II284" s="13"/>
      <c r="IJ284" s="13"/>
      <c r="IK284" s="13"/>
      <c r="IL284" s="13"/>
      <c r="IM284" s="13"/>
      <c r="IN284" s="13"/>
      <c r="IO284" s="13"/>
      <c r="IP284" s="13"/>
      <c r="IQ284" s="13"/>
      <c r="IR284" s="13"/>
      <c r="IS284" s="13"/>
      <c r="IT284" s="13"/>
      <c r="IU284" s="13"/>
      <c r="IV284" s="13"/>
      <c r="IW284" s="13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3"/>
      <c r="KG284" s="13"/>
      <c r="KH284" s="13"/>
      <c r="KI284" s="13"/>
      <c r="KJ284" s="13"/>
      <c r="KK284" s="13"/>
      <c r="KL284" s="13"/>
      <c r="KM284" s="13"/>
      <c r="KN284" s="13"/>
      <c r="KO284" s="13"/>
      <c r="KP284" s="13"/>
      <c r="KQ284" s="13"/>
      <c r="KR284" s="13"/>
      <c r="KS284" s="13"/>
      <c r="KT284" s="13"/>
      <c r="KU284" s="13"/>
      <c r="KV284" s="13"/>
      <c r="KW284" s="13"/>
      <c r="KX284" s="13"/>
      <c r="KY284" s="13"/>
      <c r="KZ284" s="13"/>
      <c r="LA284" s="13"/>
      <c r="LB284" s="13"/>
      <c r="LC284" s="13"/>
      <c r="LD284" s="13"/>
      <c r="LE284" s="13"/>
      <c r="LF284" s="13"/>
      <c r="LG284" s="13"/>
      <c r="LH284" s="13"/>
      <c r="LI284" s="13"/>
      <c r="LJ284" s="13"/>
      <c r="LK284" s="13"/>
      <c r="LL284" s="13"/>
      <c r="LM284" s="13"/>
      <c r="LN284" s="13"/>
      <c r="LO284" s="13"/>
      <c r="LP284" s="13"/>
      <c r="LQ284" s="13"/>
      <c r="LR284" s="13"/>
      <c r="LS284" s="13"/>
      <c r="LT284" s="13"/>
      <c r="LU284" s="13"/>
      <c r="LV284" s="13"/>
      <c r="LW284" s="13"/>
      <c r="LX284" s="13"/>
      <c r="LY284" s="13"/>
      <c r="LZ284" s="13"/>
      <c r="MA284" s="13"/>
      <c r="MB284" s="13"/>
      <c r="MC284" s="13"/>
      <c r="MD284" s="13"/>
      <c r="ME284" s="13"/>
      <c r="MF284" s="13"/>
      <c r="MG284" s="13"/>
    </row>
    <row r="285" spans="1:345" s="14" customFormat="1">
      <c r="A285" s="15" t="s">
        <v>278</v>
      </c>
      <c r="B285" s="13">
        <f t="shared" si="212"/>
        <v>0</v>
      </c>
      <c r="C285" s="13">
        <f t="shared" si="213"/>
        <v>0</v>
      </c>
      <c r="D285" s="13">
        <f t="shared" si="214"/>
        <v>0</v>
      </c>
      <c r="E285" s="13">
        <f t="shared" si="215"/>
        <v>0</v>
      </c>
      <c r="F285" s="13">
        <f t="shared" si="216"/>
        <v>0</v>
      </c>
      <c r="G285" s="13">
        <f t="shared" si="217"/>
        <v>0</v>
      </c>
      <c r="H285" s="13">
        <f t="shared" si="218"/>
        <v>0</v>
      </c>
      <c r="I285" s="13">
        <f t="shared" si="219"/>
        <v>0</v>
      </c>
      <c r="J285" s="13">
        <f t="shared" si="220"/>
        <v>0</v>
      </c>
      <c r="K285" s="13">
        <f t="shared" si="221"/>
        <v>0</v>
      </c>
      <c r="L285" s="13">
        <f t="shared" si="222"/>
        <v>0</v>
      </c>
      <c r="M285" s="13">
        <f t="shared" si="223"/>
        <v>0</v>
      </c>
      <c r="N285" s="13">
        <f t="shared" si="224"/>
        <v>0</v>
      </c>
      <c r="O285" s="13">
        <f t="shared" si="225"/>
        <v>0</v>
      </c>
      <c r="P285" s="13">
        <f t="shared" si="226"/>
        <v>0</v>
      </c>
      <c r="Q285" s="13">
        <f t="shared" si="227"/>
        <v>0</v>
      </c>
      <c r="R285" s="13">
        <f t="shared" si="228"/>
        <v>0</v>
      </c>
      <c r="S285" s="13">
        <f t="shared" si="229"/>
        <v>0</v>
      </c>
      <c r="T285" s="13">
        <f t="shared" si="230"/>
        <v>0</v>
      </c>
      <c r="U285" s="13">
        <f t="shared" si="231"/>
        <v>0</v>
      </c>
      <c r="V285" s="13">
        <f t="shared" si="232"/>
        <v>0</v>
      </c>
      <c r="W285" s="13">
        <f t="shared" si="233"/>
        <v>0</v>
      </c>
      <c r="X285" s="13">
        <f t="shared" si="234"/>
        <v>0</v>
      </c>
      <c r="Y285" s="13">
        <f t="shared" si="235"/>
        <v>0</v>
      </c>
      <c r="Z285" s="13">
        <f t="shared" si="236"/>
        <v>0</v>
      </c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/>
      <c r="II285" s="13"/>
      <c r="IJ285" s="13"/>
      <c r="IK285" s="13"/>
      <c r="IL285" s="13"/>
      <c r="IM285" s="13"/>
      <c r="IN285" s="13"/>
      <c r="IO285" s="13"/>
      <c r="IP285" s="13"/>
      <c r="IQ285" s="13"/>
      <c r="IR285" s="13"/>
      <c r="IS285" s="13"/>
      <c r="IT285" s="13"/>
      <c r="IU285" s="13"/>
      <c r="IV285" s="13"/>
      <c r="IW285" s="13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3"/>
      <c r="KG285" s="13"/>
      <c r="KH285" s="13"/>
      <c r="KI285" s="13"/>
      <c r="KJ285" s="13"/>
      <c r="KK285" s="13"/>
      <c r="KL285" s="13"/>
      <c r="KM285" s="13"/>
      <c r="KN285" s="13"/>
      <c r="KO285" s="13"/>
      <c r="KP285" s="13"/>
      <c r="KQ285" s="13"/>
      <c r="KR285" s="13"/>
      <c r="KS285" s="13"/>
      <c r="KT285" s="13"/>
      <c r="KU285" s="13"/>
      <c r="KV285" s="13"/>
      <c r="KW285" s="13"/>
      <c r="KX285" s="13"/>
      <c r="KY285" s="13"/>
      <c r="KZ285" s="13"/>
      <c r="LA285" s="13"/>
      <c r="LB285" s="13"/>
      <c r="LC285" s="13"/>
      <c r="LD285" s="13"/>
      <c r="LE285" s="13"/>
      <c r="LF285" s="13"/>
      <c r="LG285" s="13"/>
      <c r="LH285" s="13"/>
      <c r="LI285" s="13"/>
      <c r="LJ285" s="13"/>
      <c r="LK285" s="13"/>
      <c r="LL285" s="13"/>
      <c r="LM285" s="13"/>
      <c r="LN285" s="13"/>
      <c r="LO285" s="13"/>
      <c r="LP285" s="13"/>
      <c r="LQ285" s="13"/>
      <c r="LR285" s="13"/>
      <c r="LS285" s="13"/>
      <c r="LT285" s="13"/>
      <c r="LU285" s="13"/>
      <c r="LV285" s="13"/>
      <c r="LW285" s="13"/>
      <c r="LX285" s="13"/>
      <c r="LY285" s="13"/>
      <c r="LZ285" s="13"/>
      <c r="MA285" s="13"/>
      <c r="MB285" s="13"/>
      <c r="MC285" s="13"/>
      <c r="MD285" s="13"/>
      <c r="ME285" s="13"/>
      <c r="MF285" s="13"/>
      <c r="MG285" s="13"/>
    </row>
    <row r="286" spans="1:345" s="14" customFormat="1">
      <c r="A286" s="15" t="s">
        <v>279</v>
      </c>
      <c r="B286" s="13">
        <f t="shared" si="212"/>
        <v>0</v>
      </c>
      <c r="C286" s="13">
        <f t="shared" si="213"/>
        <v>0</v>
      </c>
      <c r="D286" s="13">
        <f t="shared" si="214"/>
        <v>0</v>
      </c>
      <c r="E286" s="13">
        <f t="shared" si="215"/>
        <v>0</v>
      </c>
      <c r="F286" s="13">
        <f t="shared" si="216"/>
        <v>0</v>
      </c>
      <c r="G286" s="13">
        <f t="shared" si="217"/>
        <v>0</v>
      </c>
      <c r="H286" s="13">
        <f t="shared" si="218"/>
        <v>0</v>
      </c>
      <c r="I286" s="13">
        <f t="shared" si="219"/>
        <v>0</v>
      </c>
      <c r="J286" s="13">
        <f t="shared" si="220"/>
        <v>0</v>
      </c>
      <c r="K286" s="13">
        <f t="shared" si="221"/>
        <v>0</v>
      </c>
      <c r="L286" s="13">
        <f t="shared" si="222"/>
        <v>0</v>
      </c>
      <c r="M286" s="13">
        <f t="shared" si="223"/>
        <v>0</v>
      </c>
      <c r="N286" s="13">
        <f t="shared" si="224"/>
        <v>0</v>
      </c>
      <c r="O286" s="13">
        <f t="shared" si="225"/>
        <v>0</v>
      </c>
      <c r="P286" s="13">
        <f t="shared" si="226"/>
        <v>0</v>
      </c>
      <c r="Q286" s="13">
        <f t="shared" si="227"/>
        <v>0</v>
      </c>
      <c r="R286" s="13">
        <f t="shared" si="228"/>
        <v>0</v>
      </c>
      <c r="S286" s="13">
        <f t="shared" si="229"/>
        <v>0</v>
      </c>
      <c r="T286" s="13">
        <f t="shared" si="230"/>
        <v>0</v>
      </c>
      <c r="U286" s="13">
        <f t="shared" si="231"/>
        <v>0</v>
      </c>
      <c r="V286" s="13">
        <f t="shared" si="232"/>
        <v>0</v>
      </c>
      <c r="W286" s="13">
        <f t="shared" si="233"/>
        <v>0</v>
      </c>
      <c r="X286" s="13">
        <f t="shared" si="234"/>
        <v>0</v>
      </c>
      <c r="Y286" s="13">
        <f t="shared" si="235"/>
        <v>0</v>
      </c>
      <c r="Z286" s="13">
        <f t="shared" si="236"/>
        <v>0</v>
      </c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13"/>
      <c r="IJ286" s="13"/>
      <c r="IK286" s="13"/>
      <c r="IL286" s="13"/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3"/>
      <c r="KG286" s="13"/>
      <c r="KH286" s="13"/>
      <c r="KI286" s="13"/>
      <c r="KJ286" s="13"/>
      <c r="KK286" s="13"/>
      <c r="KL286" s="13"/>
      <c r="KM286" s="13"/>
      <c r="KN286" s="13"/>
      <c r="KO286" s="13"/>
      <c r="KP286" s="13"/>
      <c r="KQ286" s="13"/>
      <c r="KR286" s="13"/>
      <c r="KS286" s="13"/>
      <c r="KT286" s="13"/>
      <c r="KU286" s="13"/>
      <c r="KV286" s="13"/>
      <c r="KW286" s="13"/>
      <c r="KX286" s="13"/>
      <c r="KY286" s="13"/>
      <c r="KZ286" s="13"/>
      <c r="LA286" s="13"/>
      <c r="LB286" s="13"/>
      <c r="LC286" s="13"/>
      <c r="LD286" s="13"/>
      <c r="LE286" s="13"/>
      <c r="LF286" s="13"/>
      <c r="LG286" s="13"/>
      <c r="LH286" s="13"/>
      <c r="LI286" s="13"/>
      <c r="LJ286" s="13"/>
      <c r="LK286" s="13"/>
      <c r="LL286" s="13"/>
      <c r="LM286" s="13"/>
      <c r="LN286" s="13"/>
      <c r="LO286" s="13"/>
      <c r="LP286" s="13"/>
      <c r="LQ286" s="13"/>
      <c r="LR286" s="13"/>
      <c r="LS286" s="13"/>
      <c r="LT286" s="13"/>
      <c r="LU286" s="13"/>
      <c r="LV286" s="13"/>
      <c r="LW286" s="13"/>
      <c r="LX286" s="13"/>
      <c r="LY286" s="13"/>
      <c r="LZ286" s="13"/>
      <c r="MA286" s="13"/>
      <c r="MB286" s="13"/>
      <c r="MC286" s="13"/>
      <c r="MD286" s="13"/>
      <c r="ME286" s="13"/>
      <c r="MF286" s="13"/>
      <c r="MG286" s="13"/>
    </row>
    <row r="287" spans="1:345" s="14" customFormat="1">
      <c r="A287" s="15" t="s">
        <v>280</v>
      </c>
      <c r="B287" s="13">
        <f t="shared" si="212"/>
        <v>0</v>
      </c>
      <c r="C287" s="13">
        <f t="shared" si="213"/>
        <v>0</v>
      </c>
      <c r="D287" s="13">
        <f t="shared" si="214"/>
        <v>0</v>
      </c>
      <c r="E287" s="13">
        <f t="shared" si="215"/>
        <v>0</v>
      </c>
      <c r="F287" s="13">
        <f t="shared" si="216"/>
        <v>0</v>
      </c>
      <c r="G287" s="13">
        <f t="shared" si="217"/>
        <v>0</v>
      </c>
      <c r="H287" s="13">
        <f t="shared" si="218"/>
        <v>0</v>
      </c>
      <c r="I287" s="13">
        <f t="shared" si="219"/>
        <v>0</v>
      </c>
      <c r="J287" s="13">
        <f t="shared" si="220"/>
        <v>0</v>
      </c>
      <c r="K287" s="13">
        <f t="shared" si="221"/>
        <v>0</v>
      </c>
      <c r="L287" s="13">
        <f t="shared" si="222"/>
        <v>0</v>
      </c>
      <c r="M287" s="13">
        <f t="shared" si="223"/>
        <v>0</v>
      </c>
      <c r="N287" s="13">
        <f t="shared" si="224"/>
        <v>0</v>
      </c>
      <c r="O287" s="13">
        <f t="shared" si="225"/>
        <v>0</v>
      </c>
      <c r="P287" s="13">
        <f t="shared" si="226"/>
        <v>0</v>
      </c>
      <c r="Q287" s="13">
        <f t="shared" si="227"/>
        <v>0</v>
      </c>
      <c r="R287" s="13">
        <f t="shared" si="228"/>
        <v>0</v>
      </c>
      <c r="S287" s="13">
        <f t="shared" si="229"/>
        <v>0</v>
      </c>
      <c r="T287" s="13">
        <f t="shared" si="230"/>
        <v>0</v>
      </c>
      <c r="U287" s="13">
        <f t="shared" si="231"/>
        <v>0</v>
      </c>
      <c r="V287" s="13">
        <f t="shared" si="232"/>
        <v>0</v>
      </c>
      <c r="W287" s="13">
        <f t="shared" si="233"/>
        <v>0</v>
      </c>
      <c r="X287" s="13">
        <f t="shared" si="234"/>
        <v>0</v>
      </c>
      <c r="Y287" s="13">
        <f t="shared" si="235"/>
        <v>0</v>
      </c>
      <c r="Z287" s="13">
        <f t="shared" si="236"/>
        <v>0</v>
      </c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  <c r="HQ287" s="13"/>
      <c r="HR287" s="13"/>
      <c r="HS287" s="13"/>
      <c r="HT287" s="13"/>
      <c r="HU287" s="13"/>
      <c r="HV287" s="13"/>
      <c r="HW287" s="13"/>
      <c r="HX287" s="13"/>
      <c r="HY287" s="13"/>
      <c r="HZ287" s="13"/>
      <c r="IA287" s="13"/>
      <c r="IB287" s="13"/>
      <c r="IC287" s="13"/>
      <c r="ID287" s="13"/>
      <c r="IE287" s="13"/>
      <c r="IF287" s="13"/>
      <c r="IG287" s="13"/>
      <c r="IH287" s="13"/>
      <c r="II287" s="13"/>
      <c r="IJ287" s="13"/>
      <c r="IK287" s="13"/>
      <c r="IL287" s="13"/>
      <c r="IM287" s="13"/>
      <c r="IN287" s="13"/>
      <c r="IO287" s="13"/>
      <c r="IP287" s="13"/>
      <c r="IQ287" s="13"/>
      <c r="IR287" s="13"/>
      <c r="IS287" s="13"/>
      <c r="IT287" s="13"/>
      <c r="IU287" s="13"/>
      <c r="IV287" s="13"/>
      <c r="IW287" s="13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3"/>
      <c r="KG287" s="13"/>
      <c r="KH287" s="13"/>
      <c r="KI287" s="13"/>
      <c r="KJ287" s="13"/>
      <c r="KK287" s="13"/>
      <c r="KL287" s="13"/>
      <c r="KM287" s="13"/>
      <c r="KN287" s="13"/>
      <c r="KO287" s="13"/>
      <c r="KP287" s="13"/>
      <c r="KQ287" s="13"/>
      <c r="KR287" s="13"/>
      <c r="KS287" s="13"/>
      <c r="KT287" s="13"/>
      <c r="KU287" s="13"/>
      <c r="KV287" s="13"/>
      <c r="KW287" s="13"/>
      <c r="KX287" s="13"/>
      <c r="KY287" s="13"/>
      <c r="KZ287" s="13"/>
      <c r="LA287" s="13"/>
      <c r="LB287" s="13"/>
      <c r="LC287" s="13"/>
      <c r="LD287" s="13"/>
      <c r="LE287" s="13"/>
      <c r="LF287" s="13"/>
      <c r="LG287" s="13"/>
      <c r="LH287" s="13"/>
      <c r="LI287" s="13"/>
      <c r="LJ287" s="13"/>
      <c r="LK287" s="13"/>
      <c r="LL287" s="13"/>
      <c r="LM287" s="13"/>
      <c r="LN287" s="13"/>
      <c r="LO287" s="13"/>
      <c r="LP287" s="13"/>
      <c r="LQ287" s="13"/>
      <c r="LR287" s="13"/>
      <c r="LS287" s="13"/>
      <c r="LT287" s="13"/>
      <c r="LU287" s="13"/>
      <c r="LV287" s="13"/>
      <c r="LW287" s="13"/>
      <c r="LX287" s="13"/>
      <c r="LY287" s="13"/>
      <c r="LZ287" s="13"/>
      <c r="MA287" s="13"/>
      <c r="MB287" s="13"/>
      <c r="MC287" s="13"/>
      <c r="MD287" s="13"/>
      <c r="ME287" s="13"/>
      <c r="MF287" s="13"/>
      <c r="MG287" s="13"/>
    </row>
    <row r="288" spans="1:345" s="18" customFormat="1">
      <c r="A288" s="1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4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  <c r="HQ288" s="13"/>
      <c r="HR288" s="13"/>
      <c r="HS288" s="13"/>
      <c r="HT288" s="13"/>
      <c r="HU288" s="13"/>
      <c r="HV288" s="13"/>
      <c r="HW288" s="13"/>
      <c r="HX288" s="13"/>
      <c r="HY288" s="13"/>
      <c r="HZ288" s="13"/>
      <c r="IA288" s="13"/>
      <c r="IB288" s="13"/>
      <c r="IC288" s="13"/>
      <c r="ID288" s="13"/>
      <c r="IE288" s="13"/>
      <c r="IF288" s="13"/>
      <c r="IG288" s="13"/>
      <c r="IH288" s="13"/>
      <c r="II288" s="13"/>
      <c r="IJ288" s="13"/>
      <c r="IK288" s="13"/>
      <c r="IL288" s="13"/>
      <c r="IM288" s="13"/>
      <c r="IN288" s="13"/>
      <c r="IO288" s="13"/>
      <c r="IP288" s="13"/>
      <c r="IQ288" s="13"/>
      <c r="IR288" s="13"/>
      <c r="IS288" s="13"/>
      <c r="IT288" s="13"/>
      <c r="IU288" s="13"/>
      <c r="IV288" s="13"/>
      <c r="IW288" s="13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3"/>
      <c r="KG288" s="13"/>
      <c r="KH288" s="13"/>
      <c r="KI288" s="13"/>
      <c r="KJ288" s="13"/>
      <c r="KK288" s="13"/>
      <c r="KL288" s="13"/>
      <c r="KM288" s="13"/>
      <c r="KN288" s="13"/>
      <c r="KO288" s="13"/>
      <c r="KP288" s="13"/>
      <c r="KQ288" s="13"/>
      <c r="KR288" s="13"/>
      <c r="KS288" s="13"/>
      <c r="KT288" s="13"/>
      <c r="KU288" s="13"/>
      <c r="KV288" s="13"/>
      <c r="KW288" s="13"/>
      <c r="KX288" s="13"/>
      <c r="KY288" s="13"/>
      <c r="KZ288" s="13"/>
      <c r="LA288" s="13"/>
      <c r="LB288" s="13"/>
      <c r="LC288" s="13"/>
      <c r="LD288" s="13"/>
      <c r="LE288" s="13"/>
      <c r="LF288" s="13"/>
      <c r="LG288" s="13"/>
      <c r="LH288" s="13"/>
      <c r="LI288" s="13"/>
      <c r="LJ288" s="13"/>
      <c r="LK288" s="13"/>
      <c r="LL288" s="13"/>
      <c r="LM288" s="13"/>
      <c r="LN288" s="13"/>
      <c r="LO288" s="13"/>
      <c r="LP288" s="13"/>
      <c r="LQ288" s="13"/>
      <c r="LR288" s="13"/>
      <c r="LS288" s="13"/>
      <c r="LT288" s="13"/>
      <c r="LU288" s="13"/>
      <c r="LV288" s="13"/>
      <c r="LW288" s="13"/>
      <c r="LX288" s="13"/>
      <c r="LY288" s="13"/>
      <c r="LZ288" s="13"/>
      <c r="MA288" s="13"/>
      <c r="MB288" s="13"/>
      <c r="MC288" s="13"/>
      <c r="MD288" s="13"/>
      <c r="ME288" s="13"/>
      <c r="MF288" s="13"/>
      <c r="MG288" s="13"/>
    </row>
    <row r="289" spans="1:345" s="14" customFormat="1">
      <c r="A289" s="15" t="s">
        <v>281</v>
      </c>
      <c r="B289" s="13">
        <f t="shared" ref="B289:Z289" si="237">B$4+B$37+B$59+B$74+B$164+B$231</f>
        <v>0</v>
      </c>
      <c r="C289" s="13">
        <f t="shared" si="237"/>
        <v>0</v>
      </c>
      <c r="D289" s="13">
        <f t="shared" si="237"/>
        <v>0</v>
      </c>
      <c r="E289" s="13">
        <f t="shared" si="237"/>
        <v>0</v>
      </c>
      <c r="F289" s="13">
        <f t="shared" si="237"/>
        <v>0</v>
      </c>
      <c r="G289" s="13">
        <f t="shared" si="237"/>
        <v>0</v>
      </c>
      <c r="H289" s="13">
        <f t="shared" si="237"/>
        <v>0</v>
      </c>
      <c r="I289" s="13">
        <f t="shared" si="237"/>
        <v>0</v>
      </c>
      <c r="J289" s="13">
        <f t="shared" si="237"/>
        <v>0</v>
      </c>
      <c r="K289" s="13">
        <f t="shared" si="237"/>
        <v>0</v>
      </c>
      <c r="L289" s="13">
        <f t="shared" si="237"/>
        <v>0</v>
      </c>
      <c r="M289" s="13">
        <f t="shared" si="237"/>
        <v>0</v>
      </c>
      <c r="N289" s="13">
        <f t="shared" si="237"/>
        <v>0</v>
      </c>
      <c r="O289" s="13">
        <f t="shared" si="237"/>
        <v>0</v>
      </c>
      <c r="P289" s="13">
        <f t="shared" si="237"/>
        <v>0</v>
      </c>
      <c r="Q289" s="13">
        <f t="shared" si="237"/>
        <v>0</v>
      </c>
      <c r="R289" s="13">
        <f t="shared" si="237"/>
        <v>0</v>
      </c>
      <c r="S289" s="13">
        <f t="shared" si="237"/>
        <v>0</v>
      </c>
      <c r="T289" s="13">
        <f t="shared" si="237"/>
        <v>0</v>
      </c>
      <c r="U289" s="13">
        <f t="shared" si="237"/>
        <v>0</v>
      </c>
      <c r="V289" s="13">
        <f t="shared" si="237"/>
        <v>0</v>
      </c>
      <c r="W289" s="13">
        <f t="shared" si="237"/>
        <v>0</v>
      </c>
      <c r="X289" s="13">
        <f t="shared" si="237"/>
        <v>0</v>
      </c>
      <c r="Y289" s="13">
        <f t="shared" si="237"/>
        <v>0</v>
      </c>
      <c r="Z289" s="13">
        <f t="shared" si="237"/>
        <v>99.430269899999985</v>
      </c>
      <c r="AB289" s="13">
        <f t="shared" ref="AB289:CM289" si="238">AB$4+AB$37+AB$59+AB$74+AB$164+AB$231</f>
        <v>0</v>
      </c>
      <c r="AC289" s="13">
        <f t="shared" si="238"/>
        <v>0</v>
      </c>
      <c r="AD289" s="13">
        <f t="shared" si="238"/>
        <v>0</v>
      </c>
      <c r="AE289" s="13">
        <f t="shared" si="238"/>
        <v>0</v>
      </c>
      <c r="AF289" s="13">
        <f t="shared" si="238"/>
        <v>0</v>
      </c>
      <c r="AG289" s="13">
        <f t="shared" si="238"/>
        <v>0</v>
      </c>
      <c r="AH289" s="13">
        <f t="shared" si="238"/>
        <v>0</v>
      </c>
      <c r="AI289" s="13">
        <f t="shared" si="238"/>
        <v>0</v>
      </c>
      <c r="AJ289" s="13">
        <f t="shared" si="238"/>
        <v>0</v>
      </c>
      <c r="AK289" s="13">
        <f t="shared" si="238"/>
        <v>0</v>
      </c>
      <c r="AL289" s="13">
        <f t="shared" si="238"/>
        <v>0</v>
      </c>
      <c r="AM289" s="13">
        <f t="shared" si="238"/>
        <v>0</v>
      </c>
      <c r="AN289" s="13">
        <f t="shared" si="238"/>
        <v>0</v>
      </c>
      <c r="AO289" s="13">
        <f t="shared" si="238"/>
        <v>0</v>
      </c>
      <c r="AP289" s="13">
        <f t="shared" si="238"/>
        <v>0</v>
      </c>
      <c r="AQ289" s="13">
        <f t="shared" si="238"/>
        <v>0</v>
      </c>
      <c r="AR289" s="13">
        <f t="shared" si="238"/>
        <v>0</v>
      </c>
      <c r="AS289" s="13">
        <f t="shared" si="238"/>
        <v>0</v>
      </c>
      <c r="AT289" s="13">
        <f t="shared" si="238"/>
        <v>0</v>
      </c>
      <c r="AU289" s="13">
        <f t="shared" si="238"/>
        <v>0</v>
      </c>
      <c r="AV289" s="13">
        <f t="shared" si="238"/>
        <v>0</v>
      </c>
      <c r="AW289" s="13">
        <f t="shared" si="238"/>
        <v>0</v>
      </c>
      <c r="AX289" s="13">
        <f t="shared" si="238"/>
        <v>0</v>
      </c>
      <c r="AY289" s="13">
        <f t="shared" si="238"/>
        <v>0</v>
      </c>
      <c r="AZ289" s="13">
        <f t="shared" si="238"/>
        <v>0</v>
      </c>
      <c r="BA289" s="13">
        <f t="shared" si="238"/>
        <v>0</v>
      </c>
      <c r="BB289" s="13">
        <f t="shared" si="238"/>
        <v>0</v>
      </c>
      <c r="BC289" s="13">
        <f t="shared" si="238"/>
        <v>0</v>
      </c>
      <c r="BD289" s="13">
        <f t="shared" si="238"/>
        <v>0</v>
      </c>
      <c r="BE289" s="13">
        <f t="shared" si="238"/>
        <v>0</v>
      </c>
      <c r="BF289" s="13">
        <f t="shared" si="238"/>
        <v>0</v>
      </c>
      <c r="BG289" s="13">
        <f t="shared" si="238"/>
        <v>0</v>
      </c>
      <c r="BH289" s="13">
        <f t="shared" si="238"/>
        <v>0</v>
      </c>
      <c r="BI289" s="13">
        <f t="shared" si="238"/>
        <v>0</v>
      </c>
      <c r="BJ289" s="13">
        <f t="shared" si="238"/>
        <v>0</v>
      </c>
      <c r="BK289" s="13">
        <f t="shared" si="238"/>
        <v>0</v>
      </c>
      <c r="BL289" s="13">
        <f t="shared" si="238"/>
        <v>0</v>
      </c>
      <c r="BM289" s="13">
        <f t="shared" si="238"/>
        <v>0</v>
      </c>
      <c r="BN289" s="13">
        <f t="shared" si="238"/>
        <v>0</v>
      </c>
      <c r="BO289" s="13">
        <f t="shared" si="238"/>
        <v>0</v>
      </c>
      <c r="BP289" s="13">
        <f t="shared" si="238"/>
        <v>0</v>
      </c>
      <c r="BQ289" s="13">
        <f t="shared" si="238"/>
        <v>0</v>
      </c>
      <c r="BR289" s="13">
        <f t="shared" si="238"/>
        <v>0</v>
      </c>
      <c r="BS289" s="13">
        <f t="shared" si="238"/>
        <v>0</v>
      </c>
      <c r="BT289" s="13">
        <f t="shared" si="238"/>
        <v>0</v>
      </c>
      <c r="BU289" s="13">
        <f t="shared" si="238"/>
        <v>0</v>
      </c>
      <c r="BV289" s="13">
        <f t="shared" si="238"/>
        <v>0</v>
      </c>
      <c r="BW289" s="13">
        <f t="shared" si="238"/>
        <v>0</v>
      </c>
      <c r="BX289" s="13">
        <f t="shared" si="238"/>
        <v>0</v>
      </c>
      <c r="BY289" s="13">
        <f t="shared" si="238"/>
        <v>0</v>
      </c>
      <c r="BZ289" s="13">
        <f t="shared" si="238"/>
        <v>0</v>
      </c>
      <c r="CA289" s="13">
        <f t="shared" si="238"/>
        <v>0</v>
      </c>
      <c r="CB289" s="13">
        <f t="shared" si="238"/>
        <v>0</v>
      </c>
      <c r="CC289" s="13">
        <f t="shared" si="238"/>
        <v>0</v>
      </c>
      <c r="CD289" s="13">
        <f t="shared" si="238"/>
        <v>0</v>
      </c>
      <c r="CE289" s="13">
        <f t="shared" si="238"/>
        <v>0</v>
      </c>
      <c r="CF289" s="13">
        <f t="shared" si="238"/>
        <v>0</v>
      </c>
      <c r="CG289" s="13">
        <f t="shared" si="238"/>
        <v>0</v>
      </c>
      <c r="CH289" s="13">
        <f t="shared" si="238"/>
        <v>0</v>
      </c>
      <c r="CI289" s="13">
        <f t="shared" si="238"/>
        <v>0</v>
      </c>
      <c r="CJ289" s="13">
        <f t="shared" si="238"/>
        <v>0</v>
      </c>
      <c r="CK289" s="13">
        <f t="shared" si="238"/>
        <v>0</v>
      </c>
      <c r="CL289" s="13">
        <f t="shared" si="238"/>
        <v>0</v>
      </c>
      <c r="CM289" s="13">
        <f t="shared" si="238"/>
        <v>0</v>
      </c>
      <c r="CN289" s="13">
        <f t="shared" ref="CN289:EY289" si="239">CN$4+CN$37+CN$59+CN$74+CN$164+CN$231</f>
        <v>0</v>
      </c>
      <c r="CO289" s="13">
        <f t="shared" si="239"/>
        <v>0</v>
      </c>
      <c r="CP289" s="13">
        <f t="shared" si="239"/>
        <v>0</v>
      </c>
      <c r="CQ289" s="13">
        <f t="shared" si="239"/>
        <v>0</v>
      </c>
      <c r="CR289" s="13">
        <f t="shared" si="239"/>
        <v>0</v>
      </c>
      <c r="CS289" s="13">
        <f t="shared" si="239"/>
        <v>0</v>
      </c>
      <c r="CT289" s="13">
        <f t="shared" si="239"/>
        <v>0</v>
      </c>
      <c r="CU289" s="13">
        <f t="shared" si="239"/>
        <v>0</v>
      </c>
      <c r="CV289" s="13">
        <f t="shared" si="239"/>
        <v>0</v>
      </c>
      <c r="CW289" s="13">
        <f t="shared" si="239"/>
        <v>0</v>
      </c>
      <c r="CX289" s="13">
        <f t="shared" si="239"/>
        <v>0</v>
      </c>
      <c r="CY289" s="13">
        <f t="shared" si="239"/>
        <v>0</v>
      </c>
      <c r="CZ289" s="13">
        <f t="shared" si="239"/>
        <v>0</v>
      </c>
      <c r="DA289" s="13">
        <f t="shared" si="239"/>
        <v>0</v>
      </c>
      <c r="DB289" s="13">
        <f t="shared" si="239"/>
        <v>0</v>
      </c>
      <c r="DC289" s="13">
        <f t="shared" si="239"/>
        <v>0</v>
      </c>
      <c r="DD289" s="13">
        <f t="shared" si="239"/>
        <v>0</v>
      </c>
      <c r="DE289" s="13">
        <f t="shared" si="239"/>
        <v>0</v>
      </c>
      <c r="DF289" s="13">
        <f t="shared" si="239"/>
        <v>0</v>
      </c>
      <c r="DG289" s="13">
        <f t="shared" si="239"/>
        <v>0</v>
      </c>
      <c r="DH289" s="13">
        <f t="shared" si="239"/>
        <v>0</v>
      </c>
      <c r="DI289" s="13">
        <f t="shared" si="239"/>
        <v>0</v>
      </c>
      <c r="DJ289" s="13">
        <f t="shared" si="239"/>
        <v>0</v>
      </c>
      <c r="DK289" s="13">
        <f t="shared" si="239"/>
        <v>0</v>
      </c>
      <c r="DL289" s="13">
        <f t="shared" si="239"/>
        <v>0</v>
      </c>
      <c r="DM289" s="13">
        <f t="shared" si="239"/>
        <v>0</v>
      </c>
      <c r="DN289" s="13">
        <f t="shared" si="239"/>
        <v>0</v>
      </c>
      <c r="DO289" s="13">
        <f t="shared" si="239"/>
        <v>0</v>
      </c>
      <c r="DP289" s="13">
        <f t="shared" si="239"/>
        <v>0</v>
      </c>
      <c r="DQ289" s="13">
        <f t="shared" si="239"/>
        <v>0</v>
      </c>
      <c r="DR289" s="13">
        <f t="shared" si="239"/>
        <v>0</v>
      </c>
      <c r="DS289" s="13">
        <f t="shared" si="239"/>
        <v>0</v>
      </c>
      <c r="DT289" s="13">
        <f t="shared" si="239"/>
        <v>0</v>
      </c>
      <c r="DU289" s="13">
        <f t="shared" si="239"/>
        <v>0</v>
      </c>
      <c r="DV289" s="13">
        <f t="shared" si="239"/>
        <v>0</v>
      </c>
      <c r="DW289" s="13">
        <f t="shared" si="239"/>
        <v>0</v>
      </c>
      <c r="DX289" s="13">
        <f t="shared" si="239"/>
        <v>0</v>
      </c>
      <c r="DY289" s="13">
        <f t="shared" si="239"/>
        <v>0</v>
      </c>
      <c r="DZ289" s="13">
        <f t="shared" si="239"/>
        <v>0</v>
      </c>
      <c r="EA289" s="13">
        <f t="shared" si="239"/>
        <v>0</v>
      </c>
      <c r="EB289" s="13">
        <f t="shared" si="239"/>
        <v>0</v>
      </c>
      <c r="EC289" s="13">
        <f t="shared" si="239"/>
        <v>0</v>
      </c>
      <c r="ED289" s="13">
        <f t="shared" si="239"/>
        <v>0</v>
      </c>
      <c r="EE289" s="13">
        <f t="shared" si="239"/>
        <v>0</v>
      </c>
      <c r="EF289" s="13">
        <f t="shared" si="239"/>
        <v>0</v>
      </c>
      <c r="EG289" s="13">
        <f t="shared" si="239"/>
        <v>0</v>
      </c>
      <c r="EH289" s="13">
        <f t="shared" si="239"/>
        <v>0</v>
      </c>
      <c r="EI289" s="13">
        <f t="shared" si="239"/>
        <v>0</v>
      </c>
      <c r="EJ289" s="13">
        <f t="shared" si="239"/>
        <v>0</v>
      </c>
      <c r="EK289" s="13">
        <f t="shared" si="239"/>
        <v>0</v>
      </c>
      <c r="EL289" s="13">
        <f t="shared" si="239"/>
        <v>0</v>
      </c>
      <c r="EM289" s="13">
        <f t="shared" si="239"/>
        <v>0</v>
      </c>
      <c r="EN289" s="13">
        <f t="shared" si="239"/>
        <v>0</v>
      </c>
      <c r="EO289" s="13">
        <f t="shared" si="239"/>
        <v>0</v>
      </c>
      <c r="EP289" s="13">
        <f t="shared" si="239"/>
        <v>0</v>
      </c>
      <c r="EQ289" s="13">
        <f t="shared" si="239"/>
        <v>0</v>
      </c>
      <c r="ER289" s="13">
        <f t="shared" si="239"/>
        <v>0</v>
      </c>
      <c r="ES289" s="13">
        <f t="shared" si="239"/>
        <v>0</v>
      </c>
      <c r="ET289" s="13">
        <f t="shared" si="239"/>
        <v>0</v>
      </c>
      <c r="EU289" s="13">
        <f t="shared" si="239"/>
        <v>0</v>
      </c>
      <c r="EV289" s="13">
        <f t="shared" si="239"/>
        <v>0</v>
      </c>
      <c r="EW289" s="13">
        <f t="shared" si="239"/>
        <v>0</v>
      </c>
      <c r="EX289" s="13">
        <f t="shared" si="239"/>
        <v>0</v>
      </c>
      <c r="EY289" s="13">
        <f t="shared" si="239"/>
        <v>0</v>
      </c>
      <c r="EZ289" s="13">
        <f t="shared" ref="EZ289:HK289" si="240">EZ$4+EZ$37+EZ$59+EZ$74+EZ$164+EZ$231</f>
        <v>0</v>
      </c>
      <c r="FA289" s="13">
        <f t="shared" si="240"/>
        <v>0</v>
      </c>
      <c r="FB289" s="13">
        <f t="shared" si="240"/>
        <v>0</v>
      </c>
      <c r="FC289" s="13">
        <f t="shared" si="240"/>
        <v>0</v>
      </c>
      <c r="FD289" s="13">
        <f t="shared" si="240"/>
        <v>0</v>
      </c>
      <c r="FE289" s="13">
        <f t="shared" si="240"/>
        <v>0</v>
      </c>
      <c r="FF289" s="13">
        <f t="shared" si="240"/>
        <v>0</v>
      </c>
      <c r="FG289" s="13">
        <f t="shared" si="240"/>
        <v>0</v>
      </c>
      <c r="FH289" s="13">
        <f t="shared" si="240"/>
        <v>0</v>
      </c>
      <c r="FI289" s="13">
        <f t="shared" si="240"/>
        <v>0</v>
      </c>
      <c r="FJ289" s="13">
        <f t="shared" si="240"/>
        <v>0</v>
      </c>
      <c r="FK289" s="13">
        <f t="shared" si="240"/>
        <v>0</v>
      </c>
      <c r="FL289" s="13">
        <f t="shared" si="240"/>
        <v>0</v>
      </c>
      <c r="FM289" s="13">
        <f t="shared" si="240"/>
        <v>0</v>
      </c>
      <c r="FN289" s="13">
        <f t="shared" si="240"/>
        <v>0</v>
      </c>
      <c r="FO289" s="13">
        <f t="shared" si="240"/>
        <v>0</v>
      </c>
      <c r="FP289" s="13">
        <f t="shared" si="240"/>
        <v>0</v>
      </c>
      <c r="FQ289" s="13">
        <f t="shared" si="240"/>
        <v>0</v>
      </c>
      <c r="FR289" s="13">
        <f t="shared" si="240"/>
        <v>0</v>
      </c>
      <c r="FS289" s="13">
        <f t="shared" si="240"/>
        <v>0</v>
      </c>
      <c r="FT289" s="13">
        <f t="shared" si="240"/>
        <v>0</v>
      </c>
      <c r="FU289" s="13">
        <f t="shared" si="240"/>
        <v>0</v>
      </c>
      <c r="FV289" s="13">
        <f t="shared" si="240"/>
        <v>0</v>
      </c>
      <c r="FW289" s="13">
        <f t="shared" si="240"/>
        <v>0</v>
      </c>
      <c r="FX289" s="13">
        <f t="shared" si="240"/>
        <v>0</v>
      </c>
      <c r="FY289" s="13">
        <f t="shared" si="240"/>
        <v>0</v>
      </c>
      <c r="FZ289" s="13">
        <f t="shared" si="240"/>
        <v>0</v>
      </c>
      <c r="GA289" s="13">
        <f t="shared" si="240"/>
        <v>0</v>
      </c>
      <c r="GB289" s="13">
        <f t="shared" si="240"/>
        <v>0</v>
      </c>
      <c r="GC289" s="13">
        <f t="shared" si="240"/>
        <v>0</v>
      </c>
      <c r="GD289" s="13">
        <f t="shared" si="240"/>
        <v>0</v>
      </c>
      <c r="GE289" s="13">
        <f t="shared" si="240"/>
        <v>0</v>
      </c>
      <c r="GF289" s="13">
        <f t="shared" si="240"/>
        <v>0</v>
      </c>
      <c r="GG289" s="13">
        <f t="shared" si="240"/>
        <v>0</v>
      </c>
      <c r="GH289" s="13">
        <f t="shared" si="240"/>
        <v>0</v>
      </c>
      <c r="GI289" s="13">
        <f t="shared" si="240"/>
        <v>0</v>
      </c>
      <c r="GJ289" s="13">
        <f t="shared" si="240"/>
        <v>0</v>
      </c>
      <c r="GK289" s="13">
        <f t="shared" si="240"/>
        <v>0</v>
      </c>
      <c r="GL289" s="13">
        <f t="shared" si="240"/>
        <v>0</v>
      </c>
      <c r="GM289" s="13">
        <f t="shared" si="240"/>
        <v>0</v>
      </c>
      <c r="GN289" s="13">
        <f t="shared" si="240"/>
        <v>0</v>
      </c>
      <c r="GO289" s="13">
        <f t="shared" si="240"/>
        <v>0</v>
      </c>
      <c r="GP289" s="13">
        <f t="shared" si="240"/>
        <v>0</v>
      </c>
      <c r="GQ289" s="13">
        <f t="shared" si="240"/>
        <v>0</v>
      </c>
      <c r="GR289" s="13">
        <f t="shared" si="240"/>
        <v>0</v>
      </c>
      <c r="GS289" s="13">
        <f t="shared" si="240"/>
        <v>0</v>
      </c>
      <c r="GT289" s="13">
        <f t="shared" si="240"/>
        <v>0</v>
      </c>
      <c r="GU289" s="13">
        <f t="shared" si="240"/>
        <v>0</v>
      </c>
      <c r="GV289" s="13">
        <f t="shared" si="240"/>
        <v>0</v>
      </c>
      <c r="GW289" s="13">
        <f t="shared" si="240"/>
        <v>0</v>
      </c>
      <c r="GX289" s="13">
        <f t="shared" si="240"/>
        <v>0</v>
      </c>
      <c r="GY289" s="13">
        <f t="shared" si="240"/>
        <v>0</v>
      </c>
      <c r="GZ289" s="13">
        <f t="shared" si="240"/>
        <v>0</v>
      </c>
      <c r="HA289" s="13">
        <f t="shared" si="240"/>
        <v>0</v>
      </c>
      <c r="HB289" s="13">
        <f t="shared" si="240"/>
        <v>0</v>
      </c>
      <c r="HC289" s="13">
        <f t="shared" si="240"/>
        <v>0</v>
      </c>
      <c r="HD289" s="13">
        <f t="shared" si="240"/>
        <v>0</v>
      </c>
      <c r="HE289" s="13">
        <f t="shared" si="240"/>
        <v>0</v>
      </c>
      <c r="HF289" s="13">
        <f t="shared" si="240"/>
        <v>0</v>
      </c>
      <c r="HG289" s="13">
        <f t="shared" si="240"/>
        <v>0</v>
      </c>
      <c r="HH289" s="13">
        <f t="shared" si="240"/>
        <v>0</v>
      </c>
      <c r="HI289" s="13">
        <f t="shared" si="240"/>
        <v>0</v>
      </c>
      <c r="HJ289" s="13">
        <f t="shared" si="240"/>
        <v>0</v>
      </c>
      <c r="HK289" s="13">
        <f t="shared" si="240"/>
        <v>0</v>
      </c>
      <c r="HL289" s="13">
        <f t="shared" ref="HL289:JW289" si="241">HL$4+HL$37+HL$59+HL$74+HL$164+HL$231</f>
        <v>0</v>
      </c>
      <c r="HM289" s="13">
        <f t="shared" si="241"/>
        <v>0</v>
      </c>
      <c r="HN289" s="13">
        <f t="shared" si="241"/>
        <v>0</v>
      </c>
      <c r="HO289" s="13">
        <f t="shared" si="241"/>
        <v>0</v>
      </c>
      <c r="HP289" s="13">
        <f t="shared" si="241"/>
        <v>0</v>
      </c>
      <c r="HQ289" s="13">
        <f t="shared" si="241"/>
        <v>0</v>
      </c>
      <c r="HR289" s="13">
        <f t="shared" si="241"/>
        <v>0</v>
      </c>
      <c r="HS289" s="13">
        <f t="shared" si="241"/>
        <v>0</v>
      </c>
      <c r="HT289" s="13">
        <f t="shared" si="241"/>
        <v>0</v>
      </c>
      <c r="HU289" s="13">
        <f t="shared" si="241"/>
        <v>0</v>
      </c>
      <c r="HV289" s="13">
        <f t="shared" si="241"/>
        <v>0</v>
      </c>
      <c r="HW289" s="13">
        <f t="shared" si="241"/>
        <v>0</v>
      </c>
      <c r="HX289" s="13">
        <f t="shared" si="241"/>
        <v>0</v>
      </c>
      <c r="HY289" s="13">
        <f t="shared" si="241"/>
        <v>0</v>
      </c>
      <c r="HZ289" s="13">
        <f t="shared" si="241"/>
        <v>0</v>
      </c>
      <c r="IA289" s="13">
        <f t="shared" si="241"/>
        <v>0</v>
      </c>
      <c r="IB289" s="13">
        <f t="shared" si="241"/>
        <v>0</v>
      </c>
      <c r="IC289" s="13">
        <f t="shared" si="241"/>
        <v>0</v>
      </c>
      <c r="ID289" s="13">
        <f t="shared" si="241"/>
        <v>0</v>
      </c>
      <c r="IE289" s="13">
        <f t="shared" si="241"/>
        <v>0</v>
      </c>
      <c r="IF289" s="13">
        <f t="shared" si="241"/>
        <v>0</v>
      </c>
      <c r="IG289" s="13">
        <f t="shared" si="241"/>
        <v>0</v>
      </c>
      <c r="IH289" s="13">
        <f t="shared" si="241"/>
        <v>0</v>
      </c>
      <c r="II289" s="13">
        <f t="shared" si="241"/>
        <v>0</v>
      </c>
      <c r="IJ289" s="13">
        <f t="shared" si="241"/>
        <v>0</v>
      </c>
      <c r="IK289" s="13">
        <f t="shared" si="241"/>
        <v>0</v>
      </c>
      <c r="IL289" s="13">
        <f t="shared" si="241"/>
        <v>0</v>
      </c>
      <c r="IM289" s="13">
        <f t="shared" si="241"/>
        <v>0</v>
      </c>
      <c r="IN289" s="13">
        <f t="shared" si="241"/>
        <v>0</v>
      </c>
      <c r="IO289" s="13">
        <f t="shared" si="241"/>
        <v>0</v>
      </c>
      <c r="IP289" s="13">
        <f t="shared" si="241"/>
        <v>0</v>
      </c>
      <c r="IQ289" s="13">
        <f t="shared" si="241"/>
        <v>0</v>
      </c>
      <c r="IR289" s="13">
        <f t="shared" si="241"/>
        <v>0</v>
      </c>
      <c r="IS289" s="13">
        <f t="shared" si="241"/>
        <v>0</v>
      </c>
      <c r="IT289" s="13">
        <f t="shared" si="241"/>
        <v>0</v>
      </c>
      <c r="IU289" s="13">
        <f t="shared" si="241"/>
        <v>0</v>
      </c>
      <c r="IV289" s="13">
        <f t="shared" si="241"/>
        <v>0</v>
      </c>
      <c r="IW289" s="13">
        <f t="shared" si="241"/>
        <v>0</v>
      </c>
      <c r="IX289" s="13">
        <f t="shared" si="241"/>
        <v>0</v>
      </c>
      <c r="IY289" s="13">
        <f t="shared" si="241"/>
        <v>0</v>
      </c>
      <c r="IZ289" s="13">
        <f t="shared" si="241"/>
        <v>0</v>
      </c>
      <c r="JA289" s="13">
        <f t="shared" si="241"/>
        <v>0</v>
      </c>
      <c r="JB289" s="13">
        <f t="shared" si="241"/>
        <v>0</v>
      </c>
      <c r="JC289" s="13">
        <f t="shared" si="241"/>
        <v>0</v>
      </c>
      <c r="JD289" s="13">
        <f t="shared" si="241"/>
        <v>0</v>
      </c>
      <c r="JE289" s="13">
        <f t="shared" si="241"/>
        <v>0</v>
      </c>
      <c r="JF289" s="13">
        <f t="shared" si="241"/>
        <v>0</v>
      </c>
      <c r="JG289" s="13">
        <f t="shared" si="241"/>
        <v>0</v>
      </c>
      <c r="JH289" s="13">
        <f t="shared" si="241"/>
        <v>0</v>
      </c>
      <c r="JI289" s="13">
        <f t="shared" si="241"/>
        <v>0</v>
      </c>
      <c r="JJ289" s="13">
        <f t="shared" si="241"/>
        <v>0</v>
      </c>
      <c r="JK289" s="13">
        <f t="shared" si="241"/>
        <v>0</v>
      </c>
      <c r="JL289" s="13">
        <f t="shared" si="241"/>
        <v>0</v>
      </c>
      <c r="JM289" s="13">
        <f t="shared" si="241"/>
        <v>0</v>
      </c>
      <c r="JN289" s="13">
        <f t="shared" si="241"/>
        <v>0</v>
      </c>
      <c r="JO289" s="13">
        <f t="shared" si="241"/>
        <v>0</v>
      </c>
      <c r="JP289" s="13">
        <f t="shared" si="241"/>
        <v>0</v>
      </c>
      <c r="JQ289" s="13">
        <f t="shared" si="241"/>
        <v>0</v>
      </c>
      <c r="JR289" s="13">
        <f t="shared" si="241"/>
        <v>0</v>
      </c>
      <c r="JS289" s="13">
        <f t="shared" si="241"/>
        <v>0</v>
      </c>
      <c r="JT289" s="13">
        <f t="shared" si="241"/>
        <v>0</v>
      </c>
      <c r="JU289" s="13">
        <f t="shared" si="241"/>
        <v>0</v>
      </c>
      <c r="JV289" s="13">
        <f t="shared" si="241"/>
        <v>0</v>
      </c>
      <c r="JW289" s="13">
        <f t="shared" si="241"/>
        <v>0</v>
      </c>
      <c r="JX289" s="13">
        <f t="shared" ref="JX289:MG289" si="242">JX$4+JX$37+JX$59+JX$74+JX$164+JX$231</f>
        <v>0</v>
      </c>
      <c r="JY289" s="13">
        <f t="shared" si="242"/>
        <v>0</v>
      </c>
      <c r="JZ289" s="13">
        <f t="shared" si="242"/>
        <v>0</v>
      </c>
      <c r="KA289" s="13">
        <f t="shared" si="242"/>
        <v>0</v>
      </c>
      <c r="KB289" s="13">
        <f t="shared" si="242"/>
        <v>0</v>
      </c>
      <c r="KC289" s="13">
        <f t="shared" si="242"/>
        <v>0</v>
      </c>
      <c r="KD289" s="13">
        <f t="shared" si="242"/>
        <v>0</v>
      </c>
      <c r="KE289" s="13">
        <f t="shared" si="242"/>
        <v>0</v>
      </c>
      <c r="KF289" s="13">
        <f t="shared" si="242"/>
        <v>0</v>
      </c>
      <c r="KG289" s="13">
        <f t="shared" si="242"/>
        <v>0</v>
      </c>
      <c r="KH289" s="13">
        <f t="shared" si="242"/>
        <v>0</v>
      </c>
      <c r="KI289" s="13">
        <f t="shared" si="242"/>
        <v>0</v>
      </c>
      <c r="KJ289" s="13">
        <f t="shared" si="242"/>
        <v>0</v>
      </c>
      <c r="KK289" s="13">
        <f t="shared" si="242"/>
        <v>0</v>
      </c>
      <c r="KL289" s="13">
        <f t="shared" si="242"/>
        <v>0</v>
      </c>
      <c r="KM289" s="13">
        <f t="shared" si="242"/>
        <v>0</v>
      </c>
      <c r="KN289" s="13">
        <f t="shared" si="242"/>
        <v>0</v>
      </c>
      <c r="KO289" s="13">
        <f t="shared" si="242"/>
        <v>0</v>
      </c>
      <c r="KP289" s="13">
        <f t="shared" si="242"/>
        <v>0</v>
      </c>
      <c r="KQ289" s="13">
        <f t="shared" si="242"/>
        <v>0</v>
      </c>
      <c r="KR289" s="13">
        <f t="shared" si="242"/>
        <v>0</v>
      </c>
      <c r="KS289" s="13">
        <f t="shared" si="242"/>
        <v>0</v>
      </c>
      <c r="KT289" s="13">
        <f t="shared" si="242"/>
        <v>0</v>
      </c>
      <c r="KU289" s="13">
        <f t="shared" si="242"/>
        <v>0</v>
      </c>
      <c r="KV289" s="13">
        <f t="shared" si="242"/>
        <v>0</v>
      </c>
      <c r="KW289" s="13">
        <f t="shared" si="242"/>
        <v>0</v>
      </c>
      <c r="KX289" s="13">
        <f t="shared" si="242"/>
        <v>0</v>
      </c>
      <c r="KY289" s="13">
        <f t="shared" si="242"/>
        <v>0</v>
      </c>
      <c r="KZ289" s="13">
        <f t="shared" si="242"/>
        <v>0</v>
      </c>
      <c r="LA289" s="13">
        <f t="shared" si="242"/>
        <v>0</v>
      </c>
      <c r="LB289" s="13">
        <f t="shared" si="242"/>
        <v>0</v>
      </c>
      <c r="LC289" s="13">
        <f t="shared" si="242"/>
        <v>0</v>
      </c>
      <c r="LD289" s="13">
        <f t="shared" si="242"/>
        <v>0</v>
      </c>
      <c r="LE289" s="13">
        <f t="shared" si="242"/>
        <v>4367.4120000000003</v>
      </c>
      <c r="LF289" s="13">
        <f t="shared" si="242"/>
        <v>10793.420400000001</v>
      </c>
      <c r="LG289" s="13">
        <f t="shared" si="242"/>
        <v>9197.8425000000007</v>
      </c>
      <c r="LH289" s="13">
        <f t="shared" si="242"/>
        <v>16142.151300000001</v>
      </c>
      <c r="LI289" s="13">
        <f t="shared" si="242"/>
        <v>11638.9524</v>
      </c>
      <c r="LJ289" s="13">
        <f t="shared" si="242"/>
        <v>10948.5396</v>
      </c>
      <c r="LK289" s="13">
        <f t="shared" si="242"/>
        <v>11125.503600000002</v>
      </c>
      <c r="LL289" s="13">
        <f t="shared" si="242"/>
        <v>8051.8619999999992</v>
      </c>
      <c r="LM289" s="13">
        <f t="shared" si="242"/>
        <v>7951.1910000000007</v>
      </c>
      <c r="LN289" s="13">
        <f t="shared" si="242"/>
        <v>6615.2088000000003</v>
      </c>
      <c r="LO289" s="13">
        <f t="shared" si="242"/>
        <v>2598.1862999999998</v>
      </c>
      <c r="LP289" s="13">
        <f t="shared" si="242"/>
        <v>3047.7141000000001</v>
      </c>
      <c r="LQ289" s="13">
        <f t="shared" si="242"/>
        <v>3885.0668999999998</v>
      </c>
      <c r="LR289" s="13">
        <f t="shared" si="242"/>
        <v>0</v>
      </c>
      <c r="LS289" s="13">
        <f t="shared" si="242"/>
        <v>0</v>
      </c>
      <c r="LT289" s="13">
        <f t="shared" si="242"/>
        <v>0</v>
      </c>
      <c r="LU289" s="13">
        <f t="shared" si="242"/>
        <v>0</v>
      </c>
      <c r="LV289" s="13">
        <f t="shared" si="242"/>
        <v>0</v>
      </c>
      <c r="LW289" s="13">
        <f t="shared" si="242"/>
        <v>0</v>
      </c>
      <c r="LX289" s="13">
        <f t="shared" si="242"/>
        <v>0</v>
      </c>
      <c r="LY289" s="13">
        <f t="shared" si="242"/>
        <v>0</v>
      </c>
      <c r="LZ289" s="13">
        <f t="shared" si="242"/>
        <v>0</v>
      </c>
      <c r="MA289" s="13">
        <f t="shared" si="242"/>
        <v>0</v>
      </c>
      <c r="MB289" s="13">
        <f t="shared" si="242"/>
        <v>0</v>
      </c>
      <c r="MC289" s="13">
        <f t="shared" si="242"/>
        <v>0</v>
      </c>
      <c r="MD289" s="13">
        <f t="shared" si="242"/>
        <v>0</v>
      </c>
      <c r="ME289" s="13">
        <f t="shared" si="242"/>
        <v>0</v>
      </c>
      <c r="MF289" s="13">
        <f t="shared" si="242"/>
        <v>0</v>
      </c>
      <c r="MG289" s="13">
        <f t="shared" si="242"/>
        <v>0</v>
      </c>
    </row>
    <row r="290" spans="1:345" s="14" customFormat="1">
      <c r="A290" s="19" t="s">
        <v>282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  <c r="FY290" s="13"/>
      <c r="FZ290" s="13"/>
      <c r="GA290" s="13"/>
      <c r="GB290" s="13"/>
      <c r="GC290" s="13"/>
      <c r="GD290" s="13"/>
      <c r="GE290" s="13"/>
      <c r="GF290" s="13"/>
      <c r="GG290" s="13"/>
      <c r="GH290" s="13"/>
      <c r="GI290" s="13"/>
      <c r="GJ290" s="13"/>
      <c r="GK290" s="13"/>
      <c r="GL290" s="13"/>
      <c r="GM290" s="13"/>
      <c r="GN290" s="13"/>
      <c r="GO290" s="13"/>
      <c r="GP290" s="13"/>
      <c r="GQ290" s="13"/>
      <c r="GR290" s="13"/>
      <c r="GS290" s="13"/>
      <c r="GT290" s="13"/>
      <c r="GU290" s="13"/>
      <c r="GV290" s="13"/>
      <c r="GW290" s="13"/>
      <c r="GX290" s="13"/>
      <c r="GY290" s="13"/>
      <c r="GZ290" s="13"/>
      <c r="HA290" s="13"/>
      <c r="HB290" s="13"/>
      <c r="HC290" s="13"/>
      <c r="HD290" s="13"/>
      <c r="HE290" s="13"/>
      <c r="HF290" s="13"/>
      <c r="HG290" s="13"/>
      <c r="HH290" s="13"/>
      <c r="HI290" s="13"/>
      <c r="HJ290" s="13"/>
      <c r="HK290" s="13"/>
      <c r="HL290" s="13"/>
      <c r="HM290" s="13"/>
      <c r="HN290" s="13"/>
      <c r="HO290" s="13"/>
      <c r="HP290" s="13"/>
      <c r="HQ290" s="13"/>
      <c r="HR290" s="13"/>
      <c r="HS290" s="13"/>
      <c r="HT290" s="13"/>
      <c r="HU290" s="13"/>
      <c r="HV290" s="13"/>
      <c r="HW290" s="13"/>
      <c r="HX290" s="13"/>
      <c r="HY290" s="13"/>
      <c r="HZ290" s="13"/>
      <c r="IA290" s="13"/>
      <c r="IB290" s="13"/>
      <c r="IC290" s="13"/>
      <c r="ID290" s="13"/>
      <c r="IE290" s="13"/>
      <c r="IF290" s="13"/>
      <c r="IG290" s="13"/>
      <c r="IH290" s="13"/>
      <c r="II290" s="13"/>
      <c r="IJ290" s="13"/>
      <c r="IK290" s="13"/>
      <c r="IL290" s="13"/>
      <c r="IM290" s="13"/>
      <c r="IN290" s="13"/>
      <c r="IO290" s="13"/>
      <c r="IP290" s="13"/>
      <c r="IQ290" s="13"/>
      <c r="IR290" s="13"/>
      <c r="IS290" s="13"/>
      <c r="IT290" s="13"/>
      <c r="IU290" s="13"/>
      <c r="IV290" s="13"/>
      <c r="IW290" s="13"/>
      <c r="IX290" s="13"/>
      <c r="IY290" s="13"/>
      <c r="IZ290" s="13"/>
      <c r="JA290" s="13"/>
      <c r="JB290" s="13"/>
      <c r="JC290" s="13"/>
      <c r="JD290" s="13"/>
      <c r="JE290" s="13"/>
      <c r="JF290" s="13"/>
      <c r="JG290" s="13"/>
      <c r="JH290" s="13"/>
      <c r="JI290" s="13"/>
      <c r="JJ290" s="13"/>
      <c r="JK290" s="13"/>
      <c r="JL290" s="13"/>
      <c r="JM290" s="13"/>
      <c r="JN290" s="13"/>
      <c r="JO290" s="13"/>
      <c r="JP290" s="13"/>
      <c r="JQ290" s="13"/>
      <c r="JR290" s="13"/>
      <c r="JS290" s="13"/>
      <c r="JT290" s="13"/>
      <c r="JU290" s="13"/>
      <c r="JV290" s="13"/>
      <c r="JW290" s="13"/>
      <c r="JX290" s="13"/>
      <c r="JY290" s="13"/>
      <c r="JZ290" s="13"/>
      <c r="KA290" s="13"/>
      <c r="KB290" s="13"/>
      <c r="KC290" s="13"/>
      <c r="KD290" s="13"/>
      <c r="KE290" s="13"/>
      <c r="KF290" s="13"/>
      <c r="KG290" s="13"/>
      <c r="KH290" s="13"/>
      <c r="KI290" s="13"/>
      <c r="KJ290" s="13"/>
      <c r="KK290" s="13"/>
      <c r="KL290" s="13"/>
      <c r="KM290" s="13"/>
      <c r="KN290" s="13"/>
      <c r="KO290" s="13"/>
      <c r="KP290" s="13"/>
      <c r="KQ290" s="13"/>
      <c r="KR290" s="13"/>
      <c r="KS290" s="13"/>
      <c r="KT290" s="13"/>
      <c r="KU290" s="13"/>
      <c r="KV290" s="13"/>
      <c r="KW290" s="13"/>
      <c r="KX290" s="13"/>
      <c r="KY290" s="13"/>
      <c r="KZ290" s="13"/>
      <c r="LA290" s="13"/>
      <c r="LB290" s="13"/>
      <c r="LC290" s="13"/>
      <c r="LD290" s="13"/>
      <c r="LE290" s="13">
        <v>4367.4120000000003</v>
      </c>
      <c r="LF290" s="13">
        <v>10793.420400000001</v>
      </c>
      <c r="LG290" s="13">
        <v>9197.8425000000007</v>
      </c>
      <c r="LH290" s="13">
        <v>16142.1513</v>
      </c>
      <c r="LI290" s="13">
        <v>11638.9524</v>
      </c>
      <c r="LJ290" s="13">
        <v>10948.5396</v>
      </c>
      <c r="LK290" s="13">
        <v>11125.5036</v>
      </c>
      <c r="LL290" s="13">
        <v>8051.8620000000001</v>
      </c>
      <c r="LM290" s="13">
        <v>7951.1909999999998</v>
      </c>
      <c r="LN290" s="13">
        <v>6615.2088000000003</v>
      </c>
      <c r="LO290" s="13">
        <v>2598.1862999999998</v>
      </c>
      <c r="LP290" s="13">
        <v>3047.7141000000001</v>
      </c>
      <c r="LQ290" s="13">
        <v>3885.0668999999998</v>
      </c>
      <c r="LR290" s="13"/>
      <c r="LS290" s="13"/>
      <c r="LT290" s="13"/>
      <c r="LU290" s="13"/>
      <c r="LV290" s="13"/>
      <c r="LW290" s="13"/>
      <c r="LX290" s="13"/>
      <c r="LY290" s="13"/>
      <c r="LZ290" s="13"/>
      <c r="MA290" s="13"/>
      <c r="MB290" s="13"/>
      <c r="MC290" s="13"/>
      <c r="MD290" s="13"/>
      <c r="ME290" s="13"/>
      <c r="MF290" s="13"/>
      <c r="MG290" s="13"/>
    </row>
    <row r="291" spans="1:345" s="14" customFormat="1">
      <c r="A291" s="19" t="s">
        <v>283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  <c r="HQ291" s="13"/>
      <c r="HR291" s="13"/>
      <c r="HS291" s="13"/>
      <c r="HT291" s="13"/>
      <c r="HU291" s="13"/>
      <c r="HV291" s="13"/>
      <c r="HW291" s="13"/>
      <c r="HX291" s="13"/>
      <c r="HY291" s="13"/>
      <c r="HZ291" s="13"/>
      <c r="IA291" s="13"/>
      <c r="IB291" s="13"/>
      <c r="IC291" s="13"/>
      <c r="ID291" s="13"/>
      <c r="IE291" s="13"/>
      <c r="IF291" s="13"/>
      <c r="IG291" s="13"/>
      <c r="IH291" s="13"/>
      <c r="II291" s="13"/>
      <c r="IJ291" s="13"/>
      <c r="IK291" s="13"/>
      <c r="IL291" s="13"/>
      <c r="IM291" s="13"/>
      <c r="IN291" s="13"/>
      <c r="IO291" s="13"/>
      <c r="IP291" s="13"/>
      <c r="IQ291" s="13"/>
      <c r="IR291" s="13"/>
      <c r="IS291" s="13"/>
      <c r="IT291" s="13"/>
      <c r="IU291" s="13"/>
      <c r="IV291" s="13"/>
      <c r="IW291" s="13"/>
      <c r="IX291" s="13"/>
      <c r="IY291" s="13"/>
      <c r="IZ291" s="13"/>
      <c r="JA291" s="13"/>
      <c r="JB291" s="13"/>
      <c r="JC291" s="13"/>
      <c r="JD291" s="13"/>
      <c r="JE291" s="13"/>
      <c r="JF291" s="13"/>
      <c r="JG291" s="13"/>
      <c r="JH291" s="13"/>
      <c r="JI291" s="13"/>
      <c r="JJ291" s="13"/>
      <c r="JK291" s="13"/>
      <c r="JL291" s="13"/>
      <c r="JM291" s="13"/>
      <c r="JN291" s="13"/>
      <c r="JO291" s="13"/>
      <c r="JP291" s="13"/>
      <c r="JQ291" s="13"/>
      <c r="JR291" s="13"/>
      <c r="JS291" s="13"/>
      <c r="JT291" s="13"/>
      <c r="JU291" s="13"/>
      <c r="JV291" s="13"/>
      <c r="JW291" s="13"/>
      <c r="JX291" s="13"/>
      <c r="JY291" s="13"/>
      <c r="JZ291" s="13"/>
      <c r="KA291" s="13"/>
      <c r="KB291" s="13"/>
      <c r="KC291" s="13"/>
      <c r="KD291" s="13"/>
      <c r="KE291" s="13"/>
      <c r="KF291" s="13"/>
      <c r="KG291" s="13"/>
      <c r="KH291" s="13"/>
      <c r="KI291" s="13"/>
      <c r="KJ291" s="13"/>
      <c r="KK291" s="13"/>
      <c r="KL291" s="13"/>
      <c r="KM291" s="13"/>
      <c r="KN291" s="13"/>
      <c r="KO291" s="13"/>
      <c r="KP291" s="13"/>
      <c r="KQ291" s="13"/>
      <c r="KR291" s="13"/>
      <c r="KS291" s="13"/>
      <c r="KT291" s="13"/>
      <c r="KU291" s="13"/>
      <c r="KV291" s="13"/>
      <c r="KW291" s="13"/>
      <c r="KX291" s="13"/>
      <c r="KY291" s="13"/>
      <c r="KZ291" s="13"/>
      <c r="LA291" s="13"/>
      <c r="LB291" s="13"/>
      <c r="LC291" s="13"/>
      <c r="LD291" s="13"/>
      <c r="LE291" s="13"/>
      <c r="LF291" s="13"/>
      <c r="LG291" s="13"/>
      <c r="LH291" s="13"/>
      <c r="LI291" s="13"/>
      <c r="LJ291" s="13"/>
      <c r="LK291" s="13"/>
      <c r="LL291" s="13"/>
      <c r="LM291" s="13"/>
      <c r="LN291" s="13"/>
      <c r="LO291" s="13"/>
      <c r="LP291" s="13"/>
      <c r="LQ291" s="13"/>
      <c r="LR291" s="13"/>
      <c r="LS291" s="13"/>
      <c r="LT291" s="13"/>
      <c r="LU291" s="13"/>
      <c r="LV291" s="13"/>
      <c r="LW291" s="13"/>
      <c r="LX291" s="13"/>
      <c r="LY291" s="13"/>
      <c r="LZ291" s="13"/>
      <c r="MA291" s="13"/>
      <c r="MB291" s="13"/>
      <c r="MC291" s="13"/>
      <c r="MD291" s="13"/>
      <c r="ME291" s="13"/>
      <c r="MF291" s="13"/>
      <c r="MG291" s="13"/>
    </row>
    <row r="292" spans="1:345" s="14" customForma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13"/>
      <c r="IK292" s="13"/>
      <c r="IL292" s="13"/>
      <c r="IM292" s="13"/>
      <c r="IN292" s="13"/>
      <c r="IO292" s="13"/>
      <c r="IP292" s="13"/>
      <c r="IQ292" s="13"/>
      <c r="IR292" s="13"/>
      <c r="IS292" s="13"/>
      <c r="IT292" s="13"/>
      <c r="IU292" s="13"/>
      <c r="IV292" s="13"/>
      <c r="IW292" s="13"/>
      <c r="IX292" s="13"/>
      <c r="IY292" s="13"/>
      <c r="IZ292" s="13"/>
      <c r="JA292" s="13"/>
      <c r="JB292" s="13"/>
      <c r="JC292" s="13"/>
      <c r="JD292" s="13"/>
      <c r="JE292" s="13"/>
      <c r="JF292" s="13"/>
      <c r="JG292" s="13"/>
      <c r="JH292" s="13"/>
      <c r="JI292" s="13"/>
      <c r="JJ292" s="13"/>
      <c r="JK292" s="13"/>
      <c r="JL292" s="13"/>
      <c r="JM292" s="13"/>
      <c r="JN292" s="13"/>
      <c r="JO292" s="13"/>
      <c r="JP292" s="13"/>
      <c r="JQ292" s="13"/>
      <c r="JR292" s="13"/>
      <c r="JS292" s="13"/>
      <c r="JT292" s="13"/>
      <c r="JU292" s="13"/>
      <c r="JV292" s="13"/>
      <c r="JW292" s="13"/>
      <c r="JX292" s="13"/>
      <c r="JY292" s="13"/>
      <c r="JZ292" s="13"/>
      <c r="KA292" s="13"/>
      <c r="KB292" s="13"/>
      <c r="KC292" s="13"/>
      <c r="KD292" s="13"/>
      <c r="KE292" s="13"/>
      <c r="KF292" s="13"/>
      <c r="KG292" s="13"/>
      <c r="KH292" s="13"/>
      <c r="KI292" s="13"/>
      <c r="KJ292" s="13"/>
      <c r="KK292" s="13"/>
      <c r="KL292" s="13"/>
      <c r="KM292" s="13"/>
      <c r="KN292" s="13"/>
      <c r="KO292" s="13"/>
      <c r="KP292" s="13"/>
      <c r="KQ292" s="13"/>
      <c r="KR292" s="13"/>
      <c r="KS292" s="13"/>
      <c r="KT292" s="13"/>
      <c r="KU292" s="13"/>
      <c r="KV292" s="13"/>
      <c r="KW292" s="13"/>
      <c r="KX292" s="13"/>
      <c r="KY292" s="13"/>
      <c r="KZ292" s="13"/>
      <c r="LA292" s="13"/>
      <c r="LB292" s="13"/>
      <c r="LC292" s="13"/>
      <c r="LD292" s="13"/>
      <c r="LE292" s="13"/>
      <c r="LF292" s="13"/>
      <c r="LG292" s="13"/>
      <c r="LH292" s="13"/>
      <c r="LI292" s="13"/>
      <c r="LJ292" s="13"/>
      <c r="LK292" s="13"/>
      <c r="LL292" s="13"/>
      <c r="LM292" s="13"/>
      <c r="LN292" s="13"/>
      <c r="LO292" s="13"/>
      <c r="LP292" s="13"/>
      <c r="LQ292" s="13"/>
      <c r="LR292" s="13"/>
      <c r="LS292" s="13"/>
      <c r="LT292" s="13"/>
      <c r="LU292" s="13"/>
      <c r="LV292" s="13"/>
      <c r="LW292" s="13"/>
      <c r="LX292" s="13"/>
      <c r="LY292" s="13"/>
      <c r="LZ292" s="13"/>
      <c r="MA292" s="13"/>
      <c r="MB292" s="13"/>
      <c r="MC292" s="13"/>
      <c r="MD292" s="13"/>
      <c r="ME292" s="13"/>
      <c r="MF292" s="13"/>
      <c r="MG292" s="13"/>
    </row>
    <row r="293" spans="1:345" s="14" customFormat="1">
      <c r="A293" s="19" t="s">
        <v>284</v>
      </c>
      <c r="B293" s="13">
        <f>SUM(AB293:AM293)/1000</f>
        <v>0</v>
      </c>
      <c r="C293" s="13">
        <f>SUM(AN293:AY293)/1000</f>
        <v>0</v>
      </c>
      <c r="D293" s="13">
        <f>SUM(AZ293:BK293)/1000</f>
        <v>0</v>
      </c>
      <c r="E293" s="13">
        <f>SUM(BL293:BW293)/1000</f>
        <v>0</v>
      </c>
      <c r="F293" s="13">
        <f>SUM(BX293:CI293)/1000</f>
        <v>0</v>
      </c>
      <c r="G293" s="13">
        <f>SUM(CJ293:CU293)/1000</f>
        <v>0</v>
      </c>
      <c r="H293" s="13">
        <f>SUM(CV293:DG293)/1000</f>
        <v>0</v>
      </c>
      <c r="I293" s="13">
        <f>SUM(DH293:DS293)/1000</f>
        <v>0</v>
      </c>
      <c r="J293" s="13">
        <f>SUM(DT293:EE293)/1000</f>
        <v>0</v>
      </c>
      <c r="K293" s="13">
        <f>SUM(EF293:EQ293)/1000</f>
        <v>0</v>
      </c>
      <c r="L293" s="13">
        <f>SUM(ER293:FC293)/1000</f>
        <v>0</v>
      </c>
      <c r="M293" s="13">
        <f>SUM(FD293:FO293)/1000</f>
        <v>0</v>
      </c>
      <c r="N293" s="13">
        <f>SUM(FP293:GA293)/1000</f>
        <v>0</v>
      </c>
      <c r="O293" s="13">
        <f>SUM(GB293:GM293)/1000</f>
        <v>0</v>
      </c>
      <c r="P293" s="13">
        <f>SUM(GN293:GY293)/1000</f>
        <v>0</v>
      </c>
      <c r="Q293" s="13">
        <f>SUM(GZ293:HK293)/1000</f>
        <v>0</v>
      </c>
      <c r="R293" s="13">
        <f>SUM(HL293:HW293)/1000</f>
        <v>0</v>
      </c>
      <c r="S293" s="13">
        <f>SUM(HX293:II293)/1000</f>
        <v>0</v>
      </c>
      <c r="T293" s="13">
        <f>SUM(IJ293:IU293)/1000</f>
        <v>0</v>
      </c>
      <c r="U293" s="13">
        <f>SUM(IV293:JG293)/1000</f>
        <v>0</v>
      </c>
      <c r="V293" s="13">
        <f>SUM(JH293:JS293)/1000</f>
        <v>0</v>
      </c>
      <c r="W293" s="13">
        <f>SUM(JT293:KE293)/1000</f>
        <v>0</v>
      </c>
      <c r="X293" s="13">
        <f>SUM(KF293:KQ293)/1000</f>
        <v>0</v>
      </c>
      <c r="Y293" s="13">
        <f>SUM(KR293:LC293)/1000</f>
        <v>0</v>
      </c>
      <c r="Z293" s="13">
        <f>SUM(LD293:LO293)/1000</f>
        <v>0</v>
      </c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13"/>
      <c r="HP293" s="13"/>
      <c r="HQ293" s="13"/>
      <c r="HR293" s="13"/>
      <c r="HS293" s="13"/>
      <c r="HT293" s="13"/>
      <c r="HU293" s="13"/>
      <c r="HV293" s="13"/>
      <c r="HW293" s="13"/>
      <c r="HX293" s="13"/>
      <c r="HY293" s="13"/>
      <c r="HZ293" s="13"/>
      <c r="IA293" s="13"/>
      <c r="IB293" s="13"/>
      <c r="IC293" s="13"/>
      <c r="ID293" s="13"/>
      <c r="IE293" s="13"/>
      <c r="IF293" s="13"/>
      <c r="IG293" s="13"/>
      <c r="IH293" s="13"/>
      <c r="II293" s="13"/>
      <c r="IJ293" s="13"/>
      <c r="IK293" s="13"/>
      <c r="IL293" s="13"/>
      <c r="IM293" s="13"/>
      <c r="IN293" s="13"/>
      <c r="IO293" s="13"/>
      <c r="IP293" s="13"/>
      <c r="IQ293" s="13"/>
      <c r="IR293" s="13"/>
      <c r="IS293" s="13"/>
      <c r="IT293" s="13"/>
      <c r="IU293" s="13"/>
      <c r="IV293" s="13"/>
      <c r="IW293" s="13"/>
      <c r="IX293" s="13"/>
      <c r="IY293" s="13"/>
      <c r="IZ293" s="13"/>
      <c r="JA293" s="13"/>
      <c r="JB293" s="13"/>
      <c r="JC293" s="13"/>
      <c r="JD293" s="13"/>
      <c r="JE293" s="13"/>
      <c r="JF293" s="13"/>
      <c r="JG293" s="13"/>
      <c r="JH293" s="13"/>
      <c r="JI293" s="13"/>
      <c r="JJ293" s="13"/>
      <c r="JK293" s="13"/>
      <c r="JL293" s="13"/>
      <c r="JM293" s="13"/>
      <c r="JN293" s="13"/>
      <c r="JO293" s="13"/>
      <c r="JP293" s="13"/>
      <c r="JQ293" s="13"/>
      <c r="JR293" s="13"/>
      <c r="JS293" s="13"/>
      <c r="JT293" s="13"/>
      <c r="JU293" s="13"/>
      <c r="JV293" s="13"/>
      <c r="JW293" s="13"/>
      <c r="JX293" s="13"/>
      <c r="JY293" s="13"/>
      <c r="JZ293" s="13"/>
      <c r="KA293" s="13"/>
      <c r="KB293" s="13"/>
      <c r="KC293" s="13"/>
      <c r="KD293" s="13"/>
      <c r="KE293" s="13"/>
      <c r="KF293" s="13"/>
      <c r="KG293" s="13"/>
      <c r="KH293" s="13"/>
      <c r="KI293" s="13"/>
      <c r="KJ293" s="13"/>
      <c r="KK293" s="13"/>
      <c r="KL293" s="13"/>
      <c r="KM293" s="13"/>
      <c r="KN293" s="13"/>
      <c r="KO293" s="13"/>
      <c r="KP293" s="13"/>
      <c r="KQ293" s="13"/>
      <c r="KR293" s="13"/>
      <c r="KS293" s="13"/>
      <c r="KT293" s="13"/>
      <c r="KU293" s="13"/>
      <c r="KV293" s="13"/>
      <c r="KW293" s="13"/>
      <c r="KX293" s="13"/>
      <c r="KY293" s="13"/>
      <c r="KZ293" s="13"/>
      <c r="LA293" s="13"/>
      <c r="LB293" s="13"/>
      <c r="LC293" s="13"/>
      <c r="LD293" s="13"/>
      <c r="LE293" s="13"/>
      <c r="LF293" s="13"/>
      <c r="LG293" s="13"/>
      <c r="LH293" s="13"/>
      <c r="LI293" s="13"/>
      <c r="LJ293" s="13"/>
      <c r="LK293" s="13"/>
      <c r="LL293" s="13"/>
      <c r="LM293" s="13"/>
      <c r="LN293" s="13"/>
      <c r="LO293" s="13"/>
      <c r="LP293" s="13"/>
      <c r="LQ293" s="13"/>
      <c r="LR293" s="13"/>
      <c r="LS293" s="13"/>
      <c r="LT293" s="13"/>
      <c r="LU293" s="13"/>
      <c r="LV293" s="13"/>
      <c r="LW293" s="13"/>
      <c r="LX293" s="13"/>
      <c r="LY293" s="13"/>
      <c r="LZ293" s="13"/>
      <c r="MA293" s="13"/>
      <c r="MB293" s="13"/>
      <c r="MC293" s="13"/>
      <c r="MD293" s="13"/>
      <c r="ME293" s="13"/>
      <c r="MF293" s="13"/>
      <c r="MG293" s="13"/>
    </row>
    <row r="294" spans="1:345" s="14" customFormat="1">
      <c r="A294" s="19"/>
      <c r="B294" s="20">
        <f t="shared" ref="B294:Z294" si="243">B293-B289</f>
        <v>0</v>
      </c>
      <c r="C294" s="20">
        <f t="shared" si="243"/>
        <v>0</v>
      </c>
      <c r="D294" s="20">
        <f t="shared" si="243"/>
        <v>0</v>
      </c>
      <c r="E294" s="20">
        <f t="shared" si="243"/>
        <v>0</v>
      </c>
      <c r="F294" s="20">
        <f t="shared" si="243"/>
        <v>0</v>
      </c>
      <c r="G294" s="20">
        <f t="shared" si="243"/>
        <v>0</v>
      </c>
      <c r="H294" s="20">
        <f t="shared" si="243"/>
        <v>0</v>
      </c>
      <c r="I294" s="20">
        <f t="shared" si="243"/>
        <v>0</v>
      </c>
      <c r="J294" s="20">
        <f t="shared" si="243"/>
        <v>0</v>
      </c>
      <c r="K294" s="20">
        <f t="shared" si="243"/>
        <v>0</v>
      </c>
      <c r="L294" s="20">
        <f t="shared" si="243"/>
        <v>0</v>
      </c>
      <c r="M294" s="20">
        <f t="shared" si="243"/>
        <v>0</v>
      </c>
      <c r="N294" s="20">
        <f t="shared" si="243"/>
        <v>0</v>
      </c>
      <c r="O294" s="20">
        <f t="shared" si="243"/>
        <v>0</v>
      </c>
      <c r="P294" s="20">
        <f t="shared" si="243"/>
        <v>0</v>
      </c>
      <c r="Q294" s="20">
        <f t="shared" si="243"/>
        <v>0</v>
      </c>
      <c r="R294" s="20">
        <f t="shared" si="243"/>
        <v>0</v>
      </c>
      <c r="S294" s="20">
        <f t="shared" si="243"/>
        <v>0</v>
      </c>
      <c r="T294" s="20">
        <f t="shared" si="243"/>
        <v>0</v>
      </c>
      <c r="U294" s="20">
        <f t="shared" si="243"/>
        <v>0</v>
      </c>
      <c r="V294" s="20">
        <f t="shared" si="243"/>
        <v>0</v>
      </c>
      <c r="W294" s="20">
        <f t="shared" si="243"/>
        <v>0</v>
      </c>
      <c r="X294" s="20">
        <f t="shared" si="243"/>
        <v>0</v>
      </c>
      <c r="Y294" s="20">
        <f t="shared" si="243"/>
        <v>0</v>
      </c>
      <c r="Z294" s="20">
        <f t="shared" si="243"/>
        <v>-99.430269899999985</v>
      </c>
      <c r="AA294" s="21"/>
      <c r="AB294" s="20">
        <f t="shared" ref="AB294:CM294" si="244">AB293-AB289</f>
        <v>0</v>
      </c>
      <c r="AC294" s="20">
        <f t="shared" si="244"/>
        <v>0</v>
      </c>
      <c r="AD294" s="20">
        <f t="shared" si="244"/>
        <v>0</v>
      </c>
      <c r="AE294" s="20">
        <f t="shared" si="244"/>
        <v>0</v>
      </c>
      <c r="AF294" s="20">
        <f t="shared" si="244"/>
        <v>0</v>
      </c>
      <c r="AG294" s="20">
        <f t="shared" si="244"/>
        <v>0</v>
      </c>
      <c r="AH294" s="20">
        <f t="shared" si="244"/>
        <v>0</v>
      </c>
      <c r="AI294" s="20">
        <f t="shared" si="244"/>
        <v>0</v>
      </c>
      <c r="AJ294" s="20">
        <f t="shared" si="244"/>
        <v>0</v>
      </c>
      <c r="AK294" s="20">
        <f t="shared" si="244"/>
        <v>0</v>
      </c>
      <c r="AL294" s="20">
        <f t="shared" si="244"/>
        <v>0</v>
      </c>
      <c r="AM294" s="20">
        <f t="shared" si="244"/>
        <v>0</v>
      </c>
      <c r="AN294" s="20">
        <f t="shared" si="244"/>
        <v>0</v>
      </c>
      <c r="AO294" s="20">
        <f t="shared" si="244"/>
        <v>0</v>
      </c>
      <c r="AP294" s="20">
        <f t="shared" si="244"/>
        <v>0</v>
      </c>
      <c r="AQ294" s="20">
        <f t="shared" si="244"/>
        <v>0</v>
      </c>
      <c r="AR294" s="20">
        <f t="shared" si="244"/>
        <v>0</v>
      </c>
      <c r="AS294" s="20">
        <f t="shared" si="244"/>
        <v>0</v>
      </c>
      <c r="AT294" s="20">
        <f t="shared" si="244"/>
        <v>0</v>
      </c>
      <c r="AU294" s="20">
        <f t="shared" si="244"/>
        <v>0</v>
      </c>
      <c r="AV294" s="20">
        <f t="shared" si="244"/>
        <v>0</v>
      </c>
      <c r="AW294" s="20">
        <f t="shared" si="244"/>
        <v>0</v>
      </c>
      <c r="AX294" s="20">
        <f t="shared" si="244"/>
        <v>0</v>
      </c>
      <c r="AY294" s="20">
        <f t="shared" si="244"/>
        <v>0</v>
      </c>
      <c r="AZ294" s="20">
        <f t="shared" si="244"/>
        <v>0</v>
      </c>
      <c r="BA294" s="20">
        <f t="shared" si="244"/>
        <v>0</v>
      </c>
      <c r="BB294" s="20">
        <f t="shared" si="244"/>
        <v>0</v>
      </c>
      <c r="BC294" s="20">
        <f t="shared" si="244"/>
        <v>0</v>
      </c>
      <c r="BD294" s="20">
        <f t="shared" si="244"/>
        <v>0</v>
      </c>
      <c r="BE294" s="20">
        <f t="shared" si="244"/>
        <v>0</v>
      </c>
      <c r="BF294" s="20">
        <f t="shared" si="244"/>
        <v>0</v>
      </c>
      <c r="BG294" s="20">
        <f t="shared" si="244"/>
        <v>0</v>
      </c>
      <c r="BH294" s="20">
        <f t="shared" si="244"/>
        <v>0</v>
      </c>
      <c r="BI294" s="20">
        <f t="shared" si="244"/>
        <v>0</v>
      </c>
      <c r="BJ294" s="20">
        <f t="shared" si="244"/>
        <v>0</v>
      </c>
      <c r="BK294" s="20">
        <f t="shared" si="244"/>
        <v>0</v>
      </c>
      <c r="BL294" s="20">
        <f t="shared" si="244"/>
        <v>0</v>
      </c>
      <c r="BM294" s="20">
        <f t="shared" si="244"/>
        <v>0</v>
      </c>
      <c r="BN294" s="20">
        <f t="shared" si="244"/>
        <v>0</v>
      </c>
      <c r="BO294" s="20">
        <f t="shared" si="244"/>
        <v>0</v>
      </c>
      <c r="BP294" s="20">
        <f t="shared" si="244"/>
        <v>0</v>
      </c>
      <c r="BQ294" s="20">
        <f t="shared" si="244"/>
        <v>0</v>
      </c>
      <c r="BR294" s="20">
        <f t="shared" si="244"/>
        <v>0</v>
      </c>
      <c r="BS294" s="20">
        <f t="shared" si="244"/>
        <v>0</v>
      </c>
      <c r="BT294" s="20">
        <f t="shared" si="244"/>
        <v>0</v>
      </c>
      <c r="BU294" s="20">
        <f t="shared" si="244"/>
        <v>0</v>
      </c>
      <c r="BV294" s="20">
        <f t="shared" si="244"/>
        <v>0</v>
      </c>
      <c r="BW294" s="20">
        <f t="shared" si="244"/>
        <v>0</v>
      </c>
      <c r="BX294" s="20">
        <f t="shared" si="244"/>
        <v>0</v>
      </c>
      <c r="BY294" s="20">
        <f t="shared" si="244"/>
        <v>0</v>
      </c>
      <c r="BZ294" s="20">
        <f t="shared" si="244"/>
        <v>0</v>
      </c>
      <c r="CA294" s="20">
        <f t="shared" si="244"/>
        <v>0</v>
      </c>
      <c r="CB294" s="20">
        <f t="shared" si="244"/>
        <v>0</v>
      </c>
      <c r="CC294" s="20">
        <f t="shared" si="244"/>
        <v>0</v>
      </c>
      <c r="CD294" s="20">
        <f t="shared" si="244"/>
        <v>0</v>
      </c>
      <c r="CE294" s="20">
        <f t="shared" si="244"/>
        <v>0</v>
      </c>
      <c r="CF294" s="20">
        <f t="shared" si="244"/>
        <v>0</v>
      </c>
      <c r="CG294" s="20">
        <f t="shared" si="244"/>
        <v>0</v>
      </c>
      <c r="CH294" s="20">
        <f t="shared" si="244"/>
        <v>0</v>
      </c>
      <c r="CI294" s="20">
        <f t="shared" si="244"/>
        <v>0</v>
      </c>
      <c r="CJ294" s="20">
        <f t="shared" si="244"/>
        <v>0</v>
      </c>
      <c r="CK294" s="20">
        <f t="shared" si="244"/>
        <v>0</v>
      </c>
      <c r="CL294" s="20">
        <f t="shared" si="244"/>
        <v>0</v>
      </c>
      <c r="CM294" s="20">
        <f t="shared" si="244"/>
        <v>0</v>
      </c>
      <c r="CN294" s="20">
        <f t="shared" ref="CN294:EY294" si="245">CN293-CN289</f>
        <v>0</v>
      </c>
      <c r="CO294" s="20">
        <f t="shared" si="245"/>
        <v>0</v>
      </c>
      <c r="CP294" s="20">
        <f t="shared" si="245"/>
        <v>0</v>
      </c>
      <c r="CQ294" s="20">
        <f t="shared" si="245"/>
        <v>0</v>
      </c>
      <c r="CR294" s="20">
        <f t="shared" si="245"/>
        <v>0</v>
      </c>
      <c r="CS294" s="20">
        <f t="shared" si="245"/>
        <v>0</v>
      </c>
      <c r="CT294" s="20">
        <f t="shared" si="245"/>
        <v>0</v>
      </c>
      <c r="CU294" s="20">
        <f t="shared" si="245"/>
        <v>0</v>
      </c>
      <c r="CV294" s="20">
        <f t="shared" si="245"/>
        <v>0</v>
      </c>
      <c r="CW294" s="20">
        <f t="shared" si="245"/>
        <v>0</v>
      </c>
      <c r="CX294" s="20">
        <f t="shared" si="245"/>
        <v>0</v>
      </c>
      <c r="CY294" s="20">
        <f t="shared" si="245"/>
        <v>0</v>
      </c>
      <c r="CZ294" s="20">
        <f t="shared" si="245"/>
        <v>0</v>
      </c>
      <c r="DA294" s="20">
        <f t="shared" si="245"/>
        <v>0</v>
      </c>
      <c r="DB294" s="20">
        <f t="shared" si="245"/>
        <v>0</v>
      </c>
      <c r="DC294" s="20">
        <f t="shared" si="245"/>
        <v>0</v>
      </c>
      <c r="DD294" s="20">
        <f t="shared" si="245"/>
        <v>0</v>
      </c>
      <c r="DE294" s="20">
        <f t="shared" si="245"/>
        <v>0</v>
      </c>
      <c r="DF294" s="20">
        <f t="shared" si="245"/>
        <v>0</v>
      </c>
      <c r="DG294" s="20">
        <f t="shared" si="245"/>
        <v>0</v>
      </c>
      <c r="DH294" s="20">
        <f t="shared" si="245"/>
        <v>0</v>
      </c>
      <c r="DI294" s="20">
        <f t="shared" si="245"/>
        <v>0</v>
      </c>
      <c r="DJ294" s="20">
        <f t="shared" si="245"/>
        <v>0</v>
      </c>
      <c r="DK294" s="20">
        <f t="shared" si="245"/>
        <v>0</v>
      </c>
      <c r="DL294" s="20">
        <f t="shared" si="245"/>
        <v>0</v>
      </c>
      <c r="DM294" s="20">
        <f t="shared" si="245"/>
        <v>0</v>
      </c>
      <c r="DN294" s="20">
        <f t="shared" si="245"/>
        <v>0</v>
      </c>
      <c r="DO294" s="20">
        <f t="shared" si="245"/>
        <v>0</v>
      </c>
      <c r="DP294" s="20">
        <f t="shared" si="245"/>
        <v>0</v>
      </c>
      <c r="DQ294" s="20">
        <f t="shared" si="245"/>
        <v>0</v>
      </c>
      <c r="DR294" s="20">
        <f t="shared" si="245"/>
        <v>0</v>
      </c>
      <c r="DS294" s="20">
        <f t="shared" si="245"/>
        <v>0</v>
      </c>
      <c r="DT294" s="20">
        <f t="shared" si="245"/>
        <v>0</v>
      </c>
      <c r="DU294" s="20">
        <f t="shared" si="245"/>
        <v>0</v>
      </c>
      <c r="DV294" s="20">
        <f t="shared" si="245"/>
        <v>0</v>
      </c>
      <c r="DW294" s="20">
        <f t="shared" si="245"/>
        <v>0</v>
      </c>
      <c r="DX294" s="20">
        <f t="shared" si="245"/>
        <v>0</v>
      </c>
      <c r="DY294" s="20">
        <f t="shared" si="245"/>
        <v>0</v>
      </c>
      <c r="DZ294" s="20">
        <f t="shared" si="245"/>
        <v>0</v>
      </c>
      <c r="EA294" s="20">
        <f t="shared" si="245"/>
        <v>0</v>
      </c>
      <c r="EB294" s="20">
        <f t="shared" si="245"/>
        <v>0</v>
      </c>
      <c r="EC294" s="20">
        <f t="shared" si="245"/>
        <v>0</v>
      </c>
      <c r="ED294" s="20">
        <f t="shared" si="245"/>
        <v>0</v>
      </c>
      <c r="EE294" s="20">
        <f t="shared" si="245"/>
        <v>0</v>
      </c>
      <c r="EF294" s="20">
        <f t="shared" si="245"/>
        <v>0</v>
      </c>
      <c r="EG294" s="20">
        <f t="shared" si="245"/>
        <v>0</v>
      </c>
      <c r="EH294" s="20">
        <f t="shared" si="245"/>
        <v>0</v>
      </c>
      <c r="EI294" s="20">
        <f t="shared" si="245"/>
        <v>0</v>
      </c>
      <c r="EJ294" s="20">
        <f t="shared" si="245"/>
        <v>0</v>
      </c>
      <c r="EK294" s="20">
        <f t="shared" si="245"/>
        <v>0</v>
      </c>
      <c r="EL294" s="20">
        <f t="shared" si="245"/>
        <v>0</v>
      </c>
      <c r="EM294" s="20">
        <f t="shared" si="245"/>
        <v>0</v>
      </c>
      <c r="EN294" s="20">
        <f t="shared" si="245"/>
        <v>0</v>
      </c>
      <c r="EO294" s="20">
        <f t="shared" si="245"/>
        <v>0</v>
      </c>
      <c r="EP294" s="20">
        <f t="shared" si="245"/>
        <v>0</v>
      </c>
      <c r="EQ294" s="20">
        <f t="shared" si="245"/>
        <v>0</v>
      </c>
      <c r="ER294" s="20">
        <f t="shared" si="245"/>
        <v>0</v>
      </c>
      <c r="ES294" s="20">
        <f t="shared" si="245"/>
        <v>0</v>
      </c>
      <c r="ET294" s="20">
        <f t="shared" si="245"/>
        <v>0</v>
      </c>
      <c r="EU294" s="20">
        <f t="shared" si="245"/>
        <v>0</v>
      </c>
      <c r="EV294" s="20">
        <f t="shared" si="245"/>
        <v>0</v>
      </c>
      <c r="EW294" s="20">
        <f t="shared" si="245"/>
        <v>0</v>
      </c>
      <c r="EX294" s="20">
        <f t="shared" si="245"/>
        <v>0</v>
      </c>
      <c r="EY294" s="20">
        <f t="shared" si="245"/>
        <v>0</v>
      </c>
      <c r="EZ294" s="20">
        <f t="shared" ref="EZ294:HK294" si="246">EZ293-EZ289</f>
        <v>0</v>
      </c>
      <c r="FA294" s="20">
        <f t="shared" si="246"/>
        <v>0</v>
      </c>
      <c r="FB294" s="20">
        <f t="shared" si="246"/>
        <v>0</v>
      </c>
      <c r="FC294" s="20">
        <f t="shared" si="246"/>
        <v>0</v>
      </c>
      <c r="FD294" s="20">
        <f t="shared" si="246"/>
        <v>0</v>
      </c>
      <c r="FE294" s="20">
        <f t="shared" si="246"/>
        <v>0</v>
      </c>
      <c r="FF294" s="20">
        <f t="shared" si="246"/>
        <v>0</v>
      </c>
      <c r="FG294" s="20">
        <f t="shared" si="246"/>
        <v>0</v>
      </c>
      <c r="FH294" s="20">
        <f t="shared" si="246"/>
        <v>0</v>
      </c>
      <c r="FI294" s="20">
        <f t="shared" si="246"/>
        <v>0</v>
      </c>
      <c r="FJ294" s="20">
        <f t="shared" si="246"/>
        <v>0</v>
      </c>
      <c r="FK294" s="20">
        <f t="shared" si="246"/>
        <v>0</v>
      </c>
      <c r="FL294" s="20">
        <f t="shared" si="246"/>
        <v>0</v>
      </c>
      <c r="FM294" s="20">
        <f t="shared" si="246"/>
        <v>0</v>
      </c>
      <c r="FN294" s="20">
        <f t="shared" si="246"/>
        <v>0</v>
      </c>
      <c r="FO294" s="20">
        <f t="shared" si="246"/>
        <v>0</v>
      </c>
      <c r="FP294" s="20">
        <f t="shared" si="246"/>
        <v>0</v>
      </c>
      <c r="FQ294" s="20">
        <f t="shared" si="246"/>
        <v>0</v>
      </c>
      <c r="FR294" s="20">
        <f t="shared" si="246"/>
        <v>0</v>
      </c>
      <c r="FS294" s="20">
        <f t="shared" si="246"/>
        <v>0</v>
      </c>
      <c r="FT294" s="20">
        <f t="shared" si="246"/>
        <v>0</v>
      </c>
      <c r="FU294" s="20">
        <f t="shared" si="246"/>
        <v>0</v>
      </c>
      <c r="FV294" s="20">
        <f t="shared" si="246"/>
        <v>0</v>
      </c>
      <c r="FW294" s="20">
        <f t="shared" si="246"/>
        <v>0</v>
      </c>
      <c r="FX294" s="20">
        <f t="shared" si="246"/>
        <v>0</v>
      </c>
      <c r="FY294" s="20">
        <f t="shared" si="246"/>
        <v>0</v>
      </c>
      <c r="FZ294" s="20">
        <f t="shared" si="246"/>
        <v>0</v>
      </c>
      <c r="GA294" s="20">
        <f t="shared" si="246"/>
        <v>0</v>
      </c>
      <c r="GB294" s="20">
        <f t="shared" si="246"/>
        <v>0</v>
      </c>
      <c r="GC294" s="20">
        <f t="shared" si="246"/>
        <v>0</v>
      </c>
      <c r="GD294" s="20">
        <f t="shared" si="246"/>
        <v>0</v>
      </c>
      <c r="GE294" s="20">
        <f t="shared" si="246"/>
        <v>0</v>
      </c>
      <c r="GF294" s="20">
        <f t="shared" si="246"/>
        <v>0</v>
      </c>
      <c r="GG294" s="20">
        <f t="shared" si="246"/>
        <v>0</v>
      </c>
      <c r="GH294" s="20">
        <f t="shared" si="246"/>
        <v>0</v>
      </c>
      <c r="GI294" s="20">
        <f t="shared" si="246"/>
        <v>0</v>
      </c>
      <c r="GJ294" s="20">
        <f t="shared" si="246"/>
        <v>0</v>
      </c>
      <c r="GK294" s="20">
        <f t="shared" si="246"/>
        <v>0</v>
      </c>
      <c r="GL294" s="20">
        <f t="shared" si="246"/>
        <v>0</v>
      </c>
      <c r="GM294" s="20">
        <f t="shared" si="246"/>
        <v>0</v>
      </c>
      <c r="GN294" s="20">
        <f t="shared" si="246"/>
        <v>0</v>
      </c>
      <c r="GO294" s="20">
        <f t="shared" si="246"/>
        <v>0</v>
      </c>
      <c r="GP294" s="20">
        <f t="shared" si="246"/>
        <v>0</v>
      </c>
      <c r="GQ294" s="20">
        <f t="shared" si="246"/>
        <v>0</v>
      </c>
      <c r="GR294" s="20">
        <f t="shared" si="246"/>
        <v>0</v>
      </c>
      <c r="GS294" s="20">
        <f t="shared" si="246"/>
        <v>0</v>
      </c>
      <c r="GT294" s="20">
        <f t="shared" si="246"/>
        <v>0</v>
      </c>
      <c r="GU294" s="20">
        <f t="shared" si="246"/>
        <v>0</v>
      </c>
      <c r="GV294" s="20">
        <f t="shared" si="246"/>
        <v>0</v>
      </c>
      <c r="GW294" s="20">
        <f t="shared" si="246"/>
        <v>0</v>
      </c>
      <c r="GX294" s="20">
        <f t="shared" si="246"/>
        <v>0</v>
      </c>
      <c r="GY294" s="20">
        <f t="shared" si="246"/>
        <v>0</v>
      </c>
      <c r="GZ294" s="20">
        <f t="shared" si="246"/>
        <v>0</v>
      </c>
      <c r="HA294" s="20">
        <f t="shared" si="246"/>
        <v>0</v>
      </c>
      <c r="HB294" s="20">
        <f t="shared" si="246"/>
        <v>0</v>
      </c>
      <c r="HC294" s="20">
        <f t="shared" si="246"/>
        <v>0</v>
      </c>
      <c r="HD294" s="20">
        <f t="shared" si="246"/>
        <v>0</v>
      </c>
      <c r="HE294" s="20">
        <f t="shared" si="246"/>
        <v>0</v>
      </c>
      <c r="HF294" s="20">
        <f t="shared" si="246"/>
        <v>0</v>
      </c>
      <c r="HG294" s="20">
        <f t="shared" si="246"/>
        <v>0</v>
      </c>
      <c r="HH294" s="20">
        <f t="shared" si="246"/>
        <v>0</v>
      </c>
      <c r="HI294" s="20">
        <f t="shared" si="246"/>
        <v>0</v>
      </c>
      <c r="HJ294" s="20">
        <f t="shared" si="246"/>
        <v>0</v>
      </c>
      <c r="HK294" s="20">
        <f t="shared" si="246"/>
        <v>0</v>
      </c>
      <c r="HL294" s="20">
        <f t="shared" ref="HL294:JW294" si="247">HL293-HL289</f>
        <v>0</v>
      </c>
      <c r="HM294" s="20">
        <f t="shared" si="247"/>
        <v>0</v>
      </c>
      <c r="HN294" s="20">
        <f t="shared" si="247"/>
        <v>0</v>
      </c>
      <c r="HO294" s="20">
        <f t="shared" si="247"/>
        <v>0</v>
      </c>
      <c r="HP294" s="20">
        <f t="shared" si="247"/>
        <v>0</v>
      </c>
      <c r="HQ294" s="20">
        <f t="shared" si="247"/>
        <v>0</v>
      </c>
      <c r="HR294" s="20">
        <f t="shared" si="247"/>
        <v>0</v>
      </c>
      <c r="HS294" s="20">
        <f t="shared" si="247"/>
        <v>0</v>
      </c>
      <c r="HT294" s="20">
        <f t="shared" si="247"/>
        <v>0</v>
      </c>
      <c r="HU294" s="20">
        <f t="shared" si="247"/>
        <v>0</v>
      </c>
      <c r="HV294" s="20">
        <f t="shared" si="247"/>
        <v>0</v>
      </c>
      <c r="HW294" s="20">
        <f t="shared" si="247"/>
        <v>0</v>
      </c>
      <c r="HX294" s="20">
        <f t="shared" si="247"/>
        <v>0</v>
      </c>
      <c r="HY294" s="20">
        <f t="shared" si="247"/>
        <v>0</v>
      </c>
      <c r="HZ294" s="20">
        <f t="shared" si="247"/>
        <v>0</v>
      </c>
      <c r="IA294" s="20">
        <f t="shared" si="247"/>
        <v>0</v>
      </c>
      <c r="IB294" s="20">
        <f t="shared" si="247"/>
        <v>0</v>
      </c>
      <c r="IC294" s="20">
        <f t="shared" si="247"/>
        <v>0</v>
      </c>
      <c r="ID294" s="20">
        <f t="shared" si="247"/>
        <v>0</v>
      </c>
      <c r="IE294" s="20">
        <f t="shared" si="247"/>
        <v>0</v>
      </c>
      <c r="IF294" s="20">
        <f t="shared" si="247"/>
        <v>0</v>
      </c>
      <c r="IG294" s="20">
        <f t="shared" si="247"/>
        <v>0</v>
      </c>
      <c r="IH294" s="20">
        <f t="shared" si="247"/>
        <v>0</v>
      </c>
      <c r="II294" s="20">
        <f t="shared" si="247"/>
        <v>0</v>
      </c>
      <c r="IJ294" s="20">
        <f t="shared" si="247"/>
        <v>0</v>
      </c>
      <c r="IK294" s="20">
        <f t="shared" si="247"/>
        <v>0</v>
      </c>
      <c r="IL294" s="20">
        <f t="shared" si="247"/>
        <v>0</v>
      </c>
      <c r="IM294" s="20">
        <f t="shared" si="247"/>
        <v>0</v>
      </c>
      <c r="IN294" s="20">
        <f t="shared" si="247"/>
        <v>0</v>
      </c>
      <c r="IO294" s="20">
        <f t="shared" si="247"/>
        <v>0</v>
      </c>
      <c r="IP294" s="20">
        <f t="shared" si="247"/>
        <v>0</v>
      </c>
      <c r="IQ294" s="20">
        <f t="shared" si="247"/>
        <v>0</v>
      </c>
      <c r="IR294" s="20">
        <f t="shared" si="247"/>
        <v>0</v>
      </c>
      <c r="IS294" s="20">
        <f t="shared" si="247"/>
        <v>0</v>
      </c>
      <c r="IT294" s="20">
        <f t="shared" si="247"/>
        <v>0</v>
      </c>
      <c r="IU294" s="20">
        <f t="shared" si="247"/>
        <v>0</v>
      </c>
      <c r="IV294" s="20">
        <f t="shared" si="247"/>
        <v>0</v>
      </c>
      <c r="IW294" s="20">
        <f t="shared" si="247"/>
        <v>0</v>
      </c>
      <c r="IX294" s="20">
        <f t="shared" si="247"/>
        <v>0</v>
      </c>
      <c r="IY294" s="20">
        <f t="shared" si="247"/>
        <v>0</v>
      </c>
      <c r="IZ294" s="20">
        <f t="shared" si="247"/>
        <v>0</v>
      </c>
      <c r="JA294" s="20">
        <f t="shared" si="247"/>
        <v>0</v>
      </c>
      <c r="JB294" s="20">
        <f t="shared" si="247"/>
        <v>0</v>
      </c>
      <c r="JC294" s="20">
        <f t="shared" si="247"/>
        <v>0</v>
      </c>
      <c r="JD294" s="20">
        <f t="shared" si="247"/>
        <v>0</v>
      </c>
      <c r="JE294" s="20">
        <f t="shared" si="247"/>
        <v>0</v>
      </c>
      <c r="JF294" s="20">
        <f t="shared" si="247"/>
        <v>0</v>
      </c>
      <c r="JG294" s="20">
        <f t="shared" si="247"/>
        <v>0</v>
      </c>
      <c r="JH294" s="20">
        <f t="shared" si="247"/>
        <v>0</v>
      </c>
      <c r="JI294" s="20">
        <f t="shared" si="247"/>
        <v>0</v>
      </c>
      <c r="JJ294" s="20">
        <f t="shared" si="247"/>
        <v>0</v>
      </c>
      <c r="JK294" s="20">
        <f t="shared" si="247"/>
        <v>0</v>
      </c>
      <c r="JL294" s="20">
        <f t="shared" si="247"/>
        <v>0</v>
      </c>
      <c r="JM294" s="20">
        <f t="shared" si="247"/>
        <v>0</v>
      </c>
      <c r="JN294" s="20">
        <f t="shared" si="247"/>
        <v>0</v>
      </c>
      <c r="JO294" s="20">
        <f t="shared" si="247"/>
        <v>0</v>
      </c>
      <c r="JP294" s="20">
        <f t="shared" si="247"/>
        <v>0</v>
      </c>
      <c r="JQ294" s="20">
        <f t="shared" si="247"/>
        <v>0</v>
      </c>
      <c r="JR294" s="20">
        <f t="shared" si="247"/>
        <v>0</v>
      </c>
      <c r="JS294" s="20">
        <f t="shared" si="247"/>
        <v>0</v>
      </c>
      <c r="JT294" s="20">
        <f t="shared" si="247"/>
        <v>0</v>
      </c>
      <c r="JU294" s="20">
        <f t="shared" si="247"/>
        <v>0</v>
      </c>
      <c r="JV294" s="20">
        <f t="shared" si="247"/>
        <v>0</v>
      </c>
      <c r="JW294" s="20">
        <f t="shared" si="247"/>
        <v>0</v>
      </c>
      <c r="JX294" s="20">
        <f t="shared" ref="JX294:MG294" si="248">JX293-JX289</f>
        <v>0</v>
      </c>
      <c r="JY294" s="20">
        <f t="shared" si="248"/>
        <v>0</v>
      </c>
      <c r="JZ294" s="20">
        <f t="shared" si="248"/>
        <v>0</v>
      </c>
      <c r="KA294" s="20">
        <f t="shared" si="248"/>
        <v>0</v>
      </c>
      <c r="KB294" s="20">
        <f t="shared" si="248"/>
        <v>0</v>
      </c>
      <c r="KC294" s="20">
        <f t="shared" si="248"/>
        <v>0</v>
      </c>
      <c r="KD294" s="20">
        <f t="shared" si="248"/>
        <v>0</v>
      </c>
      <c r="KE294" s="20">
        <f t="shared" si="248"/>
        <v>0</v>
      </c>
      <c r="KF294" s="20">
        <f t="shared" si="248"/>
        <v>0</v>
      </c>
      <c r="KG294" s="20">
        <f t="shared" si="248"/>
        <v>0</v>
      </c>
      <c r="KH294" s="20">
        <f t="shared" si="248"/>
        <v>0</v>
      </c>
      <c r="KI294" s="20">
        <f t="shared" si="248"/>
        <v>0</v>
      </c>
      <c r="KJ294" s="20">
        <f t="shared" si="248"/>
        <v>0</v>
      </c>
      <c r="KK294" s="20">
        <f t="shared" si="248"/>
        <v>0</v>
      </c>
      <c r="KL294" s="20">
        <f t="shared" si="248"/>
        <v>0</v>
      </c>
      <c r="KM294" s="20">
        <f t="shared" si="248"/>
        <v>0</v>
      </c>
      <c r="KN294" s="20">
        <f t="shared" si="248"/>
        <v>0</v>
      </c>
      <c r="KO294" s="20">
        <f t="shared" si="248"/>
        <v>0</v>
      </c>
      <c r="KP294" s="20">
        <f t="shared" si="248"/>
        <v>0</v>
      </c>
      <c r="KQ294" s="20">
        <f t="shared" si="248"/>
        <v>0</v>
      </c>
      <c r="KR294" s="20">
        <f t="shared" si="248"/>
        <v>0</v>
      </c>
      <c r="KS294" s="20">
        <f t="shared" si="248"/>
        <v>0</v>
      </c>
      <c r="KT294" s="20">
        <f t="shared" si="248"/>
        <v>0</v>
      </c>
      <c r="KU294" s="20">
        <f t="shared" si="248"/>
        <v>0</v>
      </c>
      <c r="KV294" s="20">
        <f t="shared" si="248"/>
        <v>0</v>
      </c>
      <c r="KW294" s="20">
        <f t="shared" si="248"/>
        <v>0</v>
      </c>
      <c r="KX294" s="20">
        <f t="shared" si="248"/>
        <v>0</v>
      </c>
      <c r="KY294" s="20">
        <f t="shared" si="248"/>
        <v>0</v>
      </c>
      <c r="KZ294" s="20">
        <f t="shared" si="248"/>
        <v>0</v>
      </c>
      <c r="LA294" s="20">
        <f t="shared" si="248"/>
        <v>0</v>
      </c>
      <c r="LB294" s="20">
        <f t="shared" si="248"/>
        <v>0</v>
      </c>
      <c r="LC294" s="20">
        <f t="shared" si="248"/>
        <v>0</v>
      </c>
      <c r="LD294" s="20">
        <f t="shared" si="248"/>
        <v>0</v>
      </c>
      <c r="LE294" s="20">
        <f t="shared" si="248"/>
        <v>-4367.4120000000003</v>
      </c>
      <c r="LF294" s="20">
        <f t="shared" si="248"/>
        <v>-10793.420400000001</v>
      </c>
      <c r="LG294" s="20">
        <f t="shared" si="248"/>
        <v>-9197.8425000000007</v>
      </c>
      <c r="LH294" s="20">
        <f t="shared" si="248"/>
        <v>-16142.151300000001</v>
      </c>
      <c r="LI294" s="20">
        <f t="shared" si="248"/>
        <v>-11638.9524</v>
      </c>
      <c r="LJ294" s="20">
        <f t="shared" si="248"/>
        <v>-10948.5396</v>
      </c>
      <c r="LK294" s="20">
        <f t="shared" si="248"/>
        <v>-11125.503600000002</v>
      </c>
      <c r="LL294" s="20">
        <f t="shared" si="248"/>
        <v>-8051.8619999999992</v>
      </c>
      <c r="LM294" s="20">
        <f t="shared" si="248"/>
        <v>-7951.1910000000007</v>
      </c>
      <c r="LN294" s="20">
        <f t="shared" si="248"/>
        <v>-6615.2088000000003</v>
      </c>
      <c r="LO294" s="20">
        <f t="shared" si="248"/>
        <v>-2598.1862999999998</v>
      </c>
      <c r="LP294" s="20">
        <f t="shared" si="248"/>
        <v>-3047.7141000000001</v>
      </c>
      <c r="LQ294" s="20">
        <f t="shared" si="248"/>
        <v>-3885.0668999999998</v>
      </c>
      <c r="LR294" s="20">
        <f t="shared" si="248"/>
        <v>0</v>
      </c>
      <c r="LS294" s="20">
        <f t="shared" si="248"/>
        <v>0</v>
      </c>
      <c r="LT294" s="20">
        <f t="shared" si="248"/>
        <v>0</v>
      </c>
      <c r="LU294" s="20">
        <f t="shared" si="248"/>
        <v>0</v>
      </c>
      <c r="LV294" s="20">
        <f t="shared" si="248"/>
        <v>0</v>
      </c>
      <c r="LW294" s="20">
        <f t="shared" si="248"/>
        <v>0</v>
      </c>
      <c r="LX294" s="20">
        <f t="shared" si="248"/>
        <v>0</v>
      </c>
      <c r="LY294" s="20">
        <f t="shared" si="248"/>
        <v>0</v>
      </c>
      <c r="LZ294" s="20">
        <f t="shared" si="248"/>
        <v>0</v>
      </c>
      <c r="MA294" s="20">
        <f t="shared" si="248"/>
        <v>0</v>
      </c>
      <c r="MB294" s="20">
        <f t="shared" si="248"/>
        <v>0</v>
      </c>
      <c r="MC294" s="20">
        <f t="shared" si="248"/>
        <v>0</v>
      </c>
      <c r="MD294" s="20">
        <f t="shared" si="248"/>
        <v>0</v>
      </c>
      <c r="ME294" s="20">
        <f t="shared" si="248"/>
        <v>0</v>
      </c>
      <c r="MF294" s="20">
        <f t="shared" si="248"/>
        <v>0</v>
      </c>
      <c r="MG294" s="20">
        <f t="shared" si="248"/>
        <v>0</v>
      </c>
    </row>
    <row r="295" spans="1:345" s="14" customFormat="1">
      <c r="A295" s="1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22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  <c r="HQ295" s="13"/>
      <c r="HR295" s="13"/>
      <c r="HS295" s="13"/>
      <c r="HT295" s="13"/>
      <c r="HU295" s="13"/>
      <c r="HV295" s="13"/>
      <c r="HW295" s="13"/>
      <c r="HX295" s="13"/>
      <c r="HY295" s="13"/>
      <c r="HZ295" s="13"/>
      <c r="IA295" s="13"/>
      <c r="IB295" s="13"/>
      <c r="IC295" s="13"/>
      <c r="ID295" s="13"/>
      <c r="IE295" s="13"/>
      <c r="IF295" s="13"/>
      <c r="IG295" s="13"/>
      <c r="IH295" s="13"/>
      <c r="II295" s="13"/>
      <c r="IJ295" s="13"/>
      <c r="IK295" s="13"/>
      <c r="IL295" s="13"/>
      <c r="IM295" s="13"/>
      <c r="IN295" s="13"/>
      <c r="IO295" s="13"/>
      <c r="IP295" s="13"/>
      <c r="IQ295" s="13"/>
      <c r="IR295" s="13"/>
      <c r="IS295" s="13"/>
      <c r="IT295" s="13"/>
      <c r="IU295" s="13"/>
      <c r="IV295" s="13"/>
      <c r="IW295" s="13"/>
      <c r="IX295" s="13"/>
      <c r="IY295" s="13"/>
      <c r="IZ295" s="13"/>
      <c r="JA295" s="13"/>
      <c r="JB295" s="13"/>
      <c r="JC295" s="13"/>
      <c r="JD295" s="13"/>
      <c r="JE295" s="13"/>
      <c r="JF295" s="13"/>
      <c r="JG295" s="13"/>
      <c r="JH295" s="13"/>
      <c r="JI295" s="13"/>
      <c r="JJ295" s="13"/>
      <c r="JK295" s="13"/>
      <c r="JL295" s="13"/>
      <c r="JM295" s="13"/>
      <c r="JN295" s="13"/>
      <c r="JO295" s="13"/>
      <c r="JP295" s="13"/>
      <c r="JQ295" s="13"/>
      <c r="JR295" s="13"/>
      <c r="JS295" s="13"/>
      <c r="JT295" s="13"/>
      <c r="JU295" s="13"/>
      <c r="JV295" s="13"/>
      <c r="JW295" s="13"/>
      <c r="JX295" s="13"/>
      <c r="JY295" s="13"/>
      <c r="JZ295" s="13"/>
      <c r="KA295" s="13"/>
      <c r="KB295" s="13"/>
      <c r="KC295" s="13"/>
      <c r="KD295" s="13"/>
      <c r="KE295" s="13"/>
      <c r="KF295" s="13"/>
      <c r="KG295" s="13"/>
      <c r="KH295" s="13"/>
      <c r="KI295" s="13"/>
      <c r="KJ295" s="13"/>
      <c r="KK295" s="13"/>
      <c r="KL295" s="13"/>
      <c r="KM295" s="13"/>
      <c r="KN295" s="13"/>
      <c r="KO295" s="13"/>
      <c r="KP295" s="13"/>
      <c r="KQ295" s="13"/>
      <c r="KR295" s="13"/>
      <c r="KS295" s="13"/>
      <c r="KT295" s="13"/>
      <c r="KU295" s="13"/>
      <c r="KV295" s="13"/>
      <c r="KW295" s="13"/>
      <c r="KX295" s="13"/>
      <c r="KY295" s="13"/>
      <c r="KZ295" s="13"/>
      <c r="LA295" s="13"/>
      <c r="LB295" s="13"/>
      <c r="LC295" s="13"/>
      <c r="LD295" s="13"/>
      <c r="LE295" s="13"/>
      <c r="LF295" s="13"/>
      <c r="LG295" s="13"/>
      <c r="LH295" s="13"/>
      <c r="LI295" s="13"/>
      <c r="LJ295" s="13"/>
      <c r="LK295" s="13"/>
      <c r="LL295" s="13"/>
      <c r="LM295" s="13"/>
      <c r="LN295" s="13"/>
      <c r="LO295" s="13"/>
      <c r="LP295" s="13"/>
      <c r="LQ295" s="13"/>
      <c r="LR295" s="13"/>
      <c r="LS295" s="13"/>
      <c r="LT295" s="13"/>
      <c r="LU295" s="13"/>
      <c r="LV295" s="13"/>
      <c r="LW295" s="13"/>
      <c r="LX295" s="13"/>
      <c r="LY295" s="13"/>
      <c r="LZ295" s="13"/>
      <c r="MA295" s="13"/>
      <c r="MB295" s="13"/>
      <c r="MC295" s="13"/>
      <c r="MD295" s="13"/>
      <c r="ME295" s="13"/>
      <c r="MF295" s="13"/>
      <c r="MG295" s="13"/>
    </row>
    <row r="296" spans="1:345" s="14" customFormat="1">
      <c r="A296" s="1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  <c r="HQ296" s="13"/>
      <c r="HR296" s="13"/>
      <c r="HS296" s="13"/>
      <c r="HT296" s="13"/>
      <c r="HU296" s="13"/>
      <c r="HV296" s="13"/>
      <c r="HW296" s="13"/>
      <c r="HX296" s="13"/>
      <c r="HY296" s="13"/>
      <c r="HZ296" s="13"/>
      <c r="IA296" s="13"/>
      <c r="IB296" s="13"/>
      <c r="IC296" s="13"/>
      <c r="ID296" s="13"/>
      <c r="IE296" s="13"/>
      <c r="IF296" s="13"/>
      <c r="IG296" s="13"/>
      <c r="IH296" s="13"/>
      <c r="II296" s="13"/>
      <c r="IJ296" s="13"/>
      <c r="IK296" s="13"/>
      <c r="IL296" s="13"/>
      <c r="IM296" s="13"/>
      <c r="IN296" s="13"/>
      <c r="IO296" s="13"/>
      <c r="IP296" s="13"/>
      <c r="IQ296" s="13"/>
      <c r="IR296" s="13"/>
      <c r="IS296" s="13"/>
      <c r="IT296" s="13"/>
      <c r="IU296" s="13"/>
      <c r="IV296" s="13"/>
      <c r="IW296" s="13"/>
      <c r="IX296" s="13"/>
      <c r="IY296" s="13"/>
      <c r="IZ296" s="13"/>
      <c r="JA296" s="13"/>
      <c r="JB296" s="13"/>
      <c r="JC296" s="13"/>
      <c r="JD296" s="13"/>
      <c r="JE296" s="13"/>
      <c r="JF296" s="13"/>
      <c r="JG296" s="13"/>
      <c r="JH296" s="13"/>
      <c r="JI296" s="13"/>
      <c r="JJ296" s="13"/>
      <c r="JK296" s="13"/>
      <c r="JL296" s="13"/>
      <c r="JM296" s="13"/>
      <c r="JN296" s="13"/>
      <c r="JO296" s="13"/>
      <c r="JP296" s="13"/>
      <c r="JQ296" s="13"/>
      <c r="JR296" s="13"/>
      <c r="JS296" s="13"/>
      <c r="JT296" s="13"/>
      <c r="JU296" s="13"/>
      <c r="JV296" s="13"/>
      <c r="JW296" s="13"/>
      <c r="JX296" s="13"/>
      <c r="JY296" s="13"/>
      <c r="JZ296" s="13"/>
      <c r="KA296" s="13"/>
      <c r="KB296" s="13"/>
      <c r="KC296" s="13"/>
      <c r="KD296" s="13"/>
      <c r="KE296" s="13"/>
      <c r="KF296" s="13"/>
      <c r="KG296" s="13"/>
      <c r="KH296" s="13"/>
      <c r="KI296" s="13"/>
      <c r="KJ296" s="13"/>
      <c r="KK296" s="13"/>
      <c r="KL296" s="13"/>
      <c r="KM296" s="13"/>
      <c r="KN296" s="13"/>
      <c r="KO296" s="13"/>
      <c r="KP296" s="13"/>
      <c r="KQ296" s="13"/>
      <c r="KR296" s="13"/>
      <c r="KS296" s="13"/>
      <c r="KT296" s="13"/>
      <c r="KU296" s="13"/>
      <c r="KV296" s="13"/>
      <c r="KW296" s="13"/>
      <c r="KX296" s="13"/>
      <c r="KY296" s="13"/>
      <c r="KZ296" s="13"/>
      <c r="LA296" s="13"/>
      <c r="LB296" s="13"/>
      <c r="LC296" s="13"/>
      <c r="LD296" s="13"/>
      <c r="LE296" s="13"/>
      <c r="LF296" s="13"/>
      <c r="LG296" s="13"/>
      <c r="LH296" s="13"/>
      <c r="LI296" s="13"/>
      <c r="LJ296" s="13"/>
      <c r="LK296" s="13"/>
      <c r="LL296" s="13"/>
      <c r="LM296" s="13"/>
      <c r="LN296" s="13"/>
      <c r="LO296" s="13"/>
      <c r="LP296" s="13"/>
      <c r="LQ296" s="13"/>
      <c r="LR296" s="13"/>
      <c r="LS296" s="13"/>
      <c r="LT296" s="13"/>
      <c r="LU296" s="13"/>
      <c r="LV296" s="13"/>
      <c r="LW296" s="13"/>
      <c r="LX296" s="13"/>
      <c r="LY296" s="13"/>
      <c r="LZ296" s="13"/>
      <c r="MA296" s="13"/>
      <c r="MB296" s="13"/>
      <c r="MC296" s="13"/>
      <c r="MD296" s="13"/>
      <c r="ME296" s="13"/>
      <c r="MF296" s="13"/>
      <c r="MG296" s="13"/>
    </row>
    <row r="297" spans="1:345" s="14" customFormat="1">
      <c r="A297" s="19" t="s">
        <v>98</v>
      </c>
      <c r="B297" s="10">
        <f>B103</f>
        <v>0</v>
      </c>
      <c r="C297" s="10">
        <f t="shared" ref="C297:Z297" si="249">C103</f>
        <v>0</v>
      </c>
      <c r="D297" s="10">
        <f t="shared" si="249"/>
        <v>0</v>
      </c>
      <c r="E297" s="10">
        <f t="shared" si="249"/>
        <v>0</v>
      </c>
      <c r="F297" s="10">
        <f t="shared" si="249"/>
        <v>0</v>
      </c>
      <c r="G297" s="10">
        <f t="shared" si="249"/>
        <v>0</v>
      </c>
      <c r="H297" s="10">
        <f t="shared" si="249"/>
        <v>0</v>
      </c>
      <c r="I297" s="10">
        <f t="shared" si="249"/>
        <v>0</v>
      </c>
      <c r="J297" s="10">
        <f t="shared" si="249"/>
        <v>0</v>
      </c>
      <c r="K297" s="10">
        <f t="shared" si="249"/>
        <v>0</v>
      </c>
      <c r="L297" s="10">
        <f t="shared" si="249"/>
        <v>0</v>
      </c>
      <c r="M297" s="10">
        <f t="shared" si="249"/>
        <v>0</v>
      </c>
      <c r="N297" s="10">
        <f t="shared" si="249"/>
        <v>0</v>
      </c>
      <c r="O297" s="10">
        <f t="shared" si="249"/>
        <v>0</v>
      </c>
      <c r="P297" s="10">
        <f t="shared" si="249"/>
        <v>0</v>
      </c>
      <c r="Q297" s="10">
        <f t="shared" si="249"/>
        <v>0</v>
      </c>
      <c r="R297" s="10">
        <f t="shared" si="249"/>
        <v>0</v>
      </c>
      <c r="S297" s="10">
        <f t="shared" si="249"/>
        <v>0</v>
      </c>
      <c r="T297" s="10">
        <f t="shared" si="249"/>
        <v>0</v>
      </c>
      <c r="U297" s="10">
        <f t="shared" si="249"/>
        <v>0</v>
      </c>
      <c r="V297" s="10">
        <f t="shared" si="249"/>
        <v>0</v>
      </c>
      <c r="W297" s="10">
        <f t="shared" si="249"/>
        <v>0</v>
      </c>
      <c r="X297" s="10">
        <f t="shared" si="249"/>
        <v>0</v>
      </c>
      <c r="Y297" s="10">
        <f t="shared" si="249"/>
        <v>0</v>
      </c>
      <c r="Z297" s="10">
        <f t="shared" si="249"/>
        <v>0</v>
      </c>
      <c r="AA297" s="11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0">
        <f>FP103/1000</f>
        <v>0</v>
      </c>
      <c r="FQ297" s="10">
        <f t="shared" ref="FQ297:IB297" si="250">FQ103/1000</f>
        <v>0</v>
      </c>
      <c r="FR297" s="10">
        <f t="shared" si="250"/>
        <v>0</v>
      </c>
      <c r="FS297" s="10">
        <f t="shared" si="250"/>
        <v>0</v>
      </c>
      <c r="FT297" s="10">
        <f t="shared" si="250"/>
        <v>0</v>
      </c>
      <c r="FU297" s="10">
        <f t="shared" si="250"/>
        <v>0</v>
      </c>
      <c r="FV297" s="10">
        <f t="shared" si="250"/>
        <v>0</v>
      </c>
      <c r="FW297" s="10">
        <f t="shared" si="250"/>
        <v>0</v>
      </c>
      <c r="FX297" s="10">
        <f t="shared" si="250"/>
        <v>0</v>
      </c>
      <c r="FY297" s="10">
        <f t="shared" si="250"/>
        <v>0</v>
      </c>
      <c r="FZ297" s="10">
        <f t="shared" si="250"/>
        <v>0</v>
      </c>
      <c r="GA297" s="10">
        <f t="shared" si="250"/>
        <v>0</v>
      </c>
      <c r="GB297" s="10">
        <f t="shared" si="250"/>
        <v>0</v>
      </c>
      <c r="GC297" s="10">
        <f t="shared" si="250"/>
        <v>0</v>
      </c>
      <c r="GD297" s="10">
        <f t="shared" si="250"/>
        <v>0</v>
      </c>
      <c r="GE297" s="10">
        <f t="shared" si="250"/>
        <v>0</v>
      </c>
      <c r="GF297" s="10">
        <f t="shared" si="250"/>
        <v>0</v>
      </c>
      <c r="GG297" s="10">
        <f t="shared" si="250"/>
        <v>0</v>
      </c>
      <c r="GH297" s="10">
        <f t="shared" si="250"/>
        <v>0</v>
      </c>
      <c r="GI297" s="10">
        <f t="shared" si="250"/>
        <v>0</v>
      </c>
      <c r="GJ297" s="10">
        <f t="shared" si="250"/>
        <v>0</v>
      </c>
      <c r="GK297" s="10">
        <f t="shared" si="250"/>
        <v>0</v>
      </c>
      <c r="GL297" s="10">
        <f t="shared" si="250"/>
        <v>0</v>
      </c>
      <c r="GM297" s="10">
        <f t="shared" si="250"/>
        <v>0</v>
      </c>
      <c r="GN297" s="10">
        <f t="shared" si="250"/>
        <v>0</v>
      </c>
      <c r="GO297" s="10">
        <f t="shared" si="250"/>
        <v>0</v>
      </c>
      <c r="GP297" s="10">
        <f t="shared" si="250"/>
        <v>0</v>
      </c>
      <c r="GQ297" s="10">
        <f t="shared" si="250"/>
        <v>0</v>
      </c>
      <c r="GR297" s="10">
        <f t="shared" si="250"/>
        <v>0</v>
      </c>
      <c r="GS297" s="10">
        <f t="shared" si="250"/>
        <v>0</v>
      </c>
      <c r="GT297" s="10">
        <f t="shared" si="250"/>
        <v>0</v>
      </c>
      <c r="GU297" s="10">
        <f t="shared" si="250"/>
        <v>0</v>
      </c>
      <c r="GV297" s="10">
        <f t="shared" si="250"/>
        <v>0</v>
      </c>
      <c r="GW297" s="10">
        <f t="shared" si="250"/>
        <v>0</v>
      </c>
      <c r="GX297" s="10">
        <f t="shared" si="250"/>
        <v>0</v>
      </c>
      <c r="GY297" s="10">
        <f t="shared" si="250"/>
        <v>0</v>
      </c>
      <c r="GZ297" s="10">
        <f t="shared" si="250"/>
        <v>0</v>
      </c>
      <c r="HA297" s="10">
        <f t="shared" si="250"/>
        <v>0</v>
      </c>
      <c r="HB297" s="10">
        <f t="shared" si="250"/>
        <v>0</v>
      </c>
      <c r="HC297" s="10">
        <f t="shared" si="250"/>
        <v>0</v>
      </c>
      <c r="HD297" s="10">
        <f t="shared" si="250"/>
        <v>0</v>
      </c>
      <c r="HE297" s="10">
        <f t="shared" si="250"/>
        <v>0</v>
      </c>
      <c r="HF297" s="10">
        <f t="shared" si="250"/>
        <v>0</v>
      </c>
      <c r="HG297" s="10">
        <f t="shared" si="250"/>
        <v>0</v>
      </c>
      <c r="HH297" s="10">
        <f t="shared" si="250"/>
        <v>0</v>
      </c>
      <c r="HI297" s="10">
        <f t="shared" si="250"/>
        <v>0</v>
      </c>
      <c r="HJ297" s="10">
        <f t="shared" si="250"/>
        <v>0</v>
      </c>
      <c r="HK297" s="10">
        <f t="shared" si="250"/>
        <v>0</v>
      </c>
      <c r="HL297" s="10">
        <f t="shared" si="250"/>
        <v>0</v>
      </c>
      <c r="HM297" s="10">
        <f t="shared" si="250"/>
        <v>0</v>
      </c>
      <c r="HN297" s="10">
        <f t="shared" si="250"/>
        <v>0</v>
      </c>
      <c r="HO297" s="10">
        <f t="shared" si="250"/>
        <v>0</v>
      </c>
      <c r="HP297" s="10">
        <f t="shared" si="250"/>
        <v>0</v>
      </c>
      <c r="HQ297" s="10">
        <f t="shared" si="250"/>
        <v>0</v>
      </c>
      <c r="HR297" s="10">
        <f t="shared" si="250"/>
        <v>0</v>
      </c>
      <c r="HS297" s="10">
        <f t="shared" si="250"/>
        <v>0</v>
      </c>
      <c r="HT297" s="10">
        <f t="shared" si="250"/>
        <v>0</v>
      </c>
      <c r="HU297" s="10">
        <f t="shared" si="250"/>
        <v>0</v>
      </c>
      <c r="HV297" s="10">
        <f t="shared" si="250"/>
        <v>0</v>
      </c>
      <c r="HW297" s="10">
        <f t="shared" si="250"/>
        <v>0</v>
      </c>
      <c r="HX297" s="10">
        <f t="shared" si="250"/>
        <v>0</v>
      </c>
      <c r="HY297" s="10">
        <f t="shared" si="250"/>
        <v>0</v>
      </c>
      <c r="HZ297" s="10">
        <f t="shared" si="250"/>
        <v>0</v>
      </c>
      <c r="IA297" s="10">
        <f t="shared" si="250"/>
        <v>0</v>
      </c>
      <c r="IB297" s="10">
        <f t="shared" si="250"/>
        <v>0</v>
      </c>
      <c r="IC297" s="10">
        <f t="shared" ref="IC297:JE297" si="251">IC103/1000</f>
        <v>0</v>
      </c>
      <c r="ID297" s="10">
        <f t="shared" si="251"/>
        <v>0</v>
      </c>
      <c r="IE297" s="10">
        <f t="shared" si="251"/>
        <v>0</v>
      </c>
      <c r="IF297" s="10">
        <f t="shared" si="251"/>
        <v>0</v>
      </c>
      <c r="IG297" s="10">
        <f t="shared" si="251"/>
        <v>0</v>
      </c>
      <c r="IH297" s="10">
        <f t="shared" si="251"/>
        <v>0</v>
      </c>
      <c r="II297" s="10">
        <f t="shared" si="251"/>
        <v>0</v>
      </c>
      <c r="IJ297" s="10">
        <f t="shared" si="251"/>
        <v>0</v>
      </c>
      <c r="IK297" s="10">
        <f t="shared" si="251"/>
        <v>0</v>
      </c>
      <c r="IL297" s="10">
        <f t="shared" si="251"/>
        <v>0</v>
      </c>
      <c r="IM297" s="10">
        <f t="shared" si="251"/>
        <v>0</v>
      </c>
      <c r="IN297" s="10">
        <f t="shared" si="251"/>
        <v>0</v>
      </c>
      <c r="IO297" s="10">
        <f t="shared" si="251"/>
        <v>0</v>
      </c>
      <c r="IP297" s="10">
        <f t="shared" si="251"/>
        <v>0</v>
      </c>
      <c r="IQ297" s="10">
        <f t="shared" si="251"/>
        <v>0</v>
      </c>
      <c r="IR297" s="10">
        <f t="shared" si="251"/>
        <v>0</v>
      </c>
      <c r="IS297" s="10">
        <f t="shared" si="251"/>
        <v>0</v>
      </c>
      <c r="IT297" s="10">
        <f t="shared" si="251"/>
        <v>0</v>
      </c>
      <c r="IU297" s="10">
        <f t="shared" si="251"/>
        <v>0</v>
      </c>
      <c r="IV297" s="10">
        <f t="shared" si="251"/>
        <v>0</v>
      </c>
      <c r="IW297" s="10">
        <f t="shared" si="251"/>
        <v>0</v>
      </c>
      <c r="IX297" s="10">
        <f t="shared" si="251"/>
        <v>0</v>
      </c>
      <c r="IY297" s="10">
        <f t="shared" si="251"/>
        <v>0</v>
      </c>
      <c r="IZ297" s="10">
        <f t="shared" si="251"/>
        <v>0</v>
      </c>
      <c r="JA297" s="10">
        <f t="shared" si="251"/>
        <v>0</v>
      </c>
      <c r="JB297" s="10">
        <f t="shared" si="251"/>
        <v>0</v>
      </c>
      <c r="JC297" s="10">
        <f t="shared" si="251"/>
        <v>0</v>
      </c>
      <c r="JD297" s="10">
        <f t="shared" si="251"/>
        <v>0</v>
      </c>
      <c r="JE297" s="10">
        <f t="shared" si="251"/>
        <v>0</v>
      </c>
      <c r="JF297" s="10">
        <f>JF103/1000</f>
        <v>0</v>
      </c>
      <c r="JG297" s="10">
        <f>JG103/1000</f>
        <v>0</v>
      </c>
      <c r="JH297" s="10">
        <f t="shared" ref="JH297:LS297" si="252">JH103/1000</f>
        <v>0</v>
      </c>
      <c r="JI297" s="10">
        <f t="shared" si="252"/>
        <v>0</v>
      </c>
      <c r="JJ297" s="10">
        <f t="shared" si="252"/>
        <v>0</v>
      </c>
      <c r="JK297" s="10">
        <f t="shared" si="252"/>
        <v>0</v>
      </c>
      <c r="JL297" s="10">
        <f t="shared" si="252"/>
        <v>0</v>
      </c>
      <c r="JM297" s="10">
        <f t="shared" si="252"/>
        <v>0</v>
      </c>
      <c r="JN297" s="10">
        <f t="shared" si="252"/>
        <v>0</v>
      </c>
      <c r="JO297" s="10">
        <f t="shared" si="252"/>
        <v>0</v>
      </c>
      <c r="JP297" s="10">
        <f t="shared" si="252"/>
        <v>0</v>
      </c>
      <c r="JQ297" s="10">
        <f t="shared" si="252"/>
        <v>0</v>
      </c>
      <c r="JR297" s="10">
        <f t="shared" si="252"/>
        <v>0</v>
      </c>
      <c r="JS297" s="10">
        <f t="shared" si="252"/>
        <v>0</v>
      </c>
      <c r="JT297" s="10">
        <f t="shared" si="252"/>
        <v>0</v>
      </c>
      <c r="JU297" s="10">
        <f t="shared" si="252"/>
        <v>0</v>
      </c>
      <c r="JV297" s="10">
        <f t="shared" si="252"/>
        <v>0</v>
      </c>
      <c r="JW297" s="10">
        <f t="shared" si="252"/>
        <v>0</v>
      </c>
      <c r="JX297" s="10">
        <f t="shared" si="252"/>
        <v>0</v>
      </c>
      <c r="JY297" s="10">
        <f t="shared" si="252"/>
        <v>0</v>
      </c>
      <c r="JZ297" s="10">
        <f t="shared" si="252"/>
        <v>0</v>
      </c>
      <c r="KA297" s="10">
        <f t="shared" si="252"/>
        <v>0</v>
      </c>
      <c r="KB297" s="10">
        <f t="shared" si="252"/>
        <v>0</v>
      </c>
      <c r="KC297" s="10">
        <f t="shared" si="252"/>
        <v>0</v>
      </c>
      <c r="KD297" s="10">
        <f t="shared" si="252"/>
        <v>0</v>
      </c>
      <c r="KE297" s="10">
        <f t="shared" si="252"/>
        <v>0</v>
      </c>
      <c r="KF297" s="10">
        <f t="shared" si="252"/>
        <v>0</v>
      </c>
      <c r="KG297" s="10">
        <f t="shared" si="252"/>
        <v>0</v>
      </c>
      <c r="KH297" s="10">
        <f t="shared" si="252"/>
        <v>0</v>
      </c>
      <c r="KI297" s="10">
        <f t="shared" si="252"/>
        <v>0</v>
      </c>
      <c r="KJ297" s="10">
        <f t="shared" si="252"/>
        <v>0</v>
      </c>
      <c r="KK297" s="10">
        <f t="shared" si="252"/>
        <v>0</v>
      </c>
      <c r="KL297" s="10">
        <f t="shared" si="252"/>
        <v>0</v>
      </c>
      <c r="KM297" s="10">
        <f t="shared" si="252"/>
        <v>0</v>
      </c>
      <c r="KN297" s="10">
        <f t="shared" si="252"/>
        <v>0</v>
      </c>
      <c r="KO297" s="10">
        <f t="shared" si="252"/>
        <v>0</v>
      </c>
      <c r="KP297" s="10">
        <f t="shared" si="252"/>
        <v>0</v>
      </c>
      <c r="KQ297" s="10">
        <f t="shared" si="252"/>
        <v>0</v>
      </c>
      <c r="KR297" s="10">
        <f t="shared" si="252"/>
        <v>0</v>
      </c>
      <c r="KS297" s="10">
        <f t="shared" si="252"/>
        <v>0</v>
      </c>
      <c r="KT297" s="10">
        <f t="shared" si="252"/>
        <v>0</v>
      </c>
      <c r="KU297" s="10">
        <f t="shared" si="252"/>
        <v>0</v>
      </c>
      <c r="KV297" s="10">
        <f t="shared" si="252"/>
        <v>0</v>
      </c>
      <c r="KW297" s="10">
        <f t="shared" si="252"/>
        <v>0</v>
      </c>
      <c r="KX297" s="10">
        <f t="shared" si="252"/>
        <v>0</v>
      </c>
      <c r="KY297" s="10">
        <f t="shared" si="252"/>
        <v>0</v>
      </c>
      <c r="KZ297" s="10">
        <f t="shared" si="252"/>
        <v>0</v>
      </c>
      <c r="LA297" s="10">
        <f t="shared" si="252"/>
        <v>0</v>
      </c>
      <c r="LB297" s="10">
        <f t="shared" si="252"/>
        <v>0</v>
      </c>
      <c r="LC297" s="10">
        <f t="shared" si="252"/>
        <v>0</v>
      </c>
      <c r="LD297" s="10">
        <f t="shared" si="252"/>
        <v>0</v>
      </c>
      <c r="LE297" s="10">
        <f t="shared" si="252"/>
        <v>0</v>
      </c>
      <c r="LF297" s="10">
        <f t="shared" si="252"/>
        <v>0</v>
      </c>
      <c r="LG297" s="10">
        <f t="shared" si="252"/>
        <v>0</v>
      </c>
      <c r="LH297" s="10">
        <f t="shared" si="252"/>
        <v>0</v>
      </c>
      <c r="LI297" s="10">
        <f t="shared" si="252"/>
        <v>0</v>
      </c>
      <c r="LJ297" s="10">
        <f t="shared" si="252"/>
        <v>0</v>
      </c>
      <c r="LK297" s="10">
        <f t="shared" si="252"/>
        <v>0</v>
      </c>
      <c r="LL297" s="10">
        <f t="shared" si="252"/>
        <v>0</v>
      </c>
      <c r="LM297" s="10">
        <f t="shared" si="252"/>
        <v>0</v>
      </c>
      <c r="LN297" s="10">
        <f t="shared" si="252"/>
        <v>0</v>
      </c>
      <c r="LO297" s="10">
        <f t="shared" si="252"/>
        <v>0</v>
      </c>
      <c r="LP297" s="10">
        <f t="shared" si="252"/>
        <v>0</v>
      </c>
      <c r="LQ297" s="10">
        <f t="shared" si="252"/>
        <v>0</v>
      </c>
      <c r="LR297" s="10">
        <f t="shared" si="252"/>
        <v>0</v>
      </c>
      <c r="LS297" s="10">
        <f t="shared" si="252"/>
        <v>0</v>
      </c>
      <c r="LT297" s="10">
        <f t="shared" ref="LT297:MK297" si="253">LT103/1000</f>
        <v>0</v>
      </c>
      <c r="LU297" s="10">
        <f t="shared" si="253"/>
        <v>0</v>
      </c>
      <c r="LV297" s="10">
        <f t="shared" si="253"/>
        <v>0</v>
      </c>
      <c r="LW297" s="10">
        <f t="shared" si="253"/>
        <v>0</v>
      </c>
      <c r="LX297" s="10">
        <f t="shared" si="253"/>
        <v>0</v>
      </c>
      <c r="LY297" s="10">
        <f t="shared" si="253"/>
        <v>0</v>
      </c>
      <c r="LZ297" s="10">
        <f t="shared" si="253"/>
        <v>0</v>
      </c>
      <c r="MA297" s="10">
        <f t="shared" si="253"/>
        <v>0</v>
      </c>
      <c r="MB297" s="10">
        <f t="shared" si="253"/>
        <v>0</v>
      </c>
      <c r="MC297" s="10">
        <f t="shared" si="253"/>
        <v>0</v>
      </c>
      <c r="MD297" s="10">
        <f t="shared" si="253"/>
        <v>0</v>
      </c>
      <c r="ME297" s="10">
        <f t="shared" si="253"/>
        <v>0</v>
      </c>
      <c r="MF297" s="10">
        <f t="shared" si="253"/>
        <v>0</v>
      </c>
      <c r="MG297" s="10">
        <f t="shared" si="253"/>
        <v>0</v>
      </c>
    </row>
    <row r="298" spans="1:345" s="14" customFormat="1">
      <c r="A298" s="19" t="s">
        <v>112</v>
      </c>
      <c r="B298" s="10">
        <f>B117</f>
        <v>0</v>
      </c>
      <c r="C298" s="10">
        <f t="shared" ref="C298:Z298" si="254">C117</f>
        <v>0</v>
      </c>
      <c r="D298" s="10">
        <f t="shared" si="254"/>
        <v>0</v>
      </c>
      <c r="E298" s="10">
        <f t="shared" si="254"/>
        <v>0</v>
      </c>
      <c r="F298" s="10">
        <f t="shared" si="254"/>
        <v>0</v>
      </c>
      <c r="G298" s="10">
        <f t="shared" si="254"/>
        <v>0</v>
      </c>
      <c r="H298" s="10">
        <f t="shared" si="254"/>
        <v>0</v>
      </c>
      <c r="I298" s="10">
        <f t="shared" si="254"/>
        <v>0</v>
      </c>
      <c r="J298" s="10">
        <f t="shared" si="254"/>
        <v>0</v>
      </c>
      <c r="K298" s="10">
        <f t="shared" si="254"/>
        <v>0</v>
      </c>
      <c r="L298" s="10">
        <f t="shared" si="254"/>
        <v>0</v>
      </c>
      <c r="M298" s="10">
        <f t="shared" si="254"/>
        <v>0</v>
      </c>
      <c r="N298" s="10">
        <f t="shared" si="254"/>
        <v>0</v>
      </c>
      <c r="O298" s="10">
        <f t="shared" si="254"/>
        <v>0</v>
      </c>
      <c r="P298" s="10">
        <f t="shared" si="254"/>
        <v>0</v>
      </c>
      <c r="Q298" s="10">
        <f t="shared" si="254"/>
        <v>0</v>
      </c>
      <c r="R298" s="10">
        <f t="shared" si="254"/>
        <v>0</v>
      </c>
      <c r="S298" s="10">
        <f t="shared" si="254"/>
        <v>0</v>
      </c>
      <c r="T298" s="10">
        <f t="shared" si="254"/>
        <v>0</v>
      </c>
      <c r="U298" s="10">
        <f t="shared" si="254"/>
        <v>0</v>
      </c>
      <c r="V298" s="10">
        <f t="shared" si="254"/>
        <v>0</v>
      </c>
      <c r="W298" s="10">
        <f t="shared" si="254"/>
        <v>0</v>
      </c>
      <c r="X298" s="10">
        <f t="shared" si="254"/>
        <v>0</v>
      </c>
      <c r="Y298" s="10">
        <f t="shared" si="254"/>
        <v>0</v>
      </c>
      <c r="Z298" s="10">
        <f t="shared" si="254"/>
        <v>0</v>
      </c>
      <c r="AA298" s="11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0">
        <f>FP117/1000</f>
        <v>0</v>
      </c>
      <c r="FQ298" s="10">
        <f t="shared" ref="FQ298:IB298" si="255">FQ117/1000</f>
        <v>0</v>
      </c>
      <c r="FR298" s="10">
        <f t="shared" si="255"/>
        <v>0</v>
      </c>
      <c r="FS298" s="10">
        <f t="shared" si="255"/>
        <v>0</v>
      </c>
      <c r="FT298" s="10">
        <f t="shared" si="255"/>
        <v>0</v>
      </c>
      <c r="FU298" s="10">
        <f t="shared" si="255"/>
        <v>0</v>
      </c>
      <c r="FV298" s="10">
        <f t="shared" si="255"/>
        <v>0</v>
      </c>
      <c r="FW298" s="10">
        <f t="shared" si="255"/>
        <v>0</v>
      </c>
      <c r="FX298" s="10">
        <f t="shared" si="255"/>
        <v>0</v>
      </c>
      <c r="FY298" s="10">
        <f t="shared" si="255"/>
        <v>0</v>
      </c>
      <c r="FZ298" s="10">
        <f t="shared" si="255"/>
        <v>0</v>
      </c>
      <c r="GA298" s="10">
        <f t="shared" si="255"/>
        <v>0</v>
      </c>
      <c r="GB298" s="10">
        <f t="shared" si="255"/>
        <v>0</v>
      </c>
      <c r="GC298" s="10">
        <f t="shared" si="255"/>
        <v>0</v>
      </c>
      <c r="GD298" s="10">
        <f t="shared" si="255"/>
        <v>0</v>
      </c>
      <c r="GE298" s="10">
        <f t="shared" si="255"/>
        <v>0</v>
      </c>
      <c r="GF298" s="10">
        <f t="shared" si="255"/>
        <v>0</v>
      </c>
      <c r="GG298" s="10">
        <f t="shared" si="255"/>
        <v>0</v>
      </c>
      <c r="GH298" s="10">
        <f t="shared" si="255"/>
        <v>0</v>
      </c>
      <c r="GI298" s="10">
        <f t="shared" si="255"/>
        <v>0</v>
      </c>
      <c r="GJ298" s="10">
        <f t="shared" si="255"/>
        <v>0</v>
      </c>
      <c r="GK298" s="10">
        <f t="shared" si="255"/>
        <v>0</v>
      </c>
      <c r="GL298" s="10">
        <f t="shared" si="255"/>
        <v>0</v>
      </c>
      <c r="GM298" s="10">
        <f t="shared" si="255"/>
        <v>0</v>
      </c>
      <c r="GN298" s="10">
        <f t="shared" si="255"/>
        <v>0</v>
      </c>
      <c r="GO298" s="10">
        <f t="shared" si="255"/>
        <v>0</v>
      </c>
      <c r="GP298" s="10">
        <f t="shared" si="255"/>
        <v>0</v>
      </c>
      <c r="GQ298" s="10">
        <f t="shared" si="255"/>
        <v>0</v>
      </c>
      <c r="GR298" s="10">
        <f t="shared" si="255"/>
        <v>0</v>
      </c>
      <c r="GS298" s="10">
        <f t="shared" si="255"/>
        <v>0</v>
      </c>
      <c r="GT298" s="10">
        <f t="shared" si="255"/>
        <v>0</v>
      </c>
      <c r="GU298" s="10">
        <f t="shared" si="255"/>
        <v>0</v>
      </c>
      <c r="GV298" s="10">
        <f t="shared" si="255"/>
        <v>0</v>
      </c>
      <c r="GW298" s="10">
        <f t="shared" si="255"/>
        <v>0</v>
      </c>
      <c r="GX298" s="10">
        <f t="shared" si="255"/>
        <v>0</v>
      </c>
      <c r="GY298" s="10">
        <f t="shared" si="255"/>
        <v>0</v>
      </c>
      <c r="GZ298" s="10">
        <f t="shared" si="255"/>
        <v>0</v>
      </c>
      <c r="HA298" s="10">
        <f t="shared" si="255"/>
        <v>0</v>
      </c>
      <c r="HB298" s="10">
        <f t="shared" si="255"/>
        <v>0</v>
      </c>
      <c r="HC298" s="10">
        <f t="shared" si="255"/>
        <v>0</v>
      </c>
      <c r="HD298" s="10">
        <f t="shared" si="255"/>
        <v>0</v>
      </c>
      <c r="HE298" s="10">
        <f t="shared" si="255"/>
        <v>0</v>
      </c>
      <c r="HF298" s="10">
        <f t="shared" si="255"/>
        <v>0</v>
      </c>
      <c r="HG298" s="10">
        <f t="shared" si="255"/>
        <v>0</v>
      </c>
      <c r="HH298" s="10">
        <f t="shared" si="255"/>
        <v>0</v>
      </c>
      <c r="HI298" s="10">
        <f t="shared" si="255"/>
        <v>0</v>
      </c>
      <c r="HJ298" s="10">
        <f t="shared" si="255"/>
        <v>0</v>
      </c>
      <c r="HK298" s="10">
        <f t="shared" si="255"/>
        <v>0</v>
      </c>
      <c r="HL298" s="10">
        <f t="shared" si="255"/>
        <v>0</v>
      </c>
      <c r="HM298" s="10">
        <f t="shared" si="255"/>
        <v>0</v>
      </c>
      <c r="HN298" s="10">
        <f t="shared" si="255"/>
        <v>0</v>
      </c>
      <c r="HO298" s="10">
        <f t="shared" si="255"/>
        <v>0</v>
      </c>
      <c r="HP298" s="10">
        <f t="shared" si="255"/>
        <v>0</v>
      </c>
      <c r="HQ298" s="10">
        <f t="shared" si="255"/>
        <v>0</v>
      </c>
      <c r="HR298" s="10">
        <f t="shared" si="255"/>
        <v>0</v>
      </c>
      <c r="HS298" s="10">
        <f t="shared" si="255"/>
        <v>0</v>
      </c>
      <c r="HT298" s="10">
        <f t="shared" si="255"/>
        <v>0</v>
      </c>
      <c r="HU298" s="10">
        <f t="shared" si="255"/>
        <v>0</v>
      </c>
      <c r="HV298" s="10">
        <f t="shared" si="255"/>
        <v>0</v>
      </c>
      <c r="HW298" s="10">
        <f t="shared" si="255"/>
        <v>0</v>
      </c>
      <c r="HX298" s="10">
        <f t="shared" si="255"/>
        <v>0</v>
      </c>
      <c r="HY298" s="10">
        <f t="shared" si="255"/>
        <v>0</v>
      </c>
      <c r="HZ298" s="10">
        <f t="shared" si="255"/>
        <v>0</v>
      </c>
      <c r="IA298" s="10">
        <f t="shared" si="255"/>
        <v>0</v>
      </c>
      <c r="IB298" s="10">
        <f t="shared" si="255"/>
        <v>0</v>
      </c>
      <c r="IC298" s="10">
        <f t="shared" ref="IC298:JE298" si="256">IC117/1000</f>
        <v>0</v>
      </c>
      <c r="ID298" s="10">
        <f t="shared" si="256"/>
        <v>0</v>
      </c>
      <c r="IE298" s="10">
        <f t="shared" si="256"/>
        <v>0</v>
      </c>
      <c r="IF298" s="10">
        <f t="shared" si="256"/>
        <v>0</v>
      </c>
      <c r="IG298" s="10">
        <f t="shared" si="256"/>
        <v>0</v>
      </c>
      <c r="IH298" s="10">
        <f t="shared" si="256"/>
        <v>0</v>
      </c>
      <c r="II298" s="10">
        <f t="shared" si="256"/>
        <v>0</v>
      </c>
      <c r="IJ298" s="10">
        <f t="shared" si="256"/>
        <v>0</v>
      </c>
      <c r="IK298" s="10">
        <f t="shared" si="256"/>
        <v>0</v>
      </c>
      <c r="IL298" s="10">
        <f t="shared" si="256"/>
        <v>0</v>
      </c>
      <c r="IM298" s="10">
        <f t="shared" si="256"/>
        <v>0</v>
      </c>
      <c r="IN298" s="10">
        <f t="shared" si="256"/>
        <v>0</v>
      </c>
      <c r="IO298" s="10">
        <f t="shared" si="256"/>
        <v>0</v>
      </c>
      <c r="IP298" s="10">
        <f t="shared" si="256"/>
        <v>0</v>
      </c>
      <c r="IQ298" s="10">
        <f t="shared" si="256"/>
        <v>0</v>
      </c>
      <c r="IR298" s="10">
        <f t="shared" si="256"/>
        <v>0</v>
      </c>
      <c r="IS298" s="10">
        <f t="shared" si="256"/>
        <v>0</v>
      </c>
      <c r="IT298" s="10">
        <f t="shared" si="256"/>
        <v>0</v>
      </c>
      <c r="IU298" s="10">
        <f t="shared" si="256"/>
        <v>0</v>
      </c>
      <c r="IV298" s="10">
        <f t="shared" si="256"/>
        <v>0</v>
      </c>
      <c r="IW298" s="10">
        <f t="shared" si="256"/>
        <v>0</v>
      </c>
      <c r="IX298" s="10">
        <f t="shared" si="256"/>
        <v>0</v>
      </c>
      <c r="IY298" s="10">
        <f t="shared" si="256"/>
        <v>0</v>
      </c>
      <c r="IZ298" s="10">
        <f t="shared" si="256"/>
        <v>0</v>
      </c>
      <c r="JA298" s="10">
        <f t="shared" si="256"/>
        <v>0</v>
      </c>
      <c r="JB298" s="10">
        <f t="shared" si="256"/>
        <v>0</v>
      </c>
      <c r="JC298" s="10">
        <f t="shared" si="256"/>
        <v>0</v>
      </c>
      <c r="JD298" s="10">
        <f t="shared" si="256"/>
        <v>0</v>
      </c>
      <c r="JE298" s="10">
        <f t="shared" si="256"/>
        <v>0</v>
      </c>
      <c r="JF298" s="10">
        <f>JF117/1000</f>
        <v>0</v>
      </c>
      <c r="JG298" s="10">
        <f>JG117/1000</f>
        <v>0</v>
      </c>
      <c r="JH298" s="10">
        <f t="shared" ref="JH298:LS298" si="257">JH117/1000</f>
        <v>0</v>
      </c>
      <c r="JI298" s="10">
        <f t="shared" si="257"/>
        <v>0</v>
      </c>
      <c r="JJ298" s="10">
        <f t="shared" si="257"/>
        <v>0</v>
      </c>
      <c r="JK298" s="10">
        <f t="shared" si="257"/>
        <v>0</v>
      </c>
      <c r="JL298" s="10">
        <f t="shared" si="257"/>
        <v>0</v>
      </c>
      <c r="JM298" s="10">
        <f t="shared" si="257"/>
        <v>0</v>
      </c>
      <c r="JN298" s="10">
        <f t="shared" si="257"/>
        <v>0</v>
      </c>
      <c r="JO298" s="10">
        <f t="shared" si="257"/>
        <v>0</v>
      </c>
      <c r="JP298" s="10">
        <f t="shared" si="257"/>
        <v>0</v>
      </c>
      <c r="JQ298" s="10">
        <f t="shared" si="257"/>
        <v>0</v>
      </c>
      <c r="JR298" s="10">
        <f t="shared" si="257"/>
        <v>0</v>
      </c>
      <c r="JS298" s="10">
        <f t="shared" si="257"/>
        <v>0</v>
      </c>
      <c r="JT298" s="10">
        <f t="shared" si="257"/>
        <v>0</v>
      </c>
      <c r="JU298" s="10">
        <f t="shared" si="257"/>
        <v>0</v>
      </c>
      <c r="JV298" s="10">
        <f t="shared" si="257"/>
        <v>0</v>
      </c>
      <c r="JW298" s="10">
        <f t="shared" si="257"/>
        <v>0</v>
      </c>
      <c r="JX298" s="10">
        <f t="shared" si="257"/>
        <v>0</v>
      </c>
      <c r="JY298" s="10">
        <f t="shared" si="257"/>
        <v>0</v>
      </c>
      <c r="JZ298" s="10">
        <f t="shared" si="257"/>
        <v>0</v>
      </c>
      <c r="KA298" s="10">
        <f t="shared" si="257"/>
        <v>0</v>
      </c>
      <c r="KB298" s="10">
        <f t="shared" si="257"/>
        <v>0</v>
      </c>
      <c r="KC298" s="10">
        <f t="shared" si="257"/>
        <v>0</v>
      </c>
      <c r="KD298" s="10">
        <f t="shared" si="257"/>
        <v>0</v>
      </c>
      <c r="KE298" s="10">
        <f t="shared" si="257"/>
        <v>0</v>
      </c>
      <c r="KF298" s="10">
        <f t="shared" si="257"/>
        <v>0</v>
      </c>
      <c r="KG298" s="10">
        <f t="shared" si="257"/>
        <v>0</v>
      </c>
      <c r="KH298" s="10">
        <f t="shared" si="257"/>
        <v>0</v>
      </c>
      <c r="KI298" s="10">
        <f t="shared" si="257"/>
        <v>0</v>
      </c>
      <c r="KJ298" s="10">
        <f t="shared" si="257"/>
        <v>0</v>
      </c>
      <c r="KK298" s="10">
        <f t="shared" si="257"/>
        <v>0</v>
      </c>
      <c r="KL298" s="10">
        <f t="shared" si="257"/>
        <v>0</v>
      </c>
      <c r="KM298" s="10">
        <f t="shared" si="257"/>
        <v>0</v>
      </c>
      <c r="KN298" s="10">
        <f t="shared" si="257"/>
        <v>0</v>
      </c>
      <c r="KO298" s="10">
        <f t="shared" si="257"/>
        <v>0</v>
      </c>
      <c r="KP298" s="10">
        <f t="shared" si="257"/>
        <v>0</v>
      </c>
      <c r="KQ298" s="10">
        <f t="shared" si="257"/>
        <v>0</v>
      </c>
      <c r="KR298" s="10">
        <f t="shared" si="257"/>
        <v>0</v>
      </c>
      <c r="KS298" s="10">
        <f t="shared" si="257"/>
        <v>0</v>
      </c>
      <c r="KT298" s="10">
        <f t="shared" si="257"/>
        <v>0</v>
      </c>
      <c r="KU298" s="10">
        <f t="shared" si="257"/>
        <v>0</v>
      </c>
      <c r="KV298" s="10">
        <f t="shared" si="257"/>
        <v>0</v>
      </c>
      <c r="KW298" s="10">
        <f t="shared" si="257"/>
        <v>0</v>
      </c>
      <c r="KX298" s="10">
        <f t="shared" si="257"/>
        <v>0</v>
      </c>
      <c r="KY298" s="10">
        <f t="shared" si="257"/>
        <v>0</v>
      </c>
      <c r="KZ298" s="10">
        <f t="shared" si="257"/>
        <v>0</v>
      </c>
      <c r="LA298" s="10">
        <f t="shared" si="257"/>
        <v>0</v>
      </c>
      <c r="LB298" s="10">
        <f t="shared" si="257"/>
        <v>0</v>
      </c>
      <c r="LC298" s="10">
        <f t="shared" si="257"/>
        <v>0</v>
      </c>
      <c r="LD298" s="10">
        <f t="shared" si="257"/>
        <v>0</v>
      </c>
      <c r="LE298" s="10">
        <f t="shared" si="257"/>
        <v>0</v>
      </c>
      <c r="LF298" s="10">
        <f t="shared" si="257"/>
        <v>0</v>
      </c>
      <c r="LG298" s="10">
        <f t="shared" si="257"/>
        <v>0</v>
      </c>
      <c r="LH298" s="10">
        <f t="shared" si="257"/>
        <v>0</v>
      </c>
      <c r="LI298" s="10">
        <f t="shared" si="257"/>
        <v>0</v>
      </c>
      <c r="LJ298" s="10">
        <f t="shared" si="257"/>
        <v>0</v>
      </c>
      <c r="LK298" s="10">
        <f t="shared" si="257"/>
        <v>0</v>
      </c>
      <c r="LL298" s="10">
        <f t="shared" si="257"/>
        <v>0</v>
      </c>
      <c r="LM298" s="10">
        <f t="shared" si="257"/>
        <v>0</v>
      </c>
      <c r="LN298" s="10">
        <f t="shared" si="257"/>
        <v>0</v>
      </c>
      <c r="LO298" s="10">
        <f t="shared" si="257"/>
        <v>0</v>
      </c>
      <c r="LP298" s="10">
        <f t="shared" si="257"/>
        <v>0</v>
      </c>
      <c r="LQ298" s="10">
        <f t="shared" si="257"/>
        <v>0</v>
      </c>
      <c r="LR298" s="10">
        <f t="shared" si="257"/>
        <v>0</v>
      </c>
      <c r="LS298" s="10">
        <f t="shared" si="257"/>
        <v>0</v>
      </c>
      <c r="LT298" s="10">
        <f t="shared" ref="LT298:MK298" si="258">LT117/1000</f>
        <v>0</v>
      </c>
      <c r="LU298" s="10">
        <f t="shared" si="258"/>
        <v>0</v>
      </c>
      <c r="LV298" s="10">
        <f t="shared" si="258"/>
        <v>0</v>
      </c>
      <c r="LW298" s="10">
        <f t="shared" si="258"/>
        <v>0</v>
      </c>
      <c r="LX298" s="10">
        <f t="shared" si="258"/>
        <v>0</v>
      </c>
      <c r="LY298" s="10">
        <f t="shared" si="258"/>
        <v>0</v>
      </c>
      <c r="LZ298" s="10">
        <f t="shared" si="258"/>
        <v>0</v>
      </c>
      <c r="MA298" s="10">
        <f t="shared" si="258"/>
        <v>0</v>
      </c>
      <c r="MB298" s="10">
        <f t="shared" si="258"/>
        <v>0</v>
      </c>
      <c r="MC298" s="10">
        <f t="shared" si="258"/>
        <v>0</v>
      </c>
      <c r="MD298" s="10">
        <f t="shared" si="258"/>
        <v>0</v>
      </c>
      <c r="ME298" s="10">
        <f t="shared" si="258"/>
        <v>0</v>
      </c>
      <c r="MF298" s="10">
        <f t="shared" si="258"/>
        <v>0</v>
      </c>
      <c r="MG298" s="10">
        <f t="shared" si="258"/>
        <v>0</v>
      </c>
    </row>
    <row r="299" spans="1:345" s="14" customFormat="1">
      <c r="A299" s="19" t="s">
        <v>136</v>
      </c>
      <c r="B299" s="10">
        <f>B141</f>
        <v>0</v>
      </c>
      <c r="C299" s="10">
        <f t="shared" ref="C299:Z299" si="259">C141</f>
        <v>0</v>
      </c>
      <c r="D299" s="10">
        <f t="shared" si="259"/>
        <v>0</v>
      </c>
      <c r="E299" s="10">
        <f t="shared" si="259"/>
        <v>0</v>
      </c>
      <c r="F299" s="10">
        <f t="shared" si="259"/>
        <v>0</v>
      </c>
      <c r="G299" s="10">
        <f t="shared" si="259"/>
        <v>0</v>
      </c>
      <c r="H299" s="10">
        <f t="shared" si="259"/>
        <v>0</v>
      </c>
      <c r="I299" s="10">
        <f t="shared" si="259"/>
        <v>0</v>
      </c>
      <c r="J299" s="10">
        <f t="shared" si="259"/>
        <v>0</v>
      </c>
      <c r="K299" s="10">
        <f t="shared" si="259"/>
        <v>0</v>
      </c>
      <c r="L299" s="10">
        <f t="shared" si="259"/>
        <v>0</v>
      </c>
      <c r="M299" s="10">
        <f t="shared" si="259"/>
        <v>0</v>
      </c>
      <c r="N299" s="10">
        <f t="shared" si="259"/>
        <v>0</v>
      </c>
      <c r="O299" s="10">
        <f t="shared" si="259"/>
        <v>0</v>
      </c>
      <c r="P299" s="10">
        <f t="shared" si="259"/>
        <v>0</v>
      </c>
      <c r="Q299" s="10">
        <f t="shared" si="259"/>
        <v>0</v>
      </c>
      <c r="R299" s="10">
        <f t="shared" si="259"/>
        <v>0</v>
      </c>
      <c r="S299" s="10">
        <f t="shared" si="259"/>
        <v>0</v>
      </c>
      <c r="T299" s="10">
        <f t="shared" si="259"/>
        <v>0</v>
      </c>
      <c r="U299" s="10">
        <f t="shared" si="259"/>
        <v>0</v>
      </c>
      <c r="V299" s="10">
        <f t="shared" si="259"/>
        <v>0</v>
      </c>
      <c r="W299" s="10">
        <f t="shared" si="259"/>
        <v>0</v>
      </c>
      <c r="X299" s="10">
        <f t="shared" si="259"/>
        <v>0</v>
      </c>
      <c r="Y299" s="10">
        <f t="shared" si="259"/>
        <v>0</v>
      </c>
      <c r="Z299" s="10">
        <f t="shared" si="259"/>
        <v>0.13912200000000002</v>
      </c>
      <c r="AA299" s="11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0">
        <f>FP141/1000</f>
        <v>0</v>
      </c>
      <c r="FQ299" s="10">
        <f t="shared" ref="FQ299:IB299" si="260">FQ141/1000</f>
        <v>0</v>
      </c>
      <c r="FR299" s="10">
        <f t="shared" si="260"/>
        <v>0</v>
      </c>
      <c r="FS299" s="10">
        <f t="shared" si="260"/>
        <v>0</v>
      </c>
      <c r="FT299" s="10">
        <f t="shared" si="260"/>
        <v>0</v>
      </c>
      <c r="FU299" s="10">
        <f t="shared" si="260"/>
        <v>0</v>
      </c>
      <c r="FV299" s="10">
        <f t="shared" si="260"/>
        <v>0</v>
      </c>
      <c r="FW299" s="10">
        <f t="shared" si="260"/>
        <v>0</v>
      </c>
      <c r="FX299" s="10">
        <f t="shared" si="260"/>
        <v>0</v>
      </c>
      <c r="FY299" s="10">
        <f t="shared" si="260"/>
        <v>0</v>
      </c>
      <c r="FZ299" s="10">
        <f t="shared" si="260"/>
        <v>0</v>
      </c>
      <c r="GA299" s="10">
        <f t="shared" si="260"/>
        <v>0</v>
      </c>
      <c r="GB299" s="10">
        <f t="shared" si="260"/>
        <v>0</v>
      </c>
      <c r="GC299" s="10">
        <f t="shared" si="260"/>
        <v>0</v>
      </c>
      <c r="GD299" s="10">
        <f t="shared" si="260"/>
        <v>0</v>
      </c>
      <c r="GE299" s="10">
        <f t="shared" si="260"/>
        <v>0</v>
      </c>
      <c r="GF299" s="10">
        <f t="shared" si="260"/>
        <v>0</v>
      </c>
      <c r="GG299" s="10">
        <f t="shared" si="260"/>
        <v>0</v>
      </c>
      <c r="GH299" s="10">
        <f t="shared" si="260"/>
        <v>0</v>
      </c>
      <c r="GI299" s="10">
        <f t="shared" si="260"/>
        <v>0</v>
      </c>
      <c r="GJ299" s="10">
        <f t="shared" si="260"/>
        <v>0</v>
      </c>
      <c r="GK299" s="10">
        <f t="shared" si="260"/>
        <v>0</v>
      </c>
      <c r="GL299" s="10">
        <f t="shared" si="260"/>
        <v>0</v>
      </c>
      <c r="GM299" s="10">
        <f t="shared" si="260"/>
        <v>0</v>
      </c>
      <c r="GN299" s="10">
        <f t="shared" si="260"/>
        <v>0</v>
      </c>
      <c r="GO299" s="10">
        <f t="shared" si="260"/>
        <v>0</v>
      </c>
      <c r="GP299" s="10">
        <f t="shared" si="260"/>
        <v>0</v>
      </c>
      <c r="GQ299" s="10">
        <f t="shared" si="260"/>
        <v>0</v>
      </c>
      <c r="GR299" s="10">
        <f t="shared" si="260"/>
        <v>0</v>
      </c>
      <c r="GS299" s="10">
        <f t="shared" si="260"/>
        <v>0</v>
      </c>
      <c r="GT299" s="10">
        <f t="shared" si="260"/>
        <v>0</v>
      </c>
      <c r="GU299" s="10">
        <f t="shared" si="260"/>
        <v>0</v>
      </c>
      <c r="GV299" s="10">
        <f t="shared" si="260"/>
        <v>0</v>
      </c>
      <c r="GW299" s="10">
        <f t="shared" si="260"/>
        <v>0</v>
      </c>
      <c r="GX299" s="10">
        <f t="shared" si="260"/>
        <v>0</v>
      </c>
      <c r="GY299" s="10">
        <f t="shared" si="260"/>
        <v>0</v>
      </c>
      <c r="GZ299" s="10">
        <f t="shared" si="260"/>
        <v>0</v>
      </c>
      <c r="HA299" s="10">
        <f t="shared" si="260"/>
        <v>0</v>
      </c>
      <c r="HB299" s="10">
        <f t="shared" si="260"/>
        <v>0</v>
      </c>
      <c r="HC299" s="10">
        <f t="shared" si="260"/>
        <v>0</v>
      </c>
      <c r="HD299" s="10">
        <f t="shared" si="260"/>
        <v>0</v>
      </c>
      <c r="HE299" s="10">
        <f t="shared" si="260"/>
        <v>0</v>
      </c>
      <c r="HF299" s="10">
        <f t="shared" si="260"/>
        <v>0</v>
      </c>
      <c r="HG299" s="10">
        <f t="shared" si="260"/>
        <v>0</v>
      </c>
      <c r="HH299" s="10">
        <f t="shared" si="260"/>
        <v>0</v>
      </c>
      <c r="HI299" s="10">
        <f t="shared" si="260"/>
        <v>0</v>
      </c>
      <c r="HJ299" s="10">
        <f t="shared" si="260"/>
        <v>0</v>
      </c>
      <c r="HK299" s="10">
        <f t="shared" si="260"/>
        <v>0</v>
      </c>
      <c r="HL299" s="10">
        <f t="shared" si="260"/>
        <v>0</v>
      </c>
      <c r="HM299" s="10">
        <f t="shared" si="260"/>
        <v>0</v>
      </c>
      <c r="HN299" s="10">
        <f t="shared" si="260"/>
        <v>0</v>
      </c>
      <c r="HO299" s="10">
        <f t="shared" si="260"/>
        <v>0</v>
      </c>
      <c r="HP299" s="10">
        <f t="shared" si="260"/>
        <v>0</v>
      </c>
      <c r="HQ299" s="10">
        <f t="shared" si="260"/>
        <v>0</v>
      </c>
      <c r="HR299" s="10">
        <f t="shared" si="260"/>
        <v>0</v>
      </c>
      <c r="HS299" s="10">
        <f t="shared" si="260"/>
        <v>0</v>
      </c>
      <c r="HT299" s="10">
        <f t="shared" si="260"/>
        <v>0</v>
      </c>
      <c r="HU299" s="10">
        <f t="shared" si="260"/>
        <v>0</v>
      </c>
      <c r="HV299" s="10">
        <f t="shared" si="260"/>
        <v>0</v>
      </c>
      <c r="HW299" s="10">
        <f t="shared" si="260"/>
        <v>0</v>
      </c>
      <c r="HX299" s="10">
        <f t="shared" si="260"/>
        <v>0</v>
      </c>
      <c r="HY299" s="10">
        <f t="shared" si="260"/>
        <v>0</v>
      </c>
      <c r="HZ299" s="10">
        <f t="shared" si="260"/>
        <v>0</v>
      </c>
      <c r="IA299" s="10">
        <f t="shared" si="260"/>
        <v>0</v>
      </c>
      <c r="IB299" s="10">
        <f t="shared" si="260"/>
        <v>0</v>
      </c>
      <c r="IC299" s="10">
        <f t="shared" ref="IC299:JE299" si="261">IC141/1000</f>
        <v>0</v>
      </c>
      <c r="ID299" s="10">
        <f t="shared" si="261"/>
        <v>0</v>
      </c>
      <c r="IE299" s="10">
        <f t="shared" si="261"/>
        <v>0</v>
      </c>
      <c r="IF299" s="10">
        <f t="shared" si="261"/>
        <v>0</v>
      </c>
      <c r="IG299" s="10">
        <f t="shared" si="261"/>
        <v>0</v>
      </c>
      <c r="IH299" s="10">
        <f t="shared" si="261"/>
        <v>0</v>
      </c>
      <c r="II299" s="10">
        <f t="shared" si="261"/>
        <v>0</v>
      </c>
      <c r="IJ299" s="10">
        <f t="shared" si="261"/>
        <v>0</v>
      </c>
      <c r="IK299" s="10">
        <f t="shared" si="261"/>
        <v>0</v>
      </c>
      <c r="IL299" s="10">
        <f t="shared" si="261"/>
        <v>0</v>
      </c>
      <c r="IM299" s="10">
        <f t="shared" si="261"/>
        <v>0</v>
      </c>
      <c r="IN299" s="10">
        <f t="shared" si="261"/>
        <v>0</v>
      </c>
      <c r="IO299" s="10">
        <f t="shared" si="261"/>
        <v>0</v>
      </c>
      <c r="IP299" s="10">
        <f t="shared" si="261"/>
        <v>0</v>
      </c>
      <c r="IQ299" s="10">
        <f t="shared" si="261"/>
        <v>0</v>
      </c>
      <c r="IR299" s="10">
        <f t="shared" si="261"/>
        <v>0</v>
      </c>
      <c r="IS299" s="10">
        <f t="shared" si="261"/>
        <v>0</v>
      </c>
      <c r="IT299" s="10">
        <f t="shared" si="261"/>
        <v>0</v>
      </c>
      <c r="IU299" s="10">
        <f t="shared" si="261"/>
        <v>0</v>
      </c>
      <c r="IV299" s="10">
        <f t="shared" si="261"/>
        <v>0</v>
      </c>
      <c r="IW299" s="10">
        <f t="shared" si="261"/>
        <v>0</v>
      </c>
      <c r="IX299" s="10">
        <f t="shared" si="261"/>
        <v>0</v>
      </c>
      <c r="IY299" s="10">
        <f t="shared" si="261"/>
        <v>0</v>
      </c>
      <c r="IZ299" s="10">
        <f t="shared" si="261"/>
        <v>0</v>
      </c>
      <c r="JA299" s="10">
        <f t="shared" si="261"/>
        <v>0</v>
      </c>
      <c r="JB299" s="10">
        <f t="shared" si="261"/>
        <v>0</v>
      </c>
      <c r="JC299" s="10">
        <f t="shared" si="261"/>
        <v>0</v>
      </c>
      <c r="JD299" s="10">
        <f t="shared" si="261"/>
        <v>0</v>
      </c>
      <c r="JE299" s="10">
        <f t="shared" si="261"/>
        <v>0</v>
      </c>
      <c r="JF299" s="10">
        <f>JF141/1000</f>
        <v>0</v>
      </c>
      <c r="JG299" s="10">
        <f>JG141/1000</f>
        <v>0</v>
      </c>
      <c r="JH299" s="10">
        <f t="shared" ref="JH299:LS299" si="262">JH141/1000</f>
        <v>0</v>
      </c>
      <c r="JI299" s="10">
        <f t="shared" si="262"/>
        <v>0</v>
      </c>
      <c r="JJ299" s="10">
        <f t="shared" si="262"/>
        <v>0</v>
      </c>
      <c r="JK299" s="10">
        <f t="shared" si="262"/>
        <v>0</v>
      </c>
      <c r="JL299" s="10">
        <f t="shared" si="262"/>
        <v>0</v>
      </c>
      <c r="JM299" s="10">
        <f t="shared" si="262"/>
        <v>0</v>
      </c>
      <c r="JN299" s="10">
        <f t="shared" si="262"/>
        <v>0</v>
      </c>
      <c r="JO299" s="10">
        <f t="shared" si="262"/>
        <v>0</v>
      </c>
      <c r="JP299" s="10">
        <f t="shared" si="262"/>
        <v>0</v>
      </c>
      <c r="JQ299" s="10">
        <f t="shared" si="262"/>
        <v>0</v>
      </c>
      <c r="JR299" s="10">
        <f t="shared" si="262"/>
        <v>0</v>
      </c>
      <c r="JS299" s="10">
        <f t="shared" si="262"/>
        <v>0</v>
      </c>
      <c r="JT299" s="10">
        <f t="shared" si="262"/>
        <v>0</v>
      </c>
      <c r="JU299" s="10">
        <f t="shared" si="262"/>
        <v>0</v>
      </c>
      <c r="JV299" s="10">
        <f t="shared" si="262"/>
        <v>0</v>
      </c>
      <c r="JW299" s="10">
        <f t="shared" si="262"/>
        <v>0</v>
      </c>
      <c r="JX299" s="10">
        <f t="shared" si="262"/>
        <v>0</v>
      </c>
      <c r="JY299" s="10">
        <f t="shared" si="262"/>
        <v>0</v>
      </c>
      <c r="JZ299" s="10">
        <f t="shared" si="262"/>
        <v>0</v>
      </c>
      <c r="KA299" s="10">
        <f t="shared" si="262"/>
        <v>0</v>
      </c>
      <c r="KB299" s="10">
        <f t="shared" si="262"/>
        <v>0</v>
      </c>
      <c r="KC299" s="10">
        <f t="shared" si="262"/>
        <v>0</v>
      </c>
      <c r="KD299" s="10">
        <f t="shared" si="262"/>
        <v>0</v>
      </c>
      <c r="KE299" s="10">
        <f t="shared" si="262"/>
        <v>0</v>
      </c>
      <c r="KF299" s="10">
        <f t="shared" si="262"/>
        <v>0</v>
      </c>
      <c r="KG299" s="10">
        <f t="shared" si="262"/>
        <v>0</v>
      </c>
      <c r="KH299" s="10">
        <f t="shared" si="262"/>
        <v>0</v>
      </c>
      <c r="KI299" s="10">
        <f t="shared" si="262"/>
        <v>0</v>
      </c>
      <c r="KJ299" s="10">
        <f t="shared" si="262"/>
        <v>0</v>
      </c>
      <c r="KK299" s="10">
        <f t="shared" si="262"/>
        <v>0</v>
      </c>
      <c r="KL299" s="10">
        <f t="shared" si="262"/>
        <v>0</v>
      </c>
      <c r="KM299" s="10">
        <f t="shared" si="262"/>
        <v>0</v>
      </c>
      <c r="KN299" s="10">
        <f t="shared" si="262"/>
        <v>0</v>
      </c>
      <c r="KO299" s="10">
        <f t="shared" si="262"/>
        <v>0</v>
      </c>
      <c r="KP299" s="10">
        <f t="shared" si="262"/>
        <v>0</v>
      </c>
      <c r="KQ299" s="10">
        <f t="shared" si="262"/>
        <v>0</v>
      </c>
      <c r="KR299" s="10">
        <f t="shared" si="262"/>
        <v>0</v>
      </c>
      <c r="KS299" s="10">
        <f t="shared" si="262"/>
        <v>0</v>
      </c>
      <c r="KT299" s="10">
        <f t="shared" si="262"/>
        <v>0</v>
      </c>
      <c r="KU299" s="10">
        <f t="shared" si="262"/>
        <v>0</v>
      </c>
      <c r="KV299" s="10">
        <f t="shared" si="262"/>
        <v>0</v>
      </c>
      <c r="KW299" s="10">
        <f t="shared" si="262"/>
        <v>0</v>
      </c>
      <c r="KX299" s="10">
        <f t="shared" si="262"/>
        <v>0</v>
      </c>
      <c r="KY299" s="10">
        <f t="shared" si="262"/>
        <v>0</v>
      </c>
      <c r="KZ299" s="10">
        <f t="shared" si="262"/>
        <v>0</v>
      </c>
      <c r="LA299" s="10">
        <f t="shared" si="262"/>
        <v>0</v>
      </c>
      <c r="LB299" s="10">
        <f t="shared" si="262"/>
        <v>0</v>
      </c>
      <c r="LC299" s="10">
        <f t="shared" si="262"/>
        <v>0</v>
      </c>
      <c r="LD299" s="10">
        <f t="shared" si="262"/>
        <v>0</v>
      </c>
      <c r="LE299" s="10">
        <f t="shared" si="262"/>
        <v>4.7790000000000003E-3</v>
      </c>
      <c r="LF299" s="10">
        <f t="shared" si="262"/>
        <v>3.3984E-2</v>
      </c>
      <c r="LG299" s="10">
        <f t="shared" si="262"/>
        <v>1.4336999999999999E-2</v>
      </c>
      <c r="LH299" s="10">
        <f t="shared" si="262"/>
        <v>9.5580000000000005E-3</v>
      </c>
      <c r="LI299" s="10">
        <f t="shared" si="262"/>
        <v>0</v>
      </c>
      <c r="LJ299" s="10">
        <f t="shared" si="262"/>
        <v>0</v>
      </c>
      <c r="LK299" s="10">
        <f t="shared" si="262"/>
        <v>4.7789999999999999E-2</v>
      </c>
      <c r="LL299" s="10">
        <f t="shared" si="262"/>
        <v>0</v>
      </c>
      <c r="LM299" s="10">
        <f t="shared" si="262"/>
        <v>0</v>
      </c>
      <c r="LN299" s="10">
        <f t="shared" si="262"/>
        <v>9.5580000000000005E-3</v>
      </c>
      <c r="LO299" s="10">
        <f t="shared" si="262"/>
        <v>1.9116000000000001E-2</v>
      </c>
      <c r="LP299" s="10">
        <f t="shared" si="262"/>
        <v>4.7790000000000003E-3</v>
      </c>
      <c r="LQ299" s="10">
        <f t="shared" si="262"/>
        <v>1.4336999999999999E-2</v>
      </c>
      <c r="LR299" s="10">
        <f t="shared" si="262"/>
        <v>0</v>
      </c>
      <c r="LS299" s="10">
        <f t="shared" si="262"/>
        <v>0</v>
      </c>
      <c r="LT299" s="10">
        <f t="shared" ref="LT299:MK299" si="263">LT141/1000</f>
        <v>0</v>
      </c>
      <c r="LU299" s="10">
        <f t="shared" si="263"/>
        <v>0</v>
      </c>
      <c r="LV299" s="10">
        <f t="shared" si="263"/>
        <v>0</v>
      </c>
      <c r="LW299" s="10">
        <f t="shared" si="263"/>
        <v>0</v>
      </c>
      <c r="LX299" s="10">
        <f t="shared" si="263"/>
        <v>0</v>
      </c>
      <c r="LY299" s="10">
        <f t="shared" si="263"/>
        <v>0</v>
      </c>
      <c r="LZ299" s="10">
        <f t="shared" si="263"/>
        <v>0</v>
      </c>
      <c r="MA299" s="10">
        <f t="shared" si="263"/>
        <v>0</v>
      </c>
      <c r="MB299" s="10">
        <f t="shared" si="263"/>
        <v>0</v>
      </c>
      <c r="MC299" s="10">
        <f t="shared" si="263"/>
        <v>0</v>
      </c>
      <c r="MD299" s="10">
        <f t="shared" si="263"/>
        <v>0</v>
      </c>
      <c r="ME299" s="10">
        <f t="shared" si="263"/>
        <v>0</v>
      </c>
      <c r="MF299" s="10">
        <f t="shared" si="263"/>
        <v>0</v>
      </c>
      <c r="MG299" s="10">
        <f t="shared" si="263"/>
        <v>0</v>
      </c>
    </row>
    <row r="300" spans="1:345" s="14" customFormat="1">
      <c r="A300" s="19" t="s">
        <v>227</v>
      </c>
      <c r="B300" s="10">
        <f>B234</f>
        <v>0</v>
      </c>
      <c r="C300" s="10">
        <f t="shared" ref="C300:Z300" si="264">C234</f>
        <v>0</v>
      </c>
      <c r="D300" s="10">
        <f t="shared" si="264"/>
        <v>0</v>
      </c>
      <c r="E300" s="10">
        <f t="shared" si="264"/>
        <v>0</v>
      </c>
      <c r="F300" s="10">
        <f t="shared" si="264"/>
        <v>0</v>
      </c>
      <c r="G300" s="10">
        <f t="shared" si="264"/>
        <v>0</v>
      </c>
      <c r="H300" s="10">
        <f t="shared" si="264"/>
        <v>0</v>
      </c>
      <c r="I300" s="10">
        <f t="shared" si="264"/>
        <v>0</v>
      </c>
      <c r="J300" s="10">
        <f t="shared" si="264"/>
        <v>0</v>
      </c>
      <c r="K300" s="10">
        <f t="shared" si="264"/>
        <v>0</v>
      </c>
      <c r="L300" s="10">
        <f t="shared" si="264"/>
        <v>0</v>
      </c>
      <c r="M300" s="10">
        <f t="shared" si="264"/>
        <v>0</v>
      </c>
      <c r="N300" s="10">
        <f t="shared" si="264"/>
        <v>0</v>
      </c>
      <c r="O300" s="10">
        <f t="shared" si="264"/>
        <v>0</v>
      </c>
      <c r="P300" s="10">
        <f t="shared" si="264"/>
        <v>0</v>
      </c>
      <c r="Q300" s="10">
        <f t="shared" si="264"/>
        <v>0</v>
      </c>
      <c r="R300" s="10">
        <f t="shared" si="264"/>
        <v>0</v>
      </c>
      <c r="S300" s="10">
        <f t="shared" si="264"/>
        <v>0</v>
      </c>
      <c r="T300" s="10">
        <f t="shared" si="264"/>
        <v>0</v>
      </c>
      <c r="U300" s="10">
        <f t="shared" si="264"/>
        <v>0</v>
      </c>
      <c r="V300" s="10">
        <f t="shared" si="264"/>
        <v>0</v>
      </c>
      <c r="W300" s="10">
        <f t="shared" si="264"/>
        <v>0</v>
      </c>
      <c r="X300" s="10">
        <f t="shared" si="264"/>
        <v>0</v>
      </c>
      <c r="Y300" s="10">
        <f t="shared" si="264"/>
        <v>0</v>
      </c>
      <c r="Z300" s="10">
        <f t="shared" si="264"/>
        <v>0</v>
      </c>
      <c r="AA300" s="11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0">
        <f>FP234/1000</f>
        <v>0</v>
      </c>
      <c r="FQ300" s="10">
        <f t="shared" ref="FQ300:IB300" si="265">FQ234/1000</f>
        <v>0</v>
      </c>
      <c r="FR300" s="10">
        <f t="shared" si="265"/>
        <v>0</v>
      </c>
      <c r="FS300" s="10">
        <f t="shared" si="265"/>
        <v>0</v>
      </c>
      <c r="FT300" s="10">
        <f t="shared" si="265"/>
        <v>0</v>
      </c>
      <c r="FU300" s="10">
        <f t="shared" si="265"/>
        <v>0</v>
      </c>
      <c r="FV300" s="10">
        <f t="shared" si="265"/>
        <v>0</v>
      </c>
      <c r="FW300" s="10">
        <f t="shared" si="265"/>
        <v>0</v>
      </c>
      <c r="FX300" s="10">
        <f t="shared" si="265"/>
        <v>0</v>
      </c>
      <c r="FY300" s="10">
        <f t="shared" si="265"/>
        <v>0</v>
      </c>
      <c r="FZ300" s="10">
        <f t="shared" si="265"/>
        <v>0</v>
      </c>
      <c r="GA300" s="10">
        <f t="shared" si="265"/>
        <v>0</v>
      </c>
      <c r="GB300" s="10">
        <f t="shared" si="265"/>
        <v>0</v>
      </c>
      <c r="GC300" s="10">
        <f t="shared" si="265"/>
        <v>0</v>
      </c>
      <c r="GD300" s="10">
        <f t="shared" si="265"/>
        <v>0</v>
      </c>
      <c r="GE300" s="10">
        <f t="shared" si="265"/>
        <v>0</v>
      </c>
      <c r="GF300" s="10">
        <f t="shared" si="265"/>
        <v>0</v>
      </c>
      <c r="GG300" s="10">
        <f t="shared" si="265"/>
        <v>0</v>
      </c>
      <c r="GH300" s="10">
        <f t="shared" si="265"/>
        <v>0</v>
      </c>
      <c r="GI300" s="10">
        <f t="shared" si="265"/>
        <v>0</v>
      </c>
      <c r="GJ300" s="10">
        <f t="shared" si="265"/>
        <v>0</v>
      </c>
      <c r="GK300" s="10">
        <f t="shared" si="265"/>
        <v>0</v>
      </c>
      <c r="GL300" s="10">
        <f t="shared" si="265"/>
        <v>0</v>
      </c>
      <c r="GM300" s="10">
        <f t="shared" si="265"/>
        <v>0</v>
      </c>
      <c r="GN300" s="10">
        <f t="shared" si="265"/>
        <v>0</v>
      </c>
      <c r="GO300" s="10">
        <f t="shared" si="265"/>
        <v>0</v>
      </c>
      <c r="GP300" s="10">
        <f t="shared" si="265"/>
        <v>0</v>
      </c>
      <c r="GQ300" s="10">
        <f t="shared" si="265"/>
        <v>0</v>
      </c>
      <c r="GR300" s="10">
        <f t="shared" si="265"/>
        <v>0</v>
      </c>
      <c r="GS300" s="10">
        <f t="shared" si="265"/>
        <v>0</v>
      </c>
      <c r="GT300" s="10">
        <f t="shared" si="265"/>
        <v>0</v>
      </c>
      <c r="GU300" s="10">
        <f t="shared" si="265"/>
        <v>0</v>
      </c>
      <c r="GV300" s="10">
        <f t="shared" si="265"/>
        <v>0</v>
      </c>
      <c r="GW300" s="10">
        <f t="shared" si="265"/>
        <v>0</v>
      </c>
      <c r="GX300" s="10">
        <f t="shared" si="265"/>
        <v>0</v>
      </c>
      <c r="GY300" s="10">
        <f t="shared" si="265"/>
        <v>0</v>
      </c>
      <c r="GZ300" s="10">
        <f t="shared" si="265"/>
        <v>0</v>
      </c>
      <c r="HA300" s="10">
        <f t="shared" si="265"/>
        <v>0</v>
      </c>
      <c r="HB300" s="10">
        <f t="shared" si="265"/>
        <v>0</v>
      </c>
      <c r="HC300" s="10">
        <f t="shared" si="265"/>
        <v>0</v>
      </c>
      <c r="HD300" s="10">
        <f t="shared" si="265"/>
        <v>0</v>
      </c>
      <c r="HE300" s="10">
        <f t="shared" si="265"/>
        <v>0</v>
      </c>
      <c r="HF300" s="10">
        <f t="shared" si="265"/>
        <v>0</v>
      </c>
      <c r="HG300" s="10">
        <f t="shared" si="265"/>
        <v>0</v>
      </c>
      <c r="HH300" s="10">
        <f t="shared" si="265"/>
        <v>0</v>
      </c>
      <c r="HI300" s="10">
        <f t="shared" si="265"/>
        <v>0</v>
      </c>
      <c r="HJ300" s="10">
        <f t="shared" si="265"/>
        <v>0</v>
      </c>
      <c r="HK300" s="10">
        <f t="shared" si="265"/>
        <v>0</v>
      </c>
      <c r="HL300" s="10">
        <f t="shared" si="265"/>
        <v>0</v>
      </c>
      <c r="HM300" s="10">
        <f t="shared" si="265"/>
        <v>0</v>
      </c>
      <c r="HN300" s="10">
        <f t="shared" si="265"/>
        <v>0</v>
      </c>
      <c r="HO300" s="10">
        <f t="shared" si="265"/>
        <v>0</v>
      </c>
      <c r="HP300" s="10">
        <f t="shared" si="265"/>
        <v>0</v>
      </c>
      <c r="HQ300" s="10">
        <f t="shared" si="265"/>
        <v>0</v>
      </c>
      <c r="HR300" s="10">
        <f t="shared" si="265"/>
        <v>0</v>
      </c>
      <c r="HS300" s="10">
        <f t="shared" si="265"/>
        <v>0</v>
      </c>
      <c r="HT300" s="10">
        <f t="shared" si="265"/>
        <v>0</v>
      </c>
      <c r="HU300" s="10">
        <f t="shared" si="265"/>
        <v>0</v>
      </c>
      <c r="HV300" s="10">
        <f t="shared" si="265"/>
        <v>0</v>
      </c>
      <c r="HW300" s="10">
        <f t="shared" si="265"/>
        <v>0</v>
      </c>
      <c r="HX300" s="10">
        <f t="shared" si="265"/>
        <v>0</v>
      </c>
      <c r="HY300" s="10">
        <f t="shared" si="265"/>
        <v>0</v>
      </c>
      <c r="HZ300" s="10">
        <f t="shared" si="265"/>
        <v>0</v>
      </c>
      <c r="IA300" s="10">
        <f t="shared" si="265"/>
        <v>0</v>
      </c>
      <c r="IB300" s="10">
        <f t="shared" si="265"/>
        <v>0</v>
      </c>
      <c r="IC300" s="10">
        <f t="shared" ref="IC300:JE300" si="266">IC234/1000</f>
        <v>0</v>
      </c>
      <c r="ID300" s="10">
        <f t="shared" si="266"/>
        <v>0</v>
      </c>
      <c r="IE300" s="10">
        <f t="shared" si="266"/>
        <v>0</v>
      </c>
      <c r="IF300" s="10">
        <f t="shared" si="266"/>
        <v>0</v>
      </c>
      <c r="IG300" s="10">
        <f t="shared" si="266"/>
        <v>0</v>
      </c>
      <c r="IH300" s="10">
        <f t="shared" si="266"/>
        <v>0</v>
      </c>
      <c r="II300" s="10">
        <f t="shared" si="266"/>
        <v>0</v>
      </c>
      <c r="IJ300" s="10">
        <f t="shared" si="266"/>
        <v>0</v>
      </c>
      <c r="IK300" s="10">
        <f t="shared" si="266"/>
        <v>0</v>
      </c>
      <c r="IL300" s="10">
        <f t="shared" si="266"/>
        <v>0</v>
      </c>
      <c r="IM300" s="10">
        <f t="shared" si="266"/>
        <v>0</v>
      </c>
      <c r="IN300" s="10">
        <f t="shared" si="266"/>
        <v>0</v>
      </c>
      <c r="IO300" s="10">
        <f t="shared" si="266"/>
        <v>0</v>
      </c>
      <c r="IP300" s="10">
        <f t="shared" si="266"/>
        <v>0</v>
      </c>
      <c r="IQ300" s="10">
        <f t="shared" si="266"/>
        <v>0</v>
      </c>
      <c r="IR300" s="10">
        <f t="shared" si="266"/>
        <v>0</v>
      </c>
      <c r="IS300" s="10">
        <f t="shared" si="266"/>
        <v>0</v>
      </c>
      <c r="IT300" s="10">
        <f t="shared" si="266"/>
        <v>0</v>
      </c>
      <c r="IU300" s="10">
        <f t="shared" si="266"/>
        <v>0</v>
      </c>
      <c r="IV300" s="10">
        <f t="shared" si="266"/>
        <v>0</v>
      </c>
      <c r="IW300" s="10">
        <f t="shared" si="266"/>
        <v>0</v>
      </c>
      <c r="IX300" s="10">
        <f t="shared" si="266"/>
        <v>0</v>
      </c>
      <c r="IY300" s="10">
        <f t="shared" si="266"/>
        <v>0</v>
      </c>
      <c r="IZ300" s="10">
        <f t="shared" si="266"/>
        <v>0</v>
      </c>
      <c r="JA300" s="10">
        <f t="shared" si="266"/>
        <v>0</v>
      </c>
      <c r="JB300" s="10">
        <f t="shared" si="266"/>
        <v>0</v>
      </c>
      <c r="JC300" s="10">
        <f t="shared" si="266"/>
        <v>0</v>
      </c>
      <c r="JD300" s="10">
        <f t="shared" si="266"/>
        <v>0</v>
      </c>
      <c r="JE300" s="10">
        <f t="shared" si="266"/>
        <v>0</v>
      </c>
      <c r="JF300" s="10">
        <f>JF234/1000</f>
        <v>0</v>
      </c>
      <c r="JG300" s="10">
        <f>JG234/1000</f>
        <v>0</v>
      </c>
      <c r="JH300" s="10">
        <f t="shared" ref="JH300:LS300" si="267">JH234/1000</f>
        <v>0</v>
      </c>
      <c r="JI300" s="10">
        <f t="shared" si="267"/>
        <v>0</v>
      </c>
      <c r="JJ300" s="10">
        <f t="shared" si="267"/>
        <v>0</v>
      </c>
      <c r="JK300" s="10">
        <f t="shared" si="267"/>
        <v>0</v>
      </c>
      <c r="JL300" s="10">
        <f t="shared" si="267"/>
        <v>0</v>
      </c>
      <c r="JM300" s="10">
        <f t="shared" si="267"/>
        <v>0</v>
      </c>
      <c r="JN300" s="10">
        <f t="shared" si="267"/>
        <v>0</v>
      </c>
      <c r="JO300" s="10">
        <f t="shared" si="267"/>
        <v>0</v>
      </c>
      <c r="JP300" s="10">
        <f t="shared" si="267"/>
        <v>0</v>
      </c>
      <c r="JQ300" s="10">
        <f t="shared" si="267"/>
        <v>0</v>
      </c>
      <c r="JR300" s="10">
        <f t="shared" si="267"/>
        <v>0</v>
      </c>
      <c r="JS300" s="10">
        <f t="shared" si="267"/>
        <v>0</v>
      </c>
      <c r="JT300" s="10">
        <f t="shared" si="267"/>
        <v>0</v>
      </c>
      <c r="JU300" s="10">
        <f t="shared" si="267"/>
        <v>0</v>
      </c>
      <c r="JV300" s="10">
        <f t="shared" si="267"/>
        <v>0</v>
      </c>
      <c r="JW300" s="10">
        <f t="shared" si="267"/>
        <v>0</v>
      </c>
      <c r="JX300" s="10">
        <f t="shared" si="267"/>
        <v>0</v>
      </c>
      <c r="JY300" s="10">
        <f t="shared" si="267"/>
        <v>0</v>
      </c>
      <c r="JZ300" s="10">
        <f t="shared" si="267"/>
        <v>0</v>
      </c>
      <c r="KA300" s="10">
        <f t="shared" si="267"/>
        <v>0</v>
      </c>
      <c r="KB300" s="10">
        <f t="shared" si="267"/>
        <v>0</v>
      </c>
      <c r="KC300" s="10">
        <f t="shared" si="267"/>
        <v>0</v>
      </c>
      <c r="KD300" s="10">
        <f t="shared" si="267"/>
        <v>0</v>
      </c>
      <c r="KE300" s="10">
        <f t="shared" si="267"/>
        <v>0</v>
      </c>
      <c r="KF300" s="10">
        <f t="shared" si="267"/>
        <v>0</v>
      </c>
      <c r="KG300" s="10">
        <f t="shared" si="267"/>
        <v>0</v>
      </c>
      <c r="KH300" s="10">
        <f t="shared" si="267"/>
        <v>0</v>
      </c>
      <c r="KI300" s="10">
        <f t="shared" si="267"/>
        <v>0</v>
      </c>
      <c r="KJ300" s="10">
        <f t="shared" si="267"/>
        <v>0</v>
      </c>
      <c r="KK300" s="10">
        <f t="shared" si="267"/>
        <v>0</v>
      </c>
      <c r="KL300" s="10">
        <f t="shared" si="267"/>
        <v>0</v>
      </c>
      <c r="KM300" s="10">
        <f t="shared" si="267"/>
        <v>0</v>
      </c>
      <c r="KN300" s="10">
        <f t="shared" si="267"/>
        <v>0</v>
      </c>
      <c r="KO300" s="10">
        <f t="shared" si="267"/>
        <v>0</v>
      </c>
      <c r="KP300" s="10">
        <f t="shared" si="267"/>
        <v>0</v>
      </c>
      <c r="KQ300" s="10">
        <f t="shared" si="267"/>
        <v>0</v>
      </c>
      <c r="KR300" s="10">
        <f t="shared" si="267"/>
        <v>0</v>
      </c>
      <c r="KS300" s="10">
        <f t="shared" si="267"/>
        <v>0</v>
      </c>
      <c r="KT300" s="10">
        <f t="shared" si="267"/>
        <v>0</v>
      </c>
      <c r="KU300" s="10">
        <f t="shared" si="267"/>
        <v>0</v>
      </c>
      <c r="KV300" s="10">
        <f t="shared" si="267"/>
        <v>0</v>
      </c>
      <c r="KW300" s="10">
        <f t="shared" si="267"/>
        <v>0</v>
      </c>
      <c r="KX300" s="10">
        <f t="shared" si="267"/>
        <v>0</v>
      </c>
      <c r="KY300" s="10">
        <f t="shared" si="267"/>
        <v>0</v>
      </c>
      <c r="KZ300" s="10">
        <f t="shared" si="267"/>
        <v>0</v>
      </c>
      <c r="LA300" s="10">
        <f t="shared" si="267"/>
        <v>0</v>
      </c>
      <c r="LB300" s="10">
        <f t="shared" si="267"/>
        <v>0</v>
      </c>
      <c r="LC300" s="10">
        <f t="shared" si="267"/>
        <v>0</v>
      </c>
      <c r="LD300" s="10">
        <f t="shared" si="267"/>
        <v>0</v>
      </c>
      <c r="LE300" s="10">
        <f t="shared" si="267"/>
        <v>0</v>
      </c>
      <c r="LF300" s="10">
        <f t="shared" si="267"/>
        <v>0</v>
      </c>
      <c r="LG300" s="10">
        <f t="shared" si="267"/>
        <v>0</v>
      </c>
      <c r="LH300" s="10">
        <f t="shared" si="267"/>
        <v>0</v>
      </c>
      <c r="LI300" s="10">
        <f t="shared" si="267"/>
        <v>0</v>
      </c>
      <c r="LJ300" s="10">
        <f t="shared" si="267"/>
        <v>0</v>
      </c>
      <c r="LK300" s="10">
        <f t="shared" si="267"/>
        <v>0</v>
      </c>
      <c r="LL300" s="10">
        <f t="shared" si="267"/>
        <v>0</v>
      </c>
      <c r="LM300" s="10">
        <f t="shared" si="267"/>
        <v>0</v>
      </c>
      <c r="LN300" s="10">
        <f t="shared" si="267"/>
        <v>0</v>
      </c>
      <c r="LO300" s="10">
        <f t="shared" si="267"/>
        <v>0</v>
      </c>
      <c r="LP300" s="10">
        <f t="shared" si="267"/>
        <v>0</v>
      </c>
      <c r="LQ300" s="10">
        <f t="shared" si="267"/>
        <v>0</v>
      </c>
      <c r="LR300" s="10">
        <f t="shared" si="267"/>
        <v>0</v>
      </c>
      <c r="LS300" s="10">
        <f t="shared" si="267"/>
        <v>0</v>
      </c>
      <c r="LT300" s="10">
        <f t="shared" ref="LT300:MK300" si="268">LT234/1000</f>
        <v>0</v>
      </c>
      <c r="LU300" s="10">
        <f t="shared" si="268"/>
        <v>0</v>
      </c>
      <c r="LV300" s="10">
        <f t="shared" si="268"/>
        <v>0</v>
      </c>
      <c r="LW300" s="10">
        <f t="shared" si="268"/>
        <v>0</v>
      </c>
      <c r="LX300" s="10">
        <f t="shared" si="268"/>
        <v>0</v>
      </c>
      <c r="LY300" s="10">
        <f t="shared" si="268"/>
        <v>0</v>
      </c>
      <c r="LZ300" s="10">
        <f t="shared" si="268"/>
        <v>0</v>
      </c>
      <c r="MA300" s="10">
        <f t="shared" si="268"/>
        <v>0</v>
      </c>
      <c r="MB300" s="10">
        <f t="shared" si="268"/>
        <v>0</v>
      </c>
      <c r="MC300" s="10">
        <f t="shared" si="268"/>
        <v>0</v>
      </c>
      <c r="MD300" s="10">
        <f t="shared" si="268"/>
        <v>0</v>
      </c>
      <c r="ME300" s="10">
        <f t="shared" si="268"/>
        <v>0</v>
      </c>
      <c r="MF300" s="10">
        <f t="shared" si="268"/>
        <v>0</v>
      </c>
      <c r="MG300" s="10">
        <f t="shared" si="268"/>
        <v>0</v>
      </c>
    </row>
    <row r="301" spans="1:345" s="14" customFormat="1">
      <c r="A301" s="15" t="s">
        <v>236</v>
      </c>
      <c r="B301" s="10">
        <f>B243</f>
        <v>0</v>
      </c>
      <c r="C301" s="10">
        <f t="shared" ref="C301:Z301" si="269">C243</f>
        <v>0</v>
      </c>
      <c r="D301" s="10">
        <f t="shared" si="269"/>
        <v>0</v>
      </c>
      <c r="E301" s="10">
        <f t="shared" si="269"/>
        <v>0</v>
      </c>
      <c r="F301" s="10">
        <f t="shared" si="269"/>
        <v>0</v>
      </c>
      <c r="G301" s="10">
        <f t="shared" si="269"/>
        <v>0</v>
      </c>
      <c r="H301" s="10">
        <f t="shared" si="269"/>
        <v>0</v>
      </c>
      <c r="I301" s="10">
        <f t="shared" si="269"/>
        <v>0</v>
      </c>
      <c r="J301" s="10">
        <f t="shared" si="269"/>
        <v>0</v>
      </c>
      <c r="K301" s="10">
        <f t="shared" si="269"/>
        <v>0</v>
      </c>
      <c r="L301" s="10">
        <f t="shared" si="269"/>
        <v>0</v>
      </c>
      <c r="M301" s="10">
        <f t="shared" si="269"/>
        <v>0</v>
      </c>
      <c r="N301" s="10">
        <f t="shared" si="269"/>
        <v>0</v>
      </c>
      <c r="O301" s="10">
        <f t="shared" si="269"/>
        <v>0</v>
      </c>
      <c r="P301" s="10">
        <f t="shared" si="269"/>
        <v>0</v>
      </c>
      <c r="Q301" s="10">
        <f t="shared" si="269"/>
        <v>0</v>
      </c>
      <c r="R301" s="10">
        <f t="shared" si="269"/>
        <v>0</v>
      </c>
      <c r="S301" s="10">
        <f t="shared" si="269"/>
        <v>0</v>
      </c>
      <c r="T301" s="10">
        <f t="shared" si="269"/>
        <v>0</v>
      </c>
      <c r="U301" s="10">
        <f t="shared" si="269"/>
        <v>0</v>
      </c>
      <c r="V301" s="10">
        <f t="shared" si="269"/>
        <v>0</v>
      </c>
      <c r="W301" s="10">
        <f t="shared" si="269"/>
        <v>0</v>
      </c>
      <c r="X301" s="10">
        <f t="shared" si="269"/>
        <v>0</v>
      </c>
      <c r="Y301" s="10">
        <f t="shared" si="269"/>
        <v>0</v>
      </c>
      <c r="Z301" s="10">
        <f t="shared" si="269"/>
        <v>80.930264999999991</v>
      </c>
      <c r="AA301" s="11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0">
        <f>FP243/1000</f>
        <v>0</v>
      </c>
      <c r="FQ301" s="10">
        <f t="shared" ref="FQ301:IB301" si="270">FQ243/1000</f>
        <v>0</v>
      </c>
      <c r="FR301" s="10">
        <f t="shared" si="270"/>
        <v>0</v>
      </c>
      <c r="FS301" s="10">
        <f t="shared" si="270"/>
        <v>0</v>
      </c>
      <c r="FT301" s="10">
        <f t="shared" si="270"/>
        <v>0</v>
      </c>
      <c r="FU301" s="10">
        <f t="shared" si="270"/>
        <v>0</v>
      </c>
      <c r="FV301" s="10">
        <f t="shared" si="270"/>
        <v>0</v>
      </c>
      <c r="FW301" s="10">
        <f t="shared" si="270"/>
        <v>0</v>
      </c>
      <c r="FX301" s="10">
        <f t="shared" si="270"/>
        <v>0</v>
      </c>
      <c r="FY301" s="10">
        <f t="shared" si="270"/>
        <v>0</v>
      </c>
      <c r="FZ301" s="10">
        <f t="shared" si="270"/>
        <v>0</v>
      </c>
      <c r="GA301" s="10">
        <f t="shared" si="270"/>
        <v>0</v>
      </c>
      <c r="GB301" s="10">
        <f t="shared" si="270"/>
        <v>0</v>
      </c>
      <c r="GC301" s="10">
        <f t="shared" si="270"/>
        <v>0</v>
      </c>
      <c r="GD301" s="10">
        <f t="shared" si="270"/>
        <v>0</v>
      </c>
      <c r="GE301" s="10">
        <f t="shared" si="270"/>
        <v>0</v>
      </c>
      <c r="GF301" s="10">
        <f t="shared" si="270"/>
        <v>0</v>
      </c>
      <c r="GG301" s="10">
        <f t="shared" si="270"/>
        <v>0</v>
      </c>
      <c r="GH301" s="10">
        <f t="shared" si="270"/>
        <v>0</v>
      </c>
      <c r="GI301" s="10">
        <f t="shared" si="270"/>
        <v>0</v>
      </c>
      <c r="GJ301" s="10">
        <f t="shared" si="270"/>
        <v>0</v>
      </c>
      <c r="GK301" s="10">
        <f t="shared" si="270"/>
        <v>0</v>
      </c>
      <c r="GL301" s="10">
        <f t="shared" si="270"/>
        <v>0</v>
      </c>
      <c r="GM301" s="10">
        <f t="shared" si="270"/>
        <v>0</v>
      </c>
      <c r="GN301" s="10">
        <f t="shared" si="270"/>
        <v>0</v>
      </c>
      <c r="GO301" s="10">
        <f t="shared" si="270"/>
        <v>0</v>
      </c>
      <c r="GP301" s="10">
        <f t="shared" si="270"/>
        <v>0</v>
      </c>
      <c r="GQ301" s="10">
        <f t="shared" si="270"/>
        <v>0</v>
      </c>
      <c r="GR301" s="10">
        <f t="shared" si="270"/>
        <v>0</v>
      </c>
      <c r="GS301" s="10">
        <f t="shared" si="270"/>
        <v>0</v>
      </c>
      <c r="GT301" s="10">
        <f t="shared" si="270"/>
        <v>0</v>
      </c>
      <c r="GU301" s="10">
        <f t="shared" si="270"/>
        <v>0</v>
      </c>
      <c r="GV301" s="10">
        <f t="shared" si="270"/>
        <v>0</v>
      </c>
      <c r="GW301" s="10">
        <f t="shared" si="270"/>
        <v>0</v>
      </c>
      <c r="GX301" s="10">
        <f t="shared" si="270"/>
        <v>0</v>
      </c>
      <c r="GY301" s="10">
        <f t="shared" si="270"/>
        <v>0</v>
      </c>
      <c r="GZ301" s="10">
        <f t="shared" si="270"/>
        <v>0</v>
      </c>
      <c r="HA301" s="10">
        <f t="shared" si="270"/>
        <v>0</v>
      </c>
      <c r="HB301" s="10">
        <f t="shared" si="270"/>
        <v>0</v>
      </c>
      <c r="HC301" s="10">
        <f t="shared" si="270"/>
        <v>0</v>
      </c>
      <c r="HD301" s="10">
        <f t="shared" si="270"/>
        <v>0</v>
      </c>
      <c r="HE301" s="10">
        <f t="shared" si="270"/>
        <v>0</v>
      </c>
      <c r="HF301" s="10">
        <f t="shared" si="270"/>
        <v>0</v>
      </c>
      <c r="HG301" s="10">
        <f t="shared" si="270"/>
        <v>0</v>
      </c>
      <c r="HH301" s="10">
        <f t="shared" si="270"/>
        <v>0</v>
      </c>
      <c r="HI301" s="10">
        <f t="shared" si="270"/>
        <v>0</v>
      </c>
      <c r="HJ301" s="10">
        <f t="shared" si="270"/>
        <v>0</v>
      </c>
      <c r="HK301" s="10">
        <f t="shared" si="270"/>
        <v>0</v>
      </c>
      <c r="HL301" s="10">
        <f t="shared" si="270"/>
        <v>0</v>
      </c>
      <c r="HM301" s="10">
        <f t="shared" si="270"/>
        <v>0</v>
      </c>
      <c r="HN301" s="10">
        <f t="shared" si="270"/>
        <v>0</v>
      </c>
      <c r="HO301" s="10">
        <f t="shared" si="270"/>
        <v>0</v>
      </c>
      <c r="HP301" s="10">
        <f t="shared" si="270"/>
        <v>0</v>
      </c>
      <c r="HQ301" s="10">
        <f t="shared" si="270"/>
        <v>0</v>
      </c>
      <c r="HR301" s="10">
        <f t="shared" si="270"/>
        <v>0</v>
      </c>
      <c r="HS301" s="10">
        <f t="shared" si="270"/>
        <v>0</v>
      </c>
      <c r="HT301" s="10">
        <f t="shared" si="270"/>
        <v>0</v>
      </c>
      <c r="HU301" s="10">
        <f t="shared" si="270"/>
        <v>0</v>
      </c>
      <c r="HV301" s="10">
        <f t="shared" si="270"/>
        <v>0</v>
      </c>
      <c r="HW301" s="10">
        <f t="shared" si="270"/>
        <v>0</v>
      </c>
      <c r="HX301" s="10">
        <f t="shared" si="270"/>
        <v>0</v>
      </c>
      <c r="HY301" s="10">
        <f t="shared" si="270"/>
        <v>0</v>
      </c>
      <c r="HZ301" s="10">
        <f t="shared" si="270"/>
        <v>0</v>
      </c>
      <c r="IA301" s="10">
        <f t="shared" si="270"/>
        <v>0</v>
      </c>
      <c r="IB301" s="10">
        <f t="shared" si="270"/>
        <v>0</v>
      </c>
      <c r="IC301" s="10">
        <f t="shared" ref="IC301:JE301" si="271">IC243/1000</f>
        <v>0</v>
      </c>
      <c r="ID301" s="10">
        <f t="shared" si="271"/>
        <v>0</v>
      </c>
      <c r="IE301" s="10">
        <f t="shared" si="271"/>
        <v>0</v>
      </c>
      <c r="IF301" s="10">
        <f t="shared" si="271"/>
        <v>0</v>
      </c>
      <c r="IG301" s="10">
        <f t="shared" si="271"/>
        <v>0</v>
      </c>
      <c r="IH301" s="10">
        <f t="shared" si="271"/>
        <v>0</v>
      </c>
      <c r="II301" s="10">
        <f t="shared" si="271"/>
        <v>0</v>
      </c>
      <c r="IJ301" s="10">
        <f t="shared" si="271"/>
        <v>0</v>
      </c>
      <c r="IK301" s="10">
        <f t="shared" si="271"/>
        <v>0</v>
      </c>
      <c r="IL301" s="10">
        <f t="shared" si="271"/>
        <v>0</v>
      </c>
      <c r="IM301" s="10">
        <f t="shared" si="271"/>
        <v>0</v>
      </c>
      <c r="IN301" s="10">
        <f t="shared" si="271"/>
        <v>0</v>
      </c>
      <c r="IO301" s="10">
        <f t="shared" si="271"/>
        <v>0</v>
      </c>
      <c r="IP301" s="10">
        <f t="shared" si="271"/>
        <v>0</v>
      </c>
      <c r="IQ301" s="10">
        <f t="shared" si="271"/>
        <v>0</v>
      </c>
      <c r="IR301" s="10">
        <f t="shared" si="271"/>
        <v>0</v>
      </c>
      <c r="IS301" s="10">
        <f t="shared" si="271"/>
        <v>0</v>
      </c>
      <c r="IT301" s="10">
        <f t="shared" si="271"/>
        <v>0</v>
      </c>
      <c r="IU301" s="10">
        <f t="shared" si="271"/>
        <v>0</v>
      </c>
      <c r="IV301" s="10">
        <f t="shared" si="271"/>
        <v>0</v>
      </c>
      <c r="IW301" s="10">
        <f t="shared" si="271"/>
        <v>0</v>
      </c>
      <c r="IX301" s="10">
        <f t="shared" si="271"/>
        <v>0</v>
      </c>
      <c r="IY301" s="10">
        <f t="shared" si="271"/>
        <v>0</v>
      </c>
      <c r="IZ301" s="10">
        <f t="shared" si="271"/>
        <v>0</v>
      </c>
      <c r="JA301" s="10">
        <f t="shared" si="271"/>
        <v>0</v>
      </c>
      <c r="JB301" s="10">
        <f t="shared" si="271"/>
        <v>0</v>
      </c>
      <c r="JC301" s="10">
        <f t="shared" si="271"/>
        <v>0</v>
      </c>
      <c r="JD301" s="10">
        <f t="shared" si="271"/>
        <v>0</v>
      </c>
      <c r="JE301" s="10">
        <f t="shared" si="271"/>
        <v>0</v>
      </c>
      <c r="JF301" s="10">
        <f>JF243/1000</f>
        <v>0</v>
      </c>
      <c r="JG301" s="10">
        <f>JG243/1000</f>
        <v>0</v>
      </c>
      <c r="JH301" s="10">
        <f t="shared" ref="JH301:LS301" si="272">JH243/1000</f>
        <v>0</v>
      </c>
      <c r="JI301" s="10">
        <f t="shared" si="272"/>
        <v>0</v>
      </c>
      <c r="JJ301" s="10">
        <f t="shared" si="272"/>
        <v>0</v>
      </c>
      <c r="JK301" s="10">
        <f t="shared" si="272"/>
        <v>0</v>
      </c>
      <c r="JL301" s="10">
        <f t="shared" si="272"/>
        <v>0</v>
      </c>
      <c r="JM301" s="10">
        <f t="shared" si="272"/>
        <v>0</v>
      </c>
      <c r="JN301" s="10">
        <f t="shared" si="272"/>
        <v>0</v>
      </c>
      <c r="JO301" s="10">
        <f t="shared" si="272"/>
        <v>0</v>
      </c>
      <c r="JP301" s="10">
        <f t="shared" si="272"/>
        <v>0</v>
      </c>
      <c r="JQ301" s="10">
        <f t="shared" si="272"/>
        <v>0</v>
      </c>
      <c r="JR301" s="10">
        <f t="shared" si="272"/>
        <v>0</v>
      </c>
      <c r="JS301" s="10">
        <f t="shared" si="272"/>
        <v>0</v>
      </c>
      <c r="JT301" s="10">
        <f t="shared" si="272"/>
        <v>0</v>
      </c>
      <c r="JU301" s="10">
        <f t="shared" si="272"/>
        <v>0</v>
      </c>
      <c r="JV301" s="10">
        <f t="shared" si="272"/>
        <v>0</v>
      </c>
      <c r="JW301" s="10">
        <f t="shared" si="272"/>
        <v>0</v>
      </c>
      <c r="JX301" s="10">
        <f t="shared" si="272"/>
        <v>0</v>
      </c>
      <c r="JY301" s="10">
        <f t="shared" si="272"/>
        <v>0</v>
      </c>
      <c r="JZ301" s="10">
        <f t="shared" si="272"/>
        <v>0</v>
      </c>
      <c r="KA301" s="10">
        <f t="shared" si="272"/>
        <v>0</v>
      </c>
      <c r="KB301" s="10">
        <f t="shared" si="272"/>
        <v>0</v>
      </c>
      <c r="KC301" s="10">
        <f t="shared" si="272"/>
        <v>0</v>
      </c>
      <c r="KD301" s="10">
        <f t="shared" si="272"/>
        <v>0</v>
      </c>
      <c r="KE301" s="10">
        <f t="shared" si="272"/>
        <v>0</v>
      </c>
      <c r="KF301" s="10">
        <f t="shared" si="272"/>
        <v>0</v>
      </c>
      <c r="KG301" s="10">
        <f t="shared" si="272"/>
        <v>0</v>
      </c>
      <c r="KH301" s="10">
        <f t="shared" si="272"/>
        <v>0</v>
      </c>
      <c r="KI301" s="10">
        <f t="shared" si="272"/>
        <v>0</v>
      </c>
      <c r="KJ301" s="10">
        <f t="shared" si="272"/>
        <v>0</v>
      </c>
      <c r="KK301" s="10">
        <f t="shared" si="272"/>
        <v>0</v>
      </c>
      <c r="KL301" s="10">
        <f t="shared" si="272"/>
        <v>0</v>
      </c>
      <c r="KM301" s="10">
        <f t="shared" si="272"/>
        <v>0</v>
      </c>
      <c r="KN301" s="10">
        <f t="shared" si="272"/>
        <v>0</v>
      </c>
      <c r="KO301" s="10">
        <f t="shared" si="272"/>
        <v>0</v>
      </c>
      <c r="KP301" s="10">
        <f t="shared" si="272"/>
        <v>0</v>
      </c>
      <c r="KQ301" s="10">
        <f t="shared" si="272"/>
        <v>0</v>
      </c>
      <c r="KR301" s="10">
        <f t="shared" si="272"/>
        <v>0</v>
      </c>
      <c r="KS301" s="10">
        <f t="shared" si="272"/>
        <v>0</v>
      </c>
      <c r="KT301" s="10">
        <f t="shared" si="272"/>
        <v>0</v>
      </c>
      <c r="KU301" s="10">
        <f t="shared" si="272"/>
        <v>0</v>
      </c>
      <c r="KV301" s="10">
        <f t="shared" si="272"/>
        <v>0</v>
      </c>
      <c r="KW301" s="10">
        <f t="shared" si="272"/>
        <v>0</v>
      </c>
      <c r="KX301" s="10">
        <f t="shared" si="272"/>
        <v>0</v>
      </c>
      <c r="KY301" s="10">
        <f t="shared" si="272"/>
        <v>0</v>
      </c>
      <c r="KZ301" s="10">
        <f t="shared" si="272"/>
        <v>0</v>
      </c>
      <c r="LA301" s="10">
        <f t="shared" si="272"/>
        <v>0</v>
      </c>
      <c r="LB301" s="10">
        <f t="shared" si="272"/>
        <v>0</v>
      </c>
      <c r="LC301" s="10">
        <f t="shared" si="272"/>
        <v>0</v>
      </c>
      <c r="LD301" s="10">
        <f t="shared" si="272"/>
        <v>0</v>
      </c>
      <c r="LE301" s="10">
        <f t="shared" si="272"/>
        <v>2.1573647999999999</v>
      </c>
      <c r="LF301" s="10">
        <f t="shared" si="272"/>
        <v>6.5137403999999997</v>
      </c>
      <c r="LG301" s="10">
        <f t="shared" si="272"/>
        <v>8.7820535999999993</v>
      </c>
      <c r="LH301" s="10">
        <f t="shared" si="272"/>
        <v>14.275169400000001</v>
      </c>
      <c r="LI301" s="10">
        <f t="shared" si="272"/>
        <v>10.260469800000001</v>
      </c>
      <c r="LJ301" s="10">
        <f t="shared" si="272"/>
        <v>10.667363400000001</v>
      </c>
      <c r="LK301" s="10">
        <f t="shared" si="272"/>
        <v>10.2701478</v>
      </c>
      <c r="LL301" s="10">
        <f t="shared" si="272"/>
        <v>6.2559899999999997</v>
      </c>
      <c r="LM301" s="10">
        <f t="shared" si="272"/>
        <v>5.6615156999999998</v>
      </c>
      <c r="LN301" s="10">
        <f t="shared" si="272"/>
        <v>4.2337994999999999</v>
      </c>
      <c r="LO301" s="10">
        <f t="shared" si="272"/>
        <v>1.8526506</v>
      </c>
      <c r="LP301" s="10">
        <f t="shared" si="272"/>
        <v>1.2876596999999999</v>
      </c>
      <c r="LQ301" s="10">
        <f t="shared" si="272"/>
        <v>2.1383078999999996</v>
      </c>
      <c r="LR301" s="10">
        <f t="shared" si="272"/>
        <v>0</v>
      </c>
      <c r="LS301" s="10">
        <f t="shared" si="272"/>
        <v>0</v>
      </c>
      <c r="LT301" s="10">
        <f t="shared" ref="LT301:MK301" si="273">LT243/1000</f>
        <v>0</v>
      </c>
      <c r="LU301" s="10">
        <f t="shared" si="273"/>
        <v>0</v>
      </c>
      <c r="LV301" s="10">
        <f t="shared" si="273"/>
        <v>0</v>
      </c>
      <c r="LW301" s="10">
        <f t="shared" si="273"/>
        <v>0</v>
      </c>
      <c r="LX301" s="10">
        <f t="shared" si="273"/>
        <v>0</v>
      </c>
      <c r="LY301" s="10">
        <f t="shared" si="273"/>
        <v>0</v>
      </c>
      <c r="LZ301" s="10">
        <f t="shared" si="273"/>
        <v>0</v>
      </c>
      <c r="MA301" s="10">
        <f t="shared" si="273"/>
        <v>0</v>
      </c>
      <c r="MB301" s="10">
        <f t="shared" si="273"/>
        <v>0</v>
      </c>
      <c r="MC301" s="10">
        <f t="shared" si="273"/>
        <v>0</v>
      </c>
      <c r="MD301" s="10">
        <f t="shared" si="273"/>
        <v>0</v>
      </c>
      <c r="ME301" s="10">
        <f t="shared" si="273"/>
        <v>0</v>
      </c>
      <c r="MF301" s="10">
        <f t="shared" si="273"/>
        <v>0</v>
      </c>
      <c r="MG301" s="10">
        <f t="shared" si="273"/>
        <v>0</v>
      </c>
    </row>
    <row r="302" spans="1:345" s="14" customFormat="1">
      <c r="A302" s="19" t="s">
        <v>286</v>
      </c>
      <c r="B302" s="10">
        <f>B4</f>
        <v>0</v>
      </c>
      <c r="C302" s="10">
        <f t="shared" ref="C302:Z302" si="274">C4</f>
        <v>0</v>
      </c>
      <c r="D302" s="10">
        <f t="shared" si="274"/>
        <v>0</v>
      </c>
      <c r="E302" s="10">
        <f t="shared" si="274"/>
        <v>0</v>
      </c>
      <c r="F302" s="10">
        <f t="shared" si="274"/>
        <v>0</v>
      </c>
      <c r="G302" s="10">
        <f t="shared" si="274"/>
        <v>0</v>
      </c>
      <c r="H302" s="10">
        <f t="shared" si="274"/>
        <v>0</v>
      </c>
      <c r="I302" s="10">
        <f t="shared" si="274"/>
        <v>0</v>
      </c>
      <c r="J302" s="10">
        <f t="shared" si="274"/>
        <v>0</v>
      </c>
      <c r="K302" s="10">
        <f t="shared" si="274"/>
        <v>0</v>
      </c>
      <c r="L302" s="10">
        <f t="shared" si="274"/>
        <v>0</v>
      </c>
      <c r="M302" s="10">
        <f t="shared" si="274"/>
        <v>0</v>
      </c>
      <c r="N302" s="10">
        <f t="shared" si="274"/>
        <v>0</v>
      </c>
      <c r="O302" s="10">
        <f t="shared" si="274"/>
        <v>0</v>
      </c>
      <c r="P302" s="10">
        <f t="shared" si="274"/>
        <v>0</v>
      </c>
      <c r="Q302" s="10">
        <f t="shared" si="274"/>
        <v>0</v>
      </c>
      <c r="R302" s="10">
        <f t="shared" si="274"/>
        <v>0</v>
      </c>
      <c r="S302" s="10">
        <f t="shared" si="274"/>
        <v>0</v>
      </c>
      <c r="T302" s="10">
        <f t="shared" si="274"/>
        <v>0</v>
      </c>
      <c r="U302" s="10">
        <f t="shared" si="274"/>
        <v>0</v>
      </c>
      <c r="V302" s="10">
        <f t="shared" si="274"/>
        <v>0</v>
      </c>
      <c r="W302" s="10">
        <f t="shared" si="274"/>
        <v>0</v>
      </c>
      <c r="X302" s="10">
        <f t="shared" si="274"/>
        <v>0</v>
      </c>
      <c r="Y302" s="10">
        <f t="shared" si="274"/>
        <v>0</v>
      </c>
      <c r="Z302" s="10">
        <f t="shared" si="274"/>
        <v>6.0490202999999996</v>
      </c>
      <c r="AA302" s="11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0">
        <f t="shared" ref="FP302:IA302" si="275">FP4/1000</f>
        <v>0</v>
      </c>
      <c r="FQ302" s="10">
        <f t="shared" si="275"/>
        <v>0</v>
      </c>
      <c r="FR302" s="10">
        <f t="shared" si="275"/>
        <v>0</v>
      </c>
      <c r="FS302" s="10">
        <f t="shared" si="275"/>
        <v>0</v>
      </c>
      <c r="FT302" s="10">
        <f t="shared" si="275"/>
        <v>0</v>
      </c>
      <c r="FU302" s="10">
        <f t="shared" si="275"/>
        <v>0</v>
      </c>
      <c r="FV302" s="10">
        <f t="shared" si="275"/>
        <v>0</v>
      </c>
      <c r="FW302" s="10">
        <f t="shared" si="275"/>
        <v>0</v>
      </c>
      <c r="FX302" s="10">
        <f t="shared" si="275"/>
        <v>0</v>
      </c>
      <c r="FY302" s="10">
        <f t="shared" si="275"/>
        <v>0</v>
      </c>
      <c r="FZ302" s="10">
        <f t="shared" si="275"/>
        <v>0</v>
      </c>
      <c r="GA302" s="10">
        <f t="shared" si="275"/>
        <v>0</v>
      </c>
      <c r="GB302" s="10">
        <f t="shared" si="275"/>
        <v>0</v>
      </c>
      <c r="GC302" s="10">
        <f t="shared" si="275"/>
        <v>0</v>
      </c>
      <c r="GD302" s="10">
        <f t="shared" si="275"/>
        <v>0</v>
      </c>
      <c r="GE302" s="10">
        <f t="shared" si="275"/>
        <v>0</v>
      </c>
      <c r="GF302" s="10">
        <f t="shared" si="275"/>
        <v>0</v>
      </c>
      <c r="GG302" s="10">
        <f t="shared" si="275"/>
        <v>0</v>
      </c>
      <c r="GH302" s="10">
        <f t="shared" si="275"/>
        <v>0</v>
      </c>
      <c r="GI302" s="10">
        <f t="shared" si="275"/>
        <v>0</v>
      </c>
      <c r="GJ302" s="10">
        <f t="shared" si="275"/>
        <v>0</v>
      </c>
      <c r="GK302" s="10">
        <f t="shared" si="275"/>
        <v>0</v>
      </c>
      <c r="GL302" s="10">
        <f t="shared" si="275"/>
        <v>0</v>
      </c>
      <c r="GM302" s="10">
        <f t="shared" si="275"/>
        <v>0</v>
      </c>
      <c r="GN302" s="10">
        <f t="shared" si="275"/>
        <v>0</v>
      </c>
      <c r="GO302" s="10">
        <f t="shared" si="275"/>
        <v>0</v>
      </c>
      <c r="GP302" s="10">
        <f t="shared" si="275"/>
        <v>0</v>
      </c>
      <c r="GQ302" s="10">
        <f t="shared" si="275"/>
        <v>0</v>
      </c>
      <c r="GR302" s="10">
        <f t="shared" si="275"/>
        <v>0</v>
      </c>
      <c r="GS302" s="10">
        <f t="shared" si="275"/>
        <v>0</v>
      </c>
      <c r="GT302" s="10">
        <f t="shared" si="275"/>
        <v>0</v>
      </c>
      <c r="GU302" s="10">
        <f t="shared" si="275"/>
        <v>0</v>
      </c>
      <c r="GV302" s="10">
        <f t="shared" si="275"/>
        <v>0</v>
      </c>
      <c r="GW302" s="10">
        <f t="shared" si="275"/>
        <v>0</v>
      </c>
      <c r="GX302" s="10">
        <f t="shared" si="275"/>
        <v>0</v>
      </c>
      <c r="GY302" s="10">
        <f t="shared" si="275"/>
        <v>0</v>
      </c>
      <c r="GZ302" s="10">
        <f t="shared" si="275"/>
        <v>0</v>
      </c>
      <c r="HA302" s="10">
        <f t="shared" si="275"/>
        <v>0</v>
      </c>
      <c r="HB302" s="10">
        <f t="shared" si="275"/>
        <v>0</v>
      </c>
      <c r="HC302" s="10">
        <f t="shared" si="275"/>
        <v>0</v>
      </c>
      <c r="HD302" s="10">
        <f t="shared" si="275"/>
        <v>0</v>
      </c>
      <c r="HE302" s="10">
        <f t="shared" si="275"/>
        <v>0</v>
      </c>
      <c r="HF302" s="10">
        <f t="shared" si="275"/>
        <v>0</v>
      </c>
      <c r="HG302" s="10">
        <f t="shared" si="275"/>
        <v>0</v>
      </c>
      <c r="HH302" s="10">
        <f t="shared" si="275"/>
        <v>0</v>
      </c>
      <c r="HI302" s="10">
        <f t="shared" si="275"/>
        <v>0</v>
      </c>
      <c r="HJ302" s="10">
        <f t="shared" si="275"/>
        <v>0</v>
      </c>
      <c r="HK302" s="10">
        <f t="shared" si="275"/>
        <v>0</v>
      </c>
      <c r="HL302" s="10">
        <f t="shared" si="275"/>
        <v>0</v>
      </c>
      <c r="HM302" s="10">
        <f t="shared" si="275"/>
        <v>0</v>
      </c>
      <c r="HN302" s="10">
        <f t="shared" si="275"/>
        <v>0</v>
      </c>
      <c r="HO302" s="10">
        <f t="shared" si="275"/>
        <v>0</v>
      </c>
      <c r="HP302" s="10">
        <f t="shared" si="275"/>
        <v>0</v>
      </c>
      <c r="HQ302" s="10">
        <f t="shared" si="275"/>
        <v>0</v>
      </c>
      <c r="HR302" s="10">
        <f t="shared" si="275"/>
        <v>0</v>
      </c>
      <c r="HS302" s="10">
        <f t="shared" si="275"/>
        <v>0</v>
      </c>
      <c r="HT302" s="10">
        <f t="shared" si="275"/>
        <v>0</v>
      </c>
      <c r="HU302" s="10">
        <f t="shared" si="275"/>
        <v>0</v>
      </c>
      <c r="HV302" s="10">
        <f t="shared" si="275"/>
        <v>0</v>
      </c>
      <c r="HW302" s="10">
        <f t="shared" si="275"/>
        <v>0</v>
      </c>
      <c r="HX302" s="10">
        <f t="shared" si="275"/>
        <v>0</v>
      </c>
      <c r="HY302" s="10">
        <f t="shared" si="275"/>
        <v>0</v>
      </c>
      <c r="HZ302" s="10">
        <f t="shared" si="275"/>
        <v>0</v>
      </c>
      <c r="IA302" s="10">
        <f t="shared" si="275"/>
        <v>0</v>
      </c>
      <c r="IB302" s="10">
        <f t="shared" ref="IB302:JE302" si="276">IB4/1000</f>
        <v>0</v>
      </c>
      <c r="IC302" s="10">
        <f t="shared" si="276"/>
        <v>0</v>
      </c>
      <c r="ID302" s="10">
        <f t="shared" si="276"/>
        <v>0</v>
      </c>
      <c r="IE302" s="10">
        <f t="shared" si="276"/>
        <v>0</v>
      </c>
      <c r="IF302" s="10">
        <f t="shared" si="276"/>
        <v>0</v>
      </c>
      <c r="IG302" s="10">
        <f t="shared" si="276"/>
        <v>0</v>
      </c>
      <c r="IH302" s="10">
        <f t="shared" si="276"/>
        <v>0</v>
      </c>
      <c r="II302" s="10">
        <f t="shared" si="276"/>
        <v>0</v>
      </c>
      <c r="IJ302" s="10">
        <f t="shared" si="276"/>
        <v>0</v>
      </c>
      <c r="IK302" s="10">
        <f t="shared" si="276"/>
        <v>0</v>
      </c>
      <c r="IL302" s="10">
        <f t="shared" si="276"/>
        <v>0</v>
      </c>
      <c r="IM302" s="10">
        <f t="shared" si="276"/>
        <v>0</v>
      </c>
      <c r="IN302" s="10">
        <f t="shared" si="276"/>
        <v>0</v>
      </c>
      <c r="IO302" s="10">
        <f t="shared" si="276"/>
        <v>0</v>
      </c>
      <c r="IP302" s="10">
        <f t="shared" si="276"/>
        <v>0</v>
      </c>
      <c r="IQ302" s="10">
        <f t="shared" si="276"/>
        <v>0</v>
      </c>
      <c r="IR302" s="10">
        <f t="shared" si="276"/>
        <v>0</v>
      </c>
      <c r="IS302" s="10">
        <f t="shared" si="276"/>
        <v>0</v>
      </c>
      <c r="IT302" s="10">
        <f t="shared" si="276"/>
        <v>0</v>
      </c>
      <c r="IU302" s="10">
        <f t="shared" si="276"/>
        <v>0</v>
      </c>
      <c r="IV302" s="10">
        <f t="shared" si="276"/>
        <v>0</v>
      </c>
      <c r="IW302" s="10">
        <f t="shared" si="276"/>
        <v>0</v>
      </c>
      <c r="IX302" s="10">
        <f t="shared" si="276"/>
        <v>0</v>
      </c>
      <c r="IY302" s="10">
        <f t="shared" si="276"/>
        <v>0</v>
      </c>
      <c r="IZ302" s="10">
        <f t="shared" si="276"/>
        <v>0</v>
      </c>
      <c r="JA302" s="10">
        <f t="shared" si="276"/>
        <v>0</v>
      </c>
      <c r="JB302" s="10">
        <f t="shared" si="276"/>
        <v>0</v>
      </c>
      <c r="JC302" s="10">
        <f t="shared" si="276"/>
        <v>0</v>
      </c>
      <c r="JD302" s="10">
        <f t="shared" si="276"/>
        <v>0</v>
      </c>
      <c r="JE302" s="10">
        <f t="shared" si="276"/>
        <v>0</v>
      </c>
      <c r="JF302" s="10">
        <f>JF4/1000</f>
        <v>0</v>
      </c>
      <c r="JG302" s="10">
        <f>JG4/1000</f>
        <v>0</v>
      </c>
      <c r="JH302" s="10">
        <f t="shared" ref="JH302:LS302" si="277">JH4/1000</f>
        <v>0</v>
      </c>
      <c r="JI302" s="10">
        <f t="shared" si="277"/>
        <v>0</v>
      </c>
      <c r="JJ302" s="10">
        <f t="shared" si="277"/>
        <v>0</v>
      </c>
      <c r="JK302" s="10">
        <f t="shared" si="277"/>
        <v>0</v>
      </c>
      <c r="JL302" s="10">
        <f t="shared" si="277"/>
        <v>0</v>
      </c>
      <c r="JM302" s="10">
        <f t="shared" si="277"/>
        <v>0</v>
      </c>
      <c r="JN302" s="10">
        <f t="shared" si="277"/>
        <v>0</v>
      </c>
      <c r="JO302" s="10">
        <f t="shared" si="277"/>
        <v>0</v>
      </c>
      <c r="JP302" s="10">
        <f t="shared" si="277"/>
        <v>0</v>
      </c>
      <c r="JQ302" s="10">
        <f t="shared" si="277"/>
        <v>0</v>
      </c>
      <c r="JR302" s="10">
        <f t="shared" si="277"/>
        <v>0</v>
      </c>
      <c r="JS302" s="10">
        <f t="shared" si="277"/>
        <v>0</v>
      </c>
      <c r="JT302" s="10">
        <f t="shared" si="277"/>
        <v>0</v>
      </c>
      <c r="JU302" s="10">
        <f t="shared" si="277"/>
        <v>0</v>
      </c>
      <c r="JV302" s="10">
        <f t="shared" si="277"/>
        <v>0</v>
      </c>
      <c r="JW302" s="10">
        <f t="shared" si="277"/>
        <v>0</v>
      </c>
      <c r="JX302" s="10">
        <f t="shared" si="277"/>
        <v>0</v>
      </c>
      <c r="JY302" s="10">
        <f t="shared" si="277"/>
        <v>0</v>
      </c>
      <c r="JZ302" s="10">
        <f t="shared" si="277"/>
        <v>0</v>
      </c>
      <c r="KA302" s="10">
        <f t="shared" si="277"/>
        <v>0</v>
      </c>
      <c r="KB302" s="10">
        <f t="shared" si="277"/>
        <v>0</v>
      </c>
      <c r="KC302" s="10">
        <f t="shared" si="277"/>
        <v>0</v>
      </c>
      <c r="KD302" s="10">
        <f t="shared" si="277"/>
        <v>0</v>
      </c>
      <c r="KE302" s="10">
        <f t="shared" si="277"/>
        <v>0</v>
      </c>
      <c r="KF302" s="10">
        <f t="shared" si="277"/>
        <v>0</v>
      </c>
      <c r="KG302" s="10">
        <f t="shared" si="277"/>
        <v>0</v>
      </c>
      <c r="KH302" s="10">
        <f t="shared" si="277"/>
        <v>0</v>
      </c>
      <c r="KI302" s="10">
        <f t="shared" si="277"/>
        <v>0</v>
      </c>
      <c r="KJ302" s="10">
        <f t="shared" si="277"/>
        <v>0</v>
      </c>
      <c r="KK302" s="10">
        <f t="shared" si="277"/>
        <v>0</v>
      </c>
      <c r="KL302" s="10">
        <f t="shared" si="277"/>
        <v>0</v>
      </c>
      <c r="KM302" s="10">
        <f t="shared" si="277"/>
        <v>0</v>
      </c>
      <c r="KN302" s="10">
        <f t="shared" si="277"/>
        <v>0</v>
      </c>
      <c r="KO302" s="10">
        <f t="shared" si="277"/>
        <v>0</v>
      </c>
      <c r="KP302" s="10">
        <f t="shared" si="277"/>
        <v>0</v>
      </c>
      <c r="KQ302" s="10">
        <f t="shared" si="277"/>
        <v>0</v>
      </c>
      <c r="KR302" s="10">
        <f t="shared" si="277"/>
        <v>0</v>
      </c>
      <c r="KS302" s="10">
        <f t="shared" si="277"/>
        <v>0</v>
      </c>
      <c r="KT302" s="10">
        <f t="shared" si="277"/>
        <v>0</v>
      </c>
      <c r="KU302" s="10">
        <f t="shared" si="277"/>
        <v>0</v>
      </c>
      <c r="KV302" s="10">
        <f t="shared" si="277"/>
        <v>0</v>
      </c>
      <c r="KW302" s="10">
        <f t="shared" si="277"/>
        <v>0</v>
      </c>
      <c r="KX302" s="10">
        <f t="shared" si="277"/>
        <v>0</v>
      </c>
      <c r="KY302" s="10">
        <f t="shared" si="277"/>
        <v>0</v>
      </c>
      <c r="KZ302" s="10">
        <f t="shared" si="277"/>
        <v>0</v>
      </c>
      <c r="LA302" s="10">
        <f t="shared" si="277"/>
        <v>0</v>
      </c>
      <c r="LB302" s="10">
        <f t="shared" si="277"/>
        <v>0</v>
      </c>
      <c r="LC302" s="10">
        <f t="shared" si="277"/>
        <v>0</v>
      </c>
      <c r="LD302" s="10">
        <f t="shared" si="277"/>
        <v>0</v>
      </c>
      <c r="LE302" s="10">
        <f t="shared" si="277"/>
        <v>1.6029E-3</v>
      </c>
      <c r="LF302" s="10">
        <f t="shared" si="277"/>
        <v>0.31404300000000002</v>
      </c>
      <c r="LG302" s="10">
        <f t="shared" si="277"/>
        <v>7.4700000000000003E-2</v>
      </c>
      <c r="LH302" s="10">
        <f t="shared" si="277"/>
        <v>0.15434999999999999</v>
      </c>
      <c r="LI302" s="10">
        <f t="shared" si="277"/>
        <v>0.230322</v>
      </c>
      <c r="LJ302" s="10">
        <f t="shared" si="277"/>
        <v>0.14600340000000001</v>
      </c>
      <c r="LK302" s="10">
        <f t="shared" si="277"/>
        <v>0.38334570000000001</v>
      </c>
      <c r="LL302" s="10">
        <f t="shared" si="277"/>
        <v>0.54972389999999993</v>
      </c>
      <c r="LM302" s="10">
        <f t="shared" si="277"/>
        <v>2.0053515000000002</v>
      </c>
      <c r="LN302" s="10">
        <f t="shared" si="277"/>
        <v>1.6087001999999999</v>
      </c>
      <c r="LO302" s="10">
        <f t="shared" si="277"/>
        <v>0.58087770000000005</v>
      </c>
      <c r="LP302" s="10">
        <f t="shared" si="277"/>
        <v>1.4046927</v>
      </c>
      <c r="LQ302" s="10">
        <f t="shared" si="277"/>
        <v>1.6055082000000001</v>
      </c>
      <c r="LR302" s="10">
        <f t="shared" si="277"/>
        <v>0</v>
      </c>
      <c r="LS302" s="10">
        <f t="shared" si="277"/>
        <v>0</v>
      </c>
      <c r="LT302" s="10">
        <f t="shared" ref="LT302:MK302" si="278">LT4/1000</f>
        <v>0</v>
      </c>
      <c r="LU302" s="10">
        <f t="shared" si="278"/>
        <v>0</v>
      </c>
      <c r="LV302" s="10">
        <f t="shared" si="278"/>
        <v>0</v>
      </c>
      <c r="LW302" s="10">
        <f t="shared" si="278"/>
        <v>0</v>
      </c>
      <c r="LX302" s="10">
        <f t="shared" si="278"/>
        <v>0</v>
      </c>
      <c r="LY302" s="10">
        <f t="shared" si="278"/>
        <v>0</v>
      </c>
      <c r="LZ302" s="10">
        <f t="shared" si="278"/>
        <v>0</v>
      </c>
      <c r="MA302" s="10">
        <f t="shared" si="278"/>
        <v>0</v>
      </c>
      <c r="MB302" s="10">
        <f t="shared" si="278"/>
        <v>0</v>
      </c>
      <c r="MC302" s="10">
        <f t="shared" si="278"/>
        <v>0</v>
      </c>
      <c r="MD302" s="10">
        <f t="shared" si="278"/>
        <v>0</v>
      </c>
      <c r="ME302" s="10">
        <f t="shared" si="278"/>
        <v>0</v>
      </c>
      <c r="MF302" s="10">
        <f t="shared" si="278"/>
        <v>0</v>
      </c>
      <c r="MG302" s="10">
        <f t="shared" si="278"/>
        <v>0</v>
      </c>
    </row>
    <row r="303" spans="1:345" s="14" customFormat="1">
      <c r="A303" s="19" t="s">
        <v>287</v>
      </c>
      <c r="B303" s="10">
        <f t="shared" ref="B303" si="279">B304-SUM(B297:B302)</f>
        <v>0</v>
      </c>
      <c r="C303" s="10">
        <f t="shared" ref="C303" si="280">C304-SUM(C297:C302)</f>
        <v>0</v>
      </c>
      <c r="D303" s="10">
        <f t="shared" ref="D303:Z303" si="281">D304-SUM(D297:D302)</f>
        <v>0</v>
      </c>
      <c r="E303" s="10">
        <f t="shared" si="281"/>
        <v>0</v>
      </c>
      <c r="F303" s="10">
        <f t="shared" si="281"/>
        <v>0</v>
      </c>
      <c r="G303" s="10">
        <f t="shared" si="281"/>
        <v>0</v>
      </c>
      <c r="H303" s="10">
        <f t="shared" si="281"/>
        <v>0</v>
      </c>
      <c r="I303" s="10">
        <f t="shared" si="281"/>
        <v>0</v>
      </c>
      <c r="J303" s="10">
        <f t="shared" si="281"/>
        <v>0</v>
      </c>
      <c r="K303" s="10">
        <f t="shared" si="281"/>
        <v>0</v>
      </c>
      <c r="L303" s="10">
        <f t="shared" si="281"/>
        <v>0</v>
      </c>
      <c r="M303" s="10">
        <f t="shared" si="281"/>
        <v>0</v>
      </c>
      <c r="N303" s="10">
        <f t="shared" si="281"/>
        <v>0</v>
      </c>
      <c r="O303" s="10">
        <f t="shared" si="281"/>
        <v>0</v>
      </c>
      <c r="P303" s="10">
        <f t="shared" si="281"/>
        <v>0</v>
      </c>
      <c r="Q303" s="10">
        <f t="shared" si="281"/>
        <v>0</v>
      </c>
      <c r="R303" s="10">
        <f t="shared" si="281"/>
        <v>0</v>
      </c>
      <c r="S303" s="10">
        <f t="shared" si="281"/>
        <v>0</v>
      </c>
      <c r="T303" s="10">
        <f t="shared" si="281"/>
        <v>0</v>
      </c>
      <c r="U303" s="10">
        <f t="shared" si="281"/>
        <v>0</v>
      </c>
      <c r="V303" s="10">
        <f t="shared" si="281"/>
        <v>0</v>
      </c>
      <c r="W303" s="10">
        <f t="shared" si="281"/>
        <v>0</v>
      </c>
      <c r="X303" s="10">
        <f t="shared" si="281"/>
        <v>0</v>
      </c>
      <c r="Y303" s="10">
        <f t="shared" si="281"/>
        <v>0</v>
      </c>
      <c r="Z303" s="10">
        <f t="shared" si="281"/>
        <v>-87.118407299999987</v>
      </c>
      <c r="AA303" s="11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0">
        <f t="shared" ref="FP303:IA303" si="282">FP304-SUM(FP297:FP302)</f>
        <v>0</v>
      </c>
      <c r="FQ303" s="10">
        <f t="shared" si="282"/>
        <v>0</v>
      </c>
      <c r="FR303" s="10">
        <f t="shared" si="282"/>
        <v>0</v>
      </c>
      <c r="FS303" s="10">
        <f t="shared" si="282"/>
        <v>0</v>
      </c>
      <c r="FT303" s="10">
        <f t="shared" si="282"/>
        <v>0</v>
      </c>
      <c r="FU303" s="10">
        <f t="shared" si="282"/>
        <v>0</v>
      </c>
      <c r="FV303" s="10">
        <f t="shared" si="282"/>
        <v>0</v>
      </c>
      <c r="FW303" s="10">
        <f t="shared" si="282"/>
        <v>0</v>
      </c>
      <c r="FX303" s="10">
        <f t="shared" si="282"/>
        <v>0</v>
      </c>
      <c r="FY303" s="10">
        <f t="shared" si="282"/>
        <v>0</v>
      </c>
      <c r="FZ303" s="10">
        <f t="shared" si="282"/>
        <v>0</v>
      </c>
      <c r="GA303" s="10">
        <f t="shared" si="282"/>
        <v>0</v>
      </c>
      <c r="GB303" s="10">
        <f t="shared" si="282"/>
        <v>0</v>
      </c>
      <c r="GC303" s="10">
        <f t="shared" si="282"/>
        <v>0</v>
      </c>
      <c r="GD303" s="10">
        <f t="shared" si="282"/>
        <v>0</v>
      </c>
      <c r="GE303" s="10">
        <f t="shared" si="282"/>
        <v>0</v>
      </c>
      <c r="GF303" s="10">
        <f t="shared" si="282"/>
        <v>0</v>
      </c>
      <c r="GG303" s="10">
        <f t="shared" si="282"/>
        <v>0</v>
      </c>
      <c r="GH303" s="10">
        <f t="shared" si="282"/>
        <v>0</v>
      </c>
      <c r="GI303" s="10">
        <f t="shared" si="282"/>
        <v>0</v>
      </c>
      <c r="GJ303" s="10">
        <f t="shared" si="282"/>
        <v>0</v>
      </c>
      <c r="GK303" s="10">
        <f t="shared" si="282"/>
        <v>0</v>
      </c>
      <c r="GL303" s="10">
        <f t="shared" si="282"/>
        <v>0</v>
      </c>
      <c r="GM303" s="10">
        <f t="shared" si="282"/>
        <v>0</v>
      </c>
      <c r="GN303" s="10">
        <f t="shared" si="282"/>
        <v>0</v>
      </c>
      <c r="GO303" s="10">
        <f t="shared" si="282"/>
        <v>0</v>
      </c>
      <c r="GP303" s="10">
        <f t="shared" si="282"/>
        <v>0</v>
      </c>
      <c r="GQ303" s="10">
        <f t="shared" si="282"/>
        <v>0</v>
      </c>
      <c r="GR303" s="10">
        <f t="shared" si="282"/>
        <v>0</v>
      </c>
      <c r="GS303" s="10">
        <f t="shared" si="282"/>
        <v>0</v>
      </c>
      <c r="GT303" s="10">
        <f t="shared" si="282"/>
        <v>0</v>
      </c>
      <c r="GU303" s="10">
        <f t="shared" si="282"/>
        <v>0</v>
      </c>
      <c r="GV303" s="10">
        <f t="shared" si="282"/>
        <v>0</v>
      </c>
      <c r="GW303" s="10">
        <f t="shared" si="282"/>
        <v>0</v>
      </c>
      <c r="GX303" s="10">
        <f t="shared" si="282"/>
        <v>0</v>
      </c>
      <c r="GY303" s="10">
        <f t="shared" si="282"/>
        <v>0</v>
      </c>
      <c r="GZ303" s="10">
        <f t="shared" si="282"/>
        <v>0</v>
      </c>
      <c r="HA303" s="10">
        <f t="shared" si="282"/>
        <v>0</v>
      </c>
      <c r="HB303" s="10">
        <f t="shared" si="282"/>
        <v>0</v>
      </c>
      <c r="HC303" s="10">
        <f t="shared" si="282"/>
        <v>0</v>
      </c>
      <c r="HD303" s="10">
        <f t="shared" si="282"/>
        <v>0</v>
      </c>
      <c r="HE303" s="10">
        <f t="shared" si="282"/>
        <v>0</v>
      </c>
      <c r="HF303" s="10">
        <f t="shared" si="282"/>
        <v>0</v>
      </c>
      <c r="HG303" s="10">
        <f t="shared" si="282"/>
        <v>0</v>
      </c>
      <c r="HH303" s="10">
        <f t="shared" si="282"/>
        <v>0</v>
      </c>
      <c r="HI303" s="10">
        <f t="shared" si="282"/>
        <v>0</v>
      </c>
      <c r="HJ303" s="10">
        <f t="shared" si="282"/>
        <v>0</v>
      </c>
      <c r="HK303" s="10">
        <f t="shared" si="282"/>
        <v>0</v>
      </c>
      <c r="HL303" s="10">
        <f t="shared" si="282"/>
        <v>0</v>
      </c>
      <c r="HM303" s="10">
        <f t="shared" si="282"/>
        <v>0</v>
      </c>
      <c r="HN303" s="10">
        <f t="shared" si="282"/>
        <v>0</v>
      </c>
      <c r="HO303" s="10">
        <f t="shared" si="282"/>
        <v>0</v>
      </c>
      <c r="HP303" s="10">
        <f t="shared" si="282"/>
        <v>0</v>
      </c>
      <c r="HQ303" s="10">
        <f t="shared" si="282"/>
        <v>0</v>
      </c>
      <c r="HR303" s="10">
        <f t="shared" si="282"/>
        <v>0</v>
      </c>
      <c r="HS303" s="10">
        <f t="shared" si="282"/>
        <v>0</v>
      </c>
      <c r="HT303" s="10">
        <f t="shared" si="282"/>
        <v>0</v>
      </c>
      <c r="HU303" s="10">
        <f t="shared" si="282"/>
        <v>0</v>
      </c>
      <c r="HV303" s="10">
        <f t="shared" si="282"/>
        <v>0</v>
      </c>
      <c r="HW303" s="10">
        <f t="shared" si="282"/>
        <v>0</v>
      </c>
      <c r="HX303" s="10">
        <f t="shared" si="282"/>
        <v>0</v>
      </c>
      <c r="HY303" s="10">
        <f t="shared" si="282"/>
        <v>0</v>
      </c>
      <c r="HZ303" s="10">
        <f t="shared" si="282"/>
        <v>0</v>
      </c>
      <c r="IA303" s="10">
        <f t="shared" si="282"/>
        <v>0</v>
      </c>
      <c r="IB303" s="10">
        <f t="shared" ref="IB303:JE303" si="283">IB304-SUM(IB297:IB302)</f>
        <v>0</v>
      </c>
      <c r="IC303" s="10">
        <f t="shared" si="283"/>
        <v>0</v>
      </c>
      <c r="ID303" s="10">
        <f t="shared" si="283"/>
        <v>0</v>
      </c>
      <c r="IE303" s="10">
        <f t="shared" si="283"/>
        <v>0</v>
      </c>
      <c r="IF303" s="10">
        <f t="shared" si="283"/>
        <v>0</v>
      </c>
      <c r="IG303" s="10">
        <f t="shared" si="283"/>
        <v>0</v>
      </c>
      <c r="IH303" s="10">
        <f t="shared" si="283"/>
        <v>0</v>
      </c>
      <c r="II303" s="10">
        <f t="shared" si="283"/>
        <v>0</v>
      </c>
      <c r="IJ303" s="10">
        <f t="shared" si="283"/>
        <v>0</v>
      </c>
      <c r="IK303" s="10">
        <f t="shared" si="283"/>
        <v>0</v>
      </c>
      <c r="IL303" s="10">
        <f t="shared" si="283"/>
        <v>0</v>
      </c>
      <c r="IM303" s="10">
        <f t="shared" si="283"/>
        <v>0</v>
      </c>
      <c r="IN303" s="23">
        <v>0</v>
      </c>
      <c r="IO303" s="10">
        <f t="shared" si="283"/>
        <v>0</v>
      </c>
      <c r="IP303" s="10">
        <f t="shared" si="283"/>
        <v>0</v>
      </c>
      <c r="IQ303" s="10">
        <f t="shared" si="283"/>
        <v>0</v>
      </c>
      <c r="IR303" s="10">
        <f t="shared" si="283"/>
        <v>0</v>
      </c>
      <c r="IS303" s="10">
        <f t="shared" si="283"/>
        <v>0</v>
      </c>
      <c r="IT303" s="10">
        <f t="shared" si="283"/>
        <v>0</v>
      </c>
      <c r="IU303" s="10">
        <f t="shared" si="283"/>
        <v>0</v>
      </c>
      <c r="IV303" s="10">
        <f t="shared" si="283"/>
        <v>0</v>
      </c>
      <c r="IW303" s="10">
        <f t="shared" si="283"/>
        <v>0</v>
      </c>
      <c r="IX303" s="10">
        <f t="shared" si="283"/>
        <v>0</v>
      </c>
      <c r="IY303" s="10">
        <f t="shared" si="283"/>
        <v>0</v>
      </c>
      <c r="IZ303" s="10">
        <f t="shared" si="283"/>
        <v>0</v>
      </c>
      <c r="JA303" s="10">
        <f t="shared" si="283"/>
        <v>0</v>
      </c>
      <c r="JB303" s="10">
        <f t="shared" si="283"/>
        <v>0</v>
      </c>
      <c r="JC303" s="10">
        <f t="shared" si="283"/>
        <v>0</v>
      </c>
      <c r="JD303" s="10">
        <f t="shared" si="283"/>
        <v>0</v>
      </c>
      <c r="JE303" s="10">
        <f t="shared" si="283"/>
        <v>0</v>
      </c>
      <c r="JF303" s="10">
        <f>JF304-SUM(JF297:JF302)</f>
        <v>0</v>
      </c>
      <c r="JG303" s="10">
        <f>JG304-SUM(JG297:JG302)</f>
        <v>0</v>
      </c>
      <c r="JH303" s="10">
        <f t="shared" ref="JH303:LS303" si="284">JH304-SUM(JH297:JH302)</f>
        <v>0</v>
      </c>
      <c r="JI303" s="10">
        <f t="shared" si="284"/>
        <v>0</v>
      </c>
      <c r="JJ303" s="10">
        <f t="shared" si="284"/>
        <v>0</v>
      </c>
      <c r="JK303" s="10">
        <f t="shared" si="284"/>
        <v>0</v>
      </c>
      <c r="JL303" s="10">
        <f t="shared" si="284"/>
        <v>0</v>
      </c>
      <c r="JM303" s="10">
        <f t="shared" si="284"/>
        <v>0</v>
      </c>
      <c r="JN303" s="10">
        <f t="shared" si="284"/>
        <v>0</v>
      </c>
      <c r="JO303" s="10">
        <f t="shared" si="284"/>
        <v>0</v>
      </c>
      <c r="JP303" s="10">
        <f t="shared" si="284"/>
        <v>0</v>
      </c>
      <c r="JQ303" s="10">
        <f t="shared" si="284"/>
        <v>0</v>
      </c>
      <c r="JR303" s="10">
        <f t="shared" si="284"/>
        <v>0</v>
      </c>
      <c r="JS303" s="10">
        <f t="shared" si="284"/>
        <v>0</v>
      </c>
      <c r="JT303" s="10">
        <f t="shared" si="284"/>
        <v>0</v>
      </c>
      <c r="JU303" s="10">
        <f t="shared" si="284"/>
        <v>0</v>
      </c>
      <c r="JV303" s="10">
        <f t="shared" si="284"/>
        <v>0</v>
      </c>
      <c r="JW303" s="10">
        <f t="shared" si="284"/>
        <v>0</v>
      </c>
      <c r="JX303" s="10">
        <f t="shared" si="284"/>
        <v>0</v>
      </c>
      <c r="JY303" s="10">
        <f t="shared" si="284"/>
        <v>0</v>
      </c>
      <c r="JZ303" s="10">
        <f t="shared" si="284"/>
        <v>0</v>
      </c>
      <c r="KA303" s="10">
        <f t="shared" si="284"/>
        <v>0</v>
      </c>
      <c r="KB303" s="10">
        <f t="shared" si="284"/>
        <v>0</v>
      </c>
      <c r="KC303" s="10">
        <f t="shared" si="284"/>
        <v>0</v>
      </c>
      <c r="KD303" s="10">
        <f t="shared" si="284"/>
        <v>0</v>
      </c>
      <c r="KE303" s="10">
        <f t="shared" si="284"/>
        <v>0</v>
      </c>
      <c r="KF303" s="10">
        <f t="shared" si="284"/>
        <v>0</v>
      </c>
      <c r="KG303" s="10">
        <f t="shared" si="284"/>
        <v>0</v>
      </c>
      <c r="KH303" s="10">
        <f t="shared" si="284"/>
        <v>0</v>
      </c>
      <c r="KI303" s="10">
        <f t="shared" si="284"/>
        <v>0</v>
      </c>
      <c r="KJ303" s="10">
        <f t="shared" si="284"/>
        <v>0</v>
      </c>
      <c r="KK303" s="10">
        <f t="shared" si="284"/>
        <v>0</v>
      </c>
      <c r="KL303" s="10">
        <f t="shared" si="284"/>
        <v>0</v>
      </c>
      <c r="KM303" s="10">
        <f t="shared" si="284"/>
        <v>0</v>
      </c>
      <c r="KN303" s="10">
        <f t="shared" si="284"/>
        <v>0</v>
      </c>
      <c r="KO303" s="10">
        <f t="shared" si="284"/>
        <v>0</v>
      </c>
      <c r="KP303" s="10">
        <f t="shared" si="284"/>
        <v>0</v>
      </c>
      <c r="KQ303" s="10">
        <f t="shared" si="284"/>
        <v>0</v>
      </c>
      <c r="KR303" s="10">
        <f t="shared" si="284"/>
        <v>0</v>
      </c>
      <c r="KS303" s="10">
        <f t="shared" si="284"/>
        <v>0</v>
      </c>
      <c r="KT303" s="10">
        <f t="shared" si="284"/>
        <v>0</v>
      </c>
      <c r="KU303" s="10">
        <f t="shared" si="284"/>
        <v>0</v>
      </c>
      <c r="KV303" s="10">
        <f t="shared" si="284"/>
        <v>0</v>
      </c>
      <c r="KW303" s="10">
        <f t="shared" si="284"/>
        <v>0</v>
      </c>
      <c r="KX303" s="10">
        <f t="shared" si="284"/>
        <v>0</v>
      </c>
      <c r="KY303" s="10">
        <f t="shared" si="284"/>
        <v>0</v>
      </c>
      <c r="KZ303" s="10">
        <f t="shared" si="284"/>
        <v>0</v>
      </c>
      <c r="LA303" s="10">
        <f t="shared" si="284"/>
        <v>0</v>
      </c>
      <c r="LB303" s="10">
        <f t="shared" si="284"/>
        <v>0</v>
      </c>
      <c r="LC303" s="10">
        <f t="shared" si="284"/>
        <v>0</v>
      </c>
      <c r="LD303" s="10">
        <f t="shared" si="284"/>
        <v>0</v>
      </c>
      <c r="LE303" s="10">
        <f t="shared" si="284"/>
        <v>-2.1637466999999999</v>
      </c>
      <c r="LF303" s="10">
        <f t="shared" si="284"/>
        <v>-6.8617673999999997</v>
      </c>
      <c r="LG303" s="10">
        <f t="shared" si="284"/>
        <v>-8.8710905999999987</v>
      </c>
      <c r="LH303" s="10">
        <f t="shared" si="284"/>
        <v>-14.439077400000002</v>
      </c>
      <c r="LI303" s="10">
        <f t="shared" si="284"/>
        <v>-10.4907918</v>
      </c>
      <c r="LJ303" s="10">
        <f t="shared" si="284"/>
        <v>-10.813366800000001</v>
      </c>
      <c r="LK303" s="10">
        <f t="shared" si="284"/>
        <v>-10.701283499999999</v>
      </c>
      <c r="LL303" s="10">
        <f t="shared" si="284"/>
        <v>-6.8057138999999998</v>
      </c>
      <c r="LM303" s="10">
        <f t="shared" si="284"/>
        <v>-7.6668672000000004</v>
      </c>
      <c r="LN303" s="10">
        <f t="shared" si="284"/>
        <v>-5.8520576999999996</v>
      </c>
      <c r="LO303" s="10">
        <f t="shared" si="284"/>
        <v>-2.4526443000000002</v>
      </c>
      <c r="LP303" s="10">
        <f t="shared" si="284"/>
        <v>-2.6971314</v>
      </c>
      <c r="LQ303" s="10">
        <f t="shared" si="284"/>
        <v>-3.7581530999999995</v>
      </c>
      <c r="LR303" s="10">
        <f t="shared" si="284"/>
        <v>0</v>
      </c>
      <c r="LS303" s="10">
        <f t="shared" si="284"/>
        <v>0</v>
      </c>
      <c r="LT303" s="10">
        <f t="shared" ref="LT303:MK303" si="285">LT304-SUM(LT297:LT302)</f>
        <v>0</v>
      </c>
      <c r="LU303" s="10">
        <f t="shared" si="285"/>
        <v>0</v>
      </c>
      <c r="LV303" s="10">
        <f t="shared" si="285"/>
        <v>0</v>
      </c>
      <c r="LW303" s="10">
        <f t="shared" si="285"/>
        <v>0</v>
      </c>
      <c r="LX303" s="10">
        <f t="shared" si="285"/>
        <v>0</v>
      </c>
      <c r="LY303" s="10">
        <f t="shared" si="285"/>
        <v>0</v>
      </c>
      <c r="LZ303" s="10">
        <f t="shared" si="285"/>
        <v>0</v>
      </c>
      <c r="MA303" s="10">
        <f t="shared" si="285"/>
        <v>0</v>
      </c>
      <c r="MB303" s="10">
        <f t="shared" si="285"/>
        <v>0</v>
      </c>
      <c r="MC303" s="10">
        <f t="shared" si="285"/>
        <v>0</v>
      </c>
      <c r="MD303" s="10">
        <f t="shared" si="285"/>
        <v>0</v>
      </c>
      <c r="ME303" s="10">
        <f t="shared" si="285"/>
        <v>0</v>
      </c>
      <c r="MF303" s="10">
        <f t="shared" si="285"/>
        <v>0</v>
      </c>
      <c r="MG303" s="10">
        <f t="shared" si="285"/>
        <v>0</v>
      </c>
    </row>
    <row r="304" spans="1:345" s="14" customFormat="1">
      <c r="A304" s="19" t="s">
        <v>288</v>
      </c>
      <c r="B304" s="13">
        <f>B293</f>
        <v>0</v>
      </c>
      <c r="C304" s="13">
        <f t="shared" ref="C304:Z304" si="286">C293</f>
        <v>0</v>
      </c>
      <c r="D304" s="13">
        <f t="shared" si="286"/>
        <v>0</v>
      </c>
      <c r="E304" s="13">
        <f t="shared" si="286"/>
        <v>0</v>
      </c>
      <c r="F304" s="13">
        <f t="shared" si="286"/>
        <v>0</v>
      </c>
      <c r="G304" s="13">
        <f t="shared" si="286"/>
        <v>0</v>
      </c>
      <c r="H304" s="13">
        <f t="shared" si="286"/>
        <v>0</v>
      </c>
      <c r="I304" s="13">
        <f t="shared" si="286"/>
        <v>0</v>
      </c>
      <c r="J304" s="13">
        <f t="shared" si="286"/>
        <v>0</v>
      </c>
      <c r="K304" s="13">
        <f t="shared" si="286"/>
        <v>0</v>
      </c>
      <c r="L304" s="13">
        <f t="shared" si="286"/>
        <v>0</v>
      </c>
      <c r="M304" s="13">
        <f t="shared" si="286"/>
        <v>0</v>
      </c>
      <c r="N304" s="13">
        <f t="shared" si="286"/>
        <v>0</v>
      </c>
      <c r="O304" s="13">
        <f t="shared" si="286"/>
        <v>0</v>
      </c>
      <c r="P304" s="13">
        <f t="shared" si="286"/>
        <v>0</v>
      </c>
      <c r="Q304" s="13">
        <f t="shared" si="286"/>
        <v>0</v>
      </c>
      <c r="R304" s="13">
        <f t="shared" si="286"/>
        <v>0</v>
      </c>
      <c r="S304" s="13">
        <f t="shared" si="286"/>
        <v>0</v>
      </c>
      <c r="T304" s="13">
        <f t="shared" si="286"/>
        <v>0</v>
      </c>
      <c r="U304" s="13">
        <f t="shared" si="286"/>
        <v>0</v>
      </c>
      <c r="V304" s="13">
        <f t="shared" si="286"/>
        <v>0</v>
      </c>
      <c r="W304" s="13">
        <f t="shared" si="286"/>
        <v>0</v>
      </c>
      <c r="X304" s="13">
        <f t="shared" si="286"/>
        <v>0</v>
      </c>
      <c r="Y304" s="13">
        <f t="shared" si="286"/>
        <v>0</v>
      </c>
      <c r="Z304" s="13">
        <f t="shared" si="286"/>
        <v>0</v>
      </c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>
        <f>FP293/1000</f>
        <v>0</v>
      </c>
      <c r="FQ304" s="13">
        <f t="shared" ref="FQ304:IB304" si="287">FQ293/1000</f>
        <v>0</v>
      </c>
      <c r="FR304" s="13">
        <f t="shared" si="287"/>
        <v>0</v>
      </c>
      <c r="FS304" s="13">
        <f t="shared" si="287"/>
        <v>0</v>
      </c>
      <c r="FT304" s="13">
        <f t="shared" si="287"/>
        <v>0</v>
      </c>
      <c r="FU304" s="13">
        <f t="shared" si="287"/>
        <v>0</v>
      </c>
      <c r="FV304" s="13">
        <f t="shared" si="287"/>
        <v>0</v>
      </c>
      <c r="FW304" s="13">
        <f t="shared" si="287"/>
        <v>0</v>
      </c>
      <c r="FX304" s="13">
        <f t="shared" si="287"/>
        <v>0</v>
      </c>
      <c r="FY304" s="13">
        <f t="shared" si="287"/>
        <v>0</v>
      </c>
      <c r="FZ304" s="13">
        <f t="shared" si="287"/>
        <v>0</v>
      </c>
      <c r="GA304" s="13">
        <f t="shared" si="287"/>
        <v>0</v>
      </c>
      <c r="GB304" s="13">
        <f t="shared" si="287"/>
        <v>0</v>
      </c>
      <c r="GC304" s="13">
        <f t="shared" si="287"/>
        <v>0</v>
      </c>
      <c r="GD304" s="13">
        <f t="shared" si="287"/>
        <v>0</v>
      </c>
      <c r="GE304" s="13">
        <f t="shared" si="287"/>
        <v>0</v>
      </c>
      <c r="GF304" s="13">
        <f t="shared" si="287"/>
        <v>0</v>
      </c>
      <c r="GG304" s="13">
        <f t="shared" si="287"/>
        <v>0</v>
      </c>
      <c r="GH304" s="13">
        <f t="shared" si="287"/>
        <v>0</v>
      </c>
      <c r="GI304" s="13">
        <f t="shared" si="287"/>
        <v>0</v>
      </c>
      <c r="GJ304" s="13">
        <f t="shared" si="287"/>
        <v>0</v>
      </c>
      <c r="GK304" s="13">
        <f t="shared" si="287"/>
        <v>0</v>
      </c>
      <c r="GL304" s="13">
        <f t="shared" si="287"/>
        <v>0</v>
      </c>
      <c r="GM304" s="13">
        <f t="shared" si="287"/>
        <v>0</v>
      </c>
      <c r="GN304" s="13">
        <f t="shared" si="287"/>
        <v>0</v>
      </c>
      <c r="GO304" s="13">
        <f t="shared" si="287"/>
        <v>0</v>
      </c>
      <c r="GP304" s="13">
        <f t="shared" si="287"/>
        <v>0</v>
      </c>
      <c r="GQ304" s="13">
        <f t="shared" si="287"/>
        <v>0</v>
      </c>
      <c r="GR304" s="13">
        <f t="shared" si="287"/>
        <v>0</v>
      </c>
      <c r="GS304" s="13">
        <f t="shared" si="287"/>
        <v>0</v>
      </c>
      <c r="GT304" s="13">
        <f t="shared" si="287"/>
        <v>0</v>
      </c>
      <c r="GU304" s="13">
        <f t="shared" si="287"/>
        <v>0</v>
      </c>
      <c r="GV304" s="13">
        <f t="shared" si="287"/>
        <v>0</v>
      </c>
      <c r="GW304" s="13">
        <f t="shared" si="287"/>
        <v>0</v>
      </c>
      <c r="GX304" s="13">
        <f t="shared" si="287"/>
        <v>0</v>
      </c>
      <c r="GY304" s="13">
        <f t="shared" si="287"/>
        <v>0</v>
      </c>
      <c r="GZ304" s="13">
        <f t="shared" si="287"/>
        <v>0</v>
      </c>
      <c r="HA304" s="13">
        <f t="shared" si="287"/>
        <v>0</v>
      </c>
      <c r="HB304" s="13">
        <f t="shared" si="287"/>
        <v>0</v>
      </c>
      <c r="HC304" s="13">
        <f t="shared" si="287"/>
        <v>0</v>
      </c>
      <c r="HD304" s="13">
        <f t="shared" si="287"/>
        <v>0</v>
      </c>
      <c r="HE304" s="13">
        <f t="shared" si="287"/>
        <v>0</v>
      </c>
      <c r="HF304" s="13">
        <f t="shared" si="287"/>
        <v>0</v>
      </c>
      <c r="HG304" s="13">
        <f t="shared" si="287"/>
        <v>0</v>
      </c>
      <c r="HH304" s="13">
        <f t="shared" si="287"/>
        <v>0</v>
      </c>
      <c r="HI304" s="13">
        <f t="shared" si="287"/>
        <v>0</v>
      </c>
      <c r="HJ304" s="13">
        <f t="shared" si="287"/>
        <v>0</v>
      </c>
      <c r="HK304" s="13">
        <f t="shared" si="287"/>
        <v>0</v>
      </c>
      <c r="HL304" s="13">
        <f t="shared" si="287"/>
        <v>0</v>
      </c>
      <c r="HM304" s="13">
        <f t="shared" si="287"/>
        <v>0</v>
      </c>
      <c r="HN304" s="13">
        <f t="shared" si="287"/>
        <v>0</v>
      </c>
      <c r="HO304" s="13">
        <f t="shared" si="287"/>
        <v>0</v>
      </c>
      <c r="HP304" s="13">
        <f t="shared" si="287"/>
        <v>0</v>
      </c>
      <c r="HQ304" s="13">
        <f t="shared" si="287"/>
        <v>0</v>
      </c>
      <c r="HR304" s="13">
        <f t="shared" si="287"/>
        <v>0</v>
      </c>
      <c r="HS304" s="13">
        <f t="shared" si="287"/>
        <v>0</v>
      </c>
      <c r="HT304" s="13">
        <f t="shared" si="287"/>
        <v>0</v>
      </c>
      <c r="HU304" s="13">
        <f t="shared" si="287"/>
        <v>0</v>
      </c>
      <c r="HV304" s="13">
        <f t="shared" si="287"/>
        <v>0</v>
      </c>
      <c r="HW304" s="13">
        <f t="shared" si="287"/>
        <v>0</v>
      </c>
      <c r="HX304" s="13">
        <f t="shared" si="287"/>
        <v>0</v>
      </c>
      <c r="HY304" s="13">
        <f t="shared" si="287"/>
        <v>0</v>
      </c>
      <c r="HZ304" s="13">
        <f t="shared" si="287"/>
        <v>0</v>
      </c>
      <c r="IA304" s="13">
        <f t="shared" si="287"/>
        <v>0</v>
      </c>
      <c r="IB304" s="13">
        <f t="shared" si="287"/>
        <v>0</v>
      </c>
      <c r="IC304" s="13">
        <f t="shared" ref="IC304:JE304" si="288">IC293/1000</f>
        <v>0</v>
      </c>
      <c r="ID304" s="13">
        <f t="shared" si="288"/>
        <v>0</v>
      </c>
      <c r="IE304" s="13">
        <f t="shared" si="288"/>
        <v>0</v>
      </c>
      <c r="IF304" s="13">
        <f t="shared" si="288"/>
        <v>0</v>
      </c>
      <c r="IG304" s="13">
        <f t="shared" si="288"/>
        <v>0</v>
      </c>
      <c r="IH304" s="13">
        <f t="shared" si="288"/>
        <v>0</v>
      </c>
      <c r="II304" s="13">
        <f t="shared" si="288"/>
        <v>0</v>
      </c>
      <c r="IJ304" s="13">
        <f t="shared" si="288"/>
        <v>0</v>
      </c>
      <c r="IK304" s="13">
        <f t="shared" si="288"/>
        <v>0</v>
      </c>
      <c r="IL304" s="13">
        <f t="shared" si="288"/>
        <v>0</v>
      </c>
      <c r="IM304" s="13">
        <f t="shared" si="288"/>
        <v>0</v>
      </c>
      <c r="IN304" s="13">
        <f t="shared" si="288"/>
        <v>0</v>
      </c>
      <c r="IO304" s="13">
        <f t="shared" si="288"/>
        <v>0</v>
      </c>
      <c r="IP304" s="13">
        <f t="shared" si="288"/>
        <v>0</v>
      </c>
      <c r="IQ304" s="13">
        <f t="shared" si="288"/>
        <v>0</v>
      </c>
      <c r="IR304" s="13">
        <f t="shared" si="288"/>
        <v>0</v>
      </c>
      <c r="IS304" s="13">
        <f t="shared" si="288"/>
        <v>0</v>
      </c>
      <c r="IT304" s="13">
        <f t="shared" si="288"/>
        <v>0</v>
      </c>
      <c r="IU304" s="13">
        <f t="shared" si="288"/>
        <v>0</v>
      </c>
      <c r="IV304" s="13">
        <f t="shared" si="288"/>
        <v>0</v>
      </c>
      <c r="IW304" s="13">
        <f t="shared" si="288"/>
        <v>0</v>
      </c>
      <c r="IX304" s="13">
        <f t="shared" si="288"/>
        <v>0</v>
      </c>
      <c r="IY304" s="13">
        <f t="shared" si="288"/>
        <v>0</v>
      </c>
      <c r="IZ304" s="13">
        <f t="shared" si="288"/>
        <v>0</v>
      </c>
      <c r="JA304" s="13">
        <f t="shared" si="288"/>
        <v>0</v>
      </c>
      <c r="JB304" s="13">
        <f t="shared" si="288"/>
        <v>0</v>
      </c>
      <c r="JC304" s="13">
        <f t="shared" si="288"/>
        <v>0</v>
      </c>
      <c r="JD304" s="13">
        <f t="shared" si="288"/>
        <v>0</v>
      </c>
      <c r="JE304" s="13">
        <f t="shared" si="288"/>
        <v>0</v>
      </c>
      <c r="JF304" s="13">
        <f>JF293/1000</f>
        <v>0</v>
      </c>
      <c r="JG304" s="13">
        <f>JG293/1000</f>
        <v>0</v>
      </c>
      <c r="JH304" s="13">
        <f t="shared" ref="JH304:LS304" si="289">JH293/1000</f>
        <v>0</v>
      </c>
      <c r="JI304" s="13">
        <f t="shared" si="289"/>
        <v>0</v>
      </c>
      <c r="JJ304" s="13">
        <f t="shared" si="289"/>
        <v>0</v>
      </c>
      <c r="JK304" s="13">
        <f t="shared" si="289"/>
        <v>0</v>
      </c>
      <c r="JL304" s="13">
        <f t="shared" si="289"/>
        <v>0</v>
      </c>
      <c r="JM304" s="13">
        <f t="shared" si="289"/>
        <v>0</v>
      </c>
      <c r="JN304" s="13">
        <f t="shared" si="289"/>
        <v>0</v>
      </c>
      <c r="JO304" s="13">
        <f t="shared" si="289"/>
        <v>0</v>
      </c>
      <c r="JP304" s="13">
        <f t="shared" si="289"/>
        <v>0</v>
      </c>
      <c r="JQ304" s="13">
        <f t="shared" si="289"/>
        <v>0</v>
      </c>
      <c r="JR304" s="13">
        <f t="shared" si="289"/>
        <v>0</v>
      </c>
      <c r="JS304" s="13">
        <f t="shared" si="289"/>
        <v>0</v>
      </c>
      <c r="JT304" s="13">
        <f t="shared" si="289"/>
        <v>0</v>
      </c>
      <c r="JU304" s="13">
        <f t="shared" si="289"/>
        <v>0</v>
      </c>
      <c r="JV304" s="13">
        <f t="shared" si="289"/>
        <v>0</v>
      </c>
      <c r="JW304" s="13">
        <f t="shared" si="289"/>
        <v>0</v>
      </c>
      <c r="JX304" s="13">
        <f t="shared" si="289"/>
        <v>0</v>
      </c>
      <c r="JY304" s="13">
        <f t="shared" si="289"/>
        <v>0</v>
      </c>
      <c r="JZ304" s="13">
        <f t="shared" si="289"/>
        <v>0</v>
      </c>
      <c r="KA304" s="13">
        <f t="shared" si="289"/>
        <v>0</v>
      </c>
      <c r="KB304" s="13">
        <f t="shared" si="289"/>
        <v>0</v>
      </c>
      <c r="KC304" s="13">
        <f t="shared" si="289"/>
        <v>0</v>
      </c>
      <c r="KD304" s="13">
        <f t="shared" si="289"/>
        <v>0</v>
      </c>
      <c r="KE304" s="13">
        <f t="shared" si="289"/>
        <v>0</v>
      </c>
      <c r="KF304" s="13">
        <f t="shared" si="289"/>
        <v>0</v>
      </c>
      <c r="KG304" s="13">
        <f t="shared" si="289"/>
        <v>0</v>
      </c>
      <c r="KH304" s="13">
        <f t="shared" si="289"/>
        <v>0</v>
      </c>
      <c r="KI304" s="13">
        <f t="shared" si="289"/>
        <v>0</v>
      </c>
      <c r="KJ304" s="13">
        <f t="shared" si="289"/>
        <v>0</v>
      </c>
      <c r="KK304" s="13">
        <f t="shared" si="289"/>
        <v>0</v>
      </c>
      <c r="KL304" s="13">
        <f t="shared" si="289"/>
        <v>0</v>
      </c>
      <c r="KM304" s="13">
        <f t="shared" si="289"/>
        <v>0</v>
      </c>
      <c r="KN304" s="13">
        <f t="shared" si="289"/>
        <v>0</v>
      </c>
      <c r="KO304" s="13">
        <f t="shared" si="289"/>
        <v>0</v>
      </c>
      <c r="KP304" s="13">
        <f t="shared" si="289"/>
        <v>0</v>
      </c>
      <c r="KQ304" s="13">
        <f t="shared" si="289"/>
        <v>0</v>
      </c>
      <c r="KR304" s="13">
        <f t="shared" si="289"/>
        <v>0</v>
      </c>
      <c r="KS304" s="13">
        <f t="shared" si="289"/>
        <v>0</v>
      </c>
      <c r="KT304" s="13">
        <f t="shared" si="289"/>
        <v>0</v>
      </c>
      <c r="KU304" s="13">
        <f t="shared" si="289"/>
        <v>0</v>
      </c>
      <c r="KV304" s="13">
        <f t="shared" si="289"/>
        <v>0</v>
      </c>
      <c r="KW304" s="13">
        <f t="shared" si="289"/>
        <v>0</v>
      </c>
      <c r="KX304" s="13">
        <f t="shared" si="289"/>
        <v>0</v>
      </c>
      <c r="KY304" s="13">
        <f t="shared" si="289"/>
        <v>0</v>
      </c>
      <c r="KZ304" s="13">
        <f t="shared" si="289"/>
        <v>0</v>
      </c>
      <c r="LA304" s="13">
        <f t="shared" si="289"/>
        <v>0</v>
      </c>
      <c r="LB304" s="13">
        <f t="shared" si="289"/>
        <v>0</v>
      </c>
      <c r="LC304" s="13">
        <f t="shared" si="289"/>
        <v>0</v>
      </c>
      <c r="LD304" s="13">
        <f t="shared" si="289"/>
        <v>0</v>
      </c>
      <c r="LE304" s="13">
        <f t="shared" si="289"/>
        <v>0</v>
      </c>
      <c r="LF304" s="13">
        <f t="shared" si="289"/>
        <v>0</v>
      </c>
      <c r="LG304" s="13">
        <f t="shared" si="289"/>
        <v>0</v>
      </c>
      <c r="LH304" s="13">
        <f t="shared" si="289"/>
        <v>0</v>
      </c>
      <c r="LI304" s="13">
        <f t="shared" si="289"/>
        <v>0</v>
      </c>
      <c r="LJ304" s="13">
        <f t="shared" si="289"/>
        <v>0</v>
      </c>
      <c r="LK304" s="13">
        <f t="shared" si="289"/>
        <v>0</v>
      </c>
      <c r="LL304" s="13">
        <f t="shared" si="289"/>
        <v>0</v>
      </c>
      <c r="LM304" s="13">
        <f t="shared" si="289"/>
        <v>0</v>
      </c>
      <c r="LN304" s="13">
        <f t="shared" si="289"/>
        <v>0</v>
      </c>
      <c r="LO304" s="13">
        <f t="shared" si="289"/>
        <v>0</v>
      </c>
      <c r="LP304" s="13">
        <f t="shared" si="289"/>
        <v>0</v>
      </c>
      <c r="LQ304" s="13">
        <f t="shared" si="289"/>
        <v>0</v>
      </c>
      <c r="LR304" s="13">
        <f t="shared" si="289"/>
        <v>0</v>
      </c>
      <c r="LS304" s="13">
        <f t="shared" si="289"/>
        <v>0</v>
      </c>
      <c r="LT304" s="13">
        <f t="shared" ref="LT304:MK304" si="290">LT293/1000</f>
        <v>0</v>
      </c>
      <c r="LU304" s="13">
        <f t="shared" si="290"/>
        <v>0</v>
      </c>
      <c r="LV304" s="13">
        <f t="shared" si="290"/>
        <v>0</v>
      </c>
      <c r="LW304" s="13">
        <f t="shared" si="290"/>
        <v>0</v>
      </c>
      <c r="LX304" s="13">
        <f t="shared" si="290"/>
        <v>0</v>
      </c>
      <c r="LY304" s="13">
        <f t="shared" si="290"/>
        <v>0</v>
      </c>
      <c r="LZ304" s="13">
        <f t="shared" si="290"/>
        <v>0</v>
      </c>
      <c r="MA304" s="13">
        <f t="shared" si="290"/>
        <v>0</v>
      </c>
      <c r="MB304" s="13">
        <f t="shared" si="290"/>
        <v>0</v>
      </c>
      <c r="MC304" s="13">
        <f t="shared" si="290"/>
        <v>0</v>
      </c>
      <c r="MD304" s="13">
        <f t="shared" si="290"/>
        <v>0</v>
      </c>
      <c r="ME304" s="13">
        <f t="shared" si="290"/>
        <v>0</v>
      </c>
      <c r="MF304" s="13">
        <f t="shared" si="290"/>
        <v>0</v>
      </c>
      <c r="MG304" s="13">
        <f t="shared" si="290"/>
        <v>0</v>
      </c>
    </row>
    <row r="305" spans="1:345" s="14" customFormat="1">
      <c r="A305" s="19" t="s">
        <v>289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  <c r="HQ305" s="13"/>
      <c r="HR305" s="13"/>
      <c r="HS305" s="13"/>
      <c r="HT305" s="13"/>
      <c r="HU305" s="13"/>
      <c r="HV305" s="13"/>
      <c r="HW305" s="13"/>
      <c r="HX305" s="13"/>
      <c r="HY305" s="13"/>
      <c r="HZ305" s="13"/>
      <c r="IA305" s="13"/>
      <c r="IB305" s="13"/>
      <c r="IC305" s="13"/>
      <c r="ID305" s="13"/>
      <c r="IE305" s="13"/>
      <c r="IF305" s="13"/>
      <c r="IG305" s="13"/>
      <c r="IH305" s="13"/>
      <c r="II305" s="13"/>
      <c r="IJ305" s="13"/>
      <c r="IK305" s="13"/>
      <c r="IL305" s="13"/>
      <c r="IM305" s="13"/>
      <c r="IN305" s="13"/>
      <c r="IO305" s="13"/>
      <c r="IP305" s="13"/>
      <c r="IQ305" s="13"/>
      <c r="IR305" s="13"/>
      <c r="IS305" s="13"/>
      <c r="IT305" s="13"/>
      <c r="IU305" s="13"/>
      <c r="IV305" s="24"/>
      <c r="IW305" s="24"/>
      <c r="IX305" s="24"/>
      <c r="IY305" s="24"/>
      <c r="IZ305" s="24"/>
      <c r="JA305" s="24"/>
      <c r="JB305" s="24"/>
      <c r="JC305" s="24"/>
      <c r="JD305" s="24"/>
      <c r="JE305" s="24"/>
      <c r="JF305" s="24"/>
      <c r="JG305" s="24"/>
      <c r="JH305" s="13"/>
      <c r="JI305" s="13"/>
      <c r="JJ305" s="13"/>
      <c r="JK305" s="13"/>
      <c r="JL305" s="13"/>
      <c r="JM305" s="13"/>
      <c r="JN305" s="13"/>
      <c r="JO305" s="13"/>
      <c r="JP305" s="13"/>
      <c r="JQ305" s="13"/>
      <c r="JR305" s="13"/>
      <c r="JS305" s="13"/>
      <c r="JT305" s="13"/>
      <c r="JU305" s="13"/>
      <c r="JV305" s="13"/>
      <c r="JW305" s="13"/>
      <c r="JX305" s="13"/>
      <c r="JY305" s="13"/>
      <c r="JZ305" s="13"/>
      <c r="KA305" s="13"/>
      <c r="KB305" s="13"/>
      <c r="KC305" s="13"/>
      <c r="KD305" s="13"/>
      <c r="KE305" s="13"/>
      <c r="KF305" s="13"/>
      <c r="KG305" s="13">
        <f>[1]Breakdown!$X$211</f>
        <v>8.7940210185882304</v>
      </c>
      <c r="KH305" s="13">
        <f>[1]Breakdown!$X$212</f>
        <v>26.324483516470629</v>
      </c>
      <c r="KI305" s="13"/>
      <c r="KJ305" s="13"/>
      <c r="KK305" s="13"/>
      <c r="KL305" s="13"/>
      <c r="KM305" s="13"/>
      <c r="KN305" s="13"/>
      <c r="KO305" s="13"/>
      <c r="KP305" s="13"/>
      <c r="KQ305" s="13"/>
      <c r="KR305" s="13"/>
      <c r="KS305" s="13"/>
      <c r="KT305" s="13"/>
      <c r="KU305" s="13"/>
      <c r="KV305" s="13"/>
      <c r="KW305" s="13"/>
      <c r="KX305" s="13"/>
      <c r="KY305" s="13"/>
      <c r="KZ305" s="13"/>
      <c r="LA305" s="13"/>
      <c r="LB305" s="13"/>
      <c r="LC305" s="13"/>
      <c r="LD305" s="13"/>
      <c r="LE305" s="13"/>
      <c r="LF305" s="13"/>
      <c r="LG305" s="13"/>
      <c r="LH305" s="13"/>
      <c r="LI305" s="13"/>
      <c r="LJ305" s="13"/>
      <c r="LK305" s="13"/>
      <c r="LL305" s="13"/>
      <c r="LM305" s="13"/>
      <c r="LN305" s="13"/>
      <c r="LO305" s="13"/>
      <c r="LP305" s="13"/>
      <c r="LQ305" s="13"/>
      <c r="LR305" s="13"/>
      <c r="LS305" s="13"/>
      <c r="LT305" s="13"/>
      <c r="LU305" s="13"/>
      <c r="LV305" s="13"/>
      <c r="LW305" s="13"/>
      <c r="LX305" s="13"/>
      <c r="LY305" s="13"/>
      <c r="LZ305" s="13"/>
      <c r="MA305" s="13"/>
      <c r="MB305" s="13"/>
      <c r="MC305" s="13"/>
      <c r="MD305" s="13"/>
      <c r="ME305" s="13"/>
      <c r="MF305" s="13"/>
      <c r="MG305" s="13"/>
    </row>
    <row r="306" spans="1:345" s="14" customFormat="1">
      <c r="A306" s="19" t="s">
        <v>290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  <c r="HQ306" s="13"/>
      <c r="HR306" s="13"/>
      <c r="HS306" s="13"/>
      <c r="HT306" s="13"/>
      <c r="HU306" s="13"/>
      <c r="HV306" s="13"/>
      <c r="HW306" s="13"/>
      <c r="HX306" s="13"/>
      <c r="HY306" s="13"/>
      <c r="HZ306" s="13"/>
      <c r="IA306" s="13"/>
      <c r="IB306" s="13"/>
      <c r="IC306" s="13"/>
      <c r="ID306" s="13"/>
      <c r="IE306" s="13"/>
      <c r="IF306" s="13"/>
      <c r="IG306" s="13"/>
      <c r="IH306" s="13"/>
      <c r="II306" s="13"/>
      <c r="IJ306" s="13"/>
      <c r="IK306" s="13"/>
      <c r="IL306" s="13"/>
      <c r="IM306" s="13"/>
      <c r="IN306" s="13"/>
      <c r="IO306" s="13"/>
      <c r="IP306" s="13"/>
      <c r="IQ306" s="13"/>
      <c r="IR306" s="13"/>
      <c r="IS306" s="13"/>
      <c r="IT306" s="13"/>
      <c r="IU306" s="13"/>
      <c r="IV306" s="13">
        <f>IV304-IV297-IV298-IV300</f>
        <v>0</v>
      </c>
      <c r="IW306" s="13">
        <f t="shared" ref="IW306:JE306" si="291">IW304-IW297-IW298-IW300</f>
        <v>0</v>
      </c>
      <c r="IX306" s="13">
        <f t="shared" si="291"/>
        <v>0</v>
      </c>
      <c r="IY306" s="13">
        <f t="shared" si="291"/>
        <v>0</v>
      </c>
      <c r="IZ306" s="13">
        <f t="shared" si="291"/>
        <v>0</v>
      </c>
      <c r="JA306" s="13">
        <f t="shared" si="291"/>
        <v>0</v>
      </c>
      <c r="JB306" s="13">
        <f t="shared" si="291"/>
        <v>0</v>
      </c>
      <c r="JC306" s="13">
        <f t="shared" si="291"/>
        <v>0</v>
      </c>
      <c r="JD306" s="13">
        <f t="shared" si="291"/>
        <v>0</v>
      </c>
      <c r="JE306" s="13">
        <f t="shared" si="291"/>
        <v>0</v>
      </c>
      <c r="JF306" s="13">
        <f>JF304-JF297-JF298-JF300</f>
        <v>0</v>
      </c>
      <c r="JG306" s="13">
        <f>JG304-JG297-JG298-JG300</f>
        <v>0</v>
      </c>
      <c r="JH306" s="13">
        <f t="shared" ref="JH306:KD306" si="292">JH304-JH297-JH298-JH300</f>
        <v>0</v>
      </c>
      <c r="JI306" s="13">
        <f t="shared" si="292"/>
        <v>0</v>
      </c>
      <c r="JJ306" s="13">
        <f t="shared" si="292"/>
        <v>0</v>
      </c>
      <c r="JK306" s="13">
        <f t="shared" si="292"/>
        <v>0</v>
      </c>
      <c r="JL306" s="13">
        <f t="shared" si="292"/>
        <v>0</v>
      </c>
      <c r="JM306" s="13">
        <f t="shared" si="292"/>
        <v>0</v>
      </c>
      <c r="JN306" s="13">
        <f t="shared" si="292"/>
        <v>0</v>
      </c>
      <c r="JO306" s="13">
        <f t="shared" si="292"/>
        <v>0</v>
      </c>
      <c r="JP306" s="13">
        <f t="shared" si="292"/>
        <v>0</v>
      </c>
      <c r="JQ306" s="13">
        <f t="shared" si="292"/>
        <v>0</v>
      </c>
      <c r="JR306" s="13">
        <f t="shared" si="292"/>
        <v>0</v>
      </c>
      <c r="JS306" s="13">
        <f t="shared" si="292"/>
        <v>0</v>
      </c>
      <c r="JT306" s="13">
        <f t="shared" si="292"/>
        <v>0</v>
      </c>
      <c r="JU306" s="13">
        <f t="shared" si="292"/>
        <v>0</v>
      </c>
      <c r="JV306" s="13">
        <f t="shared" si="292"/>
        <v>0</v>
      </c>
      <c r="JW306" s="13">
        <f t="shared" si="292"/>
        <v>0</v>
      </c>
      <c r="JX306" s="13">
        <f t="shared" si="292"/>
        <v>0</v>
      </c>
      <c r="JY306" s="13">
        <f t="shared" si="292"/>
        <v>0</v>
      </c>
      <c r="JZ306" s="13">
        <f t="shared" si="292"/>
        <v>0</v>
      </c>
      <c r="KA306" s="13">
        <f t="shared" si="292"/>
        <v>0</v>
      </c>
      <c r="KB306" s="13">
        <f t="shared" si="292"/>
        <v>0</v>
      </c>
      <c r="KC306" s="13">
        <f t="shared" si="292"/>
        <v>0</v>
      </c>
      <c r="KD306" s="13">
        <f t="shared" si="292"/>
        <v>0</v>
      </c>
      <c r="KE306" s="13"/>
      <c r="KF306" s="13"/>
      <c r="KG306" s="13"/>
      <c r="KH306" s="13"/>
      <c r="KI306" s="13"/>
      <c r="KJ306" s="13"/>
      <c r="KK306" s="13"/>
      <c r="KL306" s="13"/>
      <c r="KM306" s="13"/>
      <c r="KN306" s="13"/>
      <c r="KO306" s="13"/>
      <c r="KP306" s="13"/>
      <c r="KQ306" s="13"/>
      <c r="KR306" s="13"/>
      <c r="KS306" s="13"/>
      <c r="KT306" s="13"/>
      <c r="KU306" s="13"/>
      <c r="KV306" s="13"/>
      <c r="KW306" s="13"/>
      <c r="KX306" s="13"/>
      <c r="KY306" s="13"/>
      <c r="KZ306" s="13"/>
      <c r="LA306" s="13"/>
      <c r="LB306" s="13"/>
      <c r="LC306" s="13"/>
      <c r="LD306" s="13"/>
      <c r="LE306" s="13"/>
      <c r="LF306" s="13"/>
      <c r="LG306" s="13"/>
      <c r="LH306" s="13"/>
      <c r="LI306" s="13"/>
      <c r="LJ306" s="13"/>
      <c r="LK306" s="13"/>
      <c r="LL306" s="13"/>
      <c r="LM306" s="13"/>
      <c r="LN306" s="13"/>
      <c r="LO306" s="13"/>
      <c r="LP306" s="13"/>
      <c r="LQ306" s="13"/>
      <c r="LR306" s="13"/>
      <c r="LS306" s="13"/>
      <c r="LT306" s="13"/>
      <c r="LU306" s="13"/>
      <c r="LV306" s="13"/>
      <c r="LW306" s="13"/>
      <c r="LX306" s="13"/>
      <c r="LY306" s="13"/>
      <c r="LZ306" s="13"/>
      <c r="MA306" s="13"/>
      <c r="MB306" s="13"/>
      <c r="MC306" s="13"/>
      <c r="MD306" s="13"/>
      <c r="ME306" s="13"/>
      <c r="MF306" s="13"/>
      <c r="MG306" s="13"/>
    </row>
    <row r="307" spans="1:345" s="14" customFormat="1">
      <c r="A307" s="1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13"/>
      <c r="IK307" s="13"/>
      <c r="IL307" s="13"/>
      <c r="IM307" s="13"/>
      <c r="IN307" s="13"/>
      <c r="IO307" s="13"/>
      <c r="IP307" s="13"/>
      <c r="IQ307" s="13"/>
      <c r="IR307" s="13"/>
      <c r="IS307" s="13"/>
      <c r="IT307" s="13"/>
      <c r="IU307" s="13"/>
      <c r="IV307" s="13"/>
      <c r="IW307" s="13"/>
      <c r="IX307" s="13"/>
      <c r="IY307" s="13"/>
      <c r="IZ307" s="13"/>
      <c r="JA307" s="13"/>
      <c r="JB307" s="13"/>
      <c r="JC307" s="13"/>
      <c r="JD307" s="13"/>
      <c r="JE307" s="13"/>
      <c r="JF307" s="13"/>
      <c r="JG307" s="13"/>
      <c r="JH307" s="13"/>
      <c r="JI307" s="13"/>
      <c r="JJ307" s="13"/>
      <c r="JK307" s="13"/>
      <c r="JL307" s="13"/>
      <c r="JM307" s="13"/>
      <c r="JN307" s="13"/>
      <c r="JO307" s="13"/>
      <c r="JP307" s="13"/>
      <c r="JQ307" s="13"/>
      <c r="JR307" s="13"/>
      <c r="JS307" s="13"/>
      <c r="JT307" s="13"/>
      <c r="JU307" s="13"/>
      <c r="JV307" s="13"/>
      <c r="JW307" s="13"/>
      <c r="JX307" s="13"/>
      <c r="JY307" s="13"/>
      <c r="JZ307" s="13"/>
      <c r="KA307" s="13"/>
      <c r="KB307" s="13"/>
      <c r="KC307" s="13"/>
      <c r="KD307" s="13"/>
      <c r="KE307" s="13"/>
      <c r="KF307" s="13"/>
      <c r="KG307" s="13"/>
      <c r="KH307" s="13"/>
      <c r="KI307" s="13"/>
      <c r="KJ307" s="13"/>
      <c r="KK307" s="13"/>
      <c r="KL307" s="13"/>
      <c r="KM307" s="13"/>
      <c r="KN307" s="13"/>
      <c r="KO307" s="13"/>
      <c r="KP307" s="13"/>
      <c r="KQ307" s="13"/>
      <c r="KR307" s="13"/>
      <c r="KS307" s="13"/>
      <c r="KT307" s="13"/>
      <c r="KU307" s="13"/>
      <c r="KV307" s="13"/>
      <c r="KW307" s="13"/>
      <c r="KX307" s="13"/>
      <c r="KY307" s="13"/>
      <c r="KZ307" s="13"/>
      <c r="LA307" s="13"/>
      <c r="LB307" s="13"/>
      <c r="LC307" s="13"/>
      <c r="LD307" s="13"/>
      <c r="LE307" s="13"/>
      <c r="LF307" s="13"/>
      <c r="LG307" s="13"/>
      <c r="LH307" s="13"/>
      <c r="LI307" s="13"/>
      <c r="LJ307" s="13"/>
      <c r="LK307" s="13"/>
      <c r="LL307" s="13"/>
      <c r="LM307" s="13"/>
      <c r="LN307" s="13"/>
      <c r="LO307" s="13"/>
      <c r="LP307" s="13"/>
      <c r="LQ307" s="13"/>
      <c r="LR307" s="13"/>
      <c r="LS307" s="13"/>
      <c r="LT307" s="13"/>
      <c r="LU307" s="13"/>
      <c r="LV307" s="13"/>
      <c r="LW307" s="13"/>
      <c r="LX307" s="13"/>
      <c r="LY307" s="13"/>
      <c r="LZ307" s="13"/>
      <c r="MA307" s="13"/>
      <c r="MB307" s="13"/>
      <c r="MC307" s="13"/>
      <c r="MD307" s="13"/>
      <c r="ME307" s="13"/>
      <c r="MF307" s="13"/>
      <c r="MG307" s="13"/>
    </row>
    <row r="308" spans="1:345" s="14" customFormat="1">
      <c r="A308" s="1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  <c r="JA308" s="13"/>
      <c r="JB308" s="13"/>
      <c r="JC308" s="13"/>
      <c r="JD308" s="13"/>
      <c r="JE308" s="13"/>
      <c r="JF308" s="13"/>
      <c r="JG308" s="13"/>
      <c r="JH308" s="13"/>
      <c r="JI308" s="13"/>
      <c r="JJ308" s="13"/>
      <c r="JK308" s="13"/>
      <c r="JL308" s="13"/>
      <c r="JM308" s="13"/>
      <c r="JN308" s="13"/>
      <c r="JO308" s="13"/>
      <c r="JP308" s="13"/>
      <c r="JQ308" s="13"/>
      <c r="JR308" s="13"/>
      <c r="JS308" s="13"/>
      <c r="JT308" s="13"/>
      <c r="JU308" s="13"/>
      <c r="JV308" s="13"/>
      <c r="JW308" s="13"/>
      <c r="JX308" s="13"/>
      <c r="JY308" s="13"/>
      <c r="JZ308" s="13"/>
      <c r="KA308" s="13"/>
      <c r="KB308" s="13"/>
      <c r="KC308" s="13"/>
      <c r="KD308" s="13"/>
      <c r="KE308" s="13"/>
      <c r="KF308" s="13"/>
      <c r="KG308" s="13"/>
      <c r="KH308" s="13"/>
      <c r="KI308" s="13"/>
      <c r="KJ308" s="13"/>
      <c r="KK308" s="13"/>
      <c r="KL308" s="13"/>
      <c r="KM308" s="13"/>
      <c r="KN308" s="13"/>
      <c r="KO308" s="13"/>
      <c r="KP308" s="13"/>
      <c r="KQ308" s="13"/>
      <c r="KR308" s="13"/>
      <c r="KS308" s="13"/>
      <c r="KT308" s="13"/>
      <c r="KU308" s="13"/>
      <c r="KV308" s="13"/>
      <c r="KW308" s="13"/>
      <c r="KX308" s="13"/>
      <c r="KY308" s="13"/>
      <c r="KZ308" s="13"/>
      <c r="LA308" s="13"/>
      <c r="LB308" s="13"/>
      <c r="LC308" s="13"/>
      <c r="LD308" s="13"/>
      <c r="LE308" s="13"/>
      <c r="LF308" s="13"/>
      <c r="LG308" s="13"/>
      <c r="LH308" s="13"/>
      <c r="LI308" s="13"/>
      <c r="LJ308" s="13"/>
      <c r="LK308" s="13"/>
      <c r="LL308" s="13"/>
      <c r="LM308" s="13"/>
      <c r="LN308" s="13"/>
      <c r="LO308" s="13"/>
      <c r="LP308" s="13"/>
      <c r="LQ308" s="13"/>
      <c r="LR308" s="13"/>
      <c r="LS308" s="13"/>
      <c r="LT308" s="13"/>
      <c r="LU308" s="13"/>
      <c r="LV308" s="13"/>
      <c r="LW308" s="13"/>
      <c r="LX308" s="13"/>
      <c r="LY308" s="13"/>
      <c r="LZ308" s="13"/>
      <c r="MA308" s="13"/>
      <c r="MB308" s="13"/>
      <c r="MC308" s="13"/>
      <c r="MD308" s="13"/>
      <c r="ME308" s="13"/>
      <c r="MF308" s="13"/>
      <c r="MG308" s="13"/>
    </row>
    <row r="309" spans="1:345" s="14" customFormat="1">
      <c r="A309" s="12" t="s">
        <v>291</v>
      </c>
      <c r="B309" s="13">
        <f t="shared" ref="B309:Z309" si="293">B289*7.328/2204.622</f>
        <v>0</v>
      </c>
      <c r="C309" s="13">
        <f t="shared" si="293"/>
        <v>0</v>
      </c>
      <c r="D309" s="13">
        <f t="shared" si="293"/>
        <v>0</v>
      </c>
      <c r="E309" s="13">
        <f t="shared" si="293"/>
        <v>0</v>
      </c>
      <c r="F309" s="13">
        <f t="shared" si="293"/>
        <v>0</v>
      </c>
      <c r="G309" s="13">
        <f t="shared" si="293"/>
        <v>0</v>
      </c>
      <c r="H309" s="13">
        <f t="shared" si="293"/>
        <v>0</v>
      </c>
      <c r="I309" s="13">
        <f t="shared" si="293"/>
        <v>0</v>
      </c>
      <c r="J309" s="13">
        <f t="shared" si="293"/>
        <v>0</v>
      </c>
      <c r="K309" s="13">
        <f t="shared" si="293"/>
        <v>0</v>
      </c>
      <c r="L309" s="13">
        <f t="shared" si="293"/>
        <v>0</v>
      </c>
      <c r="M309" s="13">
        <f t="shared" si="293"/>
        <v>0</v>
      </c>
      <c r="N309" s="13">
        <f t="shared" si="293"/>
        <v>0</v>
      </c>
      <c r="O309" s="13">
        <f t="shared" si="293"/>
        <v>0</v>
      </c>
      <c r="P309" s="13">
        <f t="shared" si="293"/>
        <v>0</v>
      </c>
      <c r="Q309" s="13">
        <f t="shared" si="293"/>
        <v>0</v>
      </c>
      <c r="R309" s="13">
        <f t="shared" si="293"/>
        <v>0</v>
      </c>
      <c r="S309" s="13">
        <f t="shared" si="293"/>
        <v>0</v>
      </c>
      <c r="T309" s="13">
        <f t="shared" si="293"/>
        <v>0</v>
      </c>
      <c r="U309" s="13">
        <f t="shared" si="293"/>
        <v>0</v>
      </c>
      <c r="V309" s="13">
        <f t="shared" si="293"/>
        <v>0</v>
      </c>
      <c r="W309" s="13">
        <f t="shared" si="293"/>
        <v>0</v>
      </c>
      <c r="X309" s="13">
        <f t="shared" si="293"/>
        <v>0</v>
      </c>
      <c r="Y309" s="13">
        <f t="shared" si="293"/>
        <v>0</v>
      </c>
      <c r="Z309" s="13">
        <f t="shared" si="293"/>
        <v>0.33049884189997197</v>
      </c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>
        <f t="shared" ref="FP309:GI309" si="294">FP289*7.328/2204.622</f>
        <v>0</v>
      </c>
      <c r="FQ309" s="13">
        <f t="shared" si="294"/>
        <v>0</v>
      </c>
      <c r="FR309" s="13">
        <f t="shared" si="294"/>
        <v>0</v>
      </c>
      <c r="FS309" s="13">
        <f t="shared" si="294"/>
        <v>0</v>
      </c>
      <c r="FT309" s="13">
        <f t="shared" si="294"/>
        <v>0</v>
      </c>
      <c r="FU309" s="13">
        <f t="shared" si="294"/>
        <v>0</v>
      </c>
      <c r="FV309" s="13">
        <f t="shared" si="294"/>
        <v>0</v>
      </c>
      <c r="FW309" s="13">
        <f t="shared" si="294"/>
        <v>0</v>
      </c>
      <c r="FX309" s="13">
        <f t="shared" si="294"/>
        <v>0</v>
      </c>
      <c r="FY309" s="13">
        <f t="shared" si="294"/>
        <v>0</v>
      </c>
      <c r="FZ309" s="13">
        <f t="shared" si="294"/>
        <v>0</v>
      </c>
      <c r="GA309" s="13">
        <f t="shared" si="294"/>
        <v>0</v>
      </c>
      <c r="GB309" s="13">
        <f t="shared" si="294"/>
        <v>0</v>
      </c>
      <c r="GC309" s="13">
        <f t="shared" si="294"/>
        <v>0</v>
      </c>
      <c r="GD309" s="13">
        <f t="shared" si="294"/>
        <v>0</v>
      </c>
      <c r="GE309" s="13">
        <f t="shared" si="294"/>
        <v>0</v>
      </c>
      <c r="GF309" s="13">
        <f t="shared" si="294"/>
        <v>0</v>
      </c>
      <c r="GG309" s="13">
        <f t="shared" si="294"/>
        <v>0</v>
      </c>
      <c r="GH309" s="13">
        <f t="shared" si="294"/>
        <v>0</v>
      </c>
      <c r="GI309" s="13">
        <f t="shared" si="294"/>
        <v>0</v>
      </c>
      <c r="GJ309" s="13">
        <f>GJ289*7.328/2204.622</f>
        <v>0</v>
      </c>
      <c r="GK309" s="13">
        <f>GK289*7.328/2204.622</f>
        <v>0</v>
      </c>
      <c r="GL309" s="13">
        <f>GL289*7.328/2204.622</f>
        <v>0</v>
      </c>
      <c r="GM309" s="13">
        <f t="shared" ref="GM309:IX309" si="295">GM289*7.328/2204.622</f>
        <v>0</v>
      </c>
      <c r="GN309" s="13">
        <f t="shared" si="295"/>
        <v>0</v>
      </c>
      <c r="GO309" s="13">
        <f t="shared" si="295"/>
        <v>0</v>
      </c>
      <c r="GP309" s="13">
        <f t="shared" si="295"/>
        <v>0</v>
      </c>
      <c r="GQ309" s="13">
        <f t="shared" si="295"/>
        <v>0</v>
      </c>
      <c r="GR309" s="13">
        <f t="shared" si="295"/>
        <v>0</v>
      </c>
      <c r="GS309" s="13">
        <f t="shared" si="295"/>
        <v>0</v>
      </c>
      <c r="GT309" s="13">
        <f t="shared" si="295"/>
        <v>0</v>
      </c>
      <c r="GU309" s="13">
        <f t="shared" si="295"/>
        <v>0</v>
      </c>
      <c r="GV309" s="13">
        <f t="shared" si="295"/>
        <v>0</v>
      </c>
      <c r="GW309" s="13">
        <f t="shared" si="295"/>
        <v>0</v>
      </c>
      <c r="GX309" s="13">
        <f t="shared" si="295"/>
        <v>0</v>
      </c>
      <c r="GY309" s="13">
        <f t="shared" si="295"/>
        <v>0</v>
      </c>
      <c r="GZ309" s="13">
        <f t="shared" si="295"/>
        <v>0</v>
      </c>
      <c r="HA309" s="13">
        <f t="shared" si="295"/>
        <v>0</v>
      </c>
      <c r="HB309" s="13">
        <f t="shared" si="295"/>
        <v>0</v>
      </c>
      <c r="HC309" s="13">
        <f t="shared" si="295"/>
        <v>0</v>
      </c>
      <c r="HD309" s="13">
        <f t="shared" si="295"/>
        <v>0</v>
      </c>
      <c r="HE309" s="13">
        <f t="shared" si="295"/>
        <v>0</v>
      </c>
      <c r="HF309" s="13">
        <f t="shared" si="295"/>
        <v>0</v>
      </c>
      <c r="HG309" s="13">
        <f t="shared" si="295"/>
        <v>0</v>
      </c>
      <c r="HH309" s="13">
        <f t="shared" si="295"/>
        <v>0</v>
      </c>
      <c r="HI309" s="13">
        <f t="shared" si="295"/>
        <v>0</v>
      </c>
      <c r="HJ309" s="13">
        <f t="shared" si="295"/>
        <v>0</v>
      </c>
      <c r="HK309" s="13">
        <f t="shared" si="295"/>
        <v>0</v>
      </c>
      <c r="HL309" s="13">
        <f t="shared" si="295"/>
        <v>0</v>
      </c>
      <c r="HM309" s="13">
        <f t="shared" si="295"/>
        <v>0</v>
      </c>
      <c r="HN309" s="13">
        <f t="shared" si="295"/>
        <v>0</v>
      </c>
      <c r="HO309" s="13">
        <f t="shared" si="295"/>
        <v>0</v>
      </c>
      <c r="HP309" s="13">
        <f t="shared" si="295"/>
        <v>0</v>
      </c>
      <c r="HQ309" s="13">
        <f t="shared" si="295"/>
        <v>0</v>
      </c>
      <c r="HR309" s="13">
        <f t="shared" si="295"/>
        <v>0</v>
      </c>
      <c r="HS309" s="13">
        <f t="shared" si="295"/>
        <v>0</v>
      </c>
      <c r="HT309" s="13">
        <f t="shared" si="295"/>
        <v>0</v>
      </c>
      <c r="HU309" s="13">
        <f t="shared" si="295"/>
        <v>0</v>
      </c>
      <c r="HV309" s="13">
        <f t="shared" si="295"/>
        <v>0</v>
      </c>
      <c r="HW309" s="13">
        <f t="shared" si="295"/>
        <v>0</v>
      </c>
      <c r="HX309" s="13">
        <f t="shared" si="295"/>
        <v>0</v>
      </c>
      <c r="HY309" s="13">
        <f t="shared" si="295"/>
        <v>0</v>
      </c>
      <c r="HZ309" s="13">
        <f t="shared" si="295"/>
        <v>0</v>
      </c>
      <c r="IA309" s="13">
        <f t="shared" si="295"/>
        <v>0</v>
      </c>
      <c r="IB309" s="13">
        <f t="shared" si="295"/>
        <v>0</v>
      </c>
      <c r="IC309" s="13">
        <f t="shared" si="295"/>
        <v>0</v>
      </c>
      <c r="ID309" s="13">
        <f t="shared" si="295"/>
        <v>0</v>
      </c>
      <c r="IE309" s="13">
        <f t="shared" si="295"/>
        <v>0</v>
      </c>
      <c r="IF309" s="13">
        <f t="shared" si="295"/>
        <v>0</v>
      </c>
      <c r="IG309" s="13">
        <f t="shared" si="295"/>
        <v>0</v>
      </c>
      <c r="IH309" s="13">
        <f t="shared" si="295"/>
        <v>0</v>
      </c>
      <c r="II309" s="13">
        <f t="shared" si="295"/>
        <v>0</v>
      </c>
      <c r="IJ309" s="13">
        <f t="shared" si="295"/>
        <v>0</v>
      </c>
      <c r="IK309" s="13">
        <f t="shared" si="295"/>
        <v>0</v>
      </c>
      <c r="IL309" s="13">
        <f t="shared" si="295"/>
        <v>0</v>
      </c>
      <c r="IM309" s="13">
        <f t="shared" si="295"/>
        <v>0</v>
      </c>
      <c r="IN309" s="13">
        <f t="shared" si="295"/>
        <v>0</v>
      </c>
      <c r="IO309" s="13">
        <f t="shared" si="295"/>
        <v>0</v>
      </c>
      <c r="IP309" s="13">
        <f t="shared" si="295"/>
        <v>0</v>
      </c>
      <c r="IQ309" s="13">
        <f t="shared" si="295"/>
        <v>0</v>
      </c>
      <c r="IR309" s="13">
        <f t="shared" si="295"/>
        <v>0</v>
      </c>
      <c r="IS309" s="13">
        <f t="shared" si="295"/>
        <v>0</v>
      </c>
      <c r="IT309" s="13">
        <f t="shared" si="295"/>
        <v>0</v>
      </c>
      <c r="IU309" s="13">
        <f t="shared" si="295"/>
        <v>0</v>
      </c>
      <c r="IV309" s="13">
        <f t="shared" si="295"/>
        <v>0</v>
      </c>
      <c r="IW309" s="13">
        <f t="shared" si="295"/>
        <v>0</v>
      </c>
      <c r="IX309" s="13">
        <f t="shared" si="295"/>
        <v>0</v>
      </c>
      <c r="IY309" s="13">
        <f t="shared" ref="IY309:LJ309" si="296">IY289*7.328/2204.622</f>
        <v>0</v>
      </c>
      <c r="IZ309" s="13">
        <f t="shared" si="296"/>
        <v>0</v>
      </c>
      <c r="JA309" s="13">
        <f t="shared" si="296"/>
        <v>0</v>
      </c>
      <c r="JB309" s="13">
        <f t="shared" si="296"/>
        <v>0</v>
      </c>
      <c r="JC309" s="13">
        <f t="shared" si="296"/>
        <v>0</v>
      </c>
      <c r="JD309" s="13">
        <f t="shared" si="296"/>
        <v>0</v>
      </c>
      <c r="JE309" s="13">
        <f t="shared" si="296"/>
        <v>0</v>
      </c>
      <c r="JF309" s="13">
        <f t="shared" si="296"/>
        <v>0</v>
      </c>
      <c r="JG309" s="13">
        <f t="shared" si="296"/>
        <v>0</v>
      </c>
      <c r="JH309" s="13">
        <f t="shared" si="296"/>
        <v>0</v>
      </c>
      <c r="JI309" s="13">
        <f t="shared" si="296"/>
        <v>0</v>
      </c>
      <c r="JJ309" s="13">
        <f t="shared" si="296"/>
        <v>0</v>
      </c>
      <c r="JK309" s="13">
        <f t="shared" si="296"/>
        <v>0</v>
      </c>
      <c r="JL309" s="13">
        <f t="shared" si="296"/>
        <v>0</v>
      </c>
      <c r="JM309" s="13">
        <f t="shared" si="296"/>
        <v>0</v>
      </c>
      <c r="JN309" s="13">
        <f t="shared" si="296"/>
        <v>0</v>
      </c>
      <c r="JO309" s="13">
        <f t="shared" si="296"/>
        <v>0</v>
      </c>
      <c r="JP309" s="13">
        <f t="shared" si="296"/>
        <v>0</v>
      </c>
      <c r="JQ309" s="13">
        <f t="shared" si="296"/>
        <v>0</v>
      </c>
      <c r="JR309" s="13">
        <f t="shared" si="296"/>
        <v>0</v>
      </c>
      <c r="JS309" s="13">
        <f t="shared" si="296"/>
        <v>0</v>
      </c>
      <c r="JT309" s="13">
        <f t="shared" si="296"/>
        <v>0</v>
      </c>
      <c r="JU309" s="13">
        <f t="shared" si="296"/>
        <v>0</v>
      </c>
      <c r="JV309" s="13">
        <f t="shared" si="296"/>
        <v>0</v>
      </c>
      <c r="JW309" s="13">
        <f t="shared" si="296"/>
        <v>0</v>
      </c>
      <c r="JX309" s="13">
        <f t="shared" si="296"/>
        <v>0</v>
      </c>
      <c r="JY309" s="13">
        <f t="shared" si="296"/>
        <v>0</v>
      </c>
      <c r="JZ309" s="13">
        <f t="shared" si="296"/>
        <v>0</v>
      </c>
      <c r="KA309" s="13">
        <f t="shared" si="296"/>
        <v>0</v>
      </c>
      <c r="KB309" s="13">
        <f t="shared" si="296"/>
        <v>0</v>
      </c>
      <c r="KC309" s="13">
        <f t="shared" si="296"/>
        <v>0</v>
      </c>
      <c r="KD309" s="13">
        <f t="shared" si="296"/>
        <v>0</v>
      </c>
      <c r="KE309" s="13">
        <f t="shared" si="296"/>
        <v>0</v>
      </c>
      <c r="KF309" s="13">
        <f t="shared" si="296"/>
        <v>0</v>
      </c>
      <c r="KG309" s="13">
        <f t="shared" si="296"/>
        <v>0</v>
      </c>
      <c r="KH309" s="13">
        <f t="shared" si="296"/>
        <v>0</v>
      </c>
      <c r="KI309" s="13">
        <f t="shared" si="296"/>
        <v>0</v>
      </c>
      <c r="KJ309" s="13">
        <f t="shared" si="296"/>
        <v>0</v>
      </c>
      <c r="KK309" s="13">
        <f t="shared" si="296"/>
        <v>0</v>
      </c>
      <c r="KL309" s="13">
        <f t="shared" si="296"/>
        <v>0</v>
      </c>
      <c r="KM309" s="13">
        <f t="shared" si="296"/>
        <v>0</v>
      </c>
      <c r="KN309" s="13">
        <f t="shared" si="296"/>
        <v>0</v>
      </c>
      <c r="KO309" s="13">
        <f t="shared" si="296"/>
        <v>0</v>
      </c>
      <c r="KP309" s="13">
        <f t="shared" si="296"/>
        <v>0</v>
      </c>
      <c r="KQ309" s="13">
        <f t="shared" si="296"/>
        <v>0</v>
      </c>
      <c r="KR309" s="13">
        <f t="shared" si="296"/>
        <v>0</v>
      </c>
      <c r="KS309" s="13">
        <f t="shared" si="296"/>
        <v>0</v>
      </c>
      <c r="KT309" s="13">
        <f t="shared" si="296"/>
        <v>0</v>
      </c>
      <c r="KU309" s="13">
        <f t="shared" si="296"/>
        <v>0</v>
      </c>
      <c r="KV309" s="13">
        <f t="shared" si="296"/>
        <v>0</v>
      </c>
      <c r="KW309" s="13">
        <f t="shared" si="296"/>
        <v>0</v>
      </c>
      <c r="KX309" s="13">
        <f t="shared" si="296"/>
        <v>0</v>
      </c>
      <c r="KY309" s="13">
        <f t="shared" si="296"/>
        <v>0</v>
      </c>
      <c r="KZ309" s="13">
        <f t="shared" si="296"/>
        <v>0</v>
      </c>
      <c r="LA309" s="13">
        <f t="shared" si="296"/>
        <v>0</v>
      </c>
      <c r="LB309" s="13">
        <f t="shared" si="296"/>
        <v>0</v>
      </c>
      <c r="LC309" s="13">
        <f t="shared" si="296"/>
        <v>0</v>
      </c>
      <c r="LD309" s="13">
        <f t="shared" si="296"/>
        <v>0</v>
      </c>
      <c r="LE309" s="13">
        <f t="shared" si="296"/>
        <v>14.516953534891698</v>
      </c>
      <c r="LF309" s="13">
        <f t="shared" si="296"/>
        <v>35.876528806843083</v>
      </c>
      <c r="LG309" s="13">
        <f t="shared" si="296"/>
        <v>30.572946219351895</v>
      </c>
      <c r="LH309" s="13">
        <f t="shared" si="296"/>
        <v>53.655313575932752</v>
      </c>
      <c r="LI309" s="13">
        <f t="shared" si="296"/>
        <v>38.687014457444405</v>
      </c>
      <c r="LJ309" s="13">
        <f t="shared" si="296"/>
        <v>36.392133521664938</v>
      </c>
      <c r="LK309" s="13">
        <f t="shared" ref="LK309:MG309" si="297">LK289*7.328/2204.622</f>
        <v>36.980348731347156</v>
      </c>
      <c r="LL309" s="13">
        <f t="shared" si="297"/>
        <v>26.763792040540284</v>
      </c>
      <c r="LM309" s="13">
        <f t="shared" si="297"/>
        <v>26.429169103819163</v>
      </c>
      <c r="LN309" s="13">
        <f t="shared" si="297"/>
        <v>21.988463367597713</v>
      </c>
      <c r="LO309" s="13">
        <f t="shared" si="297"/>
        <v>8.6361785405389213</v>
      </c>
      <c r="LP309" s="13">
        <f t="shared" si="297"/>
        <v>10.130375603981093</v>
      </c>
      <c r="LQ309" s="13">
        <f t="shared" si="297"/>
        <v>12.913674200475185</v>
      </c>
      <c r="LR309" s="13">
        <f t="shared" si="297"/>
        <v>0</v>
      </c>
      <c r="LS309" s="13">
        <f t="shared" si="297"/>
        <v>0</v>
      </c>
      <c r="LT309" s="13">
        <f t="shared" si="297"/>
        <v>0</v>
      </c>
      <c r="LU309" s="13">
        <f t="shared" si="297"/>
        <v>0</v>
      </c>
      <c r="LV309" s="13">
        <f t="shared" si="297"/>
        <v>0</v>
      </c>
      <c r="LW309" s="13">
        <f t="shared" si="297"/>
        <v>0</v>
      </c>
      <c r="LX309" s="13">
        <f t="shared" si="297"/>
        <v>0</v>
      </c>
      <c r="LY309" s="13">
        <f t="shared" si="297"/>
        <v>0</v>
      </c>
      <c r="LZ309" s="13">
        <f t="shared" si="297"/>
        <v>0</v>
      </c>
      <c r="MA309" s="13">
        <f t="shared" si="297"/>
        <v>0</v>
      </c>
      <c r="MB309" s="13">
        <f t="shared" si="297"/>
        <v>0</v>
      </c>
      <c r="MC309" s="13">
        <f t="shared" si="297"/>
        <v>0</v>
      </c>
      <c r="MD309" s="13">
        <f t="shared" si="297"/>
        <v>0</v>
      </c>
      <c r="ME309" s="13">
        <f t="shared" si="297"/>
        <v>0</v>
      </c>
      <c r="MF309" s="13">
        <f t="shared" si="297"/>
        <v>0</v>
      </c>
      <c r="MG309" s="13">
        <f t="shared" si="297"/>
        <v>0</v>
      </c>
    </row>
    <row r="310" spans="1:345" s="14" customFormat="1"/>
    <row r="311" spans="1:345" s="14" customFormat="1">
      <c r="IZ311" s="14">
        <f t="shared" ref="IZ311:JG318" si="298">IZ297/0.042</f>
        <v>0</v>
      </c>
      <c r="JA311" s="14">
        <f t="shared" si="298"/>
        <v>0</v>
      </c>
      <c r="JB311" s="14">
        <f t="shared" si="298"/>
        <v>0</v>
      </c>
      <c r="JC311" s="14">
        <f t="shared" si="298"/>
        <v>0</v>
      </c>
      <c r="JD311" s="14">
        <f t="shared" si="298"/>
        <v>0</v>
      </c>
      <c r="JE311" s="14">
        <f t="shared" si="298"/>
        <v>0</v>
      </c>
      <c r="JF311" s="14">
        <f t="shared" si="298"/>
        <v>0</v>
      </c>
      <c r="JG311" s="14">
        <f t="shared" si="298"/>
        <v>0</v>
      </c>
      <c r="JH311" s="14" t="s">
        <v>98</v>
      </c>
    </row>
    <row r="312" spans="1:345" s="14" customFormat="1">
      <c r="IZ312" s="14">
        <f t="shared" si="298"/>
        <v>0</v>
      </c>
      <c r="JA312" s="14">
        <f t="shared" si="298"/>
        <v>0</v>
      </c>
      <c r="JB312" s="14">
        <f t="shared" si="298"/>
        <v>0</v>
      </c>
      <c r="JC312" s="14">
        <f t="shared" si="298"/>
        <v>0</v>
      </c>
      <c r="JD312" s="14">
        <f t="shared" si="298"/>
        <v>0</v>
      </c>
      <c r="JE312" s="14">
        <f t="shared" si="298"/>
        <v>0</v>
      </c>
      <c r="JF312" s="14">
        <f t="shared" si="298"/>
        <v>0</v>
      </c>
      <c r="JG312" s="14">
        <f t="shared" si="298"/>
        <v>0</v>
      </c>
      <c r="JH312" s="14" t="s">
        <v>112</v>
      </c>
    </row>
    <row r="313" spans="1:345" s="14" customFormat="1">
      <c r="IZ313" s="14">
        <f t="shared" si="298"/>
        <v>0</v>
      </c>
      <c r="JA313" s="14">
        <f t="shared" si="298"/>
        <v>0</v>
      </c>
      <c r="JB313" s="14">
        <f t="shared" si="298"/>
        <v>0</v>
      </c>
      <c r="JC313" s="14">
        <f t="shared" si="298"/>
        <v>0</v>
      </c>
      <c r="JD313" s="14">
        <f t="shared" si="298"/>
        <v>0</v>
      </c>
      <c r="JE313" s="14">
        <f t="shared" si="298"/>
        <v>0</v>
      </c>
      <c r="JF313" s="14">
        <f t="shared" si="298"/>
        <v>0</v>
      </c>
      <c r="JG313" s="14">
        <f t="shared" si="298"/>
        <v>0</v>
      </c>
      <c r="JH313" s="14" t="s">
        <v>136</v>
      </c>
    </row>
    <row r="314" spans="1:345" s="14" customFormat="1">
      <c r="IZ314" s="14">
        <f t="shared" si="298"/>
        <v>0</v>
      </c>
      <c r="JA314" s="14">
        <f t="shared" si="298"/>
        <v>0</v>
      </c>
      <c r="JB314" s="14">
        <f t="shared" si="298"/>
        <v>0</v>
      </c>
      <c r="JC314" s="14">
        <f t="shared" si="298"/>
        <v>0</v>
      </c>
      <c r="JD314" s="14">
        <f t="shared" si="298"/>
        <v>0</v>
      </c>
      <c r="JE314" s="14">
        <f t="shared" si="298"/>
        <v>0</v>
      </c>
      <c r="JF314" s="14">
        <f t="shared" si="298"/>
        <v>0</v>
      </c>
      <c r="JG314" s="14">
        <f t="shared" si="298"/>
        <v>0</v>
      </c>
      <c r="JH314" s="14" t="s">
        <v>227</v>
      </c>
    </row>
    <row r="315" spans="1:345" s="14" customFormat="1">
      <c r="IZ315" s="14">
        <f t="shared" si="298"/>
        <v>0</v>
      </c>
      <c r="JA315" s="14">
        <f t="shared" si="298"/>
        <v>0</v>
      </c>
      <c r="JB315" s="14">
        <f t="shared" si="298"/>
        <v>0</v>
      </c>
      <c r="JC315" s="14">
        <f t="shared" si="298"/>
        <v>0</v>
      </c>
      <c r="JD315" s="14">
        <f t="shared" si="298"/>
        <v>0</v>
      </c>
      <c r="JE315" s="14">
        <f t="shared" si="298"/>
        <v>0</v>
      </c>
      <c r="JF315" s="14">
        <f t="shared" si="298"/>
        <v>0</v>
      </c>
      <c r="JG315" s="14">
        <f t="shared" si="298"/>
        <v>0</v>
      </c>
      <c r="JH315" s="25" t="s">
        <v>236</v>
      </c>
    </row>
    <row r="316" spans="1:345" s="14" customFormat="1">
      <c r="IZ316" s="14">
        <f t="shared" si="298"/>
        <v>0</v>
      </c>
      <c r="JA316" s="14">
        <f t="shared" si="298"/>
        <v>0</v>
      </c>
      <c r="JB316" s="14">
        <f t="shared" si="298"/>
        <v>0</v>
      </c>
      <c r="JC316" s="14">
        <f t="shared" si="298"/>
        <v>0</v>
      </c>
      <c r="JD316" s="14">
        <f t="shared" si="298"/>
        <v>0</v>
      </c>
      <c r="JE316" s="14">
        <f t="shared" si="298"/>
        <v>0</v>
      </c>
      <c r="JF316" s="14">
        <f t="shared" si="298"/>
        <v>0</v>
      </c>
      <c r="JG316" s="14">
        <f t="shared" si="298"/>
        <v>0</v>
      </c>
      <c r="JH316" s="14" t="s">
        <v>286</v>
      </c>
    </row>
    <row r="317" spans="1:345">
      <c r="IZ317" s="14">
        <f t="shared" si="298"/>
        <v>0</v>
      </c>
      <c r="JA317" s="14">
        <f t="shared" si="298"/>
        <v>0</v>
      </c>
      <c r="JB317" s="14">
        <f t="shared" si="298"/>
        <v>0</v>
      </c>
      <c r="JC317" s="14">
        <f t="shared" si="298"/>
        <v>0</v>
      </c>
      <c r="JD317" s="14">
        <f t="shared" si="298"/>
        <v>0</v>
      </c>
      <c r="JE317" s="14">
        <f t="shared" si="298"/>
        <v>0</v>
      </c>
      <c r="JF317" s="14">
        <f t="shared" si="298"/>
        <v>0</v>
      </c>
      <c r="JG317" s="14">
        <f t="shared" si="298"/>
        <v>0</v>
      </c>
      <c r="JH317" s="14" t="s">
        <v>287</v>
      </c>
    </row>
    <row r="318" spans="1:345">
      <c r="IZ318" s="14">
        <f t="shared" si="298"/>
        <v>0</v>
      </c>
      <c r="JA318" s="14">
        <f t="shared" si="298"/>
        <v>0</v>
      </c>
      <c r="JB318" s="14">
        <f t="shared" si="298"/>
        <v>0</v>
      </c>
      <c r="JC318" s="14">
        <f t="shared" si="298"/>
        <v>0</v>
      </c>
      <c r="JD318" s="14">
        <f t="shared" si="298"/>
        <v>0</v>
      </c>
      <c r="JE318" s="14">
        <f t="shared" si="298"/>
        <v>0</v>
      </c>
      <c r="JF318" s="14">
        <f t="shared" si="298"/>
        <v>0</v>
      </c>
      <c r="JG318" s="14">
        <f t="shared" si="298"/>
        <v>0</v>
      </c>
      <c r="JH318" s="14" t="s">
        <v>288</v>
      </c>
    </row>
    <row r="320" spans="1:345">
      <c r="IJ320" s="27">
        <v>48</v>
      </c>
      <c r="IK320" s="27">
        <v>72</v>
      </c>
      <c r="IL320" s="27">
        <v>25</v>
      </c>
      <c r="IM320" s="27">
        <v>32</v>
      </c>
      <c r="IN320" s="27">
        <v>75</v>
      </c>
      <c r="IO320" s="27">
        <v>132</v>
      </c>
      <c r="IP320" s="27">
        <v>166</v>
      </c>
      <c r="IQ320" s="27">
        <v>55</v>
      </c>
      <c r="IR320" s="27">
        <v>108</v>
      </c>
      <c r="IS320" s="27">
        <v>60</v>
      </c>
      <c r="IT320" s="27">
        <v>9</v>
      </c>
      <c r="IU320" s="27">
        <v>71</v>
      </c>
      <c r="IV320" s="27">
        <v>30</v>
      </c>
      <c r="IW320" s="27">
        <v>52</v>
      </c>
      <c r="IX320" s="27">
        <v>406</v>
      </c>
      <c r="IY320" s="27">
        <v>304</v>
      </c>
      <c r="IZ320" s="27">
        <v>385</v>
      </c>
      <c r="JA320" s="27">
        <v>682</v>
      </c>
      <c r="JB320" s="27">
        <v>338</v>
      </c>
      <c r="JC320" s="27">
        <v>364</v>
      </c>
      <c r="JD320" s="27">
        <v>683</v>
      </c>
      <c r="JE320" s="27">
        <v>1101</v>
      </c>
      <c r="JF320" s="27">
        <v>1387</v>
      </c>
      <c r="JH320" s="26" t="s">
        <v>292</v>
      </c>
    </row>
    <row r="322" spans="244:266">
      <c r="IJ322" s="26">
        <f t="shared" ref="IJ322:JD322" si="299">IJ320*0.042</f>
        <v>2.016</v>
      </c>
      <c r="IK322" s="26">
        <f t="shared" si="299"/>
        <v>3.024</v>
      </c>
      <c r="IL322" s="26">
        <f t="shared" si="299"/>
        <v>1.05</v>
      </c>
      <c r="IM322" s="26">
        <f t="shared" si="299"/>
        <v>1.3440000000000001</v>
      </c>
      <c r="IN322" s="26">
        <f t="shared" si="299"/>
        <v>3.1500000000000004</v>
      </c>
      <c r="IO322" s="26">
        <f t="shared" si="299"/>
        <v>5.5440000000000005</v>
      </c>
      <c r="IP322" s="26">
        <f t="shared" si="299"/>
        <v>6.9720000000000004</v>
      </c>
      <c r="IQ322" s="26">
        <f t="shared" si="299"/>
        <v>2.31</v>
      </c>
      <c r="IR322" s="26">
        <f t="shared" si="299"/>
        <v>4.5360000000000005</v>
      </c>
      <c r="IS322" s="26">
        <f t="shared" si="299"/>
        <v>2.52</v>
      </c>
      <c r="IT322" s="26">
        <f t="shared" si="299"/>
        <v>0.378</v>
      </c>
      <c r="IU322" s="26">
        <f t="shared" si="299"/>
        <v>2.9820000000000002</v>
      </c>
      <c r="IV322" s="26">
        <f t="shared" si="299"/>
        <v>1.26</v>
      </c>
      <c r="IW322" s="26">
        <f t="shared" si="299"/>
        <v>2.1840000000000002</v>
      </c>
      <c r="IX322" s="26">
        <f t="shared" si="299"/>
        <v>17.052</v>
      </c>
      <c r="IY322" s="26">
        <f t="shared" si="299"/>
        <v>12.768000000000001</v>
      </c>
      <c r="IZ322" s="26">
        <f t="shared" si="299"/>
        <v>16.170000000000002</v>
      </c>
      <c r="JA322" s="26">
        <f t="shared" si="299"/>
        <v>28.644000000000002</v>
      </c>
      <c r="JB322" s="26">
        <f t="shared" si="299"/>
        <v>14.196000000000002</v>
      </c>
      <c r="JC322" s="26">
        <f t="shared" si="299"/>
        <v>15.288</v>
      </c>
      <c r="JD322" s="26">
        <f t="shared" si="299"/>
        <v>28.686000000000003</v>
      </c>
      <c r="JE322" s="26">
        <f>JE320*0.042</f>
        <v>46.242000000000004</v>
      </c>
      <c r="JF322" s="26">
        <f>JF320*0.042</f>
        <v>58.254000000000005</v>
      </c>
    </row>
    <row r="323" spans="244:266">
      <c r="IJ323" s="26">
        <f t="shared" ref="IJ323:JD323" si="300">IJ304</f>
        <v>0</v>
      </c>
      <c r="IK323" s="26">
        <f t="shared" si="300"/>
        <v>0</v>
      </c>
      <c r="IL323" s="26">
        <f t="shared" si="300"/>
        <v>0</v>
      </c>
      <c r="IM323" s="26">
        <f t="shared" si="300"/>
        <v>0</v>
      </c>
      <c r="IN323" s="26">
        <f t="shared" si="300"/>
        <v>0</v>
      </c>
      <c r="IO323" s="26">
        <f t="shared" si="300"/>
        <v>0</v>
      </c>
      <c r="IP323" s="26">
        <f t="shared" si="300"/>
        <v>0</v>
      </c>
      <c r="IQ323" s="26">
        <f t="shared" si="300"/>
        <v>0</v>
      </c>
      <c r="IR323" s="26">
        <f t="shared" si="300"/>
        <v>0</v>
      </c>
      <c r="IS323" s="26">
        <f t="shared" si="300"/>
        <v>0</v>
      </c>
      <c r="IT323" s="26">
        <f t="shared" si="300"/>
        <v>0</v>
      </c>
      <c r="IU323" s="26">
        <f t="shared" si="300"/>
        <v>0</v>
      </c>
      <c r="IV323" s="26">
        <f t="shared" si="300"/>
        <v>0</v>
      </c>
      <c r="IW323" s="26">
        <f t="shared" si="300"/>
        <v>0</v>
      </c>
      <c r="IX323" s="26">
        <f t="shared" si="300"/>
        <v>0</v>
      </c>
      <c r="IY323" s="26">
        <f t="shared" si="300"/>
        <v>0</v>
      </c>
      <c r="IZ323" s="26">
        <f t="shared" si="300"/>
        <v>0</v>
      </c>
      <c r="JA323" s="26">
        <f t="shared" si="300"/>
        <v>0</v>
      </c>
      <c r="JB323" s="26">
        <f t="shared" si="300"/>
        <v>0</v>
      </c>
      <c r="JC323" s="26">
        <f t="shared" si="300"/>
        <v>0</v>
      </c>
      <c r="JD323" s="26">
        <f t="shared" si="300"/>
        <v>0</v>
      </c>
      <c r="JE323" s="26">
        <f>JE304</f>
        <v>0</v>
      </c>
      <c r="JF323" s="26">
        <f>JF304</f>
        <v>0</v>
      </c>
    </row>
    <row r="324" spans="244:266">
      <c r="IJ324" s="26">
        <f t="shared" ref="IJ324:JD324" si="301">IJ323-IJ322</f>
        <v>-2.016</v>
      </c>
      <c r="IK324" s="26">
        <f t="shared" si="301"/>
        <v>-3.024</v>
      </c>
      <c r="IL324" s="26">
        <f t="shared" si="301"/>
        <v>-1.05</v>
      </c>
      <c r="IM324" s="26">
        <f t="shared" si="301"/>
        <v>-1.3440000000000001</v>
      </c>
      <c r="IN324" s="26">
        <f t="shared" si="301"/>
        <v>-3.1500000000000004</v>
      </c>
      <c r="IO324" s="26">
        <f t="shared" si="301"/>
        <v>-5.5440000000000005</v>
      </c>
      <c r="IP324" s="26">
        <f t="shared" si="301"/>
        <v>-6.9720000000000004</v>
      </c>
      <c r="IQ324" s="26">
        <f t="shared" si="301"/>
        <v>-2.31</v>
      </c>
      <c r="IR324" s="26">
        <f t="shared" si="301"/>
        <v>-4.5360000000000005</v>
      </c>
      <c r="IS324" s="26">
        <f t="shared" si="301"/>
        <v>-2.52</v>
      </c>
      <c r="IT324" s="26">
        <f t="shared" si="301"/>
        <v>-0.378</v>
      </c>
      <c r="IU324" s="26">
        <f t="shared" si="301"/>
        <v>-2.9820000000000002</v>
      </c>
      <c r="IV324" s="26">
        <f t="shared" si="301"/>
        <v>-1.26</v>
      </c>
      <c r="IW324" s="26">
        <f t="shared" si="301"/>
        <v>-2.1840000000000002</v>
      </c>
      <c r="IX324" s="26">
        <f t="shared" si="301"/>
        <v>-17.052</v>
      </c>
      <c r="IY324" s="26">
        <f t="shared" si="301"/>
        <v>-12.768000000000001</v>
      </c>
      <c r="IZ324" s="26">
        <f t="shared" si="301"/>
        <v>-16.170000000000002</v>
      </c>
      <c r="JA324" s="26">
        <f t="shared" si="301"/>
        <v>-28.644000000000002</v>
      </c>
      <c r="JB324" s="26">
        <f t="shared" si="301"/>
        <v>-14.196000000000002</v>
      </c>
      <c r="JC324" s="26">
        <f t="shared" si="301"/>
        <v>-15.288</v>
      </c>
      <c r="JD324" s="26">
        <f t="shared" si="301"/>
        <v>-28.686000000000003</v>
      </c>
      <c r="JE324" s="26">
        <f>JE323-JE322</f>
        <v>-46.242000000000004</v>
      </c>
      <c r="JF324" s="26">
        <f>JF323-JF322</f>
        <v>-58.254000000000005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EDF7-C158-44D3-91FC-2409A0740488}">
  <sheetPr codeName="Sheet3"/>
  <dimension ref="A1:E283"/>
  <sheetViews>
    <sheetView workbookViewId="0">
      <selection activeCell="LQ290" sqref="LQ290"/>
    </sheetView>
  </sheetViews>
  <sheetFormatPr defaultRowHeight="16.5"/>
  <cols>
    <col min="1" max="1" width="30.42578125" style="28" bestFit="1" customWidth="1"/>
    <col min="2" max="2" width="33.5703125" bestFit="1" customWidth="1"/>
    <col min="3" max="3" width="17.42578125" bestFit="1" customWidth="1"/>
    <col min="4" max="4" width="17.42578125" customWidth="1"/>
    <col min="5" max="5" width="17.85546875" style="28" customWidth="1"/>
    <col min="6" max="6" width="9.140625" style="28"/>
    <col min="7" max="7" width="13.5703125" style="28" bestFit="1" customWidth="1"/>
    <col min="8" max="16384" width="9.140625" style="28"/>
  </cols>
  <sheetData>
    <row r="1" spans="1:5">
      <c r="A1" s="28" t="s">
        <v>294</v>
      </c>
      <c r="B1" s="29" t="s">
        <v>295</v>
      </c>
      <c r="C1" s="29" t="s">
        <v>296</v>
      </c>
      <c r="D1" s="29" t="s">
        <v>297</v>
      </c>
      <c r="E1" s="28" t="s">
        <v>298</v>
      </c>
    </row>
    <row r="2" spans="1:5">
      <c r="A2" s="28" t="s">
        <v>299</v>
      </c>
      <c r="B2" t="s">
        <v>300</v>
      </c>
      <c r="C2" s="30" t="s">
        <v>301</v>
      </c>
      <c r="D2" s="30" t="s">
        <v>302</v>
      </c>
      <c r="E2" s="28">
        <v>2.20462E-3</v>
      </c>
    </row>
    <row r="3" spans="1:5">
      <c r="A3" s="28" t="s">
        <v>303</v>
      </c>
      <c r="B3" t="s">
        <v>300</v>
      </c>
      <c r="C3" s="30" t="s">
        <v>301</v>
      </c>
      <c r="D3" s="30" t="s">
        <v>304</v>
      </c>
      <c r="E3" s="28">
        <v>2.20462E-3</v>
      </c>
    </row>
    <row r="4" spans="1:5">
      <c r="A4" s="28" t="s">
        <v>305</v>
      </c>
      <c r="B4" t="s">
        <v>306</v>
      </c>
      <c r="C4" s="30" t="s">
        <v>301</v>
      </c>
      <c r="D4" s="30" t="s">
        <v>302</v>
      </c>
      <c r="E4" s="31">
        <v>1.10231E-3</v>
      </c>
    </row>
    <row r="5" spans="1:5">
      <c r="A5" s="28" t="s">
        <v>307</v>
      </c>
      <c r="B5" t="s">
        <v>306</v>
      </c>
      <c r="C5" s="30" t="s">
        <v>301</v>
      </c>
      <c r="D5" s="30" t="s">
        <v>304</v>
      </c>
      <c r="E5" s="31">
        <v>1.10231E-3</v>
      </c>
    </row>
    <row r="6" spans="1:5">
      <c r="A6" s="28" t="s">
        <v>308</v>
      </c>
      <c r="B6" t="s">
        <v>309</v>
      </c>
      <c r="C6" s="30" t="s">
        <v>301</v>
      </c>
      <c r="D6" s="30" t="s">
        <v>302</v>
      </c>
      <c r="E6" s="28">
        <v>2.20462E-3</v>
      </c>
    </row>
    <row r="7" spans="1:5">
      <c r="A7" s="28" t="s">
        <v>310</v>
      </c>
      <c r="B7" t="s">
        <v>309</v>
      </c>
      <c r="C7" s="30" t="s">
        <v>301</v>
      </c>
      <c r="D7" s="30" t="s">
        <v>304</v>
      </c>
      <c r="E7" s="28">
        <v>2.20462E-3</v>
      </c>
    </row>
    <row r="8" spans="1:5">
      <c r="A8" s="28" t="s">
        <v>311</v>
      </c>
      <c r="B8" t="s">
        <v>312</v>
      </c>
      <c r="C8" s="30" t="s">
        <v>301</v>
      </c>
      <c r="D8" s="30" t="s">
        <v>302</v>
      </c>
      <c r="E8" s="31">
        <v>2.20462E-3</v>
      </c>
    </row>
    <row r="9" spans="1:5">
      <c r="A9" s="28" t="s">
        <v>313</v>
      </c>
      <c r="B9" t="s">
        <v>312</v>
      </c>
      <c r="C9" s="30" t="s">
        <v>301</v>
      </c>
      <c r="D9" s="30" t="s">
        <v>304</v>
      </c>
      <c r="E9" s="31">
        <v>2.20462E-3</v>
      </c>
    </row>
    <row r="10" spans="1:5">
      <c r="A10" s="28" t="s">
        <v>314</v>
      </c>
      <c r="B10" t="s">
        <v>315</v>
      </c>
      <c r="C10" s="30" t="s">
        <v>301</v>
      </c>
      <c r="D10" s="30" t="s">
        <v>302</v>
      </c>
      <c r="E10" s="31">
        <v>1.10231E-3</v>
      </c>
    </row>
    <row r="11" spans="1:5">
      <c r="A11" s="28" t="s">
        <v>316</v>
      </c>
      <c r="B11" t="s">
        <v>315</v>
      </c>
      <c r="C11" s="30" t="s">
        <v>301</v>
      </c>
      <c r="D11" s="30" t="s">
        <v>304</v>
      </c>
      <c r="E11" s="31">
        <v>1.10231E-3</v>
      </c>
    </row>
    <row r="12" spans="1:5">
      <c r="A12" s="28" t="s">
        <v>317</v>
      </c>
      <c r="B12" t="s">
        <v>318</v>
      </c>
      <c r="C12" s="30" t="s">
        <v>301</v>
      </c>
      <c r="D12" s="30" t="s">
        <v>302</v>
      </c>
      <c r="E12" s="28">
        <v>2.20462E-3</v>
      </c>
    </row>
    <row r="13" spans="1:5">
      <c r="A13" s="28" t="s">
        <v>319</v>
      </c>
      <c r="B13" t="s">
        <v>318</v>
      </c>
      <c r="C13" s="30" t="s">
        <v>301</v>
      </c>
      <c r="D13" s="30" t="s">
        <v>304</v>
      </c>
      <c r="E13" s="28">
        <v>2.20462E-3</v>
      </c>
    </row>
    <row r="14" spans="1:5">
      <c r="A14" s="28" t="s">
        <v>320</v>
      </c>
      <c r="B14" t="s">
        <v>321</v>
      </c>
      <c r="C14" s="30" t="s">
        <v>301</v>
      </c>
      <c r="D14" s="30" t="s">
        <v>302</v>
      </c>
      <c r="E14" s="31">
        <v>1.10231E-3</v>
      </c>
    </row>
    <row r="15" spans="1:5">
      <c r="A15" s="28" t="s">
        <v>322</v>
      </c>
      <c r="B15" t="s">
        <v>321</v>
      </c>
      <c r="C15" s="30" t="s">
        <v>301</v>
      </c>
      <c r="D15" s="30" t="s">
        <v>304</v>
      </c>
      <c r="E15" s="31">
        <v>1.10231E-3</v>
      </c>
    </row>
    <row r="16" spans="1:5">
      <c r="A16" s="28" t="s">
        <v>323</v>
      </c>
      <c r="B16" t="s">
        <v>324</v>
      </c>
      <c r="C16" s="30" t="s">
        <v>301</v>
      </c>
      <c r="D16" s="30" t="s">
        <v>302</v>
      </c>
      <c r="E16" s="31">
        <v>1.10231E-3</v>
      </c>
    </row>
    <row r="17" spans="1:5">
      <c r="A17" s="28" t="s">
        <v>325</v>
      </c>
      <c r="B17" t="s">
        <v>324</v>
      </c>
      <c r="C17" s="30" t="s">
        <v>301</v>
      </c>
      <c r="D17" s="30" t="s">
        <v>304</v>
      </c>
      <c r="E17" s="31">
        <v>1.10231E-3</v>
      </c>
    </row>
    <row r="18" spans="1:5">
      <c r="A18" s="28" t="s">
        <v>326</v>
      </c>
      <c r="B18" t="s">
        <v>327</v>
      </c>
      <c r="C18" s="30" t="s">
        <v>301</v>
      </c>
      <c r="D18" s="30" t="s">
        <v>302</v>
      </c>
      <c r="E18" s="28">
        <v>2.20462E-3</v>
      </c>
    </row>
    <row r="19" spans="1:5">
      <c r="A19" s="28" t="s">
        <v>328</v>
      </c>
      <c r="B19" t="s">
        <v>327</v>
      </c>
      <c r="C19" s="30" t="s">
        <v>301</v>
      </c>
      <c r="D19" s="30" t="s">
        <v>304</v>
      </c>
      <c r="E19" s="28">
        <v>2.20462E-3</v>
      </c>
    </row>
    <row r="20" spans="1:5">
      <c r="A20" s="28" t="s">
        <v>329</v>
      </c>
      <c r="B20" t="s">
        <v>330</v>
      </c>
      <c r="C20" s="30" t="s">
        <v>301</v>
      </c>
      <c r="D20" s="30" t="s">
        <v>302</v>
      </c>
      <c r="E20" s="28">
        <v>2.20462E-3</v>
      </c>
    </row>
    <row r="21" spans="1:5">
      <c r="A21" s="28" t="s">
        <v>331</v>
      </c>
      <c r="B21" t="s">
        <v>330</v>
      </c>
      <c r="C21" s="30" t="s">
        <v>301</v>
      </c>
      <c r="D21" s="30" t="s">
        <v>304</v>
      </c>
      <c r="E21" s="28">
        <v>2.20462E-3</v>
      </c>
    </row>
    <row r="22" spans="1:5">
      <c r="A22" s="28" t="s">
        <v>332</v>
      </c>
      <c r="B22" t="s">
        <v>333</v>
      </c>
      <c r="C22" s="30" t="s">
        <v>301</v>
      </c>
      <c r="D22" s="30" t="s">
        <v>302</v>
      </c>
      <c r="E22" s="31">
        <v>1.10231E-3</v>
      </c>
    </row>
    <row r="23" spans="1:5">
      <c r="A23" s="28" t="s">
        <v>334</v>
      </c>
      <c r="B23" t="s">
        <v>333</v>
      </c>
      <c r="C23" s="30" t="s">
        <v>301</v>
      </c>
      <c r="D23" s="30" t="s">
        <v>304</v>
      </c>
      <c r="E23" s="31">
        <v>1.10231E-3</v>
      </c>
    </row>
    <row r="24" spans="1:5">
      <c r="A24" s="28" t="s">
        <v>335</v>
      </c>
      <c r="B24" t="s">
        <v>336</v>
      </c>
      <c r="C24" s="30" t="s">
        <v>301</v>
      </c>
      <c r="D24" s="30" t="s">
        <v>302</v>
      </c>
      <c r="E24" s="28">
        <v>2.20462E-3</v>
      </c>
    </row>
    <row r="25" spans="1:5">
      <c r="A25" s="28" t="s">
        <v>337</v>
      </c>
      <c r="B25" t="s">
        <v>336</v>
      </c>
      <c r="C25" s="30" t="s">
        <v>301</v>
      </c>
      <c r="D25" s="30" t="s">
        <v>304</v>
      </c>
      <c r="E25" s="28">
        <v>2.20462E-3</v>
      </c>
    </row>
    <row r="26" spans="1:5">
      <c r="A26" s="28" t="s">
        <v>338</v>
      </c>
      <c r="B26" t="s">
        <v>339</v>
      </c>
      <c r="C26" s="30" t="s">
        <v>301</v>
      </c>
      <c r="D26" s="30" t="s">
        <v>302</v>
      </c>
      <c r="E26" s="32">
        <v>3.9368214285714281E-5</v>
      </c>
    </row>
    <row r="27" spans="1:5">
      <c r="A27" s="28" t="s">
        <v>340</v>
      </c>
      <c r="B27" t="s">
        <v>339</v>
      </c>
      <c r="C27" s="30" t="s">
        <v>301</v>
      </c>
      <c r="D27" s="30" t="s">
        <v>304</v>
      </c>
      <c r="E27" s="32">
        <v>3.9368214285714281E-5</v>
      </c>
    </row>
    <row r="28" spans="1:5">
      <c r="A28" s="28" t="s">
        <v>341</v>
      </c>
      <c r="B28" t="s">
        <v>342</v>
      </c>
      <c r="C28" s="30" t="s">
        <v>301</v>
      </c>
      <c r="D28" s="30" t="s">
        <v>302</v>
      </c>
      <c r="E28" s="31">
        <v>1.10231E-3</v>
      </c>
    </row>
    <row r="29" spans="1:5">
      <c r="A29" s="28" t="s">
        <v>343</v>
      </c>
      <c r="B29" t="s">
        <v>342</v>
      </c>
      <c r="C29" s="30" t="s">
        <v>301</v>
      </c>
      <c r="D29" s="30" t="s">
        <v>304</v>
      </c>
      <c r="E29" s="31">
        <v>1.10231E-3</v>
      </c>
    </row>
    <row r="30" spans="1:5">
      <c r="A30" s="28" t="s">
        <v>344</v>
      </c>
      <c r="B30" t="s">
        <v>345</v>
      </c>
      <c r="C30" s="30" t="s">
        <v>301</v>
      </c>
      <c r="D30" s="30" t="s">
        <v>302</v>
      </c>
      <c r="E30" s="28">
        <v>2.20462E-3</v>
      </c>
    </row>
    <row r="31" spans="1:5">
      <c r="A31" s="28" t="s">
        <v>346</v>
      </c>
      <c r="B31" t="s">
        <v>345</v>
      </c>
      <c r="C31" s="30" t="s">
        <v>301</v>
      </c>
      <c r="D31" s="30" t="s">
        <v>304</v>
      </c>
      <c r="E31" s="28">
        <v>2.20462E-3</v>
      </c>
    </row>
    <row r="32" spans="1:5">
      <c r="A32" s="28" t="s">
        <v>347</v>
      </c>
      <c r="B32" t="s">
        <v>348</v>
      </c>
      <c r="C32" s="30" t="s">
        <v>301</v>
      </c>
      <c r="D32" s="30" t="s">
        <v>302</v>
      </c>
      <c r="E32" s="28">
        <v>2.20462E-3</v>
      </c>
    </row>
    <row r="33" spans="1:5">
      <c r="A33" s="28" t="s">
        <v>349</v>
      </c>
      <c r="B33" t="s">
        <v>348</v>
      </c>
      <c r="C33" s="30" t="s">
        <v>301</v>
      </c>
      <c r="D33" s="30" t="s">
        <v>304</v>
      </c>
      <c r="E33" s="28">
        <v>2.20462E-3</v>
      </c>
    </row>
    <row r="34" spans="1:5">
      <c r="A34" s="28" t="s">
        <v>350</v>
      </c>
      <c r="B34" t="s">
        <v>351</v>
      </c>
      <c r="C34" s="30" t="s">
        <v>301</v>
      </c>
      <c r="D34" s="30" t="s">
        <v>302</v>
      </c>
      <c r="E34" s="28">
        <v>2.20462E-3</v>
      </c>
    </row>
    <row r="35" spans="1:5">
      <c r="A35" s="28" t="s">
        <v>352</v>
      </c>
      <c r="B35" t="s">
        <v>351</v>
      </c>
      <c r="C35" s="30" t="s">
        <v>301</v>
      </c>
      <c r="D35" s="30" t="s">
        <v>304</v>
      </c>
      <c r="E35" s="28">
        <v>2.20462E-3</v>
      </c>
    </row>
    <row r="36" spans="1:5">
      <c r="A36" s="28" t="s">
        <v>353</v>
      </c>
      <c r="B36" t="s">
        <v>354</v>
      </c>
      <c r="C36" s="30" t="s">
        <v>301</v>
      </c>
      <c r="D36" s="30" t="s">
        <v>302</v>
      </c>
      <c r="E36" s="28">
        <v>2.20462E-3</v>
      </c>
    </row>
    <row r="37" spans="1:5">
      <c r="A37" s="28" t="s">
        <v>355</v>
      </c>
      <c r="B37" t="s">
        <v>354</v>
      </c>
      <c r="C37" s="30" t="s">
        <v>301</v>
      </c>
      <c r="D37" s="30" t="s">
        <v>304</v>
      </c>
      <c r="E37" s="28">
        <v>2.20462E-3</v>
      </c>
    </row>
    <row r="38" spans="1:5">
      <c r="A38" s="28" t="s">
        <v>356</v>
      </c>
      <c r="B38" t="s">
        <v>357</v>
      </c>
      <c r="C38" s="30" t="s">
        <v>301</v>
      </c>
      <c r="D38" s="30" t="s">
        <v>302</v>
      </c>
      <c r="E38" s="31">
        <v>1.10231E-3</v>
      </c>
    </row>
    <row r="39" spans="1:5">
      <c r="A39" s="28" t="s">
        <v>358</v>
      </c>
      <c r="B39" t="s">
        <v>357</v>
      </c>
      <c r="C39" s="30" t="s">
        <v>301</v>
      </c>
      <c r="D39" s="30" t="s">
        <v>304</v>
      </c>
      <c r="E39" s="31">
        <v>1.10231E-3</v>
      </c>
    </row>
    <row r="40" spans="1:5">
      <c r="A40" s="28" t="s">
        <v>359</v>
      </c>
      <c r="B40" t="s">
        <v>360</v>
      </c>
      <c r="C40" s="30" t="s">
        <v>301</v>
      </c>
      <c r="D40" s="30" t="s">
        <v>302</v>
      </c>
      <c r="E40" s="28">
        <v>2.20462E-3</v>
      </c>
    </row>
    <row r="41" spans="1:5">
      <c r="A41" s="28" t="s">
        <v>361</v>
      </c>
      <c r="B41" t="s">
        <v>360</v>
      </c>
      <c r="C41" s="30" t="s">
        <v>301</v>
      </c>
      <c r="D41" s="30" t="s">
        <v>304</v>
      </c>
      <c r="E41" s="28">
        <v>2.20462E-3</v>
      </c>
    </row>
    <row r="42" spans="1:5">
      <c r="A42" s="28" t="s">
        <v>362</v>
      </c>
      <c r="B42" t="s">
        <v>363</v>
      </c>
      <c r="C42" s="30" t="s">
        <v>301</v>
      </c>
      <c r="D42" s="30" t="s">
        <v>302</v>
      </c>
      <c r="E42" s="28">
        <v>2.20462E-3</v>
      </c>
    </row>
    <row r="43" spans="1:5">
      <c r="A43" s="28" t="s">
        <v>364</v>
      </c>
      <c r="B43" t="s">
        <v>363</v>
      </c>
      <c r="C43" s="30" t="s">
        <v>301</v>
      </c>
      <c r="D43" s="30" t="s">
        <v>304</v>
      </c>
      <c r="E43" s="28">
        <v>2.20462E-3</v>
      </c>
    </row>
    <row r="44" spans="1:5">
      <c r="A44" s="28" t="s">
        <v>365</v>
      </c>
      <c r="B44" t="s">
        <v>366</v>
      </c>
      <c r="C44" s="30" t="s">
        <v>301</v>
      </c>
      <c r="D44" s="30" t="s">
        <v>302</v>
      </c>
      <c r="E44" s="28">
        <v>2.20462E-3</v>
      </c>
    </row>
    <row r="45" spans="1:5">
      <c r="A45" s="28" t="s">
        <v>367</v>
      </c>
      <c r="B45" t="s">
        <v>366</v>
      </c>
      <c r="C45" s="30" t="s">
        <v>301</v>
      </c>
      <c r="D45" s="30" t="s">
        <v>304</v>
      </c>
      <c r="E45" s="28">
        <v>2.20462E-3</v>
      </c>
    </row>
    <row r="46" spans="1:5">
      <c r="A46" s="28" t="s">
        <v>368</v>
      </c>
      <c r="B46" t="s">
        <v>369</v>
      </c>
      <c r="C46" s="30" t="s">
        <v>301</v>
      </c>
      <c r="D46" s="30" t="s">
        <v>302</v>
      </c>
      <c r="E46" s="28">
        <v>2.20462E-3</v>
      </c>
    </row>
    <row r="47" spans="1:5">
      <c r="A47" s="28" t="s">
        <v>370</v>
      </c>
      <c r="B47" t="s">
        <v>369</v>
      </c>
      <c r="C47" s="30" t="s">
        <v>301</v>
      </c>
      <c r="D47" s="30" t="s">
        <v>304</v>
      </c>
      <c r="E47" s="28">
        <v>2.20462E-3</v>
      </c>
    </row>
    <row r="48" spans="1:5">
      <c r="A48" s="28" t="s">
        <v>371</v>
      </c>
      <c r="B48" t="s">
        <v>372</v>
      </c>
      <c r="C48" s="30" t="s">
        <v>301</v>
      </c>
      <c r="D48" s="30" t="s">
        <v>302</v>
      </c>
      <c r="E48" s="28">
        <v>2.20462E-3</v>
      </c>
    </row>
    <row r="49" spans="1:5">
      <c r="A49" s="28" t="s">
        <v>373</v>
      </c>
      <c r="B49" t="s">
        <v>372</v>
      </c>
      <c r="C49" s="30" t="s">
        <v>301</v>
      </c>
      <c r="D49" s="30" t="s">
        <v>304</v>
      </c>
      <c r="E49" s="28">
        <v>2.20462E-3</v>
      </c>
    </row>
    <row r="50" spans="1:5">
      <c r="A50" s="28" t="s">
        <v>374</v>
      </c>
      <c r="B50" t="s">
        <v>375</v>
      </c>
      <c r="C50" s="30" t="s">
        <v>301</v>
      </c>
      <c r="D50" s="30" t="s">
        <v>302</v>
      </c>
      <c r="E50" s="28">
        <v>2.20462E-3</v>
      </c>
    </row>
    <row r="51" spans="1:5">
      <c r="A51" s="28" t="s">
        <v>376</v>
      </c>
      <c r="B51" t="s">
        <v>375</v>
      </c>
      <c r="C51" s="30" t="s">
        <v>301</v>
      </c>
      <c r="D51" s="30" t="s">
        <v>304</v>
      </c>
      <c r="E51" s="28">
        <v>2.20462E-3</v>
      </c>
    </row>
    <row r="52" spans="1:5">
      <c r="A52" s="28" t="s">
        <v>377</v>
      </c>
      <c r="B52" t="s">
        <v>378</v>
      </c>
      <c r="C52" s="30" t="s">
        <v>301</v>
      </c>
      <c r="D52" s="30" t="s">
        <v>302</v>
      </c>
      <c r="E52" s="28">
        <v>2.20462E-3</v>
      </c>
    </row>
    <row r="53" spans="1:5">
      <c r="A53" s="28" t="s">
        <v>379</v>
      </c>
      <c r="B53" t="s">
        <v>378</v>
      </c>
      <c r="C53" s="30" t="s">
        <v>301</v>
      </c>
      <c r="D53" s="30" t="s">
        <v>304</v>
      </c>
      <c r="E53" s="28">
        <v>2.20462E-3</v>
      </c>
    </row>
    <row r="54" spans="1:5">
      <c r="A54" s="28" t="s">
        <v>380</v>
      </c>
      <c r="B54" t="s">
        <v>381</v>
      </c>
      <c r="C54" s="30" t="s">
        <v>301</v>
      </c>
      <c r="D54" s="30" t="s">
        <v>302</v>
      </c>
      <c r="E54" s="28">
        <v>2.20462E-3</v>
      </c>
    </row>
    <row r="55" spans="1:5">
      <c r="A55" s="28" t="s">
        <v>382</v>
      </c>
      <c r="B55" t="s">
        <v>381</v>
      </c>
      <c r="C55" s="30" t="s">
        <v>301</v>
      </c>
      <c r="D55" s="30" t="s">
        <v>304</v>
      </c>
      <c r="E55" s="28">
        <v>2.20462E-3</v>
      </c>
    </row>
    <row r="56" spans="1:5">
      <c r="A56" s="28" t="s">
        <v>383</v>
      </c>
      <c r="B56" t="s">
        <v>384</v>
      </c>
      <c r="C56" s="30" t="s">
        <v>301</v>
      </c>
      <c r="D56" s="30" t="s">
        <v>302</v>
      </c>
      <c r="E56" s="28">
        <v>2.20462E-3</v>
      </c>
    </row>
    <row r="57" spans="1:5">
      <c r="A57" s="28" t="s">
        <v>385</v>
      </c>
      <c r="B57" t="s">
        <v>384</v>
      </c>
      <c r="C57" s="30" t="s">
        <v>301</v>
      </c>
      <c r="D57" s="30" t="s">
        <v>304</v>
      </c>
      <c r="E57" s="28">
        <v>2.20462E-3</v>
      </c>
    </row>
    <row r="58" spans="1:5">
      <c r="A58" s="28" t="s">
        <v>386</v>
      </c>
      <c r="B58" t="s">
        <v>387</v>
      </c>
      <c r="C58" s="30" t="s">
        <v>301</v>
      </c>
      <c r="D58" s="30" t="s">
        <v>302</v>
      </c>
      <c r="E58" s="28">
        <v>2.20462E-3</v>
      </c>
    </row>
    <row r="59" spans="1:5">
      <c r="A59" s="28" t="s">
        <v>388</v>
      </c>
      <c r="B59" t="s">
        <v>387</v>
      </c>
      <c r="C59" s="30" t="s">
        <v>301</v>
      </c>
      <c r="D59" s="30" t="s">
        <v>304</v>
      </c>
      <c r="E59" s="28">
        <v>2.20462E-3</v>
      </c>
    </row>
    <row r="60" spans="1:5">
      <c r="A60" s="28" t="s">
        <v>389</v>
      </c>
      <c r="B60" t="s">
        <v>390</v>
      </c>
      <c r="C60" s="30" t="s">
        <v>301</v>
      </c>
      <c r="D60" s="30" t="s">
        <v>302</v>
      </c>
      <c r="E60" s="32">
        <v>3.6743666666666699E-5</v>
      </c>
    </row>
    <row r="61" spans="1:5">
      <c r="A61" s="28" t="s">
        <v>391</v>
      </c>
      <c r="B61" t="s">
        <v>390</v>
      </c>
      <c r="C61" s="30" t="s">
        <v>301</v>
      </c>
      <c r="D61" s="30" t="s">
        <v>304</v>
      </c>
      <c r="E61" s="32">
        <v>3.6743666666666699E-5</v>
      </c>
    </row>
    <row r="62" spans="1:5">
      <c r="A62" s="28" t="s">
        <v>392</v>
      </c>
      <c r="B62" t="s">
        <v>393</v>
      </c>
      <c r="C62" s="30" t="s">
        <v>301</v>
      </c>
      <c r="D62" s="30" t="s">
        <v>302</v>
      </c>
      <c r="E62" s="31">
        <v>1.10231E-3</v>
      </c>
    </row>
    <row r="63" spans="1:5">
      <c r="A63" s="28" t="s">
        <v>394</v>
      </c>
      <c r="B63" t="s">
        <v>393</v>
      </c>
      <c r="C63" s="30" t="s">
        <v>301</v>
      </c>
      <c r="D63" s="30" t="s">
        <v>304</v>
      </c>
      <c r="E63" s="31">
        <v>1.10231E-3</v>
      </c>
    </row>
    <row r="64" spans="1:5">
      <c r="A64" s="28" t="s">
        <v>395</v>
      </c>
      <c r="B64" t="s">
        <v>396</v>
      </c>
      <c r="C64" s="30" t="s">
        <v>301</v>
      </c>
      <c r="D64" s="30" t="s">
        <v>302</v>
      </c>
      <c r="E64" s="31">
        <v>1.10231E-3</v>
      </c>
    </row>
    <row r="65" spans="1:5">
      <c r="A65" s="28" t="s">
        <v>397</v>
      </c>
      <c r="B65" t="s">
        <v>396</v>
      </c>
      <c r="C65" s="30" t="s">
        <v>301</v>
      </c>
      <c r="D65" s="30" t="s">
        <v>304</v>
      </c>
      <c r="E65" s="31">
        <v>1.10231E-3</v>
      </c>
    </row>
    <row r="66" spans="1:5">
      <c r="A66" s="28" t="s">
        <v>398</v>
      </c>
      <c r="B66" t="s">
        <v>399</v>
      </c>
      <c r="C66" s="30" t="s">
        <v>301</v>
      </c>
      <c r="D66" s="30" t="s">
        <v>302</v>
      </c>
      <c r="E66" s="28">
        <v>2.20462E-3</v>
      </c>
    </row>
    <row r="67" spans="1:5">
      <c r="A67" s="28" t="s">
        <v>400</v>
      </c>
      <c r="B67" t="s">
        <v>399</v>
      </c>
      <c r="C67" s="30" t="s">
        <v>301</v>
      </c>
      <c r="D67" s="30" t="s">
        <v>304</v>
      </c>
      <c r="E67" s="28">
        <v>2.20462E-3</v>
      </c>
    </row>
    <row r="68" spans="1:5">
      <c r="A68" s="28" t="s">
        <v>401</v>
      </c>
      <c r="B68" t="s">
        <v>348</v>
      </c>
      <c r="C68" s="30" t="s">
        <v>112</v>
      </c>
      <c r="D68" s="30" t="s">
        <v>302</v>
      </c>
      <c r="E68" s="33">
        <v>9.9999999999999995E-7</v>
      </c>
    </row>
    <row r="69" spans="1:5">
      <c r="A69" s="28" t="s">
        <v>402</v>
      </c>
      <c r="B69" t="s">
        <v>348</v>
      </c>
      <c r="C69" s="30" t="s">
        <v>112</v>
      </c>
      <c r="D69" s="30" t="s">
        <v>304</v>
      </c>
      <c r="E69" s="33">
        <v>9.9999999999999995E-7</v>
      </c>
    </row>
    <row r="70" spans="1:5">
      <c r="A70" s="28" t="s">
        <v>403</v>
      </c>
      <c r="B70" t="s">
        <v>404</v>
      </c>
      <c r="C70" s="30" t="s">
        <v>112</v>
      </c>
      <c r="D70" s="30" t="s">
        <v>302</v>
      </c>
      <c r="E70" s="33">
        <v>9.9999999999999995E-7</v>
      </c>
    </row>
    <row r="71" spans="1:5">
      <c r="A71" s="28" t="s">
        <v>405</v>
      </c>
      <c r="B71" t="s">
        <v>404</v>
      </c>
      <c r="C71" s="30" t="s">
        <v>112</v>
      </c>
      <c r="D71" s="30" t="s">
        <v>304</v>
      </c>
      <c r="E71" s="33">
        <v>9.9999999999999995E-7</v>
      </c>
    </row>
    <row r="72" spans="1:5">
      <c r="A72" s="28" t="s">
        <v>406</v>
      </c>
      <c r="B72" t="s">
        <v>407</v>
      </c>
      <c r="C72" s="30" t="s">
        <v>112</v>
      </c>
      <c r="D72" s="30" t="s">
        <v>302</v>
      </c>
      <c r="E72" s="33">
        <v>9.9999999999999995E-7</v>
      </c>
    </row>
    <row r="73" spans="1:5">
      <c r="A73" s="28" t="s">
        <v>408</v>
      </c>
      <c r="B73" t="s">
        <v>407</v>
      </c>
      <c r="C73" s="30" t="s">
        <v>112</v>
      </c>
      <c r="D73" s="30" t="s">
        <v>304</v>
      </c>
      <c r="E73" s="33">
        <v>9.9999999999999995E-7</v>
      </c>
    </row>
    <row r="74" spans="1:5">
      <c r="A74" s="28" t="s">
        <v>409</v>
      </c>
      <c r="B74" t="s">
        <v>351</v>
      </c>
      <c r="C74" s="30" t="s">
        <v>112</v>
      </c>
      <c r="D74" s="30" t="s">
        <v>302</v>
      </c>
      <c r="E74" s="33">
        <v>9.9999999999999995E-7</v>
      </c>
    </row>
    <row r="75" spans="1:5">
      <c r="A75" s="28" t="s">
        <v>410</v>
      </c>
      <c r="B75" t="s">
        <v>351</v>
      </c>
      <c r="C75" s="30" t="s">
        <v>112</v>
      </c>
      <c r="D75" s="30" t="s">
        <v>304</v>
      </c>
      <c r="E75" s="33">
        <v>9.9999999999999995E-7</v>
      </c>
    </row>
    <row r="76" spans="1:5">
      <c r="A76" s="28" t="s">
        <v>411</v>
      </c>
      <c r="B76" t="s">
        <v>348</v>
      </c>
      <c r="C76" s="30" t="s">
        <v>98</v>
      </c>
      <c r="D76" s="30" t="s">
        <v>302</v>
      </c>
      <c r="E76" s="33">
        <v>9.9999999999999995E-7</v>
      </c>
    </row>
    <row r="77" spans="1:5">
      <c r="A77" s="28" t="s">
        <v>412</v>
      </c>
      <c r="B77" t="s">
        <v>348</v>
      </c>
      <c r="C77" s="30" t="s">
        <v>98</v>
      </c>
      <c r="D77" s="30" t="s">
        <v>304</v>
      </c>
      <c r="E77" s="33">
        <v>9.9999999999999995E-7</v>
      </c>
    </row>
    <row r="78" spans="1:5">
      <c r="A78" s="28" t="s">
        <v>413</v>
      </c>
      <c r="B78" t="s">
        <v>404</v>
      </c>
      <c r="C78" s="30" t="s">
        <v>98</v>
      </c>
      <c r="D78" s="30" t="s">
        <v>302</v>
      </c>
      <c r="E78" s="33">
        <v>9.9999999999999995E-7</v>
      </c>
    </row>
    <row r="79" spans="1:5">
      <c r="A79" s="28" t="s">
        <v>414</v>
      </c>
      <c r="B79" t="s">
        <v>404</v>
      </c>
      <c r="C79" s="30" t="s">
        <v>98</v>
      </c>
      <c r="D79" s="30" t="s">
        <v>304</v>
      </c>
      <c r="E79" s="33">
        <v>9.9999999999999995E-7</v>
      </c>
    </row>
    <row r="80" spans="1:5">
      <c r="A80" s="28" t="s">
        <v>415</v>
      </c>
      <c r="B80" t="s">
        <v>407</v>
      </c>
      <c r="C80" s="30" t="s">
        <v>98</v>
      </c>
      <c r="D80" s="30" t="s">
        <v>302</v>
      </c>
      <c r="E80" s="33">
        <v>9.9999999999999995E-7</v>
      </c>
    </row>
    <row r="81" spans="1:5">
      <c r="A81" s="28" t="s">
        <v>416</v>
      </c>
      <c r="B81" t="s">
        <v>407</v>
      </c>
      <c r="C81" s="30" t="s">
        <v>98</v>
      </c>
      <c r="D81" s="30" t="s">
        <v>304</v>
      </c>
      <c r="E81" s="33">
        <v>9.9999999999999995E-7</v>
      </c>
    </row>
    <row r="82" spans="1:5">
      <c r="A82" s="28" t="s">
        <v>417</v>
      </c>
      <c r="B82" t="s">
        <v>351</v>
      </c>
      <c r="C82" s="30" t="s">
        <v>98</v>
      </c>
      <c r="D82" s="30" t="s">
        <v>302</v>
      </c>
      <c r="E82" s="33">
        <v>9.9999999999999995E-7</v>
      </c>
    </row>
    <row r="83" spans="1:5">
      <c r="A83" s="28" t="s">
        <v>418</v>
      </c>
      <c r="B83" t="s">
        <v>351</v>
      </c>
      <c r="C83" s="30" t="s">
        <v>98</v>
      </c>
      <c r="D83" s="30" t="s">
        <v>304</v>
      </c>
      <c r="E83" s="33">
        <v>9.9999999999999995E-7</v>
      </c>
    </row>
    <row r="84" spans="1:5">
      <c r="A84" s="28" t="s">
        <v>419</v>
      </c>
      <c r="B84" t="s">
        <v>420</v>
      </c>
      <c r="C84" s="30" t="s">
        <v>131</v>
      </c>
      <c r="D84" s="30" t="s">
        <v>302</v>
      </c>
      <c r="E84" s="33">
        <v>9.9999999999999995E-7</v>
      </c>
    </row>
    <row r="85" spans="1:5">
      <c r="A85" s="28" t="s">
        <v>421</v>
      </c>
      <c r="B85" t="s">
        <v>420</v>
      </c>
      <c r="C85" s="30" t="s">
        <v>131</v>
      </c>
      <c r="D85" s="30" t="s">
        <v>304</v>
      </c>
      <c r="E85" s="33">
        <v>9.9999999999999995E-7</v>
      </c>
    </row>
    <row r="86" spans="1:5">
      <c r="A86" s="28" t="s">
        <v>422</v>
      </c>
      <c r="B86" t="s">
        <v>423</v>
      </c>
      <c r="C86" s="30" t="s">
        <v>131</v>
      </c>
      <c r="D86" s="30" t="s">
        <v>302</v>
      </c>
      <c r="E86" s="33">
        <v>9.9999999999999995E-7</v>
      </c>
    </row>
    <row r="87" spans="1:5">
      <c r="A87" s="28" t="s">
        <v>424</v>
      </c>
      <c r="B87" t="s">
        <v>423</v>
      </c>
      <c r="C87" s="30" t="s">
        <v>131</v>
      </c>
      <c r="D87" s="30" t="s">
        <v>304</v>
      </c>
      <c r="E87" s="33">
        <v>9.9999999999999995E-7</v>
      </c>
    </row>
    <row r="88" spans="1:5">
      <c r="A88" s="28" t="s">
        <v>425</v>
      </c>
      <c r="B88" t="s">
        <v>354</v>
      </c>
      <c r="C88" s="30" t="s">
        <v>131</v>
      </c>
      <c r="D88" s="30" t="s">
        <v>302</v>
      </c>
      <c r="E88" s="33">
        <v>9.9999999999999995E-7</v>
      </c>
    </row>
    <row r="89" spans="1:5">
      <c r="A89" s="28" t="s">
        <v>426</v>
      </c>
      <c r="B89" t="s">
        <v>354</v>
      </c>
      <c r="C89" s="30" t="s">
        <v>131</v>
      </c>
      <c r="D89" s="30" t="s">
        <v>304</v>
      </c>
      <c r="E89" s="33">
        <v>9.9999999999999995E-7</v>
      </c>
    </row>
    <row r="90" spans="1:5">
      <c r="A90" s="28" t="s">
        <v>427</v>
      </c>
      <c r="B90" t="s">
        <v>420</v>
      </c>
      <c r="C90" s="30" t="s">
        <v>98</v>
      </c>
      <c r="D90" s="30" t="s">
        <v>302</v>
      </c>
      <c r="E90" s="33">
        <v>9.9999999999999995E-7</v>
      </c>
    </row>
    <row r="91" spans="1:5">
      <c r="A91" s="28" t="s">
        <v>428</v>
      </c>
      <c r="B91" t="s">
        <v>420</v>
      </c>
      <c r="C91" s="30" t="s">
        <v>98</v>
      </c>
      <c r="D91" s="30" t="s">
        <v>304</v>
      </c>
      <c r="E91" s="33">
        <v>9.9999999999999995E-7</v>
      </c>
    </row>
    <row r="92" spans="1:5">
      <c r="A92" s="28" t="s">
        <v>429</v>
      </c>
      <c r="B92" t="s">
        <v>423</v>
      </c>
      <c r="C92" s="30" t="s">
        <v>98</v>
      </c>
      <c r="D92" s="30" t="s">
        <v>302</v>
      </c>
      <c r="E92" s="33">
        <v>9.9999999999999995E-7</v>
      </c>
    </row>
    <row r="93" spans="1:5">
      <c r="A93" s="28" t="s">
        <v>430</v>
      </c>
      <c r="B93" t="s">
        <v>423</v>
      </c>
      <c r="C93" s="30" t="s">
        <v>98</v>
      </c>
      <c r="D93" s="30" t="s">
        <v>304</v>
      </c>
      <c r="E93" s="33">
        <v>9.9999999999999995E-7</v>
      </c>
    </row>
    <row r="94" spans="1:5">
      <c r="A94" s="28" t="s">
        <v>431</v>
      </c>
      <c r="B94" t="s">
        <v>354</v>
      </c>
      <c r="C94" s="30" t="s">
        <v>98</v>
      </c>
      <c r="D94" s="30" t="s">
        <v>302</v>
      </c>
      <c r="E94" s="33">
        <v>9.9999999999999995E-7</v>
      </c>
    </row>
    <row r="95" spans="1:5">
      <c r="A95" s="28" t="s">
        <v>432</v>
      </c>
      <c r="B95" t="s">
        <v>354</v>
      </c>
      <c r="C95" s="30" t="s">
        <v>98</v>
      </c>
      <c r="D95" s="30" t="s">
        <v>304</v>
      </c>
      <c r="E95" s="33">
        <v>9.9999999999999995E-7</v>
      </c>
    </row>
    <row r="96" spans="1:5">
      <c r="A96" s="28" t="s">
        <v>433</v>
      </c>
      <c r="B96" t="s">
        <v>333</v>
      </c>
      <c r="C96" s="30" t="s">
        <v>83</v>
      </c>
      <c r="D96" s="30" t="s">
        <v>302</v>
      </c>
      <c r="E96" s="33">
        <v>9.9999999999999995E-7</v>
      </c>
    </row>
    <row r="97" spans="1:5">
      <c r="A97" s="28" t="s">
        <v>434</v>
      </c>
      <c r="B97" t="s">
        <v>333</v>
      </c>
      <c r="C97" s="30" t="s">
        <v>83</v>
      </c>
      <c r="D97" s="30" t="s">
        <v>304</v>
      </c>
      <c r="E97" s="33">
        <v>9.9999999999999995E-7</v>
      </c>
    </row>
    <row r="98" spans="1:5">
      <c r="A98" s="28" t="s">
        <v>435</v>
      </c>
      <c r="B98" t="s">
        <v>336</v>
      </c>
      <c r="C98" s="30" t="s">
        <v>83</v>
      </c>
      <c r="D98" s="30" t="s">
        <v>302</v>
      </c>
      <c r="E98" s="33">
        <v>9.9999999999999995E-7</v>
      </c>
    </row>
    <row r="99" spans="1:5">
      <c r="A99" s="28" t="s">
        <v>436</v>
      </c>
      <c r="B99" t="s">
        <v>336</v>
      </c>
      <c r="C99" s="30" t="s">
        <v>83</v>
      </c>
      <c r="D99" s="30" t="s">
        <v>304</v>
      </c>
      <c r="E99" s="33">
        <v>9.9999999999999995E-7</v>
      </c>
    </row>
    <row r="100" spans="1:5">
      <c r="A100" s="28" t="s">
        <v>437</v>
      </c>
      <c r="B100" t="s">
        <v>333</v>
      </c>
      <c r="C100" s="30" t="s">
        <v>227</v>
      </c>
      <c r="D100" s="30" t="s">
        <v>302</v>
      </c>
      <c r="E100" s="33">
        <v>9.9999999999999995E-7</v>
      </c>
    </row>
    <row r="101" spans="1:5">
      <c r="A101" s="28" t="s">
        <v>438</v>
      </c>
      <c r="B101" t="s">
        <v>333</v>
      </c>
      <c r="C101" s="30" t="s">
        <v>227</v>
      </c>
      <c r="D101" s="30" t="s">
        <v>304</v>
      </c>
      <c r="E101" s="33">
        <v>9.9999999999999995E-7</v>
      </c>
    </row>
    <row r="102" spans="1:5">
      <c r="A102" s="28" t="s">
        <v>439</v>
      </c>
      <c r="B102" t="s">
        <v>312</v>
      </c>
      <c r="C102" s="30" t="s">
        <v>236</v>
      </c>
      <c r="D102" s="30" t="s">
        <v>302</v>
      </c>
      <c r="E102" s="33">
        <v>9.9999999999999995E-7</v>
      </c>
    </row>
    <row r="103" spans="1:5">
      <c r="A103" s="28" t="s">
        <v>440</v>
      </c>
      <c r="B103" t="s">
        <v>312</v>
      </c>
      <c r="C103" s="30" t="s">
        <v>236</v>
      </c>
      <c r="D103" s="30" t="s">
        <v>304</v>
      </c>
      <c r="E103" s="33">
        <v>9.9999999999999995E-7</v>
      </c>
    </row>
    <row r="104" spans="1:5">
      <c r="A104" s="28" t="s">
        <v>441</v>
      </c>
      <c r="B104" t="s">
        <v>315</v>
      </c>
      <c r="C104" s="30" t="s">
        <v>236</v>
      </c>
      <c r="D104" s="30" t="s">
        <v>302</v>
      </c>
      <c r="E104" s="33">
        <v>9.9999999999999995E-7</v>
      </c>
    </row>
    <row r="105" spans="1:5">
      <c r="A105" s="28" t="s">
        <v>442</v>
      </c>
      <c r="B105" t="s">
        <v>315</v>
      </c>
      <c r="C105" s="30" t="s">
        <v>236</v>
      </c>
      <c r="D105" s="30" t="s">
        <v>304</v>
      </c>
      <c r="E105" s="33">
        <v>9.9999999999999995E-7</v>
      </c>
    </row>
    <row r="106" spans="1:5">
      <c r="A106" s="28" t="s">
        <v>443</v>
      </c>
      <c r="B106" t="s">
        <v>318</v>
      </c>
      <c r="C106" s="30" t="s">
        <v>236</v>
      </c>
      <c r="D106" s="30" t="s">
        <v>302</v>
      </c>
      <c r="E106" s="33">
        <v>9.9999999999999995E-7</v>
      </c>
    </row>
    <row r="107" spans="1:5">
      <c r="A107" s="28" t="s">
        <v>444</v>
      </c>
      <c r="B107" t="s">
        <v>318</v>
      </c>
      <c r="C107" s="30" t="s">
        <v>236</v>
      </c>
      <c r="D107" s="30" t="s">
        <v>304</v>
      </c>
      <c r="E107" s="33">
        <v>9.9999999999999995E-7</v>
      </c>
    </row>
    <row r="108" spans="1:5">
      <c r="A108" s="28" t="s">
        <v>445</v>
      </c>
      <c r="B108" t="s">
        <v>312</v>
      </c>
      <c r="C108" s="30" t="s">
        <v>74</v>
      </c>
      <c r="D108" s="30" t="s">
        <v>302</v>
      </c>
      <c r="E108" s="33">
        <v>9.9999999999999995E-7</v>
      </c>
    </row>
    <row r="109" spans="1:5">
      <c r="A109" s="28" t="s">
        <v>446</v>
      </c>
      <c r="B109" t="s">
        <v>312</v>
      </c>
      <c r="C109" s="30" t="s">
        <v>74</v>
      </c>
      <c r="D109" s="30" t="s">
        <v>304</v>
      </c>
      <c r="E109" s="33">
        <v>9.9999999999999995E-7</v>
      </c>
    </row>
    <row r="110" spans="1:5">
      <c r="A110" s="28" t="s">
        <v>447</v>
      </c>
      <c r="B110" t="s">
        <v>315</v>
      </c>
      <c r="C110" s="30" t="s">
        <v>74</v>
      </c>
      <c r="D110" s="30" t="s">
        <v>302</v>
      </c>
      <c r="E110" s="33">
        <v>9.9999999999999995E-7</v>
      </c>
    </row>
    <row r="111" spans="1:5">
      <c r="A111" s="28" t="s">
        <v>448</v>
      </c>
      <c r="B111" t="s">
        <v>315</v>
      </c>
      <c r="C111" s="30" t="s">
        <v>74</v>
      </c>
      <c r="D111" s="30" t="s">
        <v>304</v>
      </c>
      <c r="E111" s="33">
        <v>9.9999999999999995E-7</v>
      </c>
    </row>
    <row r="112" spans="1:5">
      <c r="A112" s="28" t="s">
        <v>449</v>
      </c>
      <c r="B112" t="s">
        <v>318</v>
      </c>
      <c r="C112" s="30" t="s">
        <v>74</v>
      </c>
      <c r="D112" s="30" t="s">
        <v>302</v>
      </c>
      <c r="E112" s="33">
        <v>9.9999999999999995E-7</v>
      </c>
    </row>
    <row r="113" spans="1:5">
      <c r="A113" s="28" t="s">
        <v>450</v>
      </c>
      <c r="B113" t="s">
        <v>318</v>
      </c>
      <c r="C113" s="30" t="s">
        <v>74</v>
      </c>
      <c r="D113" s="30" t="s">
        <v>304</v>
      </c>
      <c r="E113" s="33">
        <v>9.9999999999999995E-7</v>
      </c>
    </row>
    <row r="114" spans="1:5">
      <c r="A114" s="28" t="s">
        <v>451</v>
      </c>
      <c r="B114" t="s">
        <v>312</v>
      </c>
      <c r="C114" s="30" t="s">
        <v>83</v>
      </c>
      <c r="D114" s="30" t="s">
        <v>302</v>
      </c>
      <c r="E114" s="33">
        <v>9.9999999999999995E-7</v>
      </c>
    </row>
    <row r="115" spans="1:5">
      <c r="A115" s="28" t="s">
        <v>452</v>
      </c>
      <c r="B115" t="s">
        <v>312</v>
      </c>
      <c r="C115" s="30" t="s">
        <v>83</v>
      </c>
      <c r="D115" s="30" t="s">
        <v>304</v>
      </c>
      <c r="E115" s="33">
        <v>9.9999999999999995E-7</v>
      </c>
    </row>
    <row r="116" spans="1:5">
      <c r="A116" s="28" t="s">
        <v>433</v>
      </c>
      <c r="B116" t="s">
        <v>315</v>
      </c>
      <c r="C116" s="30" t="s">
        <v>83</v>
      </c>
      <c r="D116" s="30" t="s">
        <v>302</v>
      </c>
      <c r="E116" s="33">
        <v>9.9999999999999995E-7</v>
      </c>
    </row>
    <row r="117" spans="1:5">
      <c r="A117" s="28" t="s">
        <v>434</v>
      </c>
      <c r="B117" t="s">
        <v>315</v>
      </c>
      <c r="C117" s="30" t="s">
        <v>83</v>
      </c>
      <c r="D117" s="30" t="s">
        <v>304</v>
      </c>
      <c r="E117" s="33">
        <v>9.9999999999999995E-7</v>
      </c>
    </row>
    <row r="118" spans="1:5">
      <c r="A118" s="28" t="s">
        <v>435</v>
      </c>
      <c r="B118" t="s">
        <v>318</v>
      </c>
      <c r="C118" s="30" t="s">
        <v>83</v>
      </c>
      <c r="D118" s="30" t="s">
        <v>302</v>
      </c>
      <c r="E118" s="33">
        <v>9.9999999999999995E-7</v>
      </c>
    </row>
    <row r="119" spans="1:5">
      <c r="A119" s="28" t="s">
        <v>436</v>
      </c>
      <c r="B119" t="s">
        <v>318</v>
      </c>
      <c r="C119" s="30" t="s">
        <v>83</v>
      </c>
      <c r="D119" s="30" t="s">
        <v>304</v>
      </c>
      <c r="E119" s="33">
        <v>9.9999999999999995E-7</v>
      </c>
    </row>
    <row r="120" spans="1:5">
      <c r="A120" s="28" t="s">
        <v>453</v>
      </c>
      <c r="B120" t="s">
        <v>312</v>
      </c>
      <c r="C120" s="30" t="s">
        <v>454</v>
      </c>
      <c r="D120" s="30" t="s">
        <v>302</v>
      </c>
      <c r="E120" s="33">
        <v>9.9999999999999995E-7</v>
      </c>
    </row>
    <row r="121" spans="1:5">
      <c r="A121" s="28" t="s">
        <v>455</v>
      </c>
      <c r="B121" t="s">
        <v>312</v>
      </c>
      <c r="C121" s="30" t="s">
        <v>454</v>
      </c>
      <c r="D121" s="30" t="s">
        <v>304</v>
      </c>
      <c r="E121" s="33">
        <v>9.9999999999999995E-7</v>
      </c>
    </row>
    <row r="122" spans="1:5">
      <c r="A122" s="28" t="s">
        <v>456</v>
      </c>
      <c r="B122" t="s">
        <v>315</v>
      </c>
      <c r="C122" s="30" t="s">
        <v>454</v>
      </c>
      <c r="D122" s="30" t="s">
        <v>302</v>
      </c>
      <c r="E122" s="33">
        <v>9.9999999999999995E-7</v>
      </c>
    </row>
    <row r="123" spans="1:5">
      <c r="A123" s="28" t="s">
        <v>457</v>
      </c>
      <c r="B123" t="s">
        <v>315</v>
      </c>
      <c r="C123" s="30" t="s">
        <v>454</v>
      </c>
      <c r="D123" s="30" t="s">
        <v>304</v>
      </c>
      <c r="E123" s="33">
        <v>9.9999999999999995E-7</v>
      </c>
    </row>
    <row r="124" spans="1:5">
      <c r="A124" s="28" t="s">
        <v>458</v>
      </c>
      <c r="B124" t="s">
        <v>318</v>
      </c>
      <c r="C124" s="30" t="s">
        <v>454</v>
      </c>
      <c r="D124" s="30" t="s">
        <v>302</v>
      </c>
      <c r="E124" s="33">
        <v>9.9999999999999995E-7</v>
      </c>
    </row>
    <row r="125" spans="1:5">
      <c r="A125" s="28" t="s">
        <v>459</v>
      </c>
      <c r="B125" t="s">
        <v>318</v>
      </c>
      <c r="C125" s="30" t="s">
        <v>454</v>
      </c>
      <c r="D125" s="30" t="s">
        <v>304</v>
      </c>
      <c r="E125" s="33">
        <v>9.9999999999999995E-7</v>
      </c>
    </row>
    <row r="126" spans="1:5">
      <c r="A126" s="28" t="s">
        <v>460</v>
      </c>
      <c r="B126" t="s">
        <v>312</v>
      </c>
      <c r="C126" s="30" t="s">
        <v>66</v>
      </c>
      <c r="D126" s="30" t="s">
        <v>302</v>
      </c>
      <c r="E126" s="33">
        <v>9.9999999999999995E-7</v>
      </c>
    </row>
    <row r="127" spans="1:5">
      <c r="A127" s="28" t="s">
        <v>461</v>
      </c>
      <c r="B127" t="s">
        <v>312</v>
      </c>
      <c r="C127" s="30" t="s">
        <v>66</v>
      </c>
      <c r="D127" s="30" t="s">
        <v>304</v>
      </c>
      <c r="E127" s="33">
        <v>9.9999999999999995E-7</v>
      </c>
    </row>
    <row r="128" spans="1:5">
      <c r="A128" s="28" t="s">
        <v>462</v>
      </c>
      <c r="B128" t="s">
        <v>315</v>
      </c>
      <c r="C128" s="30" t="s">
        <v>66</v>
      </c>
      <c r="D128" s="30" t="s">
        <v>302</v>
      </c>
      <c r="E128" s="33">
        <v>9.9999999999999995E-7</v>
      </c>
    </row>
    <row r="129" spans="1:5">
      <c r="A129" s="28" t="s">
        <v>463</v>
      </c>
      <c r="B129" t="s">
        <v>315</v>
      </c>
      <c r="C129" s="30" t="s">
        <v>66</v>
      </c>
      <c r="D129" s="30" t="s">
        <v>304</v>
      </c>
      <c r="E129" s="33">
        <v>9.9999999999999995E-7</v>
      </c>
    </row>
    <row r="130" spans="1:5">
      <c r="A130" s="28" t="s">
        <v>464</v>
      </c>
      <c r="B130" t="s">
        <v>318</v>
      </c>
      <c r="C130" s="30" t="s">
        <v>66</v>
      </c>
      <c r="D130" s="30" t="s">
        <v>302</v>
      </c>
      <c r="E130" s="33">
        <v>9.9999999999999995E-7</v>
      </c>
    </row>
    <row r="131" spans="1:5">
      <c r="A131" s="28" t="s">
        <v>465</v>
      </c>
      <c r="B131" t="s">
        <v>318</v>
      </c>
      <c r="C131" s="30" t="s">
        <v>66</v>
      </c>
      <c r="D131" s="30" t="s">
        <v>304</v>
      </c>
      <c r="E131" s="33">
        <v>9.9999999999999995E-7</v>
      </c>
    </row>
    <row r="132" spans="1:5">
      <c r="A132" s="28" t="s">
        <v>466</v>
      </c>
      <c r="B132" t="s">
        <v>312</v>
      </c>
      <c r="C132" s="30" t="s">
        <v>63</v>
      </c>
      <c r="D132" s="30" t="s">
        <v>302</v>
      </c>
      <c r="E132" s="33">
        <v>9.9999999999999995E-7</v>
      </c>
    </row>
    <row r="133" spans="1:5">
      <c r="A133" s="28" t="s">
        <v>467</v>
      </c>
      <c r="B133" t="s">
        <v>312</v>
      </c>
      <c r="C133" s="30" t="s">
        <v>63</v>
      </c>
      <c r="D133" s="30" t="s">
        <v>304</v>
      </c>
      <c r="E133" s="33">
        <v>9.9999999999999995E-7</v>
      </c>
    </row>
    <row r="134" spans="1:5">
      <c r="A134" s="28" t="s">
        <v>468</v>
      </c>
      <c r="B134" t="s">
        <v>315</v>
      </c>
      <c r="C134" s="30" t="s">
        <v>63</v>
      </c>
      <c r="D134" s="30" t="s">
        <v>302</v>
      </c>
      <c r="E134" s="33">
        <v>9.9999999999999995E-7</v>
      </c>
    </row>
    <row r="135" spans="1:5">
      <c r="A135" s="28" t="s">
        <v>469</v>
      </c>
      <c r="B135" t="s">
        <v>315</v>
      </c>
      <c r="C135" s="30" t="s">
        <v>63</v>
      </c>
      <c r="D135" s="30" t="s">
        <v>304</v>
      </c>
      <c r="E135" s="33">
        <v>9.9999999999999995E-7</v>
      </c>
    </row>
    <row r="136" spans="1:5">
      <c r="A136" s="28" t="s">
        <v>470</v>
      </c>
      <c r="B136" t="s">
        <v>318</v>
      </c>
      <c r="C136" s="30" t="s">
        <v>63</v>
      </c>
      <c r="D136" s="30" t="s">
        <v>302</v>
      </c>
      <c r="E136" s="33">
        <v>9.9999999999999995E-7</v>
      </c>
    </row>
    <row r="137" spans="1:5">
      <c r="A137" s="28" t="s">
        <v>471</v>
      </c>
      <c r="B137" t="s">
        <v>318</v>
      </c>
      <c r="C137" s="30" t="s">
        <v>63</v>
      </c>
      <c r="D137" s="30" t="s">
        <v>304</v>
      </c>
      <c r="E137" s="33">
        <v>9.9999999999999995E-7</v>
      </c>
    </row>
    <row r="138" spans="1:5">
      <c r="A138" s="28" t="s">
        <v>472</v>
      </c>
      <c r="B138" t="s">
        <v>312</v>
      </c>
      <c r="C138" s="30" t="s">
        <v>103</v>
      </c>
      <c r="D138" s="30" t="s">
        <v>302</v>
      </c>
      <c r="E138" s="33">
        <v>9.9999999999999995E-7</v>
      </c>
    </row>
    <row r="139" spans="1:5">
      <c r="A139" s="28" t="s">
        <v>473</v>
      </c>
      <c r="B139" t="s">
        <v>312</v>
      </c>
      <c r="C139" s="30" t="s">
        <v>103</v>
      </c>
      <c r="D139" s="30" t="s">
        <v>304</v>
      </c>
      <c r="E139" s="33">
        <v>9.9999999999999995E-7</v>
      </c>
    </row>
    <row r="140" spans="1:5">
      <c r="A140" s="28" t="s">
        <v>474</v>
      </c>
      <c r="B140" t="s">
        <v>315</v>
      </c>
      <c r="C140" s="30" t="s">
        <v>103</v>
      </c>
      <c r="D140" s="30" t="s">
        <v>302</v>
      </c>
      <c r="E140" s="33">
        <v>9.9999999999999995E-7</v>
      </c>
    </row>
    <row r="141" spans="1:5">
      <c r="A141" s="28" t="s">
        <v>475</v>
      </c>
      <c r="B141" t="s">
        <v>315</v>
      </c>
      <c r="C141" s="30" t="s">
        <v>103</v>
      </c>
      <c r="D141" s="30" t="s">
        <v>304</v>
      </c>
      <c r="E141" s="33">
        <v>9.9999999999999995E-7</v>
      </c>
    </row>
    <row r="142" spans="1:5">
      <c r="A142" s="28" t="s">
        <v>476</v>
      </c>
      <c r="B142" t="s">
        <v>318</v>
      </c>
      <c r="C142" s="30" t="s">
        <v>103</v>
      </c>
      <c r="D142" s="30" t="s">
        <v>302</v>
      </c>
      <c r="E142" s="33">
        <v>9.9999999999999995E-7</v>
      </c>
    </row>
    <row r="143" spans="1:5">
      <c r="A143" s="28" t="s">
        <v>477</v>
      </c>
      <c r="B143" t="s">
        <v>318</v>
      </c>
      <c r="C143" s="30" t="s">
        <v>103</v>
      </c>
      <c r="D143" s="30" t="s">
        <v>304</v>
      </c>
      <c r="E143" s="33">
        <v>9.9999999999999995E-7</v>
      </c>
    </row>
    <row r="144" spans="1:5">
      <c r="A144" s="28" t="s">
        <v>478</v>
      </c>
      <c r="B144" t="s">
        <v>312</v>
      </c>
      <c r="C144" s="30" t="s">
        <v>97</v>
      </c>
      <c r="D144" s="30" t="s">
        <v>302</v>
      </c>
      <c r="E144" s="33">
        <v>9.9999999999999995E-7</v>
      </c>
    </row>
    <row r="145" spans="1:5">
      <c r="A145" s="28" t="s">
        <v>479</v>
      </c>
      <c r="B145" t="s">
        <v>312</v>
      </c>
      <c r="C145" s="30" t="s">
        <v>97</v>
      </c>
      <c r="D145" s="30" t="s">
        <v>304</v>
      </c>
      <c r="E145" s="33">
        <v>9.9999999999999995E-7</v>
      </c>
    </row>
    <row r="146" spans="1:5">
      <c r="A146" s="28" t="s">
        <v>480</v>
      </c>
      <c r="B146" t="s">
        <v>315</v>
      </c>
      <c r="C146" s="30" t="s">
        <v>97</v>
      </c>
      <c r="D146" s="30" t="s">
        <v>302</v>
      </c>
      <c r="E146" s="33">
        <v>9.9999999999999995E-7</v>
      </c>
    </row>
    <row r="147" spans="1:5">
      <c r="A147" s="28" t="s">
        <v>481</v>
      </c>
      <c r="B147" t="s">
        <v>315</v>
      </c>
      <c r="C147" s="30" t="s">
        <v>97</v>
      </c>
      <c r="D147" s="30" t="s">
        <v>304</v>
      </c>
      <c r="E147" s="33">
        <v>9.9999999999999995E-7</v>
      </c>
    </row>
    <row r="148" spans="1:5">
      <c r="A148" s="28" t="s">
        <v>482</v>
      </c>
      <c r="B148" t="s">
        <v>318</v>
      </c>
      <c r="C148" s="30" t="s">
        <v>97</v>
      </c>
      <c r="D148" s="30" t="s">
        <v>302</v>
      </c>
      <c r="E148" s="33">
        <v>9.9999999999999995E-7</v>
      </c>
    </row>
    <row r="149" spans="1:5">
      <c r="A149" s="28" t="s">
        <v>483</v>
      </c>
      <c r="B149" t="s">
        <v>318</v>
      </c>
      <c r="C149" s="30" t="s">
        <v>97</v>
      </c>
      <c r="D149" s="30" t="s">
        <v>304</v>
      </c>
      <c r="E149" s="33">
        <v>9.9999999999999995E-7</v>
      </c>
    </row>
    <row r="150" spans="1:5">
      <c r="A150" s="28" t="s">
        <v>484</v>
      </c>
      <c r="B150" t="s">
        <v>312</v>
      </c>
      <c r="C150" s="30" t="s">
        <v>259</v>
      </c>
      <c r="D150" s="30" t="s">
        <v>302</v>
      </c>
      <c r="E150" s="33">
        <v>9.9999999999999995E-7</v>
      </c>
    </row>
    <row r="151" spans="1:5">
      <c r="A151" s="28" t="s">
        <v>485</v>
      </c>
      <c r="B151" t="s">
        <v>312</v>
      </c>
      <c r="C151" s="30" t="s">
        <v>259</v>
      </c>
      <c r="D151" s="30" t="s">
        <v>304</v>
      </c>
      <c r="E151" s="33">
        <v>9.9999999999999995E-7</v>
      </c>
    </row>
    <row r="152" spans="1:5">
      <c r="A152" s="28" t="s">
        <v>486</v>
      </c>
      <c r="B152" t="s">
        <v>315</v>
      </c>
      <c r="C152" s="30" t="s">
        <v>259</v>
      </c>
      <c r="D152" s="30" t="s">
        <v>302</v>
      </c>
      <c r="E152" s="33">
        <v>9.9999999999999995E-7</v>
      </c>
    </row>
    <row r="153" spans="1:5">
      <c r="A153" s="28" t="s">
        <v>487</v>
      </c>
      <c r="B153" t="s">
        <v>315</v>
      </c>
      <c r="C153" s="30" t="s">
        <v>259</v>
      </c>
      <c r="D153" s="30" t="s">
        <v>304</v>
      </c>
      <c r="E153" s="33">
        <v>9.9999999999999995E-7</v>
      </c>
    </row>
    <row r="154" spans="1:5">
      <c r="A154" s="28" t="s">
        <v>488</v>
      </c>
      <c r="B154" t="s">
        <v>318</v>
      </c>
      <c r="C154" s="30" t="s">
        <v>259</v>
      </c>
      <c r="D154" s="30" t="s">
        <v>302</v>
      </c>
      <c r="E154" s="33">
        <v>9.9999999999999995E-7</v>
      </c>
    </row>
    <row r="155" spans="1:5">
      <c r="A155" s="28" t="s">
        <v>489</v>
      </c>
      <c r="B155" t="s">
        <v>318</v>
      </c>
      <c r="C155" s="30" t="s">
        <v>259</v>
      </c>
      <c r="D155" s="30" t="s">
        <v>304</v>
      </c>
      <c r="E155" s="33">
        <v>9.9999999999999995E-7</v>
      </c>
    </row>
    <row r="156" spans="1:5">
      <c r="A156" s="28" t="s">
        <v>490</v>
      </c>
      <c r="B156" t="s">
        <v>390</v>
      </c>
      <c r="C156" s="30" t="s">
        <v>83</v>
      </c>
      <c r="D156" s="30" t="s">
        <v>302</v>
      </c>
      <c r="E156" s="33">
        <v>9.9999999999999995E-7</v>
      </c>
    </row>
    <row r="157" spans="1:5">
      <c r="A157" s="28" t="s">
        <v>491</v>
      </c>
      <c r="B157" t="s">
        <v>390</v>
      </c>
      <c r="C157" s="30" t="s">
        <v>83</v>
      </c>
      <c r="D157" s="30" t="s">
        <v>304</v>
      </c>
      <c r="E157" s="33">
        <v>9.9999999999999995E-7</v>
      </c>
    </row>
    <row r="158" spans="1:5">
      <c r="A158" s="28" t="s">
        <v>492</v>
      </c>
      <c r="B158" t="s">
        <v>493</v>
      </c>
      <c r="C158" s="30" t="s">
        <v>83</v>
      </c>
      <c r="D158" s="30" t="s">
        <v>302</v>
      </c>
      <c r="E158" s="33">
        <v>9.9999999999999995E-7</v>
      </c>
    </row>
    <row r="159" spans="1:5">
      <c r="A159" s="28" t="s">
        <v>494</v>
      </c>
      <c r="B159" t="s">
        <v>493</v>
      </c>
      <c r="C159" s="30" t="s">
        <v>83</v>
      </c>
      <c r="D159" s="30" t="s">
        <v>304</v>
      </c>
      <c r="E159" s="33">
        <v>9.9999999999999995E-7</v>
      </c>
    </row>
    <row r="160" spans="1:5">
      <c r="A160" s="28" t="s">
        <v>495</v>
      </c>
      <c r="B160" t="s">
        <v>399</v>
      </c>
      <c r="C160" s="30" t="s">
        <v>83</v>
      </c>
      <c r="D160" s="30" t="s">
        <v>302</v>
      </c>
      <c r="E160" s="33">
        <v>9.9999999999999995E-7</v>
      </c>
    </row>
    <row r="161" spans="1:5">
      <c r="A161" s="28" t="s">
        <v>496</v>
      </c>
      <c r="B161" t="s">
        <v>399</v>
      </c>
      <c r="C161" s="30" t="s">
        <v>83</v>
      </c>
      <c r="D161" s="30" t="s">
        <v>304</v>
      </c>
      <c r="E161" s="33">
        <v>9.9999999999999995E-7</v>
      </c>
    </row>
    <row r="162" spans="1:5">
      <c r="A162" s="28" t="s">
        <v>497</v>
      </c>
      <c r="B162" t="s">
        <v>390</v>
      </c>
      <c r="C162" s="30" t="s">
        <v>234</v>
      </c>
      <c r="D162" s="30" t="s">
        <v>302</v>
      </c>
      <c r="E162" s="33">
        <v>9.9999999999999995E-7</v>
      </c>
    </row>
    <row r="163" spans="1:5">
      <c r="A163" s="28" t="s">
        <v>498</v>
      </c>
      <c r="B163" t="s">
        <v>390</v>
      </c>
      <c r="C163" s="30" t="s">
        <v>234</v>
      </c>
      <c r="D163" s="30" t="s">
        <v>304</v>
      </c>
      <c r="E163" s="33">
        <v>9.9999999999999995E-7</v>
      </c>
    </row>
    <row r="164" spans="1:5">
      <c r="A164" s="28" t="s">
        <v>499</v>
      </c>
      <c r="B164" t="s">
        <v>493</v>
      </c>
      <c r="C164" s="30" t="s">
        <v>234</v>
      </c>
      <c r="D164" s="30" t="s">
        <v>302</v>
      </c>
      <c r="E164" s="33">
        <v>9.9999999999999995E-7</v>
      </c>
    </row>
    <row r="165" spans="1:5">
      <c r="A165" s="28" t="s">
        <v>500</v>
      </c>
      <c r="B165" t="s">
        <v>493</v>
      </c>
      <c r="C165" s="30" t="s">
        <v>234</v>
      </c>
      <c r="D165" s="30" t="s">
        <v>304</v>
      </c>
      <c r="E165" s="33">
        <v>9.9999999999999995E-7</v>
      </c>
    </row>
    <row r="166" spans="1:5">
      <c r="A166" s="28" t="s">
        <v>501</v>
      </c>
      <c r="B166" t="s">
        <v>399</v>
      </c>
      <c r="C166" s="30" t="s">
        <v>234</v>
      </c>
      <c r="D166" s="30" t="s">
        <v>302</v>
      </c>
      <c r="E166" s="33">
        <v>9.9999999999999995E-7</v>
      </c>
    </row>
    <row r="167" spans="1:5">
      <c r="A167" s="28" t="s">
        <v>502</v>
      </c>
      <c r="B167" t="s">
        <v>399</v>
      </c>
      <c r="C167" s="30" t="s">
        <v>234</v>
      </c>
      <c r="D167" s="30" t="s">
        <v>304</v>
      </c>
      <c r="E167" s="33">
        <v>9.9999999999999995E-7</v>
      </c>
    </row>
    <row r="168" spans="1:5">
      <c r="A168" s="28" t="s">
        <v>503</v>
      </c>
      <c r="B168" t="s">
        <v>390</v>
      </c>
      <c r="C168" s="30" t="s">
        <v>227</v>
      </c>
      <c r="D168" s="30" t="s">
        <v>302</v>
      </c>
      <c r="E168" s="33">
        <v>9.9999999999999995E-7</v>
      </c>
    </row>
    <row r="169" spans="1:5">
      <c r="A169" s="28" t="s">
        <v>504</v>
      </c>
      <c r="B169" t="s">
        <v>390</v>
      </c>
      <c r="C169" s="30" t="s">
        <v>227</v>
      </c>
      <c r="D169" s="30" t="s">
        <v>304</v>
      </c>
      <c r="E169" s="33">
        <v>9.9999999999999995E-7</v>
      </c>
    </row>
    <row r="170" spans="1:5">
      <c r="A170" s="28" t="s">
        <v>505</v>
      </c>
      <c r="B170" t="s">
        <v>493</v>
      </c>
      <c r="C170" s="30" t="s">
        <v>227</v>
      </c>
      <c r="D170" s="30" t="s">
        <v>302</v>
      </c>
      <c r="E170" s="33">
        <v>9.9999999999999995E-7</v>
      </c>
    </row>
    <row r="171" spans="1:5">
      <c r="A171" s="28" t="s">
        <v>506</v>
      </c>
      <c r="B171" t="s">
        <v>493</v>
      </c>
      <c r="C171" s="30" t="s">
        <v>227</v>
      </c>
      <c r="D171" s="30" t="s">
        <v>304</v>
      </c>
      <c r="E171" s="33">
        <v>9.9999999999999995E-7</v>
      </c>
    </row>
    <row r="172" spans="1:5">
      <c r="A172" s="28" t="s">
        <v>507</v>
      </c>
      <c r="B172" t="s">
        <v>399</v>
      </c>
      <c r="C172" s="30" t="s">
        <v>227</v>
      </c>
      <c r="D172" s="30" t="s">
        <v>302</v>
      </c>
      <c r="E172" s="33">
        <v>9.9999999999999995E-7</v>
      </c>
    </row>
    <row r="173" spans="1:5">
      <c r="A173" s="28" t="s">
        <v>508</v>
      </c>
      <c r="B173" t="s">
        <v>399</v>
      </c>
      <c r="C173" s="30" t="s">
        <v>227</v>
      </c>
      <c r="D173" s="30" t="s">
        <v>304</v>
      </c>
      <c r="E173" s="33">
        <v>9.9999999999999995E-7</v>
      </c>
    </row>
    <row r="174" spans="1:5">
      <c r="A174" s="28" t="s">
        <v>509</v>
      </c>
      <c r="B174" t="s">
        <v>390</v>
      </c>
      <c r="C174" s="30" t="s">
        <v>266</v>
      </c>
      <c r="D174" s="30" t="s">
        <v>302</v>
      </c>
      <c r="E174" s="33">
        <v>9.9999999999999995E-7</v>
      </c>
    </row>
    <row r="175" spans="1:5">
      <c r="A175" s="28" t="s">
        <v>510</v>
      </c>
      <c r="B175" t="s">
        <v>390</v>
      </c>
      <c r="C175" s="30" t="s">
        <v>266</v>
      </c>
      <c r="D175" s="30" t="s">
        <v>304</v>
      </c>
      <c r="E175" s="33">
        <v>9.9999999999999995E-7</v>
      </c>
    </row>
    <row r="176" spans="1:5">
      <c r="A176" s="28" t="s">
        <v>511</v>
      </c>
      <c r="B176" t="s">
        <v>493</v>
      </c>
      <c r="C176" s="30" t="s">
        <v>266</v>
      </c>
      <c r="D176" s="30" t="s">
        <v>302</v>
      </c>
      <c r="E176" s="33">
        <v>9.9999999999999995E-7</v>
      </c>
    </row>
    <row r="177" spans="1:5">
      <c r="A177" s="28" t="s">
        <v>512</v>
      </c>
      <c r="B177" t="s">
        <v>493</v>
      </c>
      <c r="C177" s="30" t="s">
        <v>266</v>
      </c>
      <c r="D177" s="30" t="s">
        <v>304</v>
      </c>
      <c r="E177" s="33">
        <v>9.9999999999999995E-7</v>
      </c>
    </row>
    <row r="178" spans="1:5">
      <c r="A178" s="28" t="s">
        <v>513</v>
      </c>
      <c r="B178" t="s">
        <v>399</v>
      </c>
      <c r="C178" s="30" t="s">
        <v>266</v>
      </c>
      <c r="D178" s="30" t="s">
        <v>302</v>
      </c>
      <c r="E178" s="33">
        <v>9.9999999999999995E-7</v>
      </c>
    </row>
    <row r="179" spans="1:5">
      <c r="A179" s="28" t="s">
        <v>514</v>
      </c>
      <c r="B179" t="s">
        <v>399</v>
      </c>
      <c r="C179" s="30" t="s">
        <v>266</v>
      </c>
      <c r="D179" s="30" t="s">
        <v>304</v>
      </c>
      <c r="E179" s="33">
        <v>9.9999999999999995E-7</v>
      </c>
    </row>
    <row r="180" spans="1:5">
      <c r="A180" s="28" t="s">
        <v>515</v>
      </c>
      <c r="B180" t="s">
        <v>390</v>
      </c>
      <c r="C180" s="30" t="s">
        <v>278</v>
      </c>
      <c r="D180" s="30" t="s">
        <v>302</v>
      </c>
      <c r="E180" s="33">
        <v>9.9999999999999995E-7</v>
      </c>
    </row>
    <row r="181" spans="1:5">
      <c r="A181" s="28" t="s">
        <v>516</v>
      </c>
      <c r="B181" t="s">
        <v>390</v>
      </c>
      <c r="C181" s="30" t="s">
        <v>278</v>
      </c>
      <c r="D181" s="30" t="s">
        <v>304</v>
      </c>
      <c r="E181" s="33">
        <v>9.9999999999999995E-7</v>
      </c>
    </row>
    <row r="182" spans="1:5">
      <c r="A182" s="28" t="s">
        <v>517</v>
      </c>
      <c r="B182" t="s">
        <v>493</v>
      </c>
      <c r="C182" s="30" t="s">
        <v>278</v>
      </c>
      <c r="D182" s="30" t="s">
        <v>302</v>
      </c>
      <c r="E182" s="33">
        <v>9.9999999999999995E-7</v>
      </c>
    </row>
    <row r="183" spans="1:5">
      <c r="A183" s="28" t="s">
        <v>518</v>
      </c>
      <c r="B183" t="s">
        <v>493</v>
      </c>
      <c r="C183" s="30" t="s">
        <v>278</v>
      </c>
      <c r="D183" s="30" t="s">
        <v>304</v>
      </c>
      <c r="E183" s="33">
        <v>9.9999999999999995E-7</v>
      </c>
    </row>
    <row r="184" spans="1:5">
      <c r="A184" s="28" t="s">
        <v>519</v>
      </c>
      <c r="B184" t="s">
        <v>399</v>
      </c>
      <c r="C184" s="30" t="s">
        <v>278</v>
      </c>
      <c r="D184" s="30" t="s">
        <v>302</v>
      </c>
      <c r="E184" s="33">
        <v>9.9999999999999995E-7</v>
      </c>
    </row>
    <row r="185" spans="1:5">
      <c r="A185" s="28" t="s">
        <v>520</v>
      </c>
      <c r="B185" t="s">
        <v>399</v>
      </c>
      <c r="C185" s="30" t="s">
        <v>278</v>
      </c>
      <c r="D185" s="30" t="s">
        <v>304</v>
      </c>
      <c r="E185" s="33">
        <v>9.9999999999999995E-7</v>
      </c>
    </row>
    <row r="186" spans="1:5">
      <c r="A186" s="28" t="s">
        <v>521</v>
      </c>
      <c r="B186" t="s">
        <v>390</v>
      </c>
      <c r="C186" s="30" t="s">
        <v>454</v>
      </c>
      <c r="D186" s="30" t="s">
        <v>302</v>
      </c>
      <c r="E186" s="33">
        <v>9.9999999999999995E-7</v>
      </c>
    </row>
    <row r="187" spans="1:5">
      <c r="A187" s="28" t="s">
        <v>522</v>
      </c>
      <c r="B187" t="s">
        <v>390</v>
      </c>
      <c r="C187" s="30" t="s">
        <v>454</v>
      </c>
      <c r="D187" s="30" t="s">
        <v>304</v>
      </c>
      <c r="E187" s="33">
        <v>9.9999999999999995E-7</v>
      </c>
    </row>
    <row r="188" spans="1:5">
      <c r="A188" s="28" t="s">
        <v>523</v>
      </c>
      <c r="B188" t="s">
        <v>493</v>
      </c>
      <c r="C188" s="30" t="s">
        <v>454</v>
      </c>
      <c r="D188" s="30" t="s">
        <v>302</v>
      </c>
      <c r="E188" s="33">
        <v>9.9999999999999995E-7</v>
      </c>
    </row>
    <row r="189" spans="1:5">
      <c r="A189" s="28" t="s">
        <v>524</v>
      </c>
      <c r="B189" t="s">
        <v>493</v>
      </c>
      <c r="C189" s="30" t="s">
        <v>454</v>
      </c>
      <c r="D189" s="30" t="s">
        <v>304</v>
      </c>
      <c r="E189" s="33">
        <v>9.9999999999999995E-7</v>
      </c>
    </row>
    <row r="190" spans="1:5">
      <c r="A190" s="28" t="s">
        <v>525</v>
      </c>
      <c r="B190" t="s">
        <v>399</v>
      </c>
      <c r="C190" s="30" t="s">
        <v>454</v>
      </c>
      <c r="D190" s="30" t="s">
        <v>302</v>
      </c>
      <c r="E190" s="33">
        <v>9.9999999999999995E-7</v>
      </c>
    </row>
    <row r="191" spans="1:5">
      <c r="A191" s="28" t="s">
        <v>526</v>
      </c>
      <c r="B191" t="s">
        <v>399</v>
      </c>
      <c r="C191" s="30" t="s">
        <v>454</v>
      </c>
      <c r="D191" s="30" t="s">
        <v>304</v>
      </c>
      <c r="E191" s="33">
        <v>9.9999999999999995E-7</v>
      </c>
    </row>
    <row r="192" spans="1:5">
      <c r="A192" s="28" t="s">
        <v>527</v>
      </c>
      <c r="B192" t="s">
        <v>390</v>
      </c>
      <c r="C192" s="30" t="s">
        <v>236</v>
      </c>
      <c r="D192" s="30" t="s">
        <v>302</v>
      </c>
      <c r="E192" s="33">
        <v>9.9999999999999995E-7</v>
      </c>
    </row>
    <row r="193" spans="1:5">
      <c r="A193" s="28" t="s">
        <v>528</v>
      </c>
      <c r="B193" t="s">
        <v>390</v>
      </c>
      <c r="C193" s="30" t="s">
        <v>236</v>
      </c>
      <c r="D193" s="30" t="s">
        <v>304</v>
      </c>
      <c r="E193" s="33">
        <v>9.9999999999999995E-7</v>
      </c>
    </row>
    <row r="194" spans="1:5">
      <c r="A194" s="28" t="s">
        <v>529</v>
      </c>
      <c r="B194" t="s">
        <v>493</v>
      </c>
      <c r="C194" s="30" t="s">
        <v>236</v>
      </c>
      <c r="D194" s="30" t="s">
        <v>302</v>
      </c>
      <c r="E194" s="33">
        <v>9.9999999999999995E-7</v>
      </c>
    </row>
    <row r="195" spans="1:5">
      <c r="A195" s="28" t="s">
        <v>530</v>
      </c>
      <c r="B195" t="s">
        <v>493</v>
      </c>
      <c r="C195" s="30" t="s">
        <v>236</v>
      </c>
      <c r="D195" s="30" t="s">
        <v>304</v>
      </c>
      <c r="E195" s="33">
        <v>9.9999999999999995E-7</v>
      </c>
    </row>
    <row r="196" spans="1:5">
      <c r="A196" s="28" t="s">
        <v>531</v>
      </c>
      <c r="B196" t="s">
        <v>399</v>
      </c>
      <c r="C196" s="30" t="s">
        <v>236</v>
      </c>
      <c r="D196" s="30" t="s">
        <v>302</v>
      </c>
      <c r="E196" s="33">
        <v>9.9999999999999995E-7</v>
      </c>
    </row>
    <row r="197" spans="1:5">
      <c r="A197" s="28" t="s">
        <v>532</v>
      </c>
      <c r="B197" t="s">
        <v>399</v>
      </c>
      <c r="C197" s="30" t="s">
        <v>236</v>
      </c>
      <c r="D197" s="30" t="s">
        <v>304</v>
      </c>
      <c r="E197" s="33">
        <v>9.9999999999999995E-7</v>
      </c>
    </row>
    <row r="198" spans="1:5">
      <c r="A198" s="28" t="s">
        <v>533</v>
      </c>
      <c r="B198" t="s">
        <v>390</v>
      </c>
      <c r="C198" s="30" t="s">
        <v>66</v>
      </c>
      <c r="D198" s="30" t="s">
        <v>302</v>
      </c>
      <c r="E198" s="33">
        <v>9.9999999999999995E-7</v>
      </c>
    </row>
    <row r="199" spans="1:5">
      <c r="A199" s="28" t="s">
        <v>534</v>
      </c>
      <c r="B199" t="s">
        <v>390</v>
      </c>
      <c r="C199" s="30" t="s">
        <v>66</v>
      </c>
      <c r="D199" s="30" t="s">
        <v>304</v>
      </c>
      <c r="E199" s="33">
        <v>9.9999999999999995E-7</v>
      </c>
    </row>
    <row r="200" spans="1:5">
      <c r="A200" s="28" t="s">
        <v>535</v>
      </c>
      <c r="B200" t="s">
        <v>493</v>
      </c>
      <c r="C200" s="30" t="s">
        <v>66</v>
      </c>
      <c r="D200" s="30" t="s">
        <v>302</v>
      </c>
      <c r="E200" s="33">
        <v>9.9999999999999995E-7</v>
      </c>
    </row>
    <row r="201" spans="1:5">
      <c r="A201" s="28" t="s">
        <v>536</v>
      </c>
      <c r="B201" t="s">
        <v>493</v>
      </c>
      <c r="C201" s="30" t="s">
        <v>66</v>
      </c>
      <c r="D201" s="30" t="s">
        <v>304</v>
      </c>
      <c r="E201" s="33">
        <v>9.9999999999999995E-7</v>
      </c>
    </row>
    <row r="202" spans="1:5">
      <c r="A202" s="28" t="s">
        <v>537</v>
      </c>
      <c r="B202" t="s">
        <v>399</v>
      </c>
      <c r="C202" s="30" t="s">
        <v>66</v>
      </c>
      <c r="D202" s="30" t="s">
        <v>302</v>
      </c>
      <c r="E202" s="33">
        <v>9.9999999999999995E-7</v>
      </c>
    </row>
    <row r="203" spans="1:5">
      <c r="A203" s="28" t="s">
        <v>538</v>
      </c>
      <c r="B203" t="s">
        <v>399</v>
      </c>
      <c r="C203" s="30" t="s">
        <v>66</v>
      </c>
      <c r="D203" s="30" t="s">
        <v>304</v>
      </c>
      <c r="E203" s="33">
        <v>9.9999999999999995E-7</v>
      </c>
    </row>
    <row r="204" spans="1:5">
      <c r="A204" s="28" t="s">
        <v>539</v>
      </c>
      <c r="B204" t="s">
        <v>390</v>
      </c>
      <c r="C204" s="30" t="s">
        <v>63</v>
      </c>
      <c r="D204" s="30" t="s">
        <v>302</v>
      </c>
      <c r="E204" s="33">
        <v>9.9999999999999995E-7</v>
      </c>
    </row>
    <row r="205" spans="1:5">
      <c r="A205" s="28" t="s">
        <v>540</v>
      </c>
      <c r="B205" t="s">
        <v>390</v>
      </c>
      <c r="C205" s="30" t="s">
        <v>63</v>
      </c>
      <c r="D205" s="30" t="s">
        <v>304</v>
      </c>
      <c r="E205" s="33">
        <v>9.9999999999999995E-7</v>
      </c>
    </row>
    <row r="206" spans="1:5">
      <c r="A206" s="28" t="s">
        <v>541</v>
      </c>
      <c r="B206" t="s">
        <v>493</v>
      </c>
      <c r="C206" s="30" t="s">
        <v>63</v>
      </c>
      <c r="D206" s="30" t="s">
        <v>302</v>
      </c>
      <c r="E206" s="33">
        <v>9.9999999999999995E-7</v>
      </c>
    </row>
    <row r="207" spans="1:5">
      <c r="A207" s="28" t="s">
        <v>542</v>
      </c>
      <c r="B207" t="s">
        <v>493</v>
      </c>
      <c r="C207" s="30" t="s">
        <v>63</v>
      </c>
      <c r="D207" s="30" t="s">
        <v>304</v>
      </c>
      <c r="E207" s="33">
        <v>9.9999999999999995E-7</v>
      </c>
    </row>
    <row r="208" spans="1:5">
      <c r="A208" s="28" t="s">
        <v>543</v>
      </c>
      <c r="B208" t="s">
        <v>399</v>
      </c>
      <c r="C208" s="30" t="s">
        <v>63</v>
      </c>
      <c r="D208" s="30" t="s">
        <v>302</v>
      </c>
      <c r="E208" s="33">
        <v>9.9999999999999995E-7</v>
      </c>
    </row>
    <row r="209" spans="1:5">
      <c r="A209" s="28" t="s">
        <v>544</v>
      </c>
      <c r="B209" t="s">
        <v>399</v>
      </c>
      <c r="C209" s="30" t="s">
        <v>63</v>
      </c>
      <c r="D209" s="30" t="s">
        <v>304</v>
      </c>
      <c r="E209" s="33">
        <v>9.9999999999999995E-7</v>
      </c>
    </row>
    <row r="210" spans="1:5">
      <c r="A210" s="28" t="s">
        <v>545</v>
      </c>
      <c r="B210" t="s">
        <v>390</v>
      </c>
      <c r="C210" s="30" t="s">
        <v>97</v>
      </c>
      <c r="D210" s="30" t="s">
        <v>302</v>
      </c>
      <c r="E210" s="33">
        <v>9.9999999999999995E-7</v>
      </c>
    </row>
    <row r="211" spans="1:5">
      <c r="A211" s="28" t="s">
        <v>546</v>
      </c>
      <c r="B211" t="s">
        <v>390</v>
      </c>
      <c r="C211" s="30" t="s">
        <v>97</v>
      </c>
      <c r="D211" s="30" t="s">
        <v>304</v>
      </c>
      <c r="E211" s="33">
        <v>9.9999999999999995E-7</v>
      </c>
    </row>
    <row r="212" spans="1:5">
      <c r="A212" s="28" t="s">
        <v>547</v>
      </c>
      <c r="B212" t="s">
        <v>493</v>
      </c>
      <c r="C212" s="30" t="s">
        <v>97</v>
      </c>
      <c r="D212" s="30" t="s">
        <v>302</v>
      </c>
      <c r="E212" s="33">
        <v>9.9999999999999995E-7</v>
      </c>
    </row>
    <row r="213" spans="1:5">
      <c r="A213" s="28" t="s">
        <v>548</v>
      </c>
      <c r="B213" t="s">
        <v>493</v>
      </c>
      <c r="C213" s="30" t="s">
        <v>97</v>
      </c>
      <c r="D213" s="30" t="s">
        <v>304</v>
      </c>
      <c r="E213" s="33">
        <v>9.9999999999999995E-7</v>
      </c>
    </row>
    <row r="214" spans="1:5">
      <c r="A214" s="28" t="s">
        <v>549</v>
      </c>
      <c r="B214" t="s">
        <v>399</v>
      </c>
      <c r="C214" s="30" t="s">
        <v>97</v>
      </c>
      <c r="D214" s="30" t="s">
        <v>302</v>
      </c>
      <c r="E214" s="33">
        <v>9.9999999999999995E-7</v>
      </c>
    </row>
    <row r="215" spans="1:5">
      <c r="A215" s="28" t="s">
        <v>550</v>
      </c>
      <c r="B215" t="s">
        <v>399</v>
      </c>
      <c r="C215" s="30" t="s">
        <v>97</v>
      </c>
      <c r="D215" s="30" t="s">
        <v>304</v>
      </c>
      <c r="E215" s="33">
        <v>9.9999999999999995E-7</v>
      </c>
    </row>
    <row r="216" spans="1:5">
      <c r="A216" s="28" t="s">
        <v>551</v>
      </c>
      <c r="B216" t="s">
        <v>390</v>
      </c>
      <c r="C216" s="30" t="s">
        <v>103</v>
      </c>
      <c r="D216" s="30" t="s">
        <v>302</v>
      </c>
      <c r="E216" s="33">
        <v>9.9999999999999995E-7</v>
      </c>
    </row>
    <row r="217" spans="1:5">
      <c r="A217" s="28" t="s">
        <v>552</v>
      </c>
      <c r="B217" t="s">
        <v>390</v>
      </c>
      <c r="C217" s="30" t="s">
        <v>103</v>
      </c>
      <c r="D217" s="30" t="s">
        <v>304</v>
      </c>
      <c r="E217" s="33">
        <v>9.9999999999999995E-7</v>
      </c>
    </row>
    <row r="218" spans="1:5">
      <c r="A218" s="28" t="s">
        <v>553</v>
      </c>
      <c r="B218" t="s">
        <v>493</v>
      </c>
      <c r="C218" s="30" t="s">
        <v>103</v>
      </c>
      <c r="D218" s="30" t="s">
        <v>302</v>
      </c>
      <c r="E218" s="33">
        <v>9.9999999999999995E-7</v>
      </c>
    </row>
    <row r="219" spans="1:5">
      <c r="A219" s="28" t="s">
        <v>554</v>
      </c>
      <c r="B219" t="s">
        <v>493</v>
      </c>
      <c r="C219" s="30" t="s">
        <v>103</v>
      </c>
      <c r="D219" s="30" t="s">
        <v>304</v>
      </c>
      <c r="E219" s="33">
        <v>9.9999999999999995E-7</v>
      </c>
    </row>
    <row r="220" spans="1:5">
      <c r="A220" s="28" t="s">
        <v>555</v>
      </c>
      <c r="B220" t="s">
        <v>399</v>
      </c>
      <c r="C220" s="30" t="s">
        <v>103</v>
      </c>
      <c r="D220" s="30" t="s">
        <v>302</v>
      </c>
      <c r="E220" s="33">
        <v>9.9999999999999995E-7</v>
      </c>
    </row>
    <row r="221" spans="1:5">
      <c r="A221" s="28" t="s">
        <v>556</v>
      </c>
      <c r="B221" t="s">
        <v>399</v>
      </c>
      <c r="C221" s="30" t="s">
        <v>103</v>
      </c>
      <c r="D221" s="30" t="s">
        <v>304</v>
      </c>
      <c r="E221" s="33">
        <v>9.9999999999999995E-7</v>
      </c>
    </row>
    <row r="222" spans="1:5">
      <c r="A222" s="28" t="s">
        <v>557</v>
      </c>
      <c r="B222" t="s">
        <v>390</v>
      </c>
      <c r="C222" s="30" t="s">
        <v>259</v>
      </c>
      <c r="D222" s="30" t="s">
        <v>302</v>
      </c>
      <c r="E222" s="33">
        <v>9.9999999999999995E-7</v>
      </c>
    </row>
    <row r="223" spans="1:5">
      <c r="A223" s="28" t="s">
        <v>558</v>
      </c>
      <c r="B223" t="s">
        <v>390</v>
      </c>
      <c r="C223" s="30" t="s">
        <v>259</v>
      </c>
      <c r="D223" s="30" t="s">
        <v>304</v>
      </c>
      <c r="E223" s="33">
        <v>9.9999999999999995E-7</v>
      </c>
    </row>
    <row r="224" spans="1:5">
      <c r="A224" s="28" t="s">
        <v>559</v>
      </c>
      <c r="B224" t="s">
        <v>493</v>
      </c>
      <c r="C224" s="30" t="s">
        <v>259</v>
      </c>
      <c r="D224" s="30" t="s">
        <v>302</v>
      </c>
      <c r="E224" s="33">
        <v>9.9999999999999995E-7</v>
      </c>
    </row>
    <row r="225" spans="1:5">
      <c r="A225" s="28" t="s">
        <v>560</v>
      </c>
      <c r="B225" t="s">
        <v>493</v>
      </c>
      <c r="C225" s="30" t="s">
        <v>259</v>
      </c>
      <c r="D225" s="30" t="s">
        <v>304</v>
      </c>
      <c r="E225" s="33">
        <v>9.9999999999999995E-7</v>
      </c>
    </row>
    <row r="226" spans="1:5">
      <c r="A226" s="28" t="s">
        <v>561</v>
      </c>
      <c r="B226" t="s">
        <v>399</v>
      </c>
      <c r="C226" s="30" t="s">
        <v>259</v>
      </c>
      <c r="D226" s="30" t="s">
        <v>302</v>
      </c>
      <c r="E226" s="33">
        <v>9.9999999999999995E-7</v>
      </c>
    </row>
    <row r="227" spans="1:5">
      <c r="A227" s="28" t="s">
        <v>562</v>
      </c>
      <c r="B227" t="s">
        <v>399</v>
      </c>
      <c r="C227" s="30" t="s">
        <v>259</v>
      </c>
      <c r="D227" s="30" t="s">
        <v>304</v>
      </c>
      <c r="E227" s="33">
        <v>9.9999999999999995E-7</v>
      </c>
    </row>
    <row r="228" spans="1:5">
      <c r="A228" s="28" t="s">
        <v>563</v>
      </c>
      <c r="B228" t="s">
        <v>300</v>
      </c>
      <c r="C228" s="30" t="s">
        <v>227</v>
      </c>
      <c r="D228" s="30" t="s">
        <v>302</v>
      </c>
      <c r="E228" s="33">
        <v>9.9999999999999995E-7</v>
      </c>
    </row>
    <row r="229" spans="1:5">
      <c r="A229" s="28" t="s">
        <v>564</v>
      </c>
      <c r="B229" t="s">
        <v>300</v>
      </c>
      <c r="C229" s="30" t="s">
        <v>227</v>
      </c>
      <c r="D229" s="30" t="s">
        <v>304</v>
      </c>
      <c r="E229" s="33">
        <v>9.9999999999999995E-7</v>
      </c>
    </row>
    <row r="230" spans="1:5">
      <c r="A230" s="28" t="s">
        <v>565</v>
      </c>
      <c r="B230" t="s">
        <v>566</v>
      </c>
      <c r="C230" s="30" t="s">
        <v>227</v>
      </c>
      <c r="D230" s="30" t="s">
        <v>302</v>
      </c>
      <c r="E230" s="33">
        <v>9.9999999999999995E-7</v>
      </c>
    </row>
    <row r="231" spans="1:5">
      <c r="A231" s="28" t="s">
        <v>567</v>
      </c>
      <c r="B231" t="s">
        <v>566</v>
      </c>
      <c r="C231" s="30" t="s">
        <v>227</v>
      </c>
      <c r="D231" s="30" t="s">
        <v>304</v>
      </c>
      <c r="E231" s="33">
        <v>9.9999999999999995E-7</v>
      </c>
    </row>
    <row r="232" spans="1:5">
      <c r="A232" s="28" t="s">
        <v>568</v>
      </c>
      <c r="B232" t="s">
        <v>309</v>
      </c>
      <c r="C232" s="30" t="s">
        <v>227</v>
      </c>
      <c r="D232" s="30" t="s">
        <v>302</v>
      </c>
      <c r="E232" s="33">
        <v>9.9999999999999995E-7</v>
      </c>
    </row>
    <row r="233" spans="1:5">
      <c r="A233" s="28" t="s">
        <v>569</v>
      </c>
      <c r="B233" t="s">
        <v>309</v>
      </c>
      <c r="C233" s="30" t="s">
        <v>227</v>
      </c>
      <c r="D233" s="30" t="s">
        <v>304</v>
      </c>
      <c r="E233" s="33">
        <v>9.9999999999999995E-7</v>
      </c>
    </row>
    <row r="234" spans="1:5">
      <c r="A234" s="28" t="s">
        <v>570</v>
      </c>
      <c r="B234" t="s">
        <v>300</v>
      </c>
      <c r="C234" s="30" t="s">
        <v>454</v>
      </c>
      <c r="D234" s="30" t="s">
        <v>302</v>
      </c>
      <c r="E234" s="33">
        <v>9.9999999999999995E-7</v>
      </c>
    </row>
    <row r="235" spans="1:5">
      <c r="A235" s="28" t="s">
        <v>571</v>
      </c>
      <c r="B235" t="s">
        <v>300</v>
      </c>
      <c r="C235" s="30" t="s">
        <v>454</v>
      </c>
      <c r="D235" s="30" t="s">
        <v>304</v>
      </c>
      <c r="E235" s="33">
        <v>9.9999999999999995E-7</v>
      </c>
    </row>
    <row r="236" spans="1:5">
      <c r="A236" s="28" t="s">
        <v>572</v>
      </c>
      <c r="B236" t="s">
        <v>566</v>
      </c>
      <c r="C236" s="30" t="s">
        <v>454</v>
      </c>
      <c r="D236" s="30" t="s">
        <v>302</v>
      </c>
      <c r="E236" s="33">
        <v>9.9999999999999995E-7</v>
      </c>
    </row>
    <row r="237" spans="1:5">
      <c r="A237" s="28" t="s">
        <v>573</v>
      </c>
      <c r="B237" t="s">
        <v>566</v>
      </c>
      <c r="C237" s="30" t="s">
        <v>454</v>
      </c>
      <c r="D237" s="30" t="s">
        <v>304</v>
      </c>
      <c r="E237" s="33">
        <v>9.9999999999999995E-7</v>
      </c>
    </row>
    <row r="238" spans="1:5">
      <c r="A238" s="28" t="s">
        <v>574</v>
      </c>
      <c r="B238" t="s">
        <v>309</v>
      </c>
      <c r="C238" s="30" t="s">
        <v>454</v>
      </c>
      <c r="D238" s="30" t="s">
        <v>302</v>
      </c>
      <c r="E238" s="33">
        <v>9.9999999999999995E-7</v>
      </c>
    </row>
    <row r="239" spans="1:5">
      <c r="A239" s="28" t="s">
        <v>575</v>
      </c>
      <c r="B239" t="s">
        <v>309</v>
      </c>
      <c r="C239" s="30" t="s">
        <v>454</v>
      </c>
      <c r="D239" s="30" t="s">
        <v>304</v>
      </c>
      <c r="E239" s="33">
        <v>9.9999999999999995E-7</v>
      </c>
    </row>
    <row r="240" spans="1:5">
      <c r="A240" s="28" t="s">
        <v>576</v>
      </c>
      <c r="B240" t="s">
        <v>300</v>
      </c>
      <c r="C240" s="30" t="s">
        <v>66</v>
      </c>
      <c r="D240" s="30" t="s">
        <v>302</v>
      </c>
      <c r="E240" s="33">
        <v>9.9999999999999995E-7</v>
      </c>
    </row>
    <row r="241" spans="1:5">
      <c r="A241" s="28" t="s">
        <v>577</v>
      </c>
      <c r="B241" t="s">
        <v>300</v>
      </c>
      <c r="C241" s="30" t="s">
        <v>66</v>
      </c>
      <c r="D241" s="30" t="s">
        <v>304</v>
      </c>
      <c r="E241" s="33">
        <v>9.9999999999999995E-7</v>
      </c>
    </row>
    <row r="242" spans="1:5">
      <c r="A242" s="28" t="s">
        <v>578</v>
      </c>
      <c r="B242" t="s">
        <v>566</v>
      </c>
      <c r="C242" s="30" t="s">
        <v>66</v>
      </c>
      <c r="D242" s="30" t="s">
        <v>302</v>
      </c>
      <c r="E242" s="33">
        <v>9.9999999999999995E-7</v>
      </c>
    </row>
    <row r="243" spans="1:5">
      <c r="A243" s="28" t="s">
        <v>579</v>
      </c>
      <c r="B243" t="s">
        <v>566</v>
      </c>
      <c r="C243" s="30" t="s">
        <v>66</v>
      </c>
      <c r="D243" s="30" t="s">
        <v>304</v>
      </c>
      <c r="E243" s="33">
        <v>9.9999999999999995E-7</v>
      </c>
    </row>
    <row r="244" spans="1:5">
      <c r="A244" s="28" t="s">
        <v>580</v>
      </c>
      <c r="B244" t="s">
        <v>309</v>
      </c>
      <c r="C244" s="30" t="s">
        <v>66</v>
      </c>
      <c r="D244" s="30" t="s">
        <v>302</v>
      </c>
      <c r="E244" s="33">
        <v>9.9999999999999995E-7</v>
      </c>
    </row>
    <row r="245" spans="1:5">
      <c r="A245" s="28" t="s">
        <v>581</v>
      </c>
      <c r="B245" t="s">
        <v>309</v>
      </c>
      <c r="C245" s="30" t="s">
        <v>66</v>
      </c>
      <c r="D245" s="30" t="s">
        <v>304</v>
      </c>
      <c r="E245" s="33">
        <v>9.9999999999999995E-7</v>
      </c>
    </row>
    <row r="246" spans="1:5">
      <c r="A246" s="28" t="s">
        <v>582</v>
      </c>
      <c r="B246" t="s">
        <v>300</v>
      </c>
      <c r="C246" s="30" t="s">
        <v>63</v>
      </c>
      <c r="D246" s="30" t="s">
        <v>302</v>
      </c>
      <c r="E246" s="33">
        <v>9.9999999999999995E-7</v>
      </c>
    </row>
    <row r="247" spans="1:5">
      <c r="A247" s="28" t="s">
        <v>583</v>
      </c>
      <c r="B247" t="s">
        <v>300</v>
      </c>
      <c r="C247" s="30" t="s">
        <v>63</v>
      </c>
      <c r="D247" s="30" t="s">
        <v>304</v>
      </c>
      <c r="E247" s="33">
        <v>9.9999999999999995E-7</v>
      </c>
    </row>
    <row r="248" spans="1:5">
      <c r="A248" s="28" t="s">
        <v>584</v>
      </c>
      <c r="B248" t="s">
        <v>566</v>
      </c>
      <c r="C248" s="30" t="s">
        <v>63</v>
      </c>
      <c r="D248" s="30" t="s">
        <v>302</v>
      </c>
      <c r="E248" s="33">
        <v>9.9999999999999995E-7</v>
      </c>
    </row>
    <row r="249" spans="1:5">
      <c r="A249" s="28" t="s">
        <v>585</v>
      </c>
      <c r="B249" t="s">
        <v>566</v>
      </c>
      <c r="C249" s="30" t="s">
        <v>63</v>
      </c>
      <c r="D249" s="30" t="s">
        <v>304</v>
      </c>
      <c r="E249" s="33">
        <v>9.9999999999999995E-7</v>
      </c>
    </row>
    <row r="250" spans="1:5">
      <c r="A250" s="28" t="s">
        <v>586</v>
      </c>
      <c r="B250" t="s">
        <v>309</v>
      </c>
      <c r="C250" s="30" t="s">
        <v>63</v>
      </c>
      <c r="D250" s="30" t="s">
        <v>302</v>
      </c>
      <c r="E250" s="33">
        <v>9.9999999999999995E-7</v>
      </c>
    </row>
    <row r="251" spans="1:5">
      <c r="A251" s="28" t="s">
        <v>587</v>
      </c>
      <c r="B251" t="s">
        <v>309</v>
      </c>
      <c r="C251" s="30" t="s">
        <v>63</v>
      </c>
      <c r="D251" s="30" t="s">
        <v>304</v>
      </c>
      <c r="E251" s="33">
        <v>9.9999999999999995E-7</v>
      </c>
    </row>
    <row r="252" spans="1:5">
      <c r="A252" s="28" t="s">
        <v>588</v>
      </c>
      <c r="B252" t="s">
        <v>300</v>
      </c>
      <c r="C252" s="30" t="s">
        <v>97</v>
      </c>
      <c r="D252" s="30" t="s">
        <v>302</v>
      </c>
      <c r="E252" s="33">
        <v>9.9999999999999995E-7</v>
      </c>
    </row>
    <row r="253" spans="1:5">
      <c r="A253" s="28" t="s">
        <v>589</v>
      </c>
      <c r="B253" t="s">
        <v>300</v>
      </c>
      <c r="C253" s="30" t="s">
        <v>97</v>
      </c>
      <c r="D253" s="30" t="s">
        <v>304</v>
      </c>
      <c r="E253" s="33">
        <v>9.9999999999999995E-7</v>
      </c>
    </row>
    <row r="254" spans="1:5">
      <c r="A254" s="28" t="s">
        <v>590</v>
      </c>
      <c r="B254" t="s">
        <v>566</v>
      </c>
      <c r="C254" s="30" t="s">
        <v>97</v>
      </c>
      <c r="D254" s="30" t="s">
        <v>302</v>
      </c>
      <c r="E254" s="33">
        <v>9.9999999999999995E-7</v>
      </c>
    </row>
    <row r="255" spans="1:5">
      <c r="A255" s="28" t="s">
        <v>591</v>
      </c>
      <c r="B255" t="s">
        <v>566</v>
      </c>
      <c r="C255" s="30" t="s">
        <v>97</v>
      </c>
      <c r="D255" s="30" t="s">
        <v>304</v>
      </c>
      <c r="E255" s="33">
        <v>9.9999999999999995E-7</v>
      </c>
    </row>
    <row r="256" spans="1:5">
      <c r="A256" s="28" t="s">
        <v>592</v>
      </c>
      <c r="B256" t="s">
        <v>309</v>
      </c>
      <c r="C256" s="30" t="s">
        <v>97</v>
      </c>
      <c r="D256" s="30" t="s">
        <v>302</v>
      </c>
      <c r="E256" s="33">
        <v>9.9999999999999995E-7</v>
      </c>
    </row>
    <row r="257" spans="1:5">
      <c r="A257" s="28" t="s">
        <v>593</v>
      </c>
      <c r="B257" t="s">
        <v>309</v>
      </c>
      <c r="C257" s="30" t="s">
        <v>97</v>
      </c>
      <c r="D257" s="30" t="s">
        <v>304</v>
      </c>
      <c r="E257" s="33">
        <v>9.9999999999999995E-7</v>
      </c>
    </row>
    <row r="258" spans="1:5">
      <c r="A258" s="28" t="s">
        <v>594</v>
      </c>
      <c r="B258" t="s">
        <v>300</v>
      </c>
      <c r="C258" s="30" t="s">
        <v>83</v>
      </c>
      <c r="D258" s="30" t="s">
        <v>302</v>
      </c>
      <c r="E258" s="33">
        <v>9.9999999999999995E-7</v>
      </c>
    </row>
    <row r="259" spans="1:5">
      <c r="A259" s="28" t="s">
        <v>595</v>
      </c>
      <c r="B259" t="s">
        <v>300</v>
      </c>
      <c r="C259" s="30" t="s">
        <v>83</v>
      </c>
      <c r="D259" s="30" t="s">
        <v>304</v>
      </c>
      <c r="E259" s="33">
        <v>9.9999999999999995E-7</v>
      </c>
    </row>
    <row r="260" spans="1:5">
      <c r="A260" s="28" t="s">
        <v>596</v>
      </c>
      <c r="B260" t="s">
        <v>566</v>
      </c>
      <c r="C260" s="30" t="s">
        <v>83</v>
      </c>
      <c r="D260" s="30" t="s">
        <v>302</v>
      </c>
      <c r="E260" s="33">
        <v>9.9999999999999995E-7</v>
      </c>
    </row>
    <row r="261" spans="1:5">
      <c r="A261" s="28" t="s">
        <v>597</v>
      </c>
      <c r="B261" t="s">
        <v>566</v>
      </c>
      <c r="C261" s="30" t="s">
        <v>83</v>
      </c>
      <c r="D261" s="30" t="s">
        <v>304</v>
      </c>
      <c r="E261" s="33">
        <v>9.9999999999999995E-7</v>
      </c>
    </row>
    <row r="262" spans="1:5">
      <c r="A262" s="28" t="s">
        <v>598</v>
      </c>
      <c r="B262" t="s">
        <v>309</v>
      </c>
      <c r="C262" s="30" t="s">
        <v>83</v>
      </c>
      <c r="D262" s="30" t="s">
        <v>302</v>
      </c>
      <c r="E262" s="33">
        <v>9.9999999999999995E-7</v>
      </c>
    </row>
    <row r="263" spans="1:5">
      <c r="A263" s="28" t="s">
        <v>599</v>
      </c>
      <c r="B263" t="s">
        <v>309</v>
      </c>
      <c r="C263" s="30" t="s">
        <v>83</v>
      </c>
      <c r="D263" s="30" t="s">
        <v>304</v>
      </c>
      <c r="E263" s="33">
        <v>9.9999999999999995E-7</v>
      </c>
    </row>
    <row r="264" spans="1:5">
      <c r="A264" s="28" t="s">
        <v>600</v>
      </c>
      <c r="B264" t="s">
        <v>300</v>
      </c>
      <c r="C264" s="30" t="s">
        <v>236</v>
      </c>
      <c r="D264" s="30" t="s">
        <v>302</v>
      </c>
      <c r="E264" s="33">
        <v>9.9999999999999995E-7</v>
      </c>
    </row>
    <row r="265" spans="1:5">
      <c r="A265" s="28" t="s">
        <v>601</v>
      </c>
      <c r="B265" t="s">
        <v>300</v>
      </c>
      <c r="C265" s="30" t="s">
        <v>236</v>
      </c>
      <c r="D265" s="30" t="s">
        <v>304</v>
      </c>
      <c r="E265" s="33">
        <v>9.9999999999999995E-7</v>
      </c>
    </row>
    <row r="266" spans="1:5">
      <c r="A266" s="28" t="s">
        <v>602</v>
      </c>
      <c r="B266" t="s">
        <v>566</v>
      </c>
      <c r="C266" s="30" t="s">
        <v>236</v>
      </c>
      <c r="D266" s="30" t="s">
        <v>302</v>
      </c>
      <c r="E266" s="33">
        <v>9.9999999999999995E-7</v>
      </c>
    </row>
    <row r="267" spans="1:5">
      <c r="A267" s="28" t="s">
        <v>603</v>
      </c>
      <c r="B267" t="s">
        <v>566</v>
      </c>
      <c r="C267" s="30" t="s">
        <v>236</v>
      </c>
      <c r="D267" s="30" t="s">
        <v>304</v>
      </c>
      <c r="E267" s="33">
        <v>9.9999999999999995E-7</v>
      </c>
    </row>
    <row r="268" spans="1:5">
      <c r="A268" s="28" t="s">
        <v>604</v>
      </c>
      <c r="B268" t="s">
        <v>309</v>
      </c>
      <c r="C268" s="30" t="s">
        <v>236</v>
      </c>
      <c r="D268" s="30" t="s">
        <v>302</v>
      </c>
      <c r="E268" s="33">
        <v>9.9999999999999995E-7</v>
      </c>
    </row>
    <row r="269" spans="1:5">
      <c r="A269" s="28" t="s">
        <v>605</v>
      </c>
      <c r="B269" t="s">
        <v>309</v>
      </c>
      <c r="C269" s="30" t="s">
        <v>236</v>
      </c>
      <c r="D269" s="30" t="s">
        <v>304</v>
      </c>
      <c r="E269" s="33">
        <v>9.9999999999999995E-7</v>
      </c>
    </row>
    <row r="270" spans="1:5">
      <c r="A270" s="28" t="s">
        <v>606</v>
      </c>
      <c r="B270" t="s">
        <v>300</v>
      </c>
      <c r="C270" s="30" t="s">
        <v>259</v>
      </c>
      <c r="D270" s="30" t="s">
        <v>302</v>
      </c>
      <c r="E270" s="33">
        <v>9.9999999999999995E-7</v>
      </c>
    </row>
    <row r="271" spans="1:5">
      <c r="A271" s="28" t="s">
        <v>607</v>
      </c>
      <c r="B271" t="s">
        <v>300</v>
      </c>
      <c r="C271" s="30" t="s">
        <v>259</v>
      </c>
      <c r="D271" s="30" t="s">
        <v>304</v>
      </c>
      <c r="E271" s="33">
        <v>9.9999999999999995E-7</v>
      </c>
    </row>
    <row r="272" spans="1:5">
      <c r="A272" s="28" t="s">
        <v>608</v>
      </c>
      <c r="B272" t="s">
        <v>566</v>
      </c>
      <c r="C272" s="30" t="s">
        <v>259</v>
      </c>
      <c r="D272" s="30" t="s">
        <v>302</v>
      </c>
      <c r="E272" s="33">
        <v>9.9999999999999995E-7</v>
      </c>
    </row>
    <row r="273" spans="1:5">
      <c r="A273" s="28" t="s">
        <v>609</v>
      </c>
      <c r="B273" t="s">
        <v>566</v>
      </c>
      <c r="C273" s="30" t="s">
        <v>259</v>
      </c>
      <c r="D273" s="30" t="s">
        <v>304</v>
      </c>
      <c r="E273" s="33">
        <v>9.9999999999999995E-7</v>
      </c>
    </row>
    <row r="274" spans="1:5">
      <c r="A274" s="28" t="s">
        <v>610</v>
      </c>
      <c r="B274" t="s">
        <v>309</v>
      </c>
      <c r="C274" s="30" t="s">
        <v>259</v>
      </c>
      <c r="D274" s="30" t="s">
        <v>302</v>
      </c>
      <c r="E274" s="33">
        <v>9.9999999999999995E-7</v>
      </c>
    </row>
    <row r="275" spans="1:5">
      <c r="A275" s="28" t="s">
        <v>611</v>
      </c>
      <c r="B275" t="s">
        <v>309</v>
      </c>
      <c r="C275" s="30" t="s">
        <v>259</v>
      </c>
      <c r="D275" s="30" t="s">
        <v>304</v>
      </c>
      <c r="E275" s="33">
        <v>9.9999999999999995E-7</v>
      </c>
    </row>
    <row r="276" spans="1:5">
      <c r="A276" s="28" t="s">
        <v>612</v>
      </c>
      <c r="B276" t="s">
        <v>300</v>
      </c>
      <c r="C276" s="30" t="s">
        <v>146</v>
      </c>
      <c r="D276" s="30" t="s">
        <v>302</v>
      </c>
      <c r="E276" s="33">
        <v>9.9999999999999995E-7</v>
      </c>
    </row>
    <row r="277" spans="1:5">
      <c r="A277" s="28" t="s">
        <v>613</v>
      </c>
      <c r="B277" t="s">
        <v>300</v>
      </c>
      <c r="C277" s="30" t="s">
        <v>146</v>
      </c>
      <c r="D277" s="30" t="s">
        <v>304</v>
      </c>
      <c r="E277" s="33">
        <v>9.9999999999999995E-7</v>
      </c>
    </row>
    <row r="278" spans="1:5">
      <c r="A278" s="28" t="s">
        <v>614</v>
      </c>
      <c r="B278" t="s">
        <v>566</v>
      </c>
      <c r="C278" s="30" t="s">
        <v>146</v>
      </c>
      <c r="D278" s="30" t="s">
        <v>302</v>
      </c>
      <c r="E278" s="33">
        <v>9.9999999999999995E-7</v>
      </c>
    </row>
    <row r="279" spans="1:5">
      <c r="A279" s="28" t="s">
        <v>615</v>
      </c>
      <c r="B279" t="s">
        <v>566</v>
      </c>
      <c r="C279" s="30" t="s">
        <v>146</v>
      </c>
      <c r="D279" s="30" t="s">
        <v>304</v>
      </c>
      <c r="E279" s="33">
        <v>9.9999999999999995E-7</v>
      </c>
    </row>
    <row r="280" spans="1:5">
      <c r="A280" s="28" t="s">
        <v>616</v>
      </c>
      <c r="B280" t="s">
        <v>309</v>
      </c>
      <c r="C280" s="30" t="s">
        <v>146</v>
      </c>
      <c r="D280" s="30" t="s">
        <v>302</v>
      </c>
      <c r="E280" s="33">
        <v>9.9999999999999995E-7</v>
      </c>
    </row>
    <row r="281" spans="1:5">
      <c r="A281" s="28" t="s">
        <v>617</v>
      </c>
      <c r="B281" t="s">
        <v>309</v>
      </c>
      <c r="C281" s="30" t="s">
        <v>146</v>
      </c>
      <c r="D281" s="30" t="s">
        <v>304</v>
      </c>
      <c r="E281" s="33">
        <v>9.9999999999999995E-7</v>
      </c>
    </row>
    <row r="282" spans="1:5">
      <c r="A282" s="28" t="s">
        <v>618</v>
      </c>
      <c r="B282" t="s">
        <v>619</v>
      </c>
      <c r="C282" s="30" t="s">
        <v>301</v>
      </c>
      <c r="D282" s="30" t="s">
        <v>302</v>
      </c>
      <c r="E282" s="28">
        <v>2.9999999999999997E-4</v>
      </c>
    </row>
    <row r="283" spans="1:5">
      <c r="A283" s="28" t="s">
        <v>620</v>
      </c>
      <c r="B283" t="s">
        <v>621</v>
      </c>
      <c r="C283" s="30" t="s">
        <v>301</v>
      </c>
      <c r="D283" s="30" t="s">
        <v>304</v>
      </c>
      <c r="E283" s="28">
        <v>2.9999999999999997E-4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Biodiesel Imports</vt:lpstr>
      <vt:lpstr>US Biodiesel Exports</vt:lpstr>
      <vt:lpstr>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2025-07-17T09:56:56Z</dcterms:created>
  <dcterms:modified xsi:type="dcterms:W3CDTF">2025-07-17T09:57:14Z</dcterms:modified>
</cp:coreProperties>
</file>