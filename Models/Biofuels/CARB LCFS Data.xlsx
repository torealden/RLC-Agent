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hartsheets/sheet1.xml" ContentType="application/vnd.openxmlformats-officedocument.spreadsheetml.chartsheet+xml"/>
  <Override PartName="/xl/worksheets/sheet9.xml" ContentType="application/vnd.openxmlformats-officedocument.spreadsheetml.worksheet+xml"/>
  <Override PartName="/xl/chartsheets/sheet2.xml" ContentType="application/vnd.openxmlformats-officedocument.spreadsheetml.chartsheet+xml"/>
  <Override PartName="/xl/chartsheets/sheet3.xml" ContentType="application/vnd.openxmlformats-officedocument.spreadsheetml.chart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chartsheets/sheet4.xml" ContentType="application/vnd.openxmlformats-officedocument.spreadsheetml.chartsheet+xml"/>
  <Override PartName="/xl/chartsheets/sheet5.xml" ContentType="application/vnd.openxmlformats-officedocument.spreadsheetml.chartsheet+xml"/>
  <Override PartName="/xl/chartsheets/sheet6.xml" ContentType="application/vnd.openxmlformats-officedocument.spreadsheetml.chartsheet+xml"/>
  <Override PartName="/xl/chartsheets/sheet7.xml" ContentType="application/vnd.openxmlformats-officedocument.spreadsheetml.chartsheet+xml"/>
  <Override PartName="/xl/chartsheets/sheet8.xml" ContentType="application/vnd.openxmlformats-officedocument.spreadsheetml.chartsheet+xml"/>
  <Override PartName="/xl/chartsheets/sheet9.xml" ContentType="application/vnd.openxmlformats-officedocument.spreadsheetml.chartsheet+xml"/>
  <Override PartName="/xl/chartsheets/sheet10.xml" ContentType="application/vnd.openxmlformats-officedocument.spreadsheetml.chartsheet+xml"/>
  <Override PartName="/xl/chartsheets/sheet11.xml" ContentType="application/vnd.openxmlformats-officedocument.spreadsheetml.chartsheet+xml"/>
  <Override PartName="/xl/chartsheets/sheet12.xml" ContentType="application/vnd.openxmlformats-officedocument.spreadsheetml.chartsheet+xml"/>
  <Override PartName="/xl/chartsheets/sheet13.xml" ContentType="application/vnd.openxmlformats-officedocument.spreadsheetml.chartsheet+xml"/>
  <Override PartName="/xl/chartsheets/sheet14.xml" ContentType="application/vnd.openxmlformats-officedocument.spreadsheetml.chartsheet+xml"/>
  <Override PartName="/xl/chartsheets/sheet15.xml" ContentType="application/vnd.openxmlformats-officedocument.spreadsheetml.chartsheet+xml"/>
  <Override PartName="/xl/chartsheets/sheet16.xml" ContentType="application/vnd.openxmlformats-officedocument.spreadsheetml.chartsheet+xml"/>
  <Override PartName="/xl/chartsheets/sheet17.xml" ContentType="application/vnd.openxmlformats-officedocument.spreadsheetml.chartsheet+xml"/>
  <Override PartName="/xl/chartsheets/sheet18.xml" ContentType="application/vnd.openxmlformats-officedocument.spreadsheetml.chartsheet+xml"/>
  <Override PartName="/xl/chartsheets/sheet19.xml" ContentType="application/vnd.openxmlformats-officedocument.spreadsheetml.chartsheet+xml"/>
  <Override PartName="/xl/chartsheets/sheet20.xml" ContentType="application/vnd.openxmlformats-officedocument.spreadsheetml.chartsheet+xml"/>
  <Override PartName="/xl/chartsheets/sheet21.xml" ContentType="application/vnd.openxmlformats-officedocument.spreadsheetml.chartsheet+xml"/>
  <Override PartName="/xl/chartsheets/sheet22.xml" ContentType="application/vnd.openxmlformats-officedocument.spreadsheetml.chartsheet+xml"/>
  <Override PartName="/xl/chartsheets/sheet23.xml" ContentType="application/vnd.openxmlformats-officedocument.spreadsheetml.chartsheet+xml"/>
  <Override PartName="/xl/chartsheets/sheet24.xml" ContentType="application/vnd.openxmlformats-officedocument.spreadsheetml.chart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charts/chart9.xml" ContentType="application/vnd.openxmlformats-officedocument.drawingml.chart+xml"/>
  <Override PartName="/xl/drawings/drawing3.xml" ContentType="application/vnd.openxmlformats-officedocument.drawingml.chartshapes+xml"/>
  <Override PartName="/xl/drawings/drawing4.xml" ContentType="application/vnd.openxmlformats-officedocument.drawing+xml"/>
  <Override PartName="/xl/charts/chart10.xml" ContentType="application/vnd.openxmlformats-officedocument.drawingml.chart+xml"/>
  <Override PartName="/xl/drawings/drawing5.xml" ContentType="application/vnd.openxmlformats-officedocument.drawingml.chartshapes+xml"/>
  <Override PartName="/xl/drawings/drawing6.xml" ContentType="application/vnd.openxmlformats-officedocument.drawing+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drawings/drawing7.xml" ContentType="application/vnd.openxmlformats-officedocument.drawingml.chartshapes+xml"/>
  <Override PartName="/xl/drawings/drawing8.xml" ContentType="application/vnd.openxmlformats-officedocument.drawing+xml"/>
  <Override PartName="/xl/charts/chart12.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9.xml" ContentType="application/vnd.openxmlformats-officedocument.drawingml.chartshapes+xml"/>
  <Override PartName="/xl/drawings/drawing10.xml" ContentType="application/vnd.openxmlformats-officedocument.drawing+xml"/>
  <Override PartName="/xl/charts/chart13.xml" ContentType="application/vnd.openxmlformats-officedocument.drawingml.chart+xml"/>
  <Override PartName="/xl/theme/themeOverride1.xml" ContentType="application/vnd.openxmlformats-officedocument.themeOverride+xml"/>
  <Override PartName="/xl/charts/chart14.xml" ContentType="application/vnd.openxmlformats-officedocument.drawingml.chart+xml"/>
  <Override PartName="/xl/theme/themeOverride2.xml" ContentType="application/vnd.openxmlformats-officedocument.themeOverride+xml"/>
  <Override PartName="/xl/drawings/drawing11.xml" ContentType="application/vnd.openxmlformats-officedocument.drawingml.chartshapes+xml"/>
  <Override PartName="/xl/charts/chart15.xml" ContentType="application/vnd.openxmlformats-officedocument.drawingml.chart+xml"/>
  <Override PartName="/xl/theme/themeOverride3.xml" ContentType="application/vnd.openxmlformats-officedocument.themeOverride+xml"/>
  <Override PartName="/xl/drawings/drawing12.xml" ContentType="application/vnd.openxmlformats-officedocument.drawing+xml"/>
  <Override PartName="/xl/charts/chart16.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3.xml" ContentType="application/vnd.openxmlformats-officedocument.drawingml.chartshapes+xml"/>
  <Override PartName="/xl/drawings/drawing14.xml" ContentType="application/vnd.openxmlformats-officedocument.drawing+xml"/>
  <Override PartName="/xl/charts/chart17.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15.xml" ContentType="application/vnd.openxmlformats-officedocument.drawingml.chartshapes+xml"/>
  <Override PartName="/xl/drawings/drawing16.xml" ContentType="application/vnd.openxmlformats-officedocument.drawing+xml"/>
  <Override PartName="/xl/charts/chart18.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17.xml" ContentType="application/vnd.openxmlformats-officedocument.drawingml.chartshapes+xml"/>
  <Override PartName="/xl/drawings/drawing18.xml" ContentType="application/vnd.openxmlformats-officedocument.drawing+xml"/>
  <Override PartName="/xl/charts/chart19.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19.xml" ContentType="application/vnd.openxmlformats-officedocument.drawingml.chartshapes+xml"/>
  <Override PartName="/xl/drawings/drawing20.xml" ContentType="application/vnd.openxmlformats-officedocument.drawing+xml"/>
  <Override PartName="/xl/charts/chart20.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21.xml" ContentType="application/vnd.openxmlformats-officedocument.drawingml.chartshapes+xml"/>
  <Override PartName="/xl/drawings/drawing22.xml" ContentType="application/vnd.openxmlformats-officedocument.drawing+xml"/>
  <Override PartName="/xl/charts/chart21.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23.xml" ContentType="application/vnd.openxmlformats-officedocument.drawingml.chartshapes+xml"/>
  <Override PartName="/xl/drawings/drawing24.xml" ContentType="application/vnd.openxmlformats-officedocument.drawing+xml"/>
  <Override PartName="/xl/charts/chart22.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25.xml" ContentType="application/vnd.openxmlformats-officedocument.drawingml.chartshapes+xml"/>
  <Override PartName="/xl/drawings/drawing26.xml" ContentType="application/vnd.openxmlformats-officedocument.drawing+xml"/>
  <Override PartName="/xl/charts/chart23.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27.xml" ContentType="application/vnd.openxmlformats-officedocument.drawingml.chartshapes+xml"/>
  <Override PartName="/xl/drawings/drawing28.xml" ContentType="application/vnd.openxmlformats-officedocument.drawing+xml"/>
  <Override PartName="/xl/charts/chart24.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29.xml" ContentType="application/vnd.openxmlformats-officedocument.drawingml.chartshapes+xml"/>
  <Override PartName="/xl/drawings/drawing30.xml" ContentType="application/vnd.openxmlformats-officedocument.drawing+xml"/>
  <Override PartName="/xl/charts/chart25.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31.xml" ContentType="application/vnd.openxmlformats-officedocument.drawingml.chartshapes+xml"/>
  <Override PartName="/xl/drawings/drawing32.xml" ContentType="application/vnd.openxmlformats-officedocument.drawing+xml"/>
  <Override PartName="/xl/charts/chart26.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33.xml" ContentType="application/vnd.openxmlformats-officedocument.drawingml.chartshapes+xml"/>
  <Override PartName="/xl/drawings/drawing34.xml" ContentType="application/vnd.openxmlformats-officedocument.drawing+xml"/>
  <Override PartName="/xl/charts/chart27.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35.xml" ContentType="application/vnd.openxmlformats-officedocument.drawingml.chartshapes+xml"/>
  <Override PartName="/xl/drawings/drawing36.xml" ContentType="application/vnd.openxmlformats-officedocument.drawing+xml"/>
  <Override PartName="/xl/charts/chart28.xml" ContentType="application/vnd.openxmlformats-officedocument.drawingml.chart+xml"/>
  <Override PartName="/xl/charts/style23.xml" ContentType="application/vnd.ms-office.chartstyle+xml"/>
  <Override PartName="/xl/charts/colors23.xml" ContentType="application/vnd.ms-office.chartcolorstyle+xml"/>
  <Override PartName="/xl/drawings/drawing37.xml" ContentType="application/vnd.openxmlformats-officedocument.drawingml.chartshapes+xml"/>
  <Override PartName="/xl/drawings/drawing38.xml" ContentType="application/vnd.openxmlformats-officedocument.drawing+xml"/>
  <Override PartName="/xl/charts/chart29.xml" ContentType="application/vnd.openxmlformats-officedocument.drawingml.chart+xml"/>
  <Override PartName="/xl/charts/style24.xml" ContentType="application/vnd.ms-office.chartstyle+xml"/>
  <Override PartName="/xl/charts/colors24.xml" ContentType="application/vnd.ms-office.chartcolorstyle+xml"/>
  <Override PartName="/xl/drawings/drawing39.xml" ContentType="application/vnd.openxmlformats-officedocument.drawing+xml"/>
  <Override PartName="/xl/charts/chart30.xml" ContentType="application/vnd.openxmlformats-officedocument.drawingml.chart+xml"/>
  <Override PartName="/xl/charts/style25.xml" ContentType="application/vnd.ms-office.chartstyle+xml"/>
  <Override PartName="/xl/charts/colors25.xml" ContentType="application/vnd.ms-office.chartcolorstyle+xml"/>
  <Override PartName="/xl/drawings/drawing40.xml" ContentType="application/vnd.openxmlformats-officedocument.drawingml.chartshapes+xml"/>
  <Override PartName="/xl/drawings/drawing41.xml" ContentType="application/vnd.openxmlformats-officedocument.drawing+xml"/>
  <Override PartName="/xl/charts/chart31.xml" ContentType="application/vnd.openxmlformats-officedocument.drawingml.chart+xml"/>
  <Override PartName="/xl/charts/style26.xml" ContentType="application/vnd.ms-office.chartstyle+xml"/>
  <Override PartName="/xl/charts/colors26.xml" ContentType="application/vnd.ms-office.chartcolorstyle+xml"/>
  <Override PartName="/xl/drawings/drawing42.xml" ContentType="application/vnd.openxmlformats-officedocument.drawingml.chartshapes+xml"/>
  <Override PartName="/xl/drawings/drawing43.xml" ContentType="application/vnd.openxmlformats-officedocument.drawing+xml"/>
  <Override PartName="/xl/charts/chart32.xml" ContentType="application/vnd.openxmlformats-officedocument.drawingml.chart+xml"/>
  <Override PartName="/xl/charts/style27.xml" ContentType="application/vnd.ms-office.chartstyle+xml"/>
  <Override PartName="/xl/charts/colors27.xml" ContentType="application/vnd.ms-office.chartcolorstyle+xml"/>
  <Override PartName="/xl/drawings/drawing44.xml" ContentType="application/vnd.openxmlformats-officedocument.drawingml.chartshapes+xml"/>
  <Override PartName="/xl/drawings/drawing45.xml" ContentType="application/vnd.openxmlformats-officedocument.drawing+xml"/>
  <Override PartName="/xl/charts/chart33.xml" ContentType="application/vnd.openxmlformats-officedocument.drawingml.chart+xml"/>
  <Override PartName="/xl/charts/style28.xml" ContentType="application/vnd.ms-office.chartstyle+xml"/>
  <Override PartName="/xl/charts/colors28.xml" ContentType="application/vnd.ms-office.chartcolorstyle+xml"/>
  <Override PartName="/xl/drawings/drawing46.xml" ContentType="application/vnd.openxmlformats-officedocument.drawingml.chartshapes+xml"/>
  <Override PartName="/xl/drawings/drawing47.xml" ContentType="application/vnd.openxmlformats-officedocument.drawing+xml"/>
  <Override PartName="/xl/charts/chart34.xml" ContentType="application/vnd.openxmlformats-officedocument.drawingml.chart+xml"/>
  <Override PartName="/xl/charts/style29.xml" ContentType="application/vnd.ms-office.chartstyle+xml"/>
  <Override PartName="/xl/charts/colors29.xml" ContentType="application/vnd.ms-office.chartcolorstyle+xml"/>
  <Override PartName="/xl/drawings/drawing48.xml" ContentType="application/vnd.openxmlformats-officedocument.drawingml.chartshapes+xml"/>
  <Override PartName="/xl/drawings/drawing49.xml" ContentType="application/vnd.openxmlformats-officedocument.drawing+xml"/>
  <Override PartName="/xl/charts/chart35.xml" ContentType="application/vnd.openxmlformats-officedocument.drawingml.chart+xml"/>
  <Override PartName="/xl/charts/style30.xml" ContentType="application/vnd.ms-office.chartstyle+xml"/>
  <Override PartName="/xl/charts/colors30.xml" ContentType="application/vnd.ms-office.chartcolorstyle+xml"/>
  <Override PartName="/xl/drawings/drawing50.xml" ContentType="application/vnd.openxmlformats-officedocument.drawingml.chartshapes+xml"/>
  <Override PartName="/xl/drawings/drawing51.xml" ContentType="application/vnd.openxmlformats-officedocument.drawing+xml"/>
  <Override PartName="/xl/charts/chart36.xml" ContentType="application/vnd.openxmlformats-officedocument.drawingml.chart+xml"/>
  <Override PartName="/xl/drawings/drawing52.xml" ContentType="application/vnd.openxmlformats-officedocument.drawingml.chartshapes+xml"/>
  <Override PartName="/xl/drawings/drawing53.xml" ContentType="application/vnd.openxmlformats-officedocument.drawing+xml"/>
  <Override PartName="/xl/charts/chart37.xml" ContentType="application/vnd.openxmlformats-officedocument.drawingml.chart+xml"/>
  <Override PartName="/xl/drawings/drawing54.xml" ContentType="application/vnd.openxmlformats-officedocument.drawing+xml"/>
  <Override PartName="/xl/charts/chart3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torem\Dropbox\RLC Documents\Models\Biofuels\"/>
    </mc:Choice>
  </mc:AlternateContent>
  <xr:revisionPtr revIDLastSave="0" documentId="13_ncr:1_{2EB91D35-DA69-44F7-8E47-17305F5D5CC0}" xr6:coauthVersionLast="47" xr6:coauthVersionMax="47" xr10:uidLastSave="{00000000-0000-0000-0000-000000000000}"/>
  <bookViews>
    <workbookView xWindow="-24195" yWindow="1365" windowWidth="23160" windowHeight="13755" firstSheet="2" activeTab="3" xr2:uid="{179630E4-E584-4DF2-888E-F466D0CCDB73}"/>
  </bookViews>
  <sheets>
    <sheet name="Notes" sheetId="1" r:id="rId1"/>
    <sheet name="EMTS-CARB Forecast" sheetId="2" r:id="rId2"/>
    <sheet name="Fuel Vol and Credit Gen" sheetId="3" r:id="rId3"/>
    <sheet name="Qrtly Credit-Deficit Generation" sheetId="4" r:id="rId4"/>
    <sheet name="Annual Credit-Deficit Gen" sheetId="5" r:id="rId5"/>
    <sheet name="Biofuel Feedstocks" sheetId="6" r:id="rId6"/>
    <sheet name="Graph Testing" sheetId="7" r:id="rId7"/>
    <sheet name="CA LCFS Performance" sheetId="8" r:id="rId8"/>
    <sheet name="Chart1" sheetId="9" r:id="rId9"/>
    <sheet name="Table 1" sheetId="10" r:id="rId10"/>
    <sheet name="Chart2" sheetId="11" r:id="rId11"/>
    <sheet name="Chart3" sheetId="12" r:id="rId12"/>
    <sheet name="FeedStock" sheetId="13" r:id="rId13"/>
    <sheet name="FeedStock 2011 - 2021" sheetId="14" r:id="rId14"/>
    <sheet name="Graphs" sheetId="15" r:id="rId15"/>
    <sheet name="Graph Data" sheetId="16" r:id="rId16"/>
    <sheet name="DMAggregatedFuelVolumes" sheetId="17" r:id="rId17"/>
    <sheet name="Chart23" sheetId="18" r:id="rId18"/>
    <sheet name="Chart24" sheetId="19" r:id="rId19"/>
    <sheet name="Chart25" sheetId="20" r:id="rId20"/>
    <sheet name="Chart26" sheetId="21" r:id="rId21"/>
    <sheet name="Chart27" sheetId="22" r:id="rId22"/>
    <sheet name="Chart28" sheetId="23" r:id="rId23"/>
    <sheet name="Chart29" sheetId="24" r:id="rId24"/>
    <sheet name="Chart30" sheetId="25" r:id="rId25"/>
    <sheet name="Chart31" sheetId="26" r:id="rId26"/>
    <sheet name="Chart32" sheetId="27" r:id="rId27"/>
    <sheet name="Chart33" sheetId="28" r:id="rId28"/>
    <sheet name="Chart34" sheetId="29" r:id="rId29"/>
    <sheet name="Chart35" sheetId="30" r:id="rId30"/>
    <sheet name="Chart36" sheetId="31" r:id="rId31"/>
    <sheet name="Chart37" sheetId="32" r:id="rId32"/>
    <sheet name="Chart39" sheetId="33" r:id="rId33"/>
    <sheet name="Chart40" sheetId="34" r:id="rId34"/>
    <sheet name="Chart41" sheetId="35" r:id="rId35"/>
    <sheet name="Chart42" sheetId="36" r:id="rId36"/>
    <sheet name="Chart43" sheetId="37" r:id="rId37"/>
    <sheet name="Chart44" sheetId="38" r:id="rId38"/>
    <sheet name="Fig E w ARGUS" sheetId="39" r:id="rId39"/>
    <sheet name="Fig10" sheetId="40" r:id="rId40"/>
  </sheets>
  <externalReferences>
    <externalReference r:id="rId41"/>
    <externalReference r:id="rId42"/>
  </externalReferences>
  <definedNames>
    <definedName name="_xlnm.Print_Titles" localSheetId="5">'Biofuel Feedstocks'!#REF!</definedName>
    <definedName name="_xlnm.Print_Titles" localSheetId="16">DMAggregatedFuelVolumes!$1:$3</definedName>
    <definedName name="_xlnm.Print_Titles" localSheetId="12">FeedStock!#REF!</definedName>
    <definedName name="_xlnm.Print_Titles" localSheetId="13">'FeedStock 2011 - 2021'!#REF!</definedName>
    <definedName name="_xlnm.Print_Titles" localSheetId="3">'Qrtly Credit-Deficit Generation'!$1:$1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J154" i="4" l="1"/>
  <c r="BK154" i="4"/>
  <c r="BL154" i="4"/>
  <c r="BM154" i="4"/>
  <c r="BN154" i="4"/>
  <c r="BO154" i="4"/>
  <c r="BP154" i="4"/>
  <c r="BQ154" i="4"/>
  <c r="BR154" i="4"/>
  <c r="BS154" i="4"/>
  <c r="BT154" i="4"/>
  <c r="BU154" i="4"/>
  <c r="BV154" i="4"/>
  <c r="BW154" i="4"/>
  <c r="BX154" i="4"/>
  <c r="BY154" i="4"/>
  <c r="BZ154" i="4"/>
  <c r="CA154" i="4"/>
  <c r="CB154" i="4"/>
  <c r="CC154" i="4"/>
  <c r="CD154" i="4"/>
  <c r="CE154" i="4"/>
  <c r="CF154" i="4"/>
  <c r="CG154" i="4"/>
  <c r="CH154" i="4"/>
  <c r="CI154" i="4"/>
  <c r="CJ154" i="4"/>
  <c r="CK154" i="4"/>
  <c r="CL154" i="4"/>
  <c r="CM154" i="4"/>
  <c r="CN154" i="4"/>
  <c r="CO154" i="4"/>
  <c r="CP154" i="4"/>
  <c r="CQ154" i="4"/>
  <c r="CR154" i="4"/>
  <c r="CS154" i="4"/>
  <c r="CT154" i="4"/>
  <c r="CU154" i="4"/>
  <c r="CV154" i="4"/>
  <c r="CW154" i="4"/>
  <c r="CX154" i="4"/>
  <c r="CY154" i="4"/>
  <c r="CZ154" i="4"/>
  <c r="BF154" i="4"/>
  <c r="BG154" i="4"/>
  <c r="BH154" i="4"/>
  <c r="BI154" i="4"/>
  <c r="C154" i="4"/>
  <c r="D154" i="4"/>
  <c r="E154" i="4"/>
  <c r="F154" i="4"/>
  <c r="G154" i="4"/>
  <c r="H154" i="4"/>
  <c r="I154" i="4"/>
  <c r="J154" i="4"/>
  <c r="K154" i="4"/>
  <c r="L154" i="4"/>
  <c r="M154" i="4"/>
  <c r="N154" i="4"/>
  <c r="O154" i="4"/>
  <c r="P154" i="4"/>
  <c r="Q154" i="4"/>
  <c r="R154" i="4"/>
  <c r="S154" i="4"/>
  <c r="T154" i="4"/>
  <c r="U154" i="4"/>
  <c r="V154" i="4"/>
  <c r="W154" i="4"/>
  <c r="X154" i="4"/>
  <c r="Y154" i="4"/>
  <c r="Z154" i="4"/>
  <c r="AA154" i="4"/>
  <c r="AB154" i="4"/>
  <c r="AC154" i="4"/>
  <c r="AD154" i="4"/>
  <c r="AE154" i="4"/>
  <c r="AF154" i="4"/>
  <c r="AG154" i="4"/>
  <c r="AH154" i="4"/>
  <c r="AI154" i="4"/>
  <c r="AJ154" i="4"/>
  <c r="AK154" i="4"/>
  <c r="AL154" i="4"/>
  <c r="AM154" i="4"/>
  <c r="AN154" i="4"/>
  <c r="AO154" i="4"/>
  <c r="AP154" i="4"/>
  <c r="AQ154" i="4"/>
  <c r="AR154" i="4"/>
  <c r="AT154" i="4"/>
  <c r="AU154" i="4"/>
  <c r="AV154" i="4"/>
  <c r="AW154" i="4"/>
  <c r="AX154" i="4"/>
  <c r="AY154" i="4"/>
  <c r="AZ154" i="4"/>
  <c r="BA154" i="4"/>
  <c r="BB154" i="4"/>
  <c r="BC154" i="4"/>
  <c r="BD154" i="4"/>
  <c r="BE154" i="4"/>
  <c r="AS154" i="4"/>
  <c r="Y67" i="2"/>
  <c r="X67" i="2"/>
  <c r="W67" i="2"/>
  <c r="V67" i="2"/>
  <c r="U67" i="2"/>
  <c r="T67" i="2"/>
  <c r="S67" i="2"/>
  <c r="Y66" i="2"/>
  <c r="X66" i="2"/>
  <c r="W66" i="2"/>
  <c r="V66" i="2"/>
  <c r="U66" i="2"/>
  <c r="T66" i="2"/>
  <c r="S66" i="2"/>
  <c r="Y65" i="2"/>
  <c r="X65" i="2"/>
  <c r="W65" i="2"/>
  <c r="V65" i="2"/>
  <c r="U65" i="2"/>
  <c r="T65" i="2"/>
  <c r="S65" i="2"/>
  <c r="Y64" i="2"/>
  <c r="X64" i="2"/>
  <c r="W64" i="2"/>
  <c r="V64" i="2"/>
  <c r="U64" i="2"/>
  <c r="T64" i="2"/>
  <c r="S64" i="2"/>
  <c r="AO112" i="2"/>
  <c r="AN112" i="2"/>
  <c r="AM112" i="2"/>
  <c r="AL112" i="2"/>
  <c r="AK112" i="2"/>
  <c r="AJ112" i="2"/>
  <c r="AI112" i="2"/>
  <c r="AH112" i="2"/>
  <c r="AG112" i="2"/>
  <c r="AF112" i="2"/>
  <c r="AE112" i="2"/>
  <c r="AD112" i="2"/>
  <c r="AC112" i="2"/>
  <c r="AB112" i="2"/>
  <c r="AA112" i="2"/>
  <c r="Z112" i="2"/>
  <c r="Y112" i="2"/>
  <c r="X112" i="2"/>
  <c r="W112" i="2"/>
  <c r="V112" i="2"/>
  <c r="U112" i="2"/>
  <c r="T112" i="2"/>
  <c r="S112" i="2"/>
  <c r="R112" i="2"/>
  <c r="Q112" i="2"/>
  <c r="P112" i="2"/>
  <c r="O112" i="2"/>
  <c r="N112" i="2"/>
  <c r="M112" i="2"/>
  <c r="L112" i="2"/>
  <c r="K112" i="2"/>
  <c r="J112" i="2"/>
  <c r="I112" i="2"/>
  <c r="H112" i="2"/>
  <c r="G112" i="2"/>
  <c r="F112" i="2"/>
  <c r="E112" i="2"/>
  <c r="D112" i="2"/>
  <c r="C112" i="2"/>
  <c r="B112" i="2"/>
  <c r="AO111" i="2"/>
  <c r="AN111" i="2"/>
  <c r="AM111" i="2"/>
  <c r="AL111" i="2"/>
  <c r="AK111" i="2"/>
  <c r="AJ111" i="2"/>
  <c r="AI111" i="2"/>
  <c r="AH111" i="2"/>
  <c r="AG111" i="2"/>
  <c r="AF111" i="2"/>
  <c r="AE111" i="2"/>
  <c r="AD111" i="2"/>
  <c r="AC111" i="2"/>
  <c r="AB111" i="2"/>
  <c r="AA111" i="2"/>
  <c r="Z111" i="2"/>
  <c r="Y111" i="2"/>
  <c r="X111" i="2"/>
  <c r="W111" i="2"/>
  <c r="V111" i="2"/>
  <c r="U111" i="2"/>
  <c r="T111" i="2"/>
  <c r="S111" i="2"/>
  <c r="R111" i="2"/>
  <c r="Q111" i="2"/>
  <c r="P111" i="2"/>
  <c r="O111" i="2"/>
  <c r="N111" i="2"/>
  <c r="M111" i="2"/>
  <c r="L111" i="2"/>
  <c r="K111" i="2"/>
  <c r="J111" i="2"/>
  <c r="I111" i="2"/>
  <c r="H111" i="2"/>
  <c r="G111" i="2"/>
  <c r="F111" i="2"/>
  <c r="E111" i="2"/>
  <c r="D111" i="2"/>
  <c r="C111" i="2"/>
  <c r="B111" i="2"/>
  <c r="AO110" i="2"/>
  <c r="AN110" i="2"/>
  <c r="AM110" i="2"/>
  <c r="AL110" i="2"/>
  <c r="AK110" i="2"/>
  <c r="AJ110" i="2"/>
  <c r="AI110" i="2"/>
  <c r="AH110" i="2"/>
  <c r="AG110" i="2"/>
  <c r="AF110" i="2"/>
  <c r="AE110" i="2"/>
  <c r="AD110" i="2"/>
  <c r="AC110" i="2"/>
  <c r="AB110" i="2"/>
  <c r="AA110" i="2"/>
  <c r="Z110" i="2"/>
  <c r="Y110" i="2"/>
  <c r="X110" i="2"/>
  <c r="W110" i="2"/>
  <c r="V110" i="2"/>
  <c r="U110" i="2"/>
  <c r="T110" i="2"/>
  <c r="S110" i="2"/>
  <c r="R110" i="2"/>
  <c r="Q110" i="2"/>
  <c r="P110" i="2"/>
  <c r="O110" i="2"/>
  <c r="N110" i="2"/>
  <c r="M110" i="2"/>
  <c r="L110" i="2"/>
  <c r="K110" i="2"/>
  <c r="J110" i="2"/>
  <c r="I110" i="2"/>
  <c r="H110" i="2"/>
  <c r="G110" i="2"/>
  <c r="F110" i="2"/>
  <c r="E110" i="2"/>
  <c r="D110" i="2"/>
  <c r="C110" i="2"/>
  <c r="B110" i="2"/>
  <c r="AO109" i="2"/>
  <c r="AN109" i="2"/>
  <c r="AM109" i="2"/>
  <c r="AL109" i="2"/>
  <c r="AK109" i="2"/>
  <c r="AJ109" i="2"/>
  <c r="AI109" i="2"/>
  <c r="AH109" i="2"/>
  <c r="AG109" i="2"/>
  <c r="AF109" i="2"/>
  <c r="AE109" i="2"/>
  <c r="AD109" i="2"/>
  <c r="AC109" i="2"/>
  <c r="AB109" i="2"/>
  <c r="AA109" i="2"/>
  <c r="Z109" i="2"/>
  <c r="Y109" i="2"/>
  <c r="X109" i="2"/>
  <c r="W109" i="2"/>
  <c r="V109" i="2"/>
  <c r="U109" i="2"/>
  <c r="T109" i="2"/>
  <c r="S109" i="2"/>
  <c r="R109" i="2"/>
  <c r="Q109" i="2"/>
  <c r="P109" i="2"/>
  <c r="O109" i="2"/>
  <c r="N109" i="2"/>
  <c r="M109" i="2"/>
  <c r="L109" i="2"/>
  <c r="K109" i="2"/>
  <c r="J109" i="2"/>
  <c r="I109" i="2"/>
  <c r="H109" i="2"/>
  <c r="G109" i="2"/>
  <c r="F109" i="2"/>
  <c r="E109" i="2"/>
  <c r="D109" i="2"/>
  <c r="C109" i="2"/>
  <c r="B109" i="2"/>
  <c r="AO97" i="2"/>
  <c r="AN97" i="2"/>
  <c r="AM97" i="2"/>
  <c r="AL97" i="2"/>
  <c r="AK97" i="2"/>
  <c r="AJ97" i="2"/>
  <c r="AI97" i="2"/>
  <c r="AH97" i="2"/>
  <c r="AG97" i="2"/>
  <c r="AF97" i="2"/>
  <c r="AE97" i="2"/>
  <c r="AD97" i="2"/>
  <c r="AC97" i="2"/>
  <c r="AB97" i="2"/>
  <c r="AA97" i="2"/>
  <c r="Z97" i="2"/>
  <c r="Y97" i="2"/>
  <c r="X97" i="2"/>
  <c r="W97" i="2"/>
  <c r="V97" i="2"/>
  <c r="U97" i="2"/>
  <c r="T97" i="2"/>
  <c r="S97" i="2"/>
  <c r="R97" i="2"/>
  <c r="Q97" i="2"/>
  <c r="P97" i="2"/>
  <c r="O97" i="2"/>
  <c r="N97" i="2"/>
  <c r="M97" i="2"/>
  <c r="L97" i="2"/>
  <c r="K97" i="2"/>
  <c r="J97" i="2"/>
  <c r="I97" i="2"/>
  <c r="H97" i="2"/>
  <c r="G97" i="2"/>
  <c r="F97" i="2"/>
  <c r="E97" i="2"/>
  <c r="D97" i="2"/>
  <c r="C97" i="2"/>
  <c r="B97" i="2"/>
  <c r="AO96" i="2"/>
  <c r="AN96" i="2"/>
  <c r="AM96" i="2"/>
  <c r="AL96" i="2"/>
  <c r="AK96" i="2"/>
  <c r="AJ96" i="2"/>
  <c r="AI96" i="2"/>
  <c r="AH96" i="2"/>
  <c r="AG96" i="2"/>
  <c r="AF96" i="2"/>
  <c r="AE96" i="2"/>
  <c r="AD96" i="2"/>
  <c r="AC96" i="2"/>
  <c r="AB96" i="2"/>
  <c r="AA96" i="2"/>
  <c r="Z96" i="2"/>
  <c r="Y96" i="2"/>
  <c r="X96" i="2"/>
  <c r="W96" i="2"/>
  <c r="V96" i="2"/>
  <c r="U96" i="2"/>
  <c r="T96" i="2"/>
  <c r="S96" i="2"/>
  <c r="R96" i="2"/>
  <c r="Q96" i="2"/>
  <c r="P96" i="2"/>
  <c r="O96" i="2"/>
  <c r="N96" i="2"/>
  <c r="M96" i="2"/>
  <c r="L96" i="2"/>
  <c r="K96" i="2"/>
  <c r="J96" i="2"/>
  <c r="I96" i="2"/>
  <c r="H96" i="2"/>
  <c r="G96" i="2"/>
  <c r="F96" i="2"/>
  <c r="E96" i="2"/>
  <c r="D96" i="2"/>
  <c r="C96" i="2"/>
  <c r="B96" i="2"/>
  <c r="AO95" i="2"/>
  <c r="AN95" i="2"/>
  <c r="AM95" i="2"/>
  <c r="AL95" i="2"/>
  <c r="AK95" i="2"/>
  <c r="AJ95" i="2"/>
  <c r="AI95" i="2"/>
  <c r="AH95" i="2"/>
  <c r="AG95" i="2"/>
  <c r="AF95" i="2"/>
  <c r="AE95" i="2"/>
  <c r="AD95" i="2"/>
  <c r="AC95" i="2"/>
  <c r="AB95" i="2"/>
  <c r="AA95" i="2"/>
  <c r="Z95" i="2"/>
  <c r="Y95" i="2"/>
  <c r="X95" i="2"/>
  <c r="W95" i="2"/>
  <c r="V95" i="2"/>
  <c r="U95" i="2"/>
  <c r="T95" i="2"/>
  <c r="S95" i="2"/>
  <c r="R95" i="2"/>
  <c r="Q95" i="2"/>
  <c r="P95" i="2"/>
  <c r="O95" i="2"/>
  <c r="N95" i="2"/>
  <c r="M95" i="2"/>
  <c r="L95" i="2"/>
  <c r="K95" i="2"/>
  <c r="J95" i="2"/>
  <c r="I95" i="2"/>
  <c r="H95" i="2"/>
  <c r="G95" i="2"/>
  <c r="F95" i="2"/>
  <c r="E95" i="2"/>
  <c r="D95" i="2"/>
  <c r="C95" i="2"/>
  <c r="B95" i="2"/>
  <c r="AO94" i="2"/>
  <c r="AN94" i="2"/>
  <c r="AM94" i="2"/>
  <c r="AL94" i="2"/>
  <c r="AK94" i="2"/>
  <c r="AJ94" i="2"/>
  <c r="AI94" i="2"/>
  <c r="AH94" i="2"/>
  <c r="AG94" i="2"/>
  <c r="AF94" i="2"/>
  <c r="AE94" i="2"/>
  <c r="AD94" i="2"/>
  <c r="AC94" i="2"/>
  <c r="AB94" i="2"/>
  <c r="AA94" i="2"/>
  <c r="Z94" i="2"/>
  <c r="Y94" i="2"/>
  <c r="X94" i="2"/>
  <c r="W94" i="2"/>
  <c r="V94" i="2"/>
  <c r="U94" i="2"/>
  <c r="T94" i="2"/>
  <c r="S94" i="2"/>
  <c r="R94" i="2"/>
  <c r="Q94" i="2"/>
  <c r="P94" i="2"/>
  <c r="O94" i="2"/>
  <c r="N94" i="2"/>
  <c r="M94" i="2"/>
  <c r="L94" i="2"/>
  <c r="K94" i="2"/>
  <c r="J94" i="2"/>
  <c r="I94" i="2"/>
  <c r="H94" i="2"/>
  <c r="G94" i="2"/>
  <c r="F94" i="2"/>
  <c r="E94" i="2"/>
  <c r="D94" i="2"/>
  <c r="C94" i="2"/>
  <c r="B94" i="2"/>
  <c r="AO82" i="2"/>
  <c r="AN82" i="2"/>
  <c r="AM82" i="2"/>
  <c r="AL82" i="2"/>
  <c r="AK82" i="2"/>
  <c r="AJ82" i="2"/>
  <c r="AI82" i="2"/>
  <c r="AH82" i="2"/>
  <c r="AG82" i="2"/>
  <c r="AF82" i="2"/>
  <c r="AE82" i="2"/>
  <c r="AD82" i="2"/>
  <c r="AC82" i="2"/>
  <c r="AB82" i="2"/>
  <c r="AA82" i="2"/>
  <c r="Z82" i="2"/>
  <c r="Y82" i="2"/>
  <c r="X82" i="2"/>
  <c r="W82" i="2"/>
  <c r="V82" i="2"/>
  <c r="U82" i="2"/>
  <c r="T82" i="2"/>
  <c r="S82" i="2"/>
  <c r="R82" i="2"/>
  <c r="Q82" i="2"/>
  <c r="P82" i="2"/>
  <c r="O82" i="2"/>
  <c r="N82" i="2"/>
  <c r="M82" i="2"/>
  <c r="L82" i="2"/>
  <c r="K82" i="2"/>
  <c r="J82" i="2"/>
  <c r="I82" i="2"/>
  <c r="H82" i="2"/>
  <c r="G82" i="2"/>
  <c r="F82" i="2"/>
  <c r="E82" i="2"/>
  <c r="D82" i="2"/>
  <c r="C82" i="2"/>
  <c r="B82" i="2"/>
  <c r="AO81" i="2"/>
  <c r="AN81" i="2"/>
  <c r="AM81" i="2"/>
  <c r="AL81" i="2"/>
  <c r="AK81" i="2"/>
  <c r="AJ81" i="2"/>
  <c r="AI81" i="2"/>
  <c r="AH81" i="2"/>
  <c r="AG81" i="2"/>
  <c r="AF81" i="2"/>
  <c r="AE81" i="2"/>
  <c r="AD81" i="2"/>
  <c r="AC81" i="2"/>
  <c r="AB81" i="2"/>
  <c r="AA81" i="2"/>
  <c r="Z81" i="2"/>
  <c r="Y81" i="2"/>
  <c r="X81" i="2"/>
  <c r="W81" i="2"/>
  <c r="V81" i="2"/>
  <c r="U81" i="2"/>
  <c r="T81" i="2"/>
  <c r="S81" i="2"/>
  <c r="R81" i="2"/>
  <c r="Q81" i="2"/>
  <c r="P81" i="2"/>
  <c r="O81" i="2"/>
  <c r="N81" i="2"/>
  <c r="M81" i="2"/>
  <c r="L81" i="2"/>
  <c r="K81" i="2"/>
  <c r="J81" i="2"/>
  <c r="I81" i="2"/>
  <c r="H81" i="2"/>
  <c r="G81" i="2"/>
  <c r="F81" i="2"/>
  <c r="E81" i="2"/>
  <c r="D81" i="2"/>
  <c r="C81" i="2"/>
  <c r="B81" i="2"/>
  <c r="AO80" i="2"/>
  <c r="AN80" i="2"/>
  <c r="AM80" i="2"/>
  <c r="AL80" i="2"/>
  <c r="AK80" i="2"/>
  <c r="AJ80" i="2"/>
  <c r="AI80" i="2"/>
  <c r="AH80" i="2"/>
  <c r="AG80" i="2"/>
  <c r="AF80" i="2"/>
  <c r="AE80" i="2"/>
  <c r="AD80" i="2"/>
  <c r="AC80" i="2"/>
  <c r="AB80" i="2"/>
  <c r="AA80" i="2"/>
  <c r="Z80" i="2"/>
  <c r="Y80" i="2"/>
  <c r="X80" i="2"/>
  <c r="W80" i="2"/>
  <c r="V80" i="2"/>
  <c r="U80" i="2"/>
  <c r="T80" i="2"/>
  <c r="S80" i="2"/>
  <c r="R80" i="2"/>
  <c r="Q80" i="2"/>
  <c r="P80" i="2"/>
  <c r="O80" i="2"/>
  <c r="N80" i="2"/>
  <c r="M80" i="2"/>
  <c r="L80" i="2"/>
  <c r="K80" i="2"/>
  <c r="J80" i="2"/>
  <c r="I80" i="2"/>
  <c r="H80" i="2"/>
  <c r="G80" i="2"/>
  <c r="F80" i="2"/>
  <c r="E80" i="2"/>
  <c r="D80" i="2"/>
  <c r="C80" i="2"/>
  <c r="B80" i="2"/>
  <c r="AO79" i="2"/>
  <c r="AN79" i="2"/>
  <c r="AM79" i="2"/>
  <c r="AL79" i="2"/>
  <c r="AK79" i="2"/>
  <c r="AJ79" i="2"/>
  <c r="AI79" i="2"/>
  <c r="AH79" i="2"/>
  <c r="AG79" i="2"/>
  <c r="AF79" i="2"/>
  <c r="AE79" i="2"/>
  <c r="AD79" i="2"/>
  <c r="AC79" i="2"/>
  <c r="AB79" i="2"/>
  <c r="AA79" i="2"/>
  <c r="Z79" i="2"/>
  <c r="Y79" i="2"/>
  <c r="X79" i="2"/>
  <c r="W79" i="2"/>
  <c r="V79" i="2"/>
  <c r="U79" i="2"/>
  <c r="T79" i="2"/>
  <c r="S79" i="2"/>
  <c r="R79" i="2"/>
  <c r="Q79" i="2"/>
  <c r="P79" i="2"/>
  <c r="O79" i="2"/>
  <c r="N79" i="2"/>
  <c r="M79" i="2"/>
  <c r="L79" i="2"/>
  <c r="K79" i="2"/>
  <c r="J79" i="2"/>
  <c r="I79" i="2"/>
  <c r="H79" i="2"/>
  <c r="G79" i="2"/>
  <c r="F79" i="2"/>
  <c r="E79" i="2"/>
  <c r="D79" i="2"/>
  <c r="C79" i="2"/>
  <c r="B79" i="2"/>
  <c r="AO52" i="2"/>
  <c r="AN52" i="2"/>
  <c r="AM52" i="2"/>
  <c r="AL52" i="2"/>
  <c r="AK52" i="2"/>
  <c r="AJ52" i="2"/>
  <c r="AI52" i="2"/>
  <c r="AH52" i="2"/>
  <c r="AG52" i="2"/>
  <c r="AF52" i="2"/>
  <c r="AE52" i="2"/>
  <c r="AD52" i="2"/>
  <c r="AC52" i="2"/>
  <c r="AB52" i="2"/>
  <c r="AA52" i="2"/>
  <c r="Z52" i="2"/>
  <c r="Y52" i="2"/>
  <c r="X52" i="2"/>
  <c r="W52" i="2"/>
  <c r="V52" i="2"/>
  <c r="U52" i="2"/>
  <c r="T52" i="2"/>
  <c r="S52" i="2"/>
  <c r="R52" i="2"/>
  <c r="Q52" i="2"/>
  <c r="P52" i="2"/>
  <c r="O52" i="2"/>
  <c r="N52" i="2"/>
  <c r="M52" i="2"/>
  <c r="L52" i="2"/>
  <c r="K52" i="2"/>
  <c r="J52" i="2"/>
  <c r="I52" i="2"/>
  <c r="H52" i="2"/>
  <c r="G52" i="2"/>
  <c r="F52" i="2"/>
  <c r="E52" i="2"/>
  <c r="D52" i="2"/>
  <c r="C52" i="2"/>
  <c r="B52" i="2"/>
  <c r="AO51" i="2"/>
  <c r="AN51" i="2"/>
  <c r="AM51" i="2"/>
  <c r="AL51" i="2"/>
  <c r="AK51" i="2"/>
  <c r="AJ51" i="2"/>
  <c r="AI51" i="2"/>
  <c r="AH51" i="2"/>
  <c r="AG51" i="2"/>
  <c r="AF51" i="2"/>
  <c r="AE51" i="2"/>
  <c r="AD51" i="2"/>
  <c r="AC51" i="2"/>
  <c r="AB51" i="2"/>
  <c r="AA51" i="2"/>
  <c r="Z51" i="2"/>
  <c r="Y51" i="2"/>
  <c r="X51" i="2"/>
  <c r="W51" i="2"/>
  <c r="V51" i="2"/>
  <c r="U51" i="2"/>
  <c r="T51" i="2"/>
  <c r="S51" i="2"/>
  <c r="R51" i="2"/>
  <c r="Q51" i="2"/>
  <c r="P51" i="2"/>
  <c r="O51" i="2"/>
  <c r="N51" i="2"/>
  <c r="M51" i="2"/>
  <c r="L51" i="2"/>
  <c r="K51" i="2"/>
  <c r="J51" i="2"/>
  <c r="I51" i="2"/>
  <c r="H51" i="2"/>
  <c r="G51" i="2"/>
  <c r="F51" i="2"/>
  <c r="E51" i="2"/>
  <c r="D51" i="2"/>
  <c r="C51" i="2"/>
  <c r="B51" i="2"/>
  <c r="AO50" i="2"/>
  <c r="AN50" i="2"/>
  <c r="AM50" i="2"/>
  <c r="AL50" i="2"/>
  <c r="AK50" i="2"/>
  <c r="AJ50" i="2"/>
  <c r="AI50" i="2"/>
  <c r="AH50" i="2"/>
  <c r="AG50" i="2"/>
  <c r="AF50" i="2"/>
  <c r="AE50" i="2"/>
  <c r="AD50" i="2"/>
  <c r="AC50" i="2"/>
  <c r="AB50" i="2"/>
  <c r="AA50" i="2"/>
  <c r="Z50" i="2"/>
  <c r="Y50" i="2"/>
  <c r="X50" i="2"/>
  <c r="W50" i="2"/>
  <c r="V50" i="2"/>
  <c r="U50" i="2"/>
  <c r="T50" i="2"/>
  <c r="S50" i="2"/>
  <c r="R50" i="2"/>
  <c r="Q50" i="2"/>
  <c r="P50" i="2"/>
  <c r="O50" i="2"/>
  <c r="N50" i="2"/>
  <c r="M50" i="2"/>
  <c r="L50" i="2"/>
  <c r="K50" i="2"/>
  <c r="J50" i="2"/>
  <c r="I50" i="2"/>
  <c r="H50" i="2"/>
  <c r="G50" i="2"/>
  <c r="F50" i="2"/>
  <c r="E50" i="2"/>
  <c r="D50" i="2"/>
  <c r="C50" i="2"/>
  <c r="B50" i="2"/>
  <c r="AO49" i="2"/>
  <c r="AN49" i="2"/>
  <c r="AM49" i="2"/>
  <c r="AL49" i="2"/>
  <c r="AK49" i="2"/>
  <c r="AJ49" i="2"/>
  <c r="AI49" i="2"/>
  <c r="AH49" i="2"/>
  <c r="AG49" i="2"/>
  <c r="AF49" i="2"/>
  <c r="AE49" i="2"/>
  <c r="AD49" i="2"/>
  <c r="AC49" i="2"/>
  <c r="AB49" i="2"/>
  <c r="AA49" i="2"/>
  <c r="Z49" i="2"/>
  <c r="Y49" i="2"/>
  <c r="X49" i="2"/>
  <c r="W49" i="2"/>
  <c r="V49" i="2"/>
  <c r="U49" i="2"/>
  <c r="T49" i="2"/>
  <c r="S49" i="2"/>
  <c r="R49" i="2"/>
  <c r="Q49" i="2"/>
  <c r="P49" i="2"/>
  <c r="O49" i="2"/>
  <c r="N49" i="2"/>
  <c r="M49" i="2"/>
  <c r="L49" i="2"/>
  <c r="K49" i="2"/>
  <c r="J49" i="2"/>
  <c r="I49" i="2"/>
  <c r="H49" i="2"/>
  <c r="G49" i="2"/>
  <c r="F49" i="2"/>
  <c r="E49" i="2"/>
  <c r="D49" i="2"/>
  <c r="C49" i="2"/>
  <c r="B49" i="2"/>
  <c r="AO67" i="2"/>
  <c r="AN67" i="2"/>
  <c r="AM67" i="2"/>
  <c r="AL67" i="2"/>
  <c r="AK67" i="2"/>
  <c r="AJ67" i="2"/>
  <c r="AI67" i="2"/>
  <c r="AH67" i="2"/>
  <c r="AG67" i="2"/>
  <c r="AF67" i="2"/>
  <c r="AE67" i="2"/>
  <c r="AD67" i="2"/>
  <c r="AC67" i="2"/>
  <c r="AB67" i="2"/>
  <c r="AA67" i="2"/>
  <c r="Z67" i="2"/>
  <c r="AO66" i="2"/>
  <c r="AN66" i="2"/>
  <c r="AM66" i="2"/>
  <c r="AL66" i="2"/>
  <c r="AK66" i="2"/>
  <c r="AJ66" i="2"/>
  <c r="AI66" i="2"/>
  <c r="AH66" i="2"/>
  <c r="AG66" i="2"/>
  <c r="AF66" i="2"/>
  <c r="AE66" i="2"/>
  <c r="AD66" i="2"/>
  <c r="AC66" i="2"/>
  <c r="AB66" i="2"/>
  <c r="AA66" i="2"/>
  <c r="Z66" i="2"/>
  <c r="AO65" i="2"/>
  <c r="AN65" i="2"/>
  <c r="AM65" i="2"/>
  <c r="AL65" i="2"/>
  <c r="AK65" i="2"/>
  <c r="AJ65" i="2"/>
  <c r="AI65" i="2"/>
  <c r="AH65" i="2"/>
  <c r="AG65" i="2"/>
  <c r="AF65" i="2"/>
  <c r="AE65" i="2"/>
  <c r="AD65" i="2"/>
  <c r="AC65" i="2"/>
  <c r="AB65" i="2"/>
  <c r="AA65" i="2"/>
  <c r="Z65" i="2"/>
  <c r="AO64" i="2"/>
  <c r="AN64" i="2"/>
  <c r="AM64" i="2"/>
  <c r="AL64" i="2"/>
  <c r="AK64" i="2"/>
  <c r="AJ64" i="2"/>
  <c r="AI64" i="2"/>
  <c r="AH64" i="2"/>
  <c r="AG64" i="2"/>
  <c r="AF64" i="2"/>
  <c r="AE64" i="2"/>
  <c r="AD64" i="2"/>
  <c r="AC64" i="2"/>
  <c r="AB64" i="2"/>
  <c r="AA64" i="2"/>
  <c r="Z64" i="2"/>
  <c r="R67" i="2"/>
  <c r="Q67" i="2"/>
  <c r="P67" i="2"/>
  <c r="O67" i="2"/>
  <c r="N67" i="2"/>
  <c r="M67" i="2"/>
  <c r="L67" i="2"/>
  <c r="K67" i="2"/>
  <c r="J67" i="2"/>
  <c r="I67" i="2"/>
  <c r="H67" i="2"/>
  <c r="G67" i="2"/>
  <c r="F67" i="2"/>
  <c r="E67" i="2"/>
  <c r="D67" i="2"/>
  <c r="C67" i="2"/>
  <c r="B67" i="2"/>
  <c r="R66" i="2"/>
  <c r="Q66" i="2"/>
  <c r="P66" i="2"/>
  <c r="O66" i="2"/>
  <c r="N66" i="2"/>
  <c r="M66" i="2"/>
  <c r="L66" i="2"/>
  <c r="K66" i="2"/>
  <c r="J66" i="2"/>
  <c r="I66" i="2"/>
  <c r="H66" i="2"/>
  <c r="G66" i="2"/>
  <c r="F66" i="2"/>
  <c r="E66" i="2"/>
  <c r="D66" i="2"/>
  <c r="C66" i="2"/>
  <c r="B66" i="2"/>
  <c r="R65" i="2"/>
  <c r="Q65" i="2"/>
  <c r="P65" i="2"/>
  <c r="O65" i="2"/>
  <c r="N65" i="2"/>
  <c r="M65" i="2"/>
  <c r="L65" i="2"/>
  <c r="K65" i="2"/>
  <c r="J65" i="2"/>
  <c r="I65" i="2"/>
  <c r="H65" i="2"/>
  <c r="G65" i="2"/>
  <c r="F65" i="2"/>
  <c r="E65" i="2"/>
  <c r="D65" i="2"/>
  <c r="C65" i="2"/>
  <c r="B65" i="2"/>
  <c r="R64" i="2"/>
  <c r="Q64" i="2"/>
  <c r="P64" i="2"/>
  <c r="O64" i="2"/>
  <c r="N64" i="2"/>
  <c r="M64" i="2"/>
  <c r="L64" i="2"/>
  <c r="K64" i="2"/>
  <c r="J64" i="2"/>
  <c r="I64" i="2"/>
  <c r="H64" i="2"/>
  <c r="G64" i="2"/>
  <c r="F64" i="2"/>
  <c r="E64" i="2"/>
  <c r="D64" i="2"/>
  <c r="C64" i="2"/>
  <c r="B64" i="2"/>
  <c r="AO37" i="2"/>
  <c r="AN37" i="2"/>
  <c r="AM37" i="2"/>
  <c r="AL37" i="2"/>
  <c r="AK37" i="2"/>
  <c r="AJ37" i="2"/>
  <c r="AI37" i="2"/>
  <c r="AH37" i="2"/>
  <c r="AG37" i="2"/>
  <c r="AF37" i="2"/>
  <c r="AE37" i="2"/>
  <c r="AD37" i="2"/>
  <c r="AC37" i="2"/>
  <c r="AB37" i="2"/>
  <c r="AA37" i="2"/>
  <c r="Z37" i="2"/>
  <c r="Y37" i="2"/>
  <c r="X37" i="2"/>
  <c r="W37" i="2"/>
  <c r="V37" i="2"/>
  <c r="U37" i="2"/>
  <c r="T37" i="2"/>
  <c r="S37" i="2"/>
  <c r="R37" i="2"/>
  <c r="Q37" i="2"/>
  <c r="P37" i="2"/>
  <c r="O37" i="2"/>
  <c r="N37" i="2"/>
  <c r="M37" i="2"/>
  <c r="L37" i="2"/>
  <c r="K37" i="2"/>
  <c r="J37" i="2"/>
  <c r="I37" i="2"/>
  <c r="H37" i="2"/>
  <c r="G37" i="2"/>
  <c r="F37" i="2"/>
  <c r="E37" i="2"/>
  <c r="D37" i="2"/>
  <c r="C37" i="2"/>
  <c r="B37" i="2"/>
  <c r="AO36" i="2"/>
  <c r="AN36" i="2"/>
  <c r="AM36" i="2"/>
  <c r="AL36" i="2"/>
  <c r="AK36" i="2"/>
  <c r="AJ36" i="2"/>
  <c r="AI36" i="2"/>
  <c r="AH36" i="2"/>
  <c r="AG36" i="2"/>
  <c r="AF36" i="2"/>
  <c r="AE36" i="2"/>
  <c r="AD36" i="2"/>
  <c r="AC36" i="2"/>
  <c r="AB36" i="2"/>
  <c r="AA36" i="2"/>
  <c r="Z36" i="2"/>
  <c r="Y36" i="2"/>
  <c r="X36" i="2"/>
  <c r="W36" i="2"/>
  <c r="V36" i="2"/>
  <c r="U36" i="2"/>
  <c r="T36" i="2"/>
  <c r="S36" i="2"/>
  <c r="R36" i="2"/>
  <c r="Q36" i="2"/>
  <c r="P36" i="2"/>
  <c r="O36" i="2"/>
  <c r="N36" i="2"/>
  <c r="M36" i="2"/>
  <c r="L36" i="2"/>
  <c r="K36" i="2"/>
  <c r="J36" i="2"/>
  <c r="I36" i="2"/>
  <c r="H36" i="2"/>
  <c r="G36" i="2"/>
  <c r="F36" i="2"/>
  <c r="E36" i="2"/>
  <c r="D36" i="2"/>
  <c r="C36" i="2"/>
  <c r="B36" i="2"/>
  <c r="AO35" i="2"/>
  <c r="AN35" i="2"/>
  <c r="AM35" i="2"/>
  <c r="AL35" i="2"/>
  <c r="AK35" i="2"/>
  <c r="AJ35" i="2"/>
  <c r="AI35" i="2"/>
  <c r="AH35" i="2"/>
  <c r="AG35" i="2"/>
  <c r="AF35" i="2"/>
  <c r="AE35" i="2"/>
  <c r="AD35" i="2"/>
  <c r="AC35" i="2"/>
  <c r="AB35" i="2"/>
  <c r="AA35" i="2"/>
  <c r="Z35" i="2"/>
  <c r="Y35" i="2"/>
  <c r="X35" i="2"/>
  <c r="W35" i="2"/>
  <c r="V35" i="2"/>
  <c r="U35" i="2"/>
  <c r="T35" i="2"/>
  <c r="S35" i="2"/>
  <c r="R35" i="2"/>
  <c r="Q35" i="2"/>
  <c r="P35" i="2"/>
  <c r="O35" i="2"/>
  <c r="N35" i="2"/>
  <c r="M35" i="2"/>
  <c r="L35" i="2"/>
  <c r="K35" i="2"/>
  <c r="J35" i="2"/>
  <c r="I35" i="2"/>
  <c r="H35" i="2"/>
  <c r="G35" i="2"/>
  <c r="F35" i="2"/>
  <c r="E35" i="2"/>
  <c r="D35" i="2"/>
  <c r="C35" i="2"/>
  <c r="B35" i="2"/>
  <c r="AO34" i="2"/>
  <c r="AN34" i="2"/>
  <c r="AM34" i="2"/>
  <c r="AL34" i="2"/>
  <c r="AK34" i="2"/>
  <c r="AJ34" i="2"/>
  <c r="AI34" i="2"/>
  <c r="AH34" i="2"/>
  <c r="AG34" i="2"/>
  <c r="AF34" i="2"/>
  <c r="AE34" i="2"/>
  <c r="AD34" i="2"/>
  <c r="AC34" i="2"/>
  <c r="AB34" i="2"/>
  <c r="AA34" i="2"/>
  <c r="Z34" i="2"/>
  <c r="Y34" i="2"/>
  <c r="X34" i="2"/>
  <c r="W34" i="2"/>
  <c r="V34" i="2"/>
  <c r="U34" i="2"/>
  <c r="T34" i="2"/>
  <c r="S34" i="2"/>
  <c r="R34" i="2"/>
  <c r="Q34" i="2"/>
  <c r="P34" i="2"/>
  <c r="O34" i="2"/>
  <c r="N34" i="2"/>
  <c r="M34" i="2"/>
  <c r="L34" i="2"/>
  <c r="K34" i="2"/>
  <c r="J34" i="2"/>
  <c r="I34" i="2"/>
  <c r="H34" i="2"/>
  <c r="G34" i="2"/>
  <c r="F34" i="2"/>
  <c r="E34" i="2"/>
  <c r="D34" i="2"/>
  <c r="C34" i="2"/>
  <c r="B34" i="2"/>
  <c r="AO22" i="2"/>
  <c r="AN22" i="2"/>
  <c r="AM22" i="2"/>
  <c r="AL22" i="2"/>
  <c r="AK22" i="2"/>
  <c r="AJ22" i="2"/>
  <c r="AI22" i="2"/>
  <c r="AH22" i="2"/>
  <c r="AG22" i="2"/>
  <c r="AF22" i="2"/>
  <c r="AE22" i="2"/>
  <c r="AD22" i="2"/>
  <c r="AC22" i="2"/>
  <c r="AB22" i="2"/>
  <c r="AA22" i="2"/>
  <c r="Z22" i="2"/>
  <c r="Y22" i="2"/>
  <c r="X22" i="2"/>
  <c r="W22" i="2"/>
  <c r="V22" i="2"/>
  <c r="U22" i="2"/>
  <c r="T22" i="2"/>
  <c r="S22" i="2"/>
  <c r="R22" i="2"/>
  <c r="Q22" i="2"/>
  <c r="P22" i="2"/>
  <c r="O22" i="2"/>
  <c r="N22" i="2"/>
  <c r="M22" i="2"/>
  <c r="L22" i="2"/>
  <c r="K22" i="2"/>
  <c r="J22" i="2"/>
  <c r="I22" i="2"/>
  <c r="H22" i="2"/>
  <c r="G22" i="2"/>
  <c r="F22" i="2"/>
  <c r="E22" i="2"/>
  <c r="D22" i="2"/>
  <c r="C22" i="2"/>
  <c r="B22" i="2"/>
  <c r="AO21" i="2"/>
  <c r="AN21" i="2"/>
  <c r="AM21" i="2"/>
  <c r="AL21" i="2"/>
  <c r="AK21" i="2"/>
  <c r="AJ21" i="2"/>
  <c r="AI21" i="2"/>
  <c r="AH21" i="2"/>
  <c r="AG21" i="2"/>
  <c r="AF21" i="2"/>
  <c r="AE21" i="2"/>
  <c r="AD21" i="2"/>
  <c r="AC21" i="2"/>
  <c r="AB21" i="2"/>
  <c r="AA21" i="2"/>
  <c r="Z21" i="2"/>
  <c r="Y21" i="2"/>
  <c r="X21" i="2"/>
  <c r="W21" i="2"/>
  <c r="V21" i="2"/>
  <c r="U21" i="2"/>
  <c r="T21" i="2"/>
  <c r="S21" i="2"/>
  <c r="R21" i="2"/>
  <c r="Q21" i="2"/>
  <c r="P21" i="2"/>
  <c r="O21" i="2"/>
  <c r="N21" i="2"/>
  <c r="M21" i="2"/>
  <c r="L21" i="2"/>
  <c r="K21" i="2"/>
  <c r="J21" i="2"/>
  <c r="I21" i="2"/>
  <c r="H21" i="2"/>
  <c r="G21" i="2"/>
  <c r="F21" i="2"/>
  <c r="E21" i="2"/>
  <c r="D21" i="2"/>
  <c r="C21" i="2"/>
  <c r="B21" i="2"/>
  <c r="AO20" i="2"/>
  <c r="AN20" i="2"/>
  <c r="AM20" i="2"/>
  <c r="AL20" i="2"/>
  <c r="AK20" i="2"/>
  <c r="AJ20" i="2"/>
  <c r="AI20" i="2"/>
  <c r="AH20" i="2"/>
  <c r="AG20" i="2"/>
  <c r="AF20" i="2"/>
  <c r="AE20" i="2"/>
  <c r="AD20" i="2"/>
  <c r="AC20" i="2"/>
  <c r="AB20" i="2"/>
  <c r="AA20" i="2"/>
  <c r="Z20" i="2"/>
  <c r="Y20" i="2"/>
  <c r="X20" i="2"/>
  <c r="W20" i="2"/>
  <c r="V20" i="2"/>
  <c r="U20" i="2"/>
  <c r="T20" i="2"/>
  <c r="S20" i="2"/>
  <c r="R20" i="2"/>
  <c r="Q20" i="2"/>
  <c r="P20" i="2"/>
  <c r="O20" i="2"/>
  <c r="N20" i="2"/>
  <c r="M20" i="2"/>
  <c r="L20" i="2"/>
  <c r="K20" i="2"/>
  <c r="J20" i="2"/>
  <c r="I20" i="2"/>
  <c r="H20" i="2"/>
  <c r="G20" i="2"/>
  <c r="F20" i="2"/>
  <c r="E20" i="2"/>
  <c r="D20" i="2"/>
  <c r="C20" i="2"/>
  <c r="B20" i="2"/>
  <c r="AO19" i="2"/>
  <c r="AN19" i="2"/>
  <c r="AM19" i="2"/>
  <c r="AL19" i="2"/>
  <c r="AK19" i="2"/>
  <c r="AJ19" i="2"/>
  <c r="AI19" i="2"/>
  <c r="AH19" i="2"/>
  <c r="AG19" i="2"/>
  <c r="AF19" i="2"/>
  <c r="AE19" i="2"/>
  <c r="AD19" i="2"/>
  <c r="AC19" i="2"/>
  <c r="AB19" i="2"/>
  <c r="AA19" i="2"/>
  <c r="Z19" i="2"/>
  <c r="Y19" i="2"/>
  <c r="X19" i="2"/>
  <c r="W19" i="2"/>
  <c r="V19" i="2"/>
  <c r="U19" i="2"/>
  <c r="T19" i="2"/>
  <c r="S19" i="2"/>
  <c r="R19" i="2"/>
  <c r="Q19" i="2"/>
  <c r="P19" i="2"/>
  <c r="O19" i="2"/>
  <c r="N19" i="2"/>
  <c r="M19" i="2"/>
  <c r="L19" i="2"/>
  <c r="K19" i="2"/>
  <c r="J19" i="2"/>
  <c r="I19" i="2"/>
  <c r="H19" i="2"/>
  <c r="G19" i="2"/>
  <c r="F19" i="2"/>
  <c r="E19" i="2"/>
  <c r="D19" i="2"/>
  <c r="C19" i="2"/>
  <c r="B19" i="2"/>
  <c r="AO7" i="2"/>
  <c r="AN7" i="2"/>
  <c r="AM7" i="2"/>
  <c r="AL7" i="2"/>
  <c r="AK7" i="2"/>
  <c r="AJ7" i="2"/>
  <c r="AI7" i="2"/>
  <c r="AH7" i="2"/>
  <c r="AG7" i="2"/>
  <c r="AF7" i="2"/>
  <c r="AE7" i="2"/>
  <c r="AD7" i="2"/>
  <c r="AC7" i="2"/>
  <c r="AB7" i="2"/>
  <c r="AA7" i="2"/>
  <c r="Z7" i="2"/>
  <c r="Y7" i="2"/>
  <c r="X7" i="2"/>
  <c r="W7" i="2"/>
  <c r="V7" i="2"/>
  <c r="U7" i="2"/>
  <c r="T7" i="2"/>
  <c r="S7" i="2"/>
  <c r="R7" i="2"/>
  <c r="Q7" i="2"/>
  <c r="P7" i="2"/>
  <c r="O7" i="2"/>
  <c r="N7" i="2"/>
  <c r="M7" i="2"/>
  <c r="L7" i="2"/>
  <c r="K7" i="2"/>
  <c r="J7" i="2"/>
  <c r="I7" i="2"/>
  <c r="H7" i="2"/>
  <c r="G7" i="2"/>
  <c r="F7" i="2"/>
  <c r="E7" i="2"/>
  <c r="D7" i="2"/>
  <c r="C7" i="2"/>
  <c r="B7" i="2"/>
  <c r="AO6" i="2"/>
  <c r="AN6" i="2"/>
  <c r="AM6" i="2"/>
  <c r="AL6" i="2"/>
  <c r="AK6" i="2"/>
  <c r="AJ6" i="2"/>
  <c r="AI6" i="2"/>
  <c r="AH6" i="2"/>
  <c r="AG6" i="2"/>
  <c r="AF6" i="2"/>
  <c r="AE6" i="2"/>
  <c r="AD6" i="2"/>
  <c r="AC6" i="2"/>
  <c r="AB6" i="2"/>
  <c r="AA6" i="2"/>
  <c r="Z6" i="2"/>
  <c r="Y6" i="2"/>
  <c r="X6" i="2"/>
  <c r="W6" i="2"/>
  <c r="V6" i="2"/>
  <c r="U6" i="2"/>
  <c r="T6" i="2"/>
  <c r="S6" i="2"/>
  <c r="R6" i="2"/>
  <c r="Q6" i="2"/>
  <c r="P6" i="2"/>
  <c r="O6" i="2"/>
  <c r="N6" i="2"/>
  <c r="M6" i="2"/>
  <c r="L6" i="2"/>
  <c r="K6" i="2"/>
  <c r="J6" i="2"/>
  <c r="I6" i="2"/>
  <c r="H6" i="2"/>
  <c r="G6" i="2"/>
  <c r="F6" i="2"/>
  <c r="E6" i="2"/>
  <c r="D6" i="2"/>
  <c r="C6" i="2"/>
  <c r="B6" i="2"/>
  <c r="AO5" i="2"/>
  <c r="AN5" i="2"/>
  <c r="AM5" i="2"/>
  <c r="AL5" i="2"/>
  <c r="AK5" i="2"/>
  <c r="AJ5" i="2"/>
  <c r="AI5" i="2"/>
  <c r="AH5" i="2"/>
  <c r="AG5" i="2"/>
  <c r="AF5" i="2"/>
  <c r="AE5" i="2"/>
  <c r="AD5" i="2"/>
  <c r="AC5" i="2"/>
  <c r="AB5" i="2"/>
  <c r="AA5" i="2"/>
  <c r="Z5" i="2"/>
  <c r="Y5" i="2"/>
  <c r="X5" i="2"/>
  <c r="W5" i="2"/>
  <c r="V5" i="2"/>
  <c r="U5" i="2"/>
  <c r="T5" i="2"/>
  <c r="S5" i="2"/>
  <c r="R5" i="2"/>
  <c r="Q5" i="2"/>
  <c r="P5" i="2"/>
  <c r="O5" i="2"/>
  <c r="N5" i="2"/>
  <c r="M5" i="2"/>
  <c r="L5" i="2"/>
  <c r="K5" i="2"/>
  <c r="J5" i="2"/>
  <c r="I5" i="2"/>
  <c r="H5" i="2"/>
  <c r="G5" i="2"/>
  <c r="F5" i="2"/>
  <c r="E5" i="2"/>
  <c r="D5" i="2"/>
  <c r="C5" i="2"/>
  <c r="B5" i="2"/>
  <c r="AO4" i="2"/>
  <c r="AN4" i="2"/>
  <c r="AM4" i="2"/>
  <c r="AL4" i="2"/>
  <c r="AK4" i="2"/>
  <c r="AJ4" i="2"/>
  <c r="AI4" i="2"/>
  <c r="AH4" i="2"/>
  <c r="AG4" i="2"/>
  <c r="AF4" i="2"/>
  <c r="AE4" i="2"/>
  <c r="AD4" i="2"/>
  <c r="AC4" i="2"/>
  <c r="AB4" i="2"/>
  <c r="AA4" i="2"/>
  <c r="Z4" i="2"/>
  <c r="Y4" i="2"/>
  <c r="X4" i="2"/>
  <c r="W4" i="2"/>
  <c r="V4" i="2"/>
  <c r="U4" i="2"/>
  <c r="T4" i="2"/>
  <c r="S4" i="2"/>
  <c r="R4" i="2"/>
  <c r="Q4" i="2"/>
  <c r="P4" i="2"/>
  <c r="O4" i="2"/>
  <c r="N4" i="2"/>
  <c r="M4" i="2"/>
  <c r="L4" i="2"/>
  <c r="K4" i="2"/>
  <c r="J4" i="2"/>
  <c r="I4" i="2"/>
  <c r="H4" i="2"/>
  <c r="G4" i="2"/>
  <c r="F4" i="2"/>
  <c r="E4" i="2"/>
  <c r="D4" i="2"/>
  <c r="C4" i="2"/>
  <c r="B4" i="2"/>
  <c r="AU71" i="4"/>
  <c r="AU72" i="4"/>
  <c r="BF72" i="4"/>
  <c r="BE72" i="4"/>
  <c r="BD72" i="4"/>
  <c r="BC72" i="4"/>
  <c r="BB72" i="4"/>
  <c r="BA72" i="4"/>
  <c r="AZ72" i="4"/>
  <c r="AY72" i="4"/>
  <c r="AX72" i="4"/>
  <c r="AW72" i="4"/>
  <c r="AV72" i="4"/>
  <c r="BF71" i="4"/>
  <c r="BE71" i="4"/>
  <c r="BD71" i="4"/>
  <c r="BC71" i="4"/>
  <c r="BB71" i="4"/>
  <c r="BA71" i="4"/>
  <c r="AZ71" i="4"/>
  <c r="AY71" i="4"/>
  <c r="AX71" i="4"/>
  <c r="AW71" i="4"/>
  <c r="AV71" i="4"/>
  <c r="R31" i="40" l="1"/>
  <c r="Q31" i="40"/>
  <c r="P31" i="40"/>
  <c r="O31" i="40"/>
  <c r="N31" i="40"/>
  <c r="R30" i="40"/>
  <c r="Q30" i="40"/>
  <c r="P30" i="40"/>
  <c r="O30" i="40"/>
  <c r="N30" i="40"/>
  <c r="R28" i="40"/>
  <c r="Q28" i="40"/>
  <c r="P28" i="40"/>
  <c r="O28" i="40"/>
  <c r="N28" i="40"/>
  <c r="R27" i="40"/>
  <c r="Q27" i="40"/>
  <c r="P27" i="40"/>
  <c r="O27" i="40"/>
  <c r="N27" i="40"/>
  <c r="M7" i="17"/>
  <c r="L7" i="17"/>
  <c r="M6" i="17"/>
  <c r="L6" i="17"/>
  <c r="AR58" i="16"/>
  <c r="AP58" i="16"/>
  <c r="AO58" i="16"/>
  <c r="AM58" i="16"/>
  <c r="AL58" i="16"/>
  <c r="AJ58" i="16"/>
  <c r="Y58" i="16"/>
  <c r="V58" i="16"/>
  <c r="T58" i="16"/>
  <c r="S58" i="16"/>
  <c r="Q58" i="16"/>
  <c r="P58" i="16"/>
  <c r="N58" i="16"/>
  <c r="H58" i="16"/>
  <c r="E58" i="16"/>
  <c r="AM57" i="16"/>
  <c r="AJ57" i="16"/>
  <c r="AI57" i="16"/>
  <c r="AG57" i="16"/>
  <c r="AD57" i="16"/>
  <c r="AC57" i="16"/>
  <c r="AB57" i="16"/>
  <c r="AA57" i="16"/>
  <c r="Y57" i="16"/>
  <c r="X57" i="16"/>
  <c r="U57" i="16"/>
  <c r="K57" i="16"/>
  <c r="J57" i="16"/>
  <c r="I57" i="16"/>
  <c r="H57" i="16"/>
  <c r="E57" i="16"/>
  <c r="C57" i="16"/>
  <c r="AP56" i="16"/>
  <c r="AK56" i="16"/>
  <c r="AJ56" i="16"/>
  <c r="AI56" i="16"/>
  <c r="AH56" i="16"/>
  <c r="AF56" i="16"/>
  <c r="AB56" i="16"/>
  <c r="T56" i="16"/>
  <c r="M56" i="16"/>
  <c r="L56" i="16"/>
  <c r="J56" i="16"/>
  <c r="G56" i="16"/>
  <c r="F56" i="16"/>
  <c r="D56" i="16"/>
  <c r="AI55" i="16"/>
  <c r="AH55" i="16"/>
  <c r="AA55" i="16"/>
  <c r="S55" i="16"/>
  <c r="P55" i="16"/>
  <c r="M55" i="16"/>
  <c r="L55" i="16"/>
  <c r="E55" i="16"/>
  <c r="AS53" i="16"/>
  <c r="AQ53" i="16"/>
  <c r="AM53" i="16"/>
  <c r="AK53" i="16"/>
  <c r="AJ53" i="16"/>
  <c r="AI53" i="16"/>
  <c r="AG53" i="16"/>
  <c r="AF53" i="16"/>
  <c r="AD53" i="16"/>
  <c r="AA53" i="16"/>
  <c r="X53" i="16"/>
  <c r="U53" i="16"/>
  <c r="O53" i="16"/>
  <c r="N53" i="16"/>
  <c r="M53" i="16"/>
  <c r="K53" i="16"/>
  <c r="J53" i="16"/>
  <c r="H53" i="16"/>
  <c r="G53" i="16"/>
  <c r="BB48" i="16"/>
  <c r="BA48" i="16"/>
  <c r="AZ48" i="16"/>
  <c r="AY48" i="16"/>
  <c r="AX48" i="16"/>
  <c r="AW48" i="16"/>
  <c r="AV48" i="16"/>
  <c r="AU48" i="16"/>
  <c r="AT48" i="16"/>
  <c r="AS48" i="16"/>
  <c r="AR48" i="16"/>
  <c r="AQ48" i="16"/>
  <c r="AP48" i="16"/>
  <c r="AO48" i="16"/>
  <c r="AN48" i="16"/>
  <c r="AM48" i="16"/>
  <c r="AL48" i="16"/>
  <c r="AK48" i="16"/>
  <c r="AJ48" i="16"/>
  <c r="AI48" i="16"/>
  <c r="AH48" i="16"/>
  <c r="AG48" i="16"/>
  <c r="AF48" i="16"/>
  <c r="AE48" i="16"/>
  <c r="AD48" i="16"/>
  <c r="AC48" i="16"/>
  <c r="AB48" i="16"/>
  <c r="AA48" i="16"/>
  <c r="Z48" i="16"/>
  <c r="Y48" i="16"/>
  <c r="X48" i="16"/>
  <c r="W48" i="16"/>
  <c r="V48" i="16"/>
  <c r="U48" i="16"/>
  <c r="T48" i="16"/>
  <c r="S48" i="16"/>
  <c r="R48" i="16"/>
  <c r="Q48" i="16"/>
  <c r="P48" i="16"/>
  <c r="O48" i="16"/>
  <c r="N48" i="16"/>
  <c r="M48" i="16"/>
  <c r="L48" i="16"/>
  <c r="K48" i="16"/>
  <c r="J48" i="16"/>
  <c r="I48" i="16"/>
  <c r="H48" i="16"/>
  <c r="G48" i="16"/>
  <c r="F48" i="16"/>
  <c r="E48" i="16"/>
  <c r="D48" i="16"/>
  <c r="C48" i="16"/>
  <c r="BB47" i="16"/>
  <c r="BA47" i="16"/>
  <c r="AZ47" i="16"/>
  <c r="AY47" i="16"/>
  <c r="AX47" i="16"/>
  <c r="AW47" i="16"/>
  <c r="AV47" i="16"/>
  <c r="AU47" i="16"/>
  <c r="AT47" i="16"/>
  <c r="AS47" i="16"/>
  <c r="AR47" i="16"/>
  <c r="AQ47" i="16"/>
  <c r="AP47" i="16"/>
  <c r="AO47" i="16"/>
  <c r="AN47" i="16"/>
  <c r="AM47" i="16"/>
  <c r="AL47" i="16"/>
  <c r="AK47" i="16"/>
  <c r="AJ47" i="16"/>
  <c r="AI47" i="16"/>
  <c r="AH47" i="16"/>
  <c r="AG47" i="16"/>
  <c r="AG59" i="16" s="1"/>
  <c r="AF47" i="16"/>
  <c r="AE47" i="16"/>
  <c r="AD47" i="16"/>
  <c r="AC47" i="16"/>
  <c r="AB47" i="16"/>
  <c r="AA47" i="16"/>
  <c r="Z47" i="16"/>
  <c r="Y47" i="16"/>
  <c r="X47" i="16"/>
  <c r="W47" i="16"/>
  <c r="V47" i="16"/>
  <c r="U47" i="16"/>
  <c r="T47" i="16"/>
  <c r="S47" i="16"/>
  <c r="R47" i="16"/>
  <c r="Q47" i="16"/>
  <c r="P47" i="16"/>
  <c r="O47" i="16"/>
  <c r="N47" i="16"/>
  <c r="M47" i="16"/>
  <c r="L47" i="16"/>
  <c r="K47" i="16"/>
  <c r="K59" i="16" s="1"/>
  <c r="J47" i="16"/>
  <c r="I47" i="16"/>
  <c r="H47" i="16"/>
  <c r="G47" i="16"/>
  <c r="F47" i="16"/>
  <c r="E47" i="16"/>
  <c r="D47" i="16"/>
  <c r="C47" i="16"/>
  <c r="BB46" i="16"/>
  <c r="BA46" i="16"/>
  <c r="AZ46" i="16"/>
  <c r="AY46" i="16"/>
  <c r="AX46" i="16"/>
  <c r="AW46" i="16"/>
  <c r="AV46" i="16"/>
  <c r="AU46" i="16"/>
  <c r="AT46" i="16"/>
  <c r="AS46" i="16"/>
  <c r="AR46" i="16"/>
  <c r="AQ46" i="16"/>
  <c r="AP46" i="16"/>
  <c r="AO46" i="16"/>
  <c r="AN46" i="16"/>
  <c r="AM46" i="16"/>
  <c r="AL46" i="16"/>
  <c r="AK46" i="16"/>
  <c r="AJ46" i="16"/>
  <c r="AI46" i="16"/>
  <c r="AH46" i="16"/>
  <c r="AH59" i="16" s="1"/>
  <c r="AG46" i="16"/>
  <c r="AF46" i="16"/>
  <c r="AE46" i="16"/>
  <c r="AD46" i="16"/>
  <c r="AC46" i="16"/>
  <c r="AB46" i="16"/>
  <c r="AA46" i="16"/>
  <c r="Z46" i="16"/>
  <c r="Y46" i="16"/>
  <c r="X46" i="16"/>
  <c r="W46" i="16"/>
  <c r="V46" i="16"/>
  <c r="U46" i="16"/>
  <c r="T46" i="16"/>
  <c r="S46" i="16"/>
  <c r="S59" i="16" s="1"/>
  <c r="R46" i="16"/>
  <c r="Q46" i="16"/>
  <c r="P46" i="16"/>
  <c r="O46" i="16"/>
  <c r="N46" i="16"/>
  <c r="M46" i="16"/>
  <c r="L46" i="16"/>
  <c r="K46" i="16"/>
  <c r="J46" i="16"/>
  <c r="I46" i="16"/>
  <c r="H46" i="16"/>
  <c r="G46" i="16"/>
  <c r="F46" i="16"/>
  <c r="E46" i="16"/>
  <c r="D46" i="16"/>
  <c r="C46" i="16"/>
  <c r="BB45" i="16"/>
  <c r="BA45" i="16"/>
  <c r="AY45" i="16"/>
  <c r="AX45" i="16"/>
  <c r="AW45" i="16"/>
  <c r="AV45" i="16"/>
  <c r="AU45" i="16"/>
  <c r="AT45" i="16"/>
  <c r="AS45" i="16"/>
  <c r="AR45" i="16"/>
  <c r="AQ45" i="16"/>
  <c r="AP45" i="16"/>
  <c r="AO45" i="16"/>
  <c r="AN45" i="16"/>
  <c r="AM45" i="16"/>
  <c r="AL45" i="16"/>
  <c r="AK45" i="16"/>
  <c r="AJ45" i="16"/>
  <c r="AI45" i="16"/>
  <c r="AH45" i="16"/>
  <c r="AG45" i="16"/>
  <c r="AF45" i="16"/>
  <c r="AE45" i="16"/>
  <c r="AD45" i="16"/>
  <c r="AC45" i="16"/>
  <c r="AB45" i="16"/>
  <c r="AA45" i="16"/>
  <c r="Z45" i="16"/>
  <c r="Y45" i="16"/>
  <c r="X45" i="16"/>
  <c r="W45" i="16"/>
  <c r="V45" i="16"/>
  <c r="U45" i="16"/>
  <c r="T45" i="16"/>
  <c r="S45" i="16"/>
  <c r="R45" i="16"/>
  <c r="Q45" i="16"/>
  <c r="P45" i="16"/>
  <c r="O45" i="16"/>
  <c r="N45" i="16"/>
  <c r="M45" i="16"/>
  <c r="L45" i="16"/>
  <c r="K45" i="16"/>
  <c r="J45" i="16"/>
  <c r="I45" i="16"/>
  <c r="H45" i="16"/>
  <c r="G45" i="16"/>
  <c r="F45" i="16"/>
  <c r="E45" i="16"/>
  <c r="D45" i="16"/>
  <c r="C45" i="16"/>
  <c r="BA44" i="16"/>
  <c r="AZ44" i="16"/>
  <c r="AY44" i="16"/>
  <c r="AX44" i="16"/>
  <c r="AW44" i="16"/>
  <c r="AV44" i="16"/>
  <c r="AU44" i="16"/>
  <c r="AT44" i="16"/>
  <c r="AS44" i="16"/>
  <c r="AR44" i="16"/>
  <c r="AQ44" i="16"/>
  <c r="AP44" i="16"/>
  <c r="AO44" i="16"/>
  <c r="AN44" i="16"/>
  <c r="AM44" i="16"/>
  <c r="AL44" i="16"/>
  <c r="AK44" i="16"/>
  <c r="AJ44" i="16"/>
  <c r="AI44" i="16"/>
  <c r="AH44" i="16"/>
  <c r="AG44" i="16"/>
  <c r="AF44" i="16"/>
  <c r="AE44" i="16"/>
  <c r="AD44" i="16"/>
  <c r="AC44" i="16"/>
  <c r="AB44" i="16"/>
  <c r="AA44" i="16"/>
  <c r="Z44" i="16"/>
  <c r="Y44" i="16"/>
  <c r="X44" i="16"/>
  <c r="W44" i="16"/>
  <c r="V44" i="16"/>
  <c r="U44" i="16"/>
  <c r="T44" i="16"/>
  <c r="S44" i="16"/>
  <c r="R44" i="16"/>
  <c r="Q44" i="16"/>
  <c r="P44" i="16"/>
  <c r="O44" i="16"/>
  <c r="N44" i="16"/>
  <c r="M44" i="16"/>
  <c r="L44" i="16"/>
  <c r="K44" i="16"/>
  <c r="J44" i="16"/>
  <c r="I44" i="16"/>
  <c r="H44" i="16"/>
  <c r="G44" i="16"/>
  <c r="F44" i="16"/>
  <c r="E44" i="16"/>
  <c r="D44" i="16"/>
  <c r="C44" i="16"/>
  <c r="BB43" i="16"/>
  <c r="BA43" i="16"/>
  <c r="AZ43" i="16"/>
  <c r="AY43" i="16"/>
  <c r="AX43" i="16"/>
  <c r="AW43" i="16"/>
  <c r="AV43" i="16"/>
  <c r="AU43" i="16"/>
  <c r="AT43" i="16"/>
  <c r="AS43" i="16"/>
  <c r="AR43" i="16"/>
  <c r="AQ43" i="16"/>
  <c r="AP43" i="16"/>
  <c r="AO43" i="16"/>
  <c r="AN43" i="16"/>
  <c r="AM43" i="16"/>
  <c r="AL43" i="16"/>
  <c r="AK43" i="16"/>
  <c r="AJ43" i="16"/>
  <c r="AI43" i="16"/>
  <c r="AH43" i="16"/>
  <c r="AG43" i="16"/>
  <c r="AF43" i="16"/>
  <c r="AE43" i="16"/>
  <c r="AD43" i="16"/>
  <c r="AC43" i="16"/>
  <c r="AB43" i="16"/>
  <c r="AA43" i="16"/>
  <c r="Z43" i="16"/>
  <c r="Y43" i="16"/>
  <c r="X43" i="16"/>
  <c r="W43" i="16"/>
  <c r="V43" i="16"/>
  <c r="U43" i="16"/>
  <c r="T43" i="16"/>
  <c r="S43" i="16"/>
  <c r="R43" i="16"/>
  <c r="Q43" i="16"/>
  <c r="P43" i="16"/>
  <c r="O43" i="16"/>
  <c r="N43" i="16"/>
  <c r="M43" i="16"/>
  <c r="L43" i="16"/>
  <c r="K43" i="16"/>
  <c r="J43" i="16"/>
  <c r="I43" i="16"/>
  <c r="H43" i="16"/>
  <c r="G43" i="16"/>
  <c r="F43" i="16"/>
  <c r="E43" i="16"/>
  <c r="D43" i="16"/>
  <c r="C43" i="16"/>
  <c r="BB42" i="16"/>
  <c r="BA42" i="16"/>
  <c r="AZ42" i="16"/>
  <c r="AY42" i="16"/>
  <c r="AX42" i="16"/>
  <c r="AW42" i="16"/>
  <c r="AV42" i="16"/>
  <c r="AU42" i="16"/>
  <c r="AT42" i="16"/>
  <c r="AS42" i="16"/>
  <c r="AR42" i="16"/>
  <c r="AQ42" i="16"/>
  <c r="AP42" i="16"/>
  <c r="AO42" i="16"/>
  <c r="AN42" i="16"/>
  <c r="AM42" i="16"/>
  <c r="AL42" i="16"/>
  <c r="AK42" i="16"/>
  <c r="AJ42" i="16"/>
  <c r="AI42" i="16"/>
  <c r="AH42" i="16"/>
  <c r="AG42" i="16"/>
  <c r="AF42" i="16"/>
  <c r="AE42" i="16"/>
  <c r="AD42" i="16"/>
  <c r="AC42" i="16"/>
  <c r="AB42" i="16"/>
  <c r="AA42" i="16"/>
  <c r="Z42" i="16"/>
  <c r="Z59" i="16" s="1"/>
  <c r="Y42" i="16"/>
  <c r="X42" i="16"/>
  <c r="W42" i="16"/>
  <c r="V42" i="16"/>
  <c r="U42" i="16"/>
  <c r="T42" i="16"/>
  <c r="S42" i="16"/>
  <c r="R42" i="16"/>
  <c r="Q42" i="16"/>
  <c r="P42" i="16"/>
  <c r="O42" i="16"/>
  <c r="N42" i="16"/>
  <c r="M42" i="16"/>
  <c r="L42" i="16"/>
  <c r="K42" i="16"/>
  <c r="J42" i="16"/>
  <c r="I42" i="16"/>
  <c r="H42" i="16"/>
  <c r="G42" i="16"/>
  <c r="F42" i="16"/>
  <c r="E42" i="16"/>
  <c r="D42" i="16"/>
  <c r="D59" i="16" s="1"/>
  <c r="C42" i="16"/>
  <c r="BB41" i="16"/>
  <c r="BA41" i="16"/>
  <c r="AZ41" i="16"/>
  <c r="AY41" i="16"/>
  <c r="AX41" i="16"/>
  <c r="AW41" i="16"/>
  <c r="AV41" i="16"/>
  <c r="AU41" i="16"/>
  <c r="AT41" i="16"/>
  <c r="AS41" i="16"/>
  <c r="AS58" i="16" s="1"/>
  <c r="AR41" i="16"/>
  <c r="AQ41" i="16"/>
  <c r="AQ58" i="16" s="1"/>
  <c r="AP41" i="16"/>
  <c r="AO41" i="16"/>
  <c r="AN41" i="16"/>
  <c r="AN58" i="16" s="1"/>
  <c r="AM41" i="16"/>
  <c r="AL41" i="16"/>
  <c r="AK41" i="16"/>
  <c r="AK58" i="16" s="1"/>
  <c r="AJ41" i="16"/>
  <c r="AI41" i="16"/>
  <c r="AI58" i="16" s="1"/>
  <c r="AH41" i="16"/>
  <c r="AH58" i="16" s="1"/>
  <c r="AG41" i="16"/>
  <c r="AG58" i="16" s="1"/>
  <c r="AF41" i="16"/>
  <c r="AF58" i="16" s="1"/>
  <c r="AE41" i="16"/>
  <c r="AE58" i="16" s="1"/>
  <c r="AD41" i="16"/>
  <c r="AD58" i="16" s="1"/>
  <c r="AC41" i="16"/>
  <c r="AC58" i="16" s="1"/>
  <c r="AB41" i="16"/>
  <c r="AB58" i="16" s="1"/>
  <c r="AA41" i="16"/>
  <c r="AA58" i="16" s="1"/>
  <c r="Z41" i="16"/>
  <c r="Z58" i="16" s="1"/>
  <c r="Y41" i="16"/>
  <c r="X41" i="16"/>
  <c r="X58" i="16" s="1"/>
  <c r="W41" i="16"/>
  <c r="W58" i="16" s="1"/>
  <c r="V41" i="16"/>
  <c r="U41" i="16"/>
  <c r="U58" i="16" s="1"/>
  <c r="T41" i="16"/>
  <c r="S41" i="16"/>
  <c r="R41" i="16"/>
  <c r="R58" i="16" s="1"/>
  <c r="Q41" i="16"/>
  <c r="P41" i="16"/>
  <c r="O41" i="16"/>
  <c r="O58" i="16" s="1"/>
  <c r="N41" i="16"/>
  <c r="M41" i="16"/>
  <c r="M58" i="16" s="1"/>
  <c r="L41" i="16"/>
  <c r="L58" i="16" s="1"/>
  <c r="K41" i="16"/>
  <c r="K58" i="16" s="1"/>
  <c r="J41" i="16"/>
  <c r="J58" i="16" s="1"/>
  <c r="I41" i="16"/>
  <c r="I58" i="16" s="1"/>
  <c r="H41" i="16"/>
  <c r="G41" i="16"/>
  <c r="G58" i="16" s="1"/>
  <c r="F41" i="16"/>
  <c r="F58" i="16" s="1"/>
  <c r="E41" i="16"/>
  <c r="D41" i="16"/>
  <c r="D58" i="16" s="1"/>
  <c r="C41" i="16"/>
  <c r="C58" i="16" s="1"/>
  <c r="BB40" i="16"/>
  <c r="BA40" i="16"/>
  <c r="AZ40" i="16"/>
  <c r="AY40" i="16"/>
  <c r="AX40" i="16"/>
  <c r="AW40" i="16"/>
  <c r="AV40" i="16"/>
  <c r="AU40" i="16"/>
  <c r="AT40" i="16"/>
  <c r="AS40" i="16"/>
  <c r="AS57" i="16" s="1"/>
  <c r="AR40" i="16"/>
  <c r="AR57" i="16" s="1"/>
  <c r="AQ40" i="16"/>
  <c r="AQ57" i="16" s="1"/>
  <c r="AP40" i="16"/>
  <c r="AP57" i="16" s="1"/>
  <c r="AO40" i="16"/>
  <c r="AO57" i="16" s="1"/>
  <c r="AN40" i="16"/>
  <c r="AN57" i="16" s="1"/>
  <c r="AM40" i="16"/>
  <c r="AL40" i="16"/>
  <c r="AL57" i="16" s="1"/>
  <c r="AK40" i="16"/>
  <c r="AK57" i="16" s="1"/>
  <c r="AJ40" i="16"/>
  <c r="AI40" i="16"/>
  <c r="AH40" i="16"/>
  <c r="AH57" i="16" s="1"/>
  <c r="AG40" i="16"/>
  <c r="AF40" i="16"/>
  <c r="AF57" i="16" s="1"/>
  <c r="AE40" i="16"/>
  <c r="AE57" i="16" s="1"/>
  <c r="AD40" i="16"/>
  <c r="AC40" i="16"/>
  <c r="AB40" i="16"/>
  <c r="AA40" i="16"/>
  <c r="Z40" i="16"/>
  <c r="Z57" i="16" s="1"/>
  <c r="Y40" i="16"/>
  <c r="X40" i="16"/>
  <c r="W40" i="16"/>
  <c r="W57" i="16" s="1"/>
  <c r="V40" i="16"/>
  <c r="V57" i="16" s="1"/>
  <c r="U40" i="16"/>
  <c r="T40" i="16"/>
  <c r="T57" i="16" s="1"/>
  <c r="S40" i="16"/>
  <c r="S57" i="16" s="1"/>
  <c r="R40" i="16"/>
  <c r="R57" i="16" s="1"/>
  <c r="Q40" i="16"/>
  <c r="Q57" i="16" s="1"/>
  <c r="P40" i="16"/>
  <c r="P57" i="16" s="1"/>
  <c r="O40" i="16"/>
  <c r="O57" i="16" s="1"/>
  <c r="N40" i="16"/>
  <c r="N57" i="16" s="1"/>
  <c r="M40" i="16"/>
  <c r="M57" i="16" s="1"/>
  <c r="L40" i="16"/>
  <c r="L57" i="16" s="1"/>
  <c r="K40" i="16"/>
  <c r="J40" i="16"/>
  <c r="I40" i="16"/>
  <c r="H40" i="16"/>
  <c r="G40" i="16"/>
  <c r="G57" i="16" s="1"/>
  <c r="F40" i="16"/>
  <c r="F57" i="16" s="1"/>
  <c r="E40" i="16"/>
  <c r="D40" i="16"/>
  <c r="D57" i="16" s="1"/>
  <c r="C40" i="16"/>
  <c r="BB39" i="16"/>
  <c r="BA39" i="16"/>
  <c r="AZ39" i="16"/>
  <c r="AY39" i="16"/>
  <c r="AX39" i="16"/>
  <c r="AW39" i="16"/>
  <c r="AV39" i="16"/>
  <c r="AU39" i="16"/>
  <c r="AT39" i="16"/>
  <c r="AS39" i="16"/>
  <c r="AR39" i="16"/>
  <c r="AR53" i="16" s="1"/>
  <c r="AQ39" i="16"/>
  <c r="AP39" i="16"/>
  <c r="AP53" i="16" s="1"/>
  <c r="AO39" i="16"/>
  <c r="AO53" i="16" s="1"/>
  <c r="AN39" i="16"/>
  <c r="AN53" i="16" s="1"/>
  <c r="AM39" i="16"/>
  <c r="AL39" i="16"/>
  <c r="AL53" i="16" s="1"/>
  <c r="AK39" i="16"/>
  <c r="AJ39" i="16"/>
  <c r="AI39" i="16"/>
  <c r="AH39" i="16"/>
  <c r="AH53" i="16" s="1"/>
  <c r="AG39" i="16"/>
  <c r="AF39" i="16"/>
  <c r="AE39" i="16"/>
  <c r="AE53" i="16" s="1"/>
  <c r="AD39" i="16"/>
  <c r="AC39" i="16"/>
  <c r="AC53" i="16" s="1"/>
  <c r="AB39" i="16"/>
  <c r="AB53" i="16" s="1"/>
  <c r="AA39" i="16"/>
  <c r="Z39" i="16"/>
  <c r="Z53" i="16" s="1"/>
  <c r="Y39" i="16"/>
  <c r="Y53" i="16" s="1"/>
  <c r="X39" i="16"/>
  <c r="W39" i="16"/>
  <c r="W53" i="16" s="1"/>
  <c r="V39" i="16"/>
  <c r="V53" i="16" s="1"/>
  <c r="U39" i="16"/>
  <c r="T39" i="16"/>
  <c r="T53" i="16" s="1"/>
  <c r="S39" i="16"/>
  <c r="S53" i="16" s="1"/>
  <c r="R39" i="16"/>
  <c r="R53" i="16" s="1"/>
  <c r="Q39" i="16"/>
  <c r="Q53" i="16" s="1"/>
  <c r="P39" i="16"/>
  <c r="P53" i="16" s="1"/>
  <c r="O39" i="16"/>
  <c r="N39" i="16"/>
  <c r="M39" i="16"/>
  <c r="L39" i="16"/>
  <c r="L53" i="16" s="1"/>
  <c r="K39" i="16"/>
  <c r="J39" i="16"/>
  <c r="I39" i="16"/>
  <c r="I53" i="16" s="1"/>
  <c r="H39" i="16"/>
  <c r="G39" i="16"/>
  <c r="F39" i="16"/>
  <c r="F53" i="16" s="1"/>
  <c r="E39" i="16"/>
  <c r="E53" i="16" s="1"/>
  <c r="D39" i="16"/>
  <c r="D53" i="16" s="1"/>
  <c r="C39" i="16"/>
  <c r="C53" i="16" s="1"/>
  <c r="BB38" i="16"/>
  <c r="BA38" i="16"/>
  <c r="AZ38" i="16"/>
  <c r="AY38" i="16"/>
  <c r="BB37" i="16"/>
  <c r="BA37" i="16"/>
  <c r="AZ37" i="16"/>
  <c r="AY37" i="16"/>
  <c r="AX37" i="16"/>
  <c r="AW37" i="16"/>
  <c r="AV37" i="16"/>
  <c r="AU37" i="16"/>
  <c r="AT37" i="16"/>
  <c r="AS37" i="16"/>
  <c r="AR37" i="16"/>
  <c r="AQ37" i="16"/>
  <c r="AP37" i="16"/>
  <c r="AO37" i="16"/>
  <c r="AN37" i="16"/>
  <c r="AM37" i="16"/>
  <c r="AL37" i="16"/>
  <c r="AK37" i="16"/>
  <c r="AK59" i="16" s="1"/>
  <c r="AJ37" i="16"/>
  <c r="AI37" i="16"/>
  <c r="AI59" i="16" s="1"/>
  <c r="AH37" i="16"/>
  <c r="AG37" i="16"/>
  <c r="AF37" i="16"/>
  <c r="AE37" i="16"/>
  <c r="AE59" i="16" s="1"/>
  <c r="AD37" i="16"/>
  <c r="AC37" i="16"/>
  <c r="AB37" i="16"/>
  <c r="AA37" i="16"/>
  <c r="Z37" i="16"/>
  <c r="Y37" i="16"/>
  <c r="X37" i="16"/>
  <c r="W37" i="16"/>
  <c r="V37" i="16"/>
  <c r="U37" i="16"/>
  <c r="T37" i="16"/>
  <c r="S37" i="16"/>
  <c r="R37" i="16"/>
  <c r="Q37" i="16"/>
  <c r="P37" i="16"/>
  <c r="O37" i="16"/>
  <c r="O59" i="16" s="1"/>
  <c r="N37" i="16"/>
  <c r="M37" i="16"/>
  <c r="M59" i="16" s="1"/>
  <c r="L37" i="16"/>
  <c r="K37" i="16"/>
  <c r="J37" i="16"/>
  <c r="I37" i="16"/>
  <c r="I59" i="16" s="1"/>
  <c r="H37" i="16"/>
  <c r="G37" i="16"/>
  <c r="F37" i="16"/>
  <c r="E37" i="16"/>
  <c r="D37" i="16"/>
  <c r="C37" i="16"/>
  <c r="BB36" i="16"/>
  <c r="BA36" i="16"/>
  <c r="AZ36" i="16"/>
  <c r="AY36" i="16"/>
  <c r="AX36" i="16"/>
  <c r="AW36" i="16"/>
  <c r="AV36" i="16"/>
  <c r="AU36" i="16"/>
  <c r="AT36" i="16"/>
  <c r="AS36" i="16"/>
  <c r="AR36" i="16"/>
  <c r="AQ36" i="16"/>
  <c r="AP36" i="16"/>
  <c r="AO36" i="16"/>
  <c r="AN36" i="16"/>
  <c r="AM36" i="16"/>
  <c r="AL36" i="16"/>
  <c r="AL55" i="16" s="1"/>
  <c r="AK36" i="16"/>
  <c r="AJ36" i="16"/>
  <c r="AI36" i="16"/>
  <c r="AH36" i="16"/>
  <c r="AG36" i="16"/>
  <c r="AF36" i="16"/>
  <c r="AE36" i="16"/>
  <c r="AD36" i="16"/>
  <c r="AC36" i="16"/>
  <c r="AB36" i="16"/>
  <c r="AA36" i="16"/>
  <c r="Z36" i="16"/>
  <c r="Y36" i="16"/>
  <c r="X36" i="16"/>
  <c r="X55" i="16" s="1"/>
  <c r="W36" i="16"/>
  <c r="V36" i="16"/>
  <c r="V55" i="16" s="1"/>
  <c r="U36" i="16"/>
  <c r="T36" i="16"/>
  <c r="S36" i="16"/>
  <c r="R36" i="16"/>
  <c r="Q36" i="16"/>
  <c r="P36" i="16"/>
  <c r="O36" i="16"/>
  <c r="N36" i="16"/>
  <c r="M36" i="16"/>
  <c r="L36" i="16"/>
  <c r="K36" i="16"/>
  <c r="J36" i="16"/>
  <c r="I36" i="16"/>
  <c r="H36" i="16"/>
  <c r="G36" i="16"/>
  <c r="F36" i="16"/>
  <c r="E36" i="16"/>
  <c r="D36" i="16"/>
  <c r="C36" i="16"/>
  <c r="BB35" i="16"/>
  <c r="BA35" i="16"/>
  <c r="AZ35" i="16"/>
  <c r="AY35" i="16"/>
  <c r="AX35" i="16"/>
  <c r="AW35" i="16"/>
  <c r="AV35" i="16"/>
  <c r="AU35" i="16"/>
  <c r="AT35" i="16"/>
  <c r="AS35" i="16"/>
  <c r="AR35" i="16"/>
  <c r="AQ35" i="16"/>
  <c r="AP35" i="16"/>
  <c r="AP55" i="16" s="1"/>
  <c r="AO35" i="16"/>
  <c r="AO55" i="16" s="1"/>
  <c r="AN35" i="16"/>
  <c r="AM35" i="16"/>
  <c r="AL35" i="16"/>
  <c r="AK35" i="16"/>
  <c r="AK55" i="16" s="1"/>
  <c r="AJ35" i="16"/>
  <c r="AI35" i="16"/>
  <c r="AH35" i="16"/>
  <c r="AG35" i="16"/>
  <c r="AG55" i="16" s="1"/>
  <c r="AF35" i="16"/>
  <c r="AF55" i="16" s="1"/>
  <c r="AE35" i="16"/>
  <c r="AE55" i="16" s="1"/>
  <c r="AD35" i="16"/>
  <c r="AD55" i="16" s="1"/>
  <c r="AC35" i="16"/>
  <c r="AC55" i="16" s="1"/>
  <c r="AB35" i="16"/>
  <c r="AB55" i="16" s="1"/>
  <c r="AA35" i="16"/>
  <c r="Z35" i="16"/>
  <c r="Z55" i="16" s="1"/>
  <c r="Y35" i="16"/>
  <c r="Y55" i="16" s="1"/>
  <c r="X35" i="16"/>
  <c r="W35" i="16"/>
  <c r="V35" i="16"/>
  <c r="U35" i="16"/>
  <c r="T35" i="16"/>
  <c r="T55" i="16" s="1"/>
  <c r="S35" i="16"/>
  <c r="R35" i="16"/>
  <c r="Q35" i="16"/>
  <c r="P35" i="16"/>
  <c r="O35" i="16"/>
  <c r="O55" i="16" s="1"/>
  <c r="N35" i="16"/>
  <c r="N55" i="16" s="1"/>
  <c r="M35" i="16"/>
  <c r="L35" i="16"/>
  <c r="K35" i="16"/>
  <c r="K55" i="16" s="1"/>
  <c r="J35" i="16"/>
  <c r="J55" i="16" s="1"/>
  <c r="I35" i="16"/>
  <c r="I55" i="16" s="1"/>
  <c r="H35" i="16"/>
  <c r="H55" i="16" s="1"/>
  <c r="G35" i="16"/>
  <c r="G55" i="16" s="1"/>
  <c r="F35" i="16"/>
  <c r="F55" i="16" s="1"/>
  <c r="E35" i="16"/>
  <c r="D35" i="16"/>
  <c r="D55" i="16" s="1"/>
  <c r="C35" i="16"/>
  <c r="C55" i="16" s="1"/>
  <c r="BB34" i="16"/>
  <c r="BA34" i="16"/>
  <c r="AZ34" i="16"/>
  <c r="AY34" i="16"/>
  <c r="AX34" i="16"/>
  <c r="AW34" i="16"/>
  <c r="AV34" i="16"/>
  <c r="AU34" i="16"/>
  <c r="AT34" i="16"/>
  <c r="AS34" i="16"/>
  <c r="AR34" i="16"/>
  <c r="AQ34" i="16"/>
  <c r="AP34" i="16"/>
  <c r="AO34" i="16"/>
  <c r="AN34" i="16"/>
  <c r="AM34" i="16"/>
  <c r="AL34" i="16"/>
  <c r="AL56" i="16" s="1"/>
  <c r="AK34" i="16"/>
  <c r="AJ34" i="16"/>
  <c r="AI34" i="16"/>
  <c r="AH34" i="16"/>
  <c r="AG34" i="16"/>
  <c r="AG56" i="16" s="1"/>
  <c r="AF34" i="16"/>
  <c r="AE34" i="16"/>
  <c r="AD34" i="16"/>
  <c r="AC34" i="16"/>
  <c r="AB34" i="16"/>
  <c r="AA34" i="16"/>
  <c r="Z34" i="16"/>
  <c r="Y34" i="16"/>
  <c r="X34" i="16"/>
  <c r="W34" i="16"/>
  <c r="V34" i="16"/>
  <c r="U34" i="16"/>
  <c r="T34" i="16"/>
  <c r="S34" i="16"/>
  <c r="R34" i="16"/>
  <c r="Q34" i="16"/>
  <c r="P34" i="16"/>
  <c r="P56" i="16" s="1"/>
  <c r="O34" i="16"/>
  <c r="O56" i="16" s="1"/>
  <c r="N34" i="16"/>
  <c r="N56" i="16" s="1"/>
  <c r="M34" i="16"/>
  <c r="L34" i="16"/>
  <c r="K34" i="16"/>
  <c r="J34" i="16"/>
  <c r="I34" i="16"/>
  <c r="H34" i="16"/>
  <c r="G34" i="16"/>
  <c r="F34" i="16"/>
  <c r="E34" i="16"/>
  <c r="D34" i="16"/>
  <c r="C34" i="16"/>
  <c r="BB33" i="16"/>
  <c r="BA33" i="16"/>
  <c r="AZ33" i="16"/>
  <c r="AY33" i="16"/>
  <c r="AX33" i="16"/>
  <c r="AW33" i="16"/>
  <c r="AV33" i="16"/>
  <c r="AU33" i="16"/>
  <c r="AT33" i="16"/>
  <c r="AS33" i="16"/>
  <c r="AS56" i="16" s="1"/>
  <c r="AR33" i="16"/>
  <c r="AQ33" i="16"/>
  <c r="AQ56" i="16" s="1"/>
  <c r="AP33" i="16"/>
  <c r="AO33" i="16"/>
  <c r="AO56" i="16" s="1"/>
  <c r="AN33" i="16"/>
  <c r="AM33" i="16"/>
  <c r="AL33" i="16"/>
  <c r="AK33" i="16"/>
  <c r="AJ33" i="16"/>
  <c r="AI33" i="16"/>
  <c r="AH33" i="16"/>
  <c r="AG33" i="16"/>
  <c r="AF33" i="16"/>
  <c r="AE33" i="16"/>
  <c r="AE56" i="16" s="1"/>
  <c r="AD33" i="16"/>
  <c r="AD56" i="16" s="1"/>
  <c r="AC33" i="16"/>
  <c r="AC56" i="16" s="1"/>
  <c r="AB33" i="16"/>
  <c r="AA33" i="16"/>
  <c r="AA56" i="16" s="1"/>
  <c r="Z33" i="16"/>
  <c r="Z56" i="16" s="1"/>
  <c r="Y33" i="16"/>
  <c r="Y56" i="16" s="1"/>
  <c r="X33" i="16"/>
  <c r="X56" i="16" s="1"/>
  <c r="W33" i="16"/>
  <c r="W56" i="16" s="1"/>
  <c r="V33" i="16"/>
  <c r="U33" i="16"/>
  <c r="U56" i="16" s="1"/>
  <c r="T33" i="16"/>
  <c r="S33" i="16"/>
  <c r="S56" i="16" s="1"/>
  <c r="R33" i="16"/>
  <c r="Q33" i="16"/>
  <c r="P33" i="16"/>
  <c r="O33" i="16"/>
  <c r="N33" i="16"/>
  <c r="M33" i="16"/>
  <c r="L33" i="16"/>
  <c r="K33" i="16"/>
  <c r="J33" i="16"/>
  <c r="I33" i="16"/>
  <c r="I56" i="16" s="1"/>
  <c r="H33" i="16"/>
  <c r="H56" i="16" s="1"/>
  <c r="G33" i="16"/>
  <c r="F33" i="16"/>
  <c r="E33" i="16"/>
  <c r="E56" i="16" s="1"/>
  <c r="D33" i="16"/>
  <c r="C33" i="16"/>
  <c r="C56" i="16" s="1"/>
  <c r="AO28" i="16"/>
  <c r="AN28" i="16"/>
  <c r="AD28" i="16"/>
  <c r="S28" i="16"/>
  <c r="Q28" i="16"/>
  <c r="P28" i="16"/>
  <c r="H28" i="16"/>
  <c r="C28" i="16"/>
  <c r="AO27" i="16"/>
  <c r="AN27" i="16"/>
  <c r="AM27" i="16"/>
  <c r="AL27" i="16"/>
  <c r="AJ27" i="16"/>
  <c r="AD27" i="16"/>
  <c r="Y27" i="16"/>
  <c r="W27" i="16"/>
  <c r="V27" i="16"/>
  <c r="U27" i="16"/>
  <c r="T27" i="16"/>
  <c r="S27" i="16"/>
  <c r="R27" i="16"/>
  <c r="P27" i="16"/>
  <c r="N27" i="16"/>
  <c r="L27" i="16"/>
  <c r="H27" i="16"/>
  <c r="F27" i="16"/>
  <c r="C27" i="16"/>
  <c r="AK26" i="16"/>
  <c r="AJ26" i="16"/>
  <c r="AI26" i="16"/>
  <c r="AH26" i="16"/>
  <c r="AG26" i="16"/>
  <c r="AF26" i="16"/>
  <c r="AE26" i="16"/>
  <c r="T26" i="16"/>
  <c r="R26" i="16"/>
  <c r="P26" i="16"/>
  <c r="N26" i="16"/>
  <c r="M26" i="16"/>
  <c r="L26" i="16"/>
  <c r="K26" i="16"/>
  <c r="J26" i="16"/>
  <c r="I26" i="16"/>
  <c r="G26" i="16"/>
  <c r="C26" i="16"/>
  <c r="AG25" i="16"/>
  <c r="AB25" i="16"/>
  <c r="Y25" i="16"/>
  <c r="W25" i="16"/>
  <c r="V25" i="16"/>
  <c r="U25" i="16"/>
  <c r="T25" i="16"/>
  <c r="O25" i="16"/>
  <c r="L25" i="16"/>
  <c r="K25" i="16"/>
  <c r="J25" i="16"/>
  <c r="G25" i="16"/>
  <c r="E25" i="16"/>
  <c r="AL24" i="16"/>
  <c r="AF24" i="16"/>
  <c r="AB24" i="16"/>
  <c r="V24" i="16"/>
  <c r="U24" i="16"/>
  <c r="T24" i="16"/>
  <c r="Q24" i="16"/>
  <c r="P24" i="16"/>
  <c r="O24" i="16"/>
  <c r="N24" i="16"/>
  <c r="J24" i="16"/>
  <c r="AM22" i="16"/>
  <c r="AL22" i="16"/>
  <c r="AK22" i="16"/>
  <c r="AJ22" i="16"/>
  <c r="AI22" i="16"/>
  <c r="AH22" i="16"/>
  <c r="AE22" i="16"/>
  <c r="AD22" i="16"/>
  <c r="AC22" i="16"/>
  <c r="AB22" i="16"/>
  <c r="S22" i="16"/>
  <c r="Q22" i="16"/>
  <c r="P22" i="16"/>
  <c r="O22" i="16"/>
  <c r="N22" i="16"/>
  <c r="M22" i="16"/>
  <c r="L22" i="16"/>
  <c r="J22" i="16"/>
  <c r="I22" i="16"/>
  <c r="H22" i="16"/>
  <c r="F22" i="16"/>
  <c r="D22" i="16"/>
  <c r="AO19" i="16"/>
  <c r="AN19" i="16"/>
  <c r="AM19" i="16"/>
  <c r="AL19" i="16"/>
  <c r="AK19" i="16"/>
  <c r="AJ19" i="16"/>
  <c r="AI19" i="16"/>
  <c r="AH19" i="16"/>
  <c r="AG19" i="16"/>
  <c r="AO18" i="16"/>
  <c r="AN18" i="16"/>
  <c r="AM18" i="16"/>
  <c r="AL18" i="16"/>
  <c r="AK18" i="16"/>
  <c r="AJ18" i="16"/>
  <c r="AI18" i="16"/>
  <c r="AH18" i="16"/>
  <c r="AG18" i="16"/>
  <c r="AL17" i="16"/>
  <c r="AK17" i="16"/>
  <c r="AJ17" i="16"/>
  <c r="AI17" i="16"/>
  <c r="AH17" i="16"/>
  <c r="AD16" i="16"/>
  <c r="AC16" i="16"/>
  <c r="AB16" i="16"/>
  <c r="AA16" i="16"/>
  <c r="Z16" i="16"/>
  <c r="Y16" i="16"/>
  <c r="X16" i="16"/>
  <c r="W16" i="16"/>
  <c r="V16" i="16"/>
  <c r="U16" i="16"/>
  <c r="T16" i="16"/>
  <c r="AO15" i="16"/>
  <c r="AN15" i="16"/>
  <c r="AM15" i="16"/>
  <c r="AL15" i="16"/>
  <c r="AK15" i="16"/>
  <c r="AJ15" i="16"/>
  <c r="AI15" i="16"/>
  <c r="AH15" i="16"/>
  <c r="AG15" i="16"/>
  <c r="AF15" i="16"/>
  <c r="AE15" i="16"/>
  <c r="AD15" i="16"/>
  <c r="AC15" i="16"/>
  <c r="AB15" i="16"/>
  <c r="AA15" i="16"/>
  <c r="Z15" i="16"/>
  <c r="Y15" i="16"/>
  <c r="X15" i="16"/>
  <c r="W15" i="16"/>
  <c r="V15" i="16"/>
  <c r="AO14" i="16"/>
  <c r="AN14" i="16"/>
  <c r="AM14" i="16"/>
  <c r="AL14" i="16"/>
  <c r="AK14" i="16"/>
  <c r="AJ14" i="16"/>
  <c r="AI14" i="16"/>
  <c r="AH14" i="16"/>
  <c r="AG14" i="16"/>
  <c r="AF14" i="16"/>
  <c r="AE14" i="16"/>
  <c r="AD14" i="16"/>
  <c r="AC14" i="16"/>
  <c r="AB14" i="16"/>
  <c r="AA14" i="16"/>
  <c r="Z14" i="16"/>
  <c r="Y14" i="16"/>
  <c r="X14" i="16"/>
  <c r="W14" i="16"/>
  <c r="V14" i="16"/>
  <c r="U14" i="16"/>
  <c r="T14" i="16"/>
  <c r="S14" i="16"/>
  <c r="R14" i="16"/>
  <c r="Q14" i="16"/>
  <c r="P14" i="16"/>
  <c r="O14" i="16"/>
  <c r="N14" i="16"/>
  <c r="M14" i="16"/>
  <c r="L14" i="16"/>
  <c r="K14" i="16"/>
  <c r="J14" i="16"/>
  <c r="I14" i="16"/>
  <c r="H14" i="16"/>
  <c r="G14" i="16"/>
  <c r="F14" i="16"/>
  <c r="E14" i="16"/>
  <c r="D14" i="16"/>
  <c r="C14" i="16"/>
  <c r="AO13" i="16"/>
  <c r="AN13" i="16"/>
  <c r="AM13" i="16"/>
  <c r="AL13" i="16"/>
  <c r="AK13" i="16"/>
  <c r="AJ13" i="16"/>
  <c r="AI13" i="16"/>
  <c r="AH13" i="16"/>
  <c r="AG13" i="16"/>
  <c r="AF13" i="16"/>
  <c r="AE13" i="16"/>
  <c r="AD13" i="16"/>
  <c r="AC13" i="16"/>
  <c r="AB13" i="16"/>
  <c r="AA13" i="16"/>
  <c r="Z13" i="16"/>
  <c r="Y13" i="16"/>
  <c r="X13" i="16"/>
  <c r="W13" i="16"/>
  <c r="V13" i="16"/>
  <c r="U13" i="16"/>
  <c r="T13" i="16"/>
  <c r="S13" i="16"/>
  <c r="R13" i="16"/>
  <c r="R28" i="16" s="1"/>
  <c r="Q13" i="16"/>
  <c r="P13" i="16"/>
  <c r="O13" i="16"/>
  <c r="O28" i="16" s="1"/>
  <c r="N13" i="16"/>
  <c r="M13" i="16"/>
  <c r="L13" i="16"/>
  <c r="K13" i="16"/>
  <c r="K28" i="16" s="1"/>
  <c r="J13" i="16"/>
  <c r="I13" i="16"/>
  <c r="H13" i="16"/>
  <c r="G13" i="16"/>
  <c r="F13" i="16"/>
  <c r="E13" i="16"/>
  <c r="D13" i="16"/>
  <c r="C13" i="16"/>
  <c r="AO12" i="16"/>
  <c r="AN12" i="16"/>
  <c r="AM12" i="16"/>
  <c r="AL12" i="16"/>
  <c r="AK12" i="16"/>
  <c r="AK27" i="16" s="1"/>
  <c r="AJ12" i="16"/>
  <c r="AI12" i="16"/>
  <c r="AI27" i="16" s="1"/>
  <c r="AH12" i="16"/>
  <c r="AH27" i="16" s="1"/>
  <c r="AG12" i="16"/>
  <c r="AG27" i="16" s="1"/>
  <c r="AF12" i="16"/>
  <c r="AF27" i="16" s="1"/>
  <c r="AE12" i="16"/>
  <c r="AE27" i="16" s="1"/>
  <c r="AD12" i="16"/>
  <c r="AC12" i="16"/>
  <c r="AC27" i="16" s="1"/>
  <c r="AB12" i="16"/>
  <c r="AB27" i="16" s="1"/>
  <c r="AA12" i="16"/>
  <c r="AA27" i="16" s="1"/>
  <c r="Z12" i="16"/>
  <c r="Z27" i="16" s="1"/>
  <c r="Y12" i="16"/>
  <c r="X12" i="16"/>
  <c r="X27" i="16" s="1"/>
  <c r="W12" i="16"/>
  <c r="V12" i="16"/>
  <c r="U12" i="16"/>
  <c r="T12" i="16"/>
  <c r="S12" i="16"/>
  <c r="R12" i="16"/>
  <c r="Q12" i="16"/>
  <c r="Q27" i="16" s="1"/>
  <c r="P12" i="16"/>
  <c r="O12" i="16"/>
  <c r="O27" i="16" s="1"/>
  <c r="N12" i="16"/>
  <c r="M12" i="16"/>
  <c r="M27" i="16" s="1"/>
  <c r="L12" i="16"/>
  <c r="K12" i="16"/>
  <c r="K27" i="16" s="1"/>
  <c r="J12" i="16"/>
  <c r="J27" i="16" s="1"/>
  <c r="I12" i="16"/>
  <c r="I27" i="16" s="1"/>
  <c r="H12" i="16"/>
  <c r="G12" i="16"/>
  <c r="G27" i="16" s="1"/>
  <c r="F12" i="16"/>
  <c r="E12" i="16"/>
  <c r="E27" i="16" s="1"/>
  <c r="D12" i="16"/>
  <c r="D27" i="16" s="1"/>
  <c r="C12" i="16"/>
  <c r="AO11" i="16"/>
  <c r="AO26" i="16" s="1"/>
  <c r="AN11" i="16"/>
  <c r="AN26" i="16" s="1"/>
  <c r="AM11" i="16"/>
  <c r="AM26" i="16" s="1"/>
  <c r="AL11" i="16"/>
  <c r="AL26" i="16" s="1"/>
  <c r="AK11" i="16"/>
  <c r="AJ11" i="16"/>
  <c r="AI11" i="16"/>
  <c r="AH11" i="16"/>
  <c r="AG11" i="16"/>
  <c r="AF11" i="16"/>
  <c r="AE11" i="16"/>
  <c r="AD11" i="16"/>
  <c r="AD26" i="16" s="1"/>
  <c r="AC11" i="16"/>
  <c r="AC26" i="16" s="1"/>
  <c r="AB11" i="16"/>
  <c r="AB26" i="16" s="1"/>
  <c r="AA11" i="16"/>
  <c r="AA26" i="16" s="1"/>
  <c r="Z11" i="16"/>
  <c r="Z26" i="16" s="1"/>
  <c r="Y11" i="16"/>
  <c r="Y26" i="16" s="1"/>
  <c r="X11" i="16"/>
  <c r="X26" i="16" s="1"/>
  <c r="W11" i="16"/>
  <c r="W26" i="16" s="1"/>
  <c r="V11" i="16"/>
  <c r="V26" i="16" s="1"/>
  <c r="U11" i="16"/>
  <c r="U26" i="16" s="1"/>
  <c r="T11" i="16"/>
  <c r="S11" i="16"/>
  <c r="S26" i="16" s="1"/>
  <c r="R11" i="16"/>
  <c r="Q11" i="16"/>
  <c r="Q26" i="16" s="1"/>
  <c r="P11" i="16"/>
  <c r="O11" i="16"/>
  <c r="O26" i="16" s="1"/>
  <c r="N11" i="16"/>
  <c r="M11" i="16"/>
  <c r="L11" i="16"/>
  <c r="K11" i="16"/>
  <c r="J11" i="16"/>
  <c r="I11" i="16"/>
  <c r="H11" i="16"/>
  <c r="H26" i="16" s="1"/>
  <c r="G11" i="16"/>
  <c r="F11" i="16"/>
  <c r="F26" i="16" s="1"/>
  <c r="E11" i="16"/>
  <c r="E26" i="16" s="1"/>
  <c r="D11" i="16"/>
  <c r="D26" i="16" s="1"/>
  <c r="C11" i="16"/>
  <c r="AO10" i="16"/>
  <c r="AO22" i="16" s="1"/>
  <c r="AN10" i="16"/>
  <c r="AN22" i="16" s="1"/>
  <c r="AM10" i="16"/>
  <c r="AL10" i="16"/>
  <c r="AK10" i="16"/>
  <c r="AJ10" i="16"/>
  <c r="AI10" i="16"/>
  <c r="AH10" i="16"/>
  <c r="AG10" i="16"/>
  <c r="AG22" i="16" s="1"/>
  <c r="AF10" i="16"/>
  <c r="AF22" i="16" s="1"/>
  <c r="AE10" i="16"/>
  <c r="AD10" i="16"/>
  <c r="AC10" i="16"/>
  <c r="AB10" i="16"/>
  <c r="AA10" i="16"/>
  <c r="AA22" i="16" s="1"/>
  <c r="Z10" i="16"/>
  <c r="Z22" i="16" s="1"/>
  <c r="Y10" i="16"/>
  <c r="Y22" i="16" s="1"/>
  <c r="X10" i="16"/>
  <c r="X22" i="16" s="1"/>
  <c r="W10" i="16"/>
  <c r="W22" i="16" s="1"/>
  <c r="V10" i="16"/>
  <c r="V22" i="16" s="1"/>
  <c r="U10" i="16"/>
  <c r="U22" i="16" s="1"/>
  <c r="T10" i="16"/>
  <c r="T22" i="16" s="1"/>
  <c r="S10" i="16"/>
  <c r="R10" i="16"/>
  <c r="R22" i="16" s="1"/>
  <c r="Q10" i="16"/>
  <c r="P10" i="16"/>
  <c r="O10" i="16"/>
  <c r="N10" i="16"/>
  <c r="M10" i="16"/>
  <c r="L10" i="16"/>
  <c r="K10" i="16"/>
  <c r="K22" i="16" s="1"/>
  <c r="J10" i="16"/>
  <c r="I10" i="16"/>
  <c r="H10" i="16"/>
  <c r="G10" i="16"/>
  <c r="G22" i="16" s="1"/>
  <c r="F10" i="16"/>
  <c r="E10" i="16"/>
  <c r="E22" i="16" s="1"/>
  <c r="D10" i="16"/>
  <c r="C10" i="16"/>
  <c r="C22" i="16" s="1"/>
  <c r="AA9" i="16"/>
  <c r="AA23" i="16" s="1"/>
  <c r="AO8" i="16"/>
  <c r="AN8" i="16"/>
  <c r="AM8" i="16"/>
  <c r="AL8" i="16"/>
  <c r="AK8" i="16"/>
  <c r="AJ8" i="16"/>
  <c r="AI8" i="16"/>
  <c r="AH8" i="16"/>
  <c r="AH28" i="16" s="1"/>
  <c r="AG8" i="16"/>
  <c r="AF8" i="16"/>
  <c r="AE8" i="16"/>
  <c r="AD8" i="16"/>
  <c r="AC8" i="16"/>
  <c r="AC28" i="16" s="1"/>
  <c r="AB8" i="16"/>
  <c r="AB28" i="16" s="1"/>
  <c r="AA8" i="16"/>
  <c r="Z8" i="16"/>
  <c r="Y8" i="16"/>
  <c r="X8" i="16"/>
  <c r="X28" i="16" s="1"/>
  <c r="W8" i="16"/>
  <c r="V8" i="16"/>
  <c r="U8" i="16"/>
  <c r="T8" i="16"/>
  <c r="S8" i="16"/>
  <c r="R8" i="16"/>
  <c r="Q8" i="16"/>
  <c r="P8" i="16"/>
  <c r="O8" i="16"/>
  <c r="N8" i="16"/>
  <c r="M8" i="16"/>
  <c r="M28" i="16" s="1"/>
  <c r="L8" i="16"/>
  <c r="L28" i="16" s="1"/>
  <c r="K8" i="16"/>
  <c r="J8" i="16"/>
  <c r="I8" i="16"/>
  <c r="H8" i="16"/>
  <c r="G8" i="16"/>
  <c r="G28" i="16" s="1"/>
  <c r="F8" i="16"/>
  <c r="F28" i="16" s="1"/>
  <c r="E8" i="16"/>
  <c r="E28" i="16" s="1"/>
  <c r="D8" i="16"/>
  <c r="C8" i="16"/>
  <c r="AO7" i="16"/>
  <c r="AN7" i="16"/>
  <c r="AM7" i="16"/>
  <c r="AL7" i="16"/>
  <c r="AK7" i="16"/>
  <c r="AJ7" i="16"/>
  <c r="AI7" i="16"/>
  <c r="AH7" i="16"/>
  <c r="AG7" i="16"/>
  <c r="AF7" i="16"/>
  <c r="AE7" i="16"/>
  <c r="AD7" i="16"/>
  <c r="AD24" i="16" s="1"/>
  <c r="AC7" i="16"/>
  <c r="AB7" i="16"/>
  <c r="AA7" i="16"/>
  <c r="AA24" i="16" s="1"/>
  <c r="Z7" i="16"/>
  <c r="Y7" i="16"/>
  <c r="X7" i="16"/>
  <c r="W7" i="16"/>
  <c r="V7" i="16"/>
  <c r="U7" i="16"/>
  <c r="T7" i="16"/>
  <c r="S7" i="16"/>
  <c r="S24" i="16" s="1"/>
  <c r="R7" i="16"/>
  <c r="Q7" i="16"/>
  <c r="P7" i="16"/>
  <c r="O7" i="16"/>
  <c r="N7" i="16"/>
  <c r="M7" i="16"/>
  <c r="L7" i="16"/>
  <c r="K7" i="16"/>
  <c r="J7" i="16"/>
  <c r="I7" i="16"/>
  <c r="H7" i="16"/>
  <c r="H24" i="16" s="1"/>
  <c r="G7" i="16"/>
  <c r="F7" i="16"/>
  <c r="E7" i="16"/>
  <c r="D7" i="16"/>
  <c r="C7" i="16"/>
  <c r="AO6" i="16"/>
  <c r="AN6" i="16"/>
  <c r="AN24" i="16" s="1"/>
  <c r="AM6" i="16"/>
  <c r="AM24" i="16" s="1"/>
  <c r="AL6" i="16"/>
  <c r="AK6" i="16"/>
  <c r="AK24" i="16" s="1"/>
  <c r="AJ6" i="16"/>
  <c r="AJ24" i="16" s="1"/>
  <c r="AI6" i="16"/>
  <c r="AI24" i="16" s="1"/>
  <c r="AH6" i="16"/>
  <c r="AG6" i="16"/>
  <c r="AF6" i="16"/>
  <c r="AE6" i="16"/>
  <c r="AE24" i="16" s="1"/>
  <c r="AD6" i="16"/>
  <c r="AC6" i="16"/>
  <c r="AB6" i="16"/>
  <c r="AA6" i="16"/>
  <c r="Z6" i="16"/>
  <c r="Z24" i="16" s="1"/>
  <c r="Y6" i="16"/>
  <c r="Y24" i="16" s="1"/>
  <c r="X6" i="16"/>
  <c r="X24" i="16" s="1"/>
  <c r="W6" i="16"/>
  <c r="V6" i="16"/>
  <c r="U6" i="16"/>
  <c r="T6" i="16"/>
  <c r="S6" i="16"/>
  <c r="R6" i="16"/>
  <c r="R24" i="16" s="1"/>
  <c r="Q6" i="16"/>
  <c r="P6" i="16"/>
  <c r="O6" i="16"/>
  <c r="N6" i="16"/>
  <c r="M6" i="16"/>
  <c r="M24" i="16" s="1"/>
  <c r="L6" i="16"/>
  <c r="K6" i="16"/>
  <c r="J6" i="16"/>
  <c r="I6" i="16"/>
  <c r="I24" i="16" s="1"/>
  <c r="H6" i="16"/>
  <c r="G6" i="16"/>
  <c r="F6" i="16"/>
  <c r="F24" i="16" s="1"/>
  <c r="E6" i="16"/>
  <c r="E24" i="16" s="1"/>
  <c r="D6" i="16"/>
  <c r="D24" i="16" s="1"/>
  <c r="C6" i="16"/>
  <c r="C24" i="16" s="1"/>
  <c r="AO5" i="16"/>
  <c r="AN5" i="16"/>
  <c r="AM5" i="16"/>
  <c r="AL5" i="16"/>
  <c r="AK5" i="16"/>
  <c r="AJ5" i="16"/>
  <c r="AI5" i="16"/>
  <c r="AH5" i="16"/>
  <c r="AG5" i="16"/>
  <c r="AF5" i="16"/>
  <c r="AF25" i="16" s="1"/>
  <c r="AE5" i="16"/>
  <c r="AD5" i="16"/>
  <c r="AC5" i="16"/>
  <c r="AB5" i="16"/>
  <c r="AA5" i="16"/>
  <c r="Z5" i="16"/>
  <c r="Y5" i="16"/>
  <c r="X5" i="16"/>
  <c r="X25" i="16" s="1"/>
  <c r="W5" i="16"/>
  <c r="V5" i="16"/>
  <c r="U5" i="16"/>
  <c r="T5" i="16"/>
  <c r="S5" i="16"/>
  <c r="R5" i="16"/>
  <c r="Q5" i="16"/>
  <c r="P5" i="16"/>
  <c r="O5" i="16"/>
  <c r="N5" i="16"/>
  <c r="M5" i="16"/>
  <c r="M25" i="16" s="1"/>
  <c r="L5" i="16"/>
  <c r="K5" i="16"/>
  <c r="J5" i="16"/>
  <c r="I5" i="16"/>
  <c r="H5" i="16"/>
  <c r="G5" i="16"/>
  <c r="F5" i="16"/>
  <c r="E5" i="16"/>
  <c r="D5" i="16"/>
  <c r="C5" i="16"/>
  <c r="AO4" i="16"/>
  <c r="AN4" i="16"/>
  <c r="AN25" i="16" s="1"/>
  <c r="AM4" i="16"/>
  <c r="AL4" i="16"/>
  <c r="AL25" i="16" s="1"/>
  <c r="AK4" i="16"/>
  <c r="AK25" i="16" s="1"/>
  <c r="AJ4" i="16"/>
  <c r="AJ25" i="16" s="1"/>
  <c r="AI4" i="16"/>
  <c r="AH4" i="16"/>
  <c r="AH25" i="16" s="1"/>
  <c r="AG4" i="16"/>
  <c r="AF4" i="16"/>
  <c r="AE4" i="16"/>
  <c r="AD4" i="16"/>
  <c r="AD25" i="16" s="1"/>
  <c r="AC4" i="16"/>
  <c r="AC25" i="16" s="1"/>
  <c r="AB4" i="16"/>
  <c r="AA4" i="16"/>
  <c r="AA25" i="16" s="1"/>
  <c r="Z4" i="16"/>
  <c r="Z25" i="16" s="1"/>
  <c r="Y4" i="16"/>
  <c r="X4" i="16"/>
  <c r="W4" i="16"/>
  <c r="V4" i="16"/>
  <c r="U4" i="16"/>
  <c r="T4" i="16"/>
  <c r="S4" i="16"/>
  <c r="R4" i="16"/>
  <c r="R25" i="16" s="1"/>
  <c r="Q4" i="16"/>
  <c r="P4" i="16"/>
  <c r="P25" i="16" s="1"/>
  <c r="O4" i="16"/>
  <c r="N4" i="16"/>
  <c r="N25" i="16" s="1"/>
  <c r="M4" i="16"/>
  <c r="L4" i="16"/>
  <c r="K4" i="16"/>
  <c r="J4" i="16"/>
  <c r="I4" i="16"/>
  <c r="H4" i="16"/>
  <c r="H25" i="16" s="1"/>
  <c r="G4" i="16"/>
  <c r="F4" i="16"/>
  <c r="F25" i="16" s="1"/>
  <c r="E4" i="16"/>
  <c r="D4" i="16"/>
  <c r="D25" i="16" s="1"/>
  <c r="C4" i="16"/>
  <c r="C25" i="16" s="1"/>
  <c r="P7" i="8"/>
  <c r="O7" i="8"/>
  <c r="N7" i="8"/>
  <c r="M7" i="8"/>
  <c r="L7" i="8"/>
  <c r="K7" i="8"/>
  <c r="J7" i="8"/>
  <c r="I7" i="8"/>
  <c r="H7" i="8"/>
  <c r="G7" i="8"/>
  <c r="F7" i="8"/>
  <c r="E7" i="8"/>
  <c r="D7" i="8"/>
  <c r="R6" i="8"/>
  <c r="S6" i="8" s="1"/>
  <c r="T6" i="8" s="1"/>
  <c r="U6" i="8" s="1"/>
  <c r="V6" i="8" s="1"/>
  <c r="AX42" i="6"/>
  <c r="AX41" i="6"/>
  <c r="AX40" i="6"/>
  <c r="AY38" i="6"/>
  <c r="AX38" i="6"/>
  <c r="AW38" i="6"/>
  <c r="AV38" i="6"/>
  <c r="AU38" i="6"/>
  <c r="AT38" i="6"/>
  <c r="AS38" i="6"/>
  <c r="AR38" i="6"/>
  <c r="AQ38" i="6"/>
  <c r="AP38" i="6"/>
  <c r="AO38" i="6"/>
  <c r="AN38" i="6"/>
  <c r="AM38" i="6"/>
  <c r="AL38" i="6"/>
  <c r="AY37" i="6"/>
  <c r="AX37" i="6"/>
  <c r="AW37" i="6"/>
  <c r="AV37" i="6"/>
  <c r="AU37" i="6"/>
  <c r="AT37" i="6"/>
  <c r="AS37" i="6"/>
  <c r="AR37" i="6"/>
  <c r="AQ37" i="6"/>
  <c r="AP37" i="6"/>
  <c r="AO37" i="6"/>
  <c r="AN37" i="6"/>
  <c r="AM37" i="6"/>
  <c r="AL37" i="6"/>
  <c r="BA36" i="6"/>
  <c r="AZ36" i="6"/>
  <c r="AY36" i="6"/>
  <c r="AX36" i="6"/>
  <c r="AW36" i="6"/>
  <c r="AV36" i="6"/>
  <c r="AU36" i="6"/>
  <c r="AT36" i="6"/>
  <c r="AS36" i="6"/>
  <c r="AR36" i="6"/>
  <c r="AQ36" i="6"/>
  <c r="AP36" i="6"/>
  <c r="AO36" i="6"/>
  <c r="AN36" i="6"/>
  <c r="AM36" i="6"/>
  <c r="AL36" i="6"/>
  <c r="AY35" i="6"/>
  <c r="AX35" i="6"/>
  <c r="AW35" i="6"/>
  <c r="AV35" i="6"/>
  <c r="AU35" i="6"/>
  <c r="AT35" i="6"/>
  <c r="AS35" i="6"/>
  <c r="AR35" i="6"/>
  <c r="AQ35" i="6"/>
  <c r="AP35" i="6"/>
  <c r="AO35" i="6"/>
  <c r="AN35" i="6"/>
  <c r="AM35" i="6"/>
  <c r="AL35" i="6"/>
  <c r="AY34" i="6"/>
  <c r="AX34" i="6"/>
  <c r="AX39" i="6" s="1"/>
  <c r="AW34" i="6"/>
  <c r="AV34" i="6"/>
  <c r="AU34" i="6"/>
  <c r="AT34" i="6"/>
  <c r="AS34" i="6"/>
  <c r="AR34" i="6"/>
  <c r="AQ34" i="6"/>
  <c r="AP34" i="6"/>
  <c r="AO34" i="6"/>
  <c r="AN34" i="6"/>
  <c r="AM34" i="6"/>
  <c r="AL34" i="6"/>
  <c r="AY33" i="6"/>
  <c r="AX33" i="6"/>
  <c r="AW33" i="6"/>
  <c r="AV33" i="6"/>
  <c r="AV39" i="6" s="1"/>
  <c r="AU33" i="6"/>
  <c r="AT33" i="6"/>
  <c r="AS33" i="6"/>
  <c r="AR33" i="6"/>
  <c r="AQ33" i="6"/>
  <c r="AP33" i="6"/>
  <c r="AO33" i="6"/>
  <c r="AN33" i="6"/>
  <c r="AM33" i="6"/>
  <c r="AL33" i="6"/>
  <c r="AY32" i="6"/>
  <c r="AX32" i="6"/>
  <c r="AW32" i="6"/>
  <c r="AV32" i="6"/>
  <c r="AU32" i="6"/>
  <c r="AT32" i="6"/>
  <c r="AS32" i="6"/>
  <c r="AR32" i="6"/>
  <c r="AQ32" i="6"/>
  <c r="AP32" i="6"/>
  <c r="AO32" i="6"/>
  <c r="AN32" i="6"/>
  <c r="AM32" i="6"/>
  <c r="AL32" i="6"/>
  <c r="AZ29" i="6"/>
  <c r="BE28" i="6"/>
  <c r="BD28" i="6"/>
  <c r="BC28" i="6"/>
  <c r="BB28" i="6"/>
  <c r="BA28" i="6"/>
  <c r="AZ28" i="6"/>
  <c r="AY28" i="6"/>
  <c r="AX28" i="6"/>
  <c r="AW28" i="6"/>
  <c r="AV28" i="6"/>
  <c r="AU28" i="6"/>
  <c r="AT28" i="6"/>
  <c r="AS28" i="6"/>
  <c r="AR28" i="6"/>
  <c r="AQ28" i="6"/>
  <c r="AP28" i="6"/>
  <c r="AO28" i="6"/>
  <c r="AN28" i="6"/>
  <c r="AM28" i="6"/>
  <c r="AL28" i="6"/>
  <c r="AK28" i="6"/>
  <c r="AJ28" i="6"/>
  <c r="AI28" i="6"/>
  <c r="AH28" i="6"/>
  <c r="AG28" i="6"/>
  <c r="AF28" i="6"/>
  <c r="AE28" i="6"/>
  <c r="AD28" i="6"/>
  <c r="AC28" i="6"/>
  <c r="AB28" i="6"/>
  <c r="AA28" i="6"/>
  <c r="Z28" i="6"/>
  <c r="Y28" i="6"/>
  <c r="X28" i="6"/>
  <c r="W28" i="6"/>
  <c r="V28" i="6"/>
  <c r="U28" i="6"/>
  <c r="T28" i="6"/>
  <c r="S28" i="6"/>
  <c r="R28" i="6"/>
  <c r="Q28" i="6"/>
  <c r="P28" i="6"/>
  <c r="O28" i="6"/>
  <c r="N28" i="6"/>
  <c r="M28" i="6"/>
  <c r="L28" i="6"/>
  <c r="K28" i="6"/>
  <c r="J28" i="6"/>
  <c r="I28" i="6"/>
  <c r="H28" i="6"/>
  <c r="G28" i="6"/>
  <c r="F28" i="6"/>
  <c r="E28" i="6"/>
  <c r="D28" i="6"/>
  <c r="C28" i="6"/>
  <c r="BE27" i="6"/>
  <c r="BD27" i="6"/>
  <c r="BC27" i="6"/>
  <c r="BB27" i="6"/>
  <c r="BA27" i="6"/>
  <c r="AZ27" i="6"/>
  <c r="AY27" i="6"/>
  <c r="AX27" i="6"/>
  <c r="AW27" i="6"/>
  <c r="AV27" i="6"/>
  <c r="AU27" i="6"/>
  <c r="AT27" i="6"/>
  <c r="AS27" i="6"/>
  <c r="AR27" i="6"/>
  <c r="AQ27" i="6"/>
  <c r="AP27" i="6"/>
  <c r="AO27" i="6"/>
  <c r="AN27" i="6"/>
  <c r="AM27" i="6"/>
  <c r="AL27" i="6"/>
  <c r="AK27" i="6"/>
  <c r="AJ27" i="6"/>
  <c r="AI27" i="6"/>
  <c r="AH27" i="6"/>
  <c r="AG27" i="6"/>
  <c r="AF27" i="6"/>
  <c r="AE27" i="6"/>
  <c r="AD27" i="6"/>
  <c r="AC27" i="6"/>
  <c r="AB27" i="6"/>
  <c r="AA27" i="6"/>
  <c r="Z27" i="6"/>
  <c r="Y27" i="6"/>
  <c r="X27" i="6"/>
  <c r="W27" i="6"/>
  <c r="V27" i="6"/>
  <c r="U27" i="6"/>
  <c r="T27" i="6"/>
  <c r="S27" i="6"/>
  <c r="R27" i="6"/>
  <c r="Q27" i="6"/>
  <c r="P27" i="6"/>
  <c r="O27" i="6"/>
  <c r="N27" i="6"/>
  <c r="M27" i="6"/>
  <c r="L27" i="6"/>
  <c r="K27" i="6"/>
  <c r="J27" i="6"/>
  <c r="I27" i="6"/>
  <c r="H27" i="6"/>
  <c r="G27" i="6"/>
  <c r="F27" i="6"/>
  <c r="E27" i="6"/>
  <c r="D27" i="6"/>
  <c r="C27" i="6"/>
  <c r="BE26" i="6"/>
  <c r="BD26" i="6"/>
  <c r="BC26" i="6"/>
  <c r="BB26" i="6"/>
  <c r="BA26" i="6"/>
  <c r="AZ26" i="6"/>
  <c r="AY26" i="6"/>
  <c r="AX26" i="6"/>
  <c r="AW26" i="6"/>
  <c r="AV26" i="6"/>
  <c r="AU26" i="6"/>
  <c r="AT26" i="6"/>
  <c r="AS26" i="6"/>
  <c r="AR26" i="6"/>
  <c r="AQ26" i="6"/>
  <c r="AP26" i="6"/>
  <c r="AO26" i="6"/>
  <c r="AN26" i="6"/>
  <c r="AM26" i="6"/>
  <c r="AL26" i="6"/>
  <c r="AK26" i="6"/>
  <c r="AJ26" i="6"/>
  <c r="AI26" i="6"/>
  <c r="AH26" i="6"/>
  <c r="AG26" i="6"/>
  <c r="AF26" i="6"/>
  <c r="AE26" i="6"/>
  <c r="AD26" i="6"/>
  <c r="AC26" i="6"/>
  <c r="AB26" i="6"/>
  <c r="AA26" i="6"/>
  <c r="Z26" i="6"/>
  <c r="Y26" i="6"/>
  <c r="X26" i="6"/>
  <c r="W26" i="6"/>
  <c r="V26" i="6"/>
  <c r="U26" i="6"/>
  <c r="T26" i="6"/>
  <c r="S26" i="6"/>
  <c r="R26" i="6"/>
  <c r="Q26" i="6"/>
  <c r="P26" i="6"/>
  <c r="O26" i="6"/>
  <c r="N26" i="6"/>
  <c r="M26" i="6"/>
  <c r="L26" i="6"/>
  <c r="K26" i="6"/>
  <c r="J26" i="6"/>
  <c r="I26" i="6"/>
  <c r="H26" i="6"/>
  <c r="G26" i="6"/>
  <c r="F26" i="6"/>
  <c r="E26" i="6"/>
  <c r="D26" i="6"/>
  <c r="C26" i="6"/>
  <c r="BE25" i="6"/>
  <c r="BD25" i="6"/>
  <c r="BC25" i="6"/>
  <c r="BB25" i="6"/>
  <c r="BA25" i="6"/>
  <c r="AZ25" i="6"/>
  <c r="AY25" i="6"/>
  <c r="AX25" i="6"/>
  <c r="AW25" i="6"/>
  <c r="AV25" i="6"/>
  <c r="AU25" i="6"/>
  <c r="AT25" i="6"/>
  <c r="AS25" i="6"/>
  <c r="AR25" i="6"/>
  <c r="AQ25" i="6"/>
  <c r="AP25" i="6"/>
  <c r="AO25" i="6"/>
  <c r="AN25" i="6"/>
  <c r="AM25" i="6"/>
  <c r="AL25" i="6"/>
  <c r="AK25" i="6"/>
  <c r="AJ25" i="6"/>
  <c r="AI25" i="6"/>
  <c r="AH25" i="6"/>
  <c r="AG25" i="6"/>
  <c r="AF25" i="6"/>
  <c r="AE25" i="6"/>
  <c r="AD25" i="6"/>
  <c r="AC25" i="6"/>
  <c r="AB25" i="6"/>
  <c r="AA25" i="6"/>
  <c r="Z25" i="6"/>
  <c r="Y25" i="6"/>
  <c r="X25" i="6"/>
  <c r="W25" i="6"/>
  <c r="V25" i="6"/>
  <c r="U25" i="6"/>
  <c r="T25" i="6"/>
  <c r="S25" i="6"/>
  <c r="R25" i="6"/>
  <c r="Q25" i="6"/>
  <c r="P25" i="6"/>
  <c r="O25" i="6"/>
  <c r="N25" i="6"/>
  <c r="M25" i="6"/>
  <c r="L25" i="6"/>
  <c r="K25" i="6"/>
  <c r="J25" i="6"/>
  <c r="I25" i="6"/>
  <c r="H25" i="6"/>
  <c r="G25" i="6"/>
  <c r="F25" i="6"/>
  <c r="E25" i="6"/>
  <c r="D25" i="6"/>
  <c r="C25" i="6"/>
  <c r="BE24" i="6"/>
  <c r="BD24" i="6"/>
  <c r="BC24" i="6"/>
  <c r="BB24" i="6"/>
  <c r="BA24" i="6"/>
  <c r="AZ24" i="6"/>
  <c r="AY24" i="6"/>
  <c r="AX24" i="6"/>
  <c r="AW24" i="6"/>
  <c r="AV24" i="6"/>
  <c r="AU24" i="6"/>
  <c r="AT24" i="6"/>
  <c r="AS24" i="6"/>
  <c r="AR24" i="6"/>
  <c r="AQ24" i="6"/>
  <c r="AP24" i="6"/>
  <c r="AO24" i="6"/>
  <c r="AN24" i="6"/>
  <c r="AM24" i="6"/>
  <c r="AL24" i="6"/>
  <c r="AK24" i="6"/>
  <c r="AJ24" i="6"/>
  <c r="AI24" i="6"/>
  <c r="AH24" i="6"/>
  <c r="AG24" i="6"/>
  <c r="AF24" i="6"/>
  <c r="AE24" i="6"/>
  <c r="AD24" i="6"/>
  <c r="AC24" i="6"/>
  <c r="AB24" i="6"/>
  <c r="AA24" i="6"/>
  <c r="Z24" i="6"/>
  <c r="Y24" i="6"/>
  <c r="X24" i="6"/>
  <c r="W24" i="6"/>
  <c r="V24" i="6"/>
  <c r="U24" i="6"/>
  <c r="T24" i="6"/>
  <c r="S24" i="6"/>
  <c r="R24" i="6"/>
  <c r="Q24" i="6"/>
  <c r="P24" i="6"/>
  <c r="O24" i="6"/>
  <c r="N24" i="6"/>
  <c r="M24" i="6"/>
  <c r="L24" i="6"/>
  <c r="K24" i="6"/>
  <c r="J24" i="6"/>
  <c r="I24" i="6"/>
  <c r="H24" i="6"/>
  <c r="G24" i="6"/>
  <c r="F24" i="6"/>
  <c r="E24" i="6"/>
  <c r="D24" i="6"/>
  <c r="C24" i="6"/>
  <c r="BE23" i="6"/>
  <c r="AW23" i="6"/>
  <c r="AV23" i="6"/>
  <c r="AS23" i="6"/>
  <c r="BC22" i="6"/>
  <c r="BC23" i="6" s="1"/>
  <c r="AW22" i="6"/>
  <c r="AP22" i="6"/>
  <c r="AP23" i="6" s="1"/>
  <c r="AM22" i="6"/>
  <c r="AM23" i="6" s="1"/>
  <c r="AK22" i="6"/>
  <c r="AK23" i="6" s="1"/>
  <c r="BE21" i="6"/>
  <c r="BD21" i="6"/>
  <c r="BC21" i="6"/>
  <c r="BB21" i="6"/>
  <c r="BA21" i="6"/>
  <c r="AZ21" i="6"/>
  <c r="AY21" i="6"/>
  <c r="BE20" i="6"/>
  <c r="BD20" i="6"/>
  <c r="BC20" i="6"/>
  <c r="BB20" i="6"/>
  <c r="BA20" i="6"/>
  <c r="AZ20" i="6"/>
  <c r="AY20" i="6"/>
  <c r="BE19" i="6"/>
  <c r="BE22" i="6" s="1"/>
  <c r="BD19" i="6"/>
  <c r="BC19" i="6"/>
  <c r="BB19" i="6"/>
  <c r="BB22" i="6" s="1"/>
  <c r="BB23" i="6" s="1"/>
  <c r="BA19" i="6"/>
  <c r="AZ19" i="6"/>
  <c r="AZ22" i="6" s="1"/>
  <c r="AZ23" i="6" s="1"/>
  <c r="AY19" i="6"/>
  <c r="AX19" i="6"/>
  <c r="AW19" i="6"/>
  <c r="AV19" i="6"/>
  <c r="AV22" i="6" s="1"/>
  <c r="AU19" i="6"/>
  <c r="AT19" i="6"/>
  <c r="AT22" i="6" s="1"/>
  <c r="AT23" i="6" s="1"/>
  <c r="AS19" i="6"/>
  <c r="AR19" i="6"/>
  <c r="AQ19" i="6"/>
  <c r="AP19" i="6"/>
  <c r="AO19" i="6"/>
  <c r="AN19" i="6"/>
  <c r="AM19" i="6"/>
  <c r="AL19" i="6"/>
  <c r="AL22" i="6" s="1"/>
  <c r="AL23" i="6" s="1"/>
  <c r="AK19" i="6"/>
  <c r="AJ19" i="6"/>
  <c r="AI19" i="6"/>
  <c r="AH19" i="6"/>
  <c r="AG19" i="6"/>
  <c r="AF19" i="6"/>
  <c r="AE19" i="6"/>
  <c r="AD19" i="6"/>
  <c r="AC19" i="6"/>
  <c r="AB19" i="6"/>
  <c r="AA19" i="6"/>
  <c r="Z19" i="6"/>
  <c r="Y19" i="6"/>
  <c r="X19" i="6"/>
  <c r="W19" i="6"/>
  <c r="V19" i="6"/>
  <c r="U19" i="6"/>
  <c r="T19" i="6"/>
  <c r="S19" i="6"/>
  <c r="R19" i="6"/>
  <c r="Q19" i="6"/>
  <c r="P19" i="6"/>
  <c r="O19" i="6"/>
  <c r="N19" i="6"/>
  <c r="M19" i="6"/>
  <c r="L19" i="6"/>
  <c r="K19" i="6"/>
  <c r="J19" i="6"/>
  <c r="I19" i="6"/>
  <c r="H19" i="6"/>
  <c r="G19" i="6"/>
  <c r="F19" i="6"/>
  <c r="E19" i="6"/>
  <c r="D19" i="6"/>
  <c r="C19" i="6"/>
  <c r="BE18" i="6"/>
  <c r="BD18" i="6"/>
  <c r="BD22" i="6" s="1"/>
  <c r="BD23" i="6" s="1"/>
  <c r="BC18" i="6"/>
  <c r="BB18" i="6"/>
  <c r="BA18" i="6"/>
  <c r="BA22" i="6" s="1"/>
  <c r="BA23" i="6" s="1"/>
  <c r="AZ18" i="6"/>
  <c r="AY18" i="6"/>
  <c r="AY22" i="6" s="1"/>
  <c r="AY23" i="6" s="1"/>
  <c r="AX18" i="6"/>
  <c r="AW18" i="6"/>
  <c r="AV18" i="6"/>
  <c r="AU18" i="6"/>
  <c r="AU22" i="6" s="1"/>
  <c r="AU23" i="6" s="1"/>
  <c r="AT18" i="6"/>
  <c r="AS18" i="6"/>
  <c r="AS22" i="6" s="1"/>
  <c r="AR18" i="6"/>
  <c r="AR22" i="6" s="1"/>
  <c r="AR23" i="6" s="1"/>
  <c r="AQ18" i="6"/>
  <c r="AQ22" i="6" s="1"/>
  <c r="AQ23" i="6" s="1"/>
  <c r="AP18" i="6"/>
  <c r="AO18" i="6"/>
  <c r="AO22" i="6" s="1"/>
  <c r="AO23" i="6" s="1"/>
  <c r="AN18" i="6"/>
  <c r="AN22" i="6" s="1"/>
  <c r="AN23" i="6" s="1"/>
  <c r="AM18" i="6"/>
  <c r="AL18" i="6"/>
  <c r="AK18" i="6"/>
  <c r="AJ18" i="6"/>
  <c r="AI18" i="6"/>
  <c r="AH18" i="6"/>
  <c r="AG18" i="6"/>
  <c r="AF18" i="6"/>
  <c r="AE18" i="6"/>
  <c r="AD18" i="6"/>
  <c r="AC18" i="6"/>
  <c r="AB18" i="6"/>
  <c r="AA18" i="6"/>
  <c r="Z18" i="6"/>
  <c r="Y18" i="6"/>
  <c r="X18" i="6"/>
  <c r="W18" i="6"/>
  <c r="V18" i="6"/>
  <c r="U18" i="6"/>
  <c r="T18" i="6"/>
  <c r="S18" i="6"/>
  <c r="R18" i="6"/>
  <c r="Q18" i="6"/>
  <c r="P18" i="6"/>
  <c r="O18" i="6"/>
  <c r="N18" i="6"/>
  <c r="M18" i="6"/>
  <c r="L18" i="6"/>
  <c r="K18" i="6"/>
  <c r="J18" i="6"/>
  <c r="I18" i="6"/>
  <c r="H18" i="6"/>
  <c r="G18" i="6"/>
  <c r="F18" i="6"/>
  <c r="E18" i="6"/>
  <c r="D18" i="6"/>
  <c r="C18" i="6"/>
  <c r="Y35" i="5"/>
  <c r="N35" i="5"/>
  <c r="M35" i="5"/>
  <c r="L35" i="5"/>
  <c r="K35" i="5"/>
  <c r="J35" i="5"/>
  <c r="I35" i="5"/>
  <c r="H35" i="5"/>
  <c r="G35" i="5"/>
  <c r="F35" i="5"/>
  <c r="E35" i="5"/>
  <c r="D35" i="5"/>
  <c r="C35" i="5"/>
  <c r="B35" i="5"/>
  <c r="N34" i="5"/>
  <c r="M34" i="5"/>
  <c r="L34" i="5"/>
  <c r="K34" i="5"/>
  <c r="J34" i="5"/>
  <c r="I34" i="5"/>
  <c r="H34" i="5"/>
  <c r="G34" i="5"/>
  <c r="F34" i="5"/>
  <c r="E34" i="5"/>
  <c r="D34" i="5"/>
  <c r="C34" i="5"/>
  <c r="B34" i="5"/>
  <c r="N33" i="5"/>
  <c r="M33" i="5"/>
  <c r="L33" i="5"/>
  <c r="K33" i="5"/>
  <c r="J33" i="5"/>
  <c r="I33" i="5"/>
  <c r="H33" i="5"/>
  <c r="G33" i="5"/>
  <c r="F33" i="5"/>
  <c r="E33" i="5"/>
  <c r="D33" i="5"/>
  <c r="C33" i="5"/>
  <c r="B33" i="5"/>
  <c r="N32" i="5"/>
  <c r="M32" i="5"/>
  <c r="L32" i="5"/>
  <c r="K32" i="5"/>
  <c r="J32" i="5"/>
  <c r="I32" i="5"/>
  <c r="H32" i="5"/>
  <c r="G32" i="5"/>
  <c r="F32" i="5"/>
  <c r="E32" i="5"/>
  <c r="D32" i="5"/>
  <c r="C32" i="5"/>
  <c r="B32" i="5"/>
  <c r="N31" i="5"/>
  <c r="M31" i="5"/>
  <c r="L31" i="5"/>
  <c r="K31" i="5"/>
  <c r="J31" i="5"/>
  <c r="I31" i="5"/>
  <c r="H31" i="5"/>
  <c r="G31" i="5"/>
  <c r="F31" i="5"/>
  <c r="E31" i="5"/>
  <c r="D31" i="5"/>
  <c r="C31" i="5"/>
  <c r="B31" i="5"/>
  <c r="N30" i="5"/>
  <c r="M30" i="5"/>
  <c r="L30" i="5"/>
  <c r="K30" i="5"/>
  <c r="J30" i="5"/>
  <c r="I30" i="5"/>
  <c r="H30" i="5"/>
  <c r="G30" i="5"/>
  <c r="F30" i="5"/>
  <c r="E30" i="5"/>
  <c r="D30" i="5"/>
  <c r="C30" i="5"/>
  <c r="B30" i="5"/>
  <c r="N29" i="5"/>
  <c r="N28" i="5"/>
  <c r="M28" i="5"/>
  <c r="L28" i="5"/>
  <c r="K28" i="5"/>
  <c r="J28" i="5"/>
  <c r="I28" i="5"/>
  <c r="H28" i="5"/>
  <c r="G28" i="5"/>
  <c r="F28" i="5"/>
  <c r="E28" i="5"/>
  <c r="D28" i="5"/>
  <c r="C28" i="5"/>
  <c r="B28" i="5"/>
  <c r="N27" i="5"/>
  <c r="M27" i="5"/>
  <c r="L27" i="5"/>
  <c r="K27" i="5"/>
  <c r="J27" i="5"/>
  <c r="I27" i="5"/>
  <c r="H27" i="5"/>
  <c r="G27" i="5"/>
  <c r="F27" i="5"/>
  <c r="E27" i="5"/>
  <c r="D27" i="5"/>
  <c r="C27" i="5"/>
  <c r="B27" i="5"/>
  <c r="N26" i="5"/>
  <c r="M26" i="5"/>
  <c r="L26" i="5"/>
  <c r="K26" i="5"/>
  <c r="J26" i="5"/>
  <c r="I26" i="5"/>
  <c r="H26" i="5"/>
  <c r="G26" i="5"/>
  <c r="F26" i="5"/>
  <c r="E26" i="5"/>
  <c r="D26" i="5"/>
  <c r="C26" i="5"/>
  <c r="B26" i="5"/>
  <c r="N25" i="5"/>
  <c r="M25" i="5"/>
  <c r="L25" i="5"/>
  <c r="K25" i="5"/>
  <c r="J25" i="5"/>
  <c r="I25" i="5"/>
  <c r="H25" i="5"/>
  <c r="G25" i="5"/>
  <c r="F25" i="5"/>
  <c r="E25" i="5"/>
  <c r="D25" i="5"/>
  <c r="C25" i="5"/>
  <c r="B25" i="5"/>
  <c r="N24" i="5"/>
  <c r="M24" i="5"/>
  <c r="L24" i="5"/>
  <c r="K24" i="5"/>
  <c r="J24" i="5"/>
  <c r="I24" i="5"/>
  <c r="H24" i="5"/>
  <c r="G24" i="5"/>
  <c r="F24" i="5"/>
  <c r="E24" i="5"/>
  <c r="D24" i="5"/>
  <c r="C24" i="5"/>
  <c r="B24" i="5"/>
  <c r="AG22" i="5"/>
  <c r="AF22" i="5"/>
  <c r="AE22" i="5"/>
  <c r="AD22" i="5"/>
  <c r="AC22" i="5"/>
  <c r="AB22" i="5"/>
  <c r="AA22" i="5"/>
  <c r="Z22" i="5"/>
  <c r="Y22" i="5"/>
  <c r="X22" i="5"/>
  <c r="W22" i="5"/>
  <c r="V22" i="5"/>
  <c r="U22" i="5"/>
  <c r="T22" i="5"/>
  <c r="S22" i="5"/>
  <c r="R22" i="5"/>
  <c r="Q22" i="5"/>
  <c r="P22" i="5"/>
  <c r="O22" i="5"/>
  <c r="N22" i="5"/>
  <c r="M22" i="5"/>
  <c r="L22" i="5"/>
  <c r="K22" i="5"/>
  <c r="J22" i="5"/>
  <c r="I22" i="5"/>
  <c r="H22" i="5"/>
  <c r="G22" i="5"/>
  <c r="F22" i="5"/>
  <c r="E22" i="5"/>
  <c r="D22" i="5"/>
  <c r="C22" i="5"/>
  <c r="B22" i="5"/>
  <c r="N19" i="5"/>
  <c r="N20" i="5" s="1"/>
  <c r="N18" i="5"/>
  <c r="M18" i="5"/>
  <c r="L18" i="5"/>
  <c r="K18" i="5"/>
  <c r="J18" i="5"/>
  <c r="I18" i="5"/>
  <c r="H18" i="5"/>
  <c r="G18" i="5"/>
  <c r="F18" i="5"/>
  <c r="E18" i="5"/>
  <c r="D18" i="5"/>
  <c r="C18" i="5"/>
  <c r="B18" i="5"/>
  <c r="N17" i="5"/>
  <c r="M17" i="5"/>
  <c r="L17" i="5"/>
  <c r="K17" i="5"/>
  <c r="J17" i="5"/>
  <c r="I17" i="5"/>
  <c r="H17" i="5"/>
  <c r="G17" i="5"/>
  <c r="F17" i="5"/>
  <c r="E17" i="5"/>
  <c r="D17" i="5"/>
  <c r="C17" i="5"/>
  <c r="B17" i="5"/>
  <c r="N16" i="5"/>
  <c r="M16" i="5"/>
  <c r="L16" i="5"/>
  <c r="K16" i="5"/>
  <c r="J16" i="5"/>
  <c r="I16" i="5"/>
  <c r="H16" i="5"/>
  <c r="G16" i="5"/>
  <c r="F16" i="5"/>
  <c r="E16" i="5"/>
  <c r="D16" i="5"/>
  <c r="C16" i="5"/>
  <c r="B16" i="5"/>
  <c r="N15" i="5"/>
  <c r="L15" i="5"/>
  <c r="K15" i="5"/>
  <c r="J15" i="5"/>
  <c r="I15" i="5"/>
  <c r="H15" i="5"/>
  <c r="G15" i="5"/>
  <c r="F15" i="5"/>
  <c r="E15" i="5"/>
  <c r="D15" i="5"/>
  <c r="C15" i="5"/>
  <c r="B15" i="5"/>
  <c r="N14" i="5"/>
  <c r="M14" i="5"/>
  <c r="L14" i="5"/>
  <c r="K14" i="5"/>
  <c r="J14" i="5"/>
  <c r="I14" i="5"/>
  <c r="H14" i="5"/>
  <c r="G14" i="5"/>
  <c r="F14" i="5"/>
  <c r="E14" i="5"/>
  <c r="D14" i="5"/>
  <c r="C14" i="5"/>
  <c r="B14" i="5"/>
  <c r="AG13" i="5"/>
  <c r="AF13" i="5"/>
  <c r="AE13" i="5"/>
  <c r="AD13" i="5"/>
  <c r="AC13" i="5"/>
  <c r="AB13" i="5"/>
  <c r="AA13" i="5"/>
  <c r="Z13" i="5"/>
  <c r="Y13" i="5"/>
  <c r="X13" i="5"/>
  <c r="W13" i="5"/>
  <c r="V13" i="5"/>
  <c r="U13" i="5"/>
  <c r="T13" i="5"/>
  <c r="S13" i="5"/>
  <c r="R13" i="5"/>
  <c r="Q13" i="5"/>
  <c r="P13" i="5"/>
  <c r="O13" i="5"/>
  <c r="N13" i="5"/>
  <c r="M13" i="5"/>
  <c r="L13" i="5"/>
  <c r="K13" i="5"/>
  <c r="J13" i="5"/>
  <c r="I13" i="5"/>
  <c r="H13" i="5"/>
  <c r="G13" i="5"/>
  <c r="F13" i="5"/>
  <c r="E13" i="5"/>
  <c r="D13" i="5"/>
  <c r="C13" i="5"/>
  <c r="B13" i="5"/>
  <c r="AG12" i="5"/>
  <c r="AF12" i="5"/>
  <c r="AE12" i="5"/>
  <c r="AD12" i="5"/>
  <c r="AC12" i="5"/>
  <c r="AB12" i="5"/>
  <c r="AA12" i="5"/>
  <c r="Z12" i="5"/>
  <c r="Y12" i="5"/>
  <c r="X12" i="5"/>
  <c r="W12" i="5"/>
  <c r="V12" i="5"/>
  <c r="U12" i="5"/>
  <c r="T12" i="5"/>
  <c r="S12" i="5"/>
  <c r="R12" i="5"/>
  <c r="Q12" i="5"/>
  <c r="P12" i="5"/>
  <c r="O12" i="5"/>
  <c r="N12" i="5"/>
  <c r="M12" i="5"/>
  <c r="L12" i="5"/>
  <c r="K12" i="5"/>
  <c r="J12" i="5"/>
  <c r="I12" i="5"/>
  <c r="H12" i="5"/>
  <c r="G12" i="5"/>
  <c r="F12" i="5"/>
  <c r="E12" i="5"/>
  <c r="D12" i="5"/>
  <c r="C12" i="5"/>
  <c r="B12" i="5"/>
  <c r="N11" i="5"/>
  <c r="M11" i="5"/>
  <c r="L11" i="5"/>
  <c r="K11" i="5"/>
  <c r="J11" i="5"/>
  <c r="I11" i="5"/>
  <c r="H11" i="5"/>
  <c r="G11" i="5"/>
  <c r="F11" i="5"/>
  <c r="E11" i="5"/>
  <c r="D11" i="5"/>
  <c r="D19" i="5" s="1"/>
  <c r="C11" i="5"/>
  <c r="B11" i="5"/>
  <c r="N10" i="5"/>
  <c r="M10" i="5"/>
  <c r="L10" i="5"/>
  <c r="K10" i="5"/>
  <c r="J10" i="5"/>
  <c r="I10" i="5"/>
  <c r="H10" i="5"/>
  <c r="G10" i="5"/>
  <c r="F10" i="5"/>
  <c r="F19" i="5" s="1"/>
  <c r="E10" i="5"/>
  <c r="D10" i="5"/>
  <c r="C10" i="5"/>
  <c r="B10" i="5"/>
  <c r="N9" i="5"/>
  <c r="M9" i="5"/>
  <c r="L9" i="5"/>
  <c r="K9" i="5"/>
  <c r="J9" i="5"/>
  <c r="I9" i="5"/>
  <c r="H9" i="5"/>
  <c r="G9" i="5"/>
  <c r="F9" i="5"/>
  <c r="E9" i="5"/>
  <c r="D9" i="5"/>
  <c r="C9" i="5"/>
  <c r="B9" i="5"/>
  <c r="AG8" i="5"/>
  <c r="AF8" i="5"/>
  <c r="AE8" i="5"/>
  <c r="AD8" i="5"/>
  <c r="AC8" i="5"/>
  <c r="AB8" i="5"/>
  <c r="AA8" i="5"/>
  <c r="Z8" i="5"/>
  <c r="Y8" i="5"/>
  <c r="X8" i="5"/>
  <c r="W8" i="5"/>
  <c r="V8" i="5"/>
  <c r="U8" i="5"/>
  <c r="T8" i="5"/>
  <c r="S8" i="5"/>
  <c r="R8" i="5"/>
  <c r="Q8" i="5"/>
  <c r="P8" i="5"/>
  <c r="O8" i="5"/>
  <c r="N8" i="5"/>
  <c r="M8" i="5"/>
  <c r="L8" i="5"/>
  <c r="K8" i="5"/>
  <c r="J8" i="5"/>
  <c r="I8" i="5"/>
  <c r="H8" i="5"/>
  <c r="G8" i="5"/>
  <c r="F8" i="5"/>
  <c r="E8" i="5"/>
  <c r="D8" i="5"/>
  <c r="C8" i="5"/>
  <c r="B8" i="5"/>
  <c r="AG7" i="5"/>
  <c r="AF7" i="5"/>
  <c r="AE7" i="5"/>
  <c r="AD7" i="5"/>
  <c r="AC7" i="5"/>
  <c r="AB7" i="5"/>
  <c r="AA7" i="5"/>
  <c r="Z7" i="5"/>
  <c r="Y7" i="5"/>
  <c r="X7" i="5"/>
  <c r="W7" i="5"/>
  <c r="V7" i="5"/>
  <c r="U7" i="5"/>
  <c r="T7" i="5"/>
  <c r="S7" i="5"/>
  <c r="R7" i="5"/>
  <c r="Q7" i="5"/>
  <c r="P7" i="5"/>
  <c r="O7" i="5"/>
  <c r="N7" i="5"/>
  <c r="M7" i="5"/>
  <c r="L7" i="5"/>
  <c r="K7" i="5"/>
  <c r="J7" i="5"/>
  <c r="I7" i="5"/>
  <c r="H7" i="5"/>
  <c r="G7" i="5"/>
  <c r="F7" i="5"/>
  <c r="E7" i="5"/>
  <c r="D7" i="5"/>
  <c r="C7" i="5"/>
  <c r="B7" i="5"/>
  <c r="AG6" i="5"/>
  <c r="AF6" i="5"/>
  <c r="AE6" i="5"/>
  <c r="AD6" i="5"/>
  <c r="AC6" i="5"/>
  <c r="AB6" i="5"/>
  <c r="AA6" i="5"/>
  <c r="Z6" i="5"/>
  <c r="Y6" i="5"/>
  <c r="X6" i="5"/>
  <c r="W6" i="5"/>
  <c r="V6" i="5"/>
  <c r="U6" i="5"/>
  <c r="T6" i="5"/>
  <c r="S6" i="5"/>
  <c r="R6" i="5"/>
  <c r="Q6" i="5"/>
  <c r="P6" i="5"/>
  <c r="O6" i="5"/>
  <c r="N6" i="5"/>
  <c r="M6" i="5"/>
  <c r="L6" i="5"/>
  <c r="K6" i="5"/>
  <c r="J6" i="5"/>
  <c r="I6" i="5"/>
  <c r="H6" i="5"/>
  <c r="G6" i="5"/>
  <c r="G19" i="5" s="1"/>
  <c r="F6" i="5"/>
  <c r="E6" i="5"/>
  <c r="D6" i="5"/>
  <c r="C6" i="5"/>
  <c r="B6" i="5"/>
  <c r="AG5" i="5"/>
  <c r="AF5" i="5"/>
  <c r="AE5" i="5"/>
  <c r="AD5" i="5"/>
  <c r="AC5" i="5"/>
  <c r="AB5" i="5"/>
  <c r="AA5" i="5"/>
  <c r="Z5" i="5"/>
  <c r="Y5" i="5"/>
  <c r="X5" i="5"/>
  <c r="W5" i="5"/>
  <c r="V5" i="5"/>
  <c r="U5" i="5"/>
  <c r="T5" i="5"/>
  <c r="S5" i="5"/>
  <c r="R5" i="5"/>
  <c r="Q5" i="5"/>
  <c r="P5" i="5"/>
  <c r="O5" i="5"/>
  <c r="N5" i="5"/>
  <c r="M5" i="5"/>
  <c r="L5" i="5"/>
  <c r="K5" i="5"/>
  <c r="J5" i="5"/>
  <c r="I5" i="5"/>
  <c r="H5" i="5"/>
  <c r="G5" i="5"/>
  <c r="F5" i="5"/>
  <c r="E5" i="5"/>
  <c r="D5" i="5"/>
  <c r="C5" i="5"/>
  <c r="B5" i="5"/>
  <c r="AG4" i="5"/>
  <c r="AF4" i="5"/>
  <c r="AE4" i="5"/>
  <c r="AD4" i="5"/>
  <c r="AC4" i="5"/>
  <c r="AB4" i="5"/>
  <c r="AA4" i="5"/>
  <c r="Z4" i="5"/>
  <c r="Y4" i="5"/>
  <c r="X4" i="5"/>
  <c r="W4" i="5"/>
  <c r="V4" i="5"/>
  <c r="U4" i="5"/>
  <c r="T4" i="5"/>
  <c r="S4" i="5"/>
  <c r="R4" i="5"/>
  <c r="Q4" i="5"/>
  <c r="P4" i="5"/>
  <c r="O4" i="5"/>
  <c r="N4" i="5"/>
  <c r="M4" i="5"/>
  <c r="L4" i="5"/>
  <c r="K4" i="5"/>
  <c r="J4" i="5"/>
  <c r="I4" i="5"/>
  <c r="I19" i="5" s="1"/>
  <c r="H4" i="5"/>
  <c r="H19" i="5" s="1"/>
  <c r="G4" i="5"/>
  <c r="F4" i="5"/>
  <c r="E4" i="5"/>
  <c r="E19" i="5" s="1"/>
  <c r="D4" i="5"/>
  <c r="C4" i="5"/>
  <c r="B4" i="5"/>
  <c r="AW146" i="4"/>
  <c r="AW145" i="4"/>
  <c r="AW144" i="4"/>
  <c r="AW143" i="4"/>
  <c r="AW142" i="4"/>
  <c r="AW141" i="4"/>
  <c r="AW140" i="4"/>
  <c r="AW139" i="4"/>
  <c r="AW138" i="4"/>
  <c r="AW137" i="4"/>
  <c r="AW136" i="4"/>
  <c r="AW135" i="4"/>
  <c r="AW134" i="4"/>
  <c r="AW133" i="4"/>
  <c r="AW132" i="4"/>
  <c r="AW131" i="4"/>
  <c r="BA125" i="4"/>
  <c r="AZ125" i="4"/>
  <c r="BB121" i="4"/>
  <c r="BA121" i="4"/>
  <c r="AZ121" i="4"/>
  <c r="AY121" i="4"/>
  <c r="AX121" i="4"/>
  <c r="AW121" i="4"/>
  <c r="AV121" i="4"/>
  <c r="AU121" i="4"/>
  <c r="AP121" i="4"/>
  <c r="AO121" i="4"/>
  <c r="AN121" i="4"/>
  <c r="AM121" i="4"/>
  <c r="AL121" i="4"/>
  <c r="AK121" i="4"/>
  <c r="AJ121" i="4"/>
  <c r="AI121" i="4"/>
  <c r="AH121" i="4"/>
  <c r="AG121" i="4"/>
  <c r="AF121" i="4"/>
  <c r="AE121" i="4"/>
  <c r="AD121" i="4"/>
  <c r="AC121" i="4"/>
  <c r="AB121" i="4"/>
  <c r="AA121" i="4"/>
  <c r="Z121" i="4"/>
  <c r="Y121" i="4"/>
  <c r="X121" i="4"/>
  <c r="W121" i="4"/>
  <c r="V121" i="4"/>
  <c r="U121" i="4"/>
  <c r="T121" i="4"/>
  <c r="S121" i="4"/>
  <c r="R121" i="4"/>
  <c r="Q121" i="4"/>
  <c r="P121" i="4"/>
  <c r="O121" i="4"/>
  <c r="N121" i="4"/>
  <c r="M121" i="4"/>
  <c r="L121" i="4"/>
  <c r="K121" i="4"/>
  <c r="J121" i="4"/>
  <c r="I121" i="4"/>
  <c r="H121" i="4"/>
  <c r="G121" i="4"/>
  <c r="F121" i="4"/>
  <c r="E121" i="4"/>
  <c r="D121" i="4"/>
  <c r="C121" i="4"/>
  <c r="BB110" i="4"/>
  <c r="BA110" i="4"/>
  <c r="AZ110" i="4"/>
  <c r="AY110" i="4"/>
  <c r="AX110" i="4"/>
  <c r="AW110" i="4"/>
  <c r="AV110" i="4"/>
  <c r="AU110" i="4"/>
  <c r="AT110" i="4"/>
  <c r="AS110" i="4"/>
  <c r="AR110" i="4"/>
  <c r="AQ110" i="4"/>
  <c r="AP110" i="4"/>
  <c r="AO110" i="4"/>
  <c r="AN110" i="4"/>
  <c r="AM110" i="4"/>
  <c r="AL110" i="4"/>
  <c r="AK110" i="4"/>
  <c r="AJ110" i="4"/>
  <c r="AI110" i="4"/>
  <c r="AH110" i="4"/>
  <c r="AG110" i="4"/>
  <c r="AF110" i="4"/>
  <c r="AE110" i="4"/>
  <c r="AD110" i="4"/>
  <c r="AC110" i="4"/>
  <c r="AB110" i="4"/>
  <c r="AA110" i="4"/>
  <c r="Z110" i="4"/>
  <c r="Y110" i="4"/>
  <c r="X110" i="4"/>
  <c r="W110" i="4"/>
  <c r="V110" i="4"/>
  <c r="U110" i="4"/>
  <c r="T110" i="4"/>
  <c r="S110" i="4"/>
  <c r="R110" i="4"/>
  <c r="Q110" i="4"/>
  <c r="P110" i="4"/>
  <c r="O110" i="4"/>
  <c r="N110" i="4"/>
  <c r="M110" i="4"/>
  <c r="L110" i="4"/>
  <c r="K110" i="4"/>
  <c r="J110" i="4"/>
  <c r="I110" i="4"/>
  <c r="H110" i="4"/>
  <c r="G110" i="4"/>
  <c r="F110" i="4"/>
  <c r="E110" i="4"/>
  <c r="D110" i="4"/>
  <c r="C110" i="4"/>
  <c r="BE107" i="4"/>
  <c r="BD107" i="4"/>
  <c r="AW107" i="4"/>
  <c r="AV107" i="4"/>
  <c r="AU107" i="4"/>
  <c r="AT107" i="4"/>
  <c r="AS107" i="4"/>
  <c r="AR107" i="4"/>
  <c r="AQ107" i="4"/>
  <c r="AP107" i="4"/>
  <c r="AO107" i="4"/>
  <c r="AN107" i="4"/>
  <c r="AM107" i="4"/>
  <c r="AL107" i="4"/>
  <c r="AK107" i="4"/>
  <c r="AJ107" i="4"/>
  <c r="AI107" i="4"/>
  <c r="AH107" i="4"/>
  <c r="AG107" i="4"/>
  <c r="AF107" i="4"/>
  <c r="AE107" i="4"/>
  <c r="AD107" i="4"/>
  <c r="AC107" i="4"/>
  <c r="AB107" i="4"/>
  <c r="AA107" i="4"/>
  <c r="Z107" i="4"/>
  <c r="Y107" i="4"/>
  <c r="X107" i="4"/>
  <c r="W107" i="4"/>
  <c r="V107" i="4"/>
  <c r="U107" i="4"/>
  <c r="T107" i="4"/>
  <c r="S107" i="4"/>
  <c r="R107" i="4"/>
  <c r="Q107" i="4"/>
  <c r="P107" i="4"/>
  <c r="O107" i="4"/>
  <c r="N107" i="4"/>
  <c r="M107" i="4"/>
  <c r="L107" i="4"/>
  <c r="K107" i="4"/>
  <c r="J107" i="4"/>
  <c r="I107" i="4"/>
  <c r="H107" i="4"/>
  <c r="G107" i="4"/>
  <c r="F107" i="4"/>
  <c r="E107" i="4"/>
  <c r="D107" i="4"/>
  <c r="C107" i="4"/>
  <c r="DZ103" i="4"/>
  <c r="DY103" i="4"/>
  <c r="DX103" i="4"/>
  <c r="DW103" i="4"/>
  <c r="DV103" i="4"/>
  <c r="DU103" i="4"/>
  <c r="DT103" i="4"/>
  <c r="DS103" i="4"/>
  <c r="DR103" i="4"/>
  <c r="DQ103" i="4"/>
  <c r="DP103" i="4"/>
  <c r="DO103" i="4"/>
  <c r="DN103" i="4"/>
  <c r="DM103" i="4"/>
  <c r="DL103" i="4"/>
  <c r="DK103" i="4"/>
  <c r="DJ103" i="4"/>
  <c r="DI103" i="4"/>
  <c r="DH103" i="4"/>
  <c r="DG103" i="4"/>
  <c r="DF103" i="4"/>
  <c r="DE103" i="4"/>
  <c r="DD103" i="4"/>
  <c r="DC103" i="4"/>
  <c r="DB103" i="4"/>
  <c r="DA103" i="4"/>
  <c r="CZ103" i="4"/>
  <c r="CY103" i="4"/>
  <c r="CX103" i="4"/>
  <c r="CW103" i="4"/>
  <c r="CV103" i="4"/>
  <c r="CU103" i="4"/>
  <c r="CT103" i="4"/>
  <c r="CS103" i="4"/>
  <c r="CR103" i="4"/>
  <c r="CQ103" i="4"/>
  <c r="CP103" i="4"/>
  <c r="CO103" i="4"/>
  <c r="CN103" i="4"/>
  <c r="CM103" i="4"/>
  <c r="CL103" i="4"/>
  <c r="CK103" i="4"/>
  <c r="CJ103" i="4"/>
  <c r="CI103" i="4"/>
  <c r="CH103" i="4"/>
  <c r="CG103" i="4"/>
  <c r="CF103" i="4"/>
  <c r="CE103" i="4"/>
  <c r="CD103" i="4"/>
  <c r="CC103" i="4"/>
  <c r="CB103" i="4"/>
  <c r="CA103" i="4"/>
  <c r="BZ103" i="4"/>
  <c r="BY103" i="4"/>
  <c r="BX103" i="4"/>
  <c r="BW103" i="4"/>
  <c r="BV103" i="4"/>
  <c r="BU103" i="4"/>
  <c r="BT103" i="4"/>
  <c r="BS103" i="4"/>
  <c r="BR103" i="4"/>
  <c r="BQ103" i="4"/>
  <c r="BP103" i="4"/>
  <c r="BO103" i="4"/>
  <c r="BN103" i="4"/>
  <c r="BM103" i="4"/>
  <c r="BL103" i="4"/>
  <c r="BK103" i="4"/>
  <c r="BJ103" i="4"/>
  <c r="BI103" i="4"/>
  <c r="BH103" i="4"/>
  <c r="BG103" i="4"/>
  <c r="BF103" i="4"/>
  <c r="AX103" i="4"/>
  <c r="AW103" i="4"/>
  <c r="AV103" i="4"/>
  <c r="AU103" i="4"/>
  <c r="AX102" i="4"/>
  <c r="AX101" i="4"/>
  <c r="AX100" i="4"/>
  <c r="AX99" i="4"/>
  <c r="AX98" i="4"/>
  <c r="AX97" i="4"/>
  <c r="AX96" i="4"/>
  <c r="AX95" i="4"/>
  <c r="DZ94" i="4"/>
  <c r="DY94" i="4"/>
  <c r="DX94" i="4"/>
  <c r="DW94" i="4"/>
  <c r="DV94" i="4"/>
  <c r="DU94" i="4"/>
  <c r="DT94" i="4"/>
  <c r="DS94" i="4"/>
  <c r="DR94" i="4"/>
  <c r="DQ94" i="4"/>
  <c r="DP94" i="4"/>
  <c r="DO94" i="4"/>
  <c r="DN94" i="4"/>
  <c r="DM94" i="4"/>
  <c r="DL94" i="4"/>
  <c r="DK94" i="4"/>
  <c r="DJ94" i="4"/>
  <c r="DI94" i="4"/>
  <c r="DH94" i="4"/>
  <c r="DG94" i="4"/>
  <c r="DF94" i="4"/>
  <c r="DE94" i="4"/>
  <c r="DD94" i="4"/>
  <c r="DC94" i="4"/>
  <c r="DB94" i="4"/>
  <c r="DA94" i="4"/>
  <c r="CZ94" i="4"/>
  <c r="CY94" i="4"/>
  <c r="CX94" i="4"/>
  <c r="CW94" i="4"/>
  <c r="CV94" i="4"/>
  <c r="CU94" i="4"/>
  <c r="CT94" i="4"/>
  <c r="CS94" i="4"/>
  <c r="CR94" i="4"/>
  <c r="CQ94" i="4"/>
  <c r="CP94" i="4"/>
  <c r="CO94" i="4"/>
  <c r="CN94" i="4"/>
  <c r="CM94" i="4"/>
  <c r="CL94" i="4"/>
  <c r="CK94" i="4"/>
  <c r="CJ94" i="4"/>
  <c r="CI94" i="4"/>
  <c r="CH94" i="4"/>
  <c r="CG94" i="4"/>
  <c r="CF94" i="4"/>
  <c r="CE94" i="4"/>
  <c r="CD94" i="4"/>
  <c r="CC94" i="4"/>
  <c r="CB94" i="4"/>
  <c r="CA94" i="4"/>
  <c r="BZ94" i="4"/>
  <c r="BY94" i="4"/>
  <c r="BX94" i="4"/>
  <c r="BW94" i="4"/>
  <c r="BV94" i="4"/>
  <c r="BU94" i="4"/>
  <c r="BT94" i="4"/>
  <c r="BS94" i="4"/>
  <c r="BR94" i="4"/>
  <c r="BQ94" i="4"/>
  <c r="BP94" i="4"/>
  <c r="BO94" i="4"/>
  <c r="BN94" i="4"/>
  <c r="BM94" i="4"/>
  <c r="BL94" i="4"/>
  <c r="BK94" i="4"/>
  <c r="BJ94" i="4"/>
  <c r="BI94" i="4"/>
  <c r="BH94" i="4"/>
  <c r="BG94" i="4"/>
  <c r="BF94" i="4"/>
  <c r="AX94" i="4"/>
  <c r="DZ93" i="4"/>
  <c r="DY93" i="4"/>
  <c r="DX93" i="4"/>
  <c r="DW93" i="4"/>
  <c r="DV93" i="4"/>
  <c r="DU93" i="4"/>
  <c r="DT93" i="4"/>
  <c r="DS93" i="4"/>
  <c r="DR93" i="4"/>
  <c r="DQ93" i="4"/>
  <c r="DP93" i="4"/>
  <c r="DO93" i="4"/>
  <c r="DN93" i="4"/>
  <c r="DM93" i="4"/>
  <c r="DL93" i="4"/>
  <c r="DK93" i="4"/>
  <c r="DJ93" i="4"/>
  <c r="DI93" i="4"/>
  <c r="DH93" i="4"/>
  <c r="DG93" i="4"/>
  <c r="DF93" i="4"/>
  <c r="DE93" i="4"/>
  <c r="DD93" i="4"/>
  <c r="DC93" i="4"/>
  <c r="DB93" i="4"/>
  <c r="DA93" i="4"/>
  <c r="CZ93" i="4"/>
  <c r="CY93" i="4"/>
  <c r="CX93" i="4"/>
  <c r="CW93" i="4"/>
  <c r="CV93" i="4"/>
  <c r="CU93" i="4"/>
  <c r="CT93" i="4"/>
  <c r="CS93" i="4"/>
  <c r="CR93" i="4"/>
  <c r="CQ93" i="4"/>
  <c r="CP93" i="4"/>
  <c r="CO93" i="4"/>
  <c r="CN93" i="4"/>
  <c r="CM93" i="4"/>
  <c r="CL93" i="4"/>
  <c r="CK93" i="4"/>
  <c r="CJ93" i="4"/>
  <c r="CI93" i="4"/>
  <c r="CH93" i="4"/>
  <c r="CG93" i="4"/>
  <c r="CF93" i="4"/>
  <c r="CE93" i="4"/>
  <c r="CD93" i="4"/>
  <c r="CC93" i="4"/>
  <c r="CB93" i="4"/>
  <c r="CA93" i="4"/>
  <c r="BZ93" i="4"/>
  <c r="BY93" i="4"/>
  <c r="BX93" i="4"/>
  <c r="BW93" i="4"/>
  <c r="BV93" i="4"/>
  <c r="BU93" i="4"/>
  <c r="BT93" i="4"/>
  <c r="BS93" i="4"/>
  <c r="BR93" i="4"/>
  <c r="BQ93" i="4"/>
  <c r="BP93" i="4"/>
  <c r="BO93" i="4"/>
  <c r="BN93" i="4"/>
  <c r="BM93" i="4"/>
  <c r="BL93" i="4"/>
  <c r="BK93" i="4"/>
  <c r="BJ93" i="4"/>
  <c r="BI93" i="4"/>
  <c r="BH93" i="4"/>
  <c r="BG93" i="4"/>
  <c r="BF93" i="4"/>
  <c r="AX93" i="4"/>
  <c r="DO92" i="4"/>
  <c r="DG92" i="4"/>
  <c r="CI92" i="4"/>
  <c r="CE92" i="4"/>
  <c r="BS92" i="4"/>
  <c r="BG92" i="4"/>
  <c r="BB92" i="4"/>
  <c r="BB125" i="4" s="1"/>
  <c r="BA92" i="4"/>
  <c r="AZ92" i="4"/>
  <c r="AY92" i="4"/>
  <c r="AY125" i="4" s="1"/>
  <c r="AX92" i="4"/>
  <c r="AW92" i="4"/>
  <c r="AW125" i="4" s="1"/>
  <c r="AV92" i="4"/>
  <c r="AU92" i="4"/>
  <c r="AT92" i="4"/>
  <c r="AS92" i="4"/>
  <c r="AR92" i="4"/>
  <c r="AQ92" i="4"/>
  <c r="AX87" i="4"/>
  <c r="AX86" i="4"/>
  <c r="AX85" i="4"/>
  <c r="AX84" i="4"/>
  <c r="AX83" i="4"/>
  <c r="AX82" i="4"/>
  <c r="AX81" i="4"/>
  <c r="AX80" i="4"/>
  <c r="AX79" i="4"/>
  <c r="AX78" i="4"/>
  <c r="AX77" i="4"/>
  <c r="DW76" i="4"/>
  <c r="DS76" i="4"/>
  <c r="DO76" i="4"/>
  <c r="DK76" i="4"/>
  <c r="DK92" i="4" s="1"/>
  <c r="DG76" i="4"/>
  <c r="DC76" i="4"/>
  <c r="DC92" i="4" s="1"/>
  <c r="CY76" i="4"/>
  <c r="CY92" i="4" s="1"/>
  <c r="CU76" i="4"/>
  <c r="CU92" i="4" s="1"/>
  <c r="CQ76" i="4"/>
  <c r="CQ92" i="4" s="1"/>
  <c r="CM76" i="4"/>
  <c r="CI76" i="4"/>
  <c r="CE76" i="4"/>
  <c r="CA76" i="4"/>
  <c r="BW76" i="4"/>
  <c r="BW92" i="4" s="1"/>
  <c r="BS76" i="4"/>
  <c r="BO76" i="4"/>
  <c r="BO92" i="4" s="1"/>
  <c r="BK76" i="4"/>
  <c r="BG76" i="4"/>
  <c r="BF76" i="4"/>
  <c r="BF92" i="4" s="1"/>
  <c r="BE76" i="4"/>
  <c r="BE92" i="4" s="1"/>
  <c r="BE125" i="4" s="1"/>
  <c r="BC76" i="4"/>
  <c r="BC92" i="4" s="1"/>
  <c r="AU73" i="4"/>
  <c r="BE73" i="4"/>
  <c r="BD73" i="4"/>
  <c r="BC73" i="4"/>
  <c r="BB73" i="4"/>
  <c r="BA73" i="4"/>
  <c r="AZ73" i="4"/>
  <c r="AY73" i="4"/>
  <c r="AX73" i="4"/>
  <c r="AW73" i="4"/>
  <c r="AV73" i="4"/>
  <c r="AX70" i="4"/>
  <c r="AW70" i="4"/>
  <c r="AV70" i="4"/>
  <c r="AU70" i="4"/>
  <c r="AT70" i="4"/>
  <c r="AS70" i="4"/>
  <c r="AR70" i="4"/>
  <c r="AQ70" i="4"/>
  <c r="AP70" i="4"/>
  <c r="AO70" i="4"/>
  <c r="AN70" i="4"/>
  <c r="AM70" i="4"/>
  <c r="AL70" i="4"/>
  <c r="AK70" i="4"/>
  <c r="AJ70" i="4"/>
  <c r="AI70" i="4"/>
  <c r="AH70" i="4"/>
  <c r="AG70" i="4"/>
  <c r="AF70" i="4"/>
  <c r="AE70" i="4"/>
  <c r="AD70" i="4"/>
  <c r="AC70" i="4"/>
  <c r="AB70" i="4"/>
  <c r="AA70" i="4"/>
  <c r="Z70" i="4"/>
  <c r="Y70" i="4"/>
  <c r="X70" i="4"/>
  <c r="W70" i="4"/>
  <c r="V70" i="4"/>
  <c r="U70" i="4"/>
  <c r="T70" i="4"/>
  <c r="S70" i="4"/>
  <c r="R70" i="4"/>
  <c r="Q70" i="4"/>
  <c r="P70" i="4"/>
  <c r="O70" i="4"/>
  <c r="N70" i="4"/>
  <c r="M70" i="4"/>
  <c r="L70" i="4"/>
  <c r="K70" i="4"/>
  <c r="J70" i="4"/>
  <c r="I70" i="4"/>
  <c r="H70" i="4"/>
  <c r="G70" i="4"/>
  <c r="F70" i="4"/>
  <c r="E70" i="4"/>
  <c r="D70" i="4"/>
  <c r="C70" i="4"/>
  <c r="BQ69" i="4"/>
  <c r="BN69" i="4"/>
  <c r="BM69" i="4"/>
  <c r="BU69" i="4" s="1"/>
  <c r="CC69" i="4" s="1"/>
  <c r="BL69" i="4"/>
  <c r="BK69" i="4"/>
  <c r="BJ69" i="4"/>
  <c r="BR69" i="4" s="1"/>
  <c r="BZ69" i="4" s="1"/>
  <c r="BI69" i="4"/>
  <c r="BH69" i="4"/>
  <c r="BP69" i="4" s="1"/>
  <c r="BG69" i="4"/>
  <c r="BF69" i="4"/>
  <c r="O18" i="5" s="1"/>
  <c r="AW66" i="4"/>
  <c r="M15" i="5" s="1"/>
  <c r="DO54" i="4"/>
  <c r="DK54" i="4"/>
  <c r="DG54" i="4"/>
  <c r="CY54" i="4"/>
  <c r="CU54" i="4"/>
  <c r="CQ54" i="4"/>
  <c r="CI54" i="4"/>
  <c r="CE54" i="4"/>
  <c r="BW54" i="4"/>
  <c r="BS54" i="4"/>
  <c r="BO54" i="4"/>
  <c r="BG54" i="4"/>
  <c r="BF54" i="4"/>
  <c r="BE54" i="4"/>
  <c r="BE110" i="4" s="1"/>
  <c r="BC54" i="4"/>
  <c r="AY52" i="4"/>
  <c r="AW52" i="4"/>
  <c r="AV52" i="4"/>
  <c r="AU52" i="4"/>
  <c r="AT52" i="4"/>
  <c r="AS52" i="4"/>
  <c r="AR52" i="4"/>
  <c r="AQ52" i="4"/>
  <c r="AP52" i="4"/>
  <c r="AO52" i="4"/>
  <c r="AN52" i="4"/>
  <c r="AM52" i="4"/>
  <c r="AX49" i="4"/>
  <c r="AY49" i="4" s="1"/>
  <c r="AY48" i="4"/>
  <c r="AY38" i="4" s="1"/>
  <c r="AX48" i="4"/>
  <c r="BA38" i="4"/>
  <c r="AZ38" i="4"/>
  <c r="AT38" i="4"/>
  <c r="AO38" i="4"/>
  <c r="AN38" i="4"/>
  <c r="AM38" i="4"/>
  <c r="AL38" i="4"/>
  <c r="AJ38" i="4"/>
  <c r="AN1" i="4" s="1"/>
  <c r="AH38" i="4"/>
  <c r="AF38" i="4"/>
  <c r="AD38" i="4"/>
  <c r="AA38" i="4"/>
  <c r="Z38" i="4"/>
  <c r="X38" i="4"/>
  <c r="S38" i="4"/>
  <c r="R38" i="4"/>
  <c r="Q38" i="4"/>
  <c r="O38" i="4"/>
  <c r="E38" i="4"/>
  <c r="AX37" i="4"/>
  <c r="AT37" i="4"/>
  <c r="AT38" i="16" s="1"/>
  <c r="AS37" i="4"/>
  <c r="AR37" i="4"/>
  <c r="AQ37" i="4"/>
  <c r="AP37" i="4"/>
  <c r="AO37" i="4"/>
  <c r="AN37" i="4"/>
  <c r="AM37" i="4"/>
  <c r="AL37" i="4"/>
  <c r="AK37" i="4"/>
  <c r="AJ37" i="4"/>
  <c r="AI37" i="4"/>
  <c r="AH37" i="4"/>
  <c r="AG37" i="4"/>
  <c r="AF37" i="4"/>
  <c r="AE37" i="4"/>
  <c r="AD37" i="4"/>
  <c r="AC37" i="4"/>
  <c r="AB37" i="4"/>
  <c r="AA37" i="4"/>
  <c r="Z37" i="4"/>
  <c r="Y37" i="4"/>
  <c r="X37" i="4"/>
  <c r="W37" i="4"/>
  <c r="V37" i="4"/>
  <c r="U37" i="4"/>
  <c r="T37" i="4"/>
  <c r="S37" i="4"/>
  <c r="R37" i="4"/>
  <c r="Q37" i="4"/>
  <c r="P37" i="4"/>
  <c r="O37" i="4"/>
  <c r="N37" i="4"/>
  <c r="M37" i="4"/>
  <c r="L37" i="4"/>
  <c r="K37" i="4"/>
  <c r="J37" i="4"/>
  <c r="I37" i="4"/>
  <c r="H37" i="4"/>
  <c r="G37" i="4"/>
  <c r="F37" i="4"/>
  <c r="E37" i="4"/>
  <c r="D37" i="4"/>
  <c r="C37" i="4"/>
  <c r="BJ21" i="4"/>
  <c r="BJ76" i="4" s="1"/>
  <c r="BI21" i="4"/>
  <c r="BH21" i="4"/>
  <c r="BF21" i="4"/>
  <c r="BE21" i="4"/>
  <c r="BD21" i="4"/>
  <c r="BD76" i="4" s="1"/>
  <c r="DZ14" i="4"/>
  <c r="DY14" i="4"/>
  <c r="DX14" i="4"/>
  <c r="DW14" i="4"/>
  <c r="DV14" i="4"/>
  <c r="DU14" i="4"/>
  <c r="DT14" i="4"/>
  <c r="DS14" i="4"/>
  <c r="DR14" i="4"/>
  <c r="DQ14" i="4"/>
  <c r="DP14" i="4"/>
  <c r="DO14" i="4"/>
  <c r="DN14" i="4"/>
  <c r="DM14" i="4"/>
  <c r="DL14" i="4"/>
  <c r="DK14" i="4"/>
  <c r="DJ14" i="4"/>
  <c r="DI14" i="4"/>
  <c r="DH14" i="4"/>
  <c r="DG14" i="4"/>
  <c r="DF14" i="4"/>
  <c r="DE14" i="4"/>
  <c r="DD14" i="4"/>
  <c r="DC14" i="4"/>
  <c r="DB14" i="4"/>
  <c r="DA14" i="4"/>
  <c r="CZ14" i="4"/>
  <c r="CY14" i="4"/>
  <c r="AA35" i="5" s="1"/>
  <c r="CX14" i="4"/>
  <c r="CW14" i="4"/>
  <c r="CV14" i="4"/>
  <c r="CU14" i="4"/>
  <c r="CT14" i="4"/>
  <c r="CS14" i="4"/>
  <c r="CR14" i="4"/>
  <c r="CQ14" i="4"/>
  <c r="CP14" i="4"/>
  <c r="CO14" i="4"/>
  <c r="CN14" i="4"/>
  <c r="CM14" i="4"/>
  <c r="CL14" i="4"/>
  <c r="CK14" i="4"/>
  <c r="CJ14" i="4"/>
  <c r="CI14" i="4"/>
  <c r="CH14" i="4"/>
  <c r="CG14" i="4"/>
  <c r="BE14" i="4"/>
  <c r="BE13" i="4"/>
  <c r="BE12" i="4"/>
  <c r="BE11" i="4"/>
  <c r="BE10" i="4"/>
  <c r="BE9" i="4"/>
  <c r="BE8" i="4"/>
  <c r="DZ7" i="4"/>
  <c r="DY7" i="4"/>
  <c r="DX7" i="4"/>
  <c r="DW7" i="4"/>
  <c r="DV7" i="4"/>
  <c r="DU7" i="4"/>
  <c r="DT7" i="4"/>
  <c r="DS7" i="4"/>
  <c r="DR7" i="4"/>
  <c r="DQ7" i="4"/>
  <c r="DP7" i="4"/>
  <c r="DO7" i="4"/>
  <c r="AE27" i="5" s="1"/>
  <c r="DN7" i="4"/>
  <c r="DM7" i="4"/>
  <c r="DL7" i="4"/>
  <c r="DK7" i="4"/>
  <c r="DJ7" i="4"/>
  <c r="DI7" i="4"/>
  <c r="DH7" i="4"/>
  <c r="DG7" i="4"/>
  <c r="DF7" i="4"/>
  <c r="DE7" i="4"/>
  <c r="DD7" i="4"/>
  <c r="DC7" i="4"/>
  <c r="AB27" i="5" s="1"/>
  <c r="DB7" i="4"/>
  <c r="DA7" i="4"/>
  <c r="CZ7" i="4"/>
  <c r="CY7" i="4"/>
  <c r="CX7" i="4"/>
  <c r="CW7" i="4"/>
  <c r="CV7" i="4"/>
  <c r="CU7" i="4"/>
  <c r="CT7" i="4"/>
  <c r="CS7" i="4"/>
  <c r="CR7" i="4"/>
  <c r="CQ7" i="4"/>
  <c r="CP7" i="4"/>
  <c r="CO7" i="4"/>
  <c r="CN7" i="4"/>
  <c r="CM7" i="4"/>
  <c r="X27" i="5" s="1"/>
  <c r="CL7" i="4"/>
  <c r="CK7" i="4"/>
  <c r="CJ7" i="4"/>
  <c r="CI7" i="4"/>
  <c r="W27" i="5" s="1"/>
  <c r="CH7" i="4"/>
  <c r="CG7" i="4"/>
  <c r="CF7" i="4"/>
  <c r="CE7" i="4"/>
  <c r="CD7" i="4"/>
  <c r="CC7" i="4"/>
  <c r="CB7" i="4"/>
  <c r="CA7" i="4"/>
  <c r="BZ7" i="4"/>
  <c r="BY7" i="4"/>
  <c r="BX7" i="4"/>
  <c r="BW7" i="4"/>
  <c r="T27" i="5" s="1"/>
  <c r="BV7" i="4"/>
  <c r="BU7" i="4"/>
  <c r="BT7" i="4"/>
  <c r="BS7" i="4"/>
  <c r="BR7" i="4"/>
  <c r="BQ7" i="4"/>
  <c r="BP7" i="4"/>
  <c r="BO7" i="4"/>
  <c r="BN7" i="4"/>
  <c r="BM7" i="4"/>
  <c r="BL7" i="4"/>
  <c r="BK7" i="4"/>
  <c r="Q27" i="5" s="1"/>
  <c r="BJ7" i="4"/>
  <c r="BI7" i="4"/>
  <c r="BH7" i="4"/>
  <c r="BG7" i="4"/>
  <c r="BF7" i="4"/>
  <c r="BE7" i="4"/>
  <c r="BD7" i="4"/>
  <c r="BE6" i="4"/>
  <c r="BE5" i="4"/>
  <c r="BE4" i="4"/>
  <c r="DW3" i="4"/>
  <c r="DS3" i="4"/>
  <c r="DO3" i="4"/>
  <c r="DK3" i="4"/>
  <c r="DG3" i="4"/>
  <c r="DC3" i="4"/>
  <c r="CY3" i="4"/>
  <c r="CU3" i="4"/>
  <c r="CQ3" i="4"/>
  <c r="CM3" i="4"/>
  <c r="CI3" i="4"/>
  <c r="CE3" i="4"/>
  <c r="CA3" i="4"/>
  <c r="BW3" i="4"/>
  <c r="BS3" i="4"/>
  <c r="BO3" i="4"/>
  <c r="BK3" i="4"/>
  <c r="BJ3" i="4"/>
  <c r="BI3" i="4"/>
  <c r="BH3" i="4"/>
  <c r="BG3" i="4"/>
  <c r="BF3" i="4"/>
  <c r="BE3" i="4"/>
  <c r="BD3" i="4"/>
  <c r="BC3" i="4"/>
  <c r="S1" i="4"/>
  <c r="AW117" i="3"/>
  <c r="AV117" i="3"/>
  <c r="AU117" i="3"/>
  <c r="AT117" i="3"/>
  <c r="AS117" i="3"/>
  <c r="AR117" i="3"/>
  <c r="AQ117" i="3"/>
  <c r="AP117" i="3"/>
  <c r="AX116" i="3"/>
  <c r="AW116" i="3"/>
  <c r="AV116" i="3"/>
  <c r="AU116" i="3"/>
  <c r="AT116" i="3"/>
  <c r="AS116" i="3"/>
  <c r="AR116" i="3"/>
  <c r="AQ116" i="3"/>
  <c r="AP116" i="3"/>
  <c r="AW115" i="3"/>
  <c r="AV115" i="3"/>
  <c r="AU115" i="3"/>
  <c r="AT115" i="3"/>
  <c r="AS115" i="3"/>
  <c r="AR115" i="3"/>
  <c r="AQ115" i="3"/>
  <c r="AP115" i="3"/>
  <c r="AW114" i="3"/>
  <c r="AV114" i="3"/>
  <c r="AU114" i="3"/>
  <c r="AT114" i="3"/>
  <c r="AS114" i="3"/>
  <c r="AR114" i="3"/>
  <c r="AQ114" i="3"/>
  <c r="AP114" i="3"/>
  <c r="AX113" i="3"/>
  <c r="AW113" i="3"/>
  <c r="AV113" i="3"/>
  <c r="AU113" i="3"/>
  <c r="AT113" i="3"/>
  <c r="AS113" i="3"/>
  <c r="AR113" i="3"/>
  <c r="AQ113" i="3"/>
  <c r="AP113" i="3"/>
  <c r="AW112" i="3"/>
  <c r="AV112" i="3"/>
  <c r="AU112" i="3"/>
  <c r="AT112" i="3"/>
  <c r="AS112" i="3"/>
  <c r="AR112" i="3"/>
  <c r="AQ112" i="3"/>
  <c r="AP112" i="3"/>
  <c r="FH111" i="3"/>
  <c r="FI111" i="3" s="1"/>
  <c r="FG111" i="3"/>
  <c r="FC111" i="3"/>
  <c r="FD111" i="3" s="1"/>
  <c r="FE111" i="3" s="1"/>
  <c r="FA111" i="3"/>
  <c r="EZ111" i="3"/>
  <c r="EY111" i="3"/>
  <c r="EV111" i="3"/>
  <c r="EW111" i="3" s="1"/>
  <c r="EU111" i="3"/>
  <c r="ER111" i="3"/>
  <c r="ES111" i="3" s="1"/>
  <c r="EQ111" i="3"/>
  <c r="EN111" i="3"/>
  <c r="EO111" i="3" s="1"/>
  <c r="EM111" i="3"/>
  <c r="EJ111" i="3"/>
  <c r="EK111" i="3" s="1"/>
  <c r="EI111" i="3"/>
  <c r="EF111" i="3"/>
  <c r="EG111" i="3" s="1"/>
  <c r="EE111" i="3"/>
  <c r="EB111" i="3"/>
  <c r="EC111" i="3" s="1"/>
  <c r="EA111" i="3"/>
  <c r="AX111" i="3"/>
  <c r="AX117" i="3" s="1"/>
  <c r="FG110" i="3"/>
  <c r="FH110" i="3" s="1"/>
  <c r="FI110" i="3" s="1"/>
  <c r="FC110" i="3"/>
  <c r="FD110" i="3" s="1"/>
  <c r="FE110" i="3" s="1"/>
  <c r="EZ110" i="3"/>
  <c r="FA110" i="3" s="1"/>
  <c r="EY110" i="3"/>
  <c r="EW110" i="3"/>
  <c r="EV110" i="3"/>
  <c r="EU110" i="3"/>
  <c r="ES110" i="3"/>
  <c r="ER110" i="3"/>
  <c r="EQ110" i="3"/>
  <c r="EM110" i="3"/>
  <c r="EN110" i="3" s="1"/>
  <c r="EO110" i="3" s="1"/>
  <c r="EI110" i="3"/>
  <c r="EJ110" i="3" s="1"/>
  <c r="EK110" i="3" s="1"/>
  <c r="EF110" i="3"/>
  <c r="EG110" i="3" s="1"/>
  <c r="EE110" i="3"/>
  <c r="EC110" i="3"/>
  <c r="EA110" i="3"/>
  <c r="EB110" i="3" s="1"/>
  <c r="BR110" i="3"/>
  <c r="BS110" i="3" s="1"/>
  <c r="BT110" i="3" s="1"/>
  <c r="BU110" i="3" s="1"/>
  <c r="BV110" i="3" s="1"/>
  <c r="BW110" i="3" s="1"/>
  <c r="BX110" i="3" s="1"/>
  <c r="BY110" i="3" s="1"/>
  <c r="BZ110" i="3" s="1"/>
  <c r="CA110" i="3" s="1"/>
  <c r="CB110" i="3" s="1"/>
  <c r="CC110" i="3" s="1"/>
  <c r="CD110" i="3" s="1"/>
  <c r="CE110" i="3" s="1"/>
  <c r="CF110" i="3" s="1"/>
  <c r="CG110" i="3" s="1"/>
  <c r="CH110" i="3" s="1"/>
  <c r="CI110" i="3" s="1"/>
  <c r="CJ110" i="3" s="1"/>
  <c r="CK110" i="3" s="1"/>
  <c r="CL110" i="3" s="1"/>
  <c r="CM110" i="3" s="1"/>
  <c r="CN110" i="3" s="1"/>
  <c r="CO110" i="3" s="1"/>
  <c r="CP110" i="3" s="1"/>
  <c r="CQ110" i="3" s="1"/>
  <c r="CR110" i="3" s="1"/>
  <c r="CS110" i="3" s="1"/>
  <c r="CT110" i="3" s="1"/>
  <c r="CU110" i="3" s="1"/>
  <c r="CV110" i="3" s="1"/>
  <c r="CW110" i="3" s="1"/>
  <c r="CX110" i="3" s="1"/>
  <c r="CY110" i="3" s="1"/>
  <c r="CZ110" i="3" s="1"/>
  <c r="DA110" i="3" s="1"/>
  <c r="DB110" i="3" s="1"/>
  <c r="DC110" i="3" s="1"/>
  <c r="DD110" i="3" s="1"/>
  <c r="DE110" i="3" s="1"/>
  <c r="DF110" i="3" s="1"/>
  <c r="DG110" i="3" s="1"/>
  <c r="DH110" i="3" s="1"/>
  <c r="DI110" i="3" s="1"/>
  <c r="DJ110" i="3" s="1"/>
  <c r="DK110" i="3" s="1"/>
  <c r="DL110" i="3" s="1"/>
  <c r="DM110" i="3" s="1"/>
  <c r="DN110" i="3" s="1"/>
  <c r="DO110" i="3" s="1"/>
  <c r="DP110" i="3" s="1"/>
  <c r="DQ110" i="3" s="1"/>
  <c r="DR110" i="3" s="1"/>
  <c r="DS110" i="3" s="1"/>
  <c r="DT110" i="3" s="1"/>
  <c r="DU110" i="3" s="1"/>
  <c r="DV110" i="3" s="1"/>
  <c r="DW110" i="3" s="1"/>
  <c r="DX110" i="3" s="1"/>
  <c r="DY110" i="3" s="1"/>
  <c r="BN110" i="3"/>
  <c r="BO110" i="3" s="1"/>
  <c r="BP110" i="3" s="1"/>
  <c r="BQ110" i="3" s="1"/>
  <c r="AX110" i="3"/>
  <c r="AY110" i="3" s="1"/>
  <c r="AZ110" i="3" s="1"/>
  <c r="BA110" i="3" s="1"/>
  <c r="BB110" i="3" s="1"/>
  <c r="BC110" i="3" s="1"/>
  <c r="BD110" i="3" s="1"/>
  <c r="BE110" i="3" s="1"/>
  <c r="BF110" i="3" s="1"/>
  <c r="BG110" i="3" s="1"/>
  <c r="BH110" i="3" s="1"/>
  <c r="BI110" i="3" s="1"/>
  <c r="BJ110" i="3" s="1"/>
  <c r="BK110" i="3" s="1"/>
  <c r="BL110" i="3" s="1"/>
  <c r="BM110" i="3" s="1"/>
  <c r="FI109" i="3"/>
  <c r="FH109" i="3"/>
  <c r="FG109" i="3"/>
  <c r="FE109" i="3"/>
  <c r="FC109" i="3"/>
  <c r="FD109" i="3" s="1"/>
  <c r="FA109" i="3"/>
  <c r="EZ109" i="3"/>
  <c r="EY109" i="3"/>
  <c r="EU109" i="3"/>
  <c r="EV109" i="3" s="1"/>
  <c r="EW109" i="3" s="1"/>
  <c r="EQ109" i="3"/>
  <c r="ER109" i="3" s="1"/>
  <c r="ES109" i="3" s="1"/>
  <c r="EM109" i="3"/>
  <c r="EN109" i="3" s="1"/>
  <c r="EO109" i="3" s="1"/>
  <c r="EK109" i="3"/>
  <c r="EI109" i="3"/>
  <c r="EJ109" i="3" s="1"/>
  <c r="EF109" i="3"/>
  <c r="EG109" i="3" s="1"/>
  <c r="EE109" i="3"/>
  <c r="EA109" i="3"/>
  <c r="EB109" i="3" s="1"/>
  <c r="EC109" i="3" s="1"/>
  <c r="BG109" i="3"/>
  <c r="BH109" i="3" s="1"/>
  <c r="BI109" i="3" s="1"/>
  <c r="BJ109" i="3" s="1"/>
  <c r="BK109" i="3" s="1"/>
  <c r="BL109" i="3" s="1"/>
  <c r="BM109" i="3" s="1"/>
  <c r="BN109" i="3" s="1"/>
  <c r="BO109" i="3" s="1"/>
  <c r="BP109" i="3" s="1"/>
  <c r="BQ109" i="3" s="1"/>
  <c r="BR109" i="3" s="1"/>
  <c r="BS109" i="3" s="1"/>
  <c r="BT109" i="3" s="1"/>
  <c r="BU109" i="3" s="1"/>
  <c r="BV109" i="3" s="1"/>
  <c r="BW109" i="3" s="1"/>
  <c r="BX109" i="3" s="1"/>
  <c r="BY109" i="3" s="1"/>
  <c r="BZ109" i="3" s="1"/>
  <c r="CA109" i="3" s="1"/>
  <c r="CB109" i="3" s="1"/>
  <c r="CC109" i="3" s="1"/>
  <c r="CD109" i="3" s="1"/>
  <c r="CE109" i="3" s="1"/>
  <c r="CF109" i="3" s="1"/>
  <c r="CG109" i="3" s="1"/>
  <c r="CH109" i="3" s="1"/>
  <c r="CI109" i="3" s="1"/>
  <c r="CJ109" i="3" s="1"/>
  <c r="CK109" i="3" s="1"/>
  <c r="CL109" i="3" s="1"/>
  <c r="CM109" i="3" s="1"/>
  <c r="CN109" i="3" s="1"/>
  <c r="CO109" i="3" s="1"/>
  <c r="CP109" i="3" s="1"/>
  <c r="CQ109" i="3" s="1"/>
  <c r="CR109" i="3" s="1"/>
  <c r="CS109" i="3" s="1"/>
  <c r="CT109" i="3" s="1"/>
  <c r="CU109" i="3" s="1"/>
  <c r="CV109" i="3" s="1"/>
  <c r="CW109" i="3" s="1"/>
  <c r="CX109" i="3" s="1"/>
  <c r="CY109" i="3" s="1"/>
  <c r="CZ109" i="3" s="1"/>
  <c r="DA109" i="3" s="1"/>
  <c r="DB109" i="3" s="1"/>
  <c r="DC109" i="3" s="1"/>
  <c r="DD109" i="3" s="1"/>
  <c r="DE109" i="3" s="1"/>
  <c r="DF109" i="3" s="1"/>
  <c r="DG109" i="3" s="1"/>
  <c r="DH109" i="3" s="1"/>
  <c r="DI109" i="3" s="1"/>
  <c r="DJ109" i="3" s="1"/>
  <c r="DK109" i="3" s="1"/>
  <c r="DL109" i="3" s="1"/>
  <c r="DM109" i="3" s="1"/>
  <c r="DN109" i="3" s="1"/>
  <c r="DO109" i="3" s="1"/>
  <c r="DP109" i="3" s="1"/>
  <c r="DQ109" i="3" s="1"/>
  <c r="DR109" i="3" s="1"/>
  <c r="DS109" i="3" s="1"/>
  <c r="DT109" i="3" s="1"/>
  <c r="DU109" i="3" s="1"/>
  <c r="DV109" i="3" s="1"/>
  <c r="DW109" i="3" s="1"/>
  <c r="DX109" i="3" s="1"/>
  <c r="DY109" i="3" s="1"/>
  <c r="BB109" i="3"/>
  <c r="BC109" i="3" s="1"/>
  <c r="BD109" i="3" s="1"/>
  <c r="BE109" i="3" s="1"/>
  <c r="BF109" i="3" s="1"/>
  <c r="AY109" i="3"/>
  <c r="AZ109" i="3" s="1"/>
  <c r="BA109" i="3" s="1"/>
  <c r="AX109" i="3"/>
  <c r="AX115" i="3" s="1"/>
  <c r="FG108" i="3"/>
  <c r="FH108" i="3" s="1"/>
  <c r="FI108" i="3" s="1"/>
  <c r="FC108" i="3"/>
  <c r="FD108" i="3" s="1"/>
  <c r="FE108" i="3" s="1"/>
  <c r="FA108" i="3"/>
  <c r="EZ108" i="3"/>
  <c r="EY108" i="3"/>
  <c r="EU108" i="3"/>
  <c r="EV108" i="3" s="1"/>
  <c r="EW108" i="3" s="1"/>
  <c r="ES108" i="3"/>
  <c r="EQ108" i="3"/>
  <c r="ER108" i="3" s="1"/>
  <c r="EN108" i="3"/>
  <c r="EO108" i="3" s="1"/>
  <c r="EM108" i="3"/>
  <c r="EJ108" i="3"/>
  <c r="EK108" i="3" s="1"/>
  <c r="EI108" i="3"/>
  <c r="EG108" i="3"/>
  <c r="EE108" i="3"/>
  <c r="EF108" i="3" s="1"/>
  <c r="EB108" i="3"/>
  <c r="EC108" i="3" s="1"/>
  <c r="EA108" i="3"/>
  <c r="DC108" i="3"/>
  <c r="DD108" i="3" s="1"/>
  <c r="DE108" i="3" s="1"/>
  <c r="DF108" i="3" s="1"/>
  <c r="DG108" i="3" s="1"/>
  <c r="DH108" i="3" s="1"/>
  <c r="DI108" i="3" s="1"/>
  <c r="DJ108" i="3" s="1"/>
  <c r="DK108" i="3" s="1"/>
  <c r="DL108" i="3" s="1"/>
  <c r="DM108" i="3" s="1"/>
  <c r="DN108" i="3" s="1"/>
  <c r="DO108" i="3" s="1"/>
  <c r="DP108" i="3" s="1"/>
  <c r="DQ108" i="3" s="1"/>
  <c r="DR108" i="3" s="1"/>
  <c r="DS108" i="3" s="1"/>
  <c r="DT108" i="3" s="1"/>
  <c r="DU108" i="3" s="1"/>
  <c r="DV108" i="3" s="1"/>
  <c r="DW108" i="3" s="1"/>
  <c r="DX108" i="3" s="1"/>
  <c r="DY108" i="3" s="1"/>
  <c r="BE108" i="3"/>
  <c r="BF108" i="3" s="1"/>
  <c r="BG108" i="3" s="1"/>
  <c r="BH108" i="3" s="1"/>
  <c r="BI108" i="3" s="1"/>
  <c r="BJ108" i="3" s="1"/>
  <c r="BK108" i="3" s="1"/>
  <c r="BL108" i="3" s="1"/>
  <c r="BM108" i="3" s="1"/>
  <c r="BN108" i="3" s="1"/>
  <c r="BO108" i="3" s="1"/>
  <c r="BP108" i="3" s="1"/>
  <c r="BQ108" i="3" s="1"/>
  <c r="BR108" i="3" s="1"/>
  <c r="BS108" i="3" s="1"/>
  <c r="BT108" i="3" s="1"/>
  <c r="BU108" i="3" s="1"/>
  <c r="BV108" i="3" s="1"/>
  <c r="BW108" i="3" s="1"/>
  <c r="BX108" i="3" s="1"/>
  <c r="BY108" i="3" s="1"/>
  <c r="BZ108" i="3" s="1"/>
  <c r="CA108" i="3" s="1"/>
  <c r="CB108" i="3" s="1"/>
  <c r="CC108" i="3" s="1"/>
  <c r="CD108" i="3" s="1"/>
  <c r="CE108" i="3" s="1"/>
  <c r="CF108" i="3" s="1"/>
  <c r="CG108" i="3" s="1"/>
  <c r="CH108" i="3" s="1"/>
  <c r="CI108" i="3" s="1"/>
  <c r="CJ108" i="3" s="1"/>
  <c r="CK108" i="3" s="1"/>
  <c r="CL108" i="3" s="1"/>
  <c r="CM108" i="3" s="1"/>
  <c r="CN108" i="3" s="1"/>
  <c r="CO108" i="3" s="1"/>
  <c r="CP108" i="3" s="1"/>
  <c r="CQ108" i="3" s="1"/>
  <c r="CR108" i="3" s="1"/>
  <c r="CS108" i="3" s="1"/>
  <c r="CT108" i="3" s="1"/>
  <c r="CU108" i="3" s="1"/>
  <c r="CV108" i="3" s="1"/>
  <c r="CW108" i="3" s="1"/>
  <c r="CX108" i="3" s="1"/>
  <c r="CY108" i="3" s="1"/>
  <c r="CZ108" i="3" s="1"/>
  <c r="DA108" i="3" s="1"/>
  <c r="DB108" i="3" s="1"/>
  <c r="AZ108" i="3"/>
  <c r="BA108" i="3" s="1"/>
  <c r="BB108" i="3" s="1"/>
  <c r="BC108" i="3" s="1"/>
  <c r="BD108" i="3" s="1"/>
  <c r="AY108" i="3"/>
  <c r="AX108" i="3"/>
  <c r="AX114" i="3" s="1"/>
  <c r="FH107" i="3"/>
  <c r="FI107" i="3" s="1"/>
  <c r="FG107" i="3"/>
  <c r="FD107" i="3"/>
  <c r="FE107" i="3" s="1"/>
  <c r="FC107" i="3"/>
  <c r="EZ107" i="3"/>
  <c r="FA107" i="3" s="1"/>
  <c r="EY107" i="3"/>
  <c r="EV107" i="3"/>
  <c r="EW107" i="3" s="1"/>
  <c r="EU107" i="3"/>
  <c r="EQ107" i="3"/>
  <c r="ER107" i="3" s="1"/>
  <c r="ES107" i="3" s="1"/>
  <c r="EM107" i="3"/>
  <c r="EN107" i="3" s="1"/>
  <c r="EO107" i="3" s="1"/>
  <c r="EI107" i="3"/>
  <c r="EJ107" i="3" s="1"/>
  <c r="EK107" i="3" s="1"/>
  <c r="EF107" i="3"/>
  <c r="EG107" i="3" s="1"/>
  <c r="EE107" i="3"/>
  <c r="EA107" i="3"/>
  <c r="EB107" i="3" s="1"/>
  <c r="EC107" i="3" s="1"/>
  <c r="AZ107" i="3"/>
  <c r="BA107" i="3" s="1"/>
  <c r="BB107" i="3" s="1"/>
  <c r="BC107" i="3" s="1"/>
  <c r="BD107" i="3" s="1"/>
  <c r="BE107" i="3" s="1"/>
  <c r="BF107" i="3" s="1"/>
  <c r="BG107" i="3" s="1"/>
  <c r="BH107" i="3" s="1"/>
  <c r="BI107" i="3" s="1"/>
  <c r="BJ107" i="3" s="1"/>
  <c r="BK107" i="3" s="1"/>
  <c r="BL107" i="3" s="1"/>
  <c r="BM107" i="3" s="1"/>
  <c r="BN107" i="3" s="1"/>
  <c r="BO107" i="3" s="1"/>
  <c r="BP107" i="3" s="1"/>
  <c r="BQ107" i="3" s="1"/>
  <c r="BR107" i="3" s="1"/>
  <c r="BS107" i="3" s="1"/>
  <c r="BT107" i="3" s="1"/>
  <c r="BU107" i="3" s="1"/>
  <c r="BV107" i="3" s="1"/>
  <c r="BW107" i="3" s="1"/>
  <c r="BX107" i="3" s="1"/>
  <c r="BY107" i="3" s="1"/>
  <c r="BZ107" i="3" s="1"/>
  <c r="CA107" i="3" s="1"/>
  <c r="CB107" i="3" s="1"/>
  <c r="CC107" i="3" s="1"/>
  <c r="CD107" i="3" s="1"/>
  <c r="CE107" i="3" s="1"/>
  <c r="CF107" i="3" s="1"/>
  <c r="CG107" i="3" s="1"/>
  <c r="CH107" i="3" s="1"/>
  <c r="CI107" i="3" s="1"/>
  <c r="CJ107" i="3" s="1"/>
  <c r="CK107" i="3" s="1"/>
  <c r="CL107" i="3" s="1"/>
  <c r="CM107" i="3" s="1"/>
  <c r="CN107" i="3" s="1"/>
  <c r="CO107" i="3" s="1"/>
  <c r="CP107" i="3" s="1"/>
  <c r="CQ107" i="3" s="1"/>
  <c r="CR107" i="3" s="1"/>
  <c r="CS107" i="3" s="1"/>
  <c r="CT107" i="3" s="1"/>
  <c r="CU107" i="3" s="1"/>
  <c r="CV107" i="3" s="1"/>
  <c r="CW107" i="3" s="1"/>
  <c r="CX107" i="3" s="1"/>
  <c r="CY107" i="3" s="1"/>
  <c r="CZ107" i="3" s="1"/>
  <c r="DA107" i="3" s="1"/>
  <c r="DB107" i="3" s="1"/>
  <c r="DC107" i="3" s="1"/>
  <c r="DD107" i="3" s="1"/>
  <c r="DE107" i="3" s="1"/>
  <c r="DF107" i="3" s="1"/>
  <c r="DG107" i="3" s="1"/>
  <c r="DH107" i="3" s="1"/>
  <c r="DI107" i="3" s="1"/>
  <c r="DJ107" i="3" s="1"/>
  <c r="DK107" i="3" s="1"/>
  <c r="DL107" i="3" s="1"/>
  <c r="DM107" i="3" s="1"/>
  <c r="DN107" i="3" s="1"/>
  <c r="DO107" i="3" s="1"/>
  <c r="DP107" i="3" s="1"/>
  <c r="DQ107" i="3" s="1"/>
  <c r="DR107" i="3" s="1"/>
  <c r="DS107" i="3" s="1"/>
  <c r="DT107" i="3" s="1"/>
  <c r="DU107" i="3" s="1"/>
  <c r="DV107" i="3" s="1"/>
  <c r="DW107" i="3" s="1"/>
  <c r="DX107" i="3" s="1"/>
  <c r="DY107" i="3" s="1"/>
  <c r="AY107" i="3"/>
  <c r="AX107" i="3"/>
  <c r="FI106" i="3"/>
  <c r="FH106" i="3"/>
  <c r="FG106" i="3"/>
  <c r="FE106" i="3"/>
  <c r="FC106" i="3"/>
  <c r="FD106" i="3" s="1"/>
  <c r="EZ106" i="3"/>
  <c r="FA106" i="3" s="1"/>
  <c r="EY106" i="3"/>
  <c r="EU106" i="3"/>
  <c r="EV106" i="3" s="1"/>
  <c r="EW106" i="3" s="1"/>
  <c r="ES106" i="3"/>
  <c r="ER106" i="3"/>
  <c r="EQ106" i="3"/>
  <c r="EN106" i="3"/>
  <c r="EO106" i="3" s="1"/>
  <c r="EM106" i="3"/>
  <c r="EI106" i="3"/>
  <c r="EJ106" i="3" s="1"/>
  <c r="EK106" i="3" s="1"/>
  <c r="EE106" i="3"/>
  <c r="EF106" i="3" s="1"/>
  <c r="EG106" i="3" s="1"/>
  <c r="EB106" i="3"/>
  <c r="EC106" i="3" s="1"/>
  <c r="EA106" i="3"/>
  <c r="AX106" i="3"/>
  <c r="FI105" i="3"/>
  <c r="FH105" i="3"/>
  <c r="FE105" i="3"/>
  <c r="FD105" i="3"/>
  <c r="FA105" i="3"/>
  <c r="EZ105" i="3"/>
  <c r="EY105" i="3"/>
  <c r="ES105" i="3"/>
  <c r="EQ105" i="3"/>
  <c r="EB105" i="3"/>
  <c r="EA105" i="3"/>
  <c r="DN105" i="3"/>
  <c r="CX105" i="3"/>
  <c r="CH105" i="3"/>
  <c r="CD105" i="3"/>
  <c r="BV105" i="3"/>
  <c r="BD105" i="3"/>
  <c r="BB105" i="3"/>
  <c r="AZ105" i="3"/>
  <c r="AU105" i="3"/>
  <c r="AT105" i="3"/>
  <c r="AS105" i="3"/>
  <c r="AP105" i="3"/>
  <c r="AL105" i="3"/>
  <c r="AJ105" i="3"/>
  <c r="AI105" i="3"/>
  <c r="AH105" i="3"/>
  <c r="AF105" i="3"/>
  <c r="W105" i="3"/>
  <c r="T105" i="3"/>
  <c r="P105" i="3"/>
  <c r="N105" i="3"/>
  <c r="M105" i="3"/>
  <c r="L105" i="3"/>
  <c r="K105" i="3"/>
  <c r="J105" i="3"/>
  <c r="I105" i="3"/>
  <c r="G105" i="3"/>
  <c r="D105" i="3"/>
  <c r="C105" i="3"/>
  <c r="B105" i="3"/>
  <c r="BD103" i="3"/>
  <c r="BC103" i="3"/>
  <c r="BB103" i="3"/>
  <c r="BA103" i="3"/>
  <c r="AZ103" i="3"/>
  <c r="AY103" i="3"/>
  <c r="AX103" i="3"/>
  <c r="AV103" i="3"/>
  <c r="AT103" i="3"/>
  <c r="AE103" i="3"/>
  <c r="Y103" i="3"/>
  <c r="X103" i="3"/>
  <c r="U103" i="3"/>
  <c r="S103" i="3"/>
  <c r="O103" i="3"/>
  <c r="N103" i="3"/>
  <c r="M103" i="3"/>
  <c r="B103" i="3"/>
  <c r="BD102" i="3"/>
  <c r="BC102" i="3"/>
  <c r="BB102" i="3"/>
  <c r="BA102" i="3"/>
  <c r="AZ102" i="3"/>
  <c r="AY102" i="3"/>
  <c r="AX102" i="3"/>
  <c r="AA102" i="3"/>
  <c r="G102" i="3"/>
  <c r="E102" i="3"/>
  <c r="BD101" i="3"/>
  <c r="BC101" i="3"/>
  <c r="BB101" i="3"/>
  <c r="BA101" i="3"/>
  <c r="AZ101" i="3"/>
  <c r="AY101" i="3"/>
  <c r="AX101" i="3"/>
  <c r="AW101" i="3"/>
  <c r="AV101" i="3"/>
  <c r="AP101" i="3"/>
  <c r="AH101" i="3"/>
  <c r="AG101" i="3"/>
  <c r="AA101" i="3"/>
  <c r="Z101" i="3"/>
  <c r="X101" i="3"/>
  <c r="U101" i="3"/>
  <c r="T101" i="3"/>
  <c r="N101" i="3"/>
  <c r="G101" i="3"/>
  <c r="E101" i="3"/>
  <c r="B101" i="3"/>
  <c r="BD100" i="3"/>
  <c r="BC100" i="3"/>
  <c r="BB100" i="3"/>
  <c r="BA100" i="3"/>
  <c r="AZ100" i="3"/>
  <c r="AY100" i="3"/>
  <c r="AX100" i="3"/>
  <c r="AN100" i="3"/>
  <c r="AK100" i="3"/>
  <c r="AG100" i="3"/>
  <c r="AC100" i="3"/>
  <c r="X100" i="3"/>
  <c r="M100" i="3"/>
  <c r="K100" i="3"/>
  <c r="F100" i="3"/>
  <c r="AZ99" i="3"/>
  <c r="AX99" i="3"/>
  <c r="AK99" i="3"/>
  <c r="AG99" i="3"/>
  <c r="Z99" i="3"/>
  <c r="Y99" i="3"/>
  <c r="V99" i="3"/>
  <c r="P99" i="3"/>
  <c r="BD98" i="3"/>
  <c r="BC98" i="3"/>
  <c r="BB98" i="3"/>
  <c r="BA98" i="3"/>
  <c r="AZ98" i="3"/>
  <c r="AX98" i="3"/>
  <c r="AO98" i="3"/>
  <c r="AE98" i="3"/>
  <c r="AB98" i="3"/>
  <c r="T98" i="3"/>
  <c r="O98" i="3"/>
  <c r="BD97" i="3"/>
  <c r="BC97" i="3"/>
  <c r="BB97" i="3"/>
  <c r="BA97" i="3"/>
  <c r="AZ97" i="3"/>
  <c r="AY97" i="3"/>
  <c r="AX97" i="3"/>
  <c r="AD97" i="3"/>
  <c r="J97" i="3"/>
  <c r="BD96" i="3"/>
  <c r="BC96" i="3"/>
  <c r="BB96" i="3"/>
  <c r="BA96" i="3"/>
  <c r="AZ96" i="3"/>
  <c r="AY96" i="3"/>
  <c r="AX96" i="3"/>
  <c r="AV96" i="3"/>
  <c r="AM96" i="3"/>
  <c r="AJ96" i="3"/>
  <c r="AI96" i="3"/>
  <c r="AH96" i="3"/>
  <c r="AF96" i="3"/>
  <c r="AE96" i="3"/>
  <c r="AD96" i="3"/>
  <c r="X96" i="3"/>
  <c r="Q96" i="3"/>
  <c r="O96" i="3"/>
  <c r="M96" i="3"/>
  <c r="J96" i="3"/>
  <c r="I96" i="3"/>
  <c r="H96" i="3"/>
  <c r="G96" i="3"/>
  <c r="D96" i="3"/>
  <c r="FI95" i="3"/>
  <c r="FH95" i="3"/>
  <c r="FG95" i="3"/>
  <c r="FG105" i="3" s="1"/>
  <c r="FE95" i="3"/>
  <c r="FD95" i="3"/>
  <c r="FC95" i="3"/>
  <c r="FC105" i="3" s="1"/>
  <c r="FA95" i="3"/>
  <c r="EZ95" i="3"/>
  <c r="EY95" i="3"/>
  <c r="EW95" i="3"/>
  <c r="EW105" i="3" s="1"/>
  <c r="EV95" i="3"/>
  <c r="EV105" i="3" s="1"/>
  <c r="EU95" i="3"/>
  <c r="EU105" i="3" s="1"/>
  <c r="ES95" i="3"/>
  <c r="ER95" i="3"/>
  <c r="ER105" i="3" s="1"/>
  <c r="EQ95" i="3"/>
  <c r="EO95" i="3"/>
  <c r="EO105" i="3" s="1"/>
  <c r="EN95" i="3"/>
  <c r="EN105" i="3" s="1"/>
  <c r="EM95" i="3"/>
  <c r="EM105" i="3" s="1"/>
  <c r="EK95" i="3"/>
  <c r="EK105" i="3" s="1"/>
  <c r="EJ95" i="3"/>
  <c r="EJ105" i="3" s="1"/>
  <c r="EI95" i="3"/>
  <c r="EI105" i="3" s="1"/>
  <c r="EG95" i="3"/>
  <c r="EG105" i="3" s="1"/>
  <c r="EF95" i="3"/>
  <c r="EF105" i="3" s="1"/>
  <c r="EE95" i="3"/>
  <c r="EE105" i="3" s="1"/>
  <c r="EC95" i="3"/>
  <c r="EC105" i="3" s="1"/>
  <c r="EB95" i="3"/>
  <c r="EA95" i="3"/>
  <c r="DN95" i="3"/>
  <c r="DJ95" i="3"/>
  <c r="DJ105" i="3" s="1"/>
  <c r="DF95" i="3"/>
  <c r="DF105" i="3" s="1"/>
  <c r="CX95" i="3"/>
  <c r="CT95" i="3"/>
  <c r="CT105" i="3" s="1"/>
  <c r="CP95" i="3"/>
  <c r="CP105" i="3" s="1"/>
  <c r="CH95" i="3"/>
  <c r="CD95" i="3"/>
  <c r="BV95" i="3"/>
  <c r="BR95" i="3"/>
  <c r="BR105" i="3" s="1"/>
  <c r="BN95" i="3"/>
  <c r="BN105" i="3" s="1"/>
  <c r="BF95" i="3"/>
  <c r="BF105" i="3" s="1"/>
  <c r="BE95" i="3"/>
  <c r="BE105" i="3" s="1"/>
  <c r="BD95" i="3"/>
  <c r="BB95" i="3"/>
  <c r="BA95" i="3"/>
  <c r="BA105" i="3" s="1"/>
  <c r="AZ95" i="3"/>
  <c r="AY95" i="3"/>
  <c r="AY105" i="3" s="1"/>
  <c r="AX95" i="3"/>
  <c r="AX105" i="3" s="1"/>
  <c r="AW95" i="3"/>
  <c r="AW105" i="3" s="1"/>
  <c r="AV95" i="3"/>
  <c r="AV105" i="3" s="1"/>
  <c r="AU95" i="3"/>
  <c r="AT95" i="3"/>
  <c r="AS95" i="3"/>
  <c r="AR95" i="3"/>
  <c r="AR105" i="3" s="1"/>
  <c r="AQ95" i="3"/>
  <c r="AQ105" i="3" s="1"/>
  <c r="AP95" i="3"/>
  <c r="AO95" i="3"/>
  <c r="AO105" i="3" s="1"/>
  <c r="AN95" i="3"/>
  <c r="AN105" i="3" s="1"/>
  <c r="AM95" i="3"/>
  <c r="AM105" i="3" s="1"/>
  <c r="AL95" i="3"/>
  <c r="AK95" i="3"/>
  <c r="AK105" i="3" s="1"/>
  <c r="AJ95" i="3"/>
  <c r="AI95" i="3"/>
  <c r="AH95" i="3"/>
  <c r="AG95" i="3"/>
  <c r="AG105" i="3" s="1"/>
  <c r="AF95" i="3"/>
  <c r="AE95" i="3"/>
  <c r="AE105" i="3" s="1"/>
  <c r="AD95" i="3"/>
  <c r="AD105" i="3" s="1"/>
  <c r="AC95" i="3"/>
  <c r="AC105" i="3" s="1"/>
  <c r="AB95" i="3"/>
  <c r="AB105" i="3" s="1"/>
  <c r="AA95" i="3"/>
  <c r="AA105" i="3" s="1"/>
  <c r="Z95" i="3"/>
  <c r="Z105" i="3" s="1"/>
  <c r="Y95" i="3"/>
  <c r="Y105" i="3" s="1"/>
  <c r="X95" i="3"/>
  <c r="X105" i="3" s="1"/>
  <c r="W95" i="3"/>
  <c r="V95" i="3"/>
  <c r="V105" i="3" s="1"/>
  <c r="U95" i="3"/>
  <c r="U105" i="3" s="1"/>
  <c r="T95" i="3"/>
  <c r="S95" i="3"/>
  <c r="S105" i="3" s="1"/>
  <c r="R95" i="3"/>
  <c r="R105" i="3" s="1"/>
  <c r="Q95" i="3"/>
  <c r="Q105" i="3" s="1"/>
  <c r="P95" i="3"/>
  <c r="O95" i="3"/>
  <c r="O105" i="3" s="1"/>
  <c r="N95" i="3"/>
  <c r="M95" i="3"/>
  <c r="L95" i="3"/>
  <c r="K95" i="3"/>
  <c r="J95" i="3"/>
  <c r="I95" i="3"/>
  <c r="H95" i="3"/>
  <c r="H105" i="3" s="1"/>
  <c r="G95" i="3"/>
  <c r="F95" i="3"/>
  <c r="F105" i="3" s="1"/>
  <c r="E95" i="3"/>
  <c r="E105" i="3" s="1"/>
  <c r="D95" i="3"/>
  <c r="C95" i="3"/>
  <c r="B95" i="3"/>
  <c r="N91" i="3"/>
  <c r="M91" i="3"/>
  <c r="G80" i="3"/>
  <c r="K79" i="3"/>
  <c r="F79" i="3"/>
  <c r="AG74" i="3"/>
  <c r="AF74" i="3"/>
  <c r="AE74" i="3"/>
  <c r="AD74" i="3"/>
  <c r="AC74" i="3"/>
  <c r="AB74" i="3"/>
  <c r="AA74" i="3"/>
  <c r="Z74" i="3"/>
  <c r="Y74" i="3"/>
  <c r="X74" i="3"/>
  <c r="W74" i="3"/>
  <c r="N74" i="3"/>
  <c r="L74" i="3"/>
  <c r="B74" i="3"/>
  <c r="N73" i="3"/>
  <c r="M73" i="3"/>
  <c r="C73" i="3"/>
  <c r="N72" i="3"/>
  <c r="M72" i="3"/>
  <c r="L72" i="3"/>
  <c r="D72" i="3"/>
  <c r="C72" i="3"/>
  <c r="N71" i="3"/>
  <c r="M71" i="3"/>
  <c r="L71" i="3"/>
  <c r="L91" i="3" s="1"/>
  <c r="G71" i="3"/>
  <c r="G91" i="3" s="1"/>
  <c r="A71" i="3"/>
  <c r="N70" i="3"/>
  <c r="N86" i="3" s="1"/>
  <c r="H70" i="3"/>
  <c r="H86" i="3" s="1"/>
  <c r="E70" i="3"/>
  <c r="E86" i="3" s="1"/>
  <c r="D70" i="3"/>
  <c r="D86" i="3" s="1"/>
  <c r="C70" i="3"/>
  <c r="C86" i="3" s="1"/>
  <c r="B70" i="3"/>
  <c r="B86" i="3" s="1"/>
  <c r="A70" i="3"/>
  <c r="N69" i="3"/>
  <c r="N90" i="3" s="1"/>
  <c r="C69" i="3"/>
  <c r="C90" i="3" s="1"/>
  <c r="A69" i="3"/>
  <c r="H68" i="3"/>
  <c r="H89" i="3" s="1"/>
  <c r="A68" i="3"/>
  <c r="N67" i="3"/>
  <c r="N92" i="3" s="1"/>
  <c r="L67" i="3"/>
  <c r="K67" i="3"/>
  <c r="K92" i="3" s="1"/>
  <c r="G67" i="3"/>
  <c r="A67" i="3"/>
  <c r="AG66" i="3"/>
  <c r="AF66" i="3"/>
  <c r="AE66" i="3"/>
  <c r="AD66" i="3"/>
  <c r="AC66" i="3"/>
  <c r="AB66" i="3"/>
  <c r="AA66" i="3"/>
  <c r="Z66" i="3"/>
  <c r="Y66" i="3"/>
  <c r="X66" i="3"/>
  <c r="W66" i="3"/>
  <c r="V66" i="3"/>
  <c r="U66" i="3"/>
  <c r="T66" i="3"/>
  <c r="S66" i="3"/>
  <c r="R66" i="3"/>
  <c r="Q66" i="3"/>
  <c r="P66" i="3"/>
  <c r="O66" i="3"/>
  <c r="A66" i="3"/>
  <c r="N65" i="3"/>
  <c r="A65" i="3"/>
  <c r="N64" i="3"/>
  <c r="G64" i="3"/>
  <c r="D64" i="3"/>
  <c r="C64" i="3"/>
  <c r="A64" i="3"/>
  <c r="N63" i="3"/>
  <c r="A63" i="3"/>
  <c r="BE61" i="3"/>
  <c r="BE16" i="4" s="1"/>
  <c r="AY61" i="3"/>
  <c r="K61" i="3"/>
  <c r="B61" i="3"/>
  <c r="AX60" i="3"/>
  <c r="AW60" i="3"/>
  <c r="AV60" i="3"/>
  <c r="AU60" i="3"/>
  <c r="M74" i="3" s="1"/>
  <c r="AT60" i="3"/>
  <c r="AS60" i="3"/>
  <c r="AR60" i="3"/>
  <c r="AQ60" i="3"/>
  <c r="AP60" i="3"/>
  <c r="AO60" i="3"/>
  <c r="AN60" i="3"/>
  <c r="AM60" i="3"/>
  <c r="K74" i="3" s="1"/>
  <c r="AL60" i="3"/>
  <c r="AK60" i="3"/>
  <c r="AJ60" i="3"/>
  <c r="J74" i="3" s="1"/>
  <c r="AI60" i="3"/>
  <c r="AH60" i="3"/>
  <c r="AG60" i="3"/>
  <c r="AF60" i="3"/>
  <c r="AE60" i="3"/>
  <c r="I74" i="3" s="1"/>
  <c r="AD60" i="3"/>
  <c r="AC60" i="3"/>
  <c r="AB60" i="3"/>
  <c r="AA60" i="3"/>
  <c r="Z60" i="3"/>
  <c r="Y60" i="3"/>
  <c r="X60" i="3"/>
  <c r="W60" i="3"/>
  <c r="G74" i="3" s="1"/>
  <c r="V60" i="3"/>
  <c r="U60" i="3"/>
  <c r="T60" i="3"/>
  <c r="S60" i="3"/>
  <c r="R60" i="3"/>
  <c r="Q60" i="3"/>
  <c r="E74" i="3" s="1"/>
  <c r="P60" i="3"/>
  <c r="O60" i="3"/>
  <c r="N60" i="3"/>
  <c r="M60" i="3"/>
  <c r="L60" i="3"/>
  <c r="K60" i="3"/>
  <c r="J60" i="3"/>
  <c r="I60" i="3"/>
  <c r="H60" i="3"/>
  <c r="G60" i="3"/>
  <c r="F60" i="3"/>
  <c r="E60" i="3"/>
  <c r="D60" i="3"/>
  <c r="C60" i="3"/>
  <c r="AX59" i="3"/>
  <c r="AW59" i="3"/>
  <c r="AV59" i="3"/>
  <c r="AU59" i="3"/>
  <c r="AT59" i="3"/>
  <c r="AS59" i="3"/>
  <c r="AR59" i="3"/>
  <c r="AQ59" i="3"/>
  <c r="AP59" i="3"/>
  <c r="AO59" i="3"/>
  <c r="AN59" i="3"/>
  <c r="K73" i="3" s="1"/>
  <c r="AM59" i="3"/>
  <c r="AL59" i="3"/>
  <c r="AK59" i="3"/>
  <c r="AJ59" i="3"/>
  <c r="AI59" i="3"/>
  <c r="AH59" i="3"/>
  <c r="AG59" i="3"/>
  <c r="AF59" i="3"/>
  <c r="AE59" i="3"/>
  <c r="AD59" i="3"/>
  <c r="AC59" i="3"/>
  <c r="AB59" i="3"/>
  <c r="AA59" i="3"/>
  <c r="H73" i="3" s="1"/>
  <c r="Z59" i="3"/>
  <c r="Y59" i="3"/>
  <c r="X59" i="3"/>
  <c r="W59" i="3"/>
  <c r="G73" i="3" s="1"/>
  <c r="V59" i="3"/>
  <c r="U59" i="3"/>
  <c r="T59" i="3"/>
  <c r="S59" i="3"/>
  <c r="F73" i="3" s="1"/>
  <c r="R59" i="3"/>
  <c r="Q59" i="3"/>
  <c r="P59" i="3"/>
  <c r="O59" i="3"/>
  <c r="E73" i="3" s="1"/>
  <c r="N59" i="3"/>
  <c r="M59" i="3"/>
  <c r="L59" i="3"/>
  <c r="K59" i="3"/>
  <c r="J59" i="3"/>
  <c r="I59" i="3"/>
  <c r="H59" i="3"/>
  <c r="G59" i="3"/>
  <c r="F59" i="3"/>
  <c r="E59" i="3"/>
  <c r="D102" i="3" s="1"/>
  <c r="D59" i="3"/>
  <c r="C59" i="3"/>
  <c r="B73" i="3" s="1"/>
  <c r="AX58" i="3"/>
  <c r="AW58" i="3"/>
  <c r="AV58" i="3"/>
  <c r="AU58" i="3"/>
  <c r="AT58" i="3"/>
  <c r="AS58" i="3"/>
  <c r="AR58" i="3"/>
  <c r="AQ58" i="3"/>
  <c r="AP102" i="3" s="1"/>
  <c r="AP58" i="3"/>
  <c r="AO58" i="3"/>
  <c r="AN58" i="3"/>
  <c r="AM58" i="3"/>
  <c r="K72" i="3" s="1"/>
  <c r="AL58" i="3"/>
  <c r="AK58" i="3"/>
  <c r="AJ58" i="3"/>
  <c r="AI58" i="3"/>
  <c r="J72" i="3" s="1"/>
  <c r="AH58" i="3"/>
  <c r="AG58" i="3"/>
  <c r="AF58" i="3"/>
  <c r="AE58" i="3"/>
  <c r="I72" i="3" s="1"/>
  <c r="AD58" i="3"/>
  <c r="AC58" i="3"/>
  <c r="AB58" i="3"/>
  <c r="AA58" i="3"/>
  <c r="Z58" i="3"/>
  <c r="Y58" i="3"/>
  <c r="X58" i="3"/>
  <c r="W58" i="3"/>
  <c r="V58" i="3"/>
  <c r="U58" i="3"/>
  <c r="T58" i="3"/>
  <c r="F72" i="3" s="1"/>
  <c r="S58" i="3"/>
  <c r="R58" i="3"/>
  <c r="Q58" i="3"/>
  <c r="E72" i="3" s="1"/>
  <c r="P58" i="3"/>
  <c r="O58" i="3"/>
  <c r="N58" i="3"/>
  <c r="M58" i="3"/>
  <c r="L58" i="3"/>
  <c r="K58" i="3"/>
  <c r="J58" i="3"/>
  <c r="I58" i="3"/>
  <c r="H58" i="3"/>
  <c r="G58" i="3"/>
  <c r="F58" i="3"/>
  <c r="E58" i="3"/>
  <c r="D58" i="3"/>
  <c r="C58" i="3"/>
  <c r="B72" i="3" s="1"/>
  <c r="AX57" i="3"/>
  <c r="AX21" i="6" s="1"/>
  <c r="AW57" i="3"/>
  <c r="AW21" i="6" s="1"/>
  <c r="AV57" i="3"/>
  <c r="AU57" i="3"/>
  <c r="AT57" i="3"/>
  <c r="AS57" i="3"/>
  <c r="AR57" i="3"/>
  <c r="AQ57" i="3"/>
  <c r="AQ21" i="6" s="1"/>
  <c r="AP57" i="3"/>
  <c r="AO57" i="3"/>
  <c r="AN57" i="3"/>
  <c r="AM57" i="3"/>
  <c r="AL57" i="3"/>
  <c r="AK57" i="3"/>
  <c r="AJ57" i="3"/>
  <c r="AI57" i="3"/>
  <c r="AI21" i="6" s="1"/>
  <c r="AH57" i="3"/>
  <c r="AH21" i="6" s="1"/>
  <c r="AG57" i="3"/>
  <c r="AF57" i="3"/>
  <c r="AE57" i="3"/>
  <c r="AD57" i="3"/>
  <c r="AC57" i="3"/>
  <c r="AB57" i="3"/>
  <c r="AB21" i="6" s="1"/>
  <c r="AA57" i="3"/>
  <c r="AA21" i="6" s="1"/>
  <c r="Z57" i="3"/>
  <c r="Y57" i="3"/>
  <c r="Y21" i="6" s="1"/>
  <c r="X57" i="3"/>
  <c r="W57" i="3"/>
  <c r="V57" i="3"/>
  <c r="V21" i="6" s="1"/>
  <c r="U57" i="3"/>
  <c r="U21" i="6" s="1"/>
  <c r="T57" i="3"/>
  <c r="S57" i="3"/>
  <c r="S21" i="6" s="1"/>
  <c r="R57" i="3"/>
  <c r="R21" i="6" s="1"/>
  <c r="Q57" i="3"/>
  <c r="Q21" i="6" s="1"/>
  <c r="P57" i="3"/>
  <c r="O57" i="3"/>
  <c r="N57" i="3"/>
  <c r="M57" i="3"/>
  <c r="L57" i="3"/>
  <c r="K57" i="3"/>
  <c r="J57" i="3"/>
  <c r="I57" i="3"/>
  <c r="H57" i="3"/>
  <c r="H21" i="6" s="1"/>
  <c r="G57" i="3"/>
  <c r="F57" i="3"/>
  <c r="F21" i="6" s="1"/>
  <c r="E57" i="3"/>
  <c r="E21" i="6" s="1"/>
  <c r="D57" i="3"/>
  <c r="C57" i="3"/>
  <c r="AX56" i="3"/>
  <c r="AX20" i="6" s="1"/>
  <c r="AW56" i="3"/>
  <c r="AW20" i="6" s="1"/>
  <c r="AV56" i="3"/>
  <c r="AV20" i="6" s="1"/>
  <c r="AU56" i="3"/>
  <c r="AT56" i="3"/>
  <c r="AT20" i="6" s="1"/>
  <c r="AS56" i="3"/>
  <c r="AR56" i="3"/>
  <c r="AQ56" i="3"/>
  <c r="AP56" i="3"/>
  <c r="AO56" i="3"/>
  <c r="AN56" i="3"/>
  <c r="AN20" i="6" s="1"/>
  <c r="AM56" i="3"/>
  <c r="AL56" i="3"/>
  <c r="AK56" i="3"/>
  <c r="AK20" i="6" s="1"/>
  <c r="AJ56" i="3"/>
  <c r="AJ20" i="6" s="1"/>
  <c r="AI56" i="3"/>
  <c r="AI20" i="6" s="1"/>
  <c r="AH56" i="3"/>
  <c r="AG56" i="3"/>
  <c r="AG20" i="6" s="1"/>
  <c r="AF56" i="3"/>
  <c r="AF20" i="6" s="1"/>
  <c r="AE56" i="3"/>
  <c r="AE20" i="6" s="1"/>
  <c r="AD56" i="3"/>
  <c r="AC56" i="3"/>
  <c r="AB56" i="3"/>
  <c r="AA56" i="3"/>
  <c r="Z56" i="3"/>
  <c r="Y56" i="3"/>
  <c r="Y20" i="6" s="1"/>
  <c r="X56" i="3"/>
  <c r="W56" i="3"/>
  <c r="V56" i="3"/>
  <c r="U56" i="3"/>
  <c r="T56" i="3"/>
  <c r="S56" i="3"/>
  <c r="R56" i="3"/>
  <c r="R20" i="6" s="1"/>
  <c r="Q56" i="3"/>
  <c r="Q20" i="6" s="1"/>
  <c r="P56" i="3"/>
  <c r="P20" i="6" s="1"/>
  <c r="O56" i="3"/>
  <c r="N56" i="3"/>
  <c r="N20" i="6" s="1"/>
  <c r="M56" i="3"/>
  <c r="M20" i="6" s="1"/>
  <c r="L56" i="3"/>
  <c r="K56" i="3"/>
  <c r="K20" i="6" s="1"/>
  <c r="J56" i="3"/>
  <c r="J20" i="6" s="1"/>
  <c r="I56" i="3"/>
  <c r="I20" i="6" s="1"/>
  <c r="H56" i="3"/>
  <c r="H20" i="6" s="1"/>
  <c r="G56" i="3"/>
  <c r="F56" i="3"/>
  <c r="E56" i="3"/>
  <c r="E20" i="6" s="1"/>
  <c r="D56" i="3"/>
  <c r="C56" i="3"/>
  <c r="AX55" i="3"/>
  <c r="AW100" i="3" s="1"/>
  <c r="AW55" i="3"/>
  <c r="AV100" i="3" s="1"/>
  <c r="AV55" i="3"/>
  <c r="AU55" i="3"/>
  <c r="AT100" i="3" s="1"/>
  <c r="AT55" i="3"/>
  <c r="AS100" i="3" s="1"/>
  <c r="AS55" i="3"/>
  <c r="AR100" i="3" s="1"/>
  <c r="AR55" i="3"/>
  <c r="AQ100" i="3" s="1"/>
  <c r="AQ55" i="3"/>
  <c r="AP55" i="3"/>
  <c r="AO100" i="3" s="1"/>
  <c r="AO55" i="3"/>
  <c r="AN55" i="3"/>
  <c r="AM100" i="3" s="1"/>
  <c r="AM55" i="3"/>
  <c r="AL55" i="3"/>
  <c r="AK55" i="3"/>
  <c r="AJ100" i="3" s="1"/>
  <c r="AJ55" i="3"/>
  <c r="AI55" i="3"/>
  <c r="AH100" i="3" s="1"/>
  <c r="AH55" i="3"/>
  <c r="AG55" i="3"/>
  <c r="AF100" i="3" s="1"/>
  <c r="AF55" i="3"/>
  <c r="AE55" i="3"/>
  <c r="AD100" i="3" s="1"/>
  <c r="AD55" i="3"/>
  <c r="AC55" i="3"/>
  <c r="AB100" i="3" s="1"/>
  <c r="AB55" i="3"/>
  <c r="AA100" i="3" s="1"/>
  <c r="AA55" i="3"/>
  <c r="Z55" i="3"/>
  <c r="Y100" i="3" s="1"/>
  <c r="Y55" i="3"/>
  <c r="X55" i="3"/>
  <c r="W100" i="3" s="1"/>
  <c r="W55" i="3"/>
  <c r="V55" i="3"/>
  <c r="U100" i="3" s="1"/>
  <c r="U55" i="3"/>
  <c r="T100" i="3" s="1"/>
  <c r="T55" i="3"/>
  <c r="S100" i="3" s="1"/>
  <c r="S55" i="3"/>
  <c r="R100" i="3" s="1"/>
  <c r="R55" i="3"/>
  <c r="Q100" i="3" s="1"/>
  <c r="Q55" i="3"/>
  <c r="P100" i="3" s="1"/>
  <c r="P55" i="3"/>
  <c r="O100" i="3" s="1"/>
  <c r="O55" i="3"/>
  <c r="N55" i="3"/>
  <c r="M55" i="3"/>
  <c r="L100" i="3" s="1"/>
  <c r="L55" i="3"/>
  <c r="K55" i="3"/>
  <c r="J55" i="3"/>
  <c r="I100" i="3" s="1"/>
  <c r="I55" i="3"/>
  <c r="H100" i="3" s="1"/>
  <c r="H55" i="3"/>
  <c r="G100" i="3" s="1"/>
  <c r="G55" i="3"/>
  <c r="F55" i="3"/>
  <c r="E100" i="3" s="1"/>
  <c r="E55" i="3"/>
  <c r="D100" i="3" s="1"/>
  <c r="D55" i="3"/>
  <c r="C100" i="3" s="1"/>
  <c r="C55" i="3"/>
  <c r="BE54" i="3"/>
  <c r="BD99" i="3" s="1"/>
  <c r="BC54" i="3"/>
  <c r="BB99" i="3" s="1"/>
  <c r="BB54" i="3"/>
  <c r="BA54" i="3"/>
  <c r="BA61" i="3" s="1"/>
  <c r="AZ54" i="3"/>
  <c r="AY54" i="3"/>
  <c r="AX54" i="3"/>
  <c r="AT54" i="3"/>
  <c r="AS54" i="3"/>
  <c r="AQ54" i="3"/>
  <c r="AP54" i="3"/>
  <c r="AO54" i="3"/>
  <c r="AN99" i="3" s="1"/>
  <c r="AN54" i="3"/>
  <c r="AM99" i="3" s="1"/>
  <c r="AM54" i="3"/>
  <c r="AL54" i="3"/>
  <c r="AL61" i="3" s="1"/>
  <c r="AK54" i="3"/>
  <c r="AJ54" i="3"/>
  <c r="AI99" i="3" s="1"/>
  <c r="AH54" i="3"/>
  <c r="AG54" i="3"/>
  <c r="AF54" i="3"/>
  <c r="AD54" i="3"/>
  <c r="AC99" i="3" s="1"/>
  <c r="AC54" i="3"/>
  <c r="AB99" i="3" s="1"/>
  <c r="AB54" i="3"/>
  <c r="AA54" i="3"/>
  <c r="Z54" i="3"/>
  <c r="Y54" i="3"/>
  <c r="X54" i="3"/>
  <c r="W54" i="3"/>
  <c r="U54" i="3"/>
  <c r="T54" i="3"/>
  <c r="S54" i="3"/>
  <c r="R54" i="3"/>
  <c r="Q54" i="3"/>
  <c r="P54" i="3"/>
  <c r="O99" i="3" s="1"/>
  <c r="O54" i="3"/>
  <c r="N54" i="3"/>
  <c r="M54" i="3"/>
  <c r="L54" i="3"/>
  <c r="K99" i="3" s="1"/>
  <c r="K54" i="3"/>
  <c r="J99" i="3" s="1"/>
  <c r="J54" i="3"/>
  <c r="I54" i="3"/>
  <c r="H54" i="3"/>
  <c r="G54" i="3"/>
  <c r="F54" i="3"/>
  <c r="E99" i="3" s="1"/>
  <c r="E54" i="3"/>
  <c r="D99" i="3" s="1"/>
  <c r="D54" i="3"/>
  <c r="C99" i="3" s="1"/>
  <c r="C54" i="3"/>
  <c r="AX53" i="3"/>
  <c r="AW53" i="3"/>
  <c r="AV53" i="3"/>
  <c r="AU53" i="3"/>
  <c r="AT53" i="3"/>
  <c r="AS103" i="3" s="1"/>
  <c r="AS53" i="3"/>
  <c r="AR53" i="3"/>
  <c r="AQ53" i="3"/>
  <c r="AP103" i="3" s="1"/>
  <c r="AP53" i="3"/>
  <c r="AO103" i="3" s="1"/>
  <c r="AO53" i="3"/>
  <c r="AN103" i="3" s="1"/>
  <c r="AN53" i="3"/>
  <c r="AM53" i="3"/>
  <c r="AL53" i="3"/>
  <c r="AK53" i="3"/>
  <c r="AJ103" i="3" s="1"/>
  <c r="AJ53" i="3"/>
  <c r="AI103" i="3" s="1"/>
  <c r="AI53" i="3"/>
  <c r="AH53" i="3"/>
  <c r="AG53" i="3"/>
  <c r="AF53" i="3"/>
  <c r="AE53" i="3"/>
  <c r="AD103" i="3" s="1"/>
  <c r="AD53" i="3"/>
  <c r="AC53" i="3"/>
  <c r="AB53" i="3"/>
  <c r="AA103" i="3" s="1"/>
  <c r="AA53" i="3"/>
  <c r="Z103" i="3" s="1"/>
  <c r="Z53" i="3"/>
  <c r="Y53" i="3"/>
  <c r="X53" i="3"/>
  <c r="W53" i="3"/>
  <c r="V103" i="3" s="1"/>
  <c r="V53" i="3"/>
  <c r="U53" i="3"/>
  <c r="T53" i="3"/>
  <c r="S53" i="3"/>
  <c r="R53" i="3"/>
  <c r="Q53" i="3"/>
  <c r="P53" i="3"/>
  <c r="O53" i="3"/>
  <c r="N53" i="3"/>
  <c r="M53" i="3"/>
  <c r="L53" i="3"/>
  <c r="K53" i="3"/>
  <c r="J53" i="3"/>
  <c r="I53" i="3"/>
  <c r="H103" i="3" s="1"/>
  <c r="H53" i="3"/>
  <c r="G103" i="3" s="1"/>
  <c r="G53" i="3"/>
  <c r="F53" i="3"/>
  <c r="E103" i="3" s="1"/>
  <c r="E53" i="3"/>
  <c r="D103" i="3" s="1"/>
  <c r="D53" i="3"/>
  <c r="C53" i="3"/>
  <c r="AZ52" i="3"/>
  <c r="AY98" i="3" s="1"/>
  <c r="AY52" i="3"/>
  <c r="N66" i="3" s="1"/>
  <c r="AX52" i="3"/>
  <c r="AW52" i="3"/>
  <c r="AV52" i="3"/>
  <c r="AU52" i="3"/>
  <c r="AT52" i="3"/>
  <c r="AS52" i="3"/>
  <c r="AR52" i="3"/>
  <c r="AQ52" i="3"/>
  <c r="AP52" i="3"/>
  <c r="AO52" i="3"/>
  <c r="AN52" i="3"/>
  <c r="AM52" i="3"/>
  <c r="AL52" i="3"/>
  <c r="AK52" i="3"/>
  <c r="AJ52" i="3"/>
  <c r="AI52" i="3"/>
  <c r="AH52" i="3"/>
  <c r="AG52" i="3"/>
  <c r="AF52" i="3"/>
  <c r="AE52" i="3"/>
  <c r="AD52" i="3"/>
  <c r="AC52" i="3"/>
  <c r="AB52" i="3"/>
  <c r="AA52" i="3"/>
  <c r="H66" i="3" s="1"/>
  <c r="Z52" i="3"/>
  <c r="Y52" i="3"/>
  <c r="X52" i="3"/>
  <c r="W52" i="3"/>
  <c r="G66" i="3" s="1"/>
  <c r="V52" i="3"/>
  <c r="U52" i="3"/>
  <c r="T52" i="3"/>
  <c r="S52" i="3"/>
  <c r="F66" i="3" s="1"/>
  <c r="R52" i="3"/>
  <c r="Q52" i="3"/>
  <c r="P52" i="3"/>
  <c r="O52" i="3"/>
  <c r="N52" i="3"/>
  <c r="M98" i="3" s="1"/>
  <c r="M52" i="3"/>
  <c r="L98" i="3" s="1"/>
  <c r="L52" i="3"/>
  <c r="K98" i="3" s="1"/>
  <c r="K52" i="3"/>
  <c r="J52" i="3"/>
  <c r="I52" i="3"/>
  <c r="H52" i="3"/>
  <c r="G52" i="3"/>
  <c r="F52" i="3"/>
  <c r="E52" i="3"/>
  <c r="D52" i="3"/>
  <c r="C52" i="3"/>
  <c r="AX51" i="3"/>
  <c r="AW98" i="3" s="1"/>
  <c r="AW51" i="3"/>
  <c r="AV98" i="3" s="1"/>
  <c r="AV51" i="3"/>
  <c r="AU51" i="3"/>
  <c r="AT51" i="3"/>
  <c r="AS51" i="3"/>
  <c r="AR51" i="3"/>
  <c r="AQ98" i="3" s="1"/>
  <c r="AQ51" i="3"/>
  <c r="AP51" i="3"/>
  <c r="AO51" i="3"/>
  <c r="AN51" i="3"/>
  <c r="AM51" i="3"/>
  <c r="AL51" i="3"/>
  <c r="AK98" i="3" s="1"/>
  <c r="AK51" i="3"/>
  <c r="AJ51" i="3"/>
  <c r="AI51" i="3"/>
  <c r="AH51" i="3"/>
  <c r="AG51" i="3"/>
  <c r="AF98" i="3" s="1"/>
  <c r="AF51" i="3"/>
  <c r="AE51" i="3"/>
  <c r="AD51" i="3"/>
  <c r="AC51" i="3"/>
  <c r="AB51" i="3"/>
  <c r="AA98" i="3" s="1"/>
  <c r="AA51" i="3"/>
  <c r="Z98" i="3" s="1"/>
  <c r="Z51" i="3"/>
  <c r="Y51" i="3"/>
  <c r="X51" i="3"/>
  <c r="W51" i="3"/>
  <c r="V51" i="3"/>
  <c r="U98" i="3" s="1"/>
  <c r="U51" i="3"/>
  <c r="T51" i="3"/>
  <c r="S98" i="3" s="1"/>
  <c r="S51" i="3"/>
  <c r="R51" i="3"/>
  <c r="Q51" i="3"/>
  <c r="P51" i="3"/>
  <c r="O51" i="3"/>
  <c r="N51" i="3"/>
  <c r="M51" i="3"/>
  <c r="L51" i="3"/>
  <c r="K51" i="3"/>
  <c r="J51" i="3"/>
  <c r="I51" i="3"/>
  <c r="H98" i="3" s="1"/>
  <c r="H51" i="3"/>
  <c r="G51" i="3"/>
  <c r="F98" i="3" s="1"/>
  <c r="F51" i="3"/>
  <c r="E98" i="3" s="1"/>
  <c r="E51" i="3"/>
  <c r="D98" i="3" s="1"/>
  <c r="D51" i="3"/>
  <c r="C51" i="3"/>
  <c r="AX50" i="3"/>
  <c r="AW50" i="3"/>
  <c r="AV50" i="3"/>
  <c r="AU50" i="3"/>
  <c r="AT50" i="3"/>
  <c r="AS50" i="3"/>
  <c r="AR50" i="3"/>
  <c r="AQ50" i="3"/>
  <c r="L64" i="3" s="1"/>
  <c r="AP50" i="3"/>
  <c r="AO50" i="3"/>
  <c r="AN50" i="3"/>
  <c r="AM97" i="3" s="1"/>
  <c r="AM50" i="3"/>
  <c r="K64" i="3" s="1"/>
  <c r="AL50" i="3"/>
  <c r="AK50" i="3"/>
  <c r="AJ50" i="3"/>
  <c r="AI50" i="3"/>
  <c r="J64" i="3" s="1"/>
  <c r="AH50" i="3"/>
  <c r="AG50" i="3"/>
  <c r="AF50" i="3"/>
  <c r="AE50" i="3"/>
  <c r="AD50" i="3"/>
  <c r="AC50" i="3"/>
  <c r="AB50" i="3"/>
  <c r="AA50" i="3"/>
  <c r="Z50" i="3"/>
  <c r="Y50" i="3"/>
  <c r="X50" i="3"/>
  <c r="W97" i="3" s="1"/>
  <c r="W50" i="3"/>
  <c r="V50" i="3"/>
  <c r="U50" i="3"/>
  <c r="T97" i="3" s="1"/>
  <c r="T50" i="3"/>
  <c r="S50" i="3"/>
  <c r="F64" i="3" s="1"/>
  <c r="R50" i="3"/>
  <c r="Q97" i="3" s="1"/>
  <c r="Q50" i="3"/>
  <c r="P50" i="3"/>
  <c r="O50" i="3"/>
  <c r="N50" i="3"/>
  <c r="M50" i="3"/>
  <c r="L50" i="3"/>
  <c r="K50" i="3"/>
  <c r="J50" i="3"/>
  <c r="I50" i="3"/>
  <c r="H50" i="3"/>
  <c r="G50" i="3"/>
  <c r="F50" i="3"/>
  <c r="E50" i="3"/>
  <c r="D50" i="3"/>
  <c r="C50" i="3"/>
  <c r="AX49" i="3"/>
  <c r="AW97" i="3" s="1"/>
  <c r="AW49" i="3"/>
  <c r="AV97" i="3" s="1"/>
  <c r="AV49" i="3"/>
  <c r="AU97" i="3" s="1"/>
  <c r="AU49" i="3"/>
  <c r="AT49" i="3"/>
  <c r="AS49" i="3"/>
  <c r="AR97" i="3" s="1"/>
  <c r="AR49" i="3"/>
  <c r="AQ49" i="3"/>
  <c r="AP49" i="3"/>
  <c r="AO97" i="3" s="1"/>
  <c r="AO49" i="3"/>
  <c r="AN49" i="3"/>
  <c r="AM49" i="3"/>
  <c r="AL49" i="3"/>
  <c r="AK49" i="3"/>
  <c r="AJ97" i="3" s="1"/>
  <c r="AJ49" i="3"/>
  <c r="AI49" i="3"/>
  <c r="AH49" i="3"/>
  <c r="AG97" i="3" s="1"/>
  <c r="AG49" i="3"/>
  <c r="AF49" i="3"/>
  <c r="AE49" i="3"/>
  <c r="AD49" i="3"/>
  <c r="AC49" i="3"/>
  <c r="AB49" i="3"/>
  <c r="AA97" i="3" s="1"/>
  <c r="AA49" i="3"/>
  <c r="Z49" i="3"/>
  <c r="Y97" i="3" s="1"/>
  <c r="Y49" i="3"/>
  <c r="X49" i="3"/>
  <c r="W49" i="3"/>
  <c r="V97" i="3" s="1"/>
  <c r="V49" i="3"/>
  <c r="U49" i="3"/>
  <c r="F63" i="3" s="1"/>
  <c r="T49" i="3"/>
  <c r="S97" i="3" s="1"/>
  <c r="S49" i="3"/>
  <c r="R49" i="3"/>
  <c r="Q49" i="3"/>
  <c r="P49" i="3"/>
  <c r="O49" i="3"/>
  <c r="N49" i="3"/>
  <c r="M49" i="3"/>
  <c r="L97" i="3" s="1"/>
  <c r="L49" i="3"/>
  <c r="K49" i="3"/>
  <c r="J49" i="3"/>
  <c r="I49" i="3"/>
  <c r="H49" i="3"/>
  <c r="G49" i="3"/>
  <c r="F49" i="3"/>
  <c r="E49" i="3"/>
  <c r="D49" i="3"/>
  <c r="C97" i="3" s="1"/>
  <c r="C49" i="3"/>
  <c r="FJ48" i="3"/>
  <c r="FI48" i="3"/>
  <c r="FH48" i="3"/>
  <c r="FG48" i="3"/>
  <c r="FF48" i="3"/>
  <c r="FE48" i="3"/>
  <c r="FD48" i="3"/>
  <c r="FC48" i="3"/>
  <c r="FB48" i="3"/>
  <c r="FA48" i="3"/>
  <c r="EZ48" i="3"/>
  <c r="EY48" i="3"/>
  <c r="EX48" i="3"/>
  <c r="EW48" i="3"/>
  <c r="EV48" i="3"/>
  <c r="EU48" i="3"/>
  <c r="ET48" i="3"/>
  <c r="ES48" i="3"/>
  <c r="ER48" i="3"/>
  <c r="EQ48" i="3"/>
  <c r="EP48" i="3"/>
  <c r="EO48" i="3"/>
  <c r="EN48" i="3"/>
  <c r="EM48" i="3"/>
  <c r="EL48" i="3"/>
  <c r="EK48" i="3"/>
  <c r="EJ48" i="3"/>
  <c r="EI48" i="3"/>
  <c r="EH48" i="3"/>
  <c r="EG48" i="3"/>
  <c r="EF48" i="3"/>
  <c r="EE48" i="3"/>
  <c r="ED48" i="3"/>
  <c r="EC48" i="3"/>
  <c r="EB48" i="3"/>
  <c r="EA48" i="3"/>
  <c r="DW48" i="3"/>
  <c r="DS48" i="3"/>
  <c r="DO48" i="3"/>
  <c r="DK48" i="3"/>
  <c r="DG48" i="3"/>
  <c r="DC48" i="3"/>
  <c r="CY48" i="3"/>
  <c r="CU48" i="3"/>
  <c r="CQ48" i="3"/>
  <c r="CM48" i="3"/>
  <c r="CI48" i="3"/>
  <c r="CE48" i="3"/>
  <c r="CA48" i="3"/>
  <c r="BW48" i="3"/>
  <c r="BS48" i="3"/>
  <c r="BO48" i="3"/>
  <c r="BK48" i="3"/>
  <c r="BJ48" i="3"/>
  <c r="BI48" i="3"/>
  <c r="BH48" i="3"/>
  <c r="BG48" i="3"/>
  <c r="BF48" i="3"/>
  <c r="BE48" i="3"/>
  <c r="BD48" i="3"/>
  <c r="BC48" i="3"/>
  <c r="BB48" i="3"/>
  <c r="BA48" i="3"/>
  <c r="AZ48" i="3"/>
  <c r="AY48" i="3"/>
  <c r="AY3" i="4" s="1"/>
  <c r="AX48" i="3"/>
  <c r="AX3" i="4" s="1"/>
  <c r="AW48" i="3"/>
  <c r="AW3" i="4" s="1"/>
  <c r="AV48" i="3"/>
  <c r="AV3" i="4" s="1"/>
  <c r="AU48" i="3"/>
  <c r="AU3" i="4" s="1"/>
  <c r="AT48" i="3"/>
  <c r="AT3" i="4" s="1"/>
  <c r="AS48" i="3"/>
  <c r="AS3" i="4" s="1"/>
  <c r="AR48" i="3"/>
  <c r="AR3" i="4" s="1"/>
  <c r="AQ48" i="3"/>
  <c r="AQ3" i="4" s="1"/>
  <c r="AP48" i="3"/>
  <c r="AO48" i="3"/>
  <c r="AN48" i="3"/>
  <c r="AM48" i="3"/>
  <c r="AL48" i="3"/>
  <c r="AK48" i="3"/>
  <c r="AJ48" i="3"/>
  <c r="AI48" i="3"/>
  <c r="AH48" i="3"/>
  <c r="AG48" i="3"/>
  <c r="AF48" i="3"/>
  <c r="AE48" i="3"/>
  <c r="AD48" i="3"/>
  <c r="AC48" i="3"/>
  <c r="AB48" i="3"/>
  <c r="AA48" i="3"/>
  <c r="Z48" i="3"/>
  <c r="Y48" i="3"/>
  <c r="X48" i="3"/>
  <c r="W48" i="3"/>
  <c r="V48" i="3"/>
  <c r="U48" i="3"/>
  <c r="T48" i="3"/>
  <c r="S48" i="3"/>
  <c r="R48" i="3"/>
  <c r="Q48" i="3"/>
  <c r="P48" i="3"/>
  <c r="O48" i="3"/>
  <c r="N48" i="3"/>
  <c r="M48" i="3"/>
  <c r="L48" i="3"/>
  <c r="K48" i="3"/>
  <c r="J48" i="3"/>
  <c r="I48" i="3"/>
  <c r="H48" i="3"/>
  <c r="G48" i="3"/>
  <c r="F48" i="3"/>
  <c r="E48" i="3"/>
  <c r="D48" i="3"/>
  <c r="C48" i="3"/>
  <c r="BE45" i="3"/>
  <c r="BD45" i="3"/>
  <c r="BC45" i="3"/>
  <c r="BB45" i="3"/>
  <c r="BA45" i="3"/>
  <c r="AZ45" i="3"/>
  <c r="AY45" i="3"/>
  <c r="AX45" i="3"/>
  <c r="AW45" i="3"/>
  <c r="AV45" i="3"/>
  <c r="AU45" i="3"/>
  <c r="AT45" i="3"/>
  <c r="AS45" i="3"/>
  <c r="AR45" i="3"/>
  <c r="AQ45" i="3"/>
  <c r="AP45" i="3"/>
  <c r="AO45" i="3"/>
  <c r="AN45" i="3"/>
  <c r="AM45" i="3"/>
  <c r="AL45" i="3"/>
  <c r="AK45" i="3"/>
  <c r="AJ45" i="3"/>
  <c r="AI45" i="3"/>
  <c r="AH45" i="3"/>
  <c r="AG45" i="3"/>
  <c r="AF45" i="3"/>
  <c r="AE45" i="3"/>
  <c r="AD45" i="3"/>
  <c r="AC45" i="3"/>
  <c r="AB45" i="3"/>
  <c r="AA45" i="3"/>
  <c r="Z45" i="3"/>
  <c r="Y45" i="3"/>
  <c r="X45" i="3"/>
  <c r="W45" i="3"/>
  <c r="V45" i="3"/>
  <c r="U45" i="3"/>
  <c r="T45" i="3"/>
  <c r="S45" i="3"/>
  <c r="R45" i="3"/>
  <c r="Q45" i="3"/>
  <c r="P45" i="3"/>
  <c r="O45" i="3"/>
  <c r="N45" i="3"/>
  <c r="M45" i="3"/>
  <c r="L45" i="3"/>
  <c r="K45" i="3"/>
  <c r="J45" i="3"/>
  <c r="I45" i="3"/>
  <c r="H45" i="3"/>
  <c r="G45" i="3"/>
  <c r="F45" i="3"/>
  <c r="E45" i="3"/>
  <c r="D45" i="3"/>
  <c r="C45" i="3"/>
  <c r="BE44" i="3"/>
  <c r="BD44" i="3"/>
  <c r="BC44" i="3"/>
  <c r="BB44" i="3"/>
  <c r="BA44" i="3"/>
  <c r="AZ44" i="3"/>
  <c r="AY44" i="3"/>
  <c r="AX44" i="3"/>
  <c r="AW44" i="3"/>
  <c r="AV44" i="3"/>
  <c r="AU44" i="3"/>
  <c r="AT44" i="3"/>
  <c r="AS44" i="3"/>
  <c r="AR44" i="3"/>
  <c r="AQ44" i="3"/>
  <c r="AP44" i="3"/>
  <c r="AO44" i="3"/>
  <c r="AN44" i="3"/>
  <c r="AM44" i="3"/>
  <c r="K83" i="3" s="1"/>
  <c r="AL44" i="3"/>
  <c r="AK44" i="3"/>
  <c r="AJ44" i="3"/>
  <c r="AI44" i="3"/>
  <c r="AH44" i="3"/>
  <c r="AG44" i="3"/>
  <c r="AF44" i="3"/>
  <c r="AE44" i="3"/>
  <c r="AD44" i="3"/>
  <c r="AC44" i="3"/>
  <c r="AB44" i="3"/>
  <c r="AA44" i="3"/>
  <c r="Z44" i="3"/>
  <c r="Y44" i="3"/>
  <c r="X44" i="3"/>
  <c r="W44" i="3"/>
  <c r="G83" i="3" s="1"/>
  <c r="V44" i="3"/>
  <c r="U44" i="3"/>
  <c r="T44" i="3"/>
  <c r="S44" i="3"/>
  <c r="R44" i="3"/>
  <c r="Q44" i="3"/>
  <c r="P44" i="3"/>
  <c r="O44" i="3"/>
  <c r="E83" i="3" s="1"/>
  <c r="N44" i="3"/>
  <c r="M44" i="3"/>
  <c r="L44" i="3"/>
  <c r="D83" i="3" s="1"/>
  <c r="K44" i="3"/>
  <c r="J44" i="3"/>
  <c r="I44" i="3"/>
  <c r="H44" i="3"/>
  <c r="G44" i="3"/>
  <c r="F44" i="3"/>
  <c r="B83" i="3" s="1"/>
  <c r="E44" i="3"/>
  <c r="D44" i="3"/>
  <c r="C44" i="3"/>
  <c r="EX43" i="3"/>
  <c r="BE43" i="3"/>
  <c r="BD43" i="3"/>
  <c r="BC43" i="3"/>
  <c r="BB43" i="3"/>
  <c r="BA43" i="3"/>
  <c r="AZ43" i="3"/>
  <c r="AY43" i="3"/>
  <c r="AX43" i="3"/>
  <c r="AW43" i="3"/>
  <c r="AV43" i="3"/>
  <c r="AU43" i="3"/>
  <c r="AT43" i="3"/>
  <c r="AS43" i="3"/>
  <c r="AR43" i="3"/>
  <c r="AQ43" i="3"/>
  <c r="AP43" i="3"/>
  <c r="AO43" i="3"/>
  <c r="AN43" i="3"/>
  <c r="AM43" i="3"/>
  <c r="K82" i="3" s="1"/>
  <c r="AL43" i="3"/>
  <c r="AK43" i="3"/>
  <c r="AJ43" i="3"/>
  <c r="AI43" i="3"/>
  <c r="AH43" i="3"/>
  <c r="AG43" i="3"/>
  <c r="AF43" i="3"/>
  <c r="AE43" i="3"/>
  <c r="I82" i="3" s="1"/>
  <c r="AD43" i="3"/>
  <c r="AC43" i="3"/>
  <c r="AB43" i="3"/>
  <c r="AA43" i="3"/>
  <c r="H82" i="3" s="1"/>
  <c r="Z43" i="3"/>
  <c r="Y43" i="3"/>
  <c r="X43" i="3"/>
  <c r="W43" i="3"/>
  <c r="G82" i="3" s="1"/>
  <c r="V43" i="3"/>
  <c r="U43" i="3"/>
  <c r="T43" i="3"/>
  <c r="S43" i="3"/>
  <c r="R43" i="3"/>
  <c r="Q43" i="3"/>
  <c r="P43" i="3"/>
  <c r="O43" i="3"/>
  <c r="E82" i="3" s="1"/>
  <c r="N43" i="3"/>
  <c r="M43" i="3"/>
  <c r="L43" i="3"/>
  <c r="K43" i="3"/>
  <c r="D82" i="3" s="1"/>
  <c r="J43" i="3"/>
  <c r="I43" i="3"/>
  <c r="H43" i="3"/>
  <c r="G43" i="3"/>
  <c r="F43" i="3"/>
  <c r="E43" i="3"/>
  <c r="D43" i="3"/>
  <c r="C43" i="3"/>
  <c r="BC42" i="3"/>
  <c r="BB42" i="3"/>
  <c r="BA42" i="3"/>
  <c r="AZ42" i="3"/>
  <c r="AY42" i="3"/>
  <c r="AX42" i="3"/>
  <c r="AW42" i="3"/>
  <c r="AQ42" i="3"/>
  <c r="L81" i="3" s="1"/>
  <c r="AJ42" i="3"/>
  <c r="AI42" i="3"/>
  <c r="J81" i="3" s="1"/>
  <c r="AD42" i="3"/>
  <c r="AC42" i="3"/>
  <c r="AB42" i="3"/>
  <c r="Z42" i="3"/>
  <c r="I42" i="3"/>
  <c r="G42" i="3"/>
  <c r="C81" i="3" s="1"/>
  <c r="E42" i="3"/>
  <c r="C42" i="3"/>
  <c r="BD41" i="3"/>
  <c r="BC41" i="3"/>
  <c r="BB41" i="3"/>
  <c r="BA41" i="3"/>
  <c r="AZ41" i="3"/>
  <c r="AY41" i="3"/>
  <c r="AX41" i="3"/>
  <c r="AW41" i="3"/>
  <c r="AV41" i="3"/>
  <c r="AU41" i="3"/>
  <c r="AT41" i="3"/>
  <c r="L80" i="3" s="1"/>
  <c r="AS41" i="3"/>
  <c r="AR41" i="3"/>
  <c r="AQ41" i="3"/>
  <c r="AP41" i="3"/>
  <c r="AO41" i="3"/>
  <c r="AN41" i="3"/>
  <c r="AM41" i="3"/>
  <c r="AL41" i="3"/>
  <c r="AK41" i="3"/>
  <c r="AJ41" i="3"/>
  <c r="AI41" i="3"/>
  <c r="AH41" i="3"/>
  <c r="AG41" i="3"/>
  <c r="AF41" i="3"/>
  <c r="AE41" i="3"/>
  <c r="AD41" i="3"/>
  <c r="AC41" i="3"/>
  <c r="AB41" i="3"/>
  <c r="AA41" i="3"/>
  <c r="Z41" i="3"/>
  <c r="Y41" i="3"/>
  <c r="X41" i="3"/>
  <c r="W41" i="3"/>
  <c r="V41" i="3"/>
  <c r="U41" i="3"/>
  <c r="T41" i="3"/>
  <c r="S41" i="3"/>
  <c r="R41" i="3"/>
  <c r="Q41" i="3"/>
  <c r="P41" i="3"/>
  <c r="E80" i="3" s="1"/>
  <c r="O41" i="3"/>
  <c r="N41" i="3"/>
  <c r="M41" i="3"/>
  <c r="L41" i="3"/>
  <c r="K41" i="3"/>
  <c r="J41" i="3"/>
  <c r="I41" i="3"/>
  <c r="H41" i="3"/>
  <c r="C80" i="3" s="1"/>
  <c r="G41" i="3"/>
  <c r="F41" i="3"/>
  <c r="E41" i="3"/>
  <c r="D41" i="3"/>
  <c r="C41" i="3"/>
  <c r="BE40" i="3"/>
  <c r="BD40" i="3"/>
  <c r="BC40" i="3"/>
  <c r="BB40" i="3"/>
  <c r="BA40" i="3"/>
  <c r="AZ40" i="3"/>
  <c r="N79" i="3" s="1"/>
  <c r="AY40" i="3"/>
  <c r="AX40" i="3"/>
  <c r="AW40" i="3"/>
  <c r="AV40" i="3"/>
  <c r="AU40" i="3"/>
  <c r="AT40" i="3"/>
  <c r="L79" i="3" s="1"/>
  <c r="AS40" i="3"/>
  <c r="AR40" i="3"/>
  <c r="AQ40" i="3"/>
  <c r="AP40" i="3"/>
  <c r="AO40" i="3"/>
  <c r="AN40" i="3"/>
  <c r="AM40" i="3"/>
  <c r="AL40" i="3"/>
  <c r="AK40" i="3"/>
  <c r="AJ40" i="3"/>
  <c r="AI40" i="3"/>
  <c r="J79" i="3" s="1"/>
  <c r="AH40" i="3"/>
  <c r="AG40" i="3"/>
  <c r="AF40" i="3"/>
  <c r="AE40" i="3"/>
  <c r="AD40" i="3"/>
  <c r="AC40" i="3"/>
  <c r="AB40" i="3"/>
  <c r="AA40" i="3"/>
  <c r="Z40" i="3"/>
  <c r="Y40" i="3"/>
  <c r="X40" i="3"/>
  <c r="W40" i="3"/>
  <c r="V40" i="3"/>
  <c r="U40" i="3"/>
  <c r="T40" i="3"/>
  <c r="S40" i="3"/>
  <c r="R40" i="3"/>
  <c r="Q40" i="3"/>
  <c r="P40" i="3"/>
  <c r="O40" i="3"/>
  <c r="N40" i="3"/>
  <c r="M40" i="3"/>
  <c r="D79" i="3" s="1"/>
  <c r="L40" i="3"/>
  <c r="K40" i="3"/>
  <c r="J40" i="3"/>
  <c r="I40" i="3"/>
  <c r="H40" i="3"/>
  <c r="G40" i="3"/>
  <c r="F40" i="3"/>
  <c r="E40" i="3"/>
  <c r="D40" i="3"/>
  <c r="C40" i="3"/>
  <c r="BE39" i="3"/>
  <c r="BD39" i="3"/>
  <c r="BC39" i="3"/>
  <c r="BB39" i="3"/>
  <c r="BA39" i="3"/>
  <c r="AZ39" i="3"/>
  <c r="AY39" i="3"/>
  <c r="N78" i="3" s="1"/>
  <c r="AX39" i="3"/>
  <c r="AW39" i="3"/>
  <c r="AV39" i="3"/>
  <c r="AU39" i="3"/>
  <c r="AT39" i="3"/>
  <c r="AS39" i="3"/>
  <c r="AR39" i="3"/>
  <c r="AQ39" i="3"/>
  <c r="AP39" i="3"/>
  <c r="AO39" i="3"/>
  <c r="AN39" i="3"/>
  <c r="AM39" i="3"/>
  <c r="K78" i="3" s="1"/>
  <c r="AL39" i="3"/>
  <c r="AK39" i="3"/>
  <c r="AJ39" i="3"/>
  <c r="AI39" i="3"/>
  <c r="AH39" i="3"/>
  <c r="AG39" i="3"/>
  <c r="AF39" i="3"/>
  <c r="AE39" i="3"/>
  <c r="AD39" i="3"/>
  <c r="AC39" i="3"/>
  <c r="AB39" i="3"/>
  <c r="AA39" i="3"/>
  <c r="Z39" i="3"/>
  <c r="Y39" i="3"/>
  <c r="X39" i="3"/>
  <c r="W39" i="3"/>
  <c r="G78" i="3" s="1"/>
  <c r="V39" i="3"/>
  <c r="U39" i="3"/>
  <c r="T39" i="3"/>
  <c r="S39" i="3"/>
  <c r="R39" i="3"/>
  <c r="Q39" i="3"/>
  <c r="P39" i="3"/>
  <c r="O39" i="3"/>
  <c r="N39" i="3"/>
  <c r="M39" i="3"/>
  <c r="L39" i="3"/>
  <c r="K39" i="3"/>
  <c r="J39" i="3"/>
  <c r="I39" i="3"/>
  <c r="H39" i="3"/>
  <c r="G39" i="3"/>
  <c r="F39" i="3"/>
  <c r="E39" i="3"/>
  <c r="D39" i="3"/>
  <c r="C39" i="3"/>
  <c r="BD36" i="3"/>
  <c r="BD10" i="3" s="1"/>
  <c r="BD42" i="3" s="1"/>
  <c r="AZ36" i="3"/>
  <c r="AY36" i="3"/>
  <c r="AX36" i="3"/>
  <c r="AT36" i="3"/>
  <c r="AS36" i="3"/>
  <c r="AR36" i="3"/>
  <c r="AR10" i="3" s="1"/>
  <c r="AR42" i="3" s="1"/>
  <c r="AQ36" i="3"/>
  <c r="AQ10" i="3" s="1"/>
  <c r="AP36" i="3"/>
  <c r="AO36" i="3"/>
  <c r="AO10" i="3" s="1"/>
  <c r="AO42" i="3" s="1"/>
  <c r="AN36" i="3"/>
  <c r="AN10" i="3" s="1"/>
  <c r="AN42" i="3" s="1"/>
  <c r="AM36" i="3"/>
  <c r="AL36" i="3"/>
  <c r="AL10" i="3" s="1"/>
  <c r="AL42" i="3" s="1"/>
  <c r="AK36" i="3"/>
  <c r="AJ36" i="3"/>
  <c r="AI36" i="3"/>
  <c r="AI10" i="3" s="1"/>
  <c r="AH36" i="3"/>
  <c r="AG36" i="3"/>
  <c r="AG10" i="3" s="1"/>
  <c r="AG42" i="3" s="1"/>
  <c r="AF36" i="3"/>
  <c r="AF10" i="3" s="1"/>
  <c r="AF42" i="3" s="1"/>
  <c r="AE36" i="3"/>
  <c r="AD36" i="3"/>
  <c r="AD10" i="3" s="1"/>
  <c r="AC36" i="3"/>
  <c r="AC10" i="3" s="1"/>
  <c r="AB36" i="3"/>
  <c r="AB10" i="3" s="1"/>
  <c r="AA36" i="3"/>
  <c r="Z36" i="3"/>
  <c r="Y36" i="3"/>
  <c r="X36" i="3"/>
  <c r="X10" i="3" s="1"/>
  <c r="X42" i="3" s="1"/>
  <c r="W36" i="3"/>
  <c r="V36" i="3"/>
  <c r="U36" i="3"/>
  <c r="T36" i="3"/>
  <c r="S36" i="3"/>
  <c r="S10" i="3" s="1"/>
  <c r="S42" i="3" s="1"/>
  <c r="F81" i="3" s="1"/>
  <c r="R36" i="3"/>
  <c r="R10" i="3" s="1"/>
  <c r="R42" i="3" s="1"/>
  <c r="Q36" i="3"/>
  <c r="P36" i="3"/>
  <c r="O36" i="3"/>
  <c r="N36" i="3"/>
  <c r="M36" i="3"/>
  <c r="M10" i="3" s="1"/>
  <c r="M42" i="3" s="1"/>
  <c r="L36" i="3"/>
  <c r="L10" i="3" s="1"/>
  <c r="L42" i="3" s="1"/>
  <c r="K36" i="3"/>
  <c r="K10" i="3" s="1"/>
  <c r="K42" i="3" s="1"/>
  <c r="J36" i="3"/>
  <c r="J10" i="3" s="1"/>
  <c r="J42" i="3" s="1"/>
  <c r="I36" i="3"/>
  <c r="H36" i="3"/>
  <c r="H10" i="3" s="1"/>
  <c r="H42" i="3" s="1"/>
  <c r="G36" i="3"/>
  <c r="F36" i="3"/>
  <c r="E36" i="3"/>
  <c r="D36" i="3"/>
  <c r="C36" i="3"/>
  <c r="FG21" i="3"/>
  <c r="FC21" i="3"/>
  <c r="EY21" i="3"/>
  <c r="EU21" i="3"/>
  <c r="EQ21" i="3"/>
  <c r="EM21" i="3"/>
  <c r="EI21" i="3"/>
  <c r="EE21" i="3"/>
  <c r="EA21" i="3"/>
  <c r="DW21" i="3"/>
  <c r="DS21" i="3"/>
  <c r="DO21" i="3"/>
  <c r="DK21" i="3"/>
  <c r="DG21" i="3"/>
  <c r="DC21" i="3"/>
  <c r="CY21" i="3"/>
  <c r="CU21" i="3"/>
  <c r="CQ21" i="3"/>
  <c r="CM21" i="3"/>
  <c r="CI21" i="3"/>
  <c r="CE21" i="3"/>
  <c r="CA21" i="3"/>
  <c r="BW21" i="3"/>
  <c r="BS21" i="3"/>
  <c r="BO21" i="3"/>
  <c r="BK21" i="3"/>
  <c r="BI21" i="3"/>
  <c r="BG21" i="3"/>
  <c r="BF21" i="3"/>
  <c r="BE21" i="3"/>
  <c r="BD21" i="3"/>
  <c r="BC21" i="3"/>
  <c r="BB21" i="3"/>
  <c r="BA21" i="3"/>
  <c r="AZ21" i="3"/>
  <c r="AY21" i="3"/>
  <c r="AX21" i="3"/>
  <c r="AW21" i="3"/>
  <c r="AV21" i="3"/>
  <c r="AU21" i="3"/>
  <c r="AT21" i="3"/>
  <c r="AS21" i="3"/>
  <c r="AQ21" i="3"/>
  <c r="AP21" i="3"/>
  <c r="AO21" i="3"/>
  <c r="AN21" i="3"/>
  <c r="AG21" i="3"/>
  <c r="AB21" i="3"/>
  <c r="X21" i="3"/>
  <c r="W21" i="3"/>
  <c r="U21" i="3"/>
  <c r="T21" i="3"/>
  <c r="S21" i="3"/>
  <c r="K21" i="3"/>
  <c r="G21" i="3"/>
  <c r="FJ16" i="3"/>
  <c r="FI16" i="3"/>
  <c r="FH16" i="3"/>
  <c r="FG16" i="3"/>
  <c r="FF16" i="3"/>
  <c r="FE16" i="3"/>
  <c r="FD16" i="3"/>
  <c r="FC16" i="3"/>
  <c r="FB16" i="3"/>
  <c r="FA16" i="3"/>
  <c r="EZ16" i="3"/>
  <c r="EY16" i="3"/>
  <c r="EX16" i="3"/>
  <c r="EW16" i="3"/>
  <c r="EV16" i="3"/>
  <c r="EU16" i="3"/>
  <c r="ET16" i="3"/>
  <c r="ES16" i="3"/>
  <c r="ER16" i="3"/>
  <c r="EQ16" i="3"/>
  <c r="EP16" i="3"/>
  <c r="EO16" i="3"/>
  <c r="EN16" i="3"/>
  <c r="EM16" i="3"/>
  <c r="EL16" i="3"/>
  <c r="EK16" i="3"/>
  <c r="EJ16" i="3"/>
  <c r="EI16" i="3"/>
  <c r="EH16" i="3"/>
  <c r="EG16" i="3"/>
  <c r="EF16" i="3"/>
  <c r="EE16" i="3"/>
  <c r="ED16" i="3"/>
  <c r="EC16" i="3"/>
  <c r="EB16" i="3"/>
  <c r="EA16" i="3"/>
  <c r="DZ16" i="3"/>
  <c r="DZ87" i="4" s="1"/>
  <c r="DY16" i="3"/>
  <c r="DY87" i="4" s="1"/>
  <c r="DX16" i="3"/>
  <c r="DX87" i="4" s="1"/>
  <c r="DW16" i="3"/>
  <c r="DW87" i="4" s="1"/>
  <c r="DV16" i="3"/>
  <c r="DV87" i="4" s="1"/>
  <c r="DU16" i="3"/>
  <c r="DU87" i="4" s="1"/>
  <c r="DT16" i="3"/>
  <c r="DT87" i="4" s="1"/>
  <c r="DS16" i="3"/>
  <c r="DS87" i="4" s="1"/>
  <c r="DR16" i="3"/>
  <c r="DR87" i="4" s="1"/>
  <c r="DQ16" i="3"/>
  <c r="DQ87" i="4" s="1"/>
  <c r="DP16" i="3"/>
  <c r="DP87" i="4" s="1"/>
  <c r="DO16" i="3"/>
  <c r="DO87" i="4" s="1"/>
  <c r="DN16" i="3"/>
  <c r="DN87" i="4" s="1"/>
  <c r="DM16" i="3"/>
  <c r="DM87" i="4" s="1"/>
  <c r="DL16" i="3"/>
  <c r="DL87" i="4" s="1"/>
  <c r="DK16" i="3"/>
  <c r="DK87" i="4" s="1"/>
  <c r="DJ16" i="3"/>
  <c r="DJ87" i="4" s="1"/>
  <c r="DI16" i="3"/>
  <c r="DI87" i="4" s="1"/>
  <c r="DH16" i="3"/>
  <c r="DH87" i="4" s="1"/>
  <c r="DG16" i="3"/>
  <c r="DG87" i="4" s="1"/>
  <c r="DF16" i="3"/>
  <c r="DF87" i="4" s="1"/>
  <c r="DE16" i="3"/>
  <c r="DE87" i="4" s="1"/>
  <c r="DD16" i="3"/>
  <c r="DD87" i="4" s="1"/>
  <c r="DC16" i="3"/>
  <c r="DC87" i="4" s="1"/>
  <c r="DB16" i="3"/>
  <c r="DB87" i="4" s="1"/>
  <c r="DA16" i="3"/>
  <c r="DA87" i="4" s="1"/>
  <c r="CZ16" i="3"/>
  <c r="CZ87" i="4" s="1"/>
  <c r="CY16" i="3"/>
  <c r="CY87" i="4" s="1"/>
  <c r="CX16" i="3"/>
  <c r="CX87" i="4" s="1"/>
  <c r="CW16" i="3"/>
  <c r="CW87" i="4" s="1"/>
  <c r="CV16" i="3"/>
  <c r="CV87" i="4" s="1"/>
  <c r="CU16" i="3"/>
  <c r="CU87" i="4" s="1"/>
  <c r="CT16" i="3"/>
  <c r="CT87" i="4" s="1"/>
  <c r="CS16" i="3"/>
  <c r="CS87" i="4" s="1"/>
  <c r="CR16" i="3"/>
  <c r="CR87" i="4" s="1"/>
  <c r="CQ16" i="3"/>
  <c r="CQ87" i="4" s="1"/>
  <c r="CP16" i="3"/>
  <c r="CP87" i="4" s="1"/>
  <c r="CO16" i="3"/>
  <c r="CO87" i="4" s="1"/>
  <c r="CN16" i="3"/>
  <c r="CN87" i="4" s="1"/>
  <c r="CM16" i="3"/>
  <c r="CM87" i="4" s="1"/>
  <c r="CL16" i="3"/>
  <c r="CL87" i="4" s="1"/>
  <c r="CK16" i="3"/>
  <c r="CK87" i="4" s="1"/>
  <c r="CJ16" i="3"/>
  <c r="CJ87" i="4" s="1"/>
  <c r="CI16" i="3"/>
  <c r="CI87" i="4" s="1"/>
  <c r="CH16" i="3"/>
  <c r="CH87" i="4" s="1"/>
  <c r="CG16" i="3"/>
  <c r="CG87" i="4" s="1"/>
  <c r="CF16" i="3"/>
  <c r="CE16" i="3"/>
  <c r="CE87" i="4" s="1"/>
  <c r="CD16" i="3"/>
  <c r="CC16" i="3"/>
  <c r="CB16" i="3"/>
  <c r="CA16" i="3"/>
  <c r="CA87" i="4" s="1"/>
  <c r="BZ16" i="3"/>
  <c r="BY16" i="3"/>
  <c r="BY87" i="4" s="1"/>
  <c r="BX16" i="3"/>
  <c r="BX87" i="4" s="1"/>
  <c r="BW16" i="3"/>
  <c r="BV16" i="3"/>
  <c r="BV87" i="4" s="1"/>
  <c r="BU16" i="3"/>
  <c r="BT16" i="3"/>
  <c r="BS16" i="3"/>
  <c r="BR16" i="3"/>
  <c r="BQ16" i="3"/>
  <c r="BP16" i="3"/>
  <c r="BO16" i="3"/>
  <c r="BO87" i="4" s="1"/>
  <c r="BN16" i="3"/>
  <c r="BN87" i="4" s="1"/>
  <c r="BM16" i="3"/>
  <c r="BL16" i="3"/>
  <c r="BK16" i="3"/>
  <c r="FJ11" i="3"/>
  <c r="FJ43" i="3" s="1"/>
  <c r="FG11" i="3"/>
  <c r="EY11" i="3"/>
  <c r="EX11" i="3"/>
  <c r="EP11" i="3"/>
  <c r="EO11" i="3"/>
  <c r="EN11" i="3"/>
  <c r="EM11" i="3"/>
  <c r="EA11" i="3"/>
  <c r="DY11" i="3"/>
  <c r="CG11" i="3"/>
  <c r="CC11" i="3"/>
  <c r="BS11" i="3"/>
  <c r="BO11" i="3"/>
  <c r="BM11" i="3"/>
  <c r="BE10" i="3"/>
  <c r="BE42" i="3" s="1"/>
  <c r="BC10" i="3"/>
  <c r="AT10" i="3"/>
  <c r="AT42" i="3" s="1"/>
  <c r="AS10" i="3"/>
  <c r="AS42" i="3" s="1"/>
  <c r="AP10" i="3"/>
  <c r="AP42" i="3" s="1"/>
  <c r="AM10" i="3"/>
  <c r="AM42" i="3" s="1"/>
  <c r="AK10" i="3"/>
  <c r="AK42" i="3" s="1"/>
  <c r="AJ10" i="3"/>
  <c r="AH10" i="3"/>
  <c r="AH42" i="3" s="1"/>
  <c r="AE10" i="3"/>
  <c r="AE42" i="3" s="1"/>
  <c r="I81" i="3" s="1"/>
  <c r="AA10" i="3"/>
  <c r="AA42" i="3" s="1"/>
  <c r="Z10" i="3"/>
  <c r="Y10" i="3"/>
  <c r="Y42" i="3" s="1"/>
  <c r="W10" i="3"/>
  <c r="W42" i="3" s="1"/>
  <c r="G81" i="3" s="1"/>
  <c r="V10" i="3"/>
  <c r="V42" i="3" s="1"/>
  <c r="U10" i="3"/>
  <c r="U42" i="3" s="1"/>
  <c r="T10" i="3"/>
  <c r="T42" i="3" s="1"/>
  <c r="Q10" i="3"/>
  <c r="Q42" i="3" s="1"/>
  <c r="P10" i="3"/>
  <c r="P42" i="3" s="1"/>
  <c r="O10" i="3"/>
  <c r="O42" i="3" s="1"/>
  <c r="N10" i="3"/>
  <c r="N42" i="3" s="1"/>
  <c r="I10" i="3"/>
  <c r="G10" i="3"/>
  <c r="F10" i="3"/>
  <c r="F42" i="3" s="1"/>
  <c r="E10" i="3"/>
  <c r="D10" i="3"/>
  <c r="D42" i="3" s="1"/>
  <c r="C10" i="3"/>
  <c r="FB6" i="3"/>
  <c r="EX6" i="3"/>
  <c r="EW6" i="3"/>
  <c r="ES6" i="3"/>
  <c r="EQ6" i="3"/>
  <c r="EM6" i="3"/>
  <c r="EK6" i="3"/>
  <c r="EJ6" i="3"/>
  <c r="EI6" i="3"/>
  <c r="DU6" i="3"/>
  <c r="DS6" i="3"/>
  <c r="DO6" i="3"/>
  <c r="DK6" i="3"/>
  <c r="DJ6" i="3"/>
  <c r="DI6" i="3"/>
  <c r="DH6" i="3"/>
  <c r="DG6" i="3"/>
  <c r="DF6" i="3"/>
  <c r="CO6" i="3"/>
  <c r="CE6" i="3"/>
  <c r="CC6" i="3"/>
  <c r="CA6" i="3"/>
  <c r="BY6" i="3"/>
  <c r="BW6" i="3"/>
  <c r="BV6" i="3"/>
  <c r="FC5" i="3"/>
  <c r="EZ5" i="3"/>
  <c r="EY5" i="3"/>
  <c r="EX5" i="3"/>
  <c r="DN5" i="3"/>
  <c r="CU5" i="3"/>
  <c r="CQ5" i="3"/>
  <c r="CP5" i="3"/>
  <c r="CO5" i="3"/>
  <c r="CN5" i="3"/>
  <c r="CM5" i="3"/>
  <c r="CL5" i="3"/>
  <c r="CK5" i="3"/>
  <c r="BR4" i="3"/>
  <c r="BR21" i="3" s="1"/>
  <c r="BN4" i="3"/>
  <c r="BJ4" i="3"/>
  <c r="BJ21" i="3" s="1"/>
  <c r="BI4" i="3"/>
  <c r="BM4" i="3" s="1"/>
  <c r="BH4" i="3"/>
  <c r="BH21" i="3" s="1"/>
  <c r="AR4" i="3"/>
  <c r="AR21" i="3" s="1"/>
  <c r="AQ4" i="3"/>
  <c r="AP4" i="3"/>
  <c r="AO4" i="3"/>
  <c r="AN4" i="3"/>
  <c r="AM4" i="3"/>
  <c r="AM21" i="3" s="1"/>
  <c r="AL4" i="3"/>
  <c r="AL21" i="3" s="1"/>
  <c r="AK4" i="3"/>
  <c r="AK21" i="3" s="1"/>
  <c r="AJ4" i="3"/>
  <c r="AJ21" i="3" s="1"/>
  <c r="AI4" i="3"/>
  <c r="AI21" i="3" s="1"/>
  <c r="AH4" i="3"/>
  <c r="AH21" i="3" s="1"/>
  <c r="AG4" i="3"/>
  <c r="AF4" i="3"/>
  <c r="AF21" i="3" s="1"/>
  <c r="AE4" i="3"/>
  <c r="AE21" i="3" s="1"/>
  <c r="AD4" i="3"/>
  <c r="AD21" i="3" s="1"/>
  <c r="AC4" i="3"/>
  <c r="AC21" i="3" s="1"/>
  <c r="AB4" i="3"/>
  <c r="AA4" i="3"/>
  <c r="AA21" i="3" s="1"/>
  <c r="Z4" i="3"/>
  <c r="Z21" i="3" s="1"/>
  <c r="Y4" i="3"/>
  <c r="Y21" i="3" s="1"/>
  <c r="X4" i="3"/>
  <c r="W4" i="3"/>
  <c r="V4" i="3"/>
  <c r="V21" i="3" s="1"/>
  <c r="U4" i="3"/>
  <c r="T4" i="3"/>
  <c r="S4" i="3"/>
  <c r="R4" i="3"/>
  <c r="R21" i="3" s="1"/>
  <c r="Q4" i="3"/>
  <c r="Q21" i="3" s="1"/>
  <c r="P4" i="3"/>
  <c r="P21" i="3" s="1"/>
  <c r="O4" i="3"/>
  <c r="O21" i="3" s="1"/>
  <c r="N4" i="3"/>
  <c r="N21" i="3" s="1"/>
  <c r="M4" i="3"/>
  <c r="M21" i="3" s="1"/>
  <c r="L4" i="3"/>
  <c r="L21" i="3" s="1"/>
  <c r="K4" i="3"/>
  <c r="J4" i="3"/>
  <c r="J21" i="3" s="1"/>
  <c r="I4" i="3"/>
  <c r="I21" i="3" s="1"/>
  <c r="H4" i="3"/>
  <c r="H21" i="3" s="1"/>
  <c r="G4" i="3"/>
  <c r="F4" i="3"/>
  <c r="F21" i="3" s="1"/>
  <c r="E4" i="3"/>
  <c r="E21" i="3" s="1"/>
  <c r="D4" i="3"/>
  <c r="D21" i="3" s="1"/>
  <c r="C4" i="3"/>
  <c r="C21" i="3" s="1"/>
  <c r="U157" i="2"/>
  <c r="T157" i="2"/>
  <c r="S157" i="2"/>
  <c r="R157" i="2"/>
  <c r="O157" i="2"/>
  <c r="J157" i="2"/>
  <c r="U149" i="2"/>
  <c r="O149" i="2"/>
  <c r="N149" i="2"/>
  <c r="N157" i="2" s="1"/>
  <c r="K149" i="2"/>
  <c r="K157" i="2" s="1"/>
  <c r="I149" i="2"/>
  <c r="I157" i="2" s="1"/>
  <c r="H149" i="2"/>
  <c r="H157" i="2" s="1"/>
  <c r="M145" i="2"/>
  <c r="L144" i="2"/>
  <c r="M143" i="2"/>
  <c r="L143" i="2"/>
  <c r="AO141" i="2"/>
  <c r="AN141" i="2"/>
  <c r="AM141" i="2"/>
  <c r="AL141" i="2"/>
  <c r="AK141" i="2"/>
  <c r="AJ141" i="2"/>
  <c r="AI141" i="2"/>
  <c r="AH141" i="2"/>
  <c r="AG141" i="2"/>
  <c r="AF141" i="2"/>
  <c r="AE141" i="2"/>
  <c r="AD141" i="2"/>
  <c r="AC141" i="2"/>
  <c r="AB141" i="2"/>
  <c r="AA141" i="2"/>
  <c r="Z141" i="2"/>
  <c r="Y141" i="2"/>
  <c r="X141" i="2"/>
  <c r="W141" i="2"/>
  <c r="V141" i="2"/>
  <c r="U141" i="2"/>
  <c r="T141" i="2"/>
  <c r="T149" i="2" s="1"/>
  <c r="S141" i="2"/>
  <c r="S149" i="2" s="1"/>
  <c r="R141" i="2"/>
  <c r="R149" i="2" s="1"/>
  <c r="Q141" i="2"/>
  <c r="Q149" i="2" s="1"/>
  <c r="Q157" i="2" s="1"/>
  <c r="P141" i="2"/>
  <c r="P149" i="2" s="1"/>
  <c r="P157" i="2" s="1"/>
  <c r="O141" i="2"/>
  <c r="N141" i="2"/>
  <c r="M141" i="2"/>
  <c r="M149" i="2" s="1"/>
  <c r="M157" i="2" s="1"/>
  <c r="L141" i="2"/>
  <c r="L149" i="2" s="1"/>
  <c r="L157" i="2" s="1"/>
  <c r="K141" i="2"/>
  <c r="J141" i="2"/>
  <c r="J149" i="2" s="1"/>
  <c r="I141" i="2"/>
  <c r="H141" i="2"/>
  <c r="G141" i="2"/>
  <c r="F141" i="2"/>
  <c r="E141" i="2"/>
  <c r="D141" i="2"/>
  <c r="C141" i="2"/>
  <c r="B141" i="2"/>
  <c r="AO133" i="2"/>
  <c r="AN133" i="2"/>
  <c r="AM133" i="2"/>
  <c r="AL133" i="2"/>
  <c r="AK133" i="2"/>
  <c r="AJ133" i="2"/>
  <c r="AI133" i="2"/>
  <c r="AH133" i="2"/>
  <c r="AG133" i="2"/>
  <c r="AF133" i="2"/>
  <c r="AE133" i="2"/>
  <c r="AD133" i="2"/>
  <c r="AC133" i="2"/>
  <c r="AB133" i="2"/>
  <c r="AA133" i="2"/>
  <c r="Z133" i="2"/>
  <c r="Y133" i="2"/>
  <c r="X133" i="2"/>
  <c r="W133" i="2"/>
  <c r="V133" i="2"/>
  <c r="U133" i="2"/>
  <c r="T133" i="2"/>
  <c r="S133" i="2"/>
  <c r="R133" i="2"/>
  <c r="Q133" i="2"/>
  <c r="P133" i="2"/>
  <c r="O133" i="2"/>
  <c r="N133" i="2"/>
  <c r="M133" i="2"/>
  <c r="L133" i="2"/>
  <c r="K133" i="2"/>
  <c r="J133" i="2"/>
  <c r="I133" i="2"/>
  <c r="H133" i="2"/>
  <c r="G133" i="2"/>
  <c r="F133" i="2"/>
  <c r="E133" i="2"/>
  <c r="D133" i="2"/>
  <c r="C133" i="2"/>
  <c r="B133" i="2"/>
  <c r="C129" i="2"/>
  <c r="B128" i="2"/>
  <c r="AO125" i="2"/>
  <c r="AN125" i="2"/>
  <c r="AM125" i="2"/>
  <c r="AL125" i="2"/>
  <c r="AK125" i="2"/>
  <c r="AJ125" i="2"/>
  <c r="AI125" i="2"/>
  <c r="AH125" i="2"/>
  <c r="AG125" i="2"/>
  <c r="AF125" i="2"/>
  <c r="AE125" i="2"/>
  <c r="AD125" i="2"/>
  <c r="AC125" i="2"/>
  <c r="AB125" i="2"/>
  <c r="AA125" i="2"/>
  <c r="Z125" i="2"/>
  <c r="Y125" i="2"/>
  <c r="X125" i="2"/>
  <c r="W125" i="2"/>
  <c r="V125" i="2"/>
  <c r="U125" i="2"/>
  <c r="T125" i="2"/>
  <c r="S125" i="2"/>
  <c r="R125" i="2"/>
  <c r="Q125" i="2"/>
  <c r="P125" i="2"/>
  <c r="O125" i="2"/>
  <c r="N125" i="2"/>
  <c r="M125" i="2"/>
  <c r="L125" i="2"/>
  <c r="K125" i="2"/>
  <c r="J125" i="2"/>
  <c r="I125" i="2"/>
  <c r="H125" i="2"/>
  <c r="G125" i="2"/>
  <c r="F125" i="2"/>
  <c r="E125" i="2"/>
  <c r="D125" i="2"/>
  <c r="C125" i="2"/>
  <c r="B125" i="2"/>
  <c r="AO120" i="2"/>
  <c r="AN120" i="2"/>
  <c r="AM120" i="2"/>
  <c r="AL120" i="2"/>
  <c r="AK120" i="2"/>
  <c r="AJ120" i="2"/>
  <c r="AI120" i="2"/>
  <c r="AH120" i="2"/>
  <c r="AG120" i="2"/>
  <c r="AF120" i="2"/>
  <c r="AE120" i="2"/>
  <c r="AD120" i="2"/>
  <c r="AC120" i="2"/>
  <c r="AB120" i="2"/>
  <c r="AA120" i="2"/>
  <c r="Z120" i="2"/>
  <c r="Y120" i="2"/>
  <c r="X120" i="2"/>
  <c r="W120" i="2"/>
  <c r="V120" i="2"/>
  <c r="U120" i="2"/>
  <c r="T120" i="2"/>
  <c r="S120" i="2"/>
  <c r="R120" i="2"/>
  <c r="Q120" i="2"/>
  <c r="C120" i="2"/>
  <c r="N119" i="2"/>
  <c r="M119" i="2"/>
  <c r="L119" i="2"/>
  <c r="K119" i="2"/>
  <c r="J119" i="2"/>
  <c r="I119" i="2"/>
  <c r="H119" i="2"/>
  <c r="G119" i="2"/>
  <c r="F119" i="2"/>
  <c r="E119" i="2"/>
  <c r="D119" i="2"/>
  <c r="C119" i="2"/>
  <c r="B119" i="2"/>
  <c r="O118" i="2"/>
  <c r="N118" i="2"/>
  <c r="M118" i="2"/>
  <c r="L118" i="2"/>
  <c r="K118" i="2"/>
  <c r="J118" i="2"/>
  <c r="I118" i="2"/>
  <c r="H118" i="2"/>
  <c r="G118" i="2"/>
  <c r="F118" i="2"/>
  <c r="E118" i="2"/>
  <c r="E120" i="2" s="1"/>
  <c r="D118" i="2"/>
  <c r="D120" i="2" s="1"/>
  <c r="C118" i="2"/>
  <c r="B118" i="2"/>
  <c r="O117" i="2"/>
  <c r="N117" i="2"/>
  <c r="M117" i="2"/>
  <c r="L117" i="2"/>
  <c r="K117" i="2"/>
  <c r="K120" i="2" s="1"/>
  <c r="J117" i="2"/>
  <c r="J120" i="2" s="1"/>
  <c r="I117" i="2"/>
  <c r="I120" i="2" s="1"/>
  <c r="H117" i="2"/>
  <c r="G117" i="2"/>
  <c r="F117" i="2"/>
  <c r="E117" i="2"/>
  <c r="D117" i="2"/>
  <c r="C117" i="2"/>
  <c r="B117" i="2"/>
  <c r="O116" i="2"/>
  <c r="N116" i="2"/>
  <c r="M116" i="2"/>
  <c r="L116" i="2"/>
  <c r="K116" i="2"/>
  <c r="J116" i="2"/>
  <c r="I116" i="2"/>
  <c r="H116" i="2"/>
  <c r="H120" i="2" s="1"/>
  <c r="G116" i="2"/>
  <c r="F116" i="2"/>
  <c r="E116" i="2"/>
  <c r="D116" i="2"/>
  <c r="C116" i="2"/>
  <c r="B116" i="2"/>
  <c r="B120" i="2" s="1"/>
  <c r="AO115" i="2"/>
  <c r="AN115" i="2"/>
  <c r="AM115" i="2"/>
  <c r="AL115" i="2"/>
  <c r="AK115" i="2"/>
  <c r="AJ115" i="2"/>
  <c r="AI115" i="2"/>
  <c r="AH115" i="2"/>
  <c r="AG115" i="2"/>
  <c r="AF115" i="2"/>
  <c r="AE115" i="2"/>
  <c r="AD115" i="2"/>
  <c r="AC115" i="2"/>
  <c r="AB115" i="2"/>
  <c r="AA115" i="2"/>
  <c r="Z115" i="2"/>
  <c r="Y115" i="2"/>
  <c r="X115" i="2"/>
  <c r="W115" i="2"/>
  <c r="V115" i="2"/>
  <c r="U115" i="2"/>
  <c r="T115" i="2"/>
  <c r="S115" i="2"/>
  <c r="R115" i="2"/>
  <c r="Q115" i="2"/>
  <c r="P115" i="2"/>
  <c r="O115" i="2"/>
  <c r="N115" i="2"/>
  <c r="M115" i="2"/>
  <c r="L115" i="2"/>
  <c r="K115" i="2"/>
  <c r="J115" i="2"/>
  <c r="I115" i="2"/>
  <c r="H115" i="2"/>
  <c r="G115" i="2"/>
  <c r="F115" i="2"/>
  <c r="E115" i="2"/>
  <c r="D115" i="2"/>
  <c r="C115" i="2"/>
  <c r="B115" i="2"/>
  <c r="T113" i="2"/>
  <c r="AO113" i="2"/>
  <c r="AH113" i="2"/>
  <c r="AH121" i="2" s="1"/>
  <c r="AG113" i="2"/>
  <c r="AG121" i="2" s="1"/>
  <c r="AF113" i="2"/>
  <c r="AO108" i="2"/>
  <c r="AN108" i="2"/>
  <c r="AM108" i="2"/>
  <c r="AL108" i="2"/>
  <c r="AK108" i="2"/>
  <c r="AJ108" i="2"/>
  <c r="AI108" i="2"/>
  <c r="AH108" i="2"/>
  <c r="AG108" i="2"/>
  <c r="AF108" i="2"/>
  <c r="AE108" i="2"/>
  <c r="AD108" i="2"/>
  <c r="AC108" i="2"/>
  <c r="AB108" i="2"/>
  <c r="AA108" i="2"/>
  <c r="Z108" i="2"/>
  <c r="Y108" i="2"/>
  <c r="X108" i="2"/>
  <c r="W108" i="2"/>
  <c r="V108" i="2"/>
  <c r="U108" i="2"/>
  <c r="T108" i="2"/>
  <c r="S108" i="2"/>
  <c r="R108" i="2"/>
  <c r="Q108" i="2"/>
  <c r="P108" i="2"/>
  <c r="O108" i="2"/>
  <c r="N108" i="2"/>
  <c r="M108" i="2"/>
  <c r="L108" i="2"/>
  <c r="K108" i="2"/>
  <c r="J108" i="2"/>
  <c r="I108" i="2"/>
  <c r="H108" i="2"/>
  <c r="G108" i="2"/>
  <c r="F108" i="2"/>
  <c r="E108" i="2"/>
  <c r="D108" i="2"/>
  <c r="C108" i="2"/>
  <c r="B108" i="2"/>
  <c r="N105" i="2"/>
  <c r="L105" i="2"/>
  <c r="J105" i="2"/>
  <c r="AD104" i="2"/>
  <c r="DN15" i="3" s="1"/>
  <c r="Y104" i="2"/>
  <c r="CT15" i="3" s="1"/>
  <c r="X104" i="2"/>
  <c r="CP15" i="3" s="1"/>
  <c r="U104" i="2"/>
  <c r="CD15" i="3" s="1"/>
  <c r="T104" i="2"/>
  <c r="BZ15" i="3" s="1"/>
  <c r="N104" i="2"/>
  <c r="M104" i="2"/>
  <c r="L104" i="2"/>
  <c r="K104" i="2"/>
  <c r="J104" i="2"/>
  <c r="I104" i="2"/>
  <c r="H104" i="2"/>
  <c r="G104" i="2"/>
  <c r="F104" i="2"/>
  <c r="E104" i="2"/>
  <c r="D104" i="2"/>
  <c r="D105" i="2" s="1"/>
  <c r="C104" i="2"/>
  <c r="B104" i="2"/>
  <c r="N103" i="2"/>
  <c r="M103" i="2"/>
  <c r="L103" i="2"/>
  <c r="K103" i="2"/>
  <c r="J103" i="2"/>
  <c r="I103" i="2"/>
  <c r="H103" i="2"/>
  <c r="G103" i="2"/>
  <c r="F103" i="2"/>
  <c r="E103" i="2"/>
  <c r="D103" i="2"/>
  <c r="C103" i="2"/>
  <c r="B103" i="2"/>
  <c r="O102" i="2"/>
  <c r="N102" i="2"/>
  <c r="M102" i="2"/>
  <c r="L102" i="2"/>
  <c r="K102" i="2"/>
  <c r="J102" i="2"/>
  <c r="I102" i="2"/>
  <c r="H102" i="2"/>
  <c r="G102" i="2"/>
  <c r="F102" i="2"/>
  <c r="E102" i="2"/>
  <c r="D102" i="2"/>
  <c r="C102" i="2"/>
  <c r="C105" i="2" s="1"/>
  <c r="B102" i="2"/>
  <c r="B105" i="2" s="1"/>
  <c r="AO101" i="2"/>
  <c r="O101" i="2"/>
  <c r="N101" i="2"/>
  <c r="M101" i="2"/>
  <c r="M105" i="2" s="1"/>
  <c r="L101" i="2"/>
  <c r="K101" i="2"/>
  <c r="J101" i="2"/>
  <c r="I101" i="2"/>
  <c r="H101" i="2"/>
  <c r="H105" i="2" s="1"/>
  <c r="G101" i="2"/>
  <c r="F101" i="2"/>
  <c r="E101" i="2"/>
  <c r="E105" i="2" s="1"/>
  <c r="D101" i="2"/>
  <c r="C101" i="2"/>
  <c r="B101" i="2"/>
  <c r="AO100" i="2"/>
  <c r="AN100" i="2"/>
  <c r="AM100" i="2"/>
  <c r="AL100" i="2"/>
  <c r="AK100" i="2"/>
  <c r="AJ100" i="2"/>
  <c r="AI100" i="2"/>
  <c r="AH100" i="2"/>
  <c r="AG100" i="2"/>
  <c r="AF100" i="2"/>
  <c r="AE100" i="2"/>
  <c r="AD100" i="2"/>
  <c r="AC100" i="2"/>
  <c r="AB100" i="2"/>
  <c r="AA100" i="2"/>
  <c r="Z100" i="2"/>
  <c r="Y100" i="2"/>
  <c r="X100" i="2"/>
  <c r="W100" i="2"/>
  <c r="V100" i="2"/>
  <c r="U100" i="2"/>
  <c r="T100" i="2"/>
  <c r="S100" i="2"/>
  <c r="R100" i="2"/>
  <c r="Q100" i="2"/>
  <c r="P100" i="2"/>
  <c r="O100" i="2"/>
  <c r="N100" i="2"/>
  <c r="M100" i="2"/>
  <c r="L100" i="2"/>
  <c r="K100" i="2"/>
  <c r="J100" i="2"/>
  <c r="I100" i="2"/>
  <c r="H100" i="2"/>
  <c r="G100" i="2"/>
  <c r="F100" i="2"/>
  <c r="E100" i="2"/>
  <c r="D100" i="2"/>
  <c r="C100" i="2"/>
  <c r="B100" i="2"/>
  <c r="AO104" i="2"/>
  <c r="AN98" i="2"/>
  <c r="AM104" i="2"/>
  <c r="AL104" i="2"/>
  <c r="AK104" i="2"/>
  <c r="AJ104" i="2"/>
  <c r="AI104" i="2"/>
  <c r="AH104" i="2"/>
  <c r="AG104" i="2"/>
  <c r="AF104" i="2"/>
  <c r="AE104" i="2"/>
  <c r="AC104" i="2"/>
  <c r="AB104" i="2"/>
  <c r="DF15" i="3" s="1"/>
  <c r="AA104" i="2"/>
  <c r="DB15" i="3" s="1"/>
  <c r="Z104" i="2"/>
  <c r="CX15" i="3" s="1"/>
  <c r="W104" i="2"/>
  <c r="CL15" i="3" s="1"/>
  <c r="V104" i="2"/>
  <c r="CH15" i="3" s="1"/>
  <c r="S104" i="2"/>
  <c r="BV15" i="3" s="1"/>
  <c r="R104" i="2"/>
  <c r="BR15" i="3" s="1"/>
  <c r="Q104" i="2"/>
  <c r="BN15" i="3" s="1"/>
  <c r="P104" i="2"/>
  <c r="BJ15" i="3" s="1"/>
  <c r="O104" i="2"/>
  <c r="BF15" i="3" s="1"/>
  <c r="AO103" i="2"/>
  <c r="AN103" i="2"/>
  <c r="AM103" i="2"/>
  <c r="AL103" i="2"/>
  <c r="AK103" i="2"/>
  <c r="AJ103" i="2"/>
  <c r="AI103" i="2"/>
  <c r="AH103" i="2"/>
  <c r="AG103" i="2"/>
  <c r="AF98" i="2"/>
  <c r="AE103" i="2"/>
  <c r="DQ15" i="3" s="1"/>
  <c r="AD103" i="2"/>
  <c r="DM15" i="3" s="1"/>
  <c r="AC103" i="2"/>
  <c r="DI15" i="3" s="1"/>
  <c r="AB103" i="2"/>
  <c r="DE15" i="3" s="1"/>
  <c r="AA103" i="2"/>
  <c r="DA15" i="3" s="1"/>
  <c r="Z103" i="2"/>
  <c r="CW15" i="3" s="1"/>
  <c r="Y103" i="2"/>
  <c r="CS15" i="3" s="1"/>
  <c r="X103" i="2"/>
  <c r="CO15" i="3" s="1"/>
  <c r="W103" i="2"/>
  <c r="CK15" i="3" s="1"/>
  <c r="V103" i="2"/>
  <c r="CG15" i="3" s="1"/>
  <c r="U103" i="2"/>
  <c r="CC15" i="3" s="1"/>
  <c r="T103" i="2"/>
  <c r="BY15" i="3" s="1"/>
  <c r="S103" i="2"/>
  <c r="BU15" i="3" s="1"/>
  <c r="R103" i="2"/>
  <c r="BQ15" i="3" s="1"/>
  <c r="Q103" i="2"/>
  <c r="BM15" i="3" s="1"/>
  <c r="P103" i="2"/>
  <c r="BI15" i="3" s="1"/>
  <c r="O103" i="2"/>
  <c r="J98" i="2"/>
  <c r="H98" i="2"/>
  <c r="AO102" i="2"/>
  <c r="AN102" i="2"/>
  <c r="AM102" i="2"/>
  <c r="AL102" i="2"/>
  <c r="AK102" i="2"/>
  <c r="AJ102" i="2"/>
  <c r="AI102" i="2"/>
  <c r="AH102" i="2"/>
  <c r="AG102" i="2"/>
  <c r="AF102" i="2"/>
  <c r="AE102" i="2"/>
  <c r="DP15" i="3" s="1"/>
  <c r="AD102" i="2"/>
  <c r="AC102" i="2"/>
  <c r="DH15" i="3" s="1"/>
  <c r="AB102" i="2"/>
  <c r="DD15" i="3" s="1"/>
  <c r="AA102" i="2"/>
  <c r="CZ15" i="3" s="1"/>
  <c r="Z102" i="2"/>
  <c r="CV15" i="3" s="1"/>
  <c r="Y102" i="2"/>
  <c r="CR15" i="3" s="1"/>
  <c r="X102" i="2"/>
  <c r="CN15" i="3" s="1"/>
  <c r="W102" i="2"/>
  <c r="CJ15" i="3" s="1"/>
  <c r="V102" i="2"/>
  <c r="CF15" i="3" s="1"/>
  <c r="U102" i="2"/>
  <c r="CB15" i="3" s="1"/>
  <c r="T102" i="2"/>
  <c r="BX15" i="3" s="1"/>
  <c r="R102" i="2"/>
  <c r="BP15" i="3" s="1"/>
  <c r="Q102" i="2"/>
  <c r="BL15" i="3" s="1"/>
  <c r="P102" i="2"/>
  <c r="BH15" i="3" s="1"/>
  <c r="F98" i="2"/>
  <c r="D98" i="2"/>
  <c r="AN101" i="2"/>
  <c r="AJ101" i="2"/>
  <c r="AI101" i="2"/>
  <c r="AH101" i="2"/>
  <c r="AG101" i="2"/>
  <c r="AF101" i="2"/>
  <c r="AE101" i="2"/>
  <c r="AD101" i="2"/>
  <c r="DK15" i="3" s="1"/>
  <c r="AC101" i="2"/>
  <c r="DG15" i="3" s="1"/>
  <c r="AB101" i="2"/>
  <c r="DC15" i="3" s="1"/>
  <c r="X101" i="2"/>
  <c r="CM15" i="3" s="1"/>
  <c r="V98" i="2"/>
  <c r="T101" i="2"/>
  <c r="S101" i="2"/>
  <c r="Q101" i="2"/>
  <c r="AO93" i="2"/>
  <c r="AN93" i="2"/>
  <c r="AM93" i="2"/>
  <c r="AL93" i="2"/>
  <c r="AK93" i="2"/>
  <c r="AJ93" i="2"/>
  <c r="AI93" i="2"/>
  <c r="AH93" i="2"/>
  <c r="AG93" i="2"/>
  <c r="AF93" i="2"/>
  <c r="AE93" i="2"/>
  <c r="AD93" i="2"/>
  <c r="AC93" i="2"/>
  <c r="AB93" i="2"/>
  <c r="AA93" i="2"/>
  <c r="Z93" i="2"/>
  <c r="Y93" i="2"/>
  <c r="X93" i="2"/>
  <c r="W93" i="2"/>
  <c r="V93" i="2"/>
  <c r="U93" i="2"/>
  <c r="T93" i="2"/>
  <c r="S93" i="2"/>
  <c r="R93" i="2"/>
  <c r="Q93" i="2"/>
  <c r="P93" i="2"/>
  <c r="O93" i="2"/>
  <c r="N93" i="2"/>
  <c r="M93" i="2"/>
  <c r="L93" i="2"/>
  <c r="K93" i="2"/>
  <c r="J93" i="2"/>
  <c r="I93" i="2"/>
  <c r="H93" i="2"/>
  <c r="G93" i="2"/>
  <c r="F93" i="2"/>
  <c r="E93" i="2"/>
  <c r="D93" i="2"/>
  <c r="C93" i="2"/>
  <c r="B93" i="2"/>
  <c r="L90" i="2"/>
  <c r="B90" i="2"/>
  <c r="N89" i="2"/>
  <c r="M89" i="2"/>
  <c r="L89" i="2"/>
  <c r="K89" i="2"/>
  <c r="J89" i="2"/>
  <c r="I89" i="2"/>
  <c r="H89" i="2"/>
  <c r="G89" i="2"/>
  <c r="F89" i="2"/>
  <c r="E89" i="2"/>
  <c r="D89" i="2"/>
  <c r="C89" i="2"/>
  <c r="B89" i="2"/>
  <c r="N88" i="2"/>
  <c r="M88" i="2"/>
  <c r="L88" i="2"/>
  <c r="K88" i="2"/>
  <c r="J88" i="2"/>
  <c r="I88" i="2"/>
  <c r="H88" i="2"/>
  <c r="G88" i="2"/>
  <c r="F88" i="2"/>
  <c r="E88" i="2"/>
  <c r="D88" i="2"/>
  <c r="C88" i="2"/>
  <c r="B88" i="2"/>
  <c r="O87" i="2"/>
  <c r="N87" i="2"/>
  <c r="M87" i="2"/>
  <c r="L87" i="2"/>
  <c r="K87" i="2"/>
  <c r="J87" i="2"/>
  <c r="I87" i="2"/>
  <c r="H87" i="2"/>
  <c r="G87" i="2"/>
  <c r="F87" i="2"/>
  <c r="E87" i="2"/>
  <c r="E90" i="2" s="1"/>
  <c r="D87" i="2"/>
  <c r="D90" i="2" s="1"/>
  <c r="C87" i="2"/>
  <c r="B87" i="2"/>
  <c r="O86" i="2"/>
  <c r="N86" i="2"/>
  <c r="M86" i="2"/>
  <c r="L86" i="2"/>
  <c r="K86" i="2"/>
  <c r="J86" i="2"/>
  <c r="I86" i="2"/>
  <c r="H86" i="2"/>
  <c r="G86" i="2"/>
  <c r="F86" i="2"/>
  <c r="F90" i="2" s="1"/>
  <c r="E86" i="2"/>
  <c r="D86" i="2"/>
  <c r="C86" i="2"/>
  <c r="C90" i="2" s="1"/>
  <c r="B86" i="2"/>
  <c r="AO85" i="2"/>
  <c r="AN85" i="2"/>
  <c r="AM85" i="2"/>
  <c r="AL85" i="2"/>
  <c r="AK85" i="2"/>
  <c r="AJ85" i="2"/>
  <c r="AI85" i="2"/>
  <c r="AH85" i="2"/>
  <c r="AG85" i="2"/>
  <c r="AF85" i="2"/>
  <c r="AE85" i="2"/>
  <c r="AD85" i="2"/>
  <c r="AC85" i="2"/>
  <c r="AB85" i="2"/>
  <c r="AA85" i="2"/>
  <c r="Z85" i="2"/>
  <c r="Y85" i="2"/>
  <c r="X85" i="2"/>
  <c r="W85" i="2"/>
  <c r="V85" i="2"/>
  <c r="U85" i="2"/>
  <c r="T85" i="2"/>
  <c r="S85" i="2"/>
  <c r="R85" i="2"/>
  <c r="Q85" i="2"/>
  <c r="P85" i="2"/>
  <c r="O85" i="2"/>
  <c r="N85" i="2"/>
  <c r="M85" i="2"/>
  <c r="L85" i="2"/>
  <c r="K85" i="2"/>
  <c r="J85" i="2"/>
  <c r="I85" i="2"/>
  <c r="H85" i="2"/>
  <c r="G85" i="2"/>
  <c r="F85" i="2"/>
  <c r="E85" i="2"/>
  <c r="D85" i="2"/>
  <c r="C85" i="2"/>
  <c r="B85" i="2"/>
  <c r="W83" i="2"/>
  <c r="AL83" i="2"/>
  <c r="N142" i="2"/>
  <c r="M83" i="2"/>
  <c r="K142" i="2"/>
  <c r="AO78" i="2"/>
  <c r="AN78" i="2"/>
  <c r="AM78" i="2"/>
  <c r="AL78" i="2"/>
  <c r="AK78" i="2"/>
  <c r="AJ78" i="2"/>
  <c r="AI78" i="2"/>
  <c r="AH78" i="2"/>
  <c r="AG78" i="2"/>
  <c r="AF78" i="2"/>
  <c r="AE78" i="2"/>
  <c r="AD78" i="2"/>
  <c r="AC78" i="2"/>
  <c r="AB78" i="2"/>
  <c r="AA78" i="2"/>
  <c r="Z78" i="2"/>
  <c r="Y78" i="2"/>
  <c r="X78" i="2"/>
  <c r="W78" i="2"/>
  <c r="V78" i="2"/>
  <c r="U78" i="2"/>
  <c r="T78" i="2"/>
  <c r="S78" i="2"/>
  <c r="R78" i="2"/>
  <c r="Q78" i="2"/>
  <c r="P78" i="2"/>
  <c r="O78" i="2"/>
  <c r="N78" i="2"/>
  <c r="M78" i="2"/>
  <c r="L78" i="2"/>
  <c r="K78" i="2"/>
  <c r="J78" i="2"/>
  <c r="I78" i="2"/>
  <c r="H78" i="2"/>
  <c r="G78" i="2"/>
  <c r="F78" i="2"/>
  <c r="E78" i="2"/>
  <c r="D78" i="2"/>
  <c r="C78" i="2"/>
  <c r="B78" i="2"/>
  <c r="K75" i="2"/>
  <c r="J75" i="2"/>
  <c r="C75" i="2"/>
  <c r="N74" i="2"/>
  <c r="M74" i="2"/>
  <c r="L74" i="2"/>
  <c r="K74" i="2"/>
  <c r="J74" i="2"/>
  <c r="I74" i="2"/>
  <c r="H74" i="2"/>
  <c r="G74" i="2"/>
  <c r="F74" i="2"/>
  <c r="E74" i="2"/>
  <c r="E137" i="2" s="1"/>
  <c r="D74" i="2"/>
  <c r="D137" i="2" s="1"/>
  <c r="C74" i="2"/>
  <c r="B74" i="2"/>
  <c r="N73" i="2"/>
  <c r="N167" i="2" s="1"/>
  <c r="M73" i="2"/>
  <c r="L73" i="2"/>
  <c r="K73" i="2"/>
  <c r="J73" i="2"/>
  <c r="I73" i="2"/>
  <c r="H73" i="2"/>
  <c r="G73" i="2"/>
  <c r="F73" i="2"/>
  <c r="E73" i="2"/>
  <c r="E136" i="2" s="1"/>
  <c r="D73" i="2"/>
  <c r="C73" i="2"/>
  <c r="C136" i="2" s="1"/>
  <c r="B73" i="2"/>
  <c r="B136" i="2" s="1"/>
  <c r="O72" i="2"/>
  <c r="N72" i="2"/>
  <c r="M72" i="2"/>
  <c r="L72" i="2"/>
  <c r="K72" i="2"/>
  <c r="J72" i="2"/>
  <c r="I72" i="2"/>
  <c r="H72" i="2"/>
  <c r="G72" i="2"/>
  <c r="F72" i="2"/>
  <c r="F135" i="2" s="1"/>
  <c r="E72" i="2"/>
  <c r="D72" i="2"/>
  <c r="C72" i="2"/>
  <c r="B72" i="2"/>
  <c r="O71" i="2"/>
  <c r="N71" i="2"/>
  <c r="M71" i="2"/>
  <c r="L71" i="2"/>
  <c r="K71" i="2"/>
  <c r="J71" i="2"/>
  <c r="I71" i="2"/>
  <c r="H71" i="2"/>
  <c r="G71" i="2"/>
  <c r="F71" i="2"/>
  <c r="E71" i="2"/>
  <c r="D71" i="2"/>
  <c r="C71" i="2"/>
  <c r="B71" i="2"/>
  <c r="AO70" i="2"/>
  <c r="AN70" i="2"/>
  <c r="AM70" i="2"/>
  <c r="AL70" i="2"/>
  <c r="AK70" i="2"/>
  <c r="AJ70" i="2"/>
  <c r="AI70" i="2"/>
  <c r="AH70" i="2"/>
  <c r="AG70" i="2"/>
  <c r="AF70" i="2"/>
  <c r="AE70" i="2"/>
  <c r="AD70" i="2"/>
  <c r="AC70" i="2"/>
  <c r="AB70" i="2"/>
  <c r="AA70" i="2"/>
  <c r="Z70" i="2"/>
  <c r="Y70" i="2"/>
  <c r="X70" i="2"/>
  <c r="W70" i="2"/>
  <c r="V70" i="2"/>
  <c r="U70" i="2"/>
  <c r="T70" i="2"/>
  <c r="S70" i="2"/>
  <c r="R70" i="2"/>
  <c r="Q70" i="2"/>
  <c r="P70" i="2"/>
  <c r="O70" i="2"/>
  <c r="N70" i="2"/>
  <c r="M70" i="2"/>
  <c r="L70" i="2"/>
  <c r="K70" i="2"/>
  <c r="J70" i="2"/>
  <c r="I70" i="2"/>
  <c r="H70" i="2"/>
  <c r="G70" i="2"/>
  <c r="F70" i="2"/>
  <c r="E70" i="2"/>
  <c r="D70" i="2"/>
  <c r="C70" i="2"/>
  <c r="B70" i="2"/>
  <c r="N137" i="2"/>
  <c r="K76" i="2"/>
  <c r="J76" i="2"/>
  <c r="I76" i="2"/>
  <c r="N135" i="2"/>
  <c r="B135" i="2"/>
  <c r="X68" i="2"/>
  <c r="W68" i="2"/>
  <c r="J134" i="2"/>
  <c r="I134" i="2"/>
  <c r="F134" i="2"/>
  <c r="AO63" i="2"/>
  <c r="AN63" i="2"/>
  <c r="AM63" i="2"/>
  <c r="AL63" i="2"/>
  <c r="AK63" i="2"/>
  <c r="AJ63" i="2"/>
  <c r="AI63" i="2"/>
  <c r="AH63" i="2"/>
  <c r="AG63" i="2"/>
  <c r="AF63" i="2"/>
  <c r="AE63" i="2"/>
  <c r="AD63" i="2"/>
  <c r="AC63" i="2"/>
  <c r="AB63" i="2"/>
  <c r="AA63" i="2"/>
  <c r="Z63" i="2"/>
  <c r="Y63" i="2"/>
  <c r="X63" i="2"/>
  <c r="W63" i="2"/>
  <c r="V63" i="2"/>
  <c r="U63" i="2"/>
  <c r="T63" i="2"/>
  <c r="S63" i="2"/>
  <c r="R63" i="2"/>
  <c r="Q63" i="2"/>
  <c r="P63" i="2"/>
  <c r="O63" i="2"/>
  <c r="N63" i="2"/>
  <c r="M63" i="2"/>
  <c r="L63" i="2"/>
  <c r="K63" i="2"/>
  <c r="J63" i="2"/>
  <c r="I63" i="2"/>
  <c r="H63" i="2"/>
  <c r="G63" i="2"/>
  <c r="F63" i="2"/>
  <c r="E63" i="2"/>
  <c r="D63" i="2"/>
  <c r="C63" i="2"/>
  <c r="B63" i="2"/>
  <c r="N60" i="2"/>
  <c r="M60" i="2"/>
  <c r="L60" i="2"/>
  <c r="K60" i="2"/>
  <c r="N59" i="2"/>
  <c r="M59" i="2"/>
  <c r="L59" i="2"/>
  <c r="K59" i="2"/>
  <c r="J59" i="2"/>
  <c r="I59" i="2"/>
  <c r="H59" i="2"/>
  <c r="G59" i="2"/>
  <c r="F59" i="2"/>
  <c r="E59" i="2"/>
  <c r="D59" i="2"/>
  <c r="C59" i="2"/>
  <c r="B59" i="2"/>
  <c r="N58" i="2"/>
  <c r="M58" i="2"/>
  <c r="L58" i="2"/>
  <c r="K58" i="2"/>
  <c r="J58" i="2"/>
  <c r="I58" i="2"/>
  <c r="H58" i="2"/>
  <c r="G58" i="2"/>
  <c r="F58" i="2"/>
  <c r="F128" i="2" s="1"/>
  <c r="E58" i="2"/>
  <c r="E128" i="2" s="1"/>
  <c r="D58" i="2"/>
  <c r="C58" i="2"/>
  <c r="B58" i="2"/>
  <c r="O57" i="2"/>
  <c r="O127" i="2" s="1"/>
  <c r="N57" i="2"/>
  <c r="M57" i="2"/>
  <c r="L57" i="2"/>
  <c r="K57" i="2"/>
  <c r="J57" i="2"/>
  <c r="I57" i="2"/>
  <c r="H57" i="2"/>
  <c r="G57" i="2"/>
  <c r="F57" i="2"/>
  <c r="E57" i="2"/>
  <c r="D57" i="2"/>
  <c r="C57" i="2"/>
  <c r="B57" i="2"/>
  <c r="O56" i="2"/>
  <c r="N56" i="2"/>
  <c r="M56" i="2"/>
  <c r="L56" i="2"/>
  <c r="L126" i="2" s="1"/>
  <c r="K56" i="2"/>
  <c r="K126" i="2" s="1"/>
  <c r="J56" i="2"/>
  <c r="I56" i="2"/>
  <c r="H56" i="2"/>
  <c r="G56" i="2"/>
  <c r="F56" i="2"/>
  <c r="E56" i="2"/>
  <c r="D56" i="2"/>
  <c r="C56" i="2"/>
  <c r="B56" i="2"/>
  <c r="AO55" i="2"/>
  <c r="AN55" i="2"/>
  <c r="AM55" i="2"/>
  <c r="AL55" i="2"/>
  <c r="AK55" i="2"/>
  <c r="AJ55" i="2"/>
  <c r="AI55" i="2"/>
  <c r="AH55" i="2"/>
  <c r="AG55" i="2"/>
  <c r="AF55" i="2"/>
  <c r="AE55" i="2"/>
  <c r="AD55" i="2"/>
  <c r="AC55" i="2"/>
  <c r="AB55" i="2"/>
  <c r="AA55" i="2"/>
  <c r="Z55" i="2"/>
  <c r="Y55" i="2"/>
  <c r="X55" i="2"/>
  <c r="W55" i="2"/>
  <c r="V55" i="2"/>
  <c r="U55" i="2"/>
  <c r="T55" i="2"/>
  <c r="S55" i="2"/>
  <c r="R55" i="2"/>
  <c r="Q55" i="2"/>
  <c r="P55" i="2"/>
  <c r="O55" i="2"/>
  <c r="N55" i="2"/>
  <c r="M55" i="2"/>
  <c r="L55" i="2"/>
  <c r="K55" i="2"/>
  <c r="J55" i="2"/>
  <c r="I55" i="2"/>
  <c r="H55" i="2"/>
  <c r="G55" i="2"/>
  <c r="F55" i="2"/>
  <c r="E55" i="2"/>
  <c r="D55" i="2"/>
  <c r="C55" i="2"/>
  <c r="B55" i="2"/>
  <c r="K54" i="2"/>
  <c r="I54" i="2"/>
  <c r="K153" i="2"/>
  <c r="B129" i="2"/>
  <c r="N128" i="2"/>
  <c r="M128" i="2"/>
  <c r="L128" i="2"/>
  <c r="M127" i="2"/>
  <c r="J127" i="2"/>
  <c r="I127" i="2"/>
  <c r="Q53" i="2"/>
  <c r="M54" i="2"/>
  <c r="L54" i="2"/>
  <c r="J54" i="2"/>
  <c r="H54" i="2"/>
  <c r="F54" i="2"/>
  <c r="E54" i="2"/>
  <c r="D126" i="2"/>
  <c r="AO48" i="2"/>
  <c r="AN48" i="2"/>
  <c r="AM48" i="2"/>
  <c r="AL48" i="2"/>
  <c r="AK48" i="2"/>
  <c r="AJ48" i="2"/>
  <c r="AI48" i="2"/>
  <c r="AH48" i="2"/>
  <c r="AG48" i="2"/>
  <c r="AF48" i="2"/>
  <c r="AE48" i="2"/>
  <c r="AD48" i="2"/>
  <c r="AC48" i="2"/>
  <c r="AB48" i="2"/>
  <c r="AA48" i="2"/>
  <c r="Z48" i="2"/>
  <c r="Y48" i="2"/>
  <c r="X48" i="2"/>
  <c r="W48" i="2"/>
  <c r="V48" i="2"/>
  <c r="U48" i="2"/>
  <c r="T48" i="2"/>
  <c r="S48" i="2"/>
  <c r="R48" i="2"/>
  <c r="Q48" i="2"/>
  <c r="P48" i="2"/>
  <c r="O48" i="2"/>
  <c r="N48" i="2"/>
  <c r="M48" i="2"/>
  <c r="L48" i="2"/>
  <c r="K48" i="2"/>
  <c r="J48" i="2"/>
  <c r="I48" i="2"/>
  <c r="H48" i="2"/>
  <c r="G48" i="2"/>
  <c r="F48" i="2"/>
  <c r="E48" i="2"/>
  <c r="D48" i="2"/>
  <c r="C48" i="2"/>
  <c r="B48" i="2"/>
  <c r="G45" i="2"/>
  <c r="F45" i="2"/>
  <c r="C45" i="2"/>
  <c r="B45" i="2"/>
  <c r="N44" i="2"/>
  <c r="M44" i="2"/>
  <c r="BN11" i="3" s="1"/>
  <c r="L44" i="2"/>
  <c r="K44" i="2"/>
  <c r="J44" i="2"/>
  <c r="I44" i="2"/>
  <c r="H44" i="2"/>
  <c r="G44" i="2"/>
  <c r="F44" i="2"/>
  <c r="E44" i="2"/>
  <c r="D44" i="2"/>
  <c r="C44" i="2"/>
  <c r="B44" i="2"/>
  <c r="N43" i="2"/>
  <c r="M43" i="2"/>
  <c r="DA11" i="3" s="1"/>
  <c r="L43" i="2"/>
  <c r="K43" i="2"/>
  <c r="J43" i="2"/>
  <c r="I43" i="2"/>
  <c r="H43" i="2"/>
  <c r="G43" i="2"/>
  <c r="F43" i="2"/>
  <c r="E43" i="2"/>
  <c r="D43" i="2"/>
  <c r="C43" i="2"/>
  <c r="B43" i="2"/>
  <c r="O42" i="2"/>
  <c r="N42" i="2"/>
  <c r="M42" i="2"/>
  <c r="DH11" i="3" s="1"/>
  <c r="L42" i="2"/>
  <c r="K42" i="2"/>
  <c r="J42" i="2"/>
  <c r="J45" i="2" s="1"/>
  <c r="I42" i="2"/>
  <c r="H42" i="2"/>
  <c r="H45" i="2" s="1"/>
  <c r="G42" i="2"/>
  <c r="F42" i="2"/>
  <c r="E42" i="2"/>
  <c r="D42" i="2"/>
  <c r="C42" i="2"/>
  <c r="B42" i="2"/>
  <c r="O41" i="2"/>
  <c r="N41" i="2"/>
  <c r="M41" i="2"/>
  <c r="DG11" i="3" s="1"/>
  <c r="L41" i="2"/>
  <c r="K41" i="2"/>
  <c r="J41" i="2"/>
  <c r="I41" i="2"/>
  <c r="H41" i="2"/>
  <c r="G41" i="2"/>
  <c r="F41" i="2"/>
  <c r="E41" i="2"/>
  <c r="E45" i="2" s="1"/>
  <c r="D41" i="2"/>
  <c r="C41" i="2"/>
  <c r="B41" i="2"/>
  <c r="AO40" i="2"/>
  <c r="AN40" i="2"/>
  <c r="AM40" i="2"/>
  <c r="AL40" i="2"/>
  <c r="AK40" i="2"/>
  <c r="AJ40" i="2"/>
  <c r="AI40" i="2"/>
  <c r="AH40" i="2"/>
  <c r="AG40" i="2"/>
  <c r="AF40" i="2"/>
  <c r="AE40" i="2"/>
  <c r="AD40" i="2"/>
  <c r="AC40" i="2"/>
  <c r="AB40" i="2"/>
  <c r="AA40" i="2"/>
  <c r="Z40" i="2"/>
  <c r="Y40" i="2"/>
  <c r="X40" i="2"/>
  <c r="W40" i="2"/>
  <c r="V40" i="2"/>
  <c r="U40" i="2"/>
  <c r="T40" i="2"/>
  <c r="S40" i="2"/>
  <c r="R40" i="2"/>
  <c r="Q40" i="2"/>
  <c r="P40" i="2"/>
  <c r="O40" i="2"/>
  <c r="N40" i="2"/>
  <c r="M40" i="2"/>
  <c r="L40" i="2"/>
  <c r="K40" i="2"/>
  <c r="J40" i="2"/>
  <c r="I40" i="2"/>
  <c r="H40" i="2"/>
  <c r="G40" i="2"/>
  <c r="F40" i="2"/>
  <c r="E40" i="2"/>
  <c r="D40" i="2"/>
  <c r="C40" i="2"/>
  <c r="B40" i="2"/>
  <c r="C38" i="2"/>
  <c r="A39" i="2"/>
  <c r="AF38" i="2"/>
  <c r="J38" i="2"/>
  <c r="B38" i="2"/>
  <c r="AO33" i="2"/>
  <c r="AN33" i="2"/>
  <c r="AM33" i="2"/>
  <c r="AL33" i="2"/>
  <c r="AK33" i="2"/>
  <c r="AJ33" i="2"/>
  <c r="AI33" i="2"/>
  <c r="AH33" i="2"/>
  <c r="AG33" i="2"/>
  <c r="AF33" i="2"/>
  <c r="AE33" i="2"/>
  <c r="AD33" i="2"/>
  <c r="AC33" i="2"/>
  <c r="AB33" i="2"/>
  <c r="AA33" i="2"/>
  <c r="Z33" i="2"/>
  <c r="Y33" i="2"/>
  <c r="X33" i="2"/>
  <c r="W33" i="2"/>
  <c r="V33" i="2"/>
  <c r="U33" i="2"/>
  <c r="T33" i="2"/>
  <c r="S33" i="2"/>
  <c r="R33" i="2"/>
  <c r="Q33" i="2"/>
  <c r="P33" i="2"/>
  <c r="O33" i="2"/>
  <c r="N33" i="2"/>
  <c r="M33" i="2"/>
  <c r="L33" i="2"/>
  <c r="K33" i="2"/>
  <c r="J33" i="2"/>
  <c r="I33" i="2"/>
  <c r="H33" i="2"/>
  <c r="G33" i="2"/>
  <c r="F33" i="2"/>
  <c r="E33" i="2"/>
  <c r="D33" i="2"/>
  <c r="C33" i="2"/>
  <c r="B33" i="2"/>
  <c r="N29" i="2"/>
  <c r="M29" i="2"/>
  <c r="BZ6" i="3" s="1"/>
  <c r="L29" i="2"/>
  <c r="L30" i="2" s="1"/>
  <c r="K29" i="2"/>
  <c r="J29" i="2"/>
  <c r="I29" i="2"/>
  <c r="H29" i="2"/>
  <c r="G29" i="2"/>
  <c r="F29" i="2"/>
  <c r="E29" i="2"/>
  <c r="D29" i="2"/>
  <c r="C29" i="2"/>
  <c r="B29" i="2"/>
  <c r="N28" i="2"/>
  <c r="M28" i="2"/>
  <c r="FA6" i="3" s="1"/>
  <c r="L28" i="2"/>
  <c r="K28" i="2"/>
  <c r="J28" i="2"/>
  <c r="I28" i="2"/>
  <c r="H28" i="2"/>
  <c r="G28" i="2"/>
  <c r="F28" i="2"/>
  <c r="E28" i="2"/>
  <c r="D28" i="2"/>
  <c r="C28" i="2"/>
  <c r="B28" i="2"/>
  <c r="O27" i="2"/>
  <c r="N27" i="2"/>
  <c r="M27" i="2"/>
  <c r="DT6" i="3" s="1"/>
  <c r="L27" i="2"/>
  <c r="K27" i="2"/>
  <c r="J27" i="2"/>
  <c r="I27" i="2"/>
  <c r="H27" i="2"/>
  <c r="H30" i="2" s="1"/>
  <c r="G27" i="2"/>
  <c r="F27" i="2"/>
  <c r="E27" i="2"/>
  <c r="D27" i="2"/>
  <c r="C27" i="2"/>
  <c r="B27" i="2"/>
  <c r="O26" i="2"/>
  <c r="N26" i="2"/>
  <c r="N30" i="2" s="1"/>
  <c r="M26" i="2"/>
  <c r="FC6" i="3" s="1"/>
  <c r="L26" i="2"/>
  <c r="K26" i="2"/>
  <c r="J26" i="2"/>
  <c r="I26" i="2"/>
  <c r="I30" i="2" s="1"/>
  <c r="H26" i="2"/>
  <c r="G26" i="2"/>
  <c r="G30" i="2" s="1"/>
  <c r="F26" i="2"/>
  <c r="E26" i="2"/>
  <c r="D26" i="2"/>
  <c r="C26" i="2"/>
  <c r="B26" i="2"/>
  <c r="B30" i="2" s="1"/>
  <c r="AO25" i="2"/>
  <c r="AN25" i="2"/>
  <c r="AM25" i="2"/>
  <c r="AL25" i="2"/>
  <c r="AK25" i="2"/>
  <c r="AJ25" i="2"/>
  <c r="AI25" i="2"/>
  <c r="AH25" i="2"/>
  <c r="AG25" i="2"/>
  <c r="AF25" i="2"/>
  <c r="AE25" i="2"/>
  <c r="AD25" i="2"/>
  <c r="AC25" i="2"/>
  <c r="AB25" i="2"/>
  <c r="AA25" i="2"/>
  <c r="Z25" i="2"/>
  <c r="Y25" i="2"/>
  <c r="X25" i="2"/>
  <c r="W25" i="2"/>
  <c r="V25" i="2"/>
  <c r="U25" i="2"/>
  <c r="T25" i="2"/>
  <c r="S25" i="2"/>
  <c r="R25" i="2"/>
  <c r="Q25" i="2"/>
  <c r="P25" i="2"/>
  <c r="O25" i="2"/>
  <c r="N25" i="2"/>
  <c r="M25" i="2"/>
  <c r="L25" i="2"/>
  <c r="K25" i="2"/>
  <c r="J25" i="2"/>
  <c r="I25" i="2"/>
  <c r="H25" i="2"/>
  <c r="G25" i="2"/>
  <c r="F25" i="2"/>
  <c r="E25" i="2"/>
  <c r="D25" i="2"/>
  <c r="C25" i="2"/>
  <c r="B25" i="2"/>
  <c r="AO18" i="2"/>
  <c r="AN18" i="2"/>
  <c r="AM18" i="2"/>
  <c r="AL18" i="2"/>
  <c r="AK18" i="2"/>
  <c r="AJ18" i="2"/>
  <c r="AI18" i="2"/>
  <c r="AH18" i="2"/>
  <c r="AG18" i="2"/>
  <c r="AF18" i="2"/>
  <c r="AE18" i="2"/>
  <c r="AD18" i="2"/>
  <c r="AC18" i="2"/>
  <c r="AB18" i="2"/>
  <c r="AA18" i="2"/>
  <c r="Z18" i="2"/>
  <c r="Y18" i="2"/>
  <c r="X18" i="2"/>
  <c r="W18" i="2"/>
  <c r="V18" i="2"/>
  <c r="U18" i="2"/>
  <c r="T18" i="2"/>
  <c r="S18" i="2"/>
  <c r="R18" i="2"/>
  <c r="Q18" i="2"/>
  <c r="P18" i="2"/>
  <c r="O18" i="2"/>
  <c r="N18" i="2"/>
  <c r="M18" i="2"/>
  <c r="L18" i="2"/>
  <c r="K18" i="2"/>
  <c r="J18" i="2"/>
  <c r="I18" i="2"/>
  <c r="H18" i="2"/>
  <c r="G18" i="2"/>
  <c r="F18" i="2"/>
  <c r="E18" i="2"/>
  <c r="D18" i="2"/>
  <c r="C18" i="2"/>
  <c r="B18" i="2"/>
  <c r="N15" i="2"/>
  <c r="M15" i="2"/>
  <c r="L15" i="2"/>
  <c r="N14" i="2"/>
  <c r="M14" i="2"/>
  <c r="DV5" i="3" s="1"/>
  <c r="L14" i="2"/>
  <c r="K14" i="2"/>
  <c r="J14" i="2"/>
  <c r="I14" i="2"/>
  <c r="H14" i="2"/>
  <c r="G14" i="2"/>
  <c r="F14" i="2"/>
  <c r="E14" i="2"/>
  <c r="D14" i="2"/>
  <c r="C14" i="2"/>
  <c r="B14" i="2"/>
  <c r="N13" i="2"/>
  <c r="M13" i="2"/>
  <c r="FB5" i="3" s="1"/>
  <c r="L13" i="2"/>
  <c r="K13" i="2"/>
  <c r="J13" i="2"/>
  <c r="I13" i="2"/>
  <c r="H13" i="2"/>
  <c r="G13" i="2"/>
  <c r="F13" i="2"/>
  <c r="E13" i="2"/>
  <c r="D13" i="2"/>
  <c r="C13" i="2"/>
  <c r="B13" i="2"/>
  <c r="O12" i="2"/>
  <c r="N12" i="2"/>
  <c r="M12" i="2"/>
  <c r="BL5" i="3" s="1"/>
  <c r="L12" i="2"/>
  <c r="K12" i="2"/>
  <c r="J12" i="2"/>
  <c r="I12" i="2"/>
  <c r="H12" i="2"/>
  <c r="G12" i="2"/>
  <c r="F12" i="2"/>
  <c r="E12" i="2"/>
  <c r="D12" i="2"/>
  <c r="C12" i="2"/>
  <c r="B12" i="2"/>
  <c r="O11" i="2"/>
  <c r="N11" i="2"/>
  <c r="M11" i="2"/>
  <c r="DS5" i="3" s="1"/>
  <c r="L11" i="2"/>
  <c r="K11" i="2"/>
  <c r="K15" i="2" s="1"/>
  <c r="J11" i="2"/>
  <c r="J15" i="2" s="1"/>
  <c r="I11" i="2"/>
  <c r="I15" i="2" s="1"/>
  <c r="H11" i="2"/>
  <c r="H15" i="2" s="1"/>
  <c r="G11" i="2"/>
  <c r="F11" i="2"/>
  <c r="E11" i="2"/>
  <c r="D11" i="2"/>
  <c r="C11" i="2"/>
  <c r="C15" i="2" s="1"/>
  <c r="B11" i="2"/>
  <c r="B15" i="2" s="1"/>
  <c r="AO10" i="2"/>
  <c r="AN10" i="2"/>
  <c r="AM10" i="2"/>
  <c r="AL10" i="2"/>
  <c r="AK10" i="2"/>
  <c r="AJ10" i="2"/>
  <c r="AI10" i="2"/>
  <c r="AH10" i="2"/>
  <c r="AG10" i="2"/>
  <c r="AF10" i="2"/>
  <c r="AE10" i="2"/>
  <c r="AD10" i="2"/>
  <c r="AC10" i="2"/>
  <c r="AB10" i="2"/>
  <c r="AA10" i="2"/>
  <c r="Z10" i="2"/>
  <c r="Y10" i="2"/>
  <c r="X10" i="2"/>
  <c r="W10" i="2"/>
  <c r="V10" i="2"/>
  <c r="U10" i="2"/>
  <c r="T10" i="2"/>
  <c r="S10" i="2"/>
  <c r="R10" i="2"/>
  <c r="Q10" i="2"/>
  <c r="P10" i="2"/>
  <c r="O10" i="2"/>
  <c r="N10" i="2"/>
  <c r="M10" i="2"/>
  <c r="L10" i="2"/>
  <c r="K10" i="2"/>
  <c r="J10" i="2"/>
  <c r="I10" i="2"/>
  <c r="H10" i="2"/>
  <c r="G10" i="2"/>
  <c r="F10" i="2"/>
  <c r="E10" i="2"/>
  <c r="D10" i="2"/>
  <c r="C10" i="2"/>
  <c r="B10" i="2"/>
  <c r="R8" i="2"/>
  <c r="Q8" i="2"/>
  <c r="AK8" i="2"/>
  <c r="O8" i="2"/>
  <c r="AX89" i="4"/>
  <c r="BF89" i="4" s="1"/>
  <c r="AX117" i="4"/>
  <c r="AX112" i="4"/>
  <c r="AX115" i="4"/>
  <c r="AX113" i="4"/>
  <c r="BF60" i="4"/>
  <c r="BF44" i="4"/>
  <c r="AX116" i="4"/>
  <c r="BF65" i="4"/>
  <c r="BF61" i="4"/>
  <c r="BG89" i="4"/>
  <c r="BG60" i="4"/>
  <c r="AU33" i="4"/>
  <c r="BB40" i="4"/>
  <c r="BE17" i="4"/>
  <c r="BJ15" i="4"/>
  <c r="BG65" i="4"/>
  <c r="BF66" i="4"/>
  <c r="BG44" i="4"/>
  <c r="BF30" i="4"/>
  <c r="AX114" i="4"/>
  <c r="AX111" i="4"/>
  <c r="BF46" i="4"/>
  <c r="BF67" i="4"/>
  <c r="BL15" i="4"/>
  <c r="BM15" i="4" s="1"/>
  <c r="BF28" i="4"/>
  <c r="BF25" i="4"/>
  <c r="BH60" i="4"/>
  <c r="AV33" i="4"/>
  <c r="BF26" i="4"/>
  <c r="BF24" i="4"/>
  <c r="BH44" i="4"/>
  <c r="AX88" i="4"/>
  <c r="BG46" i="4"/>
  <c r="BG28" i="4"/>
  <c r="BH46" i="4"/>
  <c r="BK34" i="4"/>
  <c r="BF36" i="4"/>
  <c r="BF62" i="4"/>
  <c r="BF27" i="4"/>
  <c r="BF17" i="4"/>
  <c r="BF31" i="4"/>
  <c r="BF51" i="4"/>
  <c r="BG61" i="4"/>
  <c r="BF29" i="4"/>
  <c r="BF35" i="4"/>
  <c r="BF32" i="4"/>
  <c r="BF26" i="3"/>
  <c r="BF30" i="3"/>
  <c r="BF28" i="3"/>
  <c r="AX34" i="3"/>
  <c r="BK18" i="4"/>
  <c r="BF45" i="4"/>
  <c r="BF27" i="3"/>
  <c r="BF24" i="3"/>
  <c r="BG30" i="3"/>
  <c r="BF31" i="3"/>
  <c r="BE8" i="3"/>
  <c r="BF9" i="3"/>
  <c r="BF7" i="3"/>
  <c r="BG28" i="3"/>
  <c r="AX35" i="3"/>
  <c r="BF29" i="3"/>
  <c r="BG26" i="3"/>
  <c r="BF25" i="3"/>
  <c r="BF8" i="3"/>
  <c r="BH26" i="3"/>
  <c r="BG25" i="3"/>
  <c r="AU33" i="3"/>
  <c r="BG31" i="3"/>
  <c r="BH89" i="4"/>
  <c r="BI89" i="4"/>
  <c r="BJ89" i="4"/>
  <c r="BK89" i="4"/>
  <c r="BF40" i="4"/>
  <c r="BH65" i="4"/>
  <c r="BI65" i="4"/>
  <c r="BG66" i="4"/>
  <c r="BH66" i="4"/>
  <c r="BI44" i="4"/>
  <c r="BJ44" i="4"/>
  <c r="BG30" i="4"/>
  <c r="BI46" i="4"/>
  <c r="BJ46" i="4"/>
  <c r="BG67" i="4"/>
  <c r="BH28" i="4"/>
  <c r="BI28" i="4"/>
  <c r="BG25" i="4"/>
  <c r="BH25" i="4"/>
  <c r="BI60" i="4"/>
  <c r="AW33" i="4"/>
  <c r="BG26" i="4"/>
  <c r="BH26" i="4"/>
  <c r="BG24" i="4"/>
  <c r="BF88" i="4"/>
  <c r="BG88" i="4"/>
  <c r="BK46" i="4"/>
  <c r="BL34" i="4"/>
  <c r="BG36" i="4"/>
  <c r="BG62" i="4"/>
  <c r="BG27" i="4"/>
  <c r="BH27" i="4"/>
  <c r="BG17" i="4"/>
  <c r="BH17" i="4"/>
  <c r="BI17" i="4"/>
  <c r="BJ17" i="4"/>
  <c r="BG31" i="4"/>
  <c r="BH31" i="4"/>
  <c r="BG51" i="4"/>
  <c r="BH61" i="4"/>
  <c r="BI61" i="4"/>
  <c r="BG29" i="4"/>
  <c r="BH29" i="4"/>
  <c r="BG35" i="4"/>
  <c r="BH35" i="4"/>
  <c r="BI35" i="4"/>
  <c r="BJ35" i="4"/>
  <c r="BK35" i="4"/>
  <c r="BL35" i="4"/>
  <c r="BM35" i="4"/>
  <c r="BN35" i="4"/>
  <c r="BG32" i="4"/>
  <c r="BH32" i="4"/>
  <c r="BI32" i="4"/>
  <c r="BH30" i="3"/>
  <c r="BF34" i="3"/>
  <c r="BG34" i="3"/>
  <c r="BM18" i="4"/>
  <c r="BG45" i="4"/>
  <c r="BG27" i="3"/>
  <c r="BH27" i="3"/>
  <c r="BG24" i="3"/>
  <c r="BI30" i="3"/>
  <c r="BJ30" i="3"/>
  <c r="BK30" i="3"/>
  <c r="BL30" i="3"/>
  <c r="BG9" i="3"/>
  <c r="BH9" i="3"/>
  <c r="BG7" i="3"/>
  <c r="BH7" i="3"/>
  <c r="BI7" i="3"/>
  <c r="BH28" i="3"/>
  <c r="BI28" i="3"/>
  <c r="BJ28" i="3"/>
  <c r="BK28" i="3"/>
  <c r="BL28" i="3"/>
  <c r="BF35" i="3"/>
  <c r="BG35" i="3"/>
  <c r="BG29" i="3"/>
  <c r="BH29" i="3"/>
  <c r="BI29" i="3"/>
  <c r="BH25" i="3"/>
  <c r="BI25" i="3"/>
  <c r="BJ25" i="3"/>
  <c r="BG8" i="3"/>
  <c r="BI26" i="3"/>
  <c r="BJ26" i="3"/>
  <c r="BK26" i="3"/>
  <c r="AV33" i="3"/>
  <c r="AW33" i="3"/>
  <c r="BH31" i="3"/>
  <c r="BI31" i="3"/>
  <c r="BL89" i="4"/>
  <c r="BM89" i="4"/>
  <c r="BG40" i="4"/>
  <c r="BJ65" i="4"/>
  <c r="BK65" i="4"/>
  <c r="BL65" i="4"/>
  <c r="BM65" i="4"/>
  <c r="BI66" i="4"/>
  <c r="BJ66" i="4"/>
  <c r="BK44" i="4"/>
  <c r="BH30" i="4"/>
  <c r="BH67" i="4"/>
  <c r="BI67" i="4"/>
  <c r="BJ28" i="4"/>
  <c r="BK28" i="4"/>
  <c r="BL28" i="4"/>
  <c r="BI25" i="4"/>
  <c r="BJ25" i="4"/>
  <c r="BJ60" i="4"/>
  <c r="BA33" i="4"/>
  <c r="BI26" i="4"/>
  <c r="BH24" i="4"/>
  <c r="BH88" i="4"/>
  <c r="BI88" i="4"/>
  <c r="BJ88" i="4"/>
  <c r="BK88" i="4"/>
  <c r="BL46" i="4"/>
  <c r="BM34" i="4"/>
  <c r="BH36" i="4"/>
  <c r="BH62" i="4"/>
  <c r="BI27" i="4"/>
  <c r="BJ27" i="4"/>
  <c r="BK17" i="4"/>
  <c r="BI31" i="4"/>
  <c r="BH51" i="4"/>
  <c r="BI51" i="4"/>
  <c r="BJ61" i="4"/>
  <c r="BI29" i="4"/>
  <c r="BO35" i="4"/>
  <c r="BP35" i="4"/>
  <c r="BJ32" i="4"/>
  <c r="BM30" i="3"/>
  <c r="BH34" i="3"/>
  <c r="BO18" i="4"/>
  <c r="BH45" i="4"/>
  <c r="BI27" i="3"/>
  <c r="BH24" i="3"/>
  <c r="BI24" i="3"/>
  <c r="BJ24" i="3"/>
  <c r="BK24" i="3"/>
  <c r="BI9" i="3"/>
  <c r="BJ7" i="3"/>
  <c r="BM28" i="3"/>
  <c r="BH35" i="3"/>
  <c r="BJ29" i="3"/>
  <c r="BK25" i="3"/>
  <c r="BH8" i="3"/>
  <c r="BL26" i="3"/>
  <c r="AX33" i="3"/>
  <c r="AY33" i="3"/>
  <c r="BJ31" i="3"/>
  <c r="BN89" i="4"/>
  <c r="BH40" i="4"/>
  <c r="BN65" i="4"/>
  <c r="BK66" i="4"/>
  <c r="BL44" i="4"/>
  <c r="BM44" i="4"/>
  <c r="BI30" i="4"/>
  <c r="BJ67" i="4"/>
  <c r="BM28" i="4"/>
  <c r="BK25" i="4"/>
  <c r="BL25" i="4"/>
  <c r="BM25" i="4"/>
  <c r="BK60" i="4"/>
  <c r="BL60" i="4"/>
  <c r="BC33" i="4"/>
  <c r="BD33" i="4"/>
  <c r="BJ26" i="4"/>
  <c r="BK26" i="4"/>
  <c r="BI24" i="4"/>
  <c r="BJ24" i="4"/>
  <c r="BL88" i="4"/>
  <c r="BM46" i="4"/>
  <c r="BN46" i="4"/>
  <c r="BN34" i="4"/>
  <c r="BO34" i="4"/>
  <c r="BI36" i="4"/>
  <c r="BI62" i="4"/>
  <c r="BJ62" i="4"/>
  <c r="BK62" i="4"/>
  <c r="BL62" i="4"/>
  <c r="BK27" i="4"/>
  <c r="BL27" i="4"/>
  <c r="BL17" i="4"/>
  <c r="BJ31" i="4"/>
  <c r="BJ51" i="4"/>
  <c r="BK61" i="4"/>
  <c r="BL61" i="4"/>
  <c r="BM61" i="4"/>
  <c r="BJ29" i="4"/>
  <c r="BQ35" i="4"/>
  <c r="BK32" i="4"/>
  <c r="BL32" i="4"/>
  <c r="BN30" i="3"/>
  <c r="BI34" i="3"/>
  <c r="BJ34" i="3"/>
  <c r="BQ18" i="4"/>
  <c r="BS18" i="4"/>
  <c r="BI45" i="4"/>
  <c r="BJ27" i="3"/>
  <c r="BL24" i="3"/>
  <c r="BM24" i="3"/>
  <c r="BJ9" i="3"/>
  <c r="BK9" i="3"/>
  <c r="BK7" i="3"/>
  <c r="BN28" i="3"/>
  <c r="BO28" i="3"/>
  <c r="BI35" i="3"/>
  <c r="BK29" i="3"/>
  <c r="BL25" i="3"/>
  <c r="BI8" i="3"/>
  <c r="BJ8" i="3"/>
  <c r="BM26" i="3"/>
  <c r="BN26" i="3"/>
  <c r="AZ33" i="3"/>
  <c r="BF33" i="3"/>
  <c r="BK31" i="3"/>
  <c r="BO89" i="4"/>
  <c r="BI40" i="4"/>
  <c r="BO65" i="4"/>
  <c r="BL66" i="4"/>
  <c r="BN44" i="4"/>
  <c r="BO44" i="4"/>
  <c r="BJ30" i="4"/>
  <c r="BK67" i="4"/>
  <c r="BL67" i="4"/>
  <c r="BN28" i="4"/>
  <c r="BO28" i="4"/>
  <c r="BP28" i="4"/>
  <c r="BN25" i="4"/>
  <c r="BO25" i="4"/>
  <c r="BM60" i="4"/>
  <c r="BF33" i="4"/>
  <c r="BL26" i="4"/>
  <c r="BM26" i="4"/>
  <c r="BN26" i="4"/>
  <c r="BO26" i="4"/>
  <c r="BK24" i="4"/>
  <c r="BM88" i="4"/>
  <c r="BO46" i="4"/>
  <c r="BP34" i="4"/>
  <c r="BJ36" i="4"/>
  <c r="BM62" i="4"/>
  <c r="BM27" i="4"/>
  <c r="BM17" i="4"/>
  <c r="BN17" i="4"/>
  <c r="BK31" i="4"/>
  <c r="BK51" i="4"/>
  <c r="BN61" i="4"/>
  <c r="BK29" i="4"/>
  <c r="BR35" i="4"/>
  <c r="BS35" i="4"/>
  <c r="BT35" i="4"/>
  <c r="BU35" i="4"/>
  <c r="BV35" i="4"/>
  <c r="BM32" i="4"/>
  <c r="BO30" i="3"/>
  <c r="BP30" i="3"/>
  <c r="BK34" i="3"/>
  <c r="BU18" i="4"/>
  <c r="BJ45" i="4"/>
  <c r="BK27" i="3"/>
  <c r="BN24" i="3"/>
  <c r="BO24" i="3"/>
  <c r="BP24" i="3"/>
  <c r="BL9" i="3"/>
  <c r="BM9" i="3"/>
  <c r="BL7" i="3"/>
  <c r="BM7" i="3"/>
  <c r="BN7" i="3"/>
  <c r="BO7" i="3"/>
  <c r="BP7" i="3"/>
  <c r="BP28" i="3"/>
  <c r="BJ35" i="3"/>
  <c r="BK35" i="3"/>
  <c r="BL35" i="3"/>
  <c r="BL29" i="3"/>
  <c r="BM29" i="3"/>
  <c r="BM25" i="3"/>
  <c r="BK8" i="3"/>
  <c r="BO26" i="3"/>
  <c r="BG33" i="3"/>
  <c r="BH33" i="3"/>
  <c r="BL31" i="3"/>
  <c r="BP89" i="4"/>
  <c r="BJ40" i="4"/>
  <c r="BK40" i="4"/>
  <c r="BL40" i="4"/>
  <c r="BP65" i="4"/>
  <c r="BQ65" i="4"/>
  <c r="BM66" i="4"/>
  <c r="BP44" i="4"/>
  <c r="BK30" i="4"/>
  <c r="BM67" i="4"/>
  <c r="BN67" i="4"/>
  <c r="BQ28" i="4"/>
  <c r="BR28" i="4"/>
  <c r="BP25" i="4"/>
  <c r="BQ25" i="4"/>
  <c r="BN60" i="4"/>
  <c r="BG33" i="4"/>
  <c r="BH33" i="4"/>
  <c r="BP26" i="4"/>
  <c r="BL24" i="4"/>
  <c r="BM24" i="4"/>
  <c r="BN88" i="4"/>
  <c r="BO88" i="4"/>
  <c r="BP46" i="4"/>
  <c r="BQ46" i="4"/>
  <c r="BQ34" i="4"/>
  <c r="BK36" i="4"/>
  <c r="BL36" i="4"/>
  <c r="BM36" i="4"/>
  <c r="BN36" i="4"/>
  <c r="BN62" i="4"/>
  <c r="BO62" i="4"/>
  <c r="BN27" i="4"/>
  <c r="BO17" i="4"/>
  <c r="BL31" i="4"/>
  <c r="BL51" i="4"/>
  <c r="BM51" i="4"/>
  <c r="BN51" i="4"/>
  <c r="BO61" i="4"/>
  <c r="BP61" i="4"/>
  <c r="BL29" i="4"/>
  <c r="BW35" i="4"/>
  <c r="BN32" i="4"/>
  <c r="BO32" i="4"/>
  <c r="BQ30" i="3"/>
  <c r="BR30" i="3"/>
  <c r="BS30" i="3"/>
  <c r="BT30" i="3"/>
  <c r="BU30" i="3"/>
  <c r="BV30" i="3"/>
  <c r="BL34" i="3"/>
  <c r="BM34" i="3"/>
  <c r="BN34" i="3"/>
  <c r="BW18" i="4"/>
  <c r="BY18" i="4"/>
  <c r="BK45" i="4"/>
  <c r="BL45" i="4"/>
  <c r="BL27" i="3"/>
  <c r="BQ24" i="3"/>
  <c r="BN9" i="3"/>
  <c r="BQ7" i="3"/>
  <c r="BQ28" i="3"/>
  <c r="BM35" i="3"/>
  <c r="BN29" i="3"/>
  <c r="BO29" i="3"/>
  <c r="BP29" i="3"/>
  <c r="BQ29" i="3"/>
  <c r="BR29" i="3"/>
  <c r="BS29" i="3"/>
  <c r="BT29" i="3"/>
  <c r="BU29" i="3"/>
  <c r="BN25" i="3"/>
  <c r="BL8" i="3"/>
  <c r="BM8" i="3"/>
  <c r="BP26" i="3"/>
  <c r="BQ26" i="3"/>
  <c r="BI33" i="3"/>
  <c r="BJ33" i="3"/>
  <c r="BM31" i="3"/>
  <c r="BQ89" i="4"/>
  <c r="BR89" i="4"/>
  <c r="BS89" i="4"/>
  <c r="BT89" i="4"/>
  <c r="BM40" i="4"/>
  <c r="BR65" i="4"/>
  <c r="BN66" i="4"/>
  <c r="BO66" i="4"/>
  <c r="BQ44" i="4"/>
  <c r="BR44" i="4"/>
  <c r="BS44" i="4"/>
  <c r="BL30" i="4"/>
  <c r="BO67" i="4"/>
  <c r="BS28" i="4"/>
  <c r="BT28" i="4"/>
  <c r="BR25" i="4"/>
  <c r="BS25" i="4"/>
  <c r="BO60" i="4"/>
  <c r="BP60" i="4"/>
  <c r="BI33" i="4"/>
  <c r="BJ33" i="4"/>
  <c r="BQ26" i="4"/>
  <c r="BR26" i="4"/>
  <c r="BN24" i="4"/>
  <c r="BP88" i="4"/>
  <c r="BQ88" i="4"/>
  <c r="BR46" i="4"/>
  <c r="BR34" i="4"/>
  <c r="BS34" i="4"/>
  <c r="BT34" i="4"/>
  <c r="BU34" i="4"/>
  <c r="BO36" i="4"/>
  <c r="BP62" i="4"/>
  <c r="BO27" i="4"/>
  <c r="BP17" i="4"/>
  <c r="BQ17" i="4"/>
  <c r="BR17" i="4"/>
  <c r="BS17" i="4"/>
  <c r="BM31" i="4"/>
  <c r="BO51" i="4"/>
  <c r="BP51" i="4"/>
  <c r="BQ61" i="4"/>
  <c r="BR61" i="4"/>
  <c r="BM29" i="4"/>
  <c r="BN29" i="4"/>
  <c r="BX35" i="4"/>
  <c r="BP32" i="4"/>
  <c r="BQ32" i="4"/>
  <c r="BR32" i="4"/>
  <c r="BS32" i="4"/>
  <c r="BW30" i="3"/>
  <c r="BO34" i="3"/>
  <c r="CA18" i="4"/>
  <c r="CC18" i="4"/>
  <c r="BM45" i="4"/>
  <c r="BN45" i="4"/>
  <c r="BM27" i="3"/>
  <c r="BR24" i="3"/>
  <c r="BO9" i="3"/>
  <c r="BR7" i="3"/>
  <c r="BS7" i="3"/>
  <c r="BR28" i="3"/>
  <c r="BN35" i="3"/>
  <c r="BO35" i="3"/>
  <c r="BP35" i="3"/>
  <c r="BQ35" i="3"/>
  <c r="BV29" i="3"/>
  <c r="BW29" i="3"/>
  <c r="BO25" i="3"/>
  <c r="BP25" i="3"/>
  <c r="BN8" i="3"/>
  <c r="BR26" i="3"/>
  <c r="BK33" i="3"/>
  <c r="BL33" i="3"/>
  <c r="BN31" i="3"/>
  <c r="BO31" i="3"/>
  <c r="BU89" i="4"/>
  <c r="BN40" i="4"/>
  <c r="BS65" i="4"/>
  <c r="BP66" i="4"/>
  <c r="BT44" i="4"/>
  <c r="BM30" i="4"/>
  <c r="BP67" i="4"/>
  <c r="BU28" i="4"/>
  <c r="BT25" i="4"/>
  <c r="BU25" i="4"/>
  <c r="BQ60" i="4"/>
  <c r="BK33" i="4"/>
  <c r="BS26" i="4"/>
  <c r="BO24" i="4"/>
  <c r="BR88" i="4"/>
  <c r="BS46" i="4"/>
  <c r="BV34" i="4"/>
  <c r="BW34" i="4"/>
  <c r="BP36" i="4"/>
  <c r="BQ36" i="4"/>
  <c r="BR36" i="4"/>
  <c r="BQ62" i="4"/>
  <c r="BP27" i="4"/>
  <c r="BT17" i="4"/>
  <c r="BN31" i="4"/>
  <c r="BQ51" i="4"/>
  <c r="BS61" i="4"/>
  <c r="BO29" i="4"/>
  <c r="BP29" i="4"/>
  <c r="BY35" i="4"/>
  <c r="BT32" i="4"/>
  <c r="BX30" i="3"/>
  <c r="BY30" i="3"/>
  <c r="BP34" i="3"/>
  <c r="CE18" i="4"/>
  <c r="BO45" i="4"/>
  <c r="BN27" i="3"/>
  <c r="BS24" i="3"/>
  <c r="BT24" i="3"/>
  <c r="BU24" i="3"/>
  <c r="BP9" i="3"/>
  <c r="BQ9" i="3"/>
  <c r="BT7" i="3"/>
  <c r="BU7" i="3"/>
  <c r="BS28" i="3"/>
  <c r="BT28" i="3"/>
  <c r="BR35" i="3"/>
  <c r="BX29" i="3"/>
  <c r="BQ25" i="3"/>
  <c r="BO8" i="3"/>
  <c r="BP8" i="3"/>
  <c r="BQ8" i="3"/>
  <c r="BS26" i="3"/>
  <c r="BM33" i="3"/>
  <c r="BP31" i="3"/>
  <c r="BQ31" i="3"/>
  <c r="BR31" i="3"/>
  <c r="BS31" i="3"/>
  <c r="BT31" i="3"/>
  <c r="BU31" i="3"/>
  <c r="BV89" i="4"/>
  <c r="BW89" i="4"/>
  <c r="BO40" i="4"/>
  <c r="BP40" i="4"/>
  <c r="BT65" i="4"/>
  <c r="BU65" i="4"/>
  <c r="BQ66" i="4"/>
  <c r="BU44" i="4"/>
  <c r="BV44" i="4"/>
  <c r="BN30" i="4"/>
  <c r="BO30" i="4"/>
  <c r="BQ67" i="4"/>
  <c r="BV28" i="4"/>
  <c r="BW28" i="4"/>
  <c r="BV25" i="4"/>
  <c r="BR60" i="4"/>
  <c r="BL33" i="4"/>
  <c r="BM33" i="4"/>
  <c r="BT26" i="4"/>
  <c r="BP24" i="4"/>
  <c r="BQ24" i="4"/>
  <c r="BR24" i="4"/>
  <c r="BS88" i="4"/>
  <c r="BT88" i="4"/>
  <c r="BU88" i="4"/>
  <c r="BT46" i="4"/>
  <c r="BX34" i="4"/>
  <c r="BY34" i="4"/>
  <c r="BS36" i="4"/>
  <c r="BR62" i="4"/>
  <c r="BQ27" i="4"/>
  <c r="BU17" i="4"/>
  <c r="BV17" i="4"/>
  <c r="BO31" i="4"/>
  <c r="BR51" i="4"/>
  <c r="BT61" i="4"/>
  <c r="BQ29" i="4"/>
  <c r="BR29" i="4"/>
  <c r="BZ35" i="4"/>
  <c r="CA35" i="4"/>
  <c r="BU32" i="4"/>
  <c r="BZ30" i="3"/>
  <c r="BQ34" i="3"/>
  <c r="BR34" i="3"/>
  <c r="BS34" i="3"/>
  <c r="CG18" i="4"/>
  <c r="BP45" i="4"/>
  <c r="BO27" i="3"/>
  <c r="BP27" i="3"/>
  <c r="BV24" i="3"/>
  <c r="BR9" i="3"/>
  <c r="BV7" i="3"/>
  <c r="BW7" i="3"/>
  <c r="BU28" i="3"/>
  <c r="BV28" i="3"/>
  <c r="BS35" i="3"/>
  <c r="BT35" i="3"/>
  <c r="BU35" i="3"/>
  <c r="BY29" i="3"/>
  <c r="BR25" i="3"/>
  <c r="BS25" i="3"/>
  <c r="BR8" i="3"/>
  <c r="BS8" i="3"/>
  <c r="BT26" i="3"/>
  <c r="BU26" i="3"/>
  <c r="BN33" i="3"/>
  <c r="BV31" i="3"/>
  <c r="BW31" i="3"/>
  <c r="BX89" i="4"/>
  <c r="BY89" i="4"/>
  <c r="BQ40" i="4"/>
  <c r="BV65" i="4"/>
  <c r="BW65" i="4"/>
  <c r="BR66" i="4"/>
  <c r="BS66" i="4"/>
  <c r="BW44" i="4"/>
  <c r="BP30" i="4"/>
  <c r="BR67" i="4"/>
  <c r="BX28" i="4"/>
  <c r="BW25" i="4"/>
  <c r="BS60" i="4"/>
  <c r="BN33" i="4"/>
  <c r="BO33" i="4"/>
  <c r="BU26" i="4"/>
  <c r="BV26" i="4"/>
  <c r="BS24" i="4"/>
  <c r="BT24" i="4"/>
  <c r="BV88" i="4"/>
  <c r="BW88" i="4"/>
  <c r="BU46" i="4"/>
  <c r="BZ34" i="4"/>
  <c r="BT36" i="4"/>
  <c r="BU36" i="4"/>
  <c r="BS62" i="4"/>
  <c r="BR27" i="4"/>
  <c r="BW17" i="4"/>
  <c r="BP31" i="4"/>
  <c r="BS51" i="4"/>
  <c r="BU61" i="4"/>
  <c r="BS29" i="4"/>
  <c r="CB35" i="4"/>
  <c r="BV32" i="4"/>
  <c r="CA30" i="3"/>
  <c r="BT34" i="3"/>
  <c r="CI18" i="4"/>
  <c r="BQ45" i="4"/>
  <c r="BR45" i="4"/>
  <c r="BQ27" i="3"/>
  <c r="BW24" i="3"/>
  <c r="BX24" i="3"/>
  <c r="BS9" i="3"/>
  <c r="BX7" i="3"/>
  <c r="BY7" i="3"/>
  <c r="BW28" i="3"/>
  <c r="BX28" i="3"/>
  <c r="BV35" i="3"/>
  <c r="BZ29" i="3"/>
  <c r="CA29" i="3"/>
  <c r="BT25" i="3"/>
  <c r="BT8" i="3"/>
  <c r="BU8" i="3"/>
  <c r="BV26" i="3"/>
  <c r="BO33" i="3"/>
  <c r="BX31" i="3"/>
  <c r="BZ89" i="4"/>
  <c r="BR40" i="4"/>
  <c r="BS40" i="4"/>
  <c r="BX65" i="4"/>
  <c r="BY65" i="4"/>
  <c r="BT66" i="4"/>
  <c r="BX44" i="4"/>
  <c r="BQ30" i="4"/>
  <c r="BS67" i="4"/>
  <c r="BT67" i="4"/>
  <c r="BY28" i="4"/>
  <c r="BZ28" i="4"/>
  <c r="CA28" i="4"/>
  <c r="CB28" i="4"/>
  <c r="BX25" i="4"/>
  <c r="BY25" i="4"/>
  <c r="BT60" i="4"/>
  <c r="BU60" i="4"/>
  <c r="BV60" i="4"/>
  <c r="BP33" i="4"/>
  <c r="BW26" i="4"/>
  <c r="BU24" i="4"/>
  <c r="BX88" i="4"/>
  <c r="BV46" i="4"/>
  <c r="BW46" i="4"/>
  <c r="CA34" i="4"/>
  <c r="BV36" i="4"/>
  <c r="BW36" i="4"/>
  <c r="BT62" i="4"/>
  <c r="BS27" i="4"/>
  <c r="BT27" i="4"/>
  <c r="BU27" i="4"/>
  <c r="BX17" i="4"/>
  <c r="BQ31" i="4"/>
  <c r="BR31" i="4"/>
  <c r="BT51" i="4"/>
  <c r="BU51" i="4"/>
  <c r="BV51" i="4"/>
  <c r="BV61" i="4"/>
  <c r="BW61" i="4"/>
  <c r="BX61" i="4"/>
  <c r="BT29" i="4"/>
  <c r="BU29" i="4"/>
  <c r="CC35" i="4"/>
  <c r="CD35" i="4"/>
  <c r="CE35" i="4"/>
  <c r="CF35" i="4"/>
  <c r="CG35" i="4"/>
  <c r="BW32" i="4"/>
  <c r="CB30" i="3"/>
  <c r="BU34" i="3"/>
  <c r="CK18" i="4"/>
  <c r="CM18" i="4"/>
  <c r="BS45" i="4"/>
  <c r="BR27" i="3"/>
  <c r="BY24" i="3"/>
  <c r="BT9" i="3"/>
  <c r="BU9" i="3"/>
  <c r="BV9" i="3"/>
  <c r="BW9" i="3"/>
  <c r="BX9" i="3"/>
  <c r="BZ7" i="3"/>
  <c r="BY28" i="3"/>
  <c r="BZ28" i="3"/>
  <c r="BW35" i="3"/>
  <c r="CB29" i="3"/>
  <c r="CC29" i="3"/>
  <c r="CD29" i="3"/>
  <c r="CE29" i="3"/>
  <c r="BU25" i="3"/>
  <c r="BV8" i="3"/>
  <c r="BW26" i="3"/>
  <c r="BP33" i="3"/>
  <c r="BQ33" i="3"/>
  <c r="BY31" i="3"/>
  <c r="CA89" i="4"/>
  <c r="BT40" i="4"/>
  <c r="BU40" i="4"/>
  <c r="BV40" i="4"/>
  <c r="BZ65" i="4"/>
  <c r="BU66" i="4"/>
  <c r="BY44" i="4"/>
  <c r="BZ44" i="4"/>
  <c r="BR30" i="4"/>
  <c r="BU67" i="4"/>
  <c r="CC28" i="4"/>
  <c r="CD28" i="4"/>
  <c r="BZ25" i="4"/>
  <c r="BW60" i="4"/>
  <c r="BX60" i="4"/>
  <c r="BQ33" i="4"/>
  <c r="BR33" i="4"/>
  <c r="BS33" i="4"/>
  <c r="BX26" i="4"/>
  <c r="BV24" i="4"/>
  <c r="BY88" i="4"/>
  <c r="BZ88" i="4"/>
  <c r="CA88" i="4"/>
  <c r="BX46" i="4"/>
  <c r="CB34" i="4"/>
  <c r="BX36" i="4"/>
  <c r="BU62" i="4"/>
  <c r="BV27" i="4"/>
  <c r="BW27" i="4"/>
  <c r="BY17" i="4"/>
  <c r="BS31" i="4"/>
  <c r="BW51" i="4"/>
  <c r="BY61" i="4"/>
  <c r="BV29" i="4"/>
  <c r="BW29" i="4"/>
  <c r="CH35" i="4"/>
  <c r="CI35" i="4"/>
  <c r="BX32" i="4"/>
  <c r="CC30" i="3"/>
  <c r="BV34" i="3"/>
  <c r="BW34" i="3"/>
  <c r="CO18" i="4"/>
  <c r="BT45" i="4"/>
  <c r="BS27" i="3"/>
  <c r="BZ24" i="3"/>
  <c r="CA24" i="3"/>
  <c r="BY9" i="3"/>
  <c r="CA7" i="3"/>
  <c r="CA28" i="3"/>
  <c r="CB28" i="3"/>
  <c r="BX35" i="3"/>
  <c r="CF29" i="3"/>
  <c r="BV25" i="3"/>
  <c r="BW8" i="3"/>
  <c r="BX8" i="3"/>
  <c r="BY8" i="3"/>
  <c r="BX26" i="3"/>
  <c r="BR33" i="3"/>
  <c r="BZ31" i="3"/>
  <c r="CB89" i="4"/>
  <c r="CC89" i="4"/>
  <c r="CD89" i="4"/>
  <c r="BW40" i="4"/>
  <c r="CA65" i="4"/>
  <c r="CB65" i="4"/>
  <c r="CC65" i="4"/>
  <c r="BV66" i="4"/>
  <c r="CA44" i="4"/>
  <c r="CB44" i="4"/>
  <c r="BS30" i="4"/>
  <c r="BV67" i="4"/>
  <c r="BW67" i="4"/>
  <c r="CE28" i="4"/>
  <c r="CF28" i="4"/>
  <c r="CG28" i="4"/>
  <c r="CH28" i="4"/>
  <c r="CA25" i="4"/>
  <c r="BY60" i="4"/>
  <c r="BZ60" i="4"/>
  <c r="CA60" i="4"/>
  <c r="BT33" i="4"/>
  <c r="BU33" i="4"/>
  <c r="BY26" i="4"/>
  <c r="BZ26" i="4"/>
  <c r="CA26" i="4"/>
  <c r="BW24" i="4"/>
  <c r="CB88" i="4"/>
  <c r="BY46" i="4"/>
  <c r="CC34" i="4"/>
  <c r="CD34" i="4"/>
  <c r="CE34" i="4"/>
  <c r="BY36" i="4"/>
  <c r="BV62" i="4"/>
  <c r="BX27" i="4"/>
  <c r="BY27" i="4"/>
  <c r="BZ27" i="4"/>
  <c r="BZ17" i="4"/>
  <c r="BT31" i="4"/>
  <c r="BX51" i="4"/>
  <c r="BZ61" i="4"/>
  <c r="CA61" i="4"/>
  <c r="BX29" i="4"/>
  <c r="BY29" i="4"/>
  <c r="CJ35" i="4"/>
  <c r="CK35" i="4"/>
  <c r="BY32" i="4"/>
  <c r="CD30" i="3"/>
  <c r="BX34" i="3"/>
  <c r="CQ18" i="4"/>
  <c r="CS18" i="4"/>
  <c r="BU45" i="4"/>
  <c r="BT27" i="3"/>
  <c r="CB24" i="3"/>
  <c r="BZ9" i="3"/>
  <c r="CB7" i="3"/>
  <c r="CC7" i="3"/>
  <c r="CD7" i="3"/>
  <c r="CC28" i="3"/>
  <c r="CD28" i="3"/>
  <c r="BY35" i="3"/>
  <c r="CG29" i="3"/>
  <c r="CH29" i="3"/>
  <c r="BW25" i="3"/>
  <c r="BZ8" i="3"/>
  <c r="BY26" i="3"/>
  <c r="BS33" i="3"/>
  <c r="CA31" i="3"/>
  <c r="CB31" i="3"/>
  <c r="CC31" i="3"/>
  <c r="CE89" i="4"/>
  <c r="BX40" i="4"/>
  <c r="CD65" i="4"/>
  <c r="CE65" i="4"/>
  <c r="BW66" i="4"/>
  <c r="BX66" i="4"/>
  <c r="CC44" i="4"/>
  <c r="CD44" i="4"/>
  <c r="CE44" i="4"/>
  <c r="CF44" i="4"/>
  <c r="BT30" i="4"/>
  <c r="BU30" i="4"/>
  <c r="BV30" i="4"/>
  <c r="BX67" i="4"/>
  <c r="CI28" i="4"/>
  <c r="CB25" i="4"/>
  <c r="CC25" i="4"/>
  <c r="CB60" i="4"/>
  <c r="CC60" i="4"/>
  <c r="BV33" i="4"/>
  <c r="CB26" i="4"/>
  <c r="BX24" i="4"/>
  <c r="CC88" i="4"/>
  <c r="BZ46" i="4"/>
  <c r="CF34" i="4"/>
  <c r="BZ36" i="4"/>
  <c r="BW62" i="4"/>
  <c r="CA27" i="4"/>
  <c r="CA17" i="4"/>
  <c r="CB17" i="4"/>
  <c r="CC17" i="4"/>
  <c r="CD17" i="4"/>
  <c r="BU31" i="4"/>
  <c r="BY51" i="4"/>
  <c r="CB61" i="4"/>
  <c r="CC61" i="4"/>
  <c r="BZ29" i="4"/>
  <c r="CL35" i="4"/>
  <c r="BZ32" i="4"/>
  <c r="CA32" i="4"/>
  <c r="CB32" i="4"/>
  <c r="CE30" i="3"/>
  <c r="BY34" i="3"/>
  <c r="BZ34" i="3"/>
  <c r="CU18" i="4"/>
  <c r="CW18" i="4"/>
  <c r="BV45" i="4"/>
  <c r="BW45" i="4"/>
  <c r="BU27" i="3"/>
  <c r="BV27" i="3"/>
  <c r="BW27" i="3"/>
  <c r="BX27" i="3"/>
  <c r="CC24" i="3"/>
  <c r="CA9" i="3"/>
  <c r="CB9" i="3"/>
  <c r="CC9" i="3"/>
  <c r="CE7" i="3"/>
  <c r="CE28" i="3"/>
  <c r="BZ35" i="3"/>
  <c r="CI29" i="3"/>
  <c r="BX25" i="3"/>
  <c r="CA8" i="3"/>
  <c r="BZ26" i="3"/>
  <c r="BT33" i="3"/>
  <c r="CD31" i="3"/>
  <c r="CE31" i="3"/>
  <c r="CF31" i="3"/>
  <c r="CF89" i="4"/>
  <c r="CG89" i="4"/>
  <c r="CH89" i="4"/>
  <c r="BY40" i="4"/>
  <c r="CF65" i="4"/>
  <c r="CG65" i="4"/>
  <c r="BY66" i="4"/>
  <c r="BZ66" i="4"/>
  <c r="CG44" i="4"/>
  <c r="BW30" i="4"/>
  <c r="BX30" i="4"/>
  <c r="BY30" i="4"/>
  <c r="BY67" i="4"/>
  <c r="BZ67" i="4"/>
  <c r="CJ28" i="4"/>
  <c r="CD25" i="4"/>
  <c r="CD60" i="4"/>
  <c r="BW33" i="4"/>
  <c r="BX33" i="4"/>
  <c r="BY33" i="4"/>
  <c r="CC26" i="4"/>
  <c r="CD26" i="4"/>
  <c r="BY24" i="4"/>
  <c r="CD88" i="4"/>
  <c r="CA46" i="4"/>
  <c r="CB46" i="4"/>
  <c r="CG34" i="4"/>
  <c r="CA36" i="4"/>
  <c r="CB36" i="4"/>
  <c r="CC36" i="4"/>
  <c r="BX62" i="4"/>
  <c r="BY62" i="4"/>
  <c r="CB27" i="4"/>
  <c r="CE17" i="4"/>
  <c r="CF17" i="4"/>
  <c r="BV31" i="4"/>
  <c r="BZ51" i="4"/>
  <c r="CA51" i="4"/>
  <c r="CD61" i="4"/>
  <c r="CE61" i="4"/>
  <c r="CA29" i="4"/>
  <c r="CM35" i="4"/>
  <c r="CN35" i="4"/>
  <c r="CO35" i="4"/>
  <c r="CC32" i="4"/>
  <c r="CD32" i="4"/>
  <c r="CF30" i="3"/>
  <c r="CA34" i="3"/>
  <c r="CY18" i="4"/>
  <c r="BX45" i="4"/>
  <c r="BY45" i="4"/>
  <c r="BY27" i="3"/>
  <c r="CD24" i="3"/>
  <c r="CE24" i="3"/>
  <c r="CD9" i="3"/>
  <c r="CF7" i="3"/>
  <c r="CF28" i="3"/>
  <c r="CG28" i="3"/>
  <c r="CA35" i="3"/>
  <c r="CB35" i="3"/>
  <c r="CJ29" i="3"/>
  <c r="BY25" i="3"/>
  <c r="BZ25" i="3"/>
  <c r="CA25" i="3"/>
  <c r="CB25" i="3"/>
  <c r="CB8" i="3"/>
  <c r="CA26" i="3"/>
  <c r="BU33" i="3"/>
  <c r="CG31" i="3"/>
  <c r="CH31" i="3"/>
  <c r="CI31" i="3"/>
  <c r="CI89" i="4"/>
  <c r="BZ40" i="4"/>
  <c r="CA40" i="4"/>
  <c r="CH65" i="4"/>
  <c r="CA66" i="4"/>
  <c r="CH44" i="4"/>
  <c r="BZ30" i="4"/>
  <c r="CA30" i="4"/>
  <c r="CA67" i="4"/>
  <c r="CB67" i="4"/>
  <c r="CK28" i="4"/>
  <c r="CE25" i="4"/>
  <c r="CF25" i="4"/>
  <c r="CE60" i="4"/>
  <c r="BZ33" i="4"/>
  <c r="CE26" i="4"/>
  <c r="BZ24" i="4"/>
  <c r="CE88" i="4"/>
  <c r="CC46" i="4"/>
  <c r="CH34" i="4"/>
  <c r="CD36" i="4"/>
  <c r="CE36" i="4"/>
  <c r="BZ62" i="4"/>
  <c r="CC27" i="4"/>
  <c r="CG17" i="4"/>
  <c r="CH17" i="4"/>
  <c r="BW31" i="4"/>
  <c r="CB51" i="4"/>
  <c r="CF61" i="4"/>
  <c r="CG61" i="4"/>
  <c r="CH61" i="4"/>
  <c r="CI61" i="4"/>
  <c r="CB29" i="4"/>
  <c r="CC29" i="4"/>
  <c r="CD29" i="4"/>
  <c r="CP35" i="4"/>
  <c r="CE32" i="4"/>
  <c r="CF32" i="4"/>
  <c r="CG30" i="3"/>
  <c r="CH30" i="3"/>
  <c r="CB34" i="3"/>
  <c r="DA18" i="4"/>
  <c r="BZ45" i="4"/>
  <c r="BZ27" i="3"/>
  <c r="CA27" i="3"/>
  <c r="CB27" i="3"/>
  <c r="CF24" i="3"/>
  <c r="CE9" i="3"/>
  <c r="CF9" i="3"/>
  <c r="CG9" i="3"/>
  <c r="CG7" i="3"/>
  <c r="CH28" i="3"/>
  <c r="CI28" i="3"/>
  <c r="CC35" i="3"/>
  <c r="CD35" i="3"/>
  <c r="CK29" i="3"/>
  <c r="CL29" i="3"/>
  <c r="CC25" i="3"/>
  <c r="CC8" i="3"/>
  <c r="CB26" i="3"/>
  <c r="BV33" i="3"/>
  <c r="BW33" i="3"/>
  <c r="BX33" i="3"/>
  <c r="BY33" i="3"/>
  <c r="CJ31" i="3"/>
  <c r="CK31" i="3"/>
  <c r="CJ89" i="4"/>
  <c r="CK89" i="4"/>
  <c r="CL89" i="4"/>
  <c r="CB40" i="4"/>
  <c r="CI65" i="4"/>
  <c r="CJ65" i="4"/>
  <c r="CB66" i="4"/>
  <c r="CC66" i="4"/>
  <c r="CI44" i="4"/>
  <c r="CB30" i="4"/>
  <c r="CC67" i="4"/>
  <c r="CL28" i="4"/>
  <c r="CG25" i="4"/>
  <c r="CF60" i="4"/>
  <c r="CA33" i="4"/>
  <c r="CF26" i="4"/>
  <c r="CG26" i="4"/>
  <c r="CA24" i="4"/>
  <c r="CB24" i="4"/>
  <c r="CC24" i="4"/>
  <c r="CD24" i="4"/>
  <c r="CF88" i="4"/>
  <c r="CG88" i="4"/>
  <c r="CD46" i="4"/>
  <c r="CI34" i="4"/>
  <c r="CF36" i="4"/>
  <c r="CG36" i="4"/>
  <c r="CA62" i="4"/>
  <c r="CD27" i="4"/>
  <c r="CI17" i="4"/>
  <c r="BX31" i="4"/>
  <c r="CC51" i="4"/>
  <c r="CJ61" i="4"/>
  <c r="CK61" i="4"/>
  <c r="CE29" i="4"/>
  <c r="CF29" i="4"/>
  <c r="CQ35" i="4"/>
  <c r="CR35" i="4"/>
  <c r="CG32" i="4"/>
  <c r="CI30" i="3"/>
  <c r="CC34" i="3"/>
  <c r="DC18" i="4"/>
  <c r="CA45" i="4"/>
  <c r="CB45" i="4"/>
  <c r="CC27" i="3"/>
  <c r="CG24" i="3"/>
  <c r="CH9" i="3"/>
  <c r="CH7" i="3"/>
  <c r="CI7" i="3"/>
  <c r="CJ7" i="3"/>
  <c r="CJ28" i="3"/>
  <c r="CE35" i="3"/>
  <c r="CM29" i="3"/>
  <c r="CN29" i="3"/>
  <c r="CO29" i="3"/>
  <c r="CD25" i="3"/>
  <c r="CD8" i="3"/>
  <c r="CE8" i="3"/>
  <c r="CF8" i="3"/>
  <c r="CG8" i="3"/>
  <c r="CC26" i="3"/>
  <c r="CD26" i="3"/>
  <c r="BZ33" i="3"/>
  <c r="CL31" i="3"/>
  <c r="CM31" i="3"/>
  <c r="CM89" i="4"/>
  <c r="CC40" i="4"/>
  <c r="CK65" i="4"/>
  <c r="CD66" i="4"/>
  <c r="CJ44" i="4"/>
  <c r="CC30" i="4"/>
  <c r="CD30" i="4"/>
  <c r="CD67" i="4"/>
  <c r="CM28" i="4"/>
  <c r="CH25" i="4"/>
  <c r="CI25" i="4"/>
  <c r="CG60" i="4"/>
  <c r="CH60" i="4"/>
  <c r="CB33" i="4"/>
  <c r="CC33" i="4"/>
  <c r="CD33" i="4"/>
  <c r="CH26" i="4"/>
  <c r="CI26" i="4"/>
  <c r="CE24" i="4"/>
  <c r="CH88" i="4"/>
  <c r="CE46" i="4"/>
  <c r="CJ34" i="4"/>
  <c r="CH36" i="4"/>
  <c r="CB62" i="4"/>
  <c r="CE27" i="4"/>
  <c r="CJ17" i="4"/>
  <c r="BY31" i="4"/>
  <c r="CD51" i="4"/>
  <c r="CL61" i="4"/>
  <c r="CG29" i="4"/>
  <c r="CH29" i="4"/>
  <c r="CS35" i="4"/>
  <c r="CH32" i="4"/>
  <c r="CJ30" i="3"/>
  <c r="CD34" i="3"/>
  <c r="DE18" i="4"/>
  <c r="DG18" i="4"/>
  <c r="CC45" i="4"/>
  <c r="CD27" i="3"/>
  <c r="CE27" i="3"/>
  <c r="CH24" i="3"/>
  <c r="CI9" i="3"/>
  <c r="CK7" i="3"/>
  <c r="CL7" i="3"/>
  <c r="CM7" i="3"/>
  <c r="CN7" i="3"/>
  <c r="CK28" i="3"/>
  <c r="CF35" i="3"/>
  <c r="CP29" i="3"/>
  <c r="CE25" i="3"/>
  <c r="CF25" i="3"/>
  <c r="CH8" i="3"/>
  <c r="CE26" i="3"/>
  <c r="CA33" i="3"/>
  <c r="CB33" i="3"/>
  <c r="CN31" i="3"/>
  <c r="CN89" i="4"/>
  <c r="CO89" i="4"/>
  <c r="CD40" i="4"/>
  <c r="CL65" i="4"/>
  <c r="CM65" i="4"/>
  <c r="CN65" i="4"/>
  <c r="CO65" i="4"/>
  <c r="CE66" i="4"/>
  <c r="CK44" i="4"/>
  <c r="CL44" i="4"/>
  <c r="CM44" i="4"/>
  <c r="CE30" i="4"/>
  <c r="CF30" i="4"/>
  <c r="CG30" i="4"/>
  <c r="CE67" i="4"/>
  <c r="CF67" i="4"/>
  <c r="CN28" i="4"/>
  <c r="CJ25" i="4"/>
  <c r="CK25" i="4"/>
  <c r="CI60" i="4"/>
  <c r="CE33" i="4"/>
  <c r="CF33" i="4"/>
  <c r="CJ26" i="4"/>
  <c r="CK26" i="4"/>
  <c r="CL26" i="4"/>
  <c r="CF24" i="4"/>
  <c r="CI88" i="4"/>
  <c r="CF46" i="4"/>
  <c r="CG46" i="4"/>
  <c r="CK34" i="4"/>
  <c r="CL34" i="4"/>
  <c r="CI36" i="4"/>
  <c r="CJ36" i="4"/>
  <c r="CC62" i="4"/>
  <c r="CF27" i="4"/>
  <c r="CK17" i="4"/>
  <c r="BZ31" i="4"/>
  <c r="CE51" i="4"/>
  <c r="CM61" i="4"/>
  <c r="CI29" i="4"/>
  <c r="CJ29" i="4"/>
  <c r="CT35" i="4"/>
  <c r="CU35" i="4"/>
  <c r="CI32" i="4"/>
  <c r="CK30" i="3"/>
  <c r="CL30" i="3"/>
  <c r="CM30" i="3"/>
  <c r="CE34" i="3"/>
  <c r="CF34" i="3"/>
  <c r="CG34" i="3"/>
  <c r="CH34" i="3"/>
  <c r="DI18" i="4"/>
  <c r="CD45" i="4"/>
  <c r="CE45" i="4"/>
  <c r="CF27" i="3"/>
  <c r="CI24" i="3"/>
  <c r="CJ24" i="3"/>
  <c r="CJ9" i="3"/>
  <c r="CO7" i="3"/>
  <c r="CL28" i="3"/>
  <c r="CG35" i="3"/>
  <c r="CQ29" i="3"/>
  <c r="CG25" i="3"/>
  <c r="CH25" i="3"/>
  <c r="CI8" i="3"/>
  <c r="CF26" i="3"/>
  <c r="CC33" i="3"/>
  <c r="CD33" i="3"/>
  <c r="CE33" i="3"/>
  <c r="CO31" i="3"/>
  <c r="CP89" i="4"/>
  <c r="CQ89" i="4"/>
  <c r="CE40" i="4"/>
  <c r="CP65" i="4"/>
  <c r="CF66" i="4"/>
  <c r="CG66" i="4"/>
  <c r="CH66" i="4"/>
  <c r="CI66" i="4"/>
  <c r="CN44" i="4"/>
  <c r="CH30" i="4"/>
  <c r="CI30" i="4"/>
  <c r="CJ30" i="4"/>
  <c r="CG67" i="4"/>
  <c r="CH67" i="4"/>
  <c r="CI67" i="4"/>
  <c r="CJ67" i="4"/>
  <c r="CO28" i="4"/>
  <c r="CP28" i="4"/>
  <c r="CQ28" i="4"/>
  <c r="CR28" i="4"/>
  <c r="CL25" i="4"/>
  <c r="CJ60" i="4"/>
  <c r="CG33" i="4"/>
  <c r="CH33" i="4"/>
  <c r="CM26" i="4"/>
  <c r="CG24" i="4"/>
  <c r="CJ88" i="4"/>
  <c r="CK88" i="4"/>
  <c r="CL88" i="4"/>
  <c r="CH46" i="4"/>
  <c r="CM34" i="4"/>
  <c r="CN34" i="4"/>
  <c r="CK36" i="4"/>
  <c r="CL36" i="4"/>
  <c r="CM36" i="4"/>
  <c r="CN36" i="4"/>
  <c r="CD62" i="4"/>
  <c r="CG27" i="4"/>
  <c r="CL17" i="4"/>
  <c r="CM17" i="4"/>
  <c r="CN17" i="4"/>
  <c r="CA31" i="4"/>
  <c r="CF51" i="4"/>
  <c r="CN61" i="4"/>
  <c r="CO61" i="4"/>
  <c r="CK29" i="4"/>
  <c r="CV35" i="4"/>
  <c r="CJ32" i="4"/>
  <c r="CN30" i="3"/>
  <c r="CO30" i="3"/>
  <c r="CI34" i="3"/>
  <c r="DK18" i="4"/>
  <c r="DM18" i="4"/>
  <c r="CF45" i="4"/>
  <c r="CG45" i="4"/>
  <c r="CH45" i="4"/>
  <c r="CG27" i="3"/>
  <c r="CK24" i="3"/>
  <c r="CK9" i="3"/>
  <c r="CP7" i="3"/>
  <c r="CM28" i="3"/>
  <c r="CH35" i="3"/>
  <c r="CR29" i="3"/>
  <c r="CS29" i="3"/>
  <c r="CI25" i="3"/>
  <c r="CJ25" i="3"/>
  <c r="CJ8" i="3"/>
  <c r="CK8" i="3"/>
  <c r="CG26" i="3"/>
  <c r="CH26" i="3"/>
  <c r="CI26" i="3"/>
  <c r="CF33" i="3"/>
  <c r="CP31" i="3"/>
  <c r="CQ31" i="3"/>
  <c r="CR31" i="3"/>
  <c r="CS31" i="3"/>
  <c r="CR89" i="4"/>
  <c r="CS89" i="4"/>
  <c r="CF40" i="4"/>
  <c r="CQ65" i="4"/>
  <c r="CJ66" i="4"/>
  <c r="CO44" i="4"/>
  <c r="CK30" i="4"/>
  <c r="CK67" i="4"/>
  <c r="CL67" i="4"/>
  <c r="CS28" i="4"/>
  <c r="CT28" i="4"/>
  <c r="CM25" i="4"/>
  <c r="CK60" i="4"/>
  <c r="CI33" i="4"/>
  <c r="CN26" i="4"/>
  <c r="CH24" i="4"/>
  <c r="CM88" i="4"/>
  <c r="CI46" i="4"/>
  <c r="CJ46" i="4"/>
  <c r="CO34" i="4"/>
  <c r="CO36" i="4"/>
  <c r="CE62" i="4"/>
  <c r="CH27" i="4"/>
  <c r="CO17" i="4"/>
  <c r="CP17" i="4"/>
  <c r="CB31" i="4"/>
  <c r="CG51" i="4"/>
  <c r="CH51" i="4"/>
  <c r="CP61" i="4"/>
  <c r="CL29" i="4"/>
  <c r="CW35" i="4"/>
  <c r="CK32" i="4"/>
  <c r="CL32" i="4"/>
  <c r="CM32" i="4"/>
  <c r="CP30" i="3"/>
  <c r="CJ34" i="3"/>
  <c r="CK34" i="3"/>
  <c r="DO18" i="4"/>
  <c r="DQ18" i="4"/>
  <c r="CI45" i="4"/>
  <c r="CJ45" i="4"/>
  <c r="CH27" i="3"/>
  <c r="CL24" i="3"/>
  <c r="CM24" i="3"/>
  <c r="CL9" i="3"/>
  <c r="CQ7" i="3"/>
  <c r="CN28" i="3"/>
  <c r="CI35" i="3"/>
  <c r="CJ35" i="3"/>
  <c r="CT29" i="3"/>
  <c r="CK25" i="3"/>
  <c r="CL8" i="3"/>
  <c r="CJ26" i="3"/>
  <c r="CG33" i="3"/>
  <c r="CT31" i="3"/>
  <c r="CT89" i="4"/>
  <c r="CG40" i="4"/>
  <c r="CH40" i="4"/>
  <c r="CR65" i="4"/>
  <c r="CS65" i="4"/>
  <c r="CK66" i="4"/>
  <c r="CP44" i="4"/>
  <c r="CQ44" i="4"/>
  <c r="CR44" i="4"/>
  <c r="CL30" i="4"/>
  <c r="CM30" i="4"/>
  <c r="CM67" i="4"/>
  <c r="CU28" i="4"/>
  <c r="CV28" i="4"/>
  <c r="CW28" i="4"/>
  <c r="CX28" i="4"/>
  <c r="CN25" i="4"/>
  <c r="CL60" i="4"/>
  <c r="CJ33" i="4"/>
  <c r="CO26" i="4"/>
  <c r="CP26" i="4"/>
  <c r="CI24" i="4"/>
  <c r="CN88" i="4"/>
  <c r="CO88" i="4"/>
  <c r="CP88" i="4"/>
  <c r="CK46" i="4"/>
  <c r="CP34" i="4"/>
  <c r="CQ34" i="4"/>
  <c r="CP36" i="4"/>
  <c r="CQ36" i="4"/>
  <c r="CR36" i="4"/>
  <c r="CF62" i="4"/>
  <c r="CI27" i="4"/>
  <c r="CJ27" i="4"/>
  <c r="CQ17" i="4"/>
  <c r="CC31" i="4"/>
  <c r="CD31" i="4"/>
  <c r="CI51" i="4"/>
  <c r="CJ51" i="4"/>
  <c r="CQ61" i="4"/>
  <c r="CM29" i="4"/>
  <c r="CN29" i="4"/>
  <c r="CO29" i="4"/>
  <c r="CX35" i="4"/>
  <c r="CY35" i="4"/>
  <c r="CZ35" i="4"/>
  <c r="DA35" i="4"/>
  <c r="DB35" i="4"/>
  <c r="CN32" i="4"/>
  <c r="CQ30" i="3"/>
  <c r="CL34" i="3"/>
  <c r="CM34" i="3"/>
  <c r="CN34" i="3"/>
  <c r="DS18" i="4"/>
  <c r="DU18" i="4" s="1"/>
  <c r="DW18" i="4"/>
  <c r="DY18" i="4"/>
  <c r="CK45" i="4"/>
  <c r="CL45" i="4"/>
  <c r="CM45" i="4"/>
  <c r="CN45" i="4"/>
  <c r="CI27" i="3"/>
  <c r="CN24" i="3"/>
  <c r="CM9" i="3"/>
  <c r="CN9" i="3"/>
  <c r="CO9" i="3"/>
  <c r="CP9" i="3"/>
  <c r="CR7" i="3"/>
  <c r="CS7" i="3"/>
  <c r="CT7" i="3"/>
  <c r="CO28" i="3"/>
  <c r="CK35" i="3"/>
  <c r="CL35" i="3"/>
  <c r="CU29" i="3"/>
  <c r="CL25" i="3"/>
  <c r="CM8" i="3"/>
  <c r="CN8" i="3"/>
  <c r="CO8" i="3"/>
  <c r="CK26" i="3"/>
  <c r="CL26" i="3"/>
  <c r="CM26" i="3"/>
  <c r="CN26" i="3"/>
  <c r="CH33" i="3"/>
  <c r="CU31" i="3"/>
  <c r="CV31" i="3"/>
  <c r="CU89" i="4"/>
  <c r="CV89" i="4"/>
  <c r="CW89" i="4"/>
  <c r="CX89" i="4"/>
  <c r="CI40" i="4"/>
  <c r="CT65" i="4"/>
  <c r="CL66" i="4"/>
  <c r="CS44" i="4"/>
  <c r="CN30" i="4"/>
  <c r="CN67" i="4"/>
  <c r="CY28" i="4"/>
  <c r="CO25" i="4"/>
  <c r="CM60" i="4"/>
  <c r="CK33" i="4"/>
  <c r="CQ26" i="4"/>
  <c r="CJ24" i="4"/>
  <c r="CQ88" i="4"/>
  <c r="CR88" i="4"/>
  <c r="CL46" i="4"/>
  <c r="CM46" i="4"/>
  <c r="CR34" i="4"/>
  <c r="CS36" i="4"/>
  <c r="CG62" i="4"/>
  <c r="CK27" i="4"/>
  <c r="CR17" i="4"/>
  <c r="CE31" i="4"/>
  <c r="CF31" i="4"/>
  <c r="CG31" i="4"/>
  <c r="CK51" i="4"/>
  <c r="CR61" i="4"/>
  <c r="CS61" i="4"/>
  <c r="CT61" i="4"/>
  <c r="CP29" i="4"/>
  <c r="CQ29" i="4"/>
  <c r="DC35" i="4"/>
  <c r="DD35" i="4"/>
  <c r="CO32" i="4"/>
  <c r="CP32" i="4"/>
  <c r="CR30" i="3"/>
  <c r="CS30" i="3"/>
  <c r="CO34" i="3"/>
  <c r="CP34" i="3"/>
  <c r="CO45" i="4"/>
  <c r="CP45" i="4"/>
  <c r="CJ27" i="3"/>
  <c r="CO24" i="3"/>
  <c r="CQ9" i="3"/>
  <c r="CR9" i="3"/>
  <c r="CU7" i="3"/>
  <c r="CV7" i="3"/>
  <c r="CP28" i="3"/>
  <c r="CQ28" i="3"/>
  <c r="CM35" i="3"/>
  <c r="CN35" i="3"/>
  <c r="CV29" i="3"/>
  <c r="CM25" i="3"/>
  <c r="CP8" i="3"/>
  <c r="CO26" i="3"/>
  <c r="CI33" i="3"/>
  <c r="CJ33" i="3"/>
  <c r="CW31" i="3"/>
  <c r="CX31" i="3"/>
  <c r="CY31" i="3"/>
  <c r="CY89" i="4"/>
  <c r="CZ89" i="4"/>
  <c r="CJ40" i="4"/>
  <c r="CU65" i="4"/>
  <c r="CM66" i="4"/>
  <c r="CN66" i="4"/>
  <c r="CT44" i="4"/>
  <c r="CO30" i="4"/>
  <c r="CP30" i="4"/>
  <c r="CO67" i="4"/>
  <c r="CZ28" i="4"/>
  <c r="CP25" i="4"/>
  <c r="CQ25" i="4"/>
  <c r="CN60" i="4"/>
  <c r="CL33" i="4"/>
  <c r="CR26" i="4"/>
  <c r="CS26" i="4"/>
  <c r="CT26" i="4"/>
  <c r="CU26" i="4"/>
  <c r="CV26" i="4"/>
  <c r="CK24" i="4"/>
  <c r="CS88" i="4"/>
  <c r="CN46" i="4"/>
  <c r="CO46" i="4"/>
  <c r="CS34" i="4"/>
  <c r="CT36" i="4"/>
  <c r="CH62" i="4"/>
  <c r="CL27" i="4"/>
  <c r="CS17" i="4"/>
  <c r="CT17" i="4"/>
  <c r="CH31" i="4"/>
  <c r="CL51" i="4"/>
  <c r="CU61" i="4"/>
  <c r="CR29" i="4"/>
  <c r="DE35" i="4"/>
  <c r="DF35" i="4"/>
  <c r="DG35" i="4"/>
  <c r="CQ32" i="4"/>
  <c r="CR32" i="4"/>
  <c r="CS32" i="4"/>
  <c r="CT30" i="3"/>
  <c r="CQ34" i="3"/>
  <c r="CQ45" i="4"/>
  <c r="CR45" i="4"/>
  <c r="CS45" i="4"/>
  <c r="CK27" i="3"/>
  <c r="CL27" i="3"/>
  <c r="CM27" i="3"/>
  <c r="CP24" i="3"/>
  <c r="CQ24" i="3"/>
  <c r="CR24" i="3"/>
  <c r="CS9" i="3"/>
  <c r="CW7" i="3"/>
  <c r="CR28" i="3"/>
  <c r="CO35" i="3"/>
  <c r="CP35" i="3"/>
  <c r="CQ35" i="3"/>
  <c r="CR35" i="3"/>
  <c r="CW29" i="3"/>
  <c r="CX29" i="3"/>
  <c r="CY29" i="3"/>
  <c r="CN25" i="3"/>
  <c r="CO25" i="3"/>
  <c r="CQ8" i="3"/>
  <c r="CR8" i="3"/>
  <c r="CP26" i="3"/>
  <c r="CK33" i="3"/>
  <c r="CZ31" i="3"/>
  <c r="DA31" i="3"/>
  <c r="DA89" i="4"/>
  <c r="DB89" i="4"/>
  <c r="CK40" i="4"/>
  <c r="CL40" i="4"/>
  <c r="CV65" i="4"/>
  <c r="CO66" i="4"/>
  <c r="CP66" i="4"/>
  <c r="CU44" i="4"/>
  <c r="CQ30" i="4"/>
  <c r="CR30" i="4"/>
  <c r="CP67" i="4"/>
  <c r="CQ67" i="4"/>
  <c r="DA28" i="4"/>
  <c r="CR25" i="4"/>
  <c r="CS25" i="4"/>
  <c r="CO60" i="4"/>
  <c r="CM33" i="4"/>
  <c r="CN33" i="4"/>
  <c r="CO33" i="4"/>
  <c r="CW26" i="4"/>
  <c r="CL24" i="4"/>
  <c r="CM24" i="4"/>
  <c r="CT88" i="4"/>
  <c r="CP46" i="4"/>
  <c r="CT34" i="4"/>
  <c r="CU36" i="4"/>
  <c r="CI62" i="4"/>
  <c r="CM27" i="4"/>
  <c r="CU17" i="4"/>
  <c r="CV17" i="4"/>
  <c r="CW17" i="4"/>
  <c r="CI31" i="4"/>
  <c r="CM51" i="4"/>
  <c r="CV61" i="4"/>
  <c r="CW61" i="4"/>
  <c r="CS29" i="4"/>
  <c r="DH35" i="4"/>
  <c r="DI35" i="4"/>
  <c r="DJ35" i="4"/>
  <c r="CT32" i="4"/>
  <c r="CU30" i="3"/>
  <c r="CR34" i="3"/>
  <c r="CT45" i="4"/>
  <c r="CU45" i="4"/>
  <c r="CV45" i="4"/>
  <c r="CN27" i="3"/>
  <c r="CS24" i="3"/>
  <c r="CT9" i="3"/>
  <c r="CX7" i="3"/>
  <c r="CY7" i="3"/>
  <c r="CS28" i="3"/>
  <c r="CT28" i="3"/>
  <c r="CS35" i="3"/>
  <c r="CZ29" i="3"/>
  <c r="DA29" i="3"/>
  <c r="CP25" i="3"/>
  <c r="CQ25" i="3"/>
  <c r="CS8" i="3"/>
  <c r="CT8" i="3"/>
  <c r="CQ26" i="3"/>
  <c r="CR26" i="3"/>
  <c r="CL33" i="3"/>
  <c r="DB31" i="3"/>
  <c r="DC31" i="3"/>
  <c r="DC89" i="4"/>
  <c r="DD89" i="4"/>
  <c r="DE89" i="4"/>
  <c r="DF89" i="4"/>
  <c r="DG89" i="4"/>
  <c r="CM40" i="4"/>
  <c r="CN40" i="4"/>
  <c r="CW65" i="4"/>
  <c r="CX65" i="4"/>
  <c r="CY65" i="4"/>
  <c r="CQ66" i="4"/>
  <c r="CR66" i="4"/>
  <c r="CS66" i="4"/>
  <c r="CT66" i="4"/>
  <c r="CV44" i="4"/>
  <c r="CW44" i="4"/>
  <c r="CX44" i="4"/>
  <c r="CS30" i="4"/>
  <c r="CR67" i="4"/>
  <c r="CS67" i="4"/>
  <c r="DB28" i="4"/>
  <c r="DC28" i="4"/>
  <c r="CT25" i="4"/>
  <c r="CP60" i="4"/>
  <c r="CP33" i="4"/>
  <c r="CX26" i="4"/>
  <c r="CY26" i="4"/>
  <c r="CZ26" i="4"/>
  <c r="CN24" i="4"/>
  <c r="CU88" i="4"/>
  <c r="CV88" i="4"/>
  <c r="CQ46" i="4"/>
  <c r="CR46" i="4"/>
  <c r="CS46" i="4"/>
  <c r="CU34" i="4"/>
  <c r="CV36" i="4"/>
  <c r="CW36" i="4"/>
  <c r="CX36" i="4"/>
  <c r="CJ62" i="4"/>
  <c r="CK62" i="4"/>
  <c r="CN27" i="4"/>
  <c r="CX17" i="4"/>
  <c r="CJ31" i="4"/>
  <c r="CN51" i="4"/>
  <c r="CX61" i="4"/>
  <c r="CT29" i="4"/>
  <c r="CU29" i="4"/>
  <c r="DK35" i="4"/>
  <c r="CU32" i="4"/>
  <c r="CV30" i="3"/>
  <c r="CW30" i="3"/>
  <c r="CS34" i="3"/>
  <c r="CT34" i="3"/>
  <c r="CU34" i="3"/>
  <c r="CV34" i="3"/>
  <c r="CW34" i="3"/>
  <c r="CW45" i="4"/>
  <c r="CO27" i="3"/>
  <c r="CT24" i="3"/>
  <c r="CU24" i="3"/>
  <c r="CU9" i="3"/>
  <c r="CZ7" i="3"/>
  <c r="DA7" i="3"/>
  <c r="CU28" i="3"/>
  <c r="CV28" i="3"/>
  <c r="CT35" i="3"/>
  <c r="DB29" i="3"/>
  <c r="CR25" i="3"/>
  <c r="CS25" i="3"/>
  <c r="CT25" i="3"/>
  <c r="CU8" i="3"/>
  <c r="CV8" i="3"/>
  <c r="CW8" i="3"/>
  <c r="CS26" i="3"/>
  <c r="CM33" i="3"/>
  <c r="DD31" i="3"/>
  <c r="DH89" i="4"/>
  <c r="CO40" i="4"/>
  <c r="CP40" i="4"/>
  <c r="CZ65" i="4"/>
  <c r="DA65" i="4"/>
  <c r="CU66" i="4"/>
  <c r="CV66" i="4"/>
  <c r="CY44" i="4"/>
  <c r="CZ44" i="4"/>
  <c r="CT30" i="4"/>
  <c r="CU30" i="4"/>
  <c r="CT67" i="4"/>
  <c r="DD28" i="4"/>
  <c r="CU25" i="4"/>
  <c r="CQ60" i="4"/>
  <c r="CQ33" i="4"/>
  <c r="DA26" i="4"/>
  <c r="CO24" i="4"/>
  <c r="CW88" i="4"/>
  <c r="CT46" i="4"/>
  <c r="CV34" i="4"/>
  <c r="CY36" i="4"/>
  <c r="CL62" i="4"/>
  <c r="CO27" i="4"/>
  <c r="CY17" i="4"/>
  <c r="CZ17" i="4"/>
  <c r="CK31" i="4"/>
  <c r="CO51" i="4"/>
  <c r="CY61" i="4"/>
  <c r="CZ61" i="4"/>
  <c r="CV29" i="4"/>
  <c r="CW29" i="4"/>
  <c r="DL35" i="4"/>
  <c r="CV32" i="4"/>
  <c r="CW32" i="4"/>
  <c r="CX30" i="3"/>
  <c r="CX34" i="3"/>
  <c r="CY34" i="3"/>
  <c r="CX45" i="4"/>
  <c r="CY45" i="4"/>
  <c r="CZ45" i="4"/>
  <c r="CP27" i="3"/>
  <c r="CV24" i="3"/>
  <c r="CV9" i="3"/>
  <c r="DB7" i="3"/>
  <c r="DC7" i="3"/>
  <c r="CW28" i="3"/>
  <c r="CU35" i="3"/>
  <c r="DC29" i="3"/>
  <c r="DD29" i="3"/>
  <c r="CU25" i="3"/>
  <c r="CX8" i="3"/>
  <c r="CY8" i="3"/>
  <c r="CT26" i="3"/>
  <c r="CU26" i="3"/>
  <c r="CN33" i="3"/>
  <c r="DE31" i="3"/>
  <c r="DF31" i="3"/>
  <c r="DI89" i="4"/>
  <c r="CQ40" i="4"/>
  <c r="DB65" i="4"/>
  <c r="CW66" i="4"/>
  <c r="DA44" i="4"/>
  <c r="DB44" i="4"/>
  <c r="DC44" i="4"/>
  <c r="CV30" i="4"/>
  <c r="CW30" i="4"/>
  <c r="CX30" i="4"/>
  <c r="CU67" i="4"/>
  <c r="DE28" i="4"/>
  <c r="DF28" i="4"/>
  <c r="CV25" i="4"/>
  <c r="CW25" i="4"/>
  <c r="CR60" i="4"/>
  <c r="CS60" i="4"/>
  <c r="CR33" i="4"/>
  <c r="CS33" i="4"/>
  <c r="DB26" i="4"/>
  <c r="DC26" i="4"/>
  <c r="DD26" i="4"/>
  <c r="DE26" i="4"/>
  <c r="DF26" i="4"/>
  <c r="DG26" i="4"/>
  <c r="CP24" i="4"/>
  <c r="CQ24" i="4"/>
  <c r="CX88" i="4"/>
  <c r="CU46" i="4"/>
  <c r="CV46" i="4"/>
  <c r="CW34" i="4"/>
  <c r="CX34" i="4"/>
  <c r="CY34" i="4"/>
  <c r="CZ36" i="4"/>
  <c r="CM62" i="4"/>
  <c r="CN62" i="4"/>
  <c r="CO62" i="4"/>
  <c r="CP27" i="4"/>
  <c r="DA17" i="4"/>
  <c r="DB17" i="4"/>
  <c r="CL31" i="4"/>
  <c r="CM31" i="4"/>
  <c r="CP51" i="4"/>
  <c r="DA61" i="4"/>
  <c r="CX29" i="4"/>
  <c r="DM35" i="4"/>
  <c r="CX32" i="4"/>
  <c r="CY30" i="3"/>
  <c r="CZ34" i="3"/>
  <c r="DA34" i="3"/>
  <c r="DA45" i="4"/>
  <c r="DB45" i="4"/>
  <c r="DC45" i="4"/>
  <c r="CQ27" i="3"/>
  <c r="CW24" i="3"/>
  <c r="CW9" i="3"/>
  <c r="CX9" i="3"/>
  <c r="DD7" i="3"/>
  <c r="CX28" i="3"/>
  <c r="CV35" i="3"/>
  <c r="DE29" i="3"/>
  <c r="CV25" i="3"/>
  <c r="CW25" i="3"/>
  <c r="CZ8" i="3"/>
  <c r="DA8" i="3"/>
  <c r="CV26" i="3"/>
  <c r="CO33" i="3"/>
  <c r="DG31" i="3"/>
  <c r="DH31" i="3"/>
  <c r="DJ89" i="4"/>
  <c r="DK89" i="4"/>
  <c r="CR40" i="4"/>
  <c r="CS40" i="4"/>
  <c r="DC65" i="4"/>
  <c r="DD65" i="4"/>
  <c r="CX66" i="4"/>
  <c r="DD44" i="4"/>
  <c r="CY30" i="4"/>
  <c r="CV67" i="4"/>
  <c r="CW67" i="4"/>
  <c r="CX67" i="4"/>
  <c r="DG28" i="4"/>
  <c r="CX25" i="4"/>
  <c r="CT60" i="4"/>
  <c r="CT33" i="4"/>
  <c r="DH26" i="4"/>
  <c r="CR24" i="4"/>
  <c r="CS24" i="4"/>
  <c r="CT24" i="4"/>
  <c r="CY88" i="4"/>
  <c r="CW46" i="4"/>
  <c r="CZ34" i="4"/>
  <c r="DA36" i="4"/>
  <c r="DB36" i="4"/>
  <c r="CP62" i="4"/>
  <c r="CQ27" i="4"/>
  <c r="DC17" i="4"/>
  <c r="CN31" i="4"/>
  <c r="CO31" i="4"/>
  <c r="CQ51" i="4"/>
  <c r="CR51" i="4"/>
  <c r="DB61" i="4"/>
  <c r="DC61" i="4"/>
  <c r="DD61" i="4"/>
  <c r="DE61" i="4"/>
  <c r="CY29" i="4"/>
  <c r="DN35" i="4"/>
  <c r="DO35" i="4"/>
  <c r="CY32" i="4"/>
  <c r="CZ30" i="3"/>
  <c r="DB34" i="3"/>
  <c r="DD45" i="4"/>
  <c r="CR27" i="3"/>
  <c r="CS27" i="3"/>
  <c r="CT27" i="3"/>
  <c r="CX24" i="3"/>
  <c r="CY9" i="3"/>
  <c r="CZ9" i="3"/>
  <c r="DA9" i="3"/>
  <c r="DE7" i="3"/>
  <c r="CY28" i="3"/>
  <c r="CZ28" i="3"/>
  <c r="DA28" i="3"/>
  <c r="CW35" i="3"/>
  <c r="DF29" i="3"/>
  <c r="CX25" i="3"/>
  <c r="DB8" i="3"/>
  <c r="CW26" i="3"/>
  <c r="CP33" i="3"/>
  <c r="DI31" i="3"/>
  <c r="DJ31" i="3"/>
  <c r="DK31" i="3"/>
  <c r="DL89" i="4"/>
  <c r="DM89" i="4"/>
  <c r="CT40" i="4"/>
  <c r="DE65" i="4"/>
  <c r="CY66" i="4"/>
  <c r="CZ66" i="4"/>
  <c r="DE44" i="4"/>
  <c r="CZ30" i="4"/>
  <c r="CY67" i="4"/>
  <c r="DH28" i="4"/>
  <c r="DI28" i="4"/>
  <c r="DJ28" i="4"/>
  <c r="CY25" i="4"/>
  <c r="CU60" i="4"/>
  <c r="CU33" i="4"/>
  <c r="CV33" i="4"/>
  <c r="DI26" i="4"/>
  <c r="CU24" i="4"/>
  <c r="CV24" i="4"/>
  <c r="CZ88" i="4"/>
  <c r="DA88" i="4"/>
  <c r="DB88" i="4"/>
  <c r="CX46" i="4"/>
  <c r="CY46" i="4"/>
  <c r="DA34" i="4"/>
  <c r="DC36" i="4"/>
  <c r="CQ62" i="4"/>
  <c r="CR27" i="4"/>
  <c r="DD17" i="4"/>
  <c r="DE17" i="4"/>
  <c r="CP31" i="4"/>
  <c r="CS51" i="4"/>
  <c r="CT51" i="4"/>
  <c r="DF61" i="4"/>
  <c r="CZ29" i="4"/>
  <c r="DP35" i="4"/>
  <c r="DQ35" i="4"/>
  <c r="CZ32" i="4"/>
  <c r="DA30" i="3"/>
  <c r="DC34" i="3"/>
  <c r="DD34" i="3"/>
  <c r="DE45" i="4"/>
  <c r="CU27" i="3"/>
  <c r="CV27" i="3"/>
  <c r="CW27" i="3"/>
  <c r="CY24" i="3"/>
  <c r="DB9" i="3"/>
  <c r="DF7" i="3"/>
  <c r="DG7" i="3"/>
  <c r="DB28" i="3"/>
  <c r="CX35" i="3"/>
  <c r="DG29" i="3"/>
  <c r="DH29" i="3"/>
  <c r="DI29" i="3"/>
  <c r="CY25" i="3"/>
  <c r="DC8" i="3"/>
  <c r="DD8" i="3"/>
  <c r="CX26" i="3"/>
  <c r="CQ33" i="3"/>
  <c r="CR33" i="3"/>
  <c r="CS33" i="3"/>
  <c r="CT33" i="3"/>
  <c r="CU33" i="3"/>
  <c r="CV33" i="3"/>
  <c r="DL31" i="3"/>
  <c r="DN89" i="4"/>
  <c r="DO89" i="4"/>
  <c r="DP89" i="4"/>
  <c r="DQ89" i="4"/>
  <c r="CU40" i="4"/>
  <c r="DF65" i="4"/>
  <c r="DA66" i="4"/>
  <c r="DF44" i="4"/>
  <c r="DA30" i="4"/>
  <c r="DB30" i="4"/>
  <c r="CZ67" i="4"/>
  <c r="DK28" i="4"/>
  <c r="CZ25" i="4"/>
  <c r="CV60" i="4"/>
  <c r="CW33" i="4"/>
  <c r="DJ26" i="4"/>
  <c r="CW24" i="4"/>
  <c r="DC88" i="4"/>
  <c r="CZ46" i="4"/>
  <c r="DB34" i="4"/>
  <c r="DD36" i="4"/>
  <c r="CR62" i="4"/>
  <c r="CS27" i="4"/>
  <c r="DF17" i="4"/>
  <c r="CQ31" i="4"/>
  <c r="CR31" i="4"/>
  <c r="CU51" i="4"/>
  <c r="DG61" i="4"/>
  <c r="DH61" i="4"/>
  <c r="DA29" i="4"/>
  <c r="DB29" i="4"/>
  <c r="DR35" i="4"/>
  <c r="DS35" i="4"/>
  <c r="DT35" i="4"/>
  <c r="DU35" i="4"/>
  <c r="DA32" i="4"/>
  <c r="DB32" i="4"/>
  <c r="DC32" i="4"/>
  <c r="DB30" i="3"/>
  <c r="DE34" i="3"/>
  <c r="DF34" i="3"/>
  <c r="DF45" i="4"/>
  <c r="DG45" i="4"/>
  <c r="CX27" i="3"/>
  <c r="CZ24" i="3"/>
  <c r="DC9" i="3"/>
  <c r="DH7" i="3"/>
  <c r="DC28" i="3"/>
  <c r="CY35" i="3"/>
  <c r="DJ29" i="3"/>
  <c r="CZ25" i="3"/>
  <c r="DE8" i="3"/>
  <c r="CY26" i="3"/>
  <c r="CZ26" i="3"/>
  <c r="DA26" i="3"/>
  <c r="DB26" i="3"/>
  <c r="CW33" i="3"/>
  <c r="CX33" i="3"/>
  <c r="DM31" i="3"/>
  <c r="DN31" i="3"/>
  <c r="DR89" i="4"/>
  <c r="CV40" i="4"/>
  <c r="CW40" i="4"/>
  <c r="DG65" i="4"/>
  <c r="DB66" i="4"/>
  <c r="DG44" i="4"/>
  <c r="DH44" i="4"/>
  <c r="DI44" i="4"/>
  <c r="DC30" i="4"/>
  <c r="DD30" i="4"/>
  <c r="DA67" i="4"/>
  <c r="DB67" i="4"/>
  <c r="DL28" i="4"/>
  <c r="DA25" i="4"/>
  <c r="CW60" i="4"/>
  <c r="CX33" i="4"/>
  <c r="CY33" i="4"/>
  <c r="CZ33" i="4"/>
  <c r="DK26" i="4"/>
  <c r="CX24" i="4"/>
  <c r="CY24" i="4"/>
  <c r="CZ24" i="4"/>
  <c r="DD88" i="4"/>
  <c r="DA46" i="4"/>
  <c r="DC34" i="4"/>
  <c r="DE36" i="4"/>
  <c r="CS62" i="4"/>
  <c r="CT27" i="4"/>
  <c r="CU27" i="4"/>
  <c r="DG17" i="4"/>
  <c r="CS31" i="4"/>
  <c r="CV51" i="4"/>
  <c r="DI61" i="4"/>
  <c r="DJ61" i="4"/>
  <c r="DC29" i="4"/>
  <c r="DV35" i="4"/>
  <c r="DD32" i="4"/>
  <c r="DC30" i="3"/>
  <c r="DD30" i="3"/>
  <c r="DG34" i="3"/>
  <c r="DH34" i="3"/>
  <c r="DH45" i="4"/>
  <c r="CY27" i="3"/>
  <c r="CZ27" i="3"/>
  <c r="DA24" i="3"/>
  <c r="DB24" i="3"/>
  <c r="DD9" i="3"/>
  <c r="DE9" i="3"/>
  <c r="DI7" i="3"/>
  <c r="DD28" i="3"/>
  <c r="CZ35" i="3"/>
  <c r="DK29" i="3"/>
  <c r="DL29" i="3"/>
  <c r="DA25" i="3"/>
  <c r="DB25" i="3"/>
  <c r="DF8" i="3"/>
  <c r="DG8" i="3"/>
  <c r="DC26" i="3"/>
  <c r="CY33" i="3"/>
  <c r="DO31" i="3"/>
  <c r="DS89" i="4"/>
  <c r="DT89" i="4"/>
  <c r="CX40" i="4"/>
  <c r="CY40" i="4"/>
  <c r="DH65" i="4"/>
  <c r="DC66" i="4"/>
  <c r="DD66" i="4"/>
  <c r="DE66" i="4"/>
  <c r="DJ44" i="4"/>
  <c r="DE30" i="4"/>
  <c r="DF30" i="4"/>
  <c r="DC67" i="4"/>
  <c r="DD67" i="4"/>
  <c r="DM28" i="4"/>
  <c r="DN28" i="4"/>
  <c r="DB25" i="4"/>
  <c r="DC25" i="4"/>
  <c r="CX60" i="4"/>
  <c r="DA33" i="4"/>
  <c r="DL26" i="4"/>
  <c r="DA24" i="4"/>
  <c r="DB24" i="4"/>
  <c r="DE88" i="4"/>
  <c r="DB46" i="4"/>
  <c r="DC46" i="4"/>
  <c r="DD46" i="4"/>
  <c r="DE46" i="4"/>
  <c r="DD34" i="4"/>
  <c r="DF36" i="4"/>
  <c r="DG36" i="4"/>
  <c r="CT62" i="4"/>
  <c r="CV27" i="4"/>
  <c r="DH17" i="4"/>
  <c r="CT31" i="4"/>
  <c r="CW51" i="4"/>
  <c r="DK61" i="4"/>
  <c r="DD29" i="4"/>
  <c r="DE29" i="4"/>
  <c r="DW35" i="4"/>
  <c r="DE32" i="4"/>
  <c r="DE30" i="3"/>
  <c r="DF30" i="3"/>
  <c r="DI34" i="3"/>
  <c r="DI45" i="4"/>
  <c r="DA27" i="3"/>
  <c r="DB27" i="3"/>
  <c r="DC24" i="3"/>
  <c r="DD24" i="3"/>
  <c r="DE24" i="3"/>
  <c r="DF9" i="3"/>
  <c r="DG9" i="3"/>
  <c r="DJ7" i="3"/>
  <c r="DE28" i="3"/>
  <c r="DA35" i="3"/>
  <c r="DM29" i="3"/>
  <c r="DC25" i="3"/>
  <c r="DD25" i="3"/>
  <c r="DH8" i="3"/>
  <c r="DI8" i="3"/>
  <c r="DD26" i="3"/>
  <c r="DE26" i="3"/>
  <c r="CZ33" i="3"/>
  <c r="DP31" i="3"/>
  <c r="DQ31" i="3"/>
  <c r="DR31" i="3"/>
  <c r="DS31" i="3"/>
  <c r="DU89" i="4"/>
  <c r="CZ40" i="4"/>
  <c r="DI65" i="4"/>
  <c r="DF66" i="4"/>
  <c r="DK44" i="4"/>
  <c r="DG30" i="4"/>
  <c r="DE67" i="4"/>
  <c r="DO28" i="4"/>
  <c r="DD25" i="4"/>
  <c r="DE25" i="4"/>
  <c r="CY60" i="4"/>
  <c r="DB33" i="4"/>
  <c r="DC33" i="4"/>
  <c r="DD33" i="4"/>
  <c r="DM26" i="4"/>
  <c r="DC24" i="4"/>
  <c r="DD24" i="4"/>
  <c r="DE24" i="4"/>
  <c r="DF88" i="4"/>
  <c r="DF46" i="4"/>
  <c r="DG46" i="4"/>
  <c r="DE34" i="4"/>
  <c r="DF34" i="4" s="1"/>
  <c r="DG34" i="4"/>
  <c r="DH36" i="4"/>
  <c r="CU62" i="4"/>
  <c r="CV62" i="4"/>
  <c r="CW62" i="4"/>
  <c r="CW27" i="4"/>
  <c r="CX27" i="4"/>
  <c r="CY27" i="4"/>
  <c r="DI17" i="4"/>
  <c r="CU31" i="4"/>
  <c r="CX51" i="4"/>
  <c r="DL61" i="4"/>
  <c r="DF29" i="4"/>
  <c r="DX35" i="4"/>
  <c r="DF32" i="4"/>
  <c r="DG32" i="4"/>
  <c r="DG30" i="3"/>
  <c r="DJ34" i="3"/>
  <c r="DK34" i="3"/>
  <c r="DL34" i="3"/>
  <c r="DJ45" i="4"/>
  <c r="DK45" i="4"/>
  <c r="DC27" i="3"/>
  <c r="DF24" i="3"/>
  <c r="DG24" i="3"/>
  <c r="DH9" i="3"/>
  <c r="DI9" i="3"/>
  <c r="DJ9" i="3"/>
  <c r="DK7" i="3"/>
  <c r="DF28" i="3"/>
  <c r="DB35" i="3"/>
  <c r="DC35" i="3"/>
  <c r="DN29" i="3"/>
  <c r="DE25" i="3"/>
  <c r="DF25" i="3"/>
  <c r="DJ8" i="3"/>
  <c r="DF26" i="3"/>
  <c r="DG26" i="3"/>
  <c r="DA33" i="3"/>
  <c r="DT31" i="3"/>
  <c r="DU31" i="3"/>
  <c r="DV31" i="3"/>
  <c r="DV89" i="4"/>
  <c r="DW89" i="4"/>
  <c r="DA40" i="4"/>
  <c r="DJ65" i="4"/>
  <c r="DG66" i="4"/>
  <c r="DL44" i="4"/>
  <c r="DM44" i="4"/>
  <c r="DN44" i="4"/>
  <c r="DH30" i="4"/>
  <c r="DI30" i="4"/>
  <c r="DF67" i="4"/>
  <c r="DP28" i="4"/>
  <c r="DF25" i="4"/>
  <c r="CZ60" i="4"/>
  <c r="DE33" i="4"/>
  <c r="DN26" i="4"/>
  <c r="DO26" i="4"/>
  <c r="DP26" i="4"/>
  <c r="DQ26" i="4"/>
  <c r="DF24" i="4"/>
  <c r="DG88" i="4"/>
  <c r="DH34" i="4"/>
  <c r="CX62" i="4"/>
  <c r="CV31" i="4"/>
  <c r="CY51" i="4"/>
  <c r="DL7" i="3"/>
  <c r="DK8" i="3"/>
  <c r="DL8" i="3"/>
  <c r="DB33" i="3"/>
  <c r="DW31" i="3"/>
  <c r="DB40" i="4"/>
  <c r="DK65" i="4"/>
  <c r="DL65" i="4"/>
  <c r="DH66" i="4"/>
  <c r="DO44" i="4"/>
  <c r="DQ28" i="4"/>
  <c r="DA60" i="4"/>
  <c r="DR26" i="4"/>
  <c r="DS26" i="4"/>
  <c r="DH46" i="4"/>
  <c r="DI46" i="4"/>
  <c r="DJ46" i="4"/>
  <c r="DI36" i="4"/>
  <c r="CY62" i="4"/>
  <c r="CZ27" i="4"/>
  <c r="DA27" i="4"/>
  <c r="DB27" i="4"/>
  <c r="DJ17" i="4"/>
  <c r="DK17" i="4"/>
  <c r="DL17" i="4"/>
  <c r="DM61" i="4"/>
  <c r="DG29" i="4"/>
  <c r="DY35" i="4"/>
  <c r="DZ35" i="4"/>
  <c r="DH32" i="4"/>
  <c r="DH30" i="3"/>
  <c r="DM34" i="3"/>
  <c r="DN34" i="3"/>
  <c r="DL45" i="4"/>
  <c r="DM45" i="4"/>
  <c r="DD27" i="3"/>
  <c r="DH24" i="3"/>
  <c r="DI24" i="3"/>
  <c r="DK9" i="3"/>
  <c r="DL9" i="3"/>
  <c r="DM9" i="3"/>
  <c r="DN9" i="3"/>
  <c r="DM7" i="3"/>
  <c r="DN7" i="3"/>
  <c r="DG28" i="3"/>
  <c r="DH28" i="3"/>
  <c r="DI28" i="3"/>
  <c r="DD35" i="3"/>
  <c r="DO29" i="3"/>
  <c r="DP29" i="3"/>
  <c r="DG25" i="3"/>
  <c r="DH26" i="3"/>
  <c r="DI26" i="3"/>
  <c r="DJ26" i="3"/>
  <c r="DK26" i="3"/>
  <c r="DC33" i="3"/>
  <c r="DX89" i="4"/>
  <c r="DJ30" i="4"/>
  <c r="DG67" i="4"/>
  <c r="DG25" i="4"/>
  <c r="DB60" i="4"/>
  <c r="DC60" i="4"/>
  <c r="DF33" i="4"/>
  <c r="DG24" i="4"/>
  <c r="DH88" i="4"/>
  <c r="DI34" i="4"/>
  <c r="CW31" i="4"/>
  <c r="CZ51" i="4"/>
  <c r="DM8" i="3"/>
  <c r="DN8" i="3"/>
  <c r="DO8" i="3"/>
  <c r="DP8" i="3"/>
  <c r="DX31" i="3"/>
  <c r="DC40" i="4"/>
  <c r="DM65" i="4"/>
  <c r="DI66" i="4"/>
  <c r="DP44" i="4"/>
  <c r="DR28" i="4"/>
  <c r="DD60" i="4"/>
  <c r="DT26" i="4"/>
  <c r="DU26" i="4"/>
  <c r="DK46" i="4"/>
  <c r="DL46" i="4"/>
  <c r="DM46" i="4"/>
  <c r="DN46" i="4"/>
  <c r="DJ36" i="4"/>
  <c r="CZ62" i="4"/>
  <c r="DA62" i="4"/>
  <c r="DB62" i="4"/>
  <c r="DC27" i="4"/>
  <c r="DM17" i="4"/>
  <c r="DN61" i="4"/>
  <c r="DO61" i="4"/>
  <c r="DP61" i="4"/>
  <c r="DH29" i="4"/>
  <c r="DI32" i="4"/>
  <c r="DI30" i="3"/>
  <c r="DJ30" i="3"/>
  <c r="DO34" i="3"/>
  <c r="DN45" i="4"/>
  <c r="DO45" i="4"/>
  <c r="DP45" i="4"/>
  <c r="DE27" i="3"/>
  <c r="DF27" i="3"/>
  <c r="DJ24" i="3"/>
  <c r="DK24" i="3"/>
  <c r="DL24" i="3"/>
  <c r="DO9" i="3"/>
  <c r="DO7" i="3"/>
  <c r="DP7" i="3"/>
  <c r="DJ28" i="3"/>
  <c r="DE35" i="3"/>
  <c r="DF35" i="3"/>
  <c r="DQ29" i="3"/>
  <c r="DH25" i="3"/>
  <c r="DL26" i="3"/>
  <c r="DM26" i="3"/>
  <c r="DD33" i="3"/>
  <c r="DY89" i="4"/>
  <c r="DZ89" i="4"/>
  <c r="DK30" i="4"/>
  <c r="DH67" i="4"/>
  <c r="DH25" i="4"/>
  <c r="DE60" i="4"/>
  <c r="DG33" i="4"/>
  <c r="DH24" i="4"/>
  <c r="DI88" i="4"/>
  <c r="DJ88" i="4"/>
  <c r="DJ34" i="4"/>
  <c r="DK34" i="4"/>
  <c r="CX31" i="4"/>
  <c r="DA51" i="4"/>
  <c r="DQ8" i="3"/>
  <c r="DY31" i="3"/>
  <c r="DZ31" i="3"/>
  <c r="EA31" i="3"/>
  <c r="DD40" i="4"/>
  <c r="DE40" i="4"/>
  <c r="DN65" i="4"/>
  <c r="DJ66" i="4"/>
  <c r="DK66" i="4"/>
  <c r="DQ44" i="4"/>
  <c r="DR44" i="4"/>
  <c r="DS44" i="4" s="1"/>
  <c r="DS28" i="4"/>
  <c r="DT28" i="4" s="1"/>
  <c r="DU28" i="4"/>
  <c r="DF60" i="4"/>
  <c r="DV26" i="4"/>
  <c r="DO46" i="4"/>
  <c r="DK36" i="4"/>
  <c r="DL36" i="4"/>
  <c r="DM36" i="4"/>
  <c r="DC62" i="4"/>
  <c r="DD27" i="4"/>
  <c r="DE27" i="4"/>
  <c r="DN17" i="4"/>
  <c r="DO17" i="4"/>
  <c r="DP17" i="4"/>
  <c r="DQ61" i="4"/>
  <c r="DI29" i="4"/>
  <c r="DJ32" i="4"/>
  <c r="DK30" i="3"/>
  <c r="DP34" i="3"/>
  <c r="DQ45" i="4"/>
  <c r="DR45" i="4"/>
  <c r="DG27" i="3"/>
  <c r="DM24" i="3"/>
  <c r="DP9" i="3"/>
  <c r="DQ7" i="3"/>
  <c r="DK28" i="3"/>
  <c r="DG35" i="3"/>
  <c r="DH35" i="3"/>
  <c r="DR29" i="3"/>
  <c r="DI25" i="3"/>
  <c r="DN26" i="3"/>
  <c r="DE33" i="3"/>
  <c r="DL30" i="4"/>
  <c r="DI67" i="4"/>
  <c r="DI25" i="4"/>
  <c r="DH33" i="4"/>
  <c r="DI33" i="4"/>
  <c r="DJ33" i="4"/>
  <c r="DI24" i="4"/>
  <c r="DK88" i="4"/>
  <c r="DL88" i="4"/>
  <c r="DM88" i="4"/>
  <c r="DL34" i="4"/>
  <c r="DM34" i="4"/>
  <c r="CY31" i="4"/>
  <c r="CZ31" i="4"/>
  <c r="DB51" i="4"/>
  <c r="DR8" i="3"/>
  <c r="EB31" i="3"/>
  <c r="DF40" i="4"/>
  <c r="DO65" i="4"/>
  <c r="DP65" i="4"/>
  <c r="DL66" i="4"/>
  <c r="DM66" i="4"/>
  <c r="DT44" i="4"/>
  <c r="DV28" i="4"/>
  <c r="DG60" i="4"/>
  <c r="DW26" i="4"/>
  <c r="DX26" i="4"/>
  <c r="DY26" i="4"/>
  <c r="DZ26" i="4"/>
  <c r="DP46" i="4"/>
  <c r="DN36" i="4"/>
  <c r="DO36" i="4"/>
  <c r="DD62" i="4"/>
  <c r="DE62" i="4"/>
  <c r="DF27" i="4"/>
  <c r="DQ17" i="4"/>
  <c r="DR17" i="4"/>
  <c r="DR61" i="4"/>
  <c r="DJ29" i="4"/>
  <c r="DK32" i="4"/>
  <c r="DL30" i="3"/>
  <c r="DQ34" i="3"/>
  <c r="DS45" i="4"/>
  <c r="DH27" i="3"/>
  <c r="DI27" i="3"/>
  <c r="DN24" i="3"/>
  <c r="DO24" i="3"/>
  <c r="DQ9" i="3"/>
  <c r="DR7" i="3"/>
  <c r="DS7" i="3"/>
  <c r="DL28" i="3"/>
  <c r="DI35" i="3"/>
  <c r="DJ35" i="3"/>
  <c r="DK35" i="3"/>
  <c r="DS29" i="3"/>
  <c r="DT29" i="3"/>
  <c r="DU29" i="3"/>
  <c r="DJ25" i="3"/>
  <c r="DO26" i="3"/>
  <c r="DF33" i="3"/>
  <c r="DM30" i="4"/>
  <c r="DJ67" i="4"/>
  <c r="DJ25" i="4"/>
  <c r="DK33" i="4"/>
  <c r="DJ24" i="4"/>
  <c r="DN88" i="4"/>
  <c r="DN34" i="4"/>
  <c r="DA31" i="4"/>
  <c r="DC51" i="4"/>
  <c r="DS8" i="3"/>
  <c r="EC31" i="3"/>
  <c r="ED31" i="3"/>
  <c r="EE31" i="3"/>
  <c r="DG40" i="4"/>
  <c r="DH40" i="4"/>
  <c r="DQ65" i="4"/>
  <c r="DN66" i="4"/>
  <c r="DU44" i="4"/>
  <c r="DV44" i="4"/>
  <c r="DW28" i="4"/>
  <c r="DH60" i="4"/>
  <c r="DI60" i="4"/>
  <c r="DQ46" i="4"/>
  <c r="DP36" i="4"/>
  <c r="DF62" i="4"/>
  <c r="DG62" i="4"/>
  <c r="DH62" i="4"/>
  <c r="DG27" i="4"/>
  <c r="DS17" i="4"/>
  <c r="DS61" i="4"/>
  <c r="DT61" i="4"/>
  <c r="DU61" i="4" s="1"/>
  <c r="DV61" i="4"/>
  <c r="DK29" i="4"/>
  <c r="DL32" i="4"/>
  <c r="DM30" i="3"/>
  <c r="DR34" i="3"/>
  <c r="DS34" i="3"/>
  <c r="DT45" i="4"/>
  <c r="DU45" i="4"/>
  <c r="DJ27" i="3"/>
  <c r="DP24" i="3"/>
  <c r="DR9" i="3"/>
  <c r="DS9" i="3"/>
  <c r="DT9" i="3"/>
  <c r="DT7" i="3"/>
  <c r="DU7" i="3"/>
  <c r="DM28" i="3"/>
  <c r="DL35" i="3"/>
  <c r="DV29" i="3"/>
  <c r="DK25" i="3"/>
  <c r="DP26" i="3"/>
  <c r="DG33" i="3"/>
  <c r="DH33" i="3"/>
  <c r="DN30" i="4"/>
  <c r="DK67" i="4"/>
  <c r="DK25" i="4"/>
  <c r="DL33" i="4"/>
  <c r="DK24" i="4"/>
  <c r="DL24" i="4"/>
  <c r="DO88" i="4"/>
  <c r="DP88" i="4"/>
  <c r="DO34" i="4"/>
  <c r="DB31" i="4"/>
  <c r="DD51" i="4"/>
  <c r="DE51" i="4"/>
  <c r="DT8" i="3"/>
  <c r="DU8" i="3"/>
  <c r="DV8" i="3"/>
  <c r="DW8" i="3"/>
  <c r="EF31" i="3"/>
  <c r="EG31" i="3"/>
  <c r="DI40" i="4"/>
  <c r="DR65" i="4"/>
  <c r="DO66" i="4"/>
  <c r="DP66" i="4"/>
  <c r="DW44" i="4"/>
  <c r="DX44" i="4"/>
  <c r="DY44" i="4"/>
  <c r="DZ44" i="4" s="1"/>
  <c r="DX28" i="4"/>
  <c r="DJ60" i="4"/>
  <c r="DK60" i="4"/>
  <c r="DR46" i="4"/>
  <c r="DS46" i="4"/>
  <c r="DQ36" i="4"/>
  <c r="DI62" i="4"/>
  <c r="DH27" i="4"/>
  <c r="DT17" i="4"/>
  <c r="DW61" i="4"/>
  <c r="DL29" i="4"/>
  <c r="DM29" i="4"/>
  <c r="DM32" i="4"/>
  <c r="DN32" i="4"/>
  <c r="DO32" i="4"/>
  <c r="DN30" i="3"/>
  <c r="DT34" i="3"/>
  <c r="DV45" i="4"/>
  <c r="DW45" i="4"/>
  <c r="DX45" i="4"/>
  <c r="DK27" i="3"/>
  <c r="DQ24" i="3"/>
  <c r="DU9" i="3"/>
  <c r="DV7" i="3"/>
  <c r="DN28" i="3"/>
  <c r="DM35" i="3"/>
  <c r="DW29" i="3"/>
  <c r="DX29" i="3"/>
  <c r="DL25" i="3"/>
  <c r="DQ26" i="3"/>
  <c r="DR26" i="3"/>
  <c r="DI33" i="3"/>
  <c r="DO30" i="4"/>
  <c r="DP30" i="4"/>
  <c r="DL67" i="4"/>
  <c r="DM67" i="4"/>
  <c r="DL25" i="4"/>
  <c r="DM33" i="4"/>
  <c r="DN33" i="4"/>
  <c r="DM24" i="4"/>
  <c r="DN24" i="4"/>
  <c r="DQ88" i="4"/>
  <c r="DR88" i="4"/>
  <c r="DP34" i="4"/>
  <c r="DQ34" i="4"/>
  <c r="DR34" i="4"/>
  <c r="DC31" i="4"/>
  <c r="DF51" i="4"/>
  <c r="DX8" i="3"/>
  <c r="EH31" i="3"/>
  <c r="DJ40" i="4"/>
  <c r="DS65" i="4"/>
  <c r="DQ66" i="4"/>
  <c r="DY28" i="4"/>
  <c r="DZ28" i="4"/>
  <c r="DL60" i="4"/>
  <c r="DM60" i="4"/>
  <c r="DN60" i="4"/>
  <c r="DT46" i="4"/>
  <c r="DU46" i="4"/>
  <c r="DR36" i="4"/>
  <c r="DJ62" i="4"/>
  <c r="DI27" i="4"/>
  <c r="DU17" i="4"/>
  <c r="DV17" i="4"/>
  <c r="DX61" i="4"/>
  <c r="DN29" i="4"/>
  <c r="DP32" i="4"/>
  <c r="DQ32" i="4"/>
  <c r="DO30" i="3"/>
  <c r="DP30" i="3"/>
  <c r="DU34" i="3"/>
  <c r="DV34" i="3"/>
  <c r="DW34" i="3"/>
  <c r="DX34" i="3"/>
  <c r="DY45" i="4"/>
  <c r="DZ45" i="4"/>
  <c r="DL27" i="3"/>
  <c r="DM27" i="3"/>
  <c r="DN27" i="3"/>
  <c r="DR24" i="3"/>
  <c r="DV9" i="3"/>
  <c r="DW9" i="3"/>
  <c r="DW7" i="3"/>
  <c r="DX7" i="3"/>
  <c r="DO28" i="3"/>
  <c r="DN35" i="3"/>
  <c r="DY29" i="3"/>
  <c r="DM25" i="3"/>
  <c r="DN25" i="3"/>
  <c r="DO25" i="3"/>
  <c r="DP25" i="3"/>
  <c r="DQ25" i="3"/>
  <c r="DS26" i="3"/>
  <c r="DJ33" i="3"/>
  <c r="DQ30" i="4"/>
  <c r="DN67" i="4"/>
  <c r="DM25" i="4"/>
  <c r="DO33" i="4"/>
  <c r="DO24" i="4"/>
  <c r="DP24" i="4"/>
  <c r="DQ24" i="4"/>
  <c r="DS88" i="4"/>
  <c r="DT88" i="4"/>
  <c r="DS34" i="4"/>
  <c r="DT34" i="4"/>
  <c r="DD31" i="4"/>
  <c r="DG51" i="4"/>
  <c r="DH51" i="4"/>
  <c r="DY8" i="3"/>
  <c r="EI31" i="3"/>
  <c r="EJ31" i="3"/>
  <c r="EK31" i="3"/>
  <c r="DK40" i="4"/>
  <c r="DT65" i="4"/>
  <c r="DU65" i="4"/>
  <c r="DR66" i="4"/>
  <c r="DO60" i="4"/>
  <c r="DV46" i="4"/>
  <c r="DS36" i="4"/>
  <c r="DT36" i="4"/>
  <c r="DK62" i="4"/>
  <c r="DL62" i="4"/>
  <c r="DM62" i="4"/>
  <c r="DN62" i="4"/>
  <c r="DJ27" i="4"/>
  <c r="DW17" i="4"/>
  <c r="DX17" i="4" s="1"/>
  <c r="DY17" i="4"/>
  <c r="DZ17" i="4" s="1"/>
  <c r="DY61" i="4"/>
  <c r="DZ61" i="4"/>
  <c r="DO29" i="4"/>
  <c r="DR32" i="4"/>
  <c r="DQ30" i="3"/>
  <c r="DY34" i="3"/>
  <c r="DO27" i="3"/>
  <c r="DP27" i="3"/>
  <c r="DQ27" i="3"/>
  <c r="DS24" i="3"/>
  <c r="DT24" i="3"/>
  <c r="DX9" i="3"/>
  <c r="DY7" i="3"/>
  <c r="DZ7" i="3"/>
  <c r="DP28" i="3"/>
  <c r="DO35" i="3"/>
  <c r="DZ29" i="3"/>
  <c r="DR25" i="3"/>
  <c r="DS25" i="3"/>
  <c r="DT26" i="3"/>
  <c r="DK33" i="3"/>
  <c r="DR30" i="4"/>
  <c r="DO67" i="4"/>
  <c r="DP67" i="4"/>
  <c r="DN25" i="4"/>
  <c r="DO25" i="4"/>
  <c r="DP25" i="4"/>
  <c r="DP33" i="4"/>
  <c r="DR24" i="4"/>
  <c r="DU88" i="4"/>
  <c r="DV88" i="4"/>
  <c r="DU34" i="4"/>
  <c r="DV34" i="4"/>
  <c r="DW34" i="4"/>
  <c r="DE31" i="4"/>
  <c r="DI51" i="4"/>
  <c r="DZ8" i="3"/>
  <c r="EA8" i="3"/>
  <c r="EL31" i="3"/>
  <c r="DL40" i="4"/>
  <c r="DV65" i="4"/>
  <c r="DW65" i="4"/>
  <c r="DX65" i="4"/>
  <c r="DS66" i="4"/>
  <c r="DP60" i="4"/>
  <c r="DW46" i="4"/>
  <c r="DX46" i="4"/>
  <c r="DY46" i="4"/>
  <c r="DZ46" i="4" s="1"/>
  <c r="DU36" i="4"/>
  <c r="DO62" i="4"/>
  <c r="DK27" i="4"/>
  <c r="DP29" i="4"/>
  <c r="DQ29" i="4"/>
  <c r="DS32" i="4"/>
  <c r="DR30" i="3"/>
  <c r="DZ34" i="3"/>
  <c r="EA34" i="3"/>
  <c r="DR27" i="3"/>
  <c r="DS27" i="3"/>
  <c r="DU24" i="3"/>
  <c r="DY9" i="3"/>
  <c r="EA7" i="3"/>
  <c r="EB7" i="3"/>
  <c r="EC7" i="3"/>
  <c r="DQ28" i="3"/>
  <c r="DP35" i="3"/>
  <c r="EA29" i="3"/>
  <c r="EB29" i="3"/>
  <c r="DT25" i="3"/>
  <c r="DU26" i="3"/>
  <c r="DL33" i="3"/>
  <c r="DS30" i="4"/>
  <c r="DQ67" i="4"/>
  <c r="DQ25" i="4"/>
  <c r="DQ33" i="4"/>
  <c r="DS24" i="4"/>
  <c r="DW88" i="4"/>
  <c r="DX34" i="4"/>
  <c r="DF31" i="4"/>
  <c r="DJ51" i="4"/>
  <c r="DK51" i="4"/>
  <c r="DL51" i="4"/>
  <c r="EB8" i="3"/>
  <c r="EM31" i="3"/>
  <c r="DM40" i="4"/>
  <c r="DY65" i="4"/>
  <c r="DZ65" i="4" s="1"/>
  <c r="DT66" i="4"/>
  <c r="DU66" i="4"/>
  <c r="DQ60" i="4"/>
  <c r="DV36" i="4"/>
  <c r="DW36" i="4"/>
  <c r="DX36" i="4"/>
  <c r="DP62" i="4"/>
  <c r="DL27" i="4"/>
  <c r="DR29" i="4"/>
  <c r="DT32" i="4"/>
  <c r="DS30" i="3"/>
  <c r="EB34" i="3"/>
  <c r="DT27" i="3"/>
  <c r="DV24" i="3"/>
  <c r="DZ9" i="3"/>
  <c r="ED7" i="3"/>
  <c r="EE7" i="3"/>
  <c r="DR28" i="3"/>
  <c r="DS28" i="3"/>
  <c r="DT28" i="3"/>
  <c r="DQ35" i="3"/>
  <c r="DR35" i="3"/>
  <c r="DS35" i="3"/>
  <c r="EC29" i="3"/>
  <c r="ED29" i="3"/>
  <c r="EE29" i="3"/>
  <c r="EF29" i="3"/>
  <c r="DU25" i="3"/>
  <c r="DV25" i="3"/>
  <c r="DW25" i="3"/>
  <c r="DV26" i="3"/>
  <c r="DM33" i="3"/>
  <c r="DN33" i="3"/>
  <c r="DT30" i="4"/>
  <c r="DR67" i="4"/>
  <c r="DS67" i="4"/>
  <c r="DR25" i="4"/>
  <c r="DR33" i="4"/>
  <c r="DS33" i="4"/>
  <c r="DT33" i="4"/>
  <c r="DT24" i="4"/>
  <c r="DU24" i="4"/>
  <c r="DX88" i="4"/>
  <c r="DY88" i="4"/>
  <c r="DZ88" i="4" s="1"/>
  <c r="DY34" i="4"/>
  <c r="DZ34" i="4" s="1"/>
  <c r="DG31" i="4"/>
  <c r="DH31" i="4"/>
  <c r="DM51" i="4"/>
  <c r="EC8" i="3"/>
  <c r="ED8" i="3"/>
  <c r="EN31" i="3"/>
  <c r="EO31" i="3"/>
  <c r="DN40" i="4"/>
  <c r="DO40" i="4"/>
  <c r="DV66" i="4"/>
  <c r="DW66" i="4"/>
  <c r="DR60" i="4"/>
  <c r="DY36" i="4"/>
  <c r="DZ36" i="4"/>
  <c r="DQ62" i="4"/>
  <c r="DM27" i="4"/>
  <c r="DS29" i="4"/>
  <c r="DU32" i="4"/>
  <c r="DT30" i="3"/>
  <c r="EC34" i="3"/>
  <c r="ED34" i="3"/>
  <c r="DU27" i="3"/>
  <c r="DV27" i="3"/>
  <c r="DW24" i="3"/>
  <c r="EA9" i="3"/>
  <c r="EF7" i="3"/>
  <c r="DU28" i="3"/>
  <c r="DT35" i="3"/>
  <c r="DU35" i="3"/>
  <c r="EG29" i="3"/>
  <c r="DX25" i="3"/>
  <c r="DY25" i="3"/>
  <c r="DZ25" i="3"/>
  <c r="DW26" i="3"/>
  <c r="DX26" i="3"/>
  <c r="DO33" i="3"/>
  <c r="DP33" i="3"/>
  <c r="DU30" i="4"/>
  <c r="DT67" i="4"/>
  <c r="DU67" i="4"/>
  <c r="DS25" i="4"/>
  <c r="DU33" i="4"/>
  <c r="DV24" i="4"/>
  <c r="DI31" i="4"/>
  <c r="DN51" i="4"/>
  <c r="EE8" i="3"/>
  <c r="EP31" i="3"/>
  <c r="DP40" i="4"/>
  <c r="DX66" i="4"/>
  <c r="DS60" i="4"/>
  <c r="DT60" i="4" s="1"/>
  <c r="DU60" i="4"/>
  <c r="DV60" i="4"/>
  <c r="DW60" i="4"/>
  <c r="DR62" i="4"/>
  <c r="DS62" i="4"/>
  <c r="DT62" i="4"/>
  <c r="DN27" i="4"/>
  <c r="DT29" i="4"/>
  <c r="DV32" i="4"/>
  <c r="DU30" i="3"/>
  <c r="EE34" i="3"/>
  <c r="EF34" i="3"/>
  <c r="DW27" i="3"/>
  <c r="DX27" i="3"/>
  <c r="DY27" i="3"/>
  <c r="DX24" i="3"/>
  <c r="DY24" i="3"/>
  <c r="EB9" i="3"/>
  <c r="EG7" i="3"/>
  <c r="DV28" i="3"/>
  <c r="DW28" i="3"/>
  <c r="DX28" i="3"/>
  <c r="DY28" i="3"/>
  <c r="DV35" i="3"/>
  <c r="EH29" i="3"/>
  <c r="EA25" i="3"/>
  <c r="EB25" i="3"/>
  <c r="DY26" i="3"/>
  <c r="DZ26" i="3"/>
  <c r="DQ33" i="3"/>
  <c r="DV30" i="4"/>
  <c r="DV67" i="4"/>
  <c r="DT25" i="4"/>
  <c r="DU25" i="4"/>
  <c r="DV25" i="4"/>
  <c r="DV33" i="4"/>
  <c r="DW24" i="4"/>
  <c r="DJ31" i="4"/>
  <c r="DK31" i="4"/>
  <c r="DL31" i="4"/>
  <c r="DO51" i="4"/>
  <c r="EF8" i="3"/>
  <c r="EG8" i="3"/>
  <c r="EQ31" i="3"/>
  <c r="DQ40" i="4"/>
  <c r="DR40" i="4"/>
  <c r="DS40" i="4"/>
  <c r="DY66" i="4"/>
  <c r="DZ66" i="4" s="1"/>
  <c r="DX60" i="4"/>
  <c r="DU62" i="4"/>
  <c r="DV62" i="4"/>
  <c r="DW62" i="4"/>
  <c r="DX62" i="4"/>
  <c r="DO27" i="4"/>
  <c r="DP27" i="4"/>
  <c r="DU29" i="4"/>
  <c r="DV29" i="4"/>
  <c r="DW29" i="4"/>
  <c r="DW32" i="4"/>
  <c r="DV30" i="3"/>
  <c r="EG34" i="3"/>
  <c r="DZ27" i="3"/>
  <c r="DZ24" i="3"/>
  <c r="EC9" i="3"/>
  <c r="ED9" i="3"/>
  <c r="EH7" i="3"/>
  <c r="DZ28" i="3"/>
  <c r="EA28" i="3"/>
  <c r="EB28" i="3"/>
  <c r="EC28" i="3"/>
  <c r="DW35" i="3"/>
  <c r="EI29" i="3"/>
  <c r="EC25" i="3"/>
  <c r="EA26" i="3"/>
  <c r="DR33" i="3"/>
  <c r="DW30" i="4"/>
  <c r="DX30" i="4" s="1"/>
  <c r="DY30" i="4"/>
  <c r="DZ30" i="4"/>
  <c r="DW67" i="4"/>
  <c r="DW25" i="4"/>
  <c r="DW33" i="4"/>
  <c r="DX24" i="4"/>
  <c r="DM31" i="4"/>
  <c r="DP51" i="4"/>
  <c r="DQ51" i="4"/>
  <c r="EH8" i="3"/>
  <c r="ER31" i="3"/>
  <c r="DT40" i="4"/>
  <c r="DU40" i="4"/>
  <c r="DY60" i="4"/>
  <c r="DZ60" i="4"/>
  <c r="DY62" i="4"/>
  <c r="DZ62" i="4" s="1"/>
  <c r="DQ27" i="4"/>
  <c r="DX29" i="4"/>
  <c r="DX32" i="4"/>
  <c r="DY32" i="4"/>
  <c r="DZ32" i="4"/>
  <c r="DW30" i="3"/>
  <c r="EH34" i="3"/>
  <c r="EA27" i="3"/>
  <c r="EA24" i="3"/>
  <c r="EB24" i="3"/>
  <c r="EE9" i="3"/>
  <c r="EI7" i="3"/>
  <c r="EJ7" i="3"/>
  <c r="ED28" i="3"/>
  <c r="EE28" i="3"/>
  <c r="DX35" i="3"/>
  <c r="EJ29" i="3"/>
  <c r="ED25" i="3"/>
  <c r="EB26" i="3"/>
  <c r="EC26" i="3"/>
  <c r="DS33" i="3"/>
  <c r="DT33" i="3"/>
  <c r="DU33" i="3"/>
  <c r="DX67" i="4"/>
  <c r="DY67" i="4" s="1"/>
  <c r="DZ67" i="4"/>
  <c r="DX25" i="4"/>
  <c r="DY25" i="4"/>
  <c r="DZ25" i="4" s="1"/>
  <c r="DX33" i="4"/>
  <c r="DY33" i="4"/>
  <c r="DY24" i="4"/>
  <c r="DZ24" i="4"/>
  <c r="DN31" i="4"/>
  <c r="DR51" i="4"/>
  <c r="EI8" i="3"/>
  <c r="EJ8" i="3"/>
  <c r="ES31" i="3"/>
  <c r="ET31" i="3"/>
  <c r="DV40" i="4"/>
  <c r="DW40" i="4"/>
  <c r="DR27" i="4"/>
  <c r="DY29" i="4"/>
  <c r="DZ29" i="4" s="1"/>
  <c r="DX30" i="3"/>
  <c r="DY30" i="3"/>
  <c r="EI34" i="3"/>
  <c r="EB27" i="3"/>
  <c r="EC27" i="3"/>
  <c r="EC24" i="3"/>
  <c r="ED24" i="3"/>
  <c r="EE24" i="3"/>
  <c r="EF9" i="3"/>
  <c r="EG9" i="3"/>
  <c r="EK7" i="3"/>
  <c r="EF28" i="3"/>
  <c r="DY35" i="3"/>
  <c r="DZ35" i="3"/>
  <c r="EK29" i="3"/>
  <c r="EE25" i="3"/>
  <c r="EF25" i="3"/>
  <c r="ED26" i="3"/>
  <c r="DV33" i="3"/>
  <c r="DZ33" i="4"/>
  <c r="DO31" i="4"/>
  <c r="DS51" i="4"/>
  <c r="EK8" i="3"/>
  <c r="EU31" i="3"/>
  <c r="EV31" i="3"/>
  <c r="DX40" i="4"/>
  <c r="DY40" i="4"/>
  <c r="DZ40" i="4" s="1"/>
  <c r="DS27" i="4"/>
  <c r="DZ30" i="3"/>
  <c r="EJ34" i="3"/>
  <c r="EK34" i="3"/>
  <c r="EL34" i="3"/>
  <c r="ED27" i="3"/>
  <c r="EF24" i="3"/>
  <c r="EG24" i="3"/>
  <c r="EH9" i="3"/>
  <c r="EL7" i="3"/>
  <c r="EM7" i="3"/>
  <c r="EG28" i="3"/>
  <c r="EA35" i="3"/>
  <c r="EB35" i="3"/>
  <c r="EL29" i="3"/>
  <c r="EM29" i="3"/>
  <c r="EG25" i="3"/>
  <c r="EH25" i="3"/>
  <c r="EE26" i="3"/>
  <c r="DW33" i="3"/>
  <c r="DP31" i="4"/>
  <c r="DQ31" i="4"/>
  <c r="DT51" i="4"/>
  <c r="EL8" i="3"/>
  <c r="EM8" i="3"/>
  <c r="EN8" i="3"/>
  <c r="EW31" i="3"/>
  <c r="DT27" i="4"/>
  <c r="DU27" i="4"/>
  <c r="DV27" i="4"/>
  <c r="EA30" i="3"/>
  <c r="EM34" i="3"/>
  <c r="EE27" i="3"/>
  <c r="EF27" i="3"/>
  <c r="EH24" i="3"/>
  <c r="EI24" i="3"/>
  <c r="EI9" i="3"/>
  <c r="EJ9" i="3"/>
  <c r="EK9" i="3"/>
  <c r="EN7" i="3"/>
  <c r="EH28" i="3"/>
  <c r="EC35" i="3"/>
  <c r="EN29" i="3"/>
  <c r="EI25" i="3"/>
  <c r="EJ25" i="3"/>
  <c r="EF26" i="3"/>
  <c r="EG26" i="3"/>
  <c r="DX33" i="3"/>
  <c r="DR31" i="4"/>
  <c r="DU51" i="4"/>
  <c r="EO8" i="3"/>
  <c r="EX31" i="3"/>
  <c r="EY31" i="3"/>
  <c r="EZ31" i="3"/>
  <c r="FA31" i="3"/>
  <c r="DW27" i="4"/>
  <c r="DX27" i="4" s="1"/>
  <c r="DY27" i="4"/>
  <c r="DZ27" i="4" s="1"/>
  <c r="EB30" i="3"/>
  <c r="EN34" i="3"/>
  <c r="EO34" i="3"/>
  <c r="EG27" i="3"/>
  <c r="EJ24" i="3"/>
  <c r="EL9" i="3"/>
  <c r="EO7" i="3"/>
  <c r="EP7" i="3"/>
  <c r="EQ7" i="3" s="1"/>
  <c r="EI28" i="3"/>
  <c r="EJ28" i="3"/>
  <c r="EK28" i="3"/>
  <c r="EL28" i="3"/>
  <c r="ED35" i="3"/>
  <c r="EO29" i="3"/>
  <c r="EK25" i="3"/>
  <c r="EH26" i="3"/>
  <c r="EI26" i="3"/>
  <c r="DY33" i="3"/>
  <c r="DS31" i="4"/>
  <c r="DV51" i="4"/>
  <c r="DW51" i="4"/>
  <c r="EP8" i="3"/>
  <c r="FB31" i="3"/>
  <c r="EC30" i="3"/>
  <c r="ED30" i="3"/>
  <c r="EP34" i="3"/>
  <c r="EH27" i="3"/>
  <c r="EK24" i="3"/>
  <c r="EM9" i="3"/>
  <c r="EN9" i="3"/>
  <c r="ER7" i="3"/>
  <c r="ES7" i="3"/>
  <c r="EM28" i="3"/>
  <c r="EN28" i="3"/>
  <c r="EE35" i="3"/>
  <c r="EP29" i="3"/>
  <c r="EL25" i="3"/>
  <c r="EM25" i="3"/>
  <c r="EJ26" i="3"/>
  <c r="DZ33" i="3"/>
  <c r="DT31" i="4"/>
  <c r="DX51" i="4"/>
  <c r="DY51" i="4" s="1"/>
  <c r="DZ51" i="4"/>
  <c r="EQ8" i="3"/>
  <c r="ER8" i="3"/>
  <c r="FC31" i="3"/>
  <c r="EE30" i="3"/>
  <c r="EQ34" i="3"/>
  <c r="ER34" i="3"/>
  <c r="ES34" i="3"/>
  <c r="EI27" i="3"/>
  <c r="EL24" i="3"/>
  <c r="EO9" i="3"/>
  <c r="EP9" i="3"/>
  <c r="EQ9" i="3"/>
  <c r="ET7" i="3"/>
  <c r="EO28" i="3"/>
  <c r="EP28" i="3"/>
  <c r="EQ28" i="3"/>
  <c r="EF35" i="3"/>
  <c r="EG35" i="3"/>
  <c r="EH35" i="3"/>
  <c r="EI35" i="3"/>
  <c r="EQ29" i="3"/>
  <c r="EN25" i="3"/>
  <c r="EK26" i="3"/>
  <c r="EL26" i="3"/>
  <c r="EA33" i="3"/>
  <c r="DU31" i="4"/>
  <c r="DV31" i="4" s="1"/>
  <c r="DW31" i="4"/>
  <c r="ES8" i="3"/>
  <c r="FD31" i="3"/>
  <c r="EF30" i="3"/>
  <c r="EG30" i="3"/>
  <c r="ET34" i="3"/>
  <c r="EJ27" i="3"/>
  <c r="EK27" i="3"/>
  <c r="EL27" i="3"/>
  <c r="EM27" i="3"/>
  <c r="EM24" i="3"/>
  <c r="ER9" i="3"/>
  <c r="EU7" i="3"/>
  <c r="ER28" i="3"/>
  <c r="EJ35" i="3"/>
  <c r="ER29" i="3"/>
  <c r="ES29" i="3"/>
  <c r="EO25" i="3"/>
  <c r="EM26" i="3"/>
  <c r="EB33" i="3"/>
  <c r="EC33" i="3"/>
  <c r="ED33" i="3"/>
  <c r="EE33" i="3"/>
  <c r="DX31" i="4"/>
  <c r="ET8" i="3"/>
  <c r="EU8" i="3"/>
  <c r="FE31" i="3"/>
  <c r="FF31" i="3"/>
  <c r="EH30" i="3"/>
  <c r="EU34" i="3"/>
  <c r="EN27" i="3"/>
  <c r="EO27" i="3"/>
  <c r="EN24" i="3"/>
  <c r="ES9" i="3"/>
  <c r="EV7" i="3"/>
  <c r="ES28" i="3"/>
  <c r="ET28" i="3"/>
  <c r="EK35" i="3"/>
  <c r="ET29" i="3"/>
  <c r="EU29" i="3"/>
  <c r="EP25" i="3"/>
  <c r="EQ25" i="3"/>
  <c r="EN26" i="3"/>
  <c r="EF33" i="3"/>
  <c r="EG33" i="3"/>
  <c r="DY31" i="4"/>
  <c r="DZ31" i="4" s="1"/>
  <c r="EV8" i="3"/>
  <c r="FG31" i="3"/>
  <c r="FH31" i="3"/>
  <c r="FI31" i="3"/>
  <c r="FJ31" i="3" s="1"/>
  <c r="EI30" i="3"/>
  <c r="EV34" i="3"/>
  <c r="EP27" i="3"/>
  <c r="EQ27" i="3"/>
  <c r="EO24" i="3"/>
  <c r="ET9" i="3"/>
  <c r="EW7" i="3"/>
  <c r="EU28" i="3"/>
  <c r="EL35" i="3"/>
  <c r="EM35" i="3"/>
  <c r="EV29" i="3"/>
  <c r="ER25" i="3"/>
  <c r="ES25" i="3"/>
  <c r="EO26" i="3"/>
  <c r="EH33" i="3"/>
  <c r="EI33" i="3"/>
  <c r="EJ33" i="3"/>
  <c r="EK33" i="3"/>
  <c r="EL33" i="3"/>
  <c r="EW8" i="3"/>
  <c r="EJ30" i="3"/>
  <c r="EW34" i="3"/>
  <c r="EX34" i="3"/>
  <c r="EY34" i="3"/>
  <c r="ER27" i="3"/>
  <c r="EP24" i="3"/>
  <c r="EQ24" i="3"/>
  <c r="EU9" i="3"/>
  <c r="EX7" i="3"/>
  <c r="EY7" i="3"/>
  <c r="EZ7" i="3"/>
  <c r="EV28" i="3"/>
  <c r="EN35" i="3"/>
  <c r="EW29" i="3"/>
  <c r="ET25" i="3"/>
  <c r="EU25" i="3"/>
  <c r="EP26" i="3"/>
  <c r="EQ26" i="3"/>
  <c r="ER26" i="3"/>
  <c r="ES26" i="3"/>
  <c r="EM33" i="3"/>
  <c r="EX8" i="3"/>
  <c r="EK30" i="3"/>
  <c r="EZ34" i="3"/>
  <c r="FA34" i="3"/>
  <c r="FB34" i="3"/>
  <c r="FC34" i="3" s="1"/>
  <c r="ES27" i="3"/>
  <c r="ER24" i="3"/>
  <c r="ES24" i="3"/>
  <c r="EV9" i="3"/>
  <c r="FA7" i="3"/>
  <c r="FB7" i="3"/>
  <c r="EW28" i="3"/>
  <c r="EO35" i="3"/>
  <c r="EP35" i="3"/>
  <c r="EX29" i="3"/>
  <c r="EY29" i="3"/>
  <c r="EZ29" i="3"/>
  <c r="FA29" i="3"/>
  <c r="FB29" i="3"/>
  <c r="EV25" i="3"/>
  <c r="EW25" i="3" s="1"/>
  <c r="EX25" i="3"/>
  <c r="EY25" i="3"/>
  <c r="ET26" i="3"/>
  <c r="EN33" i="3"/>
  <c r="EY8" i="3"/>
  <c r="EZ8" i="3"/>
  <c r="FA8" i="3"/>
  <c r="FB8" i="3"/>
  <c r="FC8" i="3" s="1"/>
  <c r="EL30" i="3"/>
  <c r="EM30" i="3"/>
  <c r="FD34" i="3"/>
  <c r="FE34" i="3"/>
  <c r="FF34" i="3"/>
  <c r="FG34" i="3"/>
  <c r="ET27" i="3"/>
  <c r="ET24" i="3"/>
  <c r="EW9" i="3"/>
  <c r="FC7" i="3"/>
  <c r="FD7" i="3"/>
  <c r="EX28" i="3"/>
  <c r="EQ35" i="3"/>
  <c r="ER35" i="3"/>
  <c r="ES35" i="3"/>
  <c r="FC29" i="3"/>
  <c r="EZ25" i="3"/>
  <c r="FA25" i="3"/>
  <c r="EU26" i="3"/>
  <c r="EO33" i="3"/>
  <c r="EP33" i="3"/>
  <c r="FD8" i="3"/>
  <c r="FE8" i="3"/>
  <c r="FF8" i="3"/>
  <c r="EN30" i="3"/>
  <c r="EO30" i="3"/>
  <c r="EP30" i="3"/>
  <c r="FH34" i="3"/>
  <c r="EU27" i="3"/>
  <c r="EU24" i="3"/>
  <c r="EX9" i="3"/>
  <c r="EY9" i="3"/>
  <c r="EZ9" i="3"/>
  <c r="FA9" i="3" s="1"/>
  <c r="FE7" i="3"/>
  <c r="FF7" i="3"/>
  <c r="FG7" i="3"/>
  <c r="FH7" i="3" s="1"/>
  <c r="EY28" i="3"/>
  <c r="ET35" i="3"/>
  <c r="EU35" i="3"/>
  <c r="EV35" i="3"/>
  <c r="EW35" i="3"/>
  <c r="FD29" i="3"/>
  <c r="FB25" i="3"/>
  <c r="FC25" i="3"/>
  <c r="EV26" i="3"/>
  <c r="EQ33" i="3"/>
  <c r="FG8" i="3"/>
  <c r="EQ30" i="3"/>
  <c r="FI34" i="3"/>
  <c r="FJ34" i="3" s="1"/>
  <c r="EV27" i="3"/>
  <c r="EV24" i="3"/>
  <c r="EW24" i="3"/>
  <c r="FB9" i="3"/>
  <c r="FC9" i="3"/>
  <c r="FD9" i="3"/>
  <c r="FE9" i="3"/>
  <c r="FI7" i="3"/>
  <c r="FJ7" i="3"/>
  <c r="EZ28" i="3"/>
  <c r="EX35" i="3"/>
  <c r="EY35" i="3"/>
  <c r="FE29" i="3"/>
  <c r="FF29" i="3"/>
  <c r="FG29" i="3"/>
  <c r="FH29" i="3" s="1"/>
  <c r="FD25" i="3"/>
  <c r="EW26" i="3"/>
  <c r="EX26" i="3"/>
  <c r="ER33" i="3"/>
  <c r="FH8" i="3"/>
  <c r="ER30" i="3"/>
  <c r="ES30" i="3"/>
  <c r="EW27" i="3"/>
  <c r="EX27" i="3"/>
  <c r="EX24" i="3"/>
  <c r="FF9" i="3"/>
  <c r="FG9" i="3"/>
  <c r="FH9" i="3" s="1"/>
  <c r="FI9" i="3"/>
  <c r="FJ9" i="3" s="1"/>
  <c r="FA28" i="3"/>
  <c r="FB28" i="3"/>
  <c r="EZ35" i="3"/>
  <c r="FI29" i="3"/>
  <c r="FJ29" i="3" s="1"/>
  <c r="FE25" i="3"/>
  <c r="FF25" i="3"/>
  <c r="FG25" i="3" s="1"/>
  <c r="EY26" i="3"/>
  <c r="EZ26" i="3"/>
  <c r="ES33" i="3"/>
  <c r="FI8" i="3"/>
  <c r="FJ8" i="3" s="1"/>
  <c r="ET30" i="3"/>
  <c r="EY27" i="3"/>
  <c r="EY24" i="3"/>
  <c r="FC28" i="3"/>
  <c r="FA35" i="3"/>
  <c r="FB35" i="3"/>
  <c r="FC35" i="3"/>
  <c r="FH25" i="3"/>
  <c r="FI25" i="3"/>
  <c r="FJ25" i="3"/>
  <c r="FA26" i="3"/>
  <c r="FB26" i="3"/>
  <c r="FC26" i="3"/>
  <c r="ET33" i="3"/>
  <c r="EU33" i="3"/>
  <c r="EU30" i="3"/>
  <c r="EZ27" i="3"/>
  <c r="EZ24" i="3"/>
  <c r="FA24" i="3"/>
  <c r="FB24" i="3"/>
  <c r="FD28" i="3"/>
  <c r="FD35" i="3"/>
  <c r="FD26" i="3"/>
  <c r="EV33" i="3"/>
  <c r="EW33" i="3"/>
  <c r="EV30" i="3"/>
  <c r="FA27" i="3"/>
  <c r="FC24" i="3"/>
  <c r="FE28" i="3"/>
  <c r="FE35" i="3"/>
  <c r="FF35" i="3" s="1"/>
  <c r="FG35" i="3"/>
  <c r="FH35" i="3"/>
  <c r="FI35" i="3" s="1"/>
  <c r="FJ35" i="3"/>
  <c r="FE26" i="3"/>
  <c r="EX33" i="3"/>
  <c r="EW30" i="3"/>
  <c r="FB27" i="3"/>
  <c r="FD24" i="3"/>
  <c r="FF28" i="3"/>
  <c r="FF26" i="3"/>
  <c r="EY33" i="3"/>
  <c r="EZ33" i="3"/>
  <c r="FA33" i="3"/>
  <c r="EX30" i="3"/>
  <c r="FC27" i="3"/>
  <c r="FE24" i="3"/>
  <c r="FF24" i="3"/>
  <c r="FG28" i="3"/>
  <c r="FH28" i="3" s="1"/>
  <c r="FI28" i="3"/>
  <c r="FJ28" i="3"/>
  <c r="FG26" i="3"/>
  <c r="FB33" i="3"/>
  <c r="EY30" i="3"/>
  <c r="FD27" i="3"/>
  <c r="FG24" i="3"/>
  <c r="FH26" i="3"/>
  <c r="FC33" i="3"/>
  <c r="EZ30" i="3"/>
  <c r="FE27" i="3"/>
  <c r="FH24" i="3"/>
  <c r="FI26" i="3"/>
  <c r="FJ26" i="3" s="1"/>
  <c r="FD33" i="3"/>
  <c r="FA30" i="3"/>
  <c r="FB30" i="3"/>
  <c r="FC30" i="3"/>
  <c r="FD30" i="3" s="1"/>
  <c r="FE30" i="3"/>
  <c r="FF30" i="3"/>
  <c r="FF27" i="3"/>
  <c r="FG27" i="3"/>
  <c r="FI24" i="3"/>
  <c r="FJ24" i="3"/>
  <c r="FE33" i="3"/>
  <c r="FG30" i="3"/>
  <c r="FH27" i="3"/>
  <c r="FI27" i="3"/>
  <c r="FJ27" i="3"/>
  <c r="FF33" i="3"/>
  <c r="FH30" i="3"/>
  <c r="FG33" i="3"/>
  <c r="FH33" i="3"/>
  <c r="FI33" i="3"/>
  <c r="FJ33" i="3"/>
  <c r="FI30" i="3"/>
  <c r="FJ30" i="3" s="1"/>
  <c r="BG71" i="4"/>
  <c r="BG72" i="4"/>
  <c r="BH71" i="4"/>
  <c r="BH72" i="4"/>
  <c r="BI71" i="4"/>
  <c r="BI72" i="4"/>
  <c r="BJ71" i="4"/>
  <c r="BJ72" i="4"/>
  <c r="BK71" i="4"/>
  <c r="BK72" i="4"/>
  <c r="BL72" i="4"/>
  <c r="BM72" i="4"/>
  <c r="BL71" i="4"/>
  <c r="BM71" i="4"/>
  <c r="BN72" i="4"/>
  <c r="BO72" i="4"/>
  <c r="BN71" i="4"/>
  <c r="BP72" i="4"/>
  <c r="BO71" i="4"/>
  <c r="BQ72" i="4"/>
  <c r="BP71" i="4"/>
  <c r="BR72" i="4"/>
  <c r="BS72" i="4"/>
  <c r="BQ71" i="4"/>
  <c r="BR71" i="4"/>
  <c r="BS71" i="4"/>
  <c r="BT72" i="4"/>
  <c r="BT71" i="4"/>
  <c r="BU72" i="4"/>
  <c r="BU71" i="4"/>
  <c r="BV72" i="4"/>
  <c r="BW72" i="4"/>
  <c r="BX72" i="4"/>
  <c r="BV71" i="4"/>
  <c r="BY72" i="4"/>
  <c r="BZ72" i="4"/>
  <c r="CA72" i="4"/>
  <c r="BW71" i="4"/>
  <c r="BX71" i="4"/>
  <c r="CB72" i="4"/>
  <c r="CC72" i="4"/>
  <c r="BY71" i="4"/>
  <c r="CD72" i="4"/>
  <c r="BZ71" i="4"/>
  <c r="CE72" i="4"/>
  <c r="CA71" i="4"/>
  <c r="CB71" i="4"/>
  <c r="CC71" i="4"/>
  <c r="CF72" i="4"/>
  <c r="CD71" i="4"/>
  <c r="CG72" i="4"/>
  <c r="CH72" i="4"/>
  <c r="CI72" i="4"/>
  <c r="CE71" i="4"/>
  <c r="CJ72" i="4"/>
  <c r="CK72" i="4"/>
  <c r="CF71" i="4"/>
  <c r="CL72" i="4"/>
  <c r="CM72" i="4"/>
  <c r="CG71" i="4"/>
  <c r="CH71" i="4"/>
  <c r="CI71" i="4"/>
  <c r="CJ71" i="4"/>
  <c r="CK71" i="4"/>
  <c r="CL71" i="4"/>
  <c r="CM71" i="4"/>
  <c r="CN71" i="4"/>
  <c r="CO71" i="4" s="1"/>
  <c r="EY15" i="3" l="1"/>
  <c r="EJ15" i="3"/>
  <c r="EG15" i="3"/>
  <c r="AN38" i="2"/>
  <c r="C46" i="2"/>
  <c r="AO83" i="2"/>
  <c r="S113" i="2"/>
  <c r="S121" i="2" s="1"/>
  <c r="AM8" i="2"/>
  <c r="AO98" i="2"/>
  <c r="U83" i="2"/>
  <c r="C83" i="2"/>
  <c r="Y83" i="2"/>
  <c r="O143" i="2"/>
  <c r="N38" i="2"/>
  <c r="AI105" i="2"/>
  <c r="S83" i="2"/>
  <c r="AH83" i="2"/>
  <c r="AC53" i="2"/>
  <c r="K151" i="2"/>
  <c r="E98" i="2"/>
  <c r="B23" i="2"/>
  <c r="D83" i="2"/>
  <c r="AF23" i="2"/>
  <c r="Z83" i="2"/>
  <c r="V8" i="2"/>
  <c r="F129" i="2"/>
  <c r="F136" i="2"/>
  <c r="M98" i="2"/>
  <c r="M106" i="2" s="1"/>
  <c r="R38" i="2"/>
  <c r="AH105" i="2"/>
  <c r="V113" i="2"/>
  <c r="AL8" i="2"/>
  <c r="Y53" i="2"/>
  <c r="AB23" i="2"/>
  <c r="AI8" i="2"/>
  <c r="J23" i="2"/>
  <c r="T68" i="2"/>
  <c r="AB68" i="2"/>
  <c r="L83" i="2"/>
  <c r="L146" i="2" s="1"/>
  <c r="N8" i="2"/>
  <c r="O44" i="2"/>
  <c r="P44" i="2" s="1"/>
  <c r="Q44" i="2" s="1"/>
  <c r="O151" i="2"/>
  <c r="AM68" i="2"/>
  <c r="AM83" i="2"/>
  <c r="AA98" i="2"/>
  <c r="X23" i="2"/>
  <c r="P53" i="2"/>
  <c r="AN68" i="2"/>
  <c r="P98" i="2"/>
  <c r="AB113" i="2"/>
  <c r="E38" i="2"/>
  <c r="AA38" i="2"/>
  <c r="AA68" i="2"/>
  <c r="AC113" i="2"/>
  <c r="D113" i="2"/>
  <c r="N23" i="2"/>
  <c r="AJ23" i="2"/>
  <c r="AN23" i="2"/>
  <c r="F38" i="2"/>
  <c r="F46" i="2" s="1"/>
  <c r="AB38" i="2"/>
  <c r="AJ38" i="2"/>
  <c r="N53" i="2"/>
  <c r="N130" i="2" s="1"/>
  <c r="K129" i="2"/>
  <c r="H83" i="2"/>
  <c r="R98" i="2"/>
  <c r="M142" i="2"/>
  <c r="C53" i="2"/>
  <c r="AN8" i="2"/>
  <c r="I113" i="2"/>
  <c r="U53" i="2"/>
  <c r="O83" i="2"/>
  <c r="M8" i="2"/>
  <c r="L142" i="2"/>
  <c r="H38" i="2"/>
  <c r="V68" i="2"/>
  <c r="U23" i="2"/>
  <c r="AH8" i="2"/>
  <c r="P11" i="2"/>
  <c r="R23" i="2"/>
  <c r="X38" i="2"/>
  <c r="G129" i="2"/>
  <c r="S68" i="2"/>
  <c r="A69" i="2"/>
  <c r="E134" i="2"/>
  <c r="O142" i="2"/>
  <c r="M161" i="2"/>
  <c r="DX15" i="3"/>
  <c r="DX86" i="4" s="1"/>
  <c r="Q11" i="2"/>
  <c r="R11" i="2" s="1"/>
  <c r="I137" i="2"/>
  <c r="DZ15" i="3"/>
  <c r="DZ86" i="4" s="1"/>
  <c r="T83" i="2"/>
  <c r="W98" i="2"/>
  <c r="M113" i="2"/>
  <c r="AI113" i="2"/>
  <c r="AI121" i="2" s="1"/>
  <c r="U113" i="2"/>
  <c r="EF15" i="3"/>
  <c r="N145" i="2"/>
  <c r="K121" i="2"/>
  <c r="EH15" i="3"/>
  <c r="U8" i="2"/>
  <c r="W23" i="2"/>
  <c r="G38" i="2"/>
  <c r="G46" i="2" s="1"/>
  <c r="AC38" i="2"/>
  <c r="O43" i="2"/>
  <c r="C128" i="2"/>
  <c r="D136" i="2"/>
  <c r="AI83" i="2"/>
  <c r="Z98" i="2"/>
  <c r="EI15" i="3"/>
  <c r="EK15" i="3"/>
  <c r="B8" i="2"/>
  <c r="EQ15" i="3"/>
  <c r="C8" i="2"/>
  <c r="Y8" i="2"/>
  <c r="E23" i="2"/>
  <c r="AI53" i="2"/>
  <c r="M53" i="2"/>
  <c r="M126" i="2"/>
  <c r="B68" i="2"/>
  <c r="F68" i="2"/>
  <c r="N134" i="2"/>
  <c r="J144" i="2"/>
  <c r="R101" i="2"/>
  <c r="R105" i="2" s="1"/>
  <c r="ET15" i="3"/>
  <c r="E8" i="2"/>
  <c r="Y23" i="2"/>
  <c r="I38" i="2"/>
  <c r="P58" i="2"/>
  <c r="BI12" i="3" s="1"/>
  <c r="E68" i="2"/>
  <c r="M153" i="2"/>
  <c r="P101" i="2"/>
  <c r="BG15" i="3" s="1"/>
  <c r="D8" i="2"/>
  <c r="Z8" i="2"/>
  <c r="N159" i="2"/>
  <c r="O134" i="2"/>
  <c r="K144" i="2"/>
  <c r="I98" i="2"/>
  <c r="AE98" i="2"/>
  <c r="EU15" i="3"/>
  <c r="W8" i="2"/>
  <c r="C23" i="2"/>
  <c r="X8" i="2"/>
  <c r="D23" i="2"/>
  <c r="G136" i="2"/>
  <c r="O126" i="2"/>
  <c r="D68" i="2"/>
  <c r="Z68" i="2"/>
  <c r="AG83" i="2"/>
  <c r="O88" i="2"/>
  <c r="O144" i="2" s="1"/>
  <c r="AK83" i="2"/>
  <c r="W101" i="2"/>
  <c r="AN104" i="2"/>
  <c r="AN105" i="2" s="1"/>
  <c r="AN106" i="2" s="1"/>
  <c r="J151" i="2"/>
  <c r="O29" i="2"/>
  <c r="G53" i="2"/>
  <c r="L53" i="2"/>
  <c r="AH53" i="2"/>
  <c r="L61" i="2"/>
  <c r="I68" i="2"/>
  <c r="AE68" i="2"/>
  <c r="C135" i="2"/>
  <c r="K98" i="2"/>
  <c r="W113" i="2"/>
  <c r="W121" i="2" s="1"/>
  <c r="G8" i="2"/>
  <c r="AC8" i="2"/>
  <c r="J46" i="2"/>
  <c r="C127" i="2"/>
  <c r="J68" i="2"/>
  <c r="J138" i="2" s="1"/>
  <c r="N68" i="2"/>
  <c r="K83" i="2"/>
  <c r="L98" i="2"/>
  <c r="L106" i="2" s="1"/>
  <c r="T98" i="2"/>
  <c r="AA101" i="2"/>
  <c r="CY15" i="3" s="1"/>
  <c r="CY86" i="4" s="1"/>
  <c r="B113" i="2"/>
  <c r="X113" i="2"/>
  <c r="X121" i="2" s="1"/>
  <c r="O58" i="2"/>
  <c r="O128" i="2" s="1"/>
  <c r="H8" i="2"/>
  <c r="J83" i="2"/>
  <c r="C113" i="2"/>
  <c r="G113" i="2"/>
  <c r="K113" i="2"/>
  <c r="O119" i="2"/>
  <c r="BF16" i="3" s="1"/>
  <c r="AK113" i="2"/>
  <c r="AK121" i="2" s="1"/>
  <c r="I8" i="2"/>
  <c r="AE8" i="2"/>
  <c r="Y38" i="2"/>
  <c r="AH98" i="2"/>
  <c r="AH106" i="2" s="1"/>
  <c r="Z113" i="2"/>
  <c r="Z121" i="2" s="1"/>
  <c r="AA8" i="2"/>
  <c r="AD8" i="2"/>
  <c r="AF83" i="2"/>
  <c r="AN83" i="2"/>
  <c r="Y113" i="2"/>
  <c r="Y121" i="2" s="1"/>
  <c r="P8" i="2"/>
  <c r="D54" i="2"/>
  <c r="F127" i="2"/>
  <c r="N161" i="2"/>
  <c r="O98" i="2"/>
  <c r="AI98" i="2"/>
  <c r="E113" i="2"/>
  <c r="AA113" i="2"/>
  <c r="AE113" i="2"/>
  <c r="G127" i="2"/>
  <c r="P12" i="2"/>
  <c r="AL68" i="2"/>
  <c r="H113" i="2"/>
  <c r="AD113" i="2"/>
  <c r="AD121" i="2" s="1"/>
  <c r="F23" i="2"/>
  <c r="B53" i="2"/>
  <c r="F53" i="2"/>
  <c r="E129" i="2"/>
  <c r="U68" i="2"/>
  <c r="F137" i="2"/>
  <c r="O89" i="2"/>
  <c r="BF14" i="3" s="1"/>
  <c r="BF45" i="3" s="1"/>
  <c r="V121" i="2"/>
  <c r="AJ98" i="2"/>
  <c r="AO121" i="2"/>
  <c r="L8" i="2"/>
  <c r="O59" i="2"/>
  <c r="O129" i="2" s="1"/>
  <c r="G54" i="2"/>
  <c r="H127" i="2"/>
  <c r="P68" i="2"/>
  <c r="AF103" i="2"/>
  <c r="AF105" i="2" s="1"/>
  <c r="AF106" i="2" s="1"/>
  <c r="W38" i="2"/>
  <c r="K127" i="2"/>
  <c r="L135" i="2"/>
  <c r="AJ105" i="2"/>
  <c r="M159" i="2"/>
  <c r="FJ36" i="3"/>
  <c r="FJ10" i="3" s="1"/>
  <c r="FI36" i="3"/>
  <c r="FI10" i="3" s="1"/>
  <c r="FH36" i="3"/>
  <c r="FH10" i="3" s="1"/>
  <c r="FG36" i="3"/>
  <c r="FG10" i="3" s="1"/>
  <c r="FF36" i="3"/>
  <c r="FF10" i="3" s="1"/>
  <c r="FF42" i="3" s="1"/>
  <c r="FE36" i="3"/>
  <c r="FE10" i="3" s="1"/>
  <c r="FD36" i="3"/>
  <c r="FD10" i="3" s="1"/>
  <c r="FD42" i="3" s="1"/>
  <c r="FC36" i="3"/>
  <c r="FC10" i="3" s="1"/>
  <c r="FB36" i="3"/>
  <c r="FB10" i="3" s="1"/>
  <c r="FA36" i="3"/>
  <c r="FA10" i="3" s="1"/>
  <c r="EZ36" i="3"/>
  <c r="EZ10" i="3" s="1"/>
  <c r="EY36" i="3"/>
  <c r="EY10" i="3" s="1"/>
  <c r="EY42" i="3" s="1"/>
  <c r="EX36" i="3"/>
  <c r="EX10" i="3" s="1"/>
  <c r="EW36" i="3"/>
  <c r="EW10" i="3" s="1"/>
  <c r="EV36" i="3"/>
  <c r="EV10" i="3" s="1"/>
  <c r="EU36" i="3"/>
  <c r="EU10" i="3" s="1"/>
  <c r="ET36" i="3"/>
  <c r="ET10" i="3" s="1"/>
  <c r="ET42" i="3" s="1"/>
  <c r="ES36" i="3"/>
  <c r="ES10" i="3" s="1"/>
  <c r="ER36" i="3"/>
  <c r="ER10" i="3" s="1"/>
  <c r="EQ36" i="3"/>
  <c r="EQ10" i="3" s="1"/>
  <c r="EP36" i="3"/>
  <c r="EP10" i="3" s="1"/>
  <c r="EO36" i="3"/>
  <c r="EO10" i="3" s="1"/>
  <c r="EN36" i="3"/>
  <c r="EN10" i="3" s="1"/>
  <c r="EM36" i="3"/>
  <c r="EM10" i="3" s="1"/>
  <c r="EL36" i="3"/>
  <c r="EL10" i="3" s="1"/>
  <c r="DZ104" i="4"/>
  <c r="EK36" i="3"/>
  <c r="EK10" i="3" s="1"/>
  <c r="DY104" i="4"/>
  <c r="EJ36" i="3"/>
  <c r="EJ10" i="3" s="1"/>
  <c r="DX104" i="4"/>
  <c r="EI36" i="3"/>
  <c r="EI10" i="3" s="1"/>
  <c r="EH36" i="3"/>
  <c r="EH10" i="3" s="1"/>
  <c r="EH42" i="3" s="1"/>
  <c r="DW104" i="4"/>
  <c r="EG36" i="3"/>
  <c r="EG10" i="3" s="1"/>
  <c r="EG42" i="3" s="1"/>
  <c r="EF36" i="3"/>
  <c r="EF10" i="3" s="1"/>
  <c r="EF42" i="3" s="1"/>
  <c r="DZ101" i="4"/>
  <c r="DZ37" i="4"/>
  <c r="DV104" i="4"/>
  <c r="DZ106" i="4"/>
  <c r="DY106" i="4"/>
  <c r="EE36" i="3"/>
  <c r="EE10" i="3" s="1"/>
  <c r="ED36" i="3"/>
  <c r="ED10" i="3" s="1"/>
  <c r="EC36" i="3"/>
  <c r="EC10" i="3" s="1"/>
  <c r="DY101" i="4"/>
  <c r="DY107" i="4" s="1"/>
  <c r="DX101" i="4"/>
  <c r="DY37" i="4"/>
  <c r="DX37" i="4"/>
  <c r="DU104" i="4"/>
  <c r="DX106" i="4"/>
  <c r="EB36" i="3"/>
  <c r="EB10" i="3" s="1"/>
  <c r="EB42" i="3" s="1"/>
  <c r="EA36" i="3"/>
  <c r="EA10" i="3" s="1"/>
  <c r="DW101" i="4"/>
  <c r="DW37" i="4"/>
  <c r="AG16" i="5"/>
  <c r="DW106" i="4"/>
  <c r="DZ99" i="4"/>
  <c r="DZ98" i="4"/>
  <c r="DV101" i="4"/>
  <c r="AG11" i="5"/>
  <c r="DV37" i="4"/>
  <c r="DZ97" i="4"/>
  <c r="DY97" i="4"/>
  <c r="DV106" i="4"/>
  <c r="DY99" i="4"/>
  <c r="DX99" i="4"/>
  <c r="DW99" i="4"/>
  <c r="DV99" i="4"/>
  <c r="DY98" i="4"/>
  <c r="DX98" i="4"/>
  <c r="DW98" i="4"/>
  <c r="DU101" i="4"/>
  <c r="AF11" i="5"/>
  <c r="DU37" i="4"/>
  <c r="DX97" i="4"/>
  <c r="DW97" i="4"/>
  <c r="DZ96" i="4"/>
  <c r="DY96" i="4"/>
  <c r="DX96" i="4"/>
  <c r="DU106" i="4"/>
  <c r="DU99" i="4"/>
  <c r="DV98" i="4"/>
  <c r="DU98" i="4"/>
  <c r="DU107" i="4" s="1"/>
  <c r="AG15" i="5"/>
  <c r="DT37" i="4"/>
  <c r="DS37" i="4"/>
  <c r="DR37" i="4"/>
  <c r="AF16" i="5"/>
  <c r="DV97" i="4"/>
  <c r="DW96" i="4"/>
  <c r="DV96" i="4"/>
  <c r="DU96" i="4"/>
  <c r="DQ37" i="4"/>
  <c r="DU97" i="4"/>
  <c r="DZ105" i="4"/>
  <c r="AF15" i="5"/>
  <c r="AG14" i="5"/>
  <c r="DZ80" i="4"/>
  <c r="DZ100" i="4"/>
  <c r="DY105" i="4"/>
  <c r="DY80" i="4"/>
  <c r="DY100" i="4"/>
  <c r="DX105" i="4"/>
  <c r="DX107" i="4" s="1"/>
  <c r="DW105" i="4"/>
  <c r="DV105" i="4"/>
  <c r="DU105" i="4"/>
  <c r="AF14" i="5"/>
  <c r="DX80" i="4"/>
  <c r="DX100" i="4"/>
  <c r="DW100" i="4"/>
  <c r="AG10" i="5"/>
  <c r="DW80" i="4"/>
  <c r="DV80" i="4"/>
  <c r="DU80" i="4"/>
  <c r="DV100" i="4"/>
  <c r="AF10" i="5"/>
  <c r="DU100" i="4"/>
  <c r="DZ102" i="4"/>
  <c r="DY102" i="4"/>
  <c r="DX102" i="4"/>
  <c r="DW102" i="4"/>
  <c r="DV102" i="4"/>
  <c r="DU102" i="4"/>
  <c r="AD9" i="5"/>
  <c r="AG9" i="5"/>
  <c r="FE41" i="3"/>
  <c r="FG41" i="3"/>
  <c r="FF41" i="3"/>
  <c r="FI41" i="3"/>
  <c r="FH41" i="3"/>
  <c r="FB41" i="3"/>
  <c r="DO37" i="4"/>
  <c r="AE29" i="5" s="1"/>
  <c r="DG37" i="4"/>
  <c r="AC29" i="5" s="1"/>
  <c r="DK37" i="4"/>
  <c r="AD29" i="5" s="1"/>
  <c r="DP37" i="4"/>
  <c r="AF9" i="5"/>
  <c r="AE9" i="5"/>
  <c r="AD15" i="5"/>
  <c r="AE15" i="5"/>
  <c r="AD14" i="5"/>
  <c r="AE14" i="5"/>
  <c r="DB104" i="4"/>
  <c r="DO104" i="4"/>
  <c r="DP104" i="4"/>
  <c r="DL80" i="4"/>
  <c r="DK80" i="4"/>
  <c r="DR80" i="4"/>
  <c r="DT80" i="4"/>
  <c r="DK96" i="4"/>
  <c r="DT96" i="4"/>
  <c r="DQ96" i="4"/>
  <c r="DR96" i="4"/>
  <c r="DS96" i="4"/>
  <c r="DS99" i="4"/>
  <c r="DT99" i="4"/>
  <c r="FA41" i="3"/>
  <c r="EC41" i="3"/>
  <c r="EB41" i="3"/>
  <c r="EA41" i="3"/>
  <c r="DU79" i="4"/>
  <c r="DU41" i="3"/>
  <c r="DO79" i="4"/>
  <c r="DO41" i="3"/>
  <c r="AE80" i="3" s="1"/>
  <c r="DQ79" i="4"/>
  <c r="DQ41" i="3"/>
  <c r="DP79" i="4"/>
  <c r="DP41" i="3"/>
  <c r="EF41" i="3"/>
  <c r="ES41" i="3"/>
  <c r="DW79" i="4"/>
  <c r="DW41" i="3"/>
  <c r="DS79" i="4"/>
  <c r="DS41" i="3"/>
  <c r="DR79" i="4"/>
  <c r="DR41" i="3"/>
  <c r="DL79" i="4"/>
  <c r="DL41" i="3"/>
  <c r="EY41" i="3"/>
  <c r="FC41" i="3"/>
  <c r="FJ41" i="3"/>
  <c r="FD41" i="3"/>
  <c r="DQ81" i="4"/>
  <c r="DR81" i="4"/>
  <c r="DX81" i="4"/>
  <c r="FH42" i="3"/>
  <c r="FC42" i="3"/>
  <c r="FI42" i="3"/>
  <c r="EW42" i="3"/>
  <c r="EX42" i="3"/>
  <c r="FE42" i="3"/>
  <c r="FB42" i="3"/>
  <c r="FA42" i="3"/>
  <c r="EZ42" i="3"/>
  <c r="EV42" i="3"/>
  <c r="EA42" i="3"/>
  <c r="EM42" i="3"/>
  <c r="FG42" i="3"/>
  <c r="FJ42" i="3"/>
  <c r="DL98" i="4"/>
  <c r="DO98" i="4"/>
  <c r="DH98" i="4"/>
  <c r="DJ98" i="4"/>
  <c r="DI98" i="4"/>
  <c r="DM101" i="4"/>
  <c r="DK101" i="4"/>
  <c r="DL101" i="4"/>
  <c r="DQ101" i="4"/>
  <c r="DN101" i="4"/>
  <c r="DO101" i="4"/>
  <c r="DS101" i="4"/>
  <c r="DP101" i="4"/>
  <c r="DT101" i="4"/>
  <c r="AE11" i="5"/>
  <c r="AB11" i="5"/>
  <c r="DN37" i="4"/>
  <c r="DE37" i="4"/>
  <c r="DF37" i="4"/>
  <c r="DM37" i="4"/>
  <c r="DL37" i="4"/>
  <c r="DJ37" i="4"/>
  <c r="DI37" i="4"/>
  <c r="DH37" i="4"/>
  <c r="AC9" i="5"/>
  <c r="AB9" i="5"/>
  <c r="AE16" i="5"/>
  <c r="AC16" i="5"/>
  <c r="AD16" i="5"/>
  <c r="AC15" i="5"/>
  <c r="DT102" i="4"/>
  <c r="DA104" i="4"/>
  <c r="DN104" i="4"/>
  <c r="DQ104" i="4"/>
  <c r="DD104" i="4"/>
  <c r="DF104" i="4"/>
  <c r="DR104" i="4"/>
  <c r="DI104" i="4"/>
  <c r="DG104" i="4"/>
  <c r="DE104" i="4"/>
  <c r="DS104" i="4"/>
  <c r="DT104" i="4"/>
  <c r="DT107" i="4" s="1"/>
  <c r="DK104" i="4"/>
  <c r="DJ104" i="4"/>
  <c r="DL104" i="4"/>
  <c r="DM104" i="4"/>
  <c r="DC104" i="4"/>
  <c r="DH104" i="4"/>
  <c r="DR97" i="4"/>
  <c r="DG97" i="4"/>
  <c r="DP97" i="4"/>
  <c r="DJ97" i="4"/>
  <c r="DK97" i="4"/>
  <c r="DF97" i="4"/>
  <c r="DT97" i="4"/>
  <c r="DH97" i="4"/>
  <c r="DL97" i="4"/>
  <c r="DI97" i="4"/>
  <c r="DQ97" i="4"/>
  <c r="DM97" i="4"/>
  <c r="DO97" i="4"/>
  <c r="DS97" i="4"/>
  <c r="DN97" i="4"/>
  <c r="DM80" i="4"/>
  <c r="DN80" i="4"/>
  <c r="DO80" i="4"/>
  <c r="DQ80" i="4"/>
  <c r="DS80" i="4"/>
  <c r="DP80" i="4"/>
  <c r="DJ80" i="4"/>
  <c r="DF96" i="4"/>
  <c r="DL96" i="4"/>
  <c r="DJ96" i="4"/>
  <c r="DH96" i="4"/>
  <c r="DP96" i="4"/>
  <c r="DO96" i="4"/>
  <c r="DI96" i="4"/>
  <c r="DM96" i="4"/>
  <c r="DN96" i="4"/>
  <c r="DG96" i="4"/>
  <c r="DE96" i="4"/>
  <c r="DN100" i="4"/>
  <c r="DT100" i="4"/>
  <c r="DS100" i="4"/>
  <c r="DR100" i="4"/>
  <c r="DO100" i="4"/>
  <c r="DQ100" i="4"/>
  <c r="DP100" i="4"/>
  <c r="DF106" i="4"/>
  <c r="DT106" i="4"/>
  <c r="DS106" i="4"/>
  <c r="DC106" i="4"/>
  <c r="DB106" i="4"/>
  <c r="DK106" i="4"/>
  <c r="DJ106" i="4"/>
  <c r="DI106" i="4"/>
  <c r="DG106" i="4"/>
  <c r="DH106" i="4"/>
  <c r="DN106" i="4"/>
  <c r="DL106" i="4"/>
  <c r="DP106" i="4"/>
  <c r="DO106" i="4"/>
  <c r="DM106" i="4"/>
  <c r="DQ106" i="4"/>
  <c r="DR106" i="4"/>
  <c r="DE106" i="4"/>
  <c r="DD106" i="4"/>
  <c r="DP99" i="4"/>
  <c r="DN99" i="4"/>
  <c r="DR99" i="4"/>
  <c r="DO99" i="4"/>
  <c r="DQ99" i="4"/>
  <c r="DM99" i="4"/>
  <c r="DK99" i="4"/>
  <c r="DF99" i="4"/>
  <c r="DG99" i="4"/>
  <c r="DJ99" i="4"/>
  <c r="DH99" i="4"/>
  <c r="DL99" i="4"/>
  <c r="DI99" i="4"/>
  <c r="EZ41" i="3"/>
  <c r="EV41" i="3"/>
  <c r="EE41" i="3"/>
  <c r="DZ79" i="4"/>
  <c r="DZ41" i="3"/>
  <c r="DY79" i="4"/>
  <c r="DY41" i="3"/>
  <c r="ET41" i="3"/>
  <c r="ED41" i="3"/>
  <c r="EI41" i="3"/>
  <c r="EK41" i="3"/>
  <c r="DK79" i="4"/>
  <c r="DK41" i="3"/>
  <c r="EU41" i="3"/>
  <c r="DX79" i="4"/>
  <c r="DX41" i="3"/>
  <c r="EO41" i="3"/>
  <c r="EJ41" i="3"/>
  <c r="EN41" i="3"/>
  <c r="DM79" i="4"/>
  <c r="DM41" i="3"/>
  <c r="ER41" i="3"/>
  <c r="EH41" i="3"/>
  <c r="EX41" i="3"/>
  <c r="EW41" i="3"/>
  <c r="EG41" i="3"/>
  <c r="EM41" i="3"/>
  <c r="EP41" i="3"/>
  <c r="DV79" i="4"/>
  <c r="DV41" i="3"/>
  <c r="EQ41" i="3"/>
  <c r="DT79" i="4"/>
  <c r="DT41" i="3"/>
  <c r="EL41" i="3"/>
  <c r="DN79" i="4"/>
  <c r="DN41" i="3"/>
  <c r="DZ81" i="4"/>
  <c r="DJ81" i="4"/>
  <c r="DK81" i="4"/>
  <c r="DL81" i="4"/>
  <c r="DM81" i="4"/>
  <c r="DW81" i="4"/>
  <c r="DV81" i="4"/>
  <c r="DU81" i="4"/>
  <c r="DN81" i="4"/>
  <c r="DI81" i="4"/>
  <c r="DH81" i="4"/>
  <c r="DO81" i="4"/>
  <c r="DP81" i="4"/>
  <c r="DT81" i="4"/>
  <c r="DS81" i="4"/>
  <c r="DY81" i="4"/>
  <c r="DU95" i="4"/>
  <c r="DU36" i="3"/>
  <c r="DU10" i="3" s="1"/>
  <c r="DW95" i="4"/>
  <c r="DW36" i="3"/>
  <c r="DW10" i="3" s="1"/>
  <c r="DR95" i="4"/>
  <c r="DR36" i="3"/>
  <c r="DR10" i="3" s="1"/>
  <c r="EK42" i="3"/>
  <c r="EJ42" i="3"/>
  <c r="DM95" i="4"/>
  <c r="DM36" i="3"/>
  <c r="DM10" i="3" s="1"/>
  <c r="DS95" i="4"/>
  <c r="DS36" i="3"/>
  <c r="DS10" i="3" s="1"/>
  <c r="DN95" i="4"/>
  <c r="DN36" i="3"/>
  <c r="DN10" i="3" s="1"/>
  <c r="DV95" i="4"/>
  <c r="DV107" i="4" s="1"/>
  <c r="DV36" i="3"/>
  <c r="DV10" i="3" s="1"/>
  <c r="EN42" i="3"/>
  <c r="EL42" i="3"/>
  <c r="DG95" i="4"/>
  <c r="DG36" i="3"/>
  <c r="DG10" i="3" s="1"/>
  <c r="DH95" i="4"/>
  <c r="DH36" i="3"/>
  <c r="DH10" i="3" s="1"/>
  <c r="DY95" i="4"/>
  <c r="DY36" i="3"/>
  <c r="DY10" i="3" s="1"/>
  <c r="DO95" i="4"/>
  <c r="DO36" i="3"/>
  <c r="DO10" i="3" s="1"/>
  <c r="DL95" i="4"/>
  <c r="DL36" i="3"/>
  <c r="DL10" i="3" s="1"/>
  <c r="DK95" i="4"/>
  <c r="DK107" i="4" s="1"/>
  <c r="DK36" i="3"/>
  <c r="DK10" i="3" s="1"/>
  <c r="DJ95" i="4"/>
  <c r="DJ36" i="3"/>
  <c r="DJ10" i="3" s="1"/>
  <c r="DI95" i="4"/>
  <c r="DI107" i="4" s="1"/>
  <c r="DI36" i="3"/>
  <c r="DI10" i="3" s="1"/>
  <c r="DZ95" i="4"/>
  <c r="DZ36" i="3"/>
  <c r="DZ10" i="3" s="1"/>
  <c r="DF95" i="4"/>
  <c r="DF107" i="4" s="1"/>
  <c r="DF36" i="3"/>
  <c r="DF10" i="3" s="1"/>
  <c r="DP95" i="4"/>
  <c r="DP36" i="3"/>
  <c r="DP10" i="3" s="1"/>
  <c r="DQ95" i="4"/>
  <c r="DQ36" i="3"/>
  <c r="DQ10" i="3" s="1"/>
  <c r="DT95" i="4"/>
  <c r="DT36" i="3"/>
  <c r="DT10" i="3" s="1"/>
  <c r="DX95" i="4"/>
  <c r="DX36" i="3"/>
  <c r="DX10" i="3" s="1"/>
  <c r="DP98" i="4"/>
  <c r="DE98" i="4"/>
  <c r="DF98" i="4"/>
  <c r="DK98" i="4"/>
  <c r="DC98" i="4"/>
  <c r="DD98" i="4"/>
  <c r="DG98" i="4"/>
  <c r="DN98" i="4"/>
  <c r="DN107" i="4" s="1"/>
  <c r="DM98" i="4"/>
  <c r="DS98" i="4"/>
  <c r="DR98" i="4"/>
  <c r="DQ98" i="4"/>
  <c r="DT98" i="4"/>
  <c r="DS105" i="4"/>
  <c r="DL105" i="4"/>
  <c r="DM105" i="4"/>
  <c r="DN105" i="4"/>
  <c r="DK105" i="4"/>
  <c r="DO105" i="4"/>
  <c r="DP105" i="4"/>
  <c r="DJ105" i="4"/>
  <c r="DT105" i="4"/>
  <c r="DR105" i="4"/>
  <c r="DQ105" i="4"/>
  <c r="DI101" i="4"/>
  <c r="DJ101" i="4"/>
  <c r="DR101" i="4"/>
  <c r="DR107" i="4" s="1"/>
  <c r="DG101" i="4"/>
  <c r="DH101" i="4"/>
  <c r="AE10" i="5"/>
  <c r="AC11" i="5"/>
  <c r="AA11" i="5"/>
  <c r="Z11" i="5"/>
  <c r="AD11" i="5"/>
  <c r="DD37" i="4"/>
  <c r="DC37" i="4"/>
  <c r="DB37" i="4"/>
  <c r="AA9" i="5"/>
  <c r="DS102" i="4"/>
  <c r="DR102" i="4"/>
  <c r="DQ102" i="4"/>
  <c r="DP102" i="4"/>
  <c r="CZ104" i="4"/>
  <c r="DE97" i="4"/>
  <c r="DD97" i="4"/>
  <c r="DI80" i="4"/>
  <c r="DH80" i="4"/>
  <c r="DD96" i="4"/>
  <c r="DC96" i="4"/>
  <c r="DM100" i="4"/>
  <c r="DA106" i="4"/>
  <c r="DE99" i="4"/>
  <c r="DJ79" i="4"/>
  <c r="DJ41" i="3"/>
  <c r="DG81" i="4"/>
  <c r="DF81" i="4"/>
  <c r="DE95" i="4"/>
  <c r="DE36" i="3"/>
  <c r="DE10" i="3" s="1"/>
  <c r="DD95" i="4"/>
  <c r="DD36" i="3"/>
  <c r="DD10" i="3" s="1"/>
  <c r="DC95" i="4"/>
  <c r="DC36" i="3"/>
  <c r="DC10" i="3" s="1"/>
  <c r="DB98" i="4"/>
  <c r="DA98" i="4"/>
  <c r="DI105" i="4"/>
  <c r="DF101" i="4"/>
  <c r="DE101" i="4"/>
  <c r="AD10" i="5"/>
  <c r="DA37" i="4"/>
  <c r="AB16" i="5"/>
  <c r="AB15" i="5"/>
  <c r="DO102" i="4"/>
  <c r="CY104" i="4"/>
  <c r="DC97" i="4"/>
  <c r="DG80" i="4"/>
  <c r="DF80" i="4"/>
  <c r="DB96" i="4"/>
  <c r="DA96" i="4"/>
  <c r="DL100" i="4"/>
  <c r="DK100" i="4"/>
  <c r="CZ106" i="4"/>
  <c r="DD99" i="4"/>
  <c r="DI79" i="4"/>
  <c r="DI41" i="3"/>
  <c r="DE81" i="4"/>
  <c r="DD81" i="4"/>
  <c r="DB95" i="4"/>
  <c r="DB36" i="3"/>
  <c r="DB10" i="3" s="1"/>
  <c r="DA95" i="4"/>
  <c r="DA36" i="3"/>
  <c r="DA10" i="3" s="1"/>
  <c r="CZ98" i="4"/>
  <c r="CY98" i="4"/>
  <c r="DH105" i="4"/>
  <c r="DG105" i="4"/>
  <c r="DD101" i="4"/>
  <c r="DC101" i="4"/>
  <c r="CZ37" i="4"/>
  <c r="CY37" i="4"/>
  <c r="CX37" i="4"/>
  <c r="AC14" i="5"/>
  <c r="DN102" i="4"/>
  <c r="DM102" i="4"/>
  <c r="CX104" i="4"/>
  <c r="CW104" i="4"/>
  <c r="DB97" i="4"/>
  <c r="DA97" i="4"/>
  <c r="CZ97" i="4"/>
  <c r="CY97" i="4"/>
  <c r="DE80" i="4"/>
  <c r="CZ96" i="4"/>
  <c r="DJ100" i="4"/>
  <c r="DJ107" i="4" s="1"/>
  <c r="CY106" i="4"/>
  <c r="DC99" i="4"/>
  <c r="DH79" i="4"/>
  <c r="DH41" i="3"/>
  <c r="DC81" i="4"/>
  <c r="CZ95" i="4"/>
  <c r="CZ36" i="3"/>
  <c r="CZ10" i="3" s="1"/>
  <c r="CX98" i="4"/>
  <c r="DF105" i="4"/>
  <c r="DE105" i="4"/>
  <c r="DB101" i="4"/>
  <c r="AC10" i="5"/>
  <c r="CW37" i="4"/>
  <c r="DL102" i="4"/>
  <c r="CV104" i="4"/>
  <c r="CU104" i="4"/>
  <c r="CT104" i="4"/>
  <c r="CS104" i="4"/>
  <c r="CR104" i="4"/>
  <c r="CQ104" i="4"/>
  <c r="CX97" i="4"/>
  <c r="CX107" i="4" s="1"/>
  <c r="DD80" i="4"/>
  <c r="DC80" i="4"/>
  <c r="CY96" i="4"/>
  <c r="DI100" i="4"/>
  <c r="DH100" i="4"/>
  <c r="DH107" i="4" s="1"/>
  <c r="DG100" i="4"/>
  <c r="CX106" i="4"/>
  <c r="DB99" i="4"/>
  <c r="DG79" i="4"/>
  <c r="DG41" i="3"/>
  <c r="DF79" i="4"/>
  <c r="DF41" i="3"/>
  <c r="DB81" i="4"/>
  <c r="CY95" i="4"/>
  <c r="CY36" i="3"/>
  <c r="CY10" i="3" s="1"/>
  <c r="CW98" i="4"/>
  <c r="CV98" i="4"/>
  <c r="CU98" i="4"/>
  <c r="DD105" i="4"/>
  <c r="DC105" i="4"/>
  <c r="DA101" i="4"/>
  <c r="Y11" i="5"/>
  <c r="CV37" i="4"/>
  <c r="CU37" i="4"/>
  <c r="Z9" i="5"/>
  <c r="AA16" i="5"/>
  <c r="AA15" i="5"/>
  <c r="DK102" i="4"/>
  <c r="DJ102" i="4"/>
  <c r="DI102" i="4"/>
  <c r="CP104" i="4"/>
  <c r="CW97" i="4"/>
  <c r="DB80" i="4"/>
  <c r="CX96" i="4"/>
  <c r="DF100" i="4"/>
  <c r="CW106" i="4"/>
  <c r="DA99" i="4"/>
  <c r="CZ99" i="4"/>
  <c r="CY99" i="4"/>
  <c r="DE79" i="4"/>
  <c r="DE41" i="3"/>
  <c r="DA81" i="4"/>
  <c r="CZ81" i="4"/>
  <c r="CY81" i="4"/>
  <c r="CX95" i="4"/>
  <c r="CX36" i="3"/>
  <c r="CX10" i="3" s="1"/>
  <c r="CT98" i="4"/>
  <c r="CS98" i="4"/>
  <c r="CR98" i="4"/>
  <c r="DB105" i="4"/>
  <c r="CZ101" i="4"/>
  <c r="AB10" i="5"/>
  <c r="CT37" i="4"/>
  <c r="AB14" i="5"/>
  <c r="DH102" i="4"/>
  <c r="DG102" i="4"/>
  <c r="CO104" i="4"/>
  <c r="CV97" i="4"/>
  <c r="CV107" i="4" s="1"/>
  <c r="DA80" i="4"/>
  <c r="CZ80" i="4"/>
  <c r="CW96" i="4"/>
  <c r="CV96" i="4"/>
  <c r="DE100" i="4"/>
  <c r="CV106" i="4"/>
  <c r="CX99" i="4"/>
  <c r="DD79" i="4"/>
  <c r="DD41" i="3"/>
  <c r="CX81" i="4"/>
  <c r="CW81" i="4"/>
  <c r="CW95" i="4"/>
  <c r="CW36" i="3"/>
  <c r="CW10" i="3" s="1"/>
  <c r="CQ98" i="4"/>
  <c r="CQ107" i="4" s="1"/>
  <c r="DA105" i="4"/>
  <c r="CZ105" i="4"/>
  <c r="CY101" i="4"/>
  <c r="X11" i="5"/>
  <c r="CS37" i="4"/>
  <c r="CR37" i="4"/>
  <c r="Z16" i="5"/>
  <c r="DF102" i="4"/>
  <c r="DE102" i="4"/>
  <c r="CN104" i="4"/>
  <c r="CU97" i="4"/>
  <c r="CT97" i="4"/>
  <c r="CY80" i="4"/>
  <c r="CX80" i="4"/>
  <c r="CU96" i="4"/>
  <c r="DD100" i="4"/>
  <c r="DC100" i="4"/>
  <c r="CU106" i="4"/>
  <c r="CW99" i="4"/>
  <c r="DC79" i="4"/>
  <c r="DC41" i="3"/>
  <c r="DB79" i="4"/>
  <c r="DB41" i="3"/>
  <c r="CV81" i="4"/>
  <c r="CV95" i="4"/>
  <c r="CV36" i="3"/>
  <c r="CV10" i="3" s="1"/>
  <c r="CP98" i="4"/>
  <c r="CY105" i="4"/>
  <c r="CX105" i="4"/>
  <c r="CX101" i="4"/>
  <c r="AA10" i="5"/>
  <c r="CQ37" i="4"/>
  <c r="Y9" i="5"/>
  <c r="Z15" i="5"/>
  <c r="DD102" i="4"/>
  <c r="CM104" i="4"/>
  <c r="CS97" i="4"/>
  <c r="CW80" i="4"/>
  <c r="CV80" i="4"/>
  <c r="CU80" i="4"/>
  <c r="CT96" i="4"/>
  <c r="CS96" i="4"/>
  <c r="CR96" i="4"/>
  <c r="DB100" i="4"/>
  <c r="CT106" i="4"/>
  <c r="CV99" i="4"/>
  <c r="CU99" i="4"/>
  <c r="DA79" i="4"/>
  <c r="DA41" i="3"/>
  <c r="CZ79" i="4"/>
  <c r="CZ41" i="3"/>
  <c r="CU81" i="4"/>
  <c r="CU95" i="4"/>
  <c r="CU107" i="4" s="1"/>
  <c r="CU36" i="3"/>
  <c r="CU10" i="3" s="1"/>
  <c r="CT95" i="4"/>
  <c r="CT36" i="3"/>
  <c r="CT10" i="3" s="1"/>
  <c r="CO98" i="4"/>
  <c r="CW105" i="4"/>
  <c r="CV105" i="4"/>
  <c r="CU105" i="4"/>
  <c r="CT105" i="4"/>
  <c r="CS105" i="4"/>
  <c r="CW101" i="4"/>
  <c r="CV101" i="4"/>
  <c r="CP37" i="4"/>
  <c r="Y15" i="5"/>
  <c r="AA14" i="5"/>
  <c r="DC102" i="4"/>
  <c r="DB102" i="4"/>
  <c r="CL104" i="4"/>
  <c r="CR97" i="4"/>
  <c r="CQ97" i="4"/>
  <c r="CT80" i="4"/>
  <c r="CS80" i="4"/>
  <c r="CQ96" i="4"/>
  <c r="CP96" i="4"/>
  <c r="DA100" i="4"/>
  <c r="CZ100" i="4"/>
  <c r="CS106" i="4"/>
  <c r="CT99" i="4"/>
  <c r="CS99" i="4"/>
  <c r="CY79" i="4"/>
  <c r="CY41" i="3"/>
  <c r="CX79" i="4"/>
  <c r="CX41" i="3"/>
  <c r="CT81" i="4"/>
  <c r="CS95" i="4"/>
  <c r="CS36" i="3"/>
  <c r="CS10" i="3" s="1"/>
  <c r="CN98" i="4"/>
  <c r="CR105" i="4"/>
  <c r="CU101" i="4"/>
  <c r="W11" i="5"/>
  <c r="CO37" i="4"/>
  <c r="CN37" i="4"/>
  <c r="CM37" i="4"/>
  <c r="X29" i="5" s="1"/>
  <c r="Y16" i="5"/>
  <c r="DA102" i="4"/>
  <c r="CZ102" i="4"/>
  <c r="CK104" i="4"/>
  <c r="CP97" i="4"/>
  <c r="CR80" i="4"/>
  <c r="CQ80" i="4"/>
  <c r="CO96" i="4"/>
  <c r="CN96" i="4"/>
  <c r="CY100" i="4"/>
  <c r="CX100" i="4"/>
  <c r="CW100" i="4"/>
  <c r="CR106" i="4"/>
  <c r="CQ106" i="4"/>
  <c r="CP106" i="4"/>
  <c r="CO106" i="4"/>
  <c r="CR99" i="4"/>
  <c r="CW79" i="4"/>
  <c r="CW41" i="3"/>
  <c r="CS81" i="4"/>
  <c r="CR95" i="4"/>
  <c r="CR36" i="3"/>
  <c r="CR10" i="3" s="1"/>
  <c r="CQ95" i="4"/>
  <c r="CQ36" i="3"/>
  <c r="CQ10" i="3" s="1"/>
  <c r="CP95" i="4"/>
  <c r="CP36" i="3"/>
  <c r="CP10" i="3" s="1"/>
  <c r="CM98" i="4"/>
  <c r="CL98" i="4"/>
  <c r="CK98" i="4"/>
  <c r="CQ105" i="4"/>
  <c r="CT101" i="4"/>
  <c r="Z10" i="5"/>
  <c r="CL37" i="4"/>
  <c r="X15" i="5"/>
  <c r="Z14" i="5"/>
  <c r="CY102" i="4"/>
  <c r="CX102" i="4"/>
  <c r="CW102" i="4"/>
  <c r="CJ104" i="4"/>
  <c r="CI104" i="4"/>
  <c r="CO97" i="4"/>
  <c r="CP80" i="4"/>
  <c r="CM96" i="4"/>
  <c r="CV100" i="4"/>
  <c r="CN106" i="4"/>
  <c r="CM106" i="4"/>
  <c r="CQ99" i="4"/>
  <c r="CP99" i="4"/>
  <c r="CV79" i="4"/>
  <c r="CV41" i="3"/>
  <c r="CU79" i="4"/>
  <c r="CU41" i="3"/>
  <c r="CR81" i="4"/>
  <c r="CQ81" i="4"/>
  <c r="CO95" i="4"/>
  <c r="CO36" i="3"/>
  <c r="CO10" i="3" s="1"/>
  <c r="CJ98" i="4"/>
  <c r="CJ107" i="4" s="1"/>
  <c r="CP105" i="4"/>
  <c r="CO105" i="4"/>
  <c r="CS101" i="4"/>
  <c r="CR101" i="4"/>
  <c r="CK37" i="4"/>
  <c r="X9" i="5"/>
  <c r="CV102" i="4"/>
  <c r="CU102" i="4"/>
  <c r="CH104" i="4"/>
  <c r="CN97" i="4"/>
  <c r="CM97" i="4"/>
  <c r="CL97" i="4"/>
  <c r="CK97" i="4"/>
  <c r="CO80" i="4"/>
  <c r="CN80" i="4"/>
  <c r="CM80" i="4"/>
  <c r="CL96" i="4"/>
  <c r="CU100" i="4"/>
  <c r="CL106" i="4"/>
  <c r="CK106" i="4"/>
  <c r="CO99" i="4"/>
  <c r="CT79" i="4"/>
  <c r="CT41" i="3"/>
  <c r="CS79" i="4"/>
  <c r="CS41" i="3"/>
  <c r="CR79" i="4"/>
  <c r="CR41" i="3"/>
  <c r="CP81" i="4"/>
  <c r="CO81" i="4"/>
  <c r="CN81" i="4"/>
  <c r="CM81" i="4"/>
  <c r="CN95" i="4"/>
  <c r="CN36" i="3"/>
  <c r="CN10" i="3" s="1"/>
  <c r="CI98" i="4"/>
  <c r="CN105" i="4"/>
  <c r="CM105" i="4"/>
  <c r="CL105" i="4"/>
  <c r="CQ101" i="4"/>
  <c r="Y10" i="5"/>
  <c r="CJ37" i="4"/>
  <c r="X16" i="5"/>
  <c r="CT102" i="4"/>
  <c r="CG104" i="4"/>
  <c r="CJ97" i="4"/>
  <c r="CL80" i="4"/>
  <c r="CK96" i="4"/>
  <c r="CT100" i="4"/>
  <c r="CJ106" i="4"/>
  <c r="CI106" i="4"/>
  <c r="CN99" i="4"/>
  <c r="CQ79" i="4"/>
  <c r="CQ41" i="3"/>
  <c r="Y80" i="3" s="1"/>
  <c r="CL81" i="4"/>
  <c r="CM95" i="4"/>
  <c r="CM36" i="3"/>
  <c r="CM10" i="3" s="1"/>
  <c r="CL95" i="4"/>
  <c r="CL36" i="3"/>
  <c r="CL10" i="3" s="1"/>
  <c r="CH98" i="4"/>
  <c r="CK105" i="4"/>
  <c r="CJ105" i="4"/>
  <c r="CP101" i="4"/>
  <c r="V11" i="5"/>
  <c r="CI37" i="4"/>
  <c r="Y14" i="5"/>
  <c r="CS102" i="4"/>
  <c r="CR102" i="4"/>
  <c r="CQ102" i="4"/>
  <c r="CP102" i="4"/>
  <c r="CF104" i="4"/>
  <c r="CI97" i="4"/>
  <c r="CH97" i="4"/>
  <c r="CG97" i="4"/>
  <c r="CK80" i="4"/>
  <c r="CJ80" i="4"/>
  <c r="CJ96" i="4"/>
  <c r="CI96" i="4"/>
  <c r="CS100" i="4"/>
  <c r="CR100" i="4"/>
  <c r="CH106" i="4"/>
  <c r="CM99" i="4"/>
  <c r="CP79" i="4"/>
  <c r="CP41" i="3"/>
  <c r="CK81" i="4"/>
  <c r="CK95" i="4"/>
  <c r="CK36" i="3"/>
  <c r="CK10" i="3" s="1"/>
  <c r="CG98" i="4"/>
  <c r="CI105" i="4"/>
  <c r="CO101" i="4"/>
  <c r="CN101" i="4"/>
  <c r="CH37" i="4"/>
  <c r="CG37" i="4"/>
  <c r="W16" i="5"/>
  <c r="W15" i="5"/>
  <c r="CO102" i="4"/>
  <c r="CE104" i="4"/>
  <c r="CD104" i="4"/>
  <c r="CC104" i="4"/>
  <c r="CF97" i="4"/>
  <c r="CI80" i="4"/>
  <c r="CH96" i="4"/>
  <c r="CG96" i="4"/>
  <c r="CQ100" i="4"/>
  <c r="CG106" i="4"/>
  <c r="CL99" i="4"/>
  <c r="CO79" i="4"/>
  <c r="CO41" i="3"/>
  <c r="CJ81" i="4"/>
  <c r="CJ95" i="4"/>
  <c r="CJ36" i="3"/>
  <c r="CJ10" i="3" s="1"/>
  <c r="CI95" i="4"/>
  <c r="CI36" i="3"/>
  <c r="CI10" i="3" s="1"/>
  <c r="CF98" i="4"/>
  <c r="CH105" i="4"/>
  <c r="CG105" i="4"/>
  <c r="CF105" i="4"/>
  <c r="CE105" i="4"/>
  <c r="CM101" i="4"/>
  <c r="CL101" i="4"/>
  <c r="CK101" i="4"/>
  <c r="X10" i="5"/>
  <c r="CF37" i="4"/>
  <c r="CE37" i="4"/>
  <c r="W9" i="5"/>
  <c r="V16" i="5"/>
  <c r="V15" i="5"/>
  <c r="X14" i="5"/>
  <c r="CN102" i="4"/>
  <c r="CB104" i="4"/>
  <c r="CA104" i="4"/>
  <c r="CE97" i="4"/>
  <c r="CH80" i="4"/>
  <c r="CF96" i="4"/>
  <c r="CE96" i="4"/>
  <c r="CP100" i="4"/>
  <c r="CF106" i="4"/>
  <c r="CK99" i="4"/>
  <c r="CN79" i="4"/>
  <c r="CN41" i="3"/>
  <c r="CM79" i="4"/>
  <c r="CM41" i="3"/>
  <c r="X80" i="3" s="1"/>
  <c r="CL79" i="4"/>
  <c r="CL41" i="3"/>
  <c r="CK79" i="4"/>
  <c r="CK41" i="3"/>
  <c r="CI81" i="4"/>
  <c r="CH95" i="4"/>
  <c r="CH36" i="3"/>
  <c r="CH10" i="3" s="1"/>
  <c r="CE98" i="4"/>
  <c r="CD98" i="4"/>
  <c r="CD105" i="4"/>
  <c r="CJ101" i="4"/>
  <c r="CD37" i="4"/>
  <c r="CC37" i="4"/>
  <c r="CB37" i="4"/>
  <c r="CM102" i="4"/>
  <c r="CL102" i="4"/>
  <c r="BZ104" i="4"/>
  <c r="BZ107" i="4" s="1"/>
  <c r="CD97" i="4"/>
  <c r="CC97" i="4"/>
  <c r="CG80" i="4"/>
  <c r="CF80" i="4"/>
  <c r="CE80" i="4"/>
  <c r="CD80" i="4"/>
  <c r="CD96" i="4"/>
  <c r="CO100" i="4"/>
  <c r="CN100" i="4"/>
  <c r="CM100" i="4"/>
  <c r="CE106" i="4"/>
  <c r="CJ99" i="4"/>
  <c r="CJ79" i="4"/>
  <c r="CJ41" i="3"/>
  <c r="CI79" i="4"/>
  <c r="CI41" i="3"/>
  <c r="CH79" i="4"/>
  <c r="CH41" i="3"/>
  <c r="CH81" i="4"/>
  <c r="CG95" i="4"/>
  <c r="CG36" i="3"/>
  <c r="CG10" i="3" s="1"/>
  <c r="CC98" i="4"/>
  <c r="CC105" i="4"/>
  <c r="CI101" i="4"/>
  <c r="U11" i="5"/>
  <c r="CA37" i="4"/>
  <c r="U29" i="5" s="1"/>
  <c r="W14" i="5"/>
  <c r="CK102" i="4"/>
  <c r="CJ102" i="4"/>
  <c r="BY104" i="4"/>
  <c r="BX104" i="4"/>
  <c r="BW104" i="4"/>
  <c r="BV104" i="4"/>
  <c r="CB97" i="4"/>
  <c r="CC80" i="4"/>
  <c r="CC96" i="4"/>
  <c r="CL100" i="4"/>
  <c r="CK100" i="4"/>
  <c r="CD106" i="4"/>
  <c r="CC106" i="4"/>
  <c r="CI99" i="4"/>
  <c r="CH99" i="4"/>
  <c r="CG79" i="4"/>
  <c r="CG41" i="3"/>
  <c r="CG81" i="4"/>
  <c r="CF81" i="4"/>
  <c r="CE81" i="4"/>
  <c r="CF95" i="4"/>
  <c r="CF36" i="3"/>
  <c r="CF10" i="3" s="1"/>
  <c r="CB98" i="4"/>
  <c r="CA98" i="4"/>
  <c r="BZ98" i="4"/>
  <c r="CB105" i="4"/>
  <c r="CH101" i="4"/>
  <c r="CG101" i="4"/>
  <c r="W10" i="5"/>
  <c r="BZ37" i="4"/>
  <c r="V9" i="5"/>
  <c r="U16" i="5"/>
  <c r="U15" i="5"/>
  <c r="CI102" i="4"/>
  <c r="CH102" i="4"/>
  <c r="CG102" i="4"/>
  <c r="BU104" i="4"/>
  <c r="CA97" i="4"/>
  <c r="CB80" i="4"/>
  <c r="CB96" i="4"/>
  <c r="CA96" i="4"/>
  <c r="BZ96" i="4"/>
  <c r="BY96" i="4"/>
  <c r="CJ100" i="4"/>
  <c r="CB106" i="4"/>
  <c r="CA106" i="4"/>
  <c r="CG99" i="4"/>
  <c r="CF99" i="4"/>
  <c r="CF107" i="4" s="1"/>
  <c r="CF79" i="4"/>
  <c r="CF41" i="3"/>
  <c r="CD81" i="4"/>
  <c r="CE95" i="4"/>
  <c r="CE36" i="3"/>
  <c r="CE10" i="3" s="1"/>
  <c r="CD95" i="4"/>
  <c r="CD36" i="3"/>
  <c r="CD10" i="3" s="1"/>
  <c r="BY98" i="4"/>
  <c r="CA105" i="4"/>
  <c r="CF101" i="4"/>
  <c r="V10" i="5"/>
  <c r="BY37" i="4"/>
  <c r="BX37" i="4"/>
  <c r="BW37" i="4"/>
  <c r="CF102" i="4"/>
  <c r="CE102" i="4"/>
  <c r="CD102" i="4"/>
  <c r="BT104" i="4"/>
  <c r="BZ97" i="4"/>
  <c r="CA80" i="4"/>
  <c r="BX96" i="4"/>
  <c r="CI100" i="4"/>
  <c r="BZ106" i="4"/>
  <c r="CE99" i="4"/>
  <c r="CE107" i="4" s="1"/>
  <c r="CE79" i="4"/>
  <c r="CE41" i="3"/>
  <c r="CC81" i="4"/>
  <c r="CB81" i="4"/>
  <c r="CA81" i="4"/>
  <c r="CC95" i="4"/>
  <c r="CC36" i="3"/>
  <c r="CC10" i="3" s="1"/>
  <c r="BX98" i="4"/>
  <c r="BW98" i="4"/>
  <c r="BV98" i="4"/>
  <c r="BU98" i="4"/>
  <c r="BZ105" i="4"/>
  <c r="BY105" i="4"/>
  <c r="CE101" i="4"/>
  <c r="T11" i="5"/>
  <c r="BV37" i="4"/>
  <c r="T15" i="5"/>
  <c r="V14" i="5"/>
  <c r="CC102" i="4"/>
  <c r="CB102" i="4"/>
  <c r="CA102" i="4"/>
  <c r="BS104" i="4"/>
  <c r="BY97" i="4"/>
  <c r="BZ80" i="4"/>
  <c r="BW96" i="4"/>
  <c r="CH100" i="4"/>
  <c r="CG100" i="4"/>
  <c r="BY106" i="4"/>
  <c r="CD99" i="4"/>
  <c r="CC99" i="4"/>
  <c r="CD79" i="4"/>
  <c r="CD41" i="3"/>
  <c r="CC79" i="4"/>
  <c r="CC41" i="3"/>
  <c r="CB79" i="4"/>
  <c r="CB41" i="3"/>
  <c r="BZ81" i="4"/>
  <c r="CB95" i="4"/>
  <c r="CB36" i="3"/>
  <c r="CB10" i="3" s="1"/>
  <c r="BT98" i="4"/>
  <c r="BX105" i="4"/>
  <c r="CD101" i="4"/>
  <c r="U10" i="5"/>
  <c r="BU37" i="4"/>
  <c r="BT37" i="4"/>
  <c r="U9" i="5"/>
  <c r="T16" i="5"/>
  <c r="U14" i="5"/>
  <c r="BZ102" i="4"/>
  <c r="BR104" i="4"/>
  <c r="BX97" i="4"/>
  <c r="BY80" i="4"/>
  <c r="BX80" i="4"/>
  <c r="BW80" i="4"/>
  <c r="BV96" i="4"/>
  <c r="CF100" i="4"/>
  <c r="BX106" i="4"/>
  <c r="CB99" i="4"/>
  <c r="CA99" i="4"/>
  <c r="CA79" i="4"/>
  <c r="CA41" i="3"/>
  <c r="BY81" i="4"/>
  <c r="CA95" i="4"/>
  <c r="CA36" i="3"/>
  <c r="CA10" i="3" s="1"/>
  <c r="BZ95" i="4"/>
  <c r="BZ36" i="3"/>
  <c r="BZ10" i="3" s="1"/>
  <c r="BS98" i="4"/>
  <c r="BW105" i="4"/>
  <c r="BV105" i="4"/>
  <c r="CC101" i="4"/>
  <c r="BS37" i="4"/>
  <c r="BR37" i="4"/>
  <c r="BQ37" i="4"/>
  <c r="T9" i="5"/>
  <c r="BY102" i="4"/>
  <c r="BQ104" i="4"/>
  <c r="BP104" i="4"/>
  <c r="BW97" i="4"/>
  <c r="BW107" i="4" s="1"/>
  <c r="BV80" i="4"/>
  <c r="BU96" i="4"/>
  <c r="CE100" i="4"/>
  <c r="CD100" i="4"/>
  <c r="CC100" i="4"/>
  <c r="CB100" i="4"/>
  <c r="BW106" i="4"/>
  <c r="BZ99" i="4"/>
  <c r="BY99" i="4"/>
  <c r="BZ79" i="4"/>
  <c r="BZ41" i="3"/>
  <c r="BX81" i="4"/>
  <c r="BW81" i="4"/>
  <c r="BV81" i="4"/>
  <c r="BU81" i="4"/>
  <c r="BT81" i="4"/>
  <c r="BY95" i="4"/>
  <c r="BY107" i="4" s="1"/>
  <c r="BY36" i="3"/>
  <c r="BY10" i="3" s="1"/>
  <c r="BR98" i="4"/>
  <c r="BU105" i="4"/>
  <c r="CB101" i="4"/>
  <c r="T10" i="5"/>
  <c r="BP37" i="4"/>
  <c r="S16" i="5"/>
  <c r="BX102" i="4"/>
  <c r="BO104" i="4"/>
  <c r="BV97" i="4"/>
  <c r="BU80" i="4"/>
  <c r="BT80" i="4"/>
  <c r="BT96" i="4"/>
  <c r="CA100" i="4"/>
  <c r="BZ100" i="4"/>
  <c r="BV106" i="4"/>
  <c r="BX99" i="4"/>
  <c r="BW99" i="4"/>
  <c r="BY79" i="4"/>
  <c r="BY41" i="3"/>
  <c r="BX79" i="4"/>
  <c r="BX41" i="3"/>
  <c r="BS81" i="4"/>
  <c r="BX95" i="4"/>
  <c r="BX36" i="3"/>
  <c r="BX10" i="3" s="1"/>
  <c r="BW95" i="4"/>
  <c r="BW36" i="3"/>
  <c r="BW10" i="3" s="1"/>
  <c r="BQ98" i="4"/>
  <c r="BT105" i="4"/>
  <c r="CA101" i="4"/>
  <c r="S11" i="5"/>
  <c r="BO37" i="4"/>
  <c r="BN37" i="4"/>
  <c r="S9" i="5"/>
  <c r="S15" i="5"/>
  <c r="T14" i="5"/>
  <c r="BW102" i="4"/>
  <c r="BV102" i="4"/>
  <c r="BN104" i="4"/>
  <c r="BU97" i="4"/>
  <c r="BT97" i="4"/>
  <c r="BS80" i="4"/>
  <c r="BR80" i="4"/>
  <c r="BS96" i="4"/>
  <c r="BR96" i="4"/>
  <c r="BY100" i="4"/>
  <c r="BU106" i="4"/>
  <c r="BT106" i="4"/>
  <c r="BS106" i="4"/>
  <c r="BV99" i="4"/>
  <c r="BU99" i="4"/>
  <c r="BW79" i="4"/>
  <c r="BW41" i="3"/>
  <c r="BV79" i="4"/>
  <c r="BV41" i="3"/>
  <c r="BR81" i="4"/>
  <c r="BV95" i="4"/>
  <c r="BV36" i="3"/>
  <c r="BV10" i="3" s="1"/>
  <c r="BP98" i="4"/>
  <c r="BO98" i="4"/>
  <c r="BS105" i="4"/>
  <c r="BR105" i="4"/>
  <c r="BQ105" i="4"/>
  <c r="BZ101" i="4"/>
  <c r="BM37" i="4"/>
  <c r="BL37" i="4"/>
  <c r="BU102" i="4"/>
  <c r="BT102" i="4"/>
  <c r="BS102" i="4"/>
  <c r="BR102" i="4"/>
  <c r="BQ102" i="4"/>
  <c r="BP102" i="4"/>
  <c r="BM104" i="4"/>
  <c r="BS97" i="4"/>
  <c r="BQ80" i="4"/>
  <c r="BP80" i="4"/>
  <c r="BO80" i="4"/>
  <c r="BQ96" i="4"/>
  <c r="BX100" i="4"/>
  <c r="BR106" i="4"/>
  <c r="BT99" i="4"/>
  <c r="BS99" i="4"/>
  <c r="BU79" i="4"/>
  <c r="BU41" i="3"/>
  <c r="BT79" i="4"/>
  <c r="BT41" i="3"/>
  <c r="BQ81" i="4"/>
  <c r="BP81" i="4"/>
  <c r="BU95" i="4"/>
  <c r="BU36" i="3"/>
  <c r="BU10" i="3" s="1"/>
  <c r="BT95" i="4"/>
  <c r="BT36" i="3"/>
  <c r="BT10" i="3" s="1"/>
  <c r="BS95" i="4"/>
  <c r="BS107" i="4" s="1"/>
  <c r="BS36" i="3"/>
  <c r="BS10" i="3" s="1"/>
  <c r="BN98" i="4"/>
  <c r="BP105" i="4"/>
  <c r="BY101" i="4"/>
  <c r="BX101" i="4"/>
  <c r="S10" i="5"/>
  <c r="BK37" i="4"/>
  <c r="S14" i="5"/>
  <c r="BO102" i="4"/>
  <c r="BN102" i="4"/>
  <c r="BL104" i="4"/>
  <c r="BK104" i="4"/>
  <c r="BR97" i="4"/>
  <c r="BN80" i="4"/>
  <c r="BP96" i="4"/>
  <c r="BO96" i="4"/>
  <c r="BW100" i="4"/>
  <c r="BV100" i="4"/>
  <c r="BQ106" i="4"/>
  <c r="BP106" i="4"/>
  <c r="BO106" i="4"/>
  <c r="BN106" i="4"/>
  <c r="BR99" i="4"/>
  <c r="BS79" i="4"/>
  <c r="BS41" i="3"/>
  <c r="S80" i="3" s="1"/>
  <c r="BR79" i="4"/>
  <c r="BR41" i="3"/>
  <c r="BO81" i="4"/>
  <c r="BR95" i="4"/>
  <c r="BR36" i="3"/>
  <c r="BR10" i="3" s="1"/>
  <c r="BM98" i="4"/>
  <c r="BO105" i="4"/>
  <c r="BW101" i="4"/>
  <c r="BJ37" i="4"/>
  <c r="BI37" i="4"/>
  <c r="R9" i="5"/>
  <c r="R16" i="5"/>
  <c r="R15" i="5"/>
  <c r="BM102" i="4"/>
  <c r="BJ104" i="4"/>
  <c r="BI104" i="4"/>
  <c r="BQ97" i="4"/>
  <c r="BP97" i="4"/>
  <c r="BM80" i="4"/>
  <c r="BL80" i="4"/>
  <c r="BN96" i="4"/>
  <c r="BU100" i="4"/>
  <c r="BT100" i="4"/>
  <c r="BS100" i="4"/>
  <c r="BR100" i="4"/>
  <c r="BQ100" i="4"/>
  <c r="BP100" i="4"/>
  <c r="BO100" i="4"/>
  <c r="BN100" i="4"/>
  <c r="BM106" i="4"/>
  <c r="BQ99" i="4"/>
  <c r="BQ79" i="4"/>
  <c r="BQ41" i="3"/>
  <c r="BN81" i="4"/>
  <c r="BQ95" i="4"/>
  <c r="BQ36" i="3"/>
  <c r="BQ10" i="3" s="1"/>
  <c r="BL98" i="4"/>
  <c r="BN105" i="4"/>
  <c r="BM105" i="4"/>
  <c r="BL105" i="4"/>
  <c r="BV101" i="4"/>
  <c r="BU101" i="4"/>
  <c r="BT101" i="4"/>
  <c r="BS101" i="4"/>
  <c r="BR101" i="4"/>
  <c r="BQ101" i="4"/>
  <c r="R10" i="5"/>
  <c r="R11" i="5"/>
  <c r="BH37" i="4"/>
  <c r="BG37" i="4"/>
  <c r="P29" i="5" s="1"/>
  <c r="BL102" i="4"/>
  <c r="BH104" i="4"/>
  <c r="BG104" i="4"/>
  <c r="BO97" i="4"/>
  <c r="BK80" i="4"/>
  <c r="BM96" i="4"/>
  <c r="BM100" i="4"/>
  <c r="BL100" i="4"/>
  <c r="BL106" i="4"/>
  <c r="BK106" i="4"/>
  <c r="BJ106" i="4"/>
  <c r="BP99" i="4"/>
  <c r="BP79" i="4"/>
  <c r="BP41" i="3"/>
  <c r="BO79" i="4"/>
  <c r="BO41" i="3"/>
  <c r="BN79" i="4"/>
  <c r="BN41" i="3"/>
  <c r="BM79" i="4"/>
  <c r="BM41" i="3"/>
  <c r="BL79" i="4"/>
  <c r="BL41" i="3"/>
  <c r="BM81" i="4"/>
  <c r="BL81" i="4"/>
  <c r="BP95" i="4"/>
  <c r="BP107" i="4" s="1"/>
  <c r="BP36" i="3"/>
  <c r="BP10" i="3" s="1"/>
  <c r="BO95" i="4"/>
  <c r="BO36" i="3"/>
  <c r="BO10" i="3" s="1"/>
  <c r="BN95" i="4"/>
  <c r="BN36" i="3"/>
  <c r="BN10" i="3" s="1"/>
  <c r="BK98" i="4"/>
  <c r="BK105" i="4"/>
  <c r="BP101" i="4"/>
  <c r="BO101" i="4"/>
  <c r="BF37" i="4"/>
  <c r="Q16" i="5"/>
  <c r="R14" i="5"/>
  <c r="BK102" i="4"/>
  <c r="BF104" i="4"/>
  <c r="BN97" i="4"/>
  <c r="BM97" i="4"/>
  <c r="BJ80" i="4"/>
  <c r="BI80" i="4"/>
  <c r="BL96" i="4"/>
  <c r="BK100" i="4"/>
  <c r="BI106" i="4"/>
  <c r="BO99" i="4"/>
  <c r="BN99" i="4"/>
  <c r="BK79" i="4"/>
  <c r="BK41" i="3"/>
  <c r="BK81" i="4"/>
  <c r="BJ81" i="4"/>
  <c r="BM95" i="4"/>
  <c r="BM36" i="3"/>
  <c r="BM10" i="3" s="1"/>
  <c r="BL95" i="4"/>
  <c r="BL36" i="3"/>
  <c r="BL10" i="3" s="1"/>
  <c r="BJ98" i="4"/>
  <c r="BJ105" i="4"/>
  <c r="BI105" i="4"/>
  <c r="BN101" i="4"/>
  <c r="Q10" i="5"/>
  <c r="Q11" i="5"/>
  <c r="BD37" i="4"/>
  <c r="BC48" i="4"/>
  <c r="BC38" i="4" s="1"/>
  <c r="Q9" i="5"/>
  <c r="Q15" i="5"/>
  <c r="BJ102" i="4"/>
  <c r="BL97" i="4"/>
  <c r="BH80" i="4"/>
  <c r="BK96" i="4"/>
  <c r="BJ100" i="4"/>
  <c r="BH106" i="4"/>
  <c r="BM99" i="4"/>
  <c r="BJ79" i="4"/>
  <c r="BJ41" i="3"/>
  <c r="BI81" i="4"/>
  <c r="BK95" i="4"/>
  <c r="BK36" i="3"/>
  <c r="BK10" i="3" s="1"/>
  <c r="BJ95" i="4"/>
  <c r="BJ36" i="3"/>
  <c r="BJ10" i="3" s="1"/>
  <c r="BI95" i="4"/>
  <c r="BI36" i="3"/>
  <c r="BI10" i="3" s="1"/>
  <c r="BH95" i="4"/>
  <c r="BH36" i="3"/>
  <c r="BH10" i="3" s="1"/>
  <c r="BI98" i="4"/>
  <c r="BH105" i="4"/>
  <c r="BM101" i="4"/>
  <c r="Q14" i="5"/>
  <c r="BI102" i="4"/>
  <c r="BH102" i="4"/>
  <c r="AW36" i="3"/>
  <c r="AV36" i="3"/>
  <c r="AV10" i="3" s="1"/>
  <c r="AV42" i="3" s="1"/>
  <c r="BK97" i="4"/>
  <c r="BJ97" i="4"/>
  <c r="BI97" i="4"/>
  <c r="BG80" i="4"/>
  <c r="BJ96" i="4"/>
  <c r="BI96" i="4"/>
  <c r="BH96" i="4"/>
  <c r="BH107" i="4" s="1"/>
  <c r="BI100" i="4"/>
  <c r="BH100" i="4"/>
  <c r="BG100" i="4"/>
  <c r="BG106" i="4"/>
  <c r="BF106" i="4"/>
  <c r="BL99" i="4"/>
  <c r="BK99" i="4"/>
  <c r="BJ99" i="4"/>
  <c r="BI99" i="4"/>
  <c r="BH99" i="4"/>
  <c r="BI79" i="4"/>
  <c r="BI41" i="3"/>
  <c r="BH79" i="4"/>
  <c r="BH41" i="3"/>
  <c r="BG79" i="4"/>
  <c r="BG41" i="3"/>
  <c r="BG51" i="3"/>
  <c r="BH81" i="4"/>
  <c r="BG81" i="4"/>
  <c r="BG53" i="3"/>
  <c r="BL101" i="4"/>
  <c r="BK101" i="4"/>
  <c r="BJ101" i="4"/>
  <c r="BI101" i="4"/>
  <c r="BG95" i="4"/>
  <c r="BG36" i="3"/>
  <c r="BG10" i="3" s="1"/>
  <c r="BH98" i="4"/>
  <c r="BG98" i="4"/>
  <c r="BG105" i="4"/>
  <c r="BF105" i="4"/>
  <c r="BH101" i="4"/>
  <c r="P11" i="5"/>
  <c r="AW37" i="4"/>
  <c r="AW48" i="4"/>
  <c r="AW38" i="4" s="1"/>
  <c r="AW1" i="4" s="1"/>
  <c r="P16" i="5"/>
  <c r="P15" i="5"/>
  <c r="BG102" i="4"/>
  <c r="AU36" i="3"/>
  <c r="AU10" i="3" s="1"/>
  <c r="AU42" i="3" s="1"/>
  <c r="M81" i="3" s="1"/>
  <c r="BG96" i="4"/>
  <c r="BH97" i="4"/>
  <c r="BF80" i="4"/>
  <c r="BF96" i="4"/>
  <c r="BG97" i="4"/>
  <c r="BF100" i="4"/>
  <c r="AX106" i="4"/>
  <c r="BG99" i="4"/>
  <c r="BF79" i="4"/>
  <c r="BF51" i="3"/>
  <c r="BF41" i="3"/>
  <c r="BF81" i="4"/>
  <c r="BF53" i="3"/>
  <c r="BE41" i="3"/>
  <c r="BF102" i="4"/>
  <c r="BG101" i="4"/>
  <c r="BF95" i="4"/>
  <c r="BF36" i="3"/>
  <c r="BF10" i="3" s="1"/>
  <c r="BF98" i="4"/>
  <c r="AX105" i="4"/>
  <c r="BF99" i="4"/>
  <c r="BF107" i="4" s="1"/>
  <c r="BF101" i="4"/>
  <c r="BF97" i="4"/>
  <c r="P10" i="5"/>
  <c r="O11" i="5"/>
  <c r="AV125" i="4"/>
  <c r="AV126" i="4" s="1"/>
  <c r="AW126" i="4" s="1"/>
  <c r="AV37" i="4"/>
  <c r="O16" i="5"/>
  <c r="O15" i="5"/>
  <c r="P14" i="5"/>
  <c r="BB48" i="4"/>
  <c r="AZ45" i="16"/>
  <c r="BB44" i="16"/>
  <c r="AU37" i="4"/>
  <c r="P9" i="5"/>
  <c r="O10" i="5"/>
  <c r="O14" i="5"/>
  <c r="O9" i="5"/>
  <c r="CM40" i="3"/>
  <c r="X79" i="3" s="1"/>
  <c r="FB40" i="3"/>
  <c r="DA86" i="4"/>
  <c r="BN82" i="4"/>
  <c r="BN43" i="3"/>
  <c r="AM101" i="2"/>
  <c r="AM105" i="2" s="1"/>
  <c r="AM98" i="2"/>
  <c r="L102" i="3"/>
  <c r="L103" i="3"/>
  <c r="M61" i="3"/>
  <c r="BF86" i="4"/>
  <c r="BF59" i="3"/>
  <c r="O73" i="3" s="1"/>
  <c r="BJ86" i="4"/>
  <c r="CL77" i="4"/>
  <c r="H137" i="2"/>
  <c r="H75" i="2"/>
  <c r="W53" i="2"/>
  <c r="O90" i="2"/>
  <c r="AD53" i="2"/>
  <c r="BT87" i="4"/>
  <c r="J8" i="2"/>
  <c r="AF8" i="2"/>
  <c r="G23" i="2"/>
  <c r="O23" i="2"/>
  <c r="AK23" i="2"/>
  <c r="AO23" i="2"/>
  <c r="K69" i="2"/>
  <c r="CP86" i="4"/>
  <c r="K8" i="2"/>
  <c r="AG8" i="2"/>
  <c r="L23" i="2"/>
  <c r="AH23" i="2"/>
  <c r="AL23" i="2"/>
  <c r="K38" i="2"/>
  <c r="S38" i="2"/>
  <c r="L69" i="2"/>
  <c r="L130" i="2"/>
  <c r="D135" i="2"/>
  <c r="CT86" i="4"/>
  <c r="DJ15" i="3"/>
  <c r="AC105" i="2"/>
  <c r="AH102" i="3"/>
  <c r="AH103" i="3"/>
  <c r="J67" i="3"/>
  <c r="L150" i="2"/>
  <c r="L134" i="2"/>
  <c r="L75" i="2"/>
  <c r="DH82" i="4"/>
  <c r="DH43" i="3"/>
  <c r="R53" i="2"/>
  <c r="S53" i="2"/>
  <c r="CR86" i="4"/>
  <c r="DI78" i="4"/>
  <c r="X53" i="2"/>
  <c r="AB53" i="2"/>
  <c r="B54" i="2"/>
  <c r="B60" i="2"/>
  <c r="B126" i="2"/>
  <c r="EX40" i="3"/>
  <c r="AA53" i="2"/>
  <c r="L127" i="2"/>
  <c r="BM82" i="4"/>
  <c r="BM43" i="3"/>
  <c r="EO43" i="3"/>
  <c r="CJ86" i="4"/>
  <c r="DS77" i="4"/>
  <c r="DS40" i="3"/>
  <c r="BN86" i="4"/>
  <c r="AO53" i="2"/>
  <c r="Z23" i="2"/>
  <c r="BV86" i="4"/>
  <c r="CO77" i="4"/>
  <c r="CO40" i="3"/>
  <c r="AL38" i="2"/>
  <c r="E135" i="2"/>
  <c r="E75" i="2"/>
  <c r="AJ8" i="2"/>
  <c r="B134" i="2"/>
  <c r="FA5" i="3"/>
  <c r="BL77" i="4"/>
  <c r="BL40" i="3"/>
  <c r="K45" i="2"/>
  <c r="CB86" i="4"/>
  <c r="AB8" i="2"/>
  <c r="BR86" i="4"/>
  <c r="T53" i="2"/>
  <c r="P71" i="2"/>
  <c r="Q71" i="2" s="1"/>
  <c r="CX86" i="4"/>
  <c r="EY40" i="3"/>
  <c r="DV77" i="4"/>
  <c r="DV40" i="3"/>
  <c r="M23" i="2"/>
  <c r="AM23" i="2"/>
  <c r="AA23" i="2"/>
  <c r="BZ78" i="4"/>
  <c r="P41" i="2"/>
  <c r="T38" i="2"/>
  <c r="AE38" i="2"/>
  <c r="A54" i="2"/>
  <c r="N160" i="2"/>
  <c r="N127" i="2"/>
  <c r="L136" i="2"/>
  <c r="L152" i="2"/>
  <c r="L76" i="2"/>
  <c r="N83" i="2"/>
  <c r="AJ83" i="2"/>
  <c r="R83" i="2"/>
  <c r="V83" i="2"/>
  <c r="BO82" i="4"/>
  <c r="BO43" i="3"/>
  <c r="AP99" i="3"/>
  <c r="L68" i="3"/>
  <c r="L89" i="3" s="1"/>
  <c r="AQ61" i="3"/>
  <c r="H53" i="2"/>
  <c r="M167" i="2"/>
  <c r="M152" i="2"/>
  <c r="M76" i="2"/>
  <c r="M136" i="2"/>
  <c r="I90" i="2"/>
  <c r="BQ86" i="4"/>
  <c r="Q105" i="2"/>
  <c r="BK15" i="3"/>
  <c r="O14" i="2"/>
  <c r="P14" i="2" s="1"/>
  <c r="CW86" i="4"/>
  <c r="DF78" i="4"/>
  <c r="M165" i="2"/>
  <c r="M134" i="2"/>
  <c r="M150" i="2"/>
  <c r="M75" i="2"/>
  <c r="M69" i="2" s="1"/>
  <c r="G137" i="2"/>
  <c r="G75" i="2"/>
  <c r="BF87" i="4"/>
  <c r="BF60" i="3"/>
  <c r="DH78" i="4"/>
  <c r="CV86" i="4"/>
  <c r="AD38" i="2"/>
  <c r="C54" i="2"/>
  <c r="C60" i="2"/>
  <c r="C126" i="2"/>
  <c r="Q41" i="2"/>
  <c r="R41" i="2" s="1"/>
  <c r="D15" i="2"/>
  <c r="AC23" i="2"/>
  <c r="AG38" i="2"/>
  <c r="CH11" i="3"/>
  <c r="DB11" i="3"/>
  <c r="BJ11" i="3"/>
  <c r="DV11" i="3"/>
  <c r="CX11" i="3"/>
  <c r="BZ11" i="3"/>
  <c r="DR11" i="3"/>
  <c r="CL11" i="3"/>
  <c r="BF11" i="3"/>
  <c r="CT11" i="3"/>
  <c r="CP11" i="3"/>
  <c r="DN11" i="3"/>
  <c r="DJ11" i="3"/>
  <c r="DF11" i="3"/>
  <c r="CD11" i="3"/>
  <c r="BV11" i="3"/>
  <c r="BR11" i="3"/>
  <c r="I53" i="2"/>
  <c r="AE53" i="2"/>
  <c r="Q98" i="2"/>
  <c r="CS86" i="4"/>
  <c r="AN53" i="2"/>
  <c r="N165" i="2"/>
  <c r="N150" i="2"/>
  <c r="N75" i="2"/>
  <c r="N69" i="2" s="1"/>
  <c r="T105" i="2"/>
  <c r="BW15" i="3"/>
  <c r="P38" i="2"/>
  <c r="S8" i="2"/>
  <c r="AO8" i="2"/>
  <c r="E15" i="2"/>
  <c r="C30" i="2"/>
  <c r="BY86" i="4"/>
  <c r="T99" i="3"/>
  <c r="U61" i="3"/>
  <c r="T8" i="2"/>
  <c r="D30" i="2"/>
  <c r="D128" i="2"/>
  <c r="J106" i="2"/>
  <c r="DY82" i="4"/>
  <c r="DY43" i="3"/>
  <c r="Q12" i="2"/>
  <c r="R12" i="2" s="1"/>
  <c r="S12" i="2" s="1"/>
  <c r="DY5" i="3"/>
  <c r="CG5" i="3"/>
  <c r="ET5" i="3"/>
  <c r="ES5" i="3"/>
  <c r="DA5" i="3"/>
  <c r="BI5" i="3"/>
  <c r="DU5" i="3"/>
  <c r="CC5" i="3"/>
  <c r="EK5" i="3"/>
  <c r="CS5" i="3"/>
  <c r="EL5" i="3"/>
  <c r="DI5" i="3"/>
  <c r="DM5" i="3"/>
  <c r="EP5" i="3"/>
  <c r="EO5" i="3"/>
  <c r="BY5" i="3"/>
  <c r="DE5" i="3"/>
  <c r="EH5" i="3"/>
  <c r="BU5" i="3"/>
  <c r="EG5" i="3"/>
  <c r="FF5" i="3"/>
  <c r="FE5" i="3"/>
  <c r="EW5" i="3"/>
  <c r="ED5" i="3"/>
  <c r="BQ5" i="3"/>
  <c r="EC5" i="3"/>
  <c r="DZ5" i="3"/>
  <c r="BM5" i="3"/>
  <c r="DQ5" i="3"/>
  <c r="FJ5" i="3"/>
  <c r="CW5" i="3"/>
  <c r="FI5" i="3"/>
  <c r="E30" i="2"/>
  <c r="E46" i="2"/>
  <c r="H46" i="2"/>
  <c r="CG86" i="4"/>
  <c r="EA43" i="3"/>
  <c r="DT78" i="4"/>
  <c r="CK77" i="4"/>
  <c r="DG78" i="4"/>
  <c r="CM77" i="4"/>
  <c r="F8" i="2"/>
  <c r="O150" i="2"/>
  <c r="CN77" i="4"/>
  <c r="CN40" i="3"/>
  <c r="P29" i="2"/>
  <c r="Q29" i="2" s="1"/>
  <c r="R29" i="2" s="1"/>
  <c r="DG82" i="4"/>
  <c r="DG43" i="3"/>
  <c r="DJ78" i="4"/>
  <c r="D53" i="2"/>
  <c r="O13" i="2"/>
  <c r="S23" i="2"/>
  <c r="DA82" i="4"/>
  <c r="DA43" i="3"/>
  <c r="J153" i="2"/>
  <c r="G90" i="2"/>
  <c r="AK101" i="2"/>
  <c r="AK105" i="2" s="1"/>
  <c r="AK98" i="2"/>
  <c r="S102" i="2"/>
  <c r="BT15" i="3" s="1"/>
  <c r="S98" i="2"/>
  <c r="CK86" i="4"/>
  <c r="DB86" i="4"/>
  <c r="EM43" i="3"/>
  <c r="O28" i="2"/>
  <c r="O30" i="2" s="1"/>
  <c r="B46" i="2"/>
  <c r="G128" i="2"/>
  <c r="G61" i="2"/>
  <c r="C68" i="2"/>
  <c r="C134" i="2"/>
  <c r="Y68" i="2"/>
  <c r="G135" i="2"/>
  <c r="G68" i="2"/>
  <c r="AC68" i="2"/>
  <c r="O74" i="2"/>
  <c r="AL101" i="2"/>
  <c r="AL105" i="2" s="1"/>
  <c r="AL98" i="2"/>
  <c r="BX86" i="4"/>
  <c r="CO86" i="4"/>
  <c r="DF86" i="4"/>
  <c r="EN43" i="3"/>
  <c r="K103" i="3"/>
  <c r="K102" i="3"/>
  <c r="AG103" i="3"/>
  <c r="AG102" i="3"/>
  <c r="H128" i="2"/>
  <c r="DK78" i="4"/>
  <c r="I21" i="6"/>
  <c r="H101" i="3"/>
  <c r="AE21" i="6"/>
  <c r="AD101" i="3"/>
  <c r="I71" i="3"/>
  <c r="I91" i="3" s="1"/>
  <c r="AE23" i="2"/>
  <c r="M38" i="2"/>
  <c r="AM38" i="2"/>
  <c r="E126" i="2"/>
  <c r="I128" i="2"/>
  <c r="I61" i="2"/>
  <c r="P86" i="2"/>
  <c r="U98" i="2"/>
  <c r="DI86" i="4"/>
  <c r="AB98" i="2"/>
  <c r="BS15" i="3"/>
  <c r="S105" i="2"/>
  <c r="S106" i="2" s="1"/>
  <c r="CD86" i="4"/>
  <c r="AB121" i="2"/>
  <c r="CQ77" i="4"/>
  <c r="FD5" i="3"/>
  <c r="DO78" i="4"/>
  <c r="H81" i="3"/>
  <c r="BS82" i="4"/>
  <c r="BS43" i="3"/>
  <c r="J21" i="6"/>
  <c r="I101" i="3"/>
  <c r="AF21" i="6"/>
  <c r="AE101" i="3"/>
  <c r="F15" i="2"/>
  <c r="AI23" i="2"/>
  <c r="F60" i="2"/>
  <c r="F126" i="2"/>
  <c r="J128" i="2"/>
  <c r="J61" i="2"/>
  <c r="AF68" i="2"/>
  <c r="H135" i="2"/>
  <c r="P83" i="2"/>
  <c r="J90" i="2"/>
  <c r="N144" i="2"/>
  <c r="DM86" i="4"/>
  <c r="AD98" i="2"/>
  <c r="P119" i="2"/>
  <c r="BJ16" i="3" s="1"/>
  <c r="AC121" i="2"/>
  <c r="N136" i="2"/>
  <c r="M166" i="2"/>
  <c r="BQ4" i="3"/>
  <c r="BQ48" i="3"/>
  <c r="BM21" i="3"/>
  <c r="CU77" i="4"/>
  <c r="CU40" i="3"/>
  <c r="FH5" i="3"/>
  <c r="DS78" i="4"/>
  <c r="BT11" i="3"/>
  <c r="EY43" i="3"/>
  <c r="J73" i="3"/>
  <c r="AI102" i="3"/>
  <c r="G15" i="2"/>
  <c r="K23" i="2"/>
  <c r="AG23" i="2"/>
  <c r="O38" i="2"/>
  <c r="AK38" i="2"/>
  <c r="AO38" i="2"/>
  <c r="D45" i="2"/>
  <c r="P42" i="2"/>
  <c r="Q42" i="2" s="1"/>
  <c r="Z53" i="2"/>
  <c r="G60" i="2"/>
  <c r="G130" i="2" s="1"/>
  <c r="K61" i="2"/>
  <c r="K128" i="2"/>
  <c r="O73" i="2"/>
  <c r="P73" i="2" s="1"/>
  <c r="AJ68" i="2"/>
  <c r="I135" i="2"/>
  <c r="L153" i="2"/>
  <c r="L137" i="2"/>
  <c r="F75" i="2"/>
  <c r="Q83" i="2"/>
  <c r="K90" i="2"/>
  <c r="U101" i="2"/>
  <c r="CV5" i="3"/>
  <c r="BU11" i="3"/>
  <c r="FC11" i="3"/>
  <c r="EP43" i="3"/>
  <c r="I23" i="2"/>
  <c r="AI38" i="2"/>
  <c r="H61" i="2"/>
  <c r="P27" i="2"/>
  <c r="EV6" i="3"/>
  <c r="DD6" i="3"/>
  <c r="BL6" i="3"/>
  <c r="DX6" i="3"/>
  <c r="CF6" i="3"/>
  <c r="ER6" i="3"/>
  <c r="CZ6" i="3"/>
  <c r="BH6" i="3"/>
  <c r="FH6" i="3"/>
  <c r="DP6" i="3"/>
  <c r="BX6" i="3"/>
  <c r="EN6" i="3"/>
  <c r="DL6" i="3"/>
  <c r="BT6" i="3"/>
  <c r="EF6" i="3"/>
  <c r="CV6" i="3"/>
  <c r="BP6" i="3"/>
  <c r="EB6" i="3"/>
  <c r="CR6" i="3"/>
  <c r="FD6" i="3"/>
  <c r="EZ6" i="3"/>
  <c r="CJ6" i="3"/>
  <c r="H60" i="2"/>
  <c r="H68" i="2"/>
  <c r="AD68" i="2"/>
  <c r="M168" i="2"/>
  <c r="B98" i="2"/>
  <c r="X98" i="2"/>
  <c r="AG98" i="2"/>
  <c r="V101" i="2"/>
  <c r="AB105" i="2"/>
  <c r="F113" i="2"/>
  <c r="DU78" i="4"/>
  <c r="FD11" i="3"/>
  <c r="AF1" i="4"/>
  <c r="AJ1" i="4"/>
  <c r="P26" i="2"/>
  <c r="Q26" i="2" s="1"/>
  <c r="I45" i="2"/>
  <c r="B127" i="2"/>
  <c r="L68" i="2"/>
  <c r="AH68" i="2"/>
  <c r="K145" i="2"/>
  <c r="DC86" i="4"/>
  <c r="J113" i="2"/>
  <c r="J121" i="2" s="1"/>
  <c r="M120" i="2"/>
  <c r="M121" i="2" s="1"/>
  <c r="G126" i="2"/>
  <c r="DR5" i="3"/>
  <c r="B63" i="3"/>
  <c r="B97" i="3"/>
  <c r="X97" i="3"/>
  <c r="G63" i="3"/>
  <c r="AT97" i="3"/>
  <c r="M63" i="3"/>
  <c r="AS96" i="3"/>
  <c r="AH38" i="2"/>
  <c r="DE86" i="4"/>
  <c r="BZ86" i="4"/>
  <c r="DP5" i="3"/>
  <c r="J145" i="2"/>
  <c r="BV4" i="3"/>
  <c r="M68" i="2"/>
  <c r="AI68" i="2"/>
  <c r="D75" i="2"/>
  <c r="O135" i="2"/>
  <c r="B83" i="2"/>
  <c r="X83" i="2"/>
  <c r="L145" i="2"/>
  <c r="G98" i="2"/>
  <c r="AC98" i="2"/>
  <c r="DG86" i="4"/>
  <c r="CZ86" i="4"/>
  <c r="N120" i="2"/>
  <c r="H126" i="2"/>
  <c r="BF5" i="3"/>
  <c r="CA78" i="4"/>
  <c r="DC11" i="3"/>
  <c r="CF86" i="4"/>
  <c r="FC40" i="3"/>
  <c r="DZ11" i="3"/>
  <c r="ET11" i="3"/>
  <c r="EW11" i="3"/>
  <c r="ES11" i="3"/>
  <c r="DU11" i="3"/>
  <c r="CW11" i="3"/>
  <c r="BY11" i="3"/>
  <c r="FI11" i="3"/>
  <c r="EK11" i="3"/>
  <c r="DM11" i="3"/>
  <c r="CO11" i="3"/>
  <c r="BQ11" i="3"/>
  <c r="FB11" i="3"/>
  <c r="FA11" i="3"/>
  <c r="DQ11" i="3"/>
  <c r="CK11" i="3"/>
  <c r="EL11" i="3"/>
  <c r="BI11" i="3"/>
  <c r="EH11" i="3"/>
  <c r="EG11" i="3"/>
  <c r="CS11" i="3"/>
  <c r="ED11" i="3"/>
  <c r="EC11" i="3"/>
  <c r="FF11" i="3"/>
  <c r="FE11" i="3"/>
  <c r="H129" i="2"/>
  <c r="P72" i="2"/>
  <c r="AD83" i="2"/>
  <c r="DK86" i="4"/>
  <c r="DD86" i="4"/>
  <c r="L113" i="2"/>
  <c r="P117" i="2"/>
  <c r="BH16" i="3" s="1"/>
  <c r="O120" i="2"/>
  <c r="I126" i="2"/>
  <c r="BH5" i="3"/>
  <c r="DT5" i="3"/>
  <c r="CB6" i="3"/>
  <c r="DE11" i="3"/>
  <c r="CH86" i="4"/>
  <c r="BM87" i="4"/>
  <c r="K53" i="2"/>
  <c r="K130" i="2" s="1"/>
  <c r="BM86" i="4"/>
  <c r="F105" i="2"/>
  <c r="AE105" i="2"/>
  <c r="AE106" i="2" s="1"/>
  <c r="DO15" i="3"/>
  <c r="DH86" i="4"/>
  <c r="CC78" i="4"/>
  <c r="E97" i="3"/>
  <c r="F61" i="3"/>
  <c r="AJ99" i="3"/>
  <c r="AK61" i="3"/>
  <c r="L38" i="2"/>
  <c r="X105" i="2"/>
  <c r="AA121" i="2"/>
  <c r="CP77" i="4"/>
  <c r="CP40" i="3"/>
  <c r="DX5" i="3"/>
  <c r="CF5" i="3"/>
  <c r="EJ5" i="3"/>
  <c r="DH5" i="3"/>
  <c r="EV5" i="3"/>
  <c r="CB5" i="3"/>
  <c r="ER5" i="3"/>
  <c r="DL5" i="3"/>
  <c r="EN5" i="3"/>
  <c r="BX5" i="3"/>
  <c r="DD5" i="3"/>
  <c r="CZ5" i="3"/>
  <c r="BT5" i="3"/>
  <c r="EF5" i="3"/>
  <c r="EB5" i="3"/>
  <c r="CR5" i="3"/>
  <c r="C98" i="2"/>
  <c r="J60" i="2"/>
  <c r="J126" i="2"/>
  <c r="K68" i="2"/>
  <c r="DB5" i="3"/>
  <c r="BJ5" i="3"/>
  <c r="DJ5" i="3"/>
  <c r="CH5" i="3"/>
  <c r="CD5" i="3"/>
  <c r="BZ5" i="3"/>
  <c r="DF5" i="3"/>
  <c r="BV5" i="3"/>
  <c r="CX5" i="3"/>
  <c r="CT5" i="3"/>
  <c r="BN5" i="3"/>
  <c r="L45" i="2"/>
  <c r="AG53" i="2"/>
  <c r="AJ53" i="2"/>
  <c r="E127" i="2"/>
  <c r="I129" i="2"/>
  <c r="P57" i="2"/>
  <c r="J129" i="2"/>
  <c r="Q68" i="2"/>
  <c r="E83" i="2"/>
  <c r="AA83" i="2"/>
  <c r="P87" i="2"/>
  <c r="Q87" i="2" s="1"/>
  <c r="J143" i="2"/>
  <c r="M90" i="2"/>
  <c r="G105" i="2"/>
  <c r="DL15" i="3"/>
  <c r="AD105" i="2"/>
  <c r="AD106" i="2" s="1"/>
  <c r="N113" i="2"/>
  <c r="AJ113" i="2"/>
  <c r="AJ121" i="2" s="1"/>
  <c r="R113" i="2"/>
  <c r="R121" i="2" s="1"/>
  <c r="CE78" i="4"/>
  <c r="F97" i="3"/>
  <c r="G61" i="3"/>
  <c r="C63" i="3"/>
  <c r="AB97" i="3"/>
  <c r="AC61" i="3"/>
  <c r="L99" i="3"/>
  <c r="D68" i="3"/>
  <c r="D89" i="3" s="1"/>
  <c r="AD23" i="2"/>
  <c r="V53" i="2"/>
  <c r="H90" i="2"/>
  <c r="BO15" i="3"/>
  <c r="N168" i="2"/>
  <c r="O105" i="2"/>
  <c r="O106" i="2" s="1"/>
  <c r="CC82" i="4"/>
  <c r="CC43" i="3"/>
  <c r="BI86" i="4"/>
  <c r="P13" i="2"/>
  <c r="CH6" i="3"/>
  <c r="DB6" i="3"/>
  <c r="BJ6" i="3"/>
  <c r="DV6" i="3"/>
  <c r="CD6" i="3"/>
  <c r="CT6" i="3"/>
  <c r="DN6" i="3"/>
  <c r="DN40" i="3" s="1"/>
  <c r="CL6" i="3"/>
  <c r="CL40" i="3" s="1"/>
  <c r="BF6" i="3"/>
  <c r="CX6" i="3"/>
  <c r="BR6" i="3"/>
  <c r="BN6" i="3"/>
  <c r="DR6" i="3"/>
  <c r="I75" i="2"/>
  <c r="I138" i="2" s="1"/>
  <c r="P118" i="2"/>
  <c r="BI16" i="3" s="1"/>
  <c r="X20" i="6"/>
  <c r="W96" i="3"/>
  <c r="G70" i="3"/>
  <c r="G86" i="3" s="1"/>
  <c r="B75" i="2"/>
  <c r="L120" i="2"/>
  <c r="BY78" i="4"/>
  <c r="CG82" i="4"/>
  <c r="CG43" i="3"/>
  <c r="U38" i="2"/>
  <c r="AF53" i="2"/>
  <c r="Q23" i="2"/>
  <c r="E53" i="2"/>
  <c r="O68" i="2"/>
  <c r="DW11" i="3"/>
  <c r="CY11" i="3"/>
  <c r="CA11" i="3"/>
  <c r="EU11" i="3"/>
  <c r="EQ11" i="3"/>
  <c r="DS11" i="3"/>
  <c r="CU11" i="3"/>
  <c r="BW11" i="3"/>
  <c r="DK11" i="3"/>
  <c r="CE11" i="3"/>
  <c r="BK11" i="3"/>
  <c r="EI11" i="3"/>
  <c r="BG11" i="3"/>
  <c r="M45" i="2"/>
  <c r="M46" i="2" s="1"/>
  <c r="EE11" i="3"/>
  <c r="CQ11" i="3"/>
  <c r="CM11" i="3"/>
  <c r="CI11" i="3"/>
  <c r="DO11" i="3"/>
  <c r="AL53" i="2"/>
  <c r="J30" i="2"/>
  <c r="N45" i="2"/>
  <c r="AM53" i="2"/>
  <c r="R68" i="2"/>
  <c r="H76" i="2"/>
  <c r="H136" i="2"/>
  <c r="F83" i="2"/>
  <c r="AB83" i="2"/>
  <c r="K143" i="2"/>
  <c r="N90" i="2"/>
  <c r="AG105" i="2"/>
  <c r="CL86" i="4"/>
  <c r="AO105" i="2"/>
  <c r="AO106" i="2" s="1"/>
  <c r="DP86" i="4"/>
  <c r="O113" i="2"/>
  <c r="D134" i="2"/>
  <c r="BP5" i="3"/>
  <c r="CN6" i="3"/>
  <c r="M99" i="3"/>
  <c r="N61" i="3"/>
  <c r="K68" i="3"/>
  <c r="K89" i="3" s="1"/>
  <c r="AM61" i="3"/>
  <c r="AL99" i="3"/>
  <c r="I136" i="2"/>
  <c r="G83" i="2"/>
  <c r="AC83" i="2"/>
  <c r="BH86" i="4"/>
  <c r="BU86" i="4"/>
  <c r="P113" i="2"/>
  <c r="AL113" i="2"/>
  <c r="AL121" i="2" s="1"/>
  <c r="CO78" i="4"/>
  <c r="DI11" i="3"/>
  <c r="BQ87" i="4"/>
  <c r="N99" i="3"/>
  <c r="E68" i="3"/>
  <c r="E89" i="3" s="1"/>
  <c r="O61" i="3"/>
  <c r="H23" i="2"/>
  <c r="EV11" i="3"/>
  <c r="DD11" i="3"/>
  <c r="BL11" i="3"/>
  <c r="DX11" i="3"/>
  <c r="CF11" i="3"/>
  <c r="FH11" i="3"/>
  <c r="EJ11" i="3"/>
  <c r="DL11" i="3"/>
  <c r="CN11" i="3"/>
  <c r="BP11" i="3"/>
  <c r="EZ11" i="3"/>
  <c r="DP11" i="3"/>
  <c r="CJ11" i="3"/>
  <c r="ER11" i="3"/>
  <c r="CZ11" i="3"/>
  <c r="CV11" i="3"/>
  <c r="BH11" i="3"/>
  <c r="EF11" i="3"/>
  <c r="CR11" i="3"/>
  <c r="EB11" i="3"/>
  <c r="CB11" i="3"/>
  <c r="BX11" i="3"/>
  <c r="Y98" i="2"/>
  <c r="AF121" i="2"/>
  <c r="DN77" i="4"/>
  <c r="BV78" i="4"/>
  <c r="FG43" i="3"/>
  <c r="Q38" i="2"/>
  <c r="EU5" i="3"/>
  <c r="DC5" i="3"/>
  <c r="BK5" i="3"/>
  <c r="DW5" i="3"/>
  <c r="CE5" i="3"/>
  <c r="EQ5" i="3"/>
  <c r="CY5" i="3"/>
  <c r="BG5" i="3"/>
  <c r="FG5" i="3"/>
  <c r="DO5" i="3"/>
  <c r="BW5" i="3"/>
  <c r="CI5" i="3"/>
  <c r="EI5" i="3"/>
  <c r="CA5" i="3"/>
  <c r="DK5" i="3"/>
  <c r="DG5" i="3"/>
  <c r="EM5" i="3"/>
  <c r="BS5" i="3"/>
  <c r="BO5" i="3"/>
  <c r="EA5" i="3"/>
  <c r="P23" i="2"/>
  <c r="V23" i="2"/>
  <c r="K30" i="2"/>
  <c r="D38" i="2"/>
  <c r="L129" i="2"/>
  <c r="O53" i="2"/>
  <c r="AK53" i="2"/>
  <c r="M162" i="2"/>
  <c r="M129" i="2"/>
  <c r="E60" i="2"/>
  <c r="J150" i="2"/>
  <c r="J136" i="2"/>
  <c r="J152" i="2"/>
  <c r="B137" i="2"/>
  <c r="N76" i="2"/>
  <c r="BL86" i="4"/>
  <c r="CC86" i="4"/>
  <c r="Q113" i="2"/>
  <c r="Q121" i="2" s="1"/>
  <c r="AM113" i="2"/>
  <c r="AM121" i="2" s="1"/>
  <c r="F120" i="2"/>
  <c r="T121" i="2"/>
  <c r="BR5" i="3"/>
  <c r="EE5" i="3"/>
  <c r="CP6" i="3"/>
  <c r="CN86" i="4"/>
  <c r="DN86" i="4"/>
  <c r="CM86" i="4"/>
  <c r="N153" i="2"/>
  <c r="BW78" i="4"/>
  <c r="AG68" i="2"/>
  <c r="AO68" i="2"/>
  <c r="M135" i="2"/>
  <c r="M151" i="2"/>
  <c r="F30" i="2"/>
  <c r="J53" i="2"/>
  <c r="D127" i="2"/>
  <c r="V38" i="2"/>
  <c r="AK68" i="2"/>
  <c r="T23" i="2"/>
  <c r="Z38" i="2"/>
  <c r="D60" i="2"/>
  <c r="EU6" i="3"/>
  <c r="DC6" i="3"/>
  <c r="BK6" i="3"/>
  <c r="CM6" i="3"/>
  <c r="BG6" i="3"/>
  <c r="CY6" i="3"/>
  <c r="M30" i="2"/>
  <c r="BS6" i="3"/>
  <c r="EE6" i="3"/>
  <c r="FG6" i="3"/>
  <c r="CU6" i="3"/>
  <c r="BO6" i="3"/>
  <c r="EA6" i="3"/>
  <c r="DW6" i="3"/>
  <c r="CQ6" i="3"/>
  <c r="CQ40" i="3" s="1"/>
  <c r="EY6" i="3"/>
  <c r="CI6" i="3"/>
  <c r="DZ6" i="3"/>
  <c r="DY6" i="3"/>
  <c r="CG6" i="3"/>
  <c r="ET6" i="3"/>
  <c r="EL6" i="3"/>
  <c r="EP6" i="3"/>
  <c r="BI6" i="3"/>
  <c r="EO6" i="3"/>
  <c r="DM6" i="3"/>
  <c r="CK6" i="3"/>
  <c r="CK40" i="3" s="1"/>
  <c r="EH6" i="3"/>
  <c r="DA6" i="3"/>
  <c r="BU6" i="3"/>
  <c r="EG6" i="3"/>
  <c r="FJ6" i="3"/>
  <c r="CW6" i="3"/>
  <c r="FI6" i="3"/>
  <c r="ED6" i="3"/>
  <c r="BQ6" i="3"/>
  <c r="EC6" i="3"/>
  <c r="FF6" i="3"/>
  <c r="CS6" i="3"/>
  <c r="FE6" i="3"/>
  <c r="BM6" i="3"/>
  <c r="DQ6" i="3"/>
  <c r="P56" i="2"/>
  <c r="Q56" i="2" s="1"/>
  <c r="N162" i="2"/>
  <c r="N129" i="2"/>
  <c r="I60" i="2"/>
  <c r="K150" i="2"/>
  <c r="K134" i="2"/>
  <c r="K136" i="2"/>
  <c r="C137" i="2"/>
  <c r="I83" i="2"/>
  <c r="AE83" i="2"/>
  <c r="N143" i="2"/>
  <c r="N98" i="2"/>
  <c r="N106" i="2" s="1"/>
  <c r="BP86" i="4"/>
  <c r="AN113" i="2"/>
  <c r="AN121" i="2" s="1"/>
  <c r="G120" i="2"/>
  <c r="U121" i="2"/>
  <c r="H134" i="2"/>
  <c r="M137" i="2"/>
  <c r="CJ5" i="3"/>
  <c r="DE6" i="3"/>
  <c r="DT11" i="3"/>
  <c r="BS87" i="4"/>
  <c r="J137" i="2"/>
  <c r="Y101" i="2"/>
  <c r="P116" i="2"/>
  <c r="L151" i="2"/>
  <c r="EO15" i="3"/>
  <c r="R99" i="3"/>
  <c r="S61" i="3"/>
  <c r="AR99" i="3"/>
  <c r="AS61" i="3"/>
  <c r="K69" i="3"/>
  <c r="K90" i="3" s="1"/>
  <c r="AL100" i="3"/>
  <c r="K137" i="2"/>
  <c r="M144" i="2"/>
  <c r="Z101" i="2"/>
  <c r="EP15" i="3"/>
  <c r="D97" i="3"/>
  <c r="E61" i="3"/>
  <c r="Z97" i="3"/>
  <c r="H63" i="3"/>
  <c r="AA61" i="3"/>
  <c r="T61" i="3"/>
  <c r="S99" i="3"/>
  <c r="AT61" i="3"/>
  <c r="AS99" i="3"/>
  <c r="M160" i="2"/>
  <c r="EV15" i="3"/>
  <c r="H78" i="3"/>
  <c r="I80" i="3"/>
  <c r="I65" i="3"/>
  <c r="AD98" i="3"/>
  <c r="AE121" i="2"/>
  <c r="V100" i="3"/>
  <c r="G69" i="3"/>
  <c r="G90" i="3" s="1"/>
  <c r="I105" i="2"/>
  <c r="FG15" i="3"/>
  <c r="EZ15" i="3"/>
  <c r="ED15" i="3"/>
  <c r="EX15" i="3"/>
  <c r="EB15" i="3"/>
  <c r="EN15" i="3"/>
  <c r="DR15" i="3"/>
  <c r="FJ15" i="3"/>
  <c r="EM15" i="3"/>
  <c r="FE15" i="3"/>
  <c r="EE15" i="3"/>
  <c r="FD15" i="3"/>
  <c r="EC15" i="3"/>
  <c r="FC15" i="3"/>
  <c r="EA15" i="3"/>
  <c r="FA15" i="3"/>
  <c r="DY15" i="3"/>
  <c r="ES15" i="3"/>
  <c r="DS15" i="3"/>
  <c r="ER15" i="3"/>
  <c r="FI15" i="3"/>
  <c r="DV15" i="3"/>
  <c r="FH15" i="3"/>
  <c r="DU15" i="3"/>
  <c r="FF15" i="3"/>
  <c r="DT15" i="3"/>
  <c r="EW15" i="3"/>
  <c r="EL15" i="3"/>
  <c r="FB15" i="3"/>
  <c r="J98" i="3"/>
  <c r="D65" i="3"/>
  <c r="D88" i="3" s="1"/>
  <c r="J135" i="2"/>
  <c r="N152" i="2"/>
  <c r="K152" i="2"/>
  <c r="K81" i="3"/>
  <c r="CC87" i="4"/>
  <c r="AG98" i="3"/>
  <c r="AH61" i="3"/>
  <c r="AW103" i="3"/>
  <c r="AW102" i="3"/>
  <c r="M67" i="3"/>
  <c r="M92" i="3" s="1"/>
  <c r="G134" i="2"/>
  <c r="K135" i="2"/>
  <c r="K105" i="2"/>
  <c r="BL4" i="3"/>
  <c r="CD87" i="4"/>
  <c r="I78" i="3"/>
  <c r="AH97" i="3"/>
  <c r="J63" i="3"/>
  <c r="AH98" i="3"/>
  <c r="J66" i="3"/>
  <c r="F103" i="3"/>
  <c r="C67" i="3"/>
  <c r="F102" i="3"/>
  <c r="AB102" i="3"/>
  <c r="AB103" i="3"/>
  <c r="N126" i="2"/>
  <c r="D129" i="2"/>
  <c r="BN21" i="3"/>
  <c r="BR48" i="3"/>
  <c r="CF87" i="4"/>
  <c r="E63" i="3"/>
  <c r="N97" i="3"/>
  <c r="AE99" i="3"/>
  <c r="AF61" i="3"/>
  <c r="N166" i="2"/>
  <c r="N151" i="2"/>
  <c r="BK87" i="4"/>
  <c r="J78" i="3"/>
  <c r="B81" i="3"/>
  <c r="E64" i="3"/>
  <c r="H99" i="3"/>
  <c r="I61" i="3"/>
  <c r="AF99" i="3"/>
  <c r="AG61" i="3"/>
  <c r="L20" i="6"/>
  <c r="K96" i="3"/>
  <c r="AH20" i="6"/>
  <c r="AG96" i="3"/>
  <c r="I70" i="3"/>
  <c r="I86" i="3" s="1"/>
  <c r="DQ86" i="4"/>
  <c r="E81" i="3"/>
  <c r="DW15" i="3"/>
  <c r="BL87" i="4"/>
  <c r="C83" i="3"/>
  <c r="N83" i="3"/>
  <c r="K66" i="3"/>
  <c r="J103" i="3"/>
  <c r="J102" i="3"/>
  <c r="D67" i="3"/>
  <c r="AF103" i="3"/>
  <c r="I67" i="3"/>
  <c r="AF102" i="3"/>
  <c r="I99" i="3"/>
  <c r="J61" i="3"/>
  <c r="H67" i="3"/>
  <c r="B79" i="3"/>
  <c r="M79" i="3"/>
  <c r="AI98" i="3"/>
  <c r="AJ61" i="3"/>
  <c r="AC103" i="3"/>
  <c r="AC102" i="3"/>
  <c r="AU96" i="3"/>
  <c r="E78" i="3"/>
  <c r="K80" i="3"/>
  <c r="H83" i="3"/>
  <c r="E66" i="3"/>
  <c r="D20" i="6"/>
  <c r="C96" i="3"/>
  <c r="Z20" i="6"/>
  <c r="Y96" i="3"/>
  <c r="P61" i="3"/>
  <c r="P103" i="3"/>
  <c r="P102" i="3"/>
  <c r="AL103" i="3"/>
  <c r="AL102" i="3"/>
  <c r="G20" i="6"/>
  <c r="F96" i="3"/>
  <c r="AC20" i="6"/>
  <c r="AB96" i="3"/>
  <c r="Q102" i="3"/>
  <c r="Q103" i="3"/>
  <c r="AM102" i="3"/>
  <c r="AM103" i="3"/>
  <c r="AD20" i="6"/>
  <c r="AC96" i="3"/>
  <c r="I9" i="16"/>
  <c r="I23" i="16" s="1"/>
  <c r="I38" i="4"/>
  <c r="I1" i="4" s="1"/>
  <c r="I38" i="16"/>
  <c r="I54" i="16" s="1"/>
  <c r="AE9" i="16"/>
  <c r="AE23" i="16" s="1"/>
  <c r="AE38" i="16"/>
  <c r="AE54" i="16" s="1"/>
  <c r="I29" i="5"/>
  <c r="AE38" i="4"/>
  <c r="AE1" i="4" s="1"/>
  <c r="AE54" i="3"/>
  <c r="BZ87" i="4"/>
  <c r="B78" i="3"/>
  <c r="M78" i="3"/>
  <c r="M80" i="3"/>
  <c r="AD61" i="3"/>
  <c r="P98" i="3"/>
  <c r="AI100" i="3"/>
  <c r="J69" i="3"/>
  <c r="J90" i="3" s="1"/>
  <c r="F74" i="3"/>
  <c r="Q98" i="3"/>
  <c r="E69" i="3"/>
  <c r="E90" i="3" s="1"/>
  <c r="N100" i="3"/>
  <c r="N80" i="3"/>
  <c r="F82" i="3"/>
  <c r="L82" i="3"/>
  <c r="F87" i="3"/>
  <c r="I64" i="3"/>
  <c r="AE97" i="3"/>
  <c r="AS102" i="3"/>
  <c r="I79" i="3"/>
  <c r="B82" i="3"/>
  <c r="M82" i="3"/>
  <c r="AL1" i="4"/>
  <c r="AH1" i="4"/>
  <c r="D78" i="3"/>
  <c r="E65" i="3"/>
  <c r="N98" i="3"/>
  <c r="AJ98" i="3"/>
  <c r="J65" i="3"/>
  <c r="J88" i="3" s="1"/>
  <c r="R61" i="3"/>
  <c r="Q99" i="3"/>
  <c r="AO99" i="3"/>
  <c r="AP61" i="3"/>
  <c r="G21" i="6"/>
  <c r="F101" i="3"/>
  <c r="C71" i="3"/>
  <c r="C91" i="3" s="1"/>
  <c r="AC21" i="6"/>
  <c r="AB101" i="3"/>
  <c r="G72" i="3"/>
  <c r="G92" i="3" s="1"/>
  <c r="L73" i="3"/>
  <c r="L92" i="3" s="1"/>
  <c r="E79" i="3"/>
  <c r="F80" i="3"/>
  <c r="F83" i="3"/>
  <c r="O97" i="3"/>
  <c r="AK97" i="3"/>
  <c r="R98" i="3"/>
  <c r="F65" i="3"/>
  <c r="F88" i="3" s="1"/>
  <c r="AN98" i="3"/>
  <c r="B66" i="3"/>
  <c r="M66" i="3"/>
  <c r="R102" i="3"/>
  <c r="R103" i="3"/>
  <c r="F67" i="3"/>
  <c r="W61" i="3"/>
  <c r="G68" i="3"/>
  <c r="G89" i="3" s="1"/>
  <c r="K21" i="6"/>
  <c r="J101" i="3"/>
  <c r="D71" i="3"/>
  <c r="D91" i="3" s="1"/>
  <c r="AG21" i="6"/>
  <c r="AF101" i="3"/>
  <c r="P97" i="3"/>
  <c r="Q61" i="3"/>
  <c r="AL97" i="3"/>
  <c r="K63" i="3"/>
  <c r="AO61" i="3"/>
  <c r="S102" i="3"/>
  <c r="W99" i="3"/>
  <c r="X61" i="3"/>
  <c r="AU100" i="3"/>
  <c r="M69" i="3"/>
  <c r="M90" i="3" s="1"/>
  <c r="AN102" i="3"/>
  <c r="BU87" i="4"/>
  <c r="D81" i="3"/>
  <c r="T103" i="3"/>
  <c r="T102" i="3"/>
  <c r="X99" i="3"/>
  <c r="Y61" i="3"/>
  <c r="K70" i="3"/>
  <c r="K86" i="3" s="1"/>
  <c r="C74" i="3"/>
  <c r="AO102" i="3"/>
  <c r="BW87" i="4"/>
  <c r="V98" i="3"/>
  <c r="G65" i="3"/>
  <c r="G88" i="3" s="1"/>
  <c r="AR98" i="3"/>
  <c r="S20" i="6"/>
  <c r="R96" i="3"/>
  <c r="F70" i="3"/>
  <c r="F86" i="3" s="1"/>
  <c r="AO20" i="6"/>
  <c r="AN96" i="3"/>
  <c r="F71" i="3"/>
  <c r="F91" i="3" s="1"/>
  <c r="J82" i="3"/>
  <c r="AP97" i="3"/>
  <c r="L63" i="3"/>
  <c r="W98" i="3"/>
  <c r="AS98" i="3"/>
  <c r="T20" i="6"/>
  <c r="S96" i="3"/>
  <c r="AP20" i="6"/>
  <c r="AO96" i="3"/>
  <c r="P21" i="6"/>
  <c r="O101" i="3"/>
  <c r="AL21" i="6"/>
  <c r="AK101" i="3"/>
  <c r="J71" i="3"/>
  <c r="J91" i="3" s="1"/>
  <c r="AE102" i="3"/>
  <c r="D74" i="3"/>
  <c r="P101" i="3"/>
  <c r="L78" i="3"/>
  <c r="B80" i="3"/>
  <c r="M83" i="3"/>
  <c r="B65" i="3"/>
  <c r="B98" i="3"/>
  <c r="X98" i="3"/>
  <c r="M65" i="3"/>
  <c r="AT98" i="3"/>
  <c r="U20" i="6"/>
  <c r="T96" i="3"/>
  <c r="AQ20" i="6"/>
  <c r="AP96" i="3"/>
  <c r="L70" i="3"/>
  <c r="L86" i="3" s="1"/>
  <c r="AM21" i="6"/>
  <c r="K71" i="3"/>
  <c r="K91" i="3" s="1"/>
  <c r="AL101" i="3"/>
  <c r="H65" i="3"/>
  <c r="H88" i="3" s="1"/>
  <c r="H71" i="3"/>
  <c r="H91" i="3" s="1"/>
  <c r="Q101" i="3"/>
  <c r="I66" i="3"/>
  <c r="AE100" i="3"/>
  <c r="I69" i="3"/>
  <c r="I90" i="3" s="1"/>
  <c r="V20" i="6"/>
  <c r="U96" i="3"/>
  <c r="AR20" i="6"/>
  <c r="AQ96" i="3"/>
  <c r="AN21" i="6"/>
  <c r="AM101" i="3"/>
  <c r="BC61" i="3"/>
  <c r="K65" i="3"/>
  <c r="K88" i="3" s="1"/>
  <c r="R101" i="3"/>
  <c r="G79" i="3"/>
  <c r="H80" i="3"/>
  <c r="G99" i="3"/>
  <c r="H61" i="3"/>
  <c r="J100" i="3"/>
  <c r="D69" i="3"/>
  <c r="D90" i="3" s="1"/>
  <c r="AO21" i="6"/>
  <c r="AN101" i="3"/>
  <c r="N88" i="3"/>
  <c r="C82" i="3"/>
  <c r="N82" i="3"/>
  <c r="D63" i="3"/>
  <c r="AF97" i="3"/>
  <c r="I63" i="3"/>
  <c r="AL98" i="3"/>
  <c r="M102" i="3"/>
  <c r="N21" i="6"/>
  <c r="M101" i="3"/>
  <c r="AJ21" i="6"/>
  <c r="AI101" i="3"/>
  <c r="AJ102" i="3"/>
  <c r="CB87" i="4"/>
  <c r="F78" i="3"/>
  <c r="L83" i="3"/>
  <c r="K97" i="3"/>
  <c r="L61" i="3"/>
  <c r="AM98" i="3"/>
  <c r="L66" i="3"/>
  <c r="E67" i="3"/>
  <c r="E92" i="3" s="1"/>
  <c r="N102" i="3"/>
  <c r="F20" i="6"/>
  <c r="E96" i="3"/>
  <c r="AB20" i="6"/>
  <c r="AA96" i="3"/>
  <c r="AW96" i="3"/>
  <c r="T21" i="6"/>
  <c r="S101" i="3"/>
  <c r="AP21" i="6"/>
  <c r="AO101" i="3"/>
  <c r="H102" i="3"/>
  <c r="AD102" i="3"/>
  <c r="L96" i="3"/>
  <c r="AY106" i="3"/>
  <c r="AZ106" i="3" s="1"/>
  <c r="BA106" i="3" s="1"/>
  <c r="BB106" i="3" s="1"/>
  <c r="BC106" i="3" s="1"/>
  <c r="BD106" i="3" s="1"/>
  <c r="BE106" i="3" s="1"/>
  <c r="BF106" i="3" s="1"/>
  <c r="BG106" i="3" s="1"/>
  <c r="BH106" i="3" s="1"/>
  <c r="BI106" i="3" s="1"/>
  <c r="BJ106" i="3" s="1"/>
  <c r="BK106" i="3" s="1"/>
  <c r="BL106" i="3" s="1"/>
  <c r="BM106" i="3" s="1"/>
  <c r="BN106" i="3" s="1"/>
  <c r="BO106" i="3" s="1"/>
  <c r="BP106" i="3" s="1"/>
  <c r="BQ106" i="3" s="1"/>
  <c r="BR106" i="3" s="1"/>
  <c r="BS106" i="3" s="1"/>
  <c r="BT106" i="3" s="1"/>
  <c r="BU106" i="3" s="1"/>
  <c r="BV106" i="3" s="1"/>
  <c r="BW106" i="3" s="1"/>
  <c r="BX106" i="3" s="1"/>
  <c r="BY106" i="3" s="1"/>
  <c r="BZ106" i="3" s="1"/>
  <c r="CA106" i="3" s="1"/>
  <c r="CB106" i="3" s="1"/>
  <c r="CC106" i="3" s="1"/>
  <c r="CD106" i="3" s="1"/>
  <c r="CE106" i="3" s="1"/>
  <c r="CF106" i="3" s="1"/>
  <c r="CG106" i="3" s="1"/>
  <c r="CH106" i="3" s="1"/>
  <c r="CI106" i="3" s="1"/>
  <c r="CJ106" i="3" s="1"/>
  <c r="CK106" i="3" s="1"/>
  <c r="CL106" i="3" s="1"/>
  <c r="CM106" i="3" s="1"/>
  <c r="CN106" i="3" s="1"/>
  <c r="CO106" i="3" s="1"/>
  <c r="CP106" i="3" s="1"/>
  <c r="CQ106" i="3" s="1"/>
  <c r="CR106" i="3" s="1"/>
  <c r="CS106" i="3" s="1"/>
  <c r="CT106" i="3" s="1"/>
  <c r="CU106" i="3" s="1"/>
  <c r="CV106" i="3" s="1"/>
  <c r="CW106" i="3" s="1"/>
  <c r="CX106" i="3" s="1"/>
  <c r="CY106" i="3" s="1"/>
  <c r="CZ106" i="3" s="1"/>
  <c r="DA106" i="3" s="1"/>
  <c r="DB106" i="3" s="1"/>
  <c r="DC106" i="3" s="1"/>
  <c r="DD106" i="3" s="1"/>
  <c r="DE106" i="3" s="1"/>
  <c r="DF106" i="3" s="1"/>
  <c r="DG106" i="3" s="1"/>
  <c r="DH106" i="3" s="1"/>
  <c r="DI106" i="3" s="1"/>
  <c r="DJ106" i="3" s="1"/>
  <c r="DK106" i="3" s="1"/>
  <c r="DL106" i="3" s="1"/>
  <c r="DM106" i="3" s="1"/>
  <c r="DN106" i="3" s="1"/>
  <c r="DO106" i="3" s="1"/>
  <c r="DP106" i="3" s="1"/>
  <c r="DQ106" i="3" s="1"/>
  <c r="DR106" i="3" s="1"/>
  <c r="DS106" i="3" s="1"/>
  <c r="DT106" i="3" s="1"/>
  <c r="DU106" i="3" s="1"/>
  <c r="DV106" i="3" s="1"/>
  <c r="DW106" i="3" s="1"/>
  <c r="DX106" i="3" s="1"/>
  <c r="DY106" i="3" s="1"/>
  <c r="AX112" i="3"/>
  <c r="T38" i="16"/>
  <c r="T54" i="16" s="1"/>
  <c r="T9" i="16"/>
  <c r="T23" i="16" s="1"/>
  <c r="T38" i="4"/>
  <c r="AP38" i="16"/>
  <c r="AP54" i="16" s="1"/>
  <c r="AP38" i="4"/>
  <c r="U9" i="16"/>
  <c r="U23" i="16" s="1"/>
  <c r="U38" i="16"/>
  <c r="U54" i="16" s="1"/>
  <c r="U38" i="4"/>
  <c r="U1" i="4" s="1"/>
  <c r="AQ38" i="16"/>
  <c r="AQ54" i="16" s="1"/>
  <c r="L29" i="5"/>
  <c r="AQ38" i="4"/>
  <c r="AQ1" i="4" s="1"/>
  <c r="AR21" i="6"/>
  <c r="AQ101" i="3"/>
  <c r="D61" i="3"/>
  <c r="V9" i="16"/>
  <c r="V23" i="16" s="1"/>
  <c r="V38" i="16"/>
  <c r="V54" i="16" s="1"/>
  <c r="V38" i="4"/>
  <c r="V1" i="4" s="1"/>
  <c r="V54" i="3"/>
  <c r="F68" i="3" s="1"/>
  <c r="F89" i="3" s="1"/>
  <c r="AR38" i="16"/>
  <c r="AR54" i="16" s="1"/>
  <c r="AR38" i="4"/>
  <c r="AR1" i="4" s="1"/>
  <c r="AR54" i="3"/>
  <c r="H79" i="3"/>
  <c r="C98" i="3"/>
  <c r="Y98" i="3"/>
  <c r="AU98" i="3"/>
  <c r="C66" i="3"/>
  <c r="V102" i="3"/>
  <c r="AR103" i="3"/>
  <c r="AR102" i="3"/>
  <c r="B99" i="3"/>
  <c r="C61" i="3"/>
  <c r="Z61" i="3"/>
  <c r="AW99" i="3"/>
  <c r="AX61" i="3"/>
  <c r="Z100" i="3"/>
  <c r="H69" i="3"/>
  <c r="H90" i="3" s="1"/>
  <c r="W21" i="6"/>
  <c r="V101" i="3"/>
  <c r="AS21" i="6"/>
  <c r="AR101" i="3"/>
  <c r="AN61" i="3"/>
  <c r="B68" i="3"/>
  <c r="B89" i="3" s="1"/>
  <c r="J70" i="3"/>
  <c r="J86" i="3" s="1"/>
  <c r="P96" i="3"/>
  <c r="W103" i="3"/>
  <c r="W102" i="3"/>
  <c r="O20" i="6"/>
  <c r="N96" i="3"/>
  <c r="X21" i="6"/>
  <c r="W101" i="3"/>
  <c r="AT21" i="6"/>
  <c r="AS101" i="3"/>
  <c r="BP87" i="4"/>
  <c r="C78" i="3"/>
  <c r="C79" i="3"/>
  <c r="D80" i="3"/>
  <c r="O80" i="3"/>
  <c r="N81" i="3"/>
  <c r="I83" i="3"/>
  <c r="U97" i="3"/>
  <c r="AQ97" i="3"/>
  <c r="B64" i="3"/>
  <c r="M64" i="3"/>
  <c r="AA99" i="3"/>
  <c r="AB61" i="3"/>
  <c r="AY99" i="3"/>
  <c r="AZ61" i="3"/>
  <c r="AL20" i="6"/>
  <c r="AK96" i="3"/>
  <c r="C21" i="6"/>
  <c r="B71" i="3"/>
  <c r="B91" i="3" s="1"/>
  <c r="AU21" i="6"/>
  <c r="AT101" i="3"/>
  <c r="I73" i="3"/>
  <c r="D101" i="3"/>
  <c r="C103" i="3"/>
  <c r="C102" i="3"/>
  <c r="Y102" i="3"/>
  <c r="AU102" i="3"/>
  <c r="AU103" i="3"/>
  <c r="AM20" i="6"/>
  <c r="AL96" i="3"/>
  <c r="H74" i="3"/>
  <c r="C65" i="3"/>
  <c r="C88" i="3" s="1"/>
  <c r="BR87" i="4"/>
  <c r="J80" i="3"/>
  <c r="AS97" i="3"/>
  <c r="H64" i="3"/>
  <c r="G98" i="3"/>
  <c r="AC98" i="3"/>
  <c r="F99" i="3"/>
  <c r="C68" i="3"/>
  <c r="C89" i="3" s="1"/>
  <c r="BA99" i="3"/>
  <c r="BB61" i="3"/>
  <c r="AP100" i="3"/>
  <c r="L69" i="3"/>
  <c r="L90" i="3" s="1"/>
  <c r="W20" i="6"/>
  <c r="V96" i="3"/>
  <c r="AS20" i="6"/>
  <c r="AR96" i="3"/>
  <c r="N68" i="3"/>
  <c r="B69" i="3"/>
  <c r="B90" i="3" s="1"/>
  <c r="B100" i="3"/>
  <c r="AA20" i="6"/>
  <c r="Z96" i="3"/>
  <c r="AD21" i="6"/>
  <c r="AC101" i="3"/>
  <c r="G97" i="3"/>
  <c r="AC97" i="3"/>
  <c r="I98" i="3"/>
  <c r="O102" i="3"/>
  <c r="AK102" i="3"/>
  <c r="AK103" i="3"/>
  <c r="C20" i="6"/>
  <c r="B96" i="3"/>
  <c r="AU20" i="6"/>
  <c r="M70" i="3"/>
  <c r="M86" i="3" s="1"/>
  <c r="AT96" i="3"/>
  <c r="O21" i="6"/>
  <c r="E71" i="3"/>
  <c r="E91" i="3" s="1"/>
  <c r="AK21" i="6"/>
  <c r="AJ101" i="3"/>
  <c r="H72" i="3"/>
  <c r="J83" i="3"/>
  <c r="M97" i="3"/>
  <c r="AI97" i="3"/>
  <c r="U102" i="3"/>
  <c r="AQ102" i="3"/>
  <c r="AQ103" i="3"/>
  <c r="N87" i="3"/>
  <c r="F69" i="3"/>
  <c r="F90" i="3" s="1"/>
  <c r="AY111" i="3"/>
  <c r="AZ111" i="3" s="1"/>
  <c r="BA111" i="3" s="1"/>
  <c r="BB111" i="3" s="1"/>
  <c r="BC111" i="3" s="1"/>
  <c r="BD111" i="3" s="1"/>
  <c r="BE111" i="3" s="1"/>
  <c r="BF111" i="3" s="1"/>
  <c r="BG111" i="3" s="1"/>
  <c r="BH111" i="3" s="1"/>
  <c r="BI111" i="3" s="1"/>
  <c r="BJ111" i="3" s="1"/>
  <c r="BK111" i="3" s="1"/>
  <c r="BL111" i="3" s="1"/>
  <c r="BM111" i="3" s="1"/>
  <c r="BN111" i="3" s="1"/>
  <c r="BO111" i="3" s="1"/>
  <c r="BP111" i="3" s="1"/>
  <c r="BQ111" i="3" s="1"/>
  <c r="BR111" i="3" s="1"/>
  <c r="BS111" i="3" s="1"/>
  <c r="BT111" i="3" s="1"/>
  <c r="BU111" i="3" s="1"/>
  <c r="BV111" i="3" s="1"/>
  <c r="BW111" i="3" s="1"/>
  <c r="BX111" i="3" s="1"/>
  <c r="BY111" i="3" s="1"/>
  <c r="BZ111" i="3" s="1"/>
  <c r="CA111" i="3" s="1"/>
  <c r="CB111" i="3" s="1"/>
  <c r="CC111" i="3" s="1"/>
  <c r="CD111" i="3" s="1"/>
  <c r="CE111" i="3" s="1"/>
  <c r="CF111" i="3" s="1"/>
  <c r="CG111" i="3" s="1"/>
  <c r="CH111" i="3" s="1"/>
  <c r="CI111" i="3" s="1"/>
  <c r="CJ111" i="3" s="1"/>
  <c r="CK111" i="3" s="1"/>
  <c r="CL111" i="3" s="1"/>
  <c r="CM111" i="3" s="1"/>
  <c r="CN111" i="3" s="1"/>
  <c r="CO111" i="3" s="1"/>
  <c r="CP111" i="3" s="1"/>
  <c r="CQ111" i="3" s="1"/>
  <c r="CR111" i="3" s="1"/>
  <c r="CS111" i="3" s="1"/>
  <c r="CT111" i="3" s="1"/>
  <c r="CU111" i="3" s="1"/>
  <c r="CV111" i="3" s="1"/>
  <c r="CW111" i="3" s="1"/>
  <c r="CX111" i="3" s="1"/>
  <c r="CY111" i="3" s="1"/>
  <c r="CZ111" i="3" s="1"/>
  <c r="DA111" i="3" s="1"/>
  <c r="DB111" i="3" s="1"/>
  <c r="DC111" i="3" s="1"/>
  <c r="DD111" i="3" s="1"/>
  <c r="DE111" i="3" s="1"/>
  <c r="DF111" i="3" s="1"/>
  <c r="DG111" i="3" s="1"/>
  <c r="DH111" i="3" s="1"/>
  <c r="DI111" i="3" s="1"/>
  <c r="DJ111" i="3" s="1"/>
  <c r="DK111" i="3" s="1"/>
  <c r="DL111" i="3" s="1"/>
  <c r="DM111" i="3" s="1"/>
  <c r="DN111" i="3" s="1"/>
  <c r="DO111" i="3" s="1"/>
  <c r="DP111" i="3" s="1"/>
  <c r="DQ111" i="3" s="1"/>
  <c r="DR111" i="3" s="1"/>
  <c r="DS111" i="3" s="1"/>
  <c r="DT111" i="3" s="1"/>
  <c r="DU111" i="3" s="1"/>
  <c r="DV111" i="3" s="1"/>
  <c r="DW111" i="3" s="1"/>
  <c r="DX111" i="3" s="1"/>
  <c r="DY111" i="3" s="1"/>
  <c r="Z1" i="4"/>
  <c r="R97" i="3"/>
  <c r="AN97" i="3"/>
  <c r="AP98" i="3"/>
  <c r="L65" i="3"/>
  <c r="L88" i="3" s="1"/>
  <c r="D66" i="3"/>
  <c r="Z102" i="3"/>
  <c r="AV102" i="3"/>
  <c r="D21" i="6"/>
  <c r="C101" i="3"/>
  <c r="Z21" i="6"/>
  <c r="Y101" i="3"/>
  <c r="AV21" i="6"/>
  <c r="AU101" i="3"/>
  <c r="D73" i="3"/>
  <c r="AA1" i="4"/>
  <c r="X35" i="5"/>
  <c r="L38" i="16"/>
  <c r="L54" i="16" s="1"/>
  <c r="L9" i="16"/>
  <c r="L23" i="16" s="1"/>
  <c r="L38" i="4"/>
  <c r="AH38" i="16"/>
  <c r="AH54" i="16" s="1"/>
  <c r="AH9" i="16"/>
  <c r="AH23" i="16" s="1"/>
  <c r="M38" i="16"/>
  <c r="M54" i="16" s="1"/>
  <c r="M9" i="16"/>
  <c r="M23" i="16" s="1"/>
  <c r="M38" i="4"/>
  <c r="AI38" i="16"/>
  <c r="AI54" i="16" s="1"/>
  <c r="J29" i="5"/>
  <c r="AI38" i="4"/>
  <c r="AI9" i="16"/>
  <c r="AI23" i="16" s="1"/>
  <c r="BE48" i="4"/>
  <c r="BE38" i="4" s="1"/>
  <c r="H97" i="3"/>
  <c r="L21" i="6"/>
  <c r="K101" i="3"/>
  <c r="I97" i="3"/>
  <c r="I102" i="3"/>
  <c r="I103" i="3"/>
  <c r="AI54" i="3"/>
  <c r="M21" i="6"/>
  <c r="L101" i="3"/>
  <c r="S27" i="5"/>
  <c r="AD27" i="5"/>
  <c r="AY50" i="4"/>
  <c r="AZ49" i="4"/>
  <c r="DS92" i="4"/>
  <c r="DS54" i="4"/>
  <c r="DR95" i="3" s="1"/>
  <c r="DR105" i="3" s="1"/>
  <c r="W9" i="16"/>
  <c r="W23" i="16" s="1"/>
  <c r="W38" i="16"/>
  <c r="W54" i="16" s="1"/>
  <c r="G29" i="5"/>
  <c r="W38" i="4"/>
  <c r="W1" i="4" s="1"/>
  <c r="AS38" i="16"/>
  <c r="AS54" i="16" s="1"/>
  <c r="AS38" i="4"/>
  <c r="AS1" i="4" s="1"/>
  <c r="BD54" i="4"/>
  <c r="BD92" i="4"/>
  <c r="BK107" i="4"/>
  <c r="CG107" i="4"/>
  <c r="DC107" i="4"/>
  <c r="AE35" i="5"/>
  <c r="C9" i="16"/>
  <c r="C23" i="16" s="1"/>
  <c r="B29" i="5"/>
  <c r="B36" i="5" s="1"/>
  <c r="C38" i="16"/>
  <c r="C54" i="16" s="1"/>
  <c r="C38" i="4"/>
  <c r="Y9" i="16"/>
  <c r="Y23" i="16" s="1"/>
  <c r="Y38" i="16"/>
  <c r="Y54" i="16" s="1"/>
  <c r="Y38" i="4"/>
  <c r="D9" i="16"/>
  <c r="D23" i="16" s="1"/>
  <c r="D38" i="16"/>
  <c r="D54" i="16" s="1"/>
  <c r="D38" i="4"/>
  <c r="Z9" i="16"/>
  <c r="Z23" i="16" s="1"/>
  <c r="Z38" i="16"/>
  <c r="Z54" i="16" s="1"/>
  <c r="CH69" i="4"/>
  <c r="CP69" i="4" s="1"/>
  <c r="CX69" i="4" s="1"/>
  <c r="D36" i="5"/>
  <c r="Z35" i="5"/>
  <c r="BH76" i="4"/>
  <c r="BL21" i="4"/>
  <c r="Q18" i="5"/>
  <c r="BS69" i="4"/>
  <c r="CM107" i="4"/>
  <c r="P27" i="5"/>
  <c r="AA27" i="5"/>
  <c r="BI76" i="4"/>
  <c r="BM21" i="4"/>
  <c r="BT69" i="4"/>
  <c r="CB69" i="4" s="1"/>
  <c r="BX69" i="4"/>
  <c r="CF69" i="4" s="1"/>
  <c r="CN69" i="4" s="1"/>
  <c r="AF35" i="5"/>
  <c r="BJ54" i="4"/>
  <c r="BI95" i="3" s="1"/>
  <c r="BI105" i="3" s="1"/>
  <c r="BJ92" i="4"/>
  <c r="B102" i="3"/>
  <c r="B67" i="3"/>
  <c r="B92" i="3" s="1"/>
  <c r="X102" i="3"/>
  <c r="AT102" i="3"/>
  <c r="BN21" i="4"/>
  <c r="R27" i="5"/>
  <c r="F9" i="16"/>
  <c r="F23" i="16" s="1"/>
  <c r="F38" i="16"/>
  <c r="F54" i="16" s="1"/>
  <c r="AB9" i="16"/>
  <c r="AB23" i="16" s="1"/>
  <c r="AB38" i="16"/>
  <c r="AB54" i="16" s="1"/>
  <c r="AB38" i="4"/>
  <c r="AB1" i="4" s="1"/>
  <c r="AF59" i="16"/>
  <c r="H59" i="16"/>
  <c r="AD59" i="16"/>
  <c r="AD1" i="4"/>
  <c r="DW92" i="4"/>
  <c r="DW54" i="4"/>
  <c r="DV95" i="3" s="1"/>
  <c r="DV105" i="3" s="1"/>
  <c r="BV69" i="4"/>
  <c r="CD69" i="4" s="1"/>
  <c r="CL69" i="4" s="1"/>
  <c r="N36" i="5"/>
  <c r="BY69" i="4"/>
  <c r="CG69" i="4" s="1"/>
  <c r="CO69" i="4" s="1"/>
  <c r="CM92" i="4"/>
  <c r="CM54" i="4"/>
  <c r="CL95" i="3" s="1"/>
  <c r="CL105" i="3" s="1"/>
  <c r="AX107" i="4"/>
  <c r="CW107" i="4"/>
  <c r="Z27" i="5"/>
  <c r="AG35" i="5"/>
  <c r="O27" i="5"/>
  <c r="BD48" i="4"/>
  <c r="U27" i="5"/>
  <c r="AF27" i="5"/>
  <c r="AB35" i="5"/>
  <c r="F38" i="4"/>
  <c r="AX38" i="16"/>
  <c r="AX38" i="4"/>
  <c r="AX1" i="4" s="1"/>
  <c r="BC121" i="4"/>
  <c r="BC125" i="4" s="1"/>
  <c r="BC110" i="4"/>
  <c r="H9" i="16"/>
  <c r="H23" i="16" s="1"/>
  <c r="H38" i="16"/>
  <c r="H54" i="16" s="1"/>
  <c r="H38" i="4"/>
  <c r="H1" i="4" s="1"/>
  <c r="AD38" i="16"/>
  <c r="AD54" i="16" s="1"/>
  <c r="AD9" i="16"/>
  <c r="AD23" i="16" s="1"/>
  <c r="AX125" i="4"/>
  <c r="J38" i="16"/>
  <c r="J54" i="16" s="1"/>
  <c r="J9" i="16"/>
  <c r="J23" i="16" s="1"/>
  <c r="AF9" i="16"/>
  <c r="AF23" i="16" s="1"/>
  <c r="AF38" i="16"/>
  <c r="AF54" i="16" s="1"/>
  <c r="J38" i="4"/>
  <c r="J1" i="4" s="1"/>
  <c r="BK54" i="4"/>
  <c r="BJ95" i="3" s="1"/>
  <c r="BJ105" i="3" s="1"/>
  <c r="BK92" i="4"/>
  <c r="P38" i="16"/>
  <c r="P54" i="16" s="1"/>
  <c r="P9" i="16"/>
  <c r="P23" i="16" s="1"/>
  <c r="P38" i="4"/>
  <c r="P1" i="4" s="1"/>
  <c r="AL38" i="16"/>
  <c r="AL54" i="16" s="1"/>
  <c r="AL9" i="16"/>
  <c r="AL23" i="16" s="1"/>
  <c r="P18" i="5"/>
  <c r="BO69" i="4"/>
  <c r="Y27" i="5"/>
  <c r="X9" i="16"/>
  <c r="X23" i="16" s="1"/>
  <c r="X38" i="16"/>
  <c r="X54" i="16" s="1"/>
  <c r="BV107" i="4"/>
  <c r="W35" i="5"/>
  <c r="E38" i="16"/>
  <c r="E54" i="16" s="1"/>
  <c r="E9" i="16"/>
  <c r="E23" i="16" s="1"/>
  <c r="H29" i="5"/>
  <c r="AA38" i="16"/>
  <c r="AA54" i="16" s="1"/>
  <c r="DQ107" i="4"/>
  <c r="G9" i="16"/>
  <c r="G23" i="16" s="1"/>
  <c r="G38" i="4"/>
  <c r="G38" i="16"/>
  <c r="G54" i="16" s="1"/>
  <c r="AC9" i="16"/>
  <c r="AC23" i="16" s="1"/>
  <c r="AC38" i="16"/>
  <c r="AC54" i="16" s="1"/>
  <c r="AC38" i="4"/>
  <c r="AC1" i="4" s="1"/>
  <c r="J36" i="5"/>
  <c r="BT107" i="4"/>
  <c r="DS107" i="4"/>
  <c r="C29" i="5"/>
  <c r="AC27" i="5"/>
  <c r="AD35" i="5"/>
  <c r="D29" i="5"/>
  <c r="K9" i="16"/>
  <c r="K23" i="16" s="1"/>
  <c r="K38" i="4"/>
  <c r="O1" i="4" s="1"/>
  <c r="K38" i="16"/>
  <c r="K54" i="16" s="1"/>
  <c r="AG38" i="16"/>
  <c r="AG54" i="16" s="1"/>
  <c r="AG38" i="4"/>
  <c r="AG1" i="4" s="1"/>
  <c r="AG9" i="16"/>
  <c r="AG23" i="16" s="1"/>
  <c r="I36" i="5"/>
  <c r="I21" i="5" s="1"/>
  <c r="CD107" i="4"/>
  <c r="CZ107" i="4"/>
  <c r="B19" i="5"/>
  <c r="DA107" i="4"/>
  <c r="DW107" i="4"/>
  <c r="C19" i="5"/>
  <c r="N38" i="16"/>
  <c r="N54" i="16" s="1"/>
  <c r="N9" i="16"/>
  <c r="N23" i="16" s="1"/>
  <c r="N38" i="4"/>
  <c r="AJ38" i="16"/>
  <c r="AJ54" i="16" s="1"/>
  <c r="AJ9" i="16"/>
  <c r="AJ23" i="16" s="1"/>
  <c r="DC54" i="4"/>
  <c r="DB95" i="3" s="1"/>
  <c r="DB105" i="3" s="1"/>
  <c r="CA92" i="4"/>
  <c r="CA54" i="4"/>
  <c r="BZ95" i="3" s="1"/>
  <c r="BZ105" i="3" s="1"/>
  <c r="AW45" i="6"/>
  <c r="N59" i="16"/>
  <c r="AJ59" i="16"/>
  <c r="AW44" i="6"/>
  <c r="V27" i="5"/>
  <c r="AG27" i="5"/>
  <c r="AC35" i="5"/>
  <c r="R38" i="16"/>
  <c r="R54" i="16" s="1"/>
  <c r="R9" i="16"/>
  <c r="R23" i="16" s="1"/>
  <c r="AN38" i="16"/>
  <c r="AN54" i="16" s="1"/>
  <c r="AN9" i="16"/>
  <c r="AN23" i="16" s="1"/>
  <c r="K19" i="5"/>
  <c r="M19" i="5"/>
  <c r="AK28" i="16"/>
  <c r="O38" i="16"/>
  <c r="O54" i="16" s="1"/>
  <c r="O9" i="16"/>
  <c r="O23" i="16" s="1"/>
  <c r="E29" i="5"/>
  <c r="AK9" i="16"/>
  <c r="AK23" i="16" s="1"/>
  <c r="AK38" i="16"/>
  <c r="AK54" i="16" s="1"/>
  <c r="AK38" i="4"/>
  <c r="E36" i="5"/>
  <c r="BU107" i="4"/>
  <c r="DM107" i="4"/>
  <c r="Q38" i="16"/>
  <c r="Q54" i="16" s="1"/>
  <c r="Q9" i="16"/>
  <c r="Q23" i="16" s="1"/>
  <c r="AM38" i="16"/>
  <c r="AM54" i="16" s="1"/>
  <c r="K29" i="5"/>
  <c r="K36" i="5" s="1"/>
  <c r="AM9" i="16"/>
  <c r="AM23" i="16" s="1"/>
  <c r="C36" i="5"/>
  <c r="U28" i="16"/>
  <c r="R59" i="16"/>
  <c r="AN59" i="16"/>
  <c r="G36" i="5"/>
  <c r="G21" i="5" s="1"/>
  <c r="Y28" i="16"/>
  <c r="H36" i="5"/>
  <c r="H21" i="5" s="1"/>
  <c r="AI25" i="16"/>
  <c r="BX107" i="4"/>
  <c r="E59" i="16"/>
  <c r="G59" i="16"/>
  <c r="AC59" i="16"/>
  <c r="L19" i="5"/>
  <c r="AI28" i="16"/>
  <c r="P59" i="16"/>
  <c r="AL59" i="16"/>
  <c r="Q59" i="16"/>
  <c r="AM59" i="16"/>
  <c r="S25" i="16"/>
  <c r="AO25" i="16"/>
  <c r="G24" i="16"/>
  <c r="AC24" i="16"/>
  <c r="AM28" i="16"/>
  <c r="S38" i="16"/>
  <c r="S54" i="16" s="1"/>
  <c r="S9" i="16"/>
  <c r="S23" i="16" s="1"/>
  <c r="AO38" i="16"/>
  <c r="AO54" i="16" s="1"/>
  <c r="AO9" i="16"/>
  <c r="AO23" i="16" s="1"/>
  <c r="F29" i="5"/>
  <c r="F36" i="5" s="1"/>
  <c r="F21" i="5" s="1"/>
  <c r="W59" i="16"/>
  <c r="L36" i="5"/>
  <c r="L39" i="5" s="1"/>
  <c r="AY39" i="6"/>
  <c r="AY43" i="6" s="1"/>
  <c r="AX46" i="6"/>
  <c r="N28" i="16"/>
  <c r="AJ28" i="16"/>
  <c r="U59" i="16"/>
  <c r="AQ59" i="16"/>
  <c r="AL28" i="16"/>
  <c r="K56" i="16"/>
  <c r="Q55" i="16"/>
  <c r="AM55" i="16"/>
  <c r="AS59" i="16"/>
  <c r="AY44" i="6"/>
  <c r="AB59" i="16"/>
  <c r="W55" i="16"/>
  <c r="J19" i="5"/>
  <c r="AX22" i="6"/>
  <c r="AX23" i="6" s="1"/>
  <c r="BD29" i="6"/>
  <c r="BD30" i="6" s="1"/>
  <c r="AX43" i="6"/>
  <c r="W28" i="16"/>
  <c r="AW39" i="6"/>
  <c r="AW46" i="6" s="1"/>
  <c r="T28" i="16"/>
  <c r="D28" i="16"/>
  <c r="Z28" i="16"/>
  <c r="U55" i="16"/>
  <c r="AQ55" i="16"/>
  <c r="F59" i="16"/>
  <c r="Q56" i="16"/>
  <c r="AM56" i="16"/>
  <c r="AS55" i="16"/>
  <c r="AY46" i="6"/>
  <c r="AE25" i="16"/>
  <c r="AO24" i="16"/>
  <c r="AX45" i="6"/>
  <c r="I28" i="16"/>
  <c r="AE28" i="16"/>
  <c r="AO59" i="16"/>
  <c r="J28" i="16"/>
  <c r="AF28" i="16"/>
  <c r="AX44" i="6"/>
  <c r="W24" i="16"/>
  <c r="AG28" i="16"/>
  <c r="V56" i="16"/>
  <c r="AR56" i="16"/>
  <c r="L59" i="16"/>
  <c r="AA59" i="16"/>
  <c r="AR55" i="16"/>
  <c r="AA28" i="16"/>
  <c r="R56" i="16"/>
  <c r="AN56" i="16"/>
  <c r="I25" i="16"/>
  <c r="J59" i="16"/>
  <c r="V28" i="16"/>
  <c r="AJ55" i="16"/>
  <c r="T59" i="16"/>
  <c r="AP59" i="16"/>
  <c r="V59" i="16"/>
  <c r="AR59" i="16"/>
  <c r="Q25" i="16"/>
  <c r="AM25" i="16"/>
  <c r="K24" i="16"/>
  <c r="AG24" i="16"/>
  <c r="R55" i="16"/>
  <c r="AN55" i="16"/>
  <c r="X59" i="16"/>
  <c r="L24" i="16"/>
  <c r="AH24" i="16"/>
  <c r="C59" i="16"/>
  <c r="Y59" i="16"/>
  <c r="CP71" i="4"/>
  <c r="CN72" i="4"/>
  <c r="CO72" i="4"/>
  <c r="CP72" i="4"/>
  <c r="AG106" i="2" l="1"/>
  <c r="J154" i="2"/>
  <c r="P28" i="2"/>
  <c r="R106" i="2"/>
  <c r="O45" i="2"/>
  <c r="P43" i="2"/>
  <c r="K106" i="2"/>
  <c r="L91" i="2"/>
  <c r="N61" i="2"/>
  <c r="N54" i="2"/>
  <c r="M130" i="2"/>
  <c r="AI106" i="2"/>
  <c r="N46" i="2"/>
  <c r="I46" i="2"/>
  <c r="M61" i="2"/>
  <c r="Q58" i="2"/>
  <c r="S41" i="2"/>
  <c r="O46" i="2"/>
  <c r="S11" i="2"/>
  <c r="T11" i="2" s="1"/>
  <c r="AA105" i="2"/>
  <c r="AA106" i="2" s="1"/>
  <c r="P88" i="2"/>
  <c r="Q88" i="2" s="1"/>
  <c r="BM14" i="3" s="1"/>
  <c r="BM45" i="3" s="1"/>
  <c r="P74" i="2"/>
  <c r="Q74" i="2" s="1"/>
  <c r="AB106" i="2"/>
  <c r="Q73" i="2"/>
  <c r="R73" i="2" s="1"/>
  <c r="AM106" i="2"/>
  <c r="K46" i="2"/>
  <c r="O60" i="2"/>
  <c r="P128" i="2"/>
  <c r="P105" i="2"/>
  <c r="P106" i="2" s="1"/>
  <c r="S29" i="2"/>
  <c r="AJ106" i="2"/>
  <c r="AL106" i="2"/>
  <c r="X106" i="2"/>
  <c r="P89" i="2"/>
  <c r="AC106" i="2"/>
  <c r="P59" i="2"/>
  <c r="P129" i="2" s="1"/>
  <c r="N84" i="2"/>
  <c r="CI15" i="3"/>
  <c r="CI86" i="4" s="1"/>
  <c r="W105" i="2"/>
  <c r="W106" i="2" s="1"/>
  <c r="BF12" i="3"/>
  <c r="BF83" i="4" s="1"/>
  <c r="O145" i="2"/>
  <c r="T106" i="2"/>
  <c r="Q14" i="2"/>
  <c r="Q43" i="2"/>
  <c r="R43" i="2" s="1"/>
  <c r="R26" i="2"/>
  <c r="S26" i="2"/>
  <c r="T26" i="2" s="1"/>
  <c r="K154" i="2"/>
  <c r="K138" i="2"/>
  <c r="BQ107" i="4"/>
  <c r="Q57" i="2"/>
  <c r="EP42" i="3"/>
  <c r="R56" i="2"/>
  <c r="BO12" i="3" s="1"/>
  <c r="Q86" i="2"/>
  <c r="Q142" i="2" s="1"/>
  <c r="DD107" i="4"/>
  <c r="BH51" i="3"/>
  <c r="ED42" i="3"/>
  <c r="EE42" i="3"/>
  <c r="N89" i="3"/>
  <c r="N75" i="3"/>
  <c r="BO107" i="4"/>
  <c r="EU42" i="3"/>
  <c r="DZ107" i="4"/>
  <c r="CK69" i="4"/>
  <c r="CS69" i="4" s="1"/>
  <c r="DA69" i="4" s="1"/>
  <c r="F75" i="3"/>
  <c r="BG107" i="4"/>
  <c r="BI107" i="4"/>
  <c r="EO42" i="3"/>
  <c r="EC42" i="3"/>
  <c r="CO107" i="4"/>
  <c r="EQ42" i="3"/>
  <c r="BM107" i="4"/>
  <c r="Q27" i="2"/>
  <c r="P15" i="2"/>
  <c r="T29" i="2"/>
  <c r="U29" i="2" s="1"/>
  <c r="DO107" i="4"/>
  <c r="ER42" i="3"/>
  <c r="H138" i="2"/>
  <c r="Q13" i="2"/>
  <c r="R13" i="2" s="1"/>
  <c r="T12" i="2"/>
  <c r="U12" i="2" s="1"/>
  <c r="BL107" i="4"/>
  <c r="CC107" i="4"/>
  <c r="DB107" i="4"/>
  <c r="J21" i="5"/>
  <c r="AW43" i="6"/>
  <c r="Q72" i="2"/>
  <c r="BL13" i="3" s="1"/>
  <c r="R72" i="2"/>
  <c r="BP13" i="3" s="1"/>
  <c r="BH53" i="3"/>
  <c r="DG107" i="4"/>
  <c r="ES42" i="3"/>
  <c r="EZ40" i="3"/>
  <c r="V80" i="3"/>
  <c r="C138" i="2"/>
  <c r="C76" i="2"/>
  <c r="F92" i="3"/>
  <c r="J92" i="3"/>
  <c r="P80" i="3"/>
  <c r="L46" i="2"/>
  <c r="O75" i="2"/>
  <c r="BJ107" i="4"/>
  <c r="S29" i="5"/>
  <c r="CN107" i="4"/>
  <c r="CY107" i="4"/>
  <c r="R58" i="2"/>
  <c r="R128" i="2" s="1"/>
  <c r="R44" i="2"/>
  <c r="S44" i="2" s="1"/>
  <c r="CI107" i="4"/>
  <c r="CS107" i="4"/>
  <c r="CT69" i="4"/>
  <c r="DB69" i="4" s="1"/>
  <c r="DJ69" i="4" s="1"/>
  <c r="E88" i="3"/>
  <c r="AB80" i="3"/>
  <c r="DL107" i="4"/>
  <c r="AA80" i="3"/>
  <c r="M88" i="3"/>
  <c r="AF80" i="3"/>
  <c r="B88" i="3"/>
  <c r="Q106" i="2"/>
  <c r="R42" i="2"/>
  <c r="DE107" i="4"/>
  <c r="AD80" i="3"/>
  <c r="D46" i="2"/>
  <c r="CH107" i="4"/>
  <c r="CP107" i="4"/>
  <c r="O121" i="2"/>
  <c r="BR107" i="4"/>
  <c r="T80" i="3"/>
  <c r="G1" i="4"/>
  <c r="Y79" i="3"/>
  <c r="CA107" i="4"/>
  <c r="N121" i="2"/>
  <c r="BN107" i="4"/>
  <c r="AA29" i="5"/>
  <c r="AB29" i="5"/>
  <c r="CV69" i="4"/>
  <c r="DD69" i="4" s="1"/>
  <c r="DL69" i="4" s="1"/>
  <c r="DP107" i="4"/>
  <c r="R71" i="2"/>
  <c r="CR107" i="4"/>
  <c r="CT107" i="4"/>
  <c r="CJ69" i="4"/>
  <c r="CR69" i="4" s="1"/>
  <c r="CZ69" i="4" s="1"/>
  <c r="K1" i="4"/>
  <c r="R87" i="2"/>
  <c r="R143" i="2" s="1"/>
  <c r="U80" i="3"/>
  <c r="V29" i="5"/>
  <c r="Z29" i="5"/>
  <c r="CK107" i="4"/>
  <c r="AG80" i="3"/>
  <c r="W29" i="5"/>
  <c r="Y29" i="5"/>
  <c r="AG29" i="5"/>
  <c r="I88" i="3"/>
  <c r="Q80" i="3"/>
  <c r="R80" i="3"/>
  <c r="R29" i="5"/>
  <c r="Z80" i="3"/>
  <c r="BD38" i="4"/>
  <c r="Y1" i="4"/>
  <c r="H92" i="3"/>
  <c r="AK106" i="2"/>
  <c r="AX126" i="4"/>
  <c r="AY126" i="4" s="1"/>
  <c r="AZ126" i="4" s="1"/>
  <c r="BA126" i="4" s="1"/>
  <c r="BB126" i="4" s="1"/>
  <c r="BC126" i="4" s="1"/>
  <c r="T29" i="5"/>
  <c r="W80" i="3"/>
  <c r="CB107" i="4"/>
  <c r="K21" i="5"/>
  <c r="L1" i="4"/>
  <c r="I92" i="3"/>
  <c r="C92" i="3"/>
  <c r="CL107" i="4"/>
  <c r="AC80" i="3"/>
  <c r="AF29" i="5"/>
  <c r="Q29" i="5"/>
  <c r="EI42" i="3"/>
  <c r="D92" i="3"/>
  <c r="L121" i="2"/>
  <c r="L21" i="5"/>
  <c r="AW42" i="6"/>
  <c r="AW41" i="6"/>
  <c r="AW40" i="6"/>
  <c r="AY45" i="6"/>
  <c r="AY42" i="6"/>
  <c r="AY40" i="6"/>
  <c r="AY41" i="6"/>
  <c r="AO1" i="4"/>
  <c r="AK1" i="4"/>
  <c r="N1" i="4"/>
  <c r="R1" i="4"/>
  <c r="R18" i="5"/>
  <c r="BW69" i="4"/>
  <c r="N39" i="5"/>
  <c r="N21" i="5"/>
  <c r="BN76" i="4"/>
  <c r="BN3" i="4"/>
  <c r="BR21" i="4"/>
  <c r="BN48" i="3"/>
  <c r="BM76" i="4"/>
  <c r="BM3" i="4"/>
  <c r="BQ21" i="4"/>
  <c r="BM48" i="3"/>
  <c r="BI92" i="4"/>
  <c r="BI54" i="4"/>
  <c r="BH95" i="3" s="1"/>
  <c r="BH105" i="3" s="1"/>
  <c r="S18" i="5"/>
  <c r="CA69" i="4"/>
  <c r="BL76" i="4"/>
  <c r="BL3" i="4"/>
  <c r="BP21" i="4"/>
  <c r="BL48" i="3"/>
  <c r="BH92" i="4"/>
  <c r="BH54" i="4"/>
  <c r="BG95" i="3" s="1"/>
  <c r="BG105" i="3" s="1"/>
  <c r="BD110" i="4"/>
  <c r="BD121" i="4"/>
  <c r="BD125" i="4" s="1"/>
  <c r="BC95" i="3"/>
  <c r="BC105" i="3" s="1"/>
  <c r="AI61" i="3"/>
  <c r="AH99" i="3"/>
  <c r="J68" i="3"/>
  <c r="AM1" i="4"/>
  <c r="AI1" i="4"/>
  <c r="Q1" i="4"/>
  <c r="M1" i="4"/>
  <c r="AR61" i="3"/>
  <c r="AQ99" i="3"/>
  <c r="V61" i="3"/>
  <c r="U99" i="3"/>
  <c r="AT1" i="4"/>
  <c r="AP1" i="4"/>
  <c r="X1" i="4"/>
  <c r="T1" i="4"/>
  <c r="I87" i="3"/>
  <c r="D87" i="3"/>
  <c r="D75" i="3"/>
  <c r="L87" i="3"/>
  <c r="L75" i="3"/>
  <c r="K87" i="3"/>
  <c r="K75" i="3"/>
  <c r="AE61" i="3"/>
  <c r="I68" i="3"/>
  <c r="AD99" i="3"/>
  <c r="DW86" i="4"/>
  <c r="E75" i="3"/>
  <c r="E87" i="3"/>
  <c r="J87" i="3"/>
  <c r="BP4" i="3"/>
  <c r="BL21" i="3"/>
  <c r="DT86" i="4"/>
  <c r="DU86" i="4"/>
  <c r="DV86" i="4"/>
  <c r="DS86" i="4"/>
  <c r="DY86" i="4"/>
  <c r="DR86" i="4"/>
  <c r="H87" i="3"/>
  <c r="H75" i="3"/>
  <c r="CU15" i="3"/>
  <c r="Z105" i="2"/>
  <c r="Z106" i="2" s="1"/>
  <c r="P120" i="2"/>
  <c r="P121" i="2" s="1"/>
  <c r="BG16" i="3"/>
  <c r="CQ15" i="3"/>
  <c r="Y105" i="2"/>
  <c r="Y106" i="2" s="1"/>
  <c r="DT82" i="4"/>
  <c r="DT43" i="3"/>
  <c r="DE78" i="4"/>
  <c r="CJ77" i="4"/>
  <c r="CJ40" i="3"/>
  <c r="I130" i="2"/>
  <c r="I69" i="2"/>
  <c r="P126" i="2"/>
  <c r="BG12" i="3"/>
  <c r="DQ78" i="4"/>
  <c r="BM78" i="4"/>
  <c r="CS78" i="4"/>
  <c r="BQ78" i="4"/>
  <c r="CW78" i="4"/>
  <c r="BU78" i="4"/>
  <c r="DA78" i="4"/>
  <c r="CK78" i="4"/>
  <c r="DM78" i="4"/>
  <c r="BI78" i="4"/>
  <c r="CG78" i="4"/>
  <c r="DY78" i="4"/>
  <c r="DZ78" i="4"/>
  <c r="CI78" i="4"/>
  <c r="CQ78" i="4"/>
  <c r="DW78" i="4"/>
  <c r="BO78" i="4"/>
  <c r="CU78" i="4"/>
  <c r="BS78" i="4"/>
  <c r="CY78" i="4"/>
  <c r="BG78" i="4"/>
  <c r="CM78" i="4"/>
  <c r="BK78" i="4"/>
  <c r="DC78" i="4"/>
  <c r="D130" i="2"/>
  <c r="D61" i="2"/>
  <c r="CP78" i="4"/>
  <c r="EE40" i="3"/>
  <c r="BR77" i="4"/>
  <c r="BR40" i="3"/>
  <c r="E130" i="2"/>
  <c r="E61" i="2"/>
  <c r="EA40" i="3"/>
  <c r="BO77" i="4"/>
  <c r="BO40" i="3"/>
  <c r="BS77" i="4"/>
  <c r="BS40" i="3"/>
  <c r="EM40" i="3"/>
  <c r="DG77" i="4"/>
  <c r="DG40" i="3"/>
  <c r="DK77" i="4"/>
  <c r="DK40" i="3"/>
  <c r="CA77" i="4"/>
  <c r="CA40" i="3"/>
  <c r="U79" i="3" s="1"/>
  <c r="EI40" i="3"/>
  <c r="CI77" i="4"/>
  <c r="CI40" i="3"/>
  <c r="BW77" i="4"/>
  <c r="BW40" i="3"/>
  <c r="DO77" i="4"/>
  <c r="DO40" i="3"/>
  <c r="FG40" i="3"/>
  <c r="BG77" i="4"/>
  <c r="BG40" i="3"/>
  <c r="CY77" i="4"/>
  <c r="CY40" i="3"/>
  <c r="EQ40" i="3"/>
  <c r="CE77" i="4"/>
  <c r="CE40" i="3"/>
  <c r="DW77" i="4"/>
  <c r="DW40" i="3"/>
  <c r="AG79" i="3" s="1"/>
  <c r="BK77" i="4"/>
  <c r="BK40" i="3"/>
  <c r="Q79" i="3" s="1"/>
  <c r="DC77" i="4"/>
  <c r="DC40" i="3"/>
  <c r="EU40" i="3"/>
  <c r="BX82" i="4"/>
  <c r="BX43" i="3"/>
  <c r="CB82" i="4"/>
  <c r="CB43" i="3"/>
  <c r="EB43" i="3"/>
  <c r="CR82" i="4"/>
  <c r="CR43" i="3"/>
  <c r="EF43" i="3"/>
  <c r="BH82" i="4"/>
  <c r="BH43" i="3"/>
  <c r="CV82" i="4"/>
  <c r="CV43" i="3"/>
  <c r="CZ82" i="4"/>
  <c r="CZ43" i="3"/>
  <c r="ER43" i="3"/>
  <c r="CJ82" i="4"/>
  <c r="CJ43" i="3"/>
  <c r="DP82" i="4"/>
  <c r="DP43" i="3"/>
  <c r="EZ43" i="3"/>
  <c r="BP82" i="4"/>
  <c r="BP43" i="3"/>
  <c r="CN82" i="4"/>
  <c r="CN43" i="3"/>
  <c r="DL82" i="4"/>
  <c r="DL43" i="3"/>
  <c r="EJ43" i="3"/>
  <c r="FH43" i="3"/>
  <c r="CF82" i="4"/>
  <c r="CF43" i="3"/>
  <c r="DX82" i="4"/>
  <c r="DX43" i="3"/>
  <c r="BL82" i="4"/>
  <c r="BL43" i="3"/>
  <c r="DD82" i="4"/>
  <c r="DD43" i="3"/>
  <c r="EV43" i="3"/>
  <c r="DI82" i="4"/>
  <c r="DI43" i="3"/>
  <c r="BQ13" i="3"/>
  <c r="R152" i="2"/>
  <c r="R136" i="2"/>
  <c r="CN78" i="4"/>
  <c r="BP77" i="4"/>
  <c r="BP40" i="3"/>
  <c r="N91" i="2"/>
  <c r="N146" i="2"/>
  <c r="DO82" i="4"/>
  <c r="DO43" i="3"/>
  <c r="CI82" i="4"/>
  <c r="CI43" i="3"/>
  <c r="CM82" i="4"/>
  <c r="CM43" i="3"/>
  <c r="CQ82" i="4"/>
  <c r="CQ43" i="3"/>
  <c r="EE43" i="3"/>
  <c r="BG82" i="4"/>
  <c r="BG43" i="3"/>
  <c r="EI43" i="3"/>
  <c r="BK82" i="4"/>
  <c r="BK43" i="3"/>
  <c r="CE82" i="4"/>
  <c r="CE43" i="3"/>
  <c r="DK82" i="4"/>
  <c r="DK43" i="3"/>
  <c r="BW82" i="4"/>
  <c r="BW43" i="3"/>
  <c r="T82" i="3" s="1"/>
  <c r="CU82" i="4"/>
  <c r="CU43" i="3"/>
  <c r="DS82" i="4"/>
  <c r="DS43" i="3"/>
  <c r="AF82" i="3" s="1"/>
  <c r="EQ43" i="3"/>
  <c r="EU43" i="3"/>
  <c r="CA82" i="4"/>
  <c r="CA43" i="3"/>
  <c r="U82" i="3" s="1"/>
  <c r="CY82" i="4"/>
  <c r="CY43" i="3"/>
  <c r="AA82" i="3" s="1"/>
  <c r="DW82" i="4"/>
  <c r="DW43" i="3"/>
  <c r="AG82" i="3" s="1"/>
  <c r="B76" i="2"/>
  <c r="B138" i="2"/>
  <c r="BI87" i="4"/>
  <c r="DR78" i="4"/>
  <c r="BN78" i="4"/>
  <c r="BR78" i="4"/>
  <c r="CX78" i="4"/>
  <c r="BF78" i="4"/>
  <c r="BF50" i="3"/>
  <c r="CL78" i="4"/>
  <c r="DN78" i="4"/>
  <c r="CT78" i="4"/>
  <c r="CD78" i="4"/>
  <c r="DV78" i="4"/>
  <c r="BJ78" i="4"/>
  <c r="DB78" i="4"/>
  <c r="CH78" i="4"/>
  <c r="BO86" i="4"/>
  <c r="C75" i="3"/>
  <c r="C87" i="3"/>
  <c r="DL86" i="4"/>
  <c r="M91" i="2"/>
  <c r="M146" i="2"/>
  <c r="Q143" i="2"/>
  <c r="BL14" i="3"/>
  <c r="BL45" i="3" s="1"/>
  <c r="BH14" i="3"/>
  <c r="BH45" i="3" s="1"/>
  <c r="P143" i="2"/>
  <c r="BK12" i="3"/>
  <c r="Q126" i="2"/>
  <c r="BH12" i="3"/>
  <c r="P127" i="2"/>
  <c r="BN77" i="4"/>
  <c r="BN40" i="3"/>
  <c r="CT77" i="4"/>
  <c r="CT40" i="3"/>
  <c r="CX77" i="4"/>
  <c r="CX40" i="3"/>
  <c r="BV77" i="4"/>
  <c r="BV40" i="3"/>
  <c r="DF77" i="4"/>
  <c r="DF40" i="3"/>
  <c r="BZ77" i="4"/>
  <c r="BZ40" i="3"/>
  <c r="CD77" i="4"/>
  <c r="CD40" i="3"/>
  <c r="CH77" i="4"/>
  <c r="CH40" i="3"/>
  <c r="DJ77" i="4"/>
  <c r="DJ40" i="3"/>
  <c r="BJ77" i="4"/>
  <c r="BJ40" i="3"/>
  <c r="DB77" i="4"/>
  <c r="DB40" i="3"/>
  <c r="J69" i="2"/>
  <c r="J130" i="2"/>
  <c r="CR77" i="4"/>
  <c r="CR40" i="3"/>
  <c r="EB40" i="3"/>
  <c r="EF40" i="3"/>
  <c r="BT77" i="4"/>
  <c r="BT40" i="3"/>
  <c r="CZ77" i="4"/>
  <c r="CZ40" i="3"/>
  <c r="DD77" i="4"/>
  <c r="DD40" i="3"/>
  <c r="BX77" i="4"/>
  <c r="BX40" i="3"/>
  <c r="EN40" i="3"/>
  <c r="DL77" i="4"/>
  <c r="DL40" i="3"/>
  <c r="ER40" i="3"/>
  <c r="CB77" i="4"/>
  <c r="CB40" i="3"/>
  <c r="EV40" i="3"/>
  <c r="DH77" i="4"/>
  <c r="DH40" i="3"/>
  <c r="EJ40" i="3"/>
  <c r="CF77" i="4"/>
  <c r="CF40" i="3"/>
  <c r="DX77" i="4"/>
  <c r="DX40" i="3"/>
  <c r="DO86" i="4"/>
  <c r="DE82" i="4"/>
  <c r="DE43" i="3"/>
  <c r="CB78" i="4"/>
  <c r="DT77" i="4"/>
  <c r="DT40" i="3"/>
  <c r="AF79" i="3" s="1"/>
  <c r="BH77" i="4"/>
  <c r="BH40" i="3"/>
  <c r="BH87" i="4"/>
  <c r="P135" i="2"/>
  <c r="BH13" i="3"/>
  <c r="P151" i="2"/>
  <c r="FE43" i="3"/>
  <c r="FF43" i="3"/>
  <c r="EC43" i="3"/>
  <c r="ED43" i="3"/>
  <c r="CS82" i="4"/>
  <c r="CS43" i="3"/>
  <c r="EG43" i="3"/>
  <c r="EH43" i="3"/>
  <c r="BI82" i="4"/>
  <c r="BI43" i="3"/>
  <c r="EL43" i="3"/>
  <c r="CK82" i="4"/>
  <c r="CK43" i="3"/>
  <c r="DQ82" i="4"/>
  <c r="DQ43" i="3"/>
  <c r="FA43" i="3"/>
  <c r="FB43" i="3"/>
  <c r="BQ82" i="4"/>
  <c r="BQ43" i="3"/>
  <c r="CO82" i="4"/>
  <c r="CO43" i="3"/>
  <c r="DM82" i="4"/>
  <c r="DM43" i="3"/>
  <c r="EK43" i="3"/>
  <c r="FI43" i="3"/>
  <c r="BY82" i="4"/>
  <c r="BY43" i="3"/>
  <c r="CW82" i="4"/>
  <c r="CW43" i="3"/>
  <c r="DU82" i="4"/>
  <c r="DU43" i="3"/>
  <c r="ES43" i="3"/>
  <c r="EW43" i="3"/>
  <c r="ET43" i="3"/>
  <c r="DZ82" i="4"/>
  <c r="DZ43" i="3"/>
  <c r="DC82" i="4"/>
  <c r="DC43" i="3"/>
  <c r="BF77" i="4"/>
  <c r="BF40" i="3"/>
  <c r="O79" i="3" s="1"/>
  <c r="BF49" i="3"/>
  <c r="D76" i="2"/>
  <c r="D138" i="2"/>
  <c r="BM12" i="3"/>
  <c r="Q128" i="2"/>
  <c r="BZ48" i="3"/>
  <c r="BV21" i="3"/>
  <c r="BZ4" i="3"/>
  <c r="DP77" i="4"/>
  <c r="DP40" i="3"/>
  <c r="M87" i="3"/>
  <c r="G87" i="3"/>
  <c r="G75" i="3"/>
  <c r="B87" i="3"/>
  <c r="B75" i="3"/>
  <c r="DR77" i="4"/>
  <c r="DR40" i="3"/>
  <c r="P30" i="2"/>
  <c r="FD43" i="3"/>
  <c r="CE15" i="3"/>
  <c r="V105" i="2"/>
  <c r="V106" i="2" s="1"/>
  <c r="P152" i="2"/>
  <c r="BI13" i="3"/>
  <c r="P136" i="2"/>
  <c r="H130" i="2"/>
  <c r="H69" i="2"/>
  <c r="CJ78" i="4"/>
  <c r="CR78" i="4"/>
  <c r="BP78" i="4"/>
  <c r="CV78" i="4"/>
  <c r="BT78" i="4"/>
  <c r="DL78" i="4"/>
  <c r="BX78" i="4"/>
  <c r="DP78" i="4"/>
  <c r="BH78" i="4"/>
  <c r="CZ78" i="4"/>
  <c r="CF78" i="4"/>
  <c r="DX78" i="4"/>
  <c r="BL78" i="4"/>
  <c r="DD78" i="4"/>
  <c r="FC43" i="3"/>
  <c r="BU82" i="4"/>
  <c r="BU43" i="3"/>
  <c r="CV77" i="4"/>
  <c r="CV40" i="3"/>
  <c r="CA15" i="3"/>
  <c r="U105" i="2"/>
  <c r="U106" i="2" s="1"/>
  <c r="K91" i="2"/>
  <c r="K146" i="2"/>
  <c r="F76" i="2"/>
  <c r="F138" i="2"/>
  <c r="O136" i="2"/>
  <c r="O152" i="2"/>
  <c r="S73" i="2"/>
  <c r="T73" i="2" s="1"/>
  <c r="T136" i="2" s="1"/>
  <c r="BT82" i="4"/>
  <c r="BT43" i="3"/>
  <c r="S82" i="3" s="1"/>
  <c r="FH40" i="3"/>
  <c r="BU4" i="3"/>
  <c r="BQ21" i="3"/>
  <c r="BJ87" i="4"/>
  <c r="J146" i="2"/>
  <c r="J91" i="2"/>
  <c r="F130" i="2"/>
  <c r="F61" i="2"/>
  <c r="FD40" i="3"/>
  <c r="BS86" i="4"/>
  <c r="BG14" i="3"/>
  <c r="BG45" i="3" s="1"/>
  <c r="P142" i="2"/>
  <c r="O153" i="2"/>
  <c r="BF13" i="3"/>
  <c r="O137" i="2"/>
  <c r="Q28" i="2"/>
  <c r="BT86" i="4"/>
  <c r="O15" i="2"/>
  <c r="FI40" i="3"/>
  <c r="CW77" i="4"/>
  <c r="CW40" i="3"/>
  <c r="FJ40" i="3"/>
  <c r="DQ77" i="4"/>
  <c r="DQ40" i="3"/>
  <c r="BM77" i="4"/>
  <c r="BM40" i="3"/>
  <c r="DZ77" i="4"/>
  <c r="DZ40" i="3"/>
  <c r="EC40" i="3"/>
  <c r="BQ77" i="4"/>
  <c r="BQ40" i="3"/>
  <c r="ED40" i="3"/>
  <c r="EW40" i="3"/>
  <c r="FE40" i="3"/>
  <c r="FF40" i="3"/>
  <c r="EG40" i="3"/>
  <c r="BU77" i="4"/>
  <c r="BU40" i="3"/>
  <c r="EH40" i="3"/>
  <c r="DE77" i="4"/>
  <c r="DE40" i="3"/>
  <c r="BY77" i="4"/>
  <c r="BY40" i="3"/>
  <c r="EO40" i="3"/>
  <c r="EP40" i="3"/>
  <c r="DM77" i="4"/>
  <c r="DM40" i="3"/>
  <c r="DI77" i="4"/>
  <c r="DI40" i="3"/>
  <c r="EL40" i="3"/>
  <c r="CS77" i="4"/>
  <c r="CS40" i="3"/>
  <c r="EK40" i="3"/>
  <c r="CC77" i="4"/>
  <c r="CC40" i="3"/>
  <c r="DU77" i="4"/>
  <c r="DU40" i="3"/>
  <c r="BI77" i="4"/>
  <c r="BI40" i="3"/>
  <c r="DA77" i="4"/>
  <c r="DA40" i="3"/>
  <c r="ES40" i="3"/>
  <c r="ET40" i="3"/>
  <c r="CG77" i="4"/>
  <c r="CG40" i="3"/>
  <c r="DY77" i="4"/>
  <c r="DY40" i="3"/>
  <c r="BK14" i="3"/>
  <c r="BK45" i="3" s="1"/>
  <c r="BM13" i="3"/>
  <c r="Q136" i="2"/>
  <c r="BW86" i="4"/>
  <c r="N154" i="2"/>
  <c r="N77" i="2"/>
  <c r="N138" i="2"/>
  <c r="BR82" i="4"/>
  <c r="BR43" i="3"/>
  <c r="BV82" i="4"/>
  <c r="BV43" i="3"/>
  <c r="CD82" i="4"/>
  <c r="CD43" i="3"/>
  <c r="DF82" i="4"/>
  <c r="DF43" i="3"/>
  <c r="DJ82" i="4"/>
  <c r="DJ43" i="3"/>
  <c r="AC82" i="3" s="1"/>
  <c r="DN82" i="4"/>
  <c r="DN43" i="3"/>
  <c r="CP82" i="4"/>
  <c r="CP43" i="3"/>
  <c r="CT82" i="4"/>
  <c r="CT43" i="3"/>
  <c r="BF82" i="4"/>
  <c r="BF43" i="3"/>
  <c r="O82" i="3" s="1"/>
  <c r="BF55" i="3"/>
  <c r="BG55" i="3" s="1"/>
  <c r="CL82" i="4"/>
  <c r="CL43" i="3"/>
  <c r="DR82" i="4"/>
  <c r="DR43" i="3"/>
  <c r="BZ82" i="4"/>
  <c r="BZ43" i="3"/>
  <c r="CX82" i="4"/>
  <c r="CX43" i="3"/>
  <c r="DV82" i="4"/>
  <c r="DV43" i="3"/>
  <c r="BJ82" i="4"/>
  <c r="BJ43" i="3"/>
  <c r="DB82" i="4"/>
  <c r="DB43" i="3"/>
  <c r="CH82" i="4"/>
  <c r="CH43" i="3"/>
  <c r="C130" i="2"/>
  <c r="C61" i="2"/>
  <c r="BF14" i="4"/>
  <c r="O35" i="5" s="1"/>
  <c r="O74" i="3"/>
  <c r="G138" i="2"/>
  <c r="G76" i="2"/>
  <c r="M154" i="2"/>
  <c r="M138" i="2"/>
  <c r="BK86" i="4"/>
  <c r="BI83" i="4"/>
  <c r="BI39" i="3"/>
  <c r="BP14" i="3"/>
  <c r="BP45" i="3" s="1"/>
  <c r="P45" i="2"/>
  <c r="P46" i="2" s="1"/>
  <c r="P134" i="2"/>
  <c r="BG13" i="3"/>
  <c r="P150" i="2"/>
  <c r="FA40" i="3"/>
  <c r="BG86" i="4"/>
  <c r="BG59" i="3"/>
  <c r="E76" i="2"/>
  <c r="E138" i="2"/>
  <c r="O69" i="2"/>
  <c r="O130" i="2"/>
  <c r="O61" i="2"/>
  <c r="B130" i="2"/>
  <c r="B61" i="2"/>
  <c r="R126" i="2"/>
  <c r="BO13" i="3"/>
  <c r="R134" i="2"/>
  <c r="L154" i="2"/>
  <c r="L138" i="2"/>
  <c r="Q134" i="2"/>
  <c r="BK13" i="3"/>
  <c r="Q150" i="2"/>
  <c r="DJ86" i="4"/>
  <c r="BF85" i="4"/>
  <c r="BF58" i="3"/>
  <c r="BE102" i="3" s="1"/>
  <c r="O91" i="2"/>
  <c r="O146" i="2"/>
  <c r="BF56" i="3"/>
  <c r="AU38" i="16"/>
  <c r="M29" i="5"/>
  <c r="M36" i="5" s="1"/>
  <c r="AU38" i="4"/>
  <c r="AU1" i="4" s="1"/>
  <c r="AU54" i="3"/>
  <c r="BB38" i="4"/>
  <c r="BB49" i="4"/>
  <c r="AV38" i="16"/>
  <c r="AV38" i="4"/>
  <c r="AV1" i="4" s="1"/>
  <c r="AV54" i="3"/>
  <c r="BF42" i="3"/>
  <c r="O81" i="3" s="1"/>
  <c r="BF8" i="4"/>
  <c r="O28" i="5" s="1"/>
  <c r="BE103" i="3"/>
  <c r="O67" i="3"/>
  <c r="BF6" i="4"/>
  <c r="O26" i="5" s="1"/>
  <c r="BE98" i="3"/>
  <c r="O65" i="3"/>
  <c r="O88" i="3" s="1"/>
  <c r="AW38" i="16"/>
  <c r="AW54" i="3"/>
  <c r="BG42" i="3"/>
  <c r="BG8" i="4"/>
  <c r="BF103" i="3"/>
  <c r="BH8" i="4"/>
  <c r="BG6" i="4"/>
  <c r="BF98" i="3"/>
  <c r="BH42" i="3"/>
  <c r="BI42" i="3"/>
  <c r="BJ42" i="3"/>
  <c r="BK42" i="3"/>
  <c r="Q81" i="3" s="1"/>
  <c r="O29" i="5"/>
  <c r="BD54" i="3"/>
  <c r="BL42" i="3"/>
  <c r="BM42" i="3"/>
  <c r="BN42" i="3"/>
  <c r="BO42" i="3"/>
  <c r="R81" i="3" s="1"/>
  <c r="BP42" i="3"/>
  <c r="BQ42" i="3"/>
  <c r="BR42" i="3"/>
  <c r="BS42" i="3"/>
  <c r="BT42" i="3"/>
  <c r="BU42" i="3"/>
  <c r="BV42" i="3"/>
  <c r="BW42" i="3"/>
  <c r="T81" i="3" s="1"/>
  <c r="BX42" i="3"/>
  <c r="BY42" i="3"/>
  <c r="BZ42" i="3"/>
  <c r="CA42" i="3"/>
  <c r="U81" i="3" s="1"/>
  <c r="CB42" i="3"/>
  <c r="CC42" i="3"/>
  <c r="CD42" i="3"/>
  <c r="CE42" i="3"/>
  <c r="CF42" i="3"/>
  <c r="CG42" i="3"/>
  <c r="CH42" i="3"/>
  <c r="CI42" i="3"/>
  <c r="CJ42" i="3"/>
  <c r="CK42" i="3"/>
  <c r="CL42" i="3"/>
  <c r="CM42" i="3"/>
  <c r="CN42" i="3"/>
  <c r="CO42" i="3"/>
  <c r="CP42" i="3"/>
  <c r="CQ42" i="3"/>
  <c r="CR42" i="3"/>
  <c r="CS42" i="3"/>
  <c r="CT42" i="3"/>
  <c r="CU42" i="3"/>
  <c r="CV42" i="3"/>
  <c r="CW42" i="3"/>
  <c r="CX42" i="3"/>
  <c r="CY42" i="3"/>
  <c r="CZ42" i="3"/>
  <c r="DA42" i="3"/>
  <c r="DB42" i="3"/>
  <c r="DC42" i="3"/>
  <c r="DD42" i="3"/>
  <c r="DE42" i="3"/>
  <c r="DX42" i="3"/>
  <c r="DT42" i="3"/>
  <c r="DQ42" i="3"/>
  <c r="DP42" i="3"/>
  <c r="DF42" i="3"/>
  <c r="DZ42" i="3"/>
  <c r="DI42" i="3"/>
  <c r="DJ42" i="3"/>
  <c r="DK42" i="3"/>
  <c r="DL42" i="3"/>
  <c r="DO42" i="3"/>
  <c r="AE81" i="3" s="1"/>
  <c r="DY42" i="3"/>
  <c r="DH42" i="3"/>
  <c r="DG42" i="3"/>
  <c r="DV42" i="3"/>
  <c r="DN42" i="3"/>
  <c r="DS42" i="3"/>
  <c r="AF81" i="3" s="1"/>
  <c r="DM42" i="3"/>
  <c r="DR42" i="3"/>
  <c r="DW42" i="3"/>
  <c r="DU42" i="3"/>
  <c r="BI14" i="3" l="1"/>
  <c r="BI45" i="3" s="1"/>
  <c r="O154" i="2"/>
  <c r="P144" i="2"/>
  <c r="BF39" i="3"/>
  <c r="O78" i="3" s="1"/>
  <c r="BQ12" i="3"/>
  <c r="Q45" i="2"/>
  <c r="Q46" i="2" s="1"/>
  <c r="T41" i="2"/>
  <c r="U41" i="2" s="1"/>
  <c r="Q75" i="2"/>
  <c r="Q138" i="2" s="1"/>
  <c r="BJ13" i="3"/>
  <c r="BJ44" i="3" s="1"/>
  <c r="P75" i="2"/>
  <c r="Q30" i="2"/>
  <c r="U11" i="2"/>
  <c r="V11" i="2" s="1"/>
  <c r="O76" i="2"/>
  <c r="R150" i="2"/>
  <c r="P137" i="2"/>
  <c r="O138" i="2"/>
  <c r="P90" i="2"/>
  <c r="P91" i="2" s="1"/>
  <c r="U26" i="2"/>
  <c r="V26" i="2" s="1"/>
  <c r="Q137" i="2"/>
  <c r="BN13" i="3"/>
  <c r="BN44" i="3" s="1"/>
  <c r="R74" i="2"/>
  <c r="S74" i="2" s="1"/>
  <c r="T74" i="2" s="1"/>
  <c r="Q59" i="2"/>
  <c r="BN12" i="3" s="1"/>
  <c r="BN39" i="3" s="1"/>
  <c r="Q135" i="2"/>
  <c r="Q144" i="2"/>
  <c r="U73" i="2"/>
  <c r="V73" i="2" s="1"/>
  <c r="Q89" i="2"/>
  <c r="P60" i="2"/>
  <c r="R88" i="2"/>
  <c r="P145" i="2"/>
  <c r="BJ14" i="3"/>
  <c r="BJ45" i="3" s="1"/>
  <c r="BJ12" i="3"/>
  <c r="BJ83" i="4" s="1"/>
  <c r="P153" i="2"/>
  <c r="Q152" i="2"/>
  <c r="S13" i="2"/>
  <c r="T13" i="2" s="1"/>
  <c r="BG49" i="3"/>
  <c r="BH55" i="3"/>
  <c r="R57" i="2"/>
  <c r="R151" i="2" s="1"/>
  <c r="Q151" i="2"/>
  <c r="Q127" i="2"/>
  <c r="BL12" i="3"/>
  <c r="BL83" i="4" s="1"/>
  <c r="BI51" i="3"/>
  <c r="BG98" i="3"/>
  <c r="V81" i="3"/>
  <c r="BH6" i="4"/>
  <c r="BF54" i="3"/>
  <c r="S42" i="2"/>
  <c r="R45" i="2"/>
  <c r="R46" i="2" s="1"/>
  <c r="Z79" i="3"/>
  <c r="R82" i="3"/>
  <c r="S71" i="2"/>
  <c r="T71" i="2" s="1"/>
  <c r="S88" i="2"/>
  <c r="R144" i="2"/>
  <c r="BQ14" i="3"/>
  <c r="BQ45" i="3" s="1"/>
  <c r="W81" i="3"/>
  <c r="M39" i="5"/>
  <c r="M21" i="5"/>
  <c r="BY13" i="3"/>
  <c r="I89" i="3"/>
  <c r="I75" i="3"/>
  <c r="AG81" i="3"/>
  <c r="P81" i="3"/>
  <c r="T79" i="3"/>
  <c r="J89" i="3"/>
  <c r="J75" i="3"/>
  <c r="BG103" i="3"/>
  <c r="Y82" i="3"/>
  <c r="DT69" i="4"/>
  <c r="S43" i="2"/>
  <c r="BI53" i="3"/>
  <c r="Z82" i="3"/>
  <c r="AC79" i="3"/>
  <c r="V29" i="2"/>
  <c r="AB81" i="3"/>
  <c r="X82" i="3"/>
  <c r="P79" i="3"/>
  <c r="T44" i="2"/>
  <c r="R28" i="2"/>
  <c r="S28" i="2" s="1"/>
  <c r="R135" i="2"/>
  <c r="X81" i="3"/>
  <c r="Y81" i="3"/>
  <c r="AE79" i="3"/>
  <c r="S79" i="3"/>
  <c r="S56" i="2"/>
  <c r="AD81" i="3"/>
  <c r="S81" i="3"/>
  <c r="DH69" i="4"/>
  <c r="DP69" i="4" s="1"/>
  <c r="DX69" i="4" s="1"/>
  <c r="BH59" i="3"/>
  <c r="BI59" i="3" s="1"/>
  <c r="S72" i="2"/>
  <c r="AA81" i="3"/>
  <c r="Z81" i="3"/>
  <c r="V82" i="3"/>
  <c r="AB79" i="3"/>
  <c r="R79" i="3"/>
  <c r="T72" i="2"/>
  <c r="R27" i="2"/>
  <c r="AB82" i="3"/>
  <c r="AD82" i="3"/>
  <c r="W82" i="3"/>
  <c r="BD126" i="4"/>
  <c r="BE126" i="4" s="1"/>
  <c r="DI69" i="4"/>
  <c r="DQ69" i="4" s="1"/>
  <c r="DY69" i="4" s="1"/>
  <c r="R14" i="2"/>
  <c r="R15" i="2" s="1"/>
  <c r="AE82" i="3"/>
  <c r="W79" i="3"/>
  <c r="BG50" i="3"/>
  <c r="Q82" i="3"/>
  <c r="DF69" i="4"/>
  <c r="V79" i="3"/>
  <c r="CW69" i="4"/>
  <c r="DE69" i="4" s="1"/>
  <c r="DM69" i="4" s="1"/>
  <c r="V12" i="2"/>
  <c r="R86" i="2"/>
  <c r="P82" i="3"/>
  <c r="S87" i="2"/>
  <c r="T87" i="2" s="1"/>
  <c r="Q15" i="2"/>
  <c r="AC81" i="3"/>
  <c r="AA79" i="3"/>
  <c r="AD79" i="3"/>
  <c r="S58" i="2"/>
  <c r="T58" i="2" s="1"/>
  <c r="BC99" i="3"/>
  <c r="BD61" i="3"/>
  <c r="AV99" i="3"/>
  <c r="AW61" i="3"/>
  <c r="AV61" i="3"/>
  <c r="AU99" i="3"/>
  <c r="BC49" i="4"/>
  <c r="BD49" i="4" s="1"/>
  <c r="BE49" i="4" s="1"/>
  <c r="BB50" i="4"/>
  <c r="BC50" i="4" s="1"/>
  <c r="BD50" i="4" s="1"/>
  <c r="BE50" i="4" s="1"/>
  <c r="AT99" i="3"/>
  <c r="M68" i="3"/>
  <c r="AU61" i="3"/>
  <c r="BF9" i="6"/>
  <c r="BF6" i="6"/>
  <c r="BF8" i="6"/>
  <c r="BF7" i="6"/>
  <c r="BF20" i="6"/>
  <c r="BF10" i="6"/>
  <c r="BF11" i="6"/>
  <c r="O70" i="3"/>
  <c r="O86" i="3" s="1"/>
  <c r="BE96" i="3"/>
  <c r="BF10" i="4"/>
  <c r="O31" i="5" s="1"/>
  <c r="BL84" i="4"/>
  <c r="BL44" i="3"/>
  <c r="BF13" i="4"/>
  <c r="O34" i="5" s="1"/>
  <c r="O72" i="3"/>
  <c r="O92" i="3" s="1"/>
  <c r="BF12" i="4"/>
  <c r="O33" i="5" s="1"/>
  <c r="BN84" i="4"/>
  <c r="Q76" i="2"/>
  <c r="BK84" i="4"/>
  <c r="BK44" i="3"/>
  <c r="BO84" i="4"/>
  <c r="BO44" i="3"/>
  <c r="BO83" i="4"/>
  <c r="BO39" i="3"/>
  <c r="BJ84" i="4"/>
  <c r="P154" i="2"/>
  <c r="P138" i="2"/>
  <c r="P76" i="2"/>
  <c r="BG84" i="4"/>
  <c r="BG44" i="3"/>
  <c r="BP85" i="4"/>
  <c r="BI85" i="4"/>
  <c r="BF9" i="4"/>
  <c r="O30" i="5" s="1"/>
  <c r="BE100" i="3"/>
  <c r="O69" i="3"/>
  <c r="O90" i="3" s="1"/>
  <c r="BP84" i="4"/>
  <c r="BP44" i="3"/>
  <c r="BQ83" i="4"/>
  <c r="BQ39" i="3"/>
  <c r="BM84" i="4"/>
  <c r="BM44" i="3"/>
  <c r="BK85" i="4"/>
  <c r="BF84" i="4"/>
  <c r="BF125" i="4" s="1"/>
  <c r="BF57" i="3"/>
  <c r="BF44" i="3"/>
  <c r="O83" i="3" s="1"/>
  <c r="P146" i="2"/>
  <c r="BG85" i="4"/>
  <c r="BG58" i="3"/>
  <c r="BH58" i="3" s="1"/>
  <c r="BI58" i="3" s="1"/>
  <c r="BU21" i="3"/>
  <c r="BY48" i="3"/>
  <c r="BY4" i="3"/>
  <c r="S136" i="2"/>
  <c r="BU13" i="3"/>
  <c r="U136" i="2"/>
  <c r="CC13" i="3"/>
  <c r="CA86" i="4"/>
  <c r="BI84" i="4"/>
  <c r="BI44" i="3"/>
  <c r="CE86" i="4"/>
  <c r="BZ21" i="3"/>
  <c r="CD4" i="3"/>
  <c r="BM83" i="4"/>
  <c r="BM39" i="3"/>
  <c r="BF4" i="4"/>
  <c r="BE97" i="3"/>
  <c r="O63" i="3"/>
  <c r="BH84" i="4"/>
  <c r="BH44" i="3"/>
  <c r="BH83" i="4"/>
  <c r="BH39" i="3"/>
  <c r="BK83" i="4"/>
  <c r="BK39" i="3"/>
  <c r="BH85" i="4"/>
  <c r="BL85" i="4"/>
  <c r="BF5" i="4"/>
  <c r="O25" i="5" s="1"/>
  <c r="O64" i="3"/>
  <c r="BG9" i="4"/>
  <c r="BF100" i="3"/>
  <c r="BL39" i="3"/>
  <c r="BQ84" i="4"/>
  <c r="BQ44" i="3"/>
  <c r="BG4" i="4"/>
  <c r="BF97" i="3"/>
  <c r="BG5" i="4"/>
  <c r="P69" i="2"/>
  <c r="P61" i="2"/>
  <c r="P130" i="2"/>
  <c r="BG83" i="4"/>
  <c r="BG56" i="3"/>
  <c r="BG39" i="3"/>
  <c r="BM85" i="4"/>
  <c r="CQ86" i="4"/>
  <c r="BG87" i="4"/>
  <c r="BG60" i="3"/>
  <c r="CU86" i="4"/>
  <c r="BP21" i="3"/>
  <c r="BT4" i="3"/>
  <c r="BP3" i="4"/>
  <c r="BP76" i="4"/>
  <c r="BT21" i="4"/>
  <c r="BP48" i="3"/>
  <c r="BL92" i="4"/>
  <c r="BL54" i="4"/>
  <c r="BK95" i="3" s="1"/>
  <c r="BK105" i="3" s="1"/>
  <c r="U18" i="5"/>
  <c r="CI69" i="4"/>
  <c r="BQ76" i="4"/>
  <c r="BQ3" i="4"/>
  <c r="BU21" i="4"/>
  <c r="BM54" i="4"/>
  <c r="BL95" i="3" s="1"/>
  <c r="BL105" i="3" s="1"/>
  <c r="BM92" i="4"/>
  <c r="BR76" i="4"/>
  <c r="BV21" i="4"/>
  <c r="BR3" i="4"/>
  <c r="BN92" i="4"/>
  <c r="BN54" i="4"/>
  <c r="BM95" i="3" s="1"/>
  <c r="BM105" i="3" s="1"/>
  <c r="T18" i="5"/>
  <c r="CE69" i="4"/>
  <c r="BG125" i="4" l="1"/>
  <c r="V41" i="2"/>
  <c r="R59" i="2"/>
  <c r="R153" i="2" s="1"/>
  <c r="Q153" i="2"/>
  <c r="Q129" i="2"/>
  <c r="R75" i="2"/>
  <c r="R138" i="2" s="1"/>
  <c r="BN83" i="4"/>
  <c r="V136" i="2"/>
  <c r="CG13" i="3"/>
  <c r="CG84" i="4" s="1"/>
  <c r="S59" i="2"/>
  <c r="BV12" i="3" s="1"/>
  <c r="R89" i="2"/>
  <c r="R90" i="2" s="1"/>
  <c r="Q145" i="2"/>
  <c r="Q90" i="2"/>
  <c r="BN14" i="3"/>
  <c r="U13" i="2"/>
  <c r="Q83" i="3"/>
  <c r="BJ39" i="3"/>
  <c r="P78" i="3" s="1"/>
  <c r="U74" i="2"/>
  <c r="V74" i="2" s="1"/>
  <c r="BK125" i="4"/>
  <c r="R137" i="2"/>
  <c r="BR13" i="3"/>
  <c r="S152" i="2"/>
  <c r="Q60" i="2"/>
  <c r="BJ85" i="4"/>
  <c r="BJ125" i="4" s="1"/>
  <c r="BJ58" i="3"/>
  <c r="BT14" i="3"/>
  <c r="S143" i="2"/>
  <c r="U87" i="2"/>
  <c r="BG57" i="3"/>
  <c r="BH57" i="3" s="1"/>
  <c r="BI55" i="3"/>
  <c r="BH9" i="4"/>
  <c r="BG100" i="3"/>
  <c r="W29" i="2"/>
  <c r="X29" i="2" s="1"/>
  <c r="T143" i="2"/>
  <c r="BX14" i="3"/>
  <c r="BE99" i="3"/>
  <c r="BF61" i="3"/>
  <c r="BF16" i="4" s="1"/>
  <c r="BG54" i="3"/>
  <c r="O68" i="3"/>
  <c r="O89" i="3" s="1"/>
  <c r="BY84" i="4"/>
  <c r="BY44" i="3"/>
  <c r="R30" i="2"/>
  <c r="S27" i="2"/>
  <c r="BF126" i="4"/>
  <c r="BG126" i="4" s="1"/>
  <c r="W12" i="2"/>
  <c r="BX13" i="3"/>
  <c r="T135" i="2"/>
  <c r="U72" i="2"/>
  <c r="V72" i="2" s="1"/>
  <c r="P67" i="3"/>
  <c r="BH103" i="3"/>
  <c r="BI8" i="4"/>
  <c r="BJ53" i="3"/>
  <c r="T43" i="2"/>
  <c r="S144" i="2"/>
  <c r="BU14" i="3"/>
  <c r="T88" i="2"/>
  <c r="BH49" i="3"/>
  <c r="Q78" i="3"/>
  <c r="BF102" i="3"/>
  <c r="T128" i="2"/>
  <c r="BY12" i="3"/>
  <c r="T152" i="2"/>
  <c r="BW13" i="3"/>
  <c r="T134" i="2"/>
  <c r="T75" i="2"/>
  <c r="BL125" i="4"/>
  <c r="O24" i="5"/>
  <c r="DN69" i="4"/>
  <c r="DV69" i="4" s="1"/>
  <c r="DR69" i="4"/>
  <c r="DZ69" i="4" s="1"/>
  <c r="BH98" i="3"/>
  <c r="BI6" i="4"/>
  <c r="BK51" i="3"/>
  <c r="BJ51" i="3"/>
  <c r="U71" i="2"/>
  <c r="V71" i="2" s="1"/>
  <c r="S126" i="2"/>
  <c r="BS12" i="3"/>
  <c r="BQ85" i="4"/>
  <c r="BQ125" i="4" s="1"/>
  <c r="BH50" i="3"/>
  <c r="BJ50" i="3"/>
  <c r="BI50" i="3"/>
  <c r="BH56" i="3"/>
  <c r="BI56" i="3" s="1"/>
  <c r="BJ56" i="3" s="1"/>
  <c r="BI96" i="3" s="1"/>
  <c r="BH60" i="3"/>
  <c r="BH14" i="4" s="1"/>
  <c r="BH125" i="4"/>
  <c r="BM125" i="4"/>
  <c r="T56" i="2"/>
  <c r="BJ59" i="3"/>
  <c r="BK59" i="3" s="1"/>
  <c r="M89" i="3"/>
  <c r="M75" i="3"/>
  <c r="W26" i="2"/>
  <c r="BO14" i="3"/>
  <c r="R142" i="2"/>
  <c r="S86" i="2"/>
  <c r="T28" i="2"/>
  <c r="R129" i="2"/>
  <c r="BR12" i="3"/>
  <c r="T137" i="2"/>
  <c r="BZ13" i="3"/>
  <c r="V13" i="2"/>
  <c r="BU12" i="3"/>
  <c r="U58" i="2"/>
  <c r="V58" i="2" s="1"/>
  <c r="S128" i="2"/>
  <c r="BS13" i="3"/>
  <c r="S75" i="2"/>
  <c r="S150" i="2"/>
  <c r="S134" i="2"/>
  <c r="W11" i="2"/>
  <c r="BP12" i="3"/>
  <c r="R127" i="2"/>
  <c r="R60" i="2"/>
  <c r="P83" i="3"/>
  <c r="S137" i="2"/>
  <c r="BV13" i="3"/>
  <c r="T42" i="2"/>
  <c r="S45" i="2"/>
  <c r="S46" i="2" s="1"/>
  <c r="S57" i="2"/>
  <c r="S60" i="2" s="1"/>
  <c r="DU69" i="4"/>
  <c r="BI125" i="4"/>
  <c r="S14" i="2"/>
  <c r="S15" i="2" s="1"/>
  <c r="S135" i="2"/>
  <c r="BT13" i="3"/>
  <c r="U44" i="2"/>
  <c r="W73" i="2"/>
  <c r="CM69" i="4"/>
  <c r="V18" i="5"/>
  <c r="BV76" i="4"/>
  <c r="BZ21" i="4"/>
  <c r="BV3" i="4"/>
  <c r="BV48" i="3"/>
  <c r="BR54" i="4"/>
  <c r="BQ95" i="3" s="1"/>
  <c r="BQ105" i="3" s="1"/>
  <c r="BR92" i="4"/>
  <c r="BU76" i="4"/>
  <c r="BU3" i="4"/>
  <c r="BY21" i="4"/>
  <c r="BU48" i="3"/>
  <c r="BQ92" i="4"/>
  <c r="BQ54" i="4"/>
  <c r="BP95" i="3" s="1"/>
  <c r="BP105" i="3" s="1"/>
  <c r="W18" i="5"/>
  <c r="CQ69" i="4"/>
  <c r="BT76" i="4"/>
  <c r="BX21" i="4"/>
  <c r="BT48" i="3"/>
  <c r="BT3" i="4"/>
  <c r="BP92" i="4"/>
  <c r="BP54" i="4"/>
  <c r="BO95" i="3" s="1"/>
  <c r="BO105" i="3" s="1"/>
  <c r="BT21" i="3"/>
  <c r="BX4" i="3"/>
  <c r="BG14" i="4"/>
  <c r="BG6" i="6"/>
  <c r="BG8" i="6"/>
  <c r="BG11" i="6"/>
  <c r="BG10" i="6"/>
  <c r="BG20" i="6"/>
  <c r="BG9" i="6"/>
  <c r="BG7" i="6"/>
  <c r="BF96" i="3"/>
  <c r="BG10" i="4"/>
  <c r="BH13" i="4"/>
  <c r="BH12" i="4"/>
  <c r="BJ13" i="4"/>
  <c r="BJ12" i="4"/>
  <c r="O87" i="3"/>
  <c r="CH48" i="3"/>
  <c r="CH4" i="3"/>
  <c r="CD21" i="3"/>
  <c r="CC84" i="4"/>
  <c r="CC44" i="3"/>
  <c r="BU84" i="4"/>
  <c r="BU44" i="3"/>
  <c r="CC4" i="3"/>
  <c r="BY21" i="3"/>
  <c r="BG12" i="4"/>
  <c r="BG13" i="4"/>
  <c r="P72" i="3"/>
  <c r="BF16" i="6"/>
  <c r="BF21" i="6"/>
  <c r="BF12" i="6"/>
  <c r="BF25" i="6" s="1"/>
  <c r="BF14" i="6"/>
  <c r="BF13" i="6"/>
  <c r="BF15" i="6"/>
  <c r="BF11" i="4"/>
  <c r="O71" i="3"/>
  <c r="BE101" i="3"/>
  <c r="BI13" i="4"/>
  <c r="BI12" i="4"/>
  <c r="BG21" i="6"/>
  <c r="BG11" i="4"/>
  <c r="BF101" i="3"/>
  <c r="BB36" i="6"/>
  <c r="BF18" i="6"/>
  <c r="BF24" i="6"/>
  <c r="BG15" i="6" l="1"/>
  <c r="BG13" i="6"/>
  <c r="BG14" i="6"/>
  <c r="BH20" i="6"/>
  <c r="BH10" i="4"/>
  <c r="BH6" i="6"/>
  <c r="S153" i="2"/>
  <c r="S129" i="2"/>
  <c r="CG44" i="3"/>
  <c r="W41" i="2"/>
  <c r="BG96" i="3"/>
  <c r="R76" i="2"/>
  <c r="BF19" i="6"/>
  <c r="BF22" i="6" s="1"/>
  <c r="BF23" i="6" s="1"/>
  <c r="BF28" i="6"/>
  <c r="BI57" i="3"/>
  <c r="BI15" i="6" s="1"/>
  <c r="BN45" i="3"/>
  <c r="BN85" i="4"/>
  <c r="BN125" i="4" s="1"/>
  <c r="U137" i="2"/>
  <c r="Q146" i="2"/>
  <c r="Q91" i="2"/>
  <c r="CD13" i="3"/>
  <c r="CD84" i="4" s="1"/>
  <c r="BR44" i="3"/>
  <c r="R83" i="3" s="1"/>
  <c r="BR84" i="4"/>
  <c r="R145" i="2"/>
  <c r="BR14" i="3"/>
  <c r="S89" i="2"/>
  <c r="T89" i="2"/>
  <c r="BF27" i="6"/>
  <c r="P34" i="5"/>
  <c r="BH7" i="6"/>
  <c r="BH9" i="6"/>
  <c r="BI9" i="6" s="1"/>
  <c r="BH8" i="6"/>
  <c r="Q154" i="2"/>
  <c r="Q61" i="2"/>
  <c r="Q69" i="2"/>
  <c r="Q130" i="2"/>
  <c r="BF26" i="6"/>
  <c r="BG16" i="6"/>
  <c r="BH16" i="6" s="1"/>
  <c r="BI16" i="6" s="1"/>
  <c r="BG12" i="6"/>
  <c r="BG19" i="6" s="1"/>
  <c r="T27" i="2"/>
  <c r="U27" i="2" s="1"/>
  <c r="T59" i="2"/>
  <c r="T153" i="2" s="1"/>
  <c r="BH10" i="6"/>
  <c r="BI10" i="6" s="1"/>
  <c r="CE13" i="3"/>
  <c r="V134" i="2"/>
  <c r="V75" i="2"/>
  <c r="BY83" i="4"/>
  <c r="BY39" i="3"/>
  <c r="BH21" i="6"/>
  <c r="BH15" i="6"/>
  <c r="BH14" i="6"/>
  <c r="BH13" i="6"/>
  <c r="BH11" i="4"/>
  <c r="BG101" i="3"/>
  <c r="BS44" i="3"/>
  <c r="BS84" i="4"/>
  <c r="BC36" i="6"/>
  <c r="BH11" i="6"/>
  <c r="BI11" i="6" s="1"/>
  <c r="BJ11" i="6" s="1"/>
  <c r="BH28" i="6"/>
  <c r="BZ84" i="4"/>
  <c r="BZ44" i="3"/>
  <c r="CK13" i="3"/>
  <c r="W136" i="2"/>
  <c r="X73" i="2"/>
  <c r="BJ20" i="6"/>
  <c r="BJ10" i="4"/>
  <c r="P70" i="3"/>
  <c r="P86" i="3" s="1"/>
  <c r="W71" i="2"/>
  <c r="V135" i="2"/>
  <c r="CF13" i="3"/>
  <c r="BK50" i="3"/>
  <c r="BL50" i="3" s="1"/>
  <c r="BR39" i="3"/>
  <c r="BR83" i="4"/>
  <c r="Y29" i="2"/>
  <c r="BJ5" i="4"/>
  <c r="U134" i="2"/>
  <c r="U75" i="2"/>
  <c r="U150" i="2"/>
  <c r="CA13" i="3"/>
  <c r="T45" i="2"/>
  <c r="T46" i="2" s="1"/>
  <c r="BJ98" i="3"/>
  <c r="BK6" i="4"/>
  <c r="U135" i="2"/>
  <c r="CB13" i="3"/>
  <c r="W72" i="2"/>
  <c r="BF99" i="3"/>
  <c r="BG61" i="3"/>
  <c r="BG16" i="4" s="1"/>
  <c r="BG48" i="4" s="1"/>
  <c r="BG68" i="4" s="1"/>
  <c r="BH54" i="3"/>
  <c r="S138" i="2"/>
  <c r="S154" i="2"/>
  <c r="S76" i="2"/>
  <c r="T126" i="2"/>
  <c r="BW12" i="3"/>
  <c r="U56" i="2"/>
  <c r="T150" i="2"/>
  <c r="V56" i="2"/>
  <c r="X26" i="2"/>
  <c r="U143" i="2"/>
  <c r="CB14" i="3"/>
  <c r="P33" i="5"/>
  <c r="T14" i="2"/>
  <c r="BV84" i="4"/>
  <c r="BV44" i="3"/>
  <c r="BK53" i="3"/>
  <c r="BH126" i="4"/>
  <c r="BI126" i="4" s="1"/>
  <c r="BJ126" i="4" s="1"/>
  <c r="BK126" i="4" s="1"/>
  <c r="BL126" i="4" s="1"/>
  <c r="BM126" i="4" s="1"/>
  <c r="BN126" i="4" s="1"/>
  <c r="S61" i="2"/>
  <c r="S130" i="2"/>
  <c r="S69" i="2"/>
  <c r="BG97" i="3"/>
  <c r="BH4" i="4"/>
  <c r="V87" i="2"/>
  <c r="W87" i="2" s="1"/>
  <c r="CG12" i="3"/>
  <c r="V128" i="2"/>
  <c r="CH13" i="3"/>
  <c r="V137" i="2"/>
  <c r="W74" i="2"/>
  <c r="BU39" i="3"/>
  <c r="BU83" i="4"/>
  <c r="BI5" i="4"/>
  <c r="BI103" i="3"/>
  <c r="BJ8" i="4"/>
  <c r="BT45" i="3"/>
  <c r="BT85" i="4"/>
  <c r="S30" i="2"/>
  <c r="BK58" i="3"/>
  <c r="BL58" i="3" s="1"/>
  <c r="O91" i="3"/>
  <c r="O75" i="3"/>
  <c r="BI49" i="3"/>
  <c r="P28" i="5"/>
  <c r="BX45" i="3"/>
  <c r="BX85" i="4"/>
  <c r="O32" i="5"/>
  <c r="O36" i="5" s="1"/>
  <c r="BF48" i="4"/>
  <c r="U42" i="2"/>
  <c r="W13" i="2"/>
  <c r="BM50" i="3"/>
  <c r="V44" i="2"/>
  <c r="W44" i="2" s="1"/>
  <c r="S127" i="2"/>
  <c r="BT12" i="3"/>
  <c r="T57" i="2"/>
  <c r="BH5" i="4"/>
  <c r="P64" i="3"/>
  <c r="BI60" i="3"/>
  <c r="BJ60" i="3" s="1"/>
  <c r="U88" i="2"/>
  <c r="BJ55" i="3"/>
  <c r="R146" i="2"/>
  <c r="R91" i="2"/>
  <c r="S142" i="2"/>
  <c r="BS14" i="3"/>
  <c r="S90" i="2"/>
  <c r="T86" i="2"/>
  <c r="U86" i="2" s="1"/>
  <c r="BI20" i="6"/>
  <c r="BI8" i="6"/>
  <c r="BI6" i="6"/>
  <c r="BJ6" i="6" s="1"/>
  <c r="AZ32" i="6" s="1"/>
  <c r="BI10" i="4"/>
  <c r="BH96" i="3"/>
  <c r="T144" i="2"/>
  <c r="BY14" i="3"/>
  <c r="BX84" i="4"/>
  <c r="BX44" i="3"/>
  <c r="BH100" i="3"/>
  <c r="BI9" i="4"/>
  <c r="BV83" i="4"/>
  <c r="BV39" i="3"/>
  <c r="R130" i="2"/>
  <c r="R69" i="2"/>
  <c r="R61" i="2"/>
  <c r="R154" i="2"/>
  <c r="S151" i="2"/>
  <c r="W58" i="2"/>
  <c r="BO45" i="3"/>
  <c r="BO85" i="4"/>
  <c r="BO125" i="4" s="1"/>
  <c r="BL59" i="3"/>
  <c r="BK56" i="3"/>
  <c r="BJ6" i="4"/>
  <c r="P26" i="5" s="1"/>
  <c r="BI98" i="3"/>
  <c r="P65" i="3"/>
  <c r="P88" i="3" s="1"/>
  <c r="BL51" i="3"/>
  <c r="BU45" i="3"/>
  <c r="BU85" i="4"/>
  <c r="V28" i="2"/>
  <c r="BT84" i="4"/>
  <c r="BT44" i="3"/>
  <c r="T76" i="2"/>
  <c r="T138" i="2"/>
  <c r="BP83" i="4"/>
  <c r="BP125" i="4" s="1"/>
  <c r="BP39" i="3"/>
  <c r="BG102" i="3"/>
  <c r="X11" i="2"/>
  <c r="U28" i="2"/>
  <c r="P73" i="3"/>
  <c r="X12" i="2"/>
  <c r="Y12" i="2" s="1"/>
  <c r="CC12" i="3"/>
  <c r="U128" i="2"/>
  <c r="U152" i="2"/>
  <c r="BS83" i="4"/>
  <c r="BS39" i="3"/>
  <c r="BW44" i="3"/>
  <c r="BW84" i="4"/>
  <c r="U43" i="2"/>
  <c r="CG48" i="3"/>
  <c r="CC21" i="3"/>
  <c r="CG4" i="3"/>
  <c r="CH21" i="3"/>
  <c r="CL4" i="3"/>
  <c r="BH24" i="6"/>
  <c r="BG26" i="6"/>
  <c r="BG27" i="6"/>
  <c r="BG28" i="6"/>
  <c r="BG18" i="6"/>
  <c r="BG24" i="6"/>
  <c r="BX21" i="3"/>
  <c r="CB4" i="3"/>
  <c r="BX76" i="4"/>
  <c r="CB21" i="4"/>
  <c r="BX3" i="4"/>
  <c r="BX48" i="3"/>
  <c r="BT92" i="4"/>
  <c r="BT54" i="4"/>
  <c r="BS95" i="3" s="1"/>
  <c r="BS105" i="3" s="1"/>
  <c r="Y18" i="5"/>
  <c r="CY69" i="4"/>
  <c r="BY76" i="4"/>
  <c r="CC21" i="4"/>
  <c r="BY3" i="4"/>
  <c r="BU54" i="4"/>
  <c r="BT95" i="3" s="1"/>
  <c r="BT105" i="3" s="1"/>
  <c r="BU92" i="4"/>
  <c r="BZ76" i="4"/>
  <c r="CD21" i="4"/>
  <c r="BZ3" i="4"/>
  <c r="BV54" i="4"/>
  <c r="BU95" i="3" s="1"/>
  <c r="BU105" i="3" s="1"/>
  <c r="BV92" i="4"/>
  <c r="X18" i="5"/>
  <c r="CU69" i="4"/>
  <c r="BO126" i="4" l="1"/>
  <c r="BP126" i="4" s="1"/>
  <c r="BQ126" i="4" s="1"/>
  <c r="BG22" i="6"/>
  <c r="BG23" i="6" s="1"/>
  <c r="BJ8" i="6"/>
  <c r="AZ34" i="6" s="1"/>
  <c r="BG25" i="6"/>
  <c r="BH101" i="3"/>
  <c r="T83" i="3"/>
  <c r="BJ57" i="3"/>
  <c r="BK57" i="3" s="1"/>
  <c r="BJ10" i="6"/>
  <c r="CD44" i="3"/>
  <c r="BI11" i="4"/>
  <c r="BZ12" i="3"/>
  <c r="BZ39" i="3" s="1"/>
  <c r="T129" i="2"/>
  <c r="W28" i="2"/>
  <c r="X41" i="2"/>
  <c r="U30" i="2"/>
  <c r="V27" i="2"/>
  <c r="P31" i="5"/>
  <c r="S145" i="2"/>
  <c r="BV14" i="3"/>
  <c r="U89" i="2"/>
  <c r="U90" i="2" s="1"/>
  <c r="BI7" i="6"/>
  <c r="BR45" i="3"/>
  <c r="BR85" i="4"/>
  <c r="BR125" i="4" s="1"/>
  <c r="BR126" i="4" s="1"/>
  <c r="Y73" i="2"/>
  <c r="CS13" i="3" s="1"/>
  <c r="BH26" i="6"/>
  <c r="BH27" i="6"/>
  <c r="BZ14" i="3"/>
  <c r="T145" i="2"/>
  <c r="BG38" i="4"/>
  <c r="BH18" i="6"/>
  <c r="BH12" i="6"/>
  <c r="BH19" i="6" s="1"/>
  <c r="R78" i="3"/>
  <c r="T30" i="2"/>
  <c r="BI13" i="6"/>
  <c r="BI14" i="6"/>
  <c r="BJ14" i="6" s="1"/>
  <c r="BK14" i="6" s="1"/>
  <c r="U59" i="2"/>
  <c r="CD12" i="3" s="1"/>
  <c r="BI21" i="6"/>
  <c r="P71" i="3"/>
  <c r="P91" i="3" s="1"/>
  <c r="BH25" i="6"/>
  <c r="S83" i="3"/>
  <c r="BK8" i="4"/>
  <c r="BJ103" i="3"/>
  <c r="BL53" i="3"/>
  <c r="BM53" i="3"/>
  <c r="W75" i="2"/>
  <c r="CI13" i="3"/>
  <c r="W134" i="2"/>
  <c r="X71" i="2"/>
  <c r="Y71" i="2" s="1"/>
  <c r="Z71" i="2" s="1"/>
  <c r="BM59" i="3"/>
  <c r="CB45" i="3"/>
  <c r="CB85" i="4"/>
  <c r="BM5" i="4"/>
  <c r="CK12" i="3"/>
  <c r="W128" i="2"/>
  <c r="X58" i="2"/>
  <c r="Z26" i="2"/>
  <c r="U142" i="2"/>
  <c r="CA14" i="3"/>
  <c r="BG70" i="4"/>
  <c r="V86" i="2"/>
  <c r="BW14" i="3"/>
  <c r="T142" i="2"/>
  <c r="T90" i="2"/>
  <c r="Y26" i="2"/>
  <c r="CK84" i="4"/>
  <c r="CK44" i="3"/>
  <c r="BK11" i="6"/>
  <c r="BG36" i="6" s="1"/>
  <c r="BK8" i="6"/>
  <c r="BK6" i="6"/>
  <c r="BK10" i="4"/>
  <c r="BJ96" i="3"/>
  <c r="BK20" i="6"/>
  <c r="BK10" i="6"/>
  <c r="BL56" i="3"/>
  <c r="BJ14" i="4"/>
  <c r="BI102" i="3"/>
  <c r="BI14" i="4"/>
  <c r="P35" i="5" s="1"/>
  <c r="BH102" i="3"/>
  <c r="P74" i="3"/>
  <c r="P92" i="3" s="1"/>
  <c r="BK60" i="3"/>
  <c r="BL60" i="3" s="1"/>
  <c r="BL14" i="4" s="1"/>
  <c r="BO50" i="3"/>
  <c r="BL13" i="4"/>
  <c r="BL12" i="4"/>
  <c r="S91" i="2"/>
  <c r="S146" i="2"/>
  <c r="BY45" i="3"/>
  <c r="BY85" i="4"/>
  <c r="BY125" i="4" s="1"/>
  <c r="CF84" i="4"/>
  <c r="CF44" i="3"/>
  <c r="BS45" i="3"/>
  <c r="BS85" i="4"/>
  <c r="BS125" i="4" s="1"/>
  <c r="BL5" i="4"/>
  <c r="BI4" i="4"/>
  <c r="BH97" i="3"/>
  <c r="BK49" i="3"/>
  <c r="P63" i="3"/>
  <c r="BJ49" i="3"/>
  <c r="V30" i="2"/>
  <c r="W27" i="2"/>
  <c r="X27" i="2" s="1"/>
  <c r="BU125" i="4"/>
  <c r="X13" i="2"/>
  <c r="BG99" i="3"/>
  <c r="BH61" i="3"/>
  <c r="BH16" i="4" s="1"/>
  <c r="U45" i="2"/>
  <c r="U46" i="2" s="1"/>
  <c r="V42" i="2"/>
  <c r="CC83" i="4"/>
  <c r="CC39" i="3"/>
  <c r="P25" i="5"/>
  <c r="T15" i="2"/>
  <c r="U14" i="2"/>
  <c r="BE36" i="6"/>
  <c r="BD36" i="6"/>
  <c r="V138" i="2"/>
  <c r="V76" i="2"/>
  <c r="W143" i="2"/>
  <c r="CJ14" i="3"/>
  <c r="T127" i="2"/>
  <c r="BX12" i="3"/>
  <c r="T151" i="2"/>
  <c r="BF38" i="4"/>
  <c r="BF68" i="4"/>
  <c r="CE12" i="3"/>
  <c r="V126" i="2"/>
  <c r="BI24" i="6"/>
  <c r="BT83" i="4"/>
  <c r="BT125" i="4" s="1"/>
  <c r="BT39" i="3"/>
  <c r="S78" i="3" s="1"/>
  <c r="W137" i="2"/>
  <c r="CL13" i="3"/>
  <c r="X74" i="2"/>
  <c r="Y74" i="2" s="1"/>
  <c r="CA84" i="4"/>
  <c r="CA44" i="3"/>
  <c r="BF36" i="6"/>
  <c r="CE44" i="3"/>
  <c r="CE84" i="4"/>
  <c r="BL6" i="4"/>
  <c r="BK98" i="3"/>
  <c r="BM51" i="3"/>
  <c r="BK13" i="4"/>
  <c r="BK12" i="4"/>
  <c r="W56" i="2"/>
  <c r="CB84" i="4"/>
  <c r="CB44" i="3"/>
  <c r="Z29" i="2"/>
  <c r="AA29" i="2" s="1"/>
  <c r="BK21" i="6"/>
  <c r="BK11" i="4"/>
  <c r="BJ101" i="3"/>
  <c r="BL57" i="3"/>
  <c r="BM57" i="3" s="1"/>
  <c r="Z12" i="2"/>
  <c r="AA12" i="2" s="1"/>
  <c r="BI28" i="6"/>
  <c r="BM58" i="3"/>
  <c r="CH84" i="4"/>
  <c r="CH44" i="3"/>
  <c r="X87" i="2"/>
  <c r="Y87" i="2" s="1"/>
  <c r="CA12" i="3"/>
  <c r="U126" i="2"/>
  <c r="U138" i="2"/>
  <c r="U76" i="2"/>
  <c r="Y11" i="2"/>
  <c r="Z11" i="2"/>
  <c r="BI27" i="6"/>
  <c r="BJ54" i="3"/>
  <c r="BW83" i="4"/>
  <c r="BW39" i="3"/>
  <c r="BI12" i="6"/>
  <c r="BJ9" i="6"/>
  <c r="X44" i="2"/>
  <c r="BH48" i="4"/>
  <c r="T60" i="2"/>
  <c r="BI54" i="3"/>
  <c r="X136" i="2"/>
  <c r="CO13" i="3"/>
  <c r="BJ21" i="6"/>
  <c r="BJ15" i="6"/>
  <c r="AZ35" i="6" s="1"/>
  <c r="BJ11" i="4"/>
  <c r="P32" i="5" s="1"/>
  <c r="BI101" i="3"/>
  <c r="BJ13" i="6"/>
  <c r="AZ38" i="6" s="1"/>
  <c r="BJ16" i="6"/>
  <c r="BK16" i="6" s="1"/>
  <c r="V43" i="2"/>
  <c r="U57" i="2"/>
  <c r="BJ9" i="4"/>
  <c r="P30" i="5" s="1"/>
  <c r="BI100" i="3"/>
  <c r="BK55" i="3"/>
  <c r="P69" i="3"/>
  <c r="P90" i="3" s="1"/>
  <c r="Y136" i="2"/>
  <c r="CC14" i="3"/>
  <c r="U144" i="2"/>
  <c r="V88" i="2"/>
  <c r="U129" i="2"/>
  <c r="U153" i="2"/>
  <c r="CG39" i="3"/>
  <c r="CG83" i="4"/>
  <c r="Q64" i="3"/>
  <c r="BK5" i="4"/>
  <c r="BN50" i="3"/>
  <c r="X28" i="2"/>
  <c r="Y28" i="2" s="1"/>
  <c r="W135" i="2"/>
  <c r="CJ13" i="3"/>
  <c r="V143" i="2"/>
  <c r="CF14" i="3"/>
  <c r="X72" i="2"/>
  <c r="Z18" i="5"/>
  <c r="DC69" i="4"/>
  <c r="CD76" i="4"/>
  <c r="CH21" i="4"/>
  <c r="CD3" i="4"/>
  <c r="CD48" i="3"/>
  <c r="BZ54" i="4"/>
  <c r="BY95" i="3" s="1"/>
  <c r="BY105" i="3" s="1"/>
  <c r="BZ92" i="4"/>
  <c r="CG21" i="4"/>
  <c r="CC76" i="4"/>
  <c r="CC48" i="3"/>
  <c r="CC3" i="4"/>
  <c r="BY92" i="4"/>
  <c r="BY54" i="4"/>
  <c r="BX95" i="3" s="1"/>
  <c r="BX105" i="3" s="1"/>
  <c r="AA18" i="5"/>
  <c r="DG69" i="4"/>
  <c r="CB76" i="4"/>
  <c r="CB3" i="4"/>
  <c r="CF21" i="4"/>
  <c r="CB48" i="3"/>
  <c r="BX54" i="4"/>
  <c r="BW95" i="3" s="1"/>
  <c r="BW105" i="3" s="1"/>
  <c r="BX92" i="4"/>
  <c r="CF4" i="3"/>
  <c r="CB21" i="3"/>
  <c r="CP48" i="3"/>
  <c r="CP4" i="3"/>
  <c r="CL21" i="3"/>
  <c r="CG21" i="3"/>
  <c r="CK4" i="3"/>
  <c r="V59" i="2" l="1"/>
  <c r="V129" i="2" s="1"/>
  <c r="BI19" i="6"/>
  <c r="BI26" i="6"/>
  <c r="U60" i="2"/>
  <c r="W59" i="2"/>
  <c r="X59" i="2" s="1"/>
  <c r="BZ83" i="4"/>
  <c r="BI25" i="6"/>
  <c r="AZ37" i="6"/>
  <c r="BK13" i="6"/>
  <c r="Y41" i="2"/>
  <c r="BJ102" i="3"/>
  <c r="BK9" i="6"/>
  <c r="CD14" i="3"/>
  <c r="U145" i="2"/>
  <c r="W89" i="2"/>
  <c r="X89" i="2" s="1"/>
  <c r="BK15" i="6"/>
  <c r="BL15" i="6" s="1"/>
  <c r="BM15" i="6" s="1"/>
  <c r="BZ45" i="3"/>
  <c r="BZ85" i="4"/>
  <c r="BZ125" i="4" s="1"/>
  <c r="BS126" i="4"/>
  <c r="BT126" i="4" s="1"/>
  <c r="BU126" i="4" s="1"/>
  <c r="BV45" i="3"/>
  <c r="BV85" i="4"/>
  <c r="BV125" i="4" s="1"/>
  <c r="BI18" i="6"/>
  <c r="BI22" i="6" s="1"/>
  <c r="BI23" i="6" s="1"/>
  <c r="BJ7" i="6"/>
  <c r="BJ12" i="6"/>
  <c r="BK12" i="6" s="1"/>
  <c r="CH12" i="3"/>
  <c r="V89" i="2"/>
  <c r="Z73" i="2"/>
  <c r="BH22" i="6"/>
  <c r="BH23" i="6" s="1"/>
  <c r="BN55" i="3"/>
  <c r="Q69" i="3" s="1"/>
  <c r="Q90" i="3" s="1"/>
  <c r="Y143" i="2"/>
  <c r="CR14" i="3"/>
  <c r="BH99" i="3"/>
  <c r="BI61" i="3"/>
  <c r="BI16" i="4" s="1"/>
  <c r="BI48" i="4" s="1"/>
  <c r="P68" i="3"/>
  <c r="P89" i="3" s="1"/>
  <c r="V45" i="2"/>
  <c r="V46" i="2" s="1"/>
  <c r="W42" i="2"/>
  <c r="BL54" i="3"/>
  <c r="V142" i="2"/>
  <c r="CE14" i="3"/>
  <c r="V90" i="2"/>
  <c r="Y58" i="2"/>
  <c r="BK54" i="3"/>
  <c r="Z28" i="2"/>
  <c r="CN13" i="3"/>
  <c r="X135" i="2"/>
  <c r="U130" i="2"/>
  <c r="U69" i="2"/>
  <c r="U61" i="2"/>
  <c r="BH38" i="4"/>
  <c r="BH68" i="4"/>
  <c r="BM12" i="4"/>
  <c r="BM13" i="4"/>
  <c r="BN59" i="3"/>
  <c r="W126" i="2"/>
  <c r="CI12" i="3"/>
  <c r="X56" i="2"/>
  <c r="V83" i="3"/>
  <c r="Y27" i="2"/>
  <c r="Y30" i="2" s="1"/>
  <c r="Z134" i="2"/>
  <c r="CU13" i="3"/>
  <c r="BN5" i="4"/>
  <c r="Q25" i="5" s="1"/>
  <c r="CC45" i="3"/>
  <c r="CC85" i="4"/>
  <c r="CC125" i="4" s="1"/>
  <c r="BL55" i="3"/>
  <c r="W30" i="2"/>
  <c r="BK4" i="4"/>
  <c r="BJ97" i="3"/>
  <c r="AA71" i="2"/>
  <c r="AB71" i="2" s="1"/>
  <c r="BI99" i="3"/>
  <c r="BJ61" i="3"/>
  <c r="BJ16" i="4" s="1"/>
  <c r="BL103" i="3"/>
  <c r="BM8" i="4"/>
  <c r="CJ45" i="3"/>
  <c r="CJ85" i="4"/>
  <c r="Y72" i="2"/>
  <c r="Z72" i="2" s="1"/>
  <c r="Y13" i="2"/>
  <c r="Y134" i="2"/>
  <c r="CQ13" i="3"/>
  <c r="BM56" i="3"/>
  <c r="AA11" i="2"/>
  <c r="AB11" i="2" s="1"/>
  <c r="U83" i="3"/>
  <c r="CE83" i="4"/>
  <c r="CE39" i="3"/>
  <c r="CK39" i="3"/>
  <c r="CK83" i="4"/>
  <c r="W86" i="2"/>
  <c r="X86" i="2" s="1"/>
  <c r="CO84" i="4"/>
  <c r="CO44" i="3"/>
  <c r="CA83" i="4"/>
  <c r="CA39" i="3"/>
  <c r="BW45" i="3"/>
  <c r="BW85" i="4"/>
  <c r="BW125" i="4" s="1"/>
  <c r="P87" i="3"/>
  <c r="BM11" i="4"/>
  <c r="BM21" i="6"/>
  <c r="BL101" i="3"/>
  <c r="BK9" i="4"/>
  <c r="BJ100" i="3"/>
  <c r="X128" i="2"/>
  <c r="CO12" i="3"/>
  <c r="AB12" i="2"/>
  <c r="U15" i="2"/>
  <c r="V14" i="2"/>
  <c r="W14" i="2"/>
  <c r="BK14" i="4"/>
  <c r="U146" i="2"/>
  <c r="U91" i="2"/>
  <c r="BX83" i="4"/>
  <c r="BX125" i="4" s="1"/>
  <c r="BX39" i="3"/>
  <c r="T78" i="3" s="1"/>
  <c r="CN14" i="3"/>
  <c r="X143" i="2"/>
  <c r="BP50" i="3"/>
  <c r="CA45" i="3"/>
  <c r="CA85" i="4"/>
  <c r="X134" i="2"/>
  <c r="X75" i="2"/>
  <c r="CM13" i="3"/>
  <c r="Y137" i="2"/>
  <c r="CT13" i="3"/>
  <c r="BM6" i="4"/>
  <c r="BL98" i="3"/>
  <c r="BN51" i="3"/>
  <c r="Q65" i="3"/>
  <c r="Q88" i="3" s="1"/>
  <c r="T91" i="2"/>
  <c r="T146" i="2"/>
  <c r="CB12" i="3"/>
  <c r="U127" i="2"/>
  <c r="U151" i="2"/>
  <c r="X30" i="2"/>
  <c r="Z87" i="2"/>
  <c r="AA87" i="2" s="1"/>
  <c r="CF45" i="3"/>
  <c r="CF85" i="4"/>
  <c r="W129" i="2"/>
  <c r="BN57" i="3"/>
  <c r="BO57" i="3" s="1"/>
  <c r="BF70" i="4"/>
  <c r="O17" i="5"/>
  <c r="O19" i="5" s="1"/>
  <c r="BF73" i="4"/>
  <c r="BJ4" i="4"/>
  <c r="BI97" i="3"/>
  <c r="BL49" i="3"/>
  <c r="T69" i="2"/>
  <c r="T130" i="2"/>
  <c r="T61" i="2"/>
  <c r="T154" i="2"/>
  <c r="BL10" i="4"/>
  <c r="BK96" i="3"/>
  <c r="BL10" i="6"/>
  <c r="BL6" i="6"/>
  <c r="BL8" i="6"/>
  <c r="BL9" i="6"/>
  <c r="BL20" i="6"/>
  <c r="BL11" i="6"/>
  <c r="BH36" i="6" s="1"/>
  <c r="P24" i="5"/>
  <c r="P36" i="5" s="1"/>
  <c r="AB29" i="2"/>
  <c r="AC29" i="2" s="1"/>
  <c r="U154" i="2"/>
  <c r="BL16" i="6"/>
  <c r="BM16" i="6" s="1"/>
  <c r="BL13" i="6"/>
  <c r="BM13" i="6" s="1"/>
  <c r="BK101" i="3"/>
  <c r="BL11" i="4"/>
  <c r="BL14" i="6"/>
  <c r="BM14" i="6" s="1"/>
  <c r="BL21" i="6"/>
  <c r="BN58" i="3"/>
  <c r="Q72" i="3" s="1"/>
  <c r="CI84" i="4"/>
  <c r="CI44" i="3"/>
  <c r="CJ84" i="4"/>
  <c r="CJ44" i="3"/>
  <c r="BO5" i="4"/>
  <c r="Y44" i="2"/>
  <c r="BM60" i="3"/>
  <c r="BL102" i="3" s="1"/>
  <c r="W138" i="2"/>
  <c r="W76" i="2"/>
  <c r="BN53" i="3"/>
  <c r="X137" i="2"/>
  <c r="CP13" i="3"/>
  <c r="Z74" i="2"/>
  <c r="CL84" i="4"/>
  <c r="CL44" i="3"/>
  <c r="CD83" i="4"/>
  <c r="CD39" i="3"/>
  <c r="W43" i="2"/>
  <c r="V144" i="2"/>
  <c r="CG14" i="3"/>
  <c r="W88" i="2"/>
  <c r="CS84" i="4"/>
  <c r="CS44" i="3"/>
  <c r="BM55" i="3"/>
  <c r="V57" i="2"/>
  <c r="CH83" i="4"/>
  <c r="CH39" i="3"/>
  <c r="AA26" i="2"/>
  <c r="AB26" i="2" s="1"/>
  <c r="BK102" i="3"/>
  <c r="BL8" i="4"/>
  <c r="BK103" i="3"/>
  <c r="CK21" i="3"/>
  <c r="CO4" i="3"/>
  <c r="CO48" i="3"/>
  <c r="CT4" i="3"/>
  <c r="CP21" i="3"/>
  <c r="CF21" i="3"/>
  <c r="CJ4" i="3"/>
  <c r="CF76" i="4"/>
  <c r="CJ21" i="4"/>
  <c r="CF48" i="3"/>
  <c r="CF3" i="4"/>
  <c r="CB92" i="4"/>
  <c r="CB54" i="4"/>
  <c r="CA95" i="3" s="1"/>
  <c r="CA105" i="3" s="1"/>
  <c r="AC18" i="5"/>
  <c r="DO69" i="4"/>
  <c r="CC92" i="4"/>
  <c r="CC54" i="4"/>
  <c r="CB95" i="3" s="1"/>
  <c r="CB105" i="3" s="1"/>
  <c r="CK21" i="4"/>
  <c r="CG76" i="4"/>
  <c r="CG3" i="4"/>
  <c r="CL21" i="4"/>
  <c r="CH3" i="4"/>
  <c r="CH76" i="4"/>
  <c r="CD92" i="4"/>
  <c r="CD54" i="4"/>
  <c r="CC95" i="3" s="1"/>
  <c r="CC105" i="3" s="1"/>
  <c r="AB18" i="5"/>
  <c r="DK69" i="4"/>
  <c r="BK19" i="6" l="1"/>
  <c r="CL12" i="3"/>
  <c r="AZ33" i="6"/>
  <c r="AZ39" i="6" s="1"/>
  <c r="BV126" i="4"/>
  <c r="BJ18" i="6"/>
  <c r="Z41" i="2"/>
  <c r="AC71" i="2"/>
  <c r="AD71" i="2" s="1"/>
  <c r="Y59" i="2"/>
  <c r="BK7" i="6"/>
  <c r="BK18" i="6" s="1"/>
  <c r="BK22" i="6" s="1"/>
  <c r="BK23" i="6" s="1"/>
  <c r="BL12" i="6"/>
  <c r="BM12" i="6" s="1"/>
  <c r="BM19" i="6" s="1"/>
  <c r="X129" i="2"/>
  <c r="CP14" i="3"/>
  <c r="X145" i="2"/>
  <c r="Z27" i="2"/>
  <c r="CP12" i="3"/>
  <c r="CP83" i="4" s="1"/>
  <c r="W145" i="2"/>
  <c r="CL14" i="3"/>
  <c r="BW126" i="4"/>
  <c r="BX126" i="4" s="1"/>
  <c r="BY126" i="4" s="1"/>
  <c r="BZ126" i="4" s="1"/>
  <c r="CA126" i="4" s="1"/>
  <c r="BL7" i="6"/>
  <c r="BM7" i="6" s="1"/>
  <c r="Z89" i="2"/>
  <c r="CD85" i="4"/>
  <c r="CD125" i="4" s="1"/>
  <c r="CD45" i="3"/>
  <c r="BJ19" i="6"/>
  <c r="CA125" i="4"/>
  <c r="CW13" i="3"/>
  <c r="Z136" i="2"/>
  <c r="V145" i="2"/>
  <c r="CH14" i="3"/>
  <c r="Y89" i="2"/>
  <c r="BJ48" i="4"/>
  <c r="BJ68" i="4" s="1"/>
  <c r="BJ70" i="4" s="1"/>
  <c r="W83" i="3"/>
  <c r="AA73" i="2"/>
  <c r="Q28" i="5"/>
  <c r="BI38" i="4"/>
  <c r="BI68" i="4"/>
  <c r="BI70" i="4" s="1"/>
  <c r="Y128" i="2"/>
  <c r="CS12" i="3"/>
  <c r="W15" i="2"/>
  <c r="CE45" i="3"/>
  <c r="CE85" i="4"/>
  <c r="CE125" i="4" s="1"/>
  <c r="X138" i="2"/>
  <c r="X76" i="2"/>
  <c r="CU84" i="4"/>
  <c r="CU44" i="3"/>
  <c r="BM54" i="3"/>
  <c r="CN45" i="3"/>
  <c r="CN85" i="4"/>
  <c r="V15" i="2"/>
  <c r="Y135" i="2"/>
  <c r="CR13" i="3"/>
  <c r="AA72" i="2"/>
  <c r="CX13" i="3"/>
  <c r="Z137" i="2"/>
  <c r="W45" i="2"/>
  <c r="W46" i="2" s="1"/>
  <c r="V146" i="2"/>
  <c r="V91" i="2"/>
  <c r="AB87" i="2"/>
  <c r="W144" i="2"/>
  <c r="CK14" i="3"/>
  <c r="X88" i="2"/>
  <c r="X90" i="2" s="1"/>
  <c r="X142" i="2"/>
  <c r="CM14" i="3"/>
  <c r="AC87" i="2"/>
  <c r="CI14" i="3"/>
  <c r="W142" i="2"/>
  <c r="W90" i="2"/>
  <c r="Y86" i="2"/>
  <c r="Z86" i="2" s="1"/>
  <c r="CR45" i="3"/>
  <c r="CR85" i="4"/>
  <c r="BN8" i="4"/>
  <c r="BM103" i="3"/>
  <c r="BO53" i="3"/>
  <c r="Q67" i="3"/>
  <c r="BM14" i="4"/>
  <c r="BM9" i="4"/>
  <c r="BL100" i="3"/>
  <c r="BJ38" i="4"/>
  <c r="CV14" i="3"/>
  <c r="Z143" i="2"/>
  <c r="BM11" i="6"/>
  <c r="BM10" i="6"/>
  <c r="BM9" i="6"/>
  <c r="BM6" i="6"/>
  <c r="BM10" i="4"/>
  <c r="BL96" i="3"/>
  <c r="BM8" i="6"/>
  <c r="BM20" i="6"/>
  <c r="BN56" i="3"/>
  <c r="BH70" i="4"/>
  <c r="BJ99" i="3"/>
  <c r="BK61" i="3"/>
  <c r="BK16" i="4" s="1"/>
  <c r="BK48" i="4" s="1"/>
  <c r="CN84" i="4"/>
  <c r="CN44" i="3"/>
  <c r="CM44" i="3"/>
  <c r="CM84" i="4"/>
  <c r="CP44" i="3"/>
  <c r="CP84" i="4"/>
  <c r="CB83" i="4"/>
  <c r="CB125" i="4" s="1"/>
  <c r="CB39" i="3"/>
  <c r="U78" i="3" s="1"/>
  <c r="BN15" i="6"/>
  <c r="BO15" i="6" s="1"/>
  <c r="BM101" i="3"/>
  <c r="BN11" i="4"/>
  <c r="Q32" i="5" s="1"/>
  <c r="BN14" i="6"/>
  <c r="BO14" i="6" s="1"/>
  <c r="BN16" i="6"/>
  <c r="BO16" i="6" s="1"/>
  <c r="BN21" i="6"/>
  <c r="BN13" i="6"/>
  <c r="BO13" i="6" s="1"/>
  <c r="BP57" i="3"/>
  <c r="BM100" i="3"/>
  <c r="BN9" i="4"/>
  <c r="BK97" i="3"/>
  <c r="BL4" i="4"/>
  <c r="BM49" i="3"/>
  <c r="CG45" i="3"/>
  <c r="CG85" i="4"/>
  <c r="AC134" i="2"/>
  <c r="DG13" i="3"/>
  <c r="AD29" i="2"/>
  <c r="AC26" i="2"/>
  <c r="AD26" i="2" s="1"/>
  <c r="AC11" i="2"/>
  <c r="BO21" i="6"/>
  <c r="BN101" i="3"/>
  <c r="BO11" i="4"/>
  <c r="CV13" i="3"/>
  <c r="Z135" i="2"/>
  <c r="CF12" i="3"/>
  <c r="V127" i="2"/>
  <c r="W57" i="2"/>
  <c r="V60" i="2"/>
  <c r="BK99" i="3"/>
  <c r="BL61" i="3"/>
  <c r="BL16" i="4" s="1"/>
  <c r="Z13" i="2"/>
  <c r="CT84" i="4"/>
  <c r="CT44" i="3"/>
  <c r="BN6" i="4"/>
  <c r="Q26" i="5" s="1"/>
  <c r="BM98" i="3"/>
  <c r="BO51" i="3"/>
  <c r="CO83" i="4"/>
  <c r="CO39" i="3"/>
  <c r="Y75" i="2"/>
  <c r="BL9" i="4"/>
  <c r="Q30" i="5" s="1"/>
  <c r="BK100" i="3"/>
  <c r="BO55" i="3"/>
  <c r="CM12" i="3"/>
  <c r="X126" i="2"/>
  <c r="Y56" i="2"/>
  <c r="Z56" i="2" s="1"/>
  <c r="CL83" i="4"/>
  <c r="CL39" i="3"/>
  <c r="X14" i="2"/>
  <c r="Y14" i="2" s="1"/>
  <c r="Z75" i="2"/>
  <c r="Z58" i="2"/>
  <c r="AA58" i="2" s="1"/>
  <c r="X43" i="2"/>
  <c r="Q71" i="3"/>
  <c r="Q91" i="3" s="1"/>
  <c r="BN13" i="4"/>
  <c r="Q34" i="5" s="1"/>
  <c r="BN12" i="4"/>
  <c r="Q33" i="5" s="1"/>
  <c r="BO58" i="3"/>
  <c r="BN60" i="3"/>
  <c r="O20" i="5"/>
  <c r="O21" i="5"/>
  <c r="O39" i="5"/>
  <c r="P75" i="3"/>
  <c r="CQ84" i="4"/>
  <c r="CQ44" i="3"/>
  <c r="CY13" i="3"/>
  <c r="AA134" i="2"/>
  <c r="BP55" i="3"/>
  <c r="AA28" i="2"/>
  <c r="CZ14" i="3"/>
  <c r="AA143" i="2"/>
  <c r="AA74" i="2"/>
  <c r="BF50" i="4"/>
  <c r="BG50" i="4" s="1"/>
  <c r="BF49" i="4"/>
  <c r="BG49" i="4" s="1"/>
  <c r="AB134" i="2"/>
  <c r="DC13" i="3"/>
  <c r="CI83" i="4"/>
  <c r="CI39" i="3"/>
  <c r="Z44" i="2"/>
  <c r="AA44" i="2" s="1"/>
  <c r="Q73" i="3"/>
  <c r="BO59" i="3"/>
  <c r="BP5" i="4"/>
  <c r="BQ50" i="3"/>
  <c r="AC12" i="2"/>
  <c r="X42" i="2"/>
  <c r="AD18" i="5"/>
  <c r="DS69" i="4"/>
  <c r="AF18" i="5" s="1"/>
  <c r="CH92" i="4"/>
  <c r="CH54" i="4"/>
  <c r="CG95" i="3" s="1"/>
  <c r="CG105" i="3" s="1"/>
  <c r="CL76" i="4"/>
  <c r="CL3" i="4"/>
  <c r="CL48" i="3"/>
  <c r="CP21" i="4"/>
  <c r="CG92" i="4"/>
  <c r="CG54" i="4"/>
  <c r="CF95" i="3" s="1"/>
  <c r="CF105" i="3" s="1"/>
  <c r="CK76" i="4"/>
  <c r="CO21" i="4"/>
  <c r="CK3" i="4"/>
  <c r="CK48" i="3"/>
  <c r="AE18" i="5"/>
  <c r="DW69" i="4"/>
  <c r="AG18" i="5" s="1"/>
  <c r="CN21" i="4"/>
  <c r="CJ3" i="4"/>
  <c r="CJ76" i="4"/>
  <c r="CJ48" i="3"/>
  <c r="CF92" i="4"/>
  <c r="CF54" i="4"/>
  <c r="CE95" i="3" s="1"/>
  <c r="CE105" i="3" s="1"/>
  <c r="CJ21" i="3"/>
  <c r="CN4" i="3"/>
  <c r="CX48" i="3"/>
  <c r="CX4" i="3"/>
  <c r="CT21" i="3"/>
  <c r="CS4" i="3"/>
  <c r="CO21" i="3"/>
  <c r="BL19" i="6" l="1"/>
  <c r="BJ22" i="6"/>
  <c r="BJ23" i="6" s="1"/>
  <c r="Z30" i="2"/>
  <c r="CB126" i="4"/>
  <c r="CC126" i="4" s="1"/>
  <c r="AA41" i="2"/>
  <c r="BG73" i="4"/>
  <c r="AA27" i="2"/>
  <c r="AB27" i="2" s="1"/>
  <c r="AC27" i="2" s="1"/>
  <c r="AD27" i="2" s="1"/>
  <c r="Y15" i="2"/>
  <c r="Z14" i="2"/>
  <c r="AA14" i="2" s="1"/>
  <c r="AB58" i="2"/>
  <c r="AC58" i="2" s="1"/>
  <c r="CD126" i="4"/>
  <c r="CE126" i="4" s="1"/>
  <c r="AD134" i="2"/>
  <c r="DK13" i="3"/>
  <c r="DK44" i="3" s="1"/>
  <c r="AE71" i="2"/>
  <c r="AF71" i="2" s="1"/>
  <c r="Z145" i="2"/>
  <c r="CX14" i="3"/>
  <c r="AA89" i="2"/>
  <c r="CP45" i="3"/>
  <c r="CP85" i="4"/>
  <c r="BH50" i="4"/>
  <c r="BI50" i="4" s="1"/>
  <c r="BJ50" i="4" s="1"/>
  <c r="Y145" i="2"/>
  <c r="CT14" i="3"/>
  <c r="CH45" i="3"/>
  <c r="CH85" i="4"/>
  <c r="CH125" i="4" s="1"/>
  <c r="BH49" i="4"/>
  <c r="BI49" i="4" s="1"/>
  <c r="BJ49" i="4" s="1"/>
  <c r="Y129" i="2"/>
  <c r="CT12" i="3"/>
  <c r="Z59" i="2"/>
  <c r="CL45" i="3"/>
  <c r="CL85" i="4"/>
  <c r="DA13" i="3"/>
  <c r="AA136" i="2"/>
  <c r="BL18" i="6"/>
  <c r="BL22" i="6" s="1"/>
  <c r="BL23" i="6" s="1"/>
  <c r="BN12" i="6"/>
  <c r="BO12" i="6" s="1"/>
  <c r="BO19" i="6" s="1"/>
  <c r="CP39" i="3"/>
  <c r="CW84" i="4"/>
  <c r="CW44" i="3"/>
  <c r="AA59" i="2"/>
  <c r="AB73" i="2"/>
  <c r="Q68" i="3"/>
  <c r="Q89" i="3" s="1"/>
  <c r="DB13" i="3"/>
  <c r="AA137" i="2"/>
  <c r="Y76" i="2"/>
  <c r="Y138" i="2"/>
  <c r="BO54" i="3"/>
  <c r="BO56" i="3"/>
  <c r="BP56" i="3" s="1"/>
  <c r="BK38" i="4"/>
  <c r="BK68" i="4"/>
  <c r="X45" i="2"/>
  <c r="X46" i="2" s="1"/>
  <c r="Y42" i="2"/>
  <c r="Z42" i="2" s="1"/>
  <c r="BQ57" i="3"/>
  <c r="BM18" i="6"/>
  <c r="BM22" i="6" s="1"/>
  <c r="BM23" i="6" s="1"/>
  <c r="AD11" i="2"/>
  <c r="AE11" i="2" s="1"/>
  <c r="AF11" i="2" s="1"/>
  <c r="CZ45" i="3"/>
  <c r="CZ85" i="4"/>
  <c r="AA13" i="2"/>
  <c r="Z15" i="2"/>
  <c r="CZ13" i="3"/>
  <c r="AA135" i="2"/>
  <c r="AB72" i="2"/>
  <c r="AC72" i="2" s="1"/>
  <c r="BP59" i="3"/>
  <c r="CQ12" i="3"/>
  <c r="Y126" i="2"/>
  <c r="AA56" i="2"/>
  <c r="DG84" i="4"/>
  <c r="DG44" i="3"/>
  <c r="BL48" i="4"/>
  <c r="CR44" i="3"/>
  <c r="Y83" i="3" s="1"/>
  <c r="CR84" i="4"/>
  <c r="V69" i="2"/>
  <c r="V61" i="2"/>
  <c r="V130" i="2"/>
  <c r="BM61" i="3"/>
  <c r="BM16" i="4" s="1"/>
  <c r="BL99" i="3"/>
  <c r="BN54" i="3"/>
  <c r="AB44" i="2"/>
  <c r="CV84" i="4"/>
  <c r="CV44" i="3"/>
  <c r="DC84" i="4"/>
  <c r="DC44" i="3"/>
  <c r="BO100" i="3"/>
  <c r="BP9" i="4"/>
  <c r="CW12" i="3"/>
  <c r="Z128" i="2"/>
  <c r="CU12" i="3"/>
  <c r="Z126" i="2"/>
  <c r="BO8" i="4"/>
  <c r="BN103" i="3"/>
  <c r="BP53" i="3"/>
  <c r="W127" i="2"/>
  <c r="CJ12" i="3"/>
  <c r="W60" i="2"/>
  <c r="BN14" i="4"/>
  <c r="Q35" i="5" s="1"/>
  <c r="BO60" i="3"/>
  <c r="BP60" i="3"/>
  <c r="Q74" i="3"/>
  <c r="Q92" i="3" s="1"/>
  <c r="Z138" i="2"/>
  <c r="Z76" i="2"/>
  <c r="P17" i="5"/>
  <c r="P19" i="5" s="1"/>
  <c r="CU14" i="3"/>
  <c r="Z142" i="2"/>
  <c r="BM4" i="4"/>
  <c r="BL97" i="3"/>
  <c r="Q63" i="3"/>
  <c r="BP15" i="6"/>
  <c r="BP21" i="6"/>
  <c r="BO101" i="3"/>
  <c r="BP13" i="6"/>
  <c r="BP16" i="6"/>
  <c r="BP14" i="6"/>
  <c r="BP11" i="4"/>
  <c r="X15" i="2"/>
  <c r="CQ14" i="3"/>
  <c r="Y142" i="2"/>
  <c r="X146" i="2"/>
  <c r="X91" i="2"/>
  <c r="AD87" i="2"/>
  <c r="CX84" i="4"/>
  <c r="CX44" i="3"/>
  <c r="BN19" i="6"/>
  <c r="AA86" i="2"/>
  <c r="AB86" i="2" s="1"/>
  <c r="AC86" i="2" s="1"/>
  <c r="BQ5" i="4"/>
  <c r="BR50" i="3"/>
  <c r="AE26" i="2"/>
  <c r="AF26" i="2" s="1"/>
  <c r="Y43" i="2"/>
  <c r="AE29" i="2"/>
  <c r="AF29" i="2" s="1"/>
  <c r="AA75" i="2"/>
  <c r="CM39" i="3"/>
  <c r="CM83" i="4"/>
  <c r="AD12" i="2"/>
  <c r="AE12" i="2"/>
  <c r="CY84" i="4"/>
  <c r="CY44" i="3"/>
  <c r="CG125" i="4"/>
  <c r="CV45" i="3"/>
  <c r="CV85" i="4"/>
  <c r="W91" i="2"/>
  <c r="W146" i="2"/>
  <c r="CS83" i="4"/>
  <c r="CS39" i="3"/>
  <c r="DA12" i="3"/>
  <c r="AA128" i="2"/>
  <c r="X144" i="2"/>
  <c r="CO14" i="3"/>
  <c r="Y88" i="2"/>
  <c r="Z88" i="2" s="1"/>
  <c r="CK45" i="3"/>
  <c r="CK85" i="4"/>
  <c r="AA30" i="2"/>
  <c r="X83" i="3"/>
  <c r="BM102" i="3"/>
  <c r="DD14" i="3"/>
  <c r="AB143" i="2"/>
  <c r="AB28" i="2"/>
  <c r="BN11" i="6"/>
  <c r="BN10" i="6"/>
  <c r="BA38" i="6" s="1"/>
  <c r="BN9" i="6"/>
  <c r="BA37" i="6" s="1"/>
  <c r="BN6" i="6"/>
  <c r="BN8" i="6"/>
  <c r="BA35" i="6" s="1"/>
  <c r="BN7" i="6"/>
  <c r="BN20" i="6"/>
  <c r="BN10" i="4"/>
  <c r="Q31" i="5" s="1"/>
  <c r="BM96" i="3"/>
  <c r="DH14" i="3"/>
  <c r="AC143" i="2"/>
  <c r="CM45" i="3"/>
  <c r="CM85" i="4"/>
  <c r="CF83" i="4"/>
  <c r="CF125" i="4" s="1"/>
  <c r="CF126" i="4" s="1"/>
  <c r="CF39" i="3"/>
  <c r="V78" i="3" s="1"/>
  <c r="AB74" i="2"/>
  <c r="BN49" i="3"/>
  <c r="BO13" i="4"/>
  <c r="BO12" i="4"/>
  <c r="BP58" i="3"/>
  <c r="BO9" i="4"/>
  <c r="BN100" i="3"/>
  <c r="BQ55" i="3"/>
  <c r="BO6" i="4"/>
  <c r="BN98" i="3"/>
  <c r="BP51" i="3"/>
  <c r="X57" i="2"/>
  <c r="CI45" i="3"/>
  <c r="CI85" i="4"/>
  <c r="CI125" i="4" s="1"/>
  <c r="Q70" i="3"/>
  <c r="Q86" i="3" s="1"/>
  <c r="CW48" i="3"/>
  <c r="CW4" i="3"/>
  <c r="CS21" i="3"/>
  <c r="CX21" i="3"/>
  <c r="DB4" i="3"/>
  <c r="CR4" i="3"/>
  <c r="CN21" i="3"/>
  <c r="CJ92" i="4"/>
  <c r="CJ54" i="4"/>
  <c r="CI95" i="3" s="1"/>
  <c r="CI105" i="3" s="1"/>
  <c r="CR21" i="4"/>
  <c r="CN76" i="4"/>
  <c r="CN3" i="4"/>
  <c r="CN48" i="3"/>
  <c r="CO76" i="4"/>
  <c r="CO3" i="4"/>
  <c r="CS21" i="4"/>
  <c r="CK92" i="4"/>
  <c r="CK54" i="4"/>
  <c r="CJ95" i="3" s="1"/>
  <c r="CJ105" i="3" s="1"/>
  <c r="CP3" i="4"/>
  <c r="CP76" i="4"/>
  <c r="CT21" i="4"/>
  <c r="CL92" i="4"/>
  <c r="CL125" i="4" s="1"/>
  <c r="CL54" i="4"/>
  <c r="CK95" i="3" s="1"/>
  <c r="CK105" i="3" s="1"/>
  <c r="Z83" i="3" l="1"/>
  <c r="AC44" i="2"/>
  <c r="AD44" i="2" s="1"/>
  <c r="AB128" i="2"/>
  <c r="DE12" i="3"/>
  <c r="DK84" i="4"/>
  <c r="CG126" i="4"/>
  <c r="CH126" i="4" s="1"/>
  <c r="CI126" i="4" s="1"/>
  <c r="AB89" i="2"/>
  <c r="AB41" i="2"/>
  <c r="AC41" i="2" s="1"/>
  <c r="AG71" i="2"/>
  <c r="AH71" i="2" s="1"/>
  <c r="AE27" i="2"/>
  <c r="AF27" i="2" s="1"/>
  <c r="AD58" i="2"/>
  <c r="AD128" i="2" s="1"/>
  <c r="AC128" i="2"/>
  <c r="DI12" i="3"/>
  <c r="DI39" i="3" s="1"/>
  <c r="AB14" i="2"/>
  <c r="AD14" i="2" s="1"/>
  <c r="AC14" i="2"/>
  <c r="BA33" i="6"/>
  <c r="AC73" i="2"/>
  <c r="BQ58" i="3"/>
  <c r="BR58" i="3" s="1"/>
  <c r="CT45" i="3"/>
  <c r="CT85" i="4"/>
  <c r="CX45" i="3"/>
  <c r="CX85" i="4"/>
  <c r="Z129" i="2"/>
  <c r="CX12" i="3"/>
  <c r="AB59" i="2"/>
  <c r="AC59" i="2"/>
  <c r="DA44" i="3"/>
  <c r="DA84" i="4"/>
  <c r="AE134" i="2"/>
  <c r="DO13" i="3"/>
  <c r="DO84" i="4" s="1"/>
  <c r="BR57" i="3"/>
  <c r="R71" i="3" s="1"/>
  <c r="R91" i="3" s="1"/>
  <c r="CT39" i="3"/>
  <c r="CT83" i="4"/>
  <c r="DF14" i="3"/>
  <c r="AB145" i="2"/>
  <c r="AA129" i="2"/>
  <c r="DB12" i="3"/>
  <c r="AA145" i="2"/>
  <c r="DB14" i="3"/>
  <c r="BQ56" i="3"/>
  <c r="AB136" i="2"/>
  <c r="DE13" i="3"/>
  <c r="BP12" i="6"/>
  <c r="AG26" i="2"/>
  <c r="DG14" i="3"/>
  <c r="AC142" i="2"/>
  <c r="BN18" i="6"/>
  <c r="BN22" i="6"/>
  <c r="BN23" i="6" s="1"/>
  <c r="CW14" i="3"/>
  <c r="Z144" i="2"/>
  <c r="AA88" i="2"/>
  <c r="Q87" i="3"/>
  <c r="Q75" i="3"/>
  <c r="DD13" i="3"/>
  <c r="AB135" i="2"/>
  <c r="AB75" i="2"/>
  <c r="DB84" i="4"/>
  <c r="DB44" i="3"/>
  <c r="X127" i="2"/>
  <c r="CN12" i="3"/>
  <c r="X60" i="2"/>
  <c r="Y57" i="2"/>
  <c r="CO45" i="3"/>
  <c r="CO85" i="4"/>
  <c r="DL14" i="3"/>
  <c r="AD143" i="2"/>
  <c r="CU83" i="4"/>
  <c r="CU39" i="3"/>
  <c r="BL38" i="4"/>
  <c r="BL68" i="4"/>
  <c r="BL70" i="4" s="1"/>
  <c r="CZ84" i="4"/>
  <c r="CZ44" i="3"/>
  <c r="AE87" i="2"/>
  <c r="BQ20" i="6"/>
  <c r="BQ10" i="4"/>
  <c r="BP96" i="3"/>
  <c r="DH13" i="3"/>
  <c r="AC135" i="2"/>
  <c r="AD72" i="2"/>
  <c r="DH45" i="3"/>
  <c r="DH85" i="4"/>
  <c r="DD45" i="3"/>
  <c r="DD85" i="4"/>
  <c r="W130" i="2"/>
  <c r="W61" i="2"/>
  <c r="W69" i="2"/>
  <c r="AF12" i="2"/>
  <c r="BA34" i="6"/>
  <c r="BM48" i="4"/>
  <c r="AB13" i="2"/>
  <c r="AC13" i="2" s="1"/>
  <c r="AD13" i="2" s="1"/>
  <c r="AA15" i="2"/>
  <c r="CW83" i="4"/>
  <c r="CW39" i="3"/>
  <c r="Y45" i="2"/>
  <c r="Y46" i="2" s="1"/>
  <c r="BO10" i="4"/>
  <c r="BO10" i="6"/>
  <c r="BP10" i="6" s="1"/>
  <c r="BO6" i="6"/>
  <c r="BO20" i="6"/>
  <c r="BO11" i="6"/>
  <c r="BO7" i="6"/>
  <c r="BN96" i="3"/>
  <c r="BO8" i="6"/>
  <c r="BO9" i="6"/>
  <c r="BR56" i="3"/>
  <c r="R70" i="3" s="1"/>
  <c r="R86" i="3" s="1"/>
  <c r="BQ59" i="3"/>
  <c r="BP6" i="4"/>
  <c r="BO98" i="3"/>
  <c r="BQ51" i="3"/>
  <c r="DF13" i="3"/>
  <c r="AB137" i="2"/>
  <c r="AC74" i="2"/>
  <c r="AD74" i="2"/>
  <c r="AE74" i="2" s="1"/>
  <c r="CM125" i="4"/>
  <c r="AA126" i="2"/>
  <c r="CY12" i="3"/>
  <c r="AB56" i="2"/>
  <c r="AA42" i="2"/>
  <c r="CS14" i="3"/>
  <c r="Y144" i="2"/>
  <c r="BQ16" i="6"/>
  <c r="BQ14" i="6"/>
  <c r="BQ21" i="6"/>
  <c r="BQ13" i="6"/>
  <c r="BQ12" i="6"/>
  <c r="BQ15" i="6"/>
  <c r="BP101" i="3"/>
  <c r="BQ11" i="4"/>
  <c r="BP14" i="4"/>
  <c r="BQ60" i="3"/>
  <c r="BQ14" i="4" s="1"/>
  <c r="CJ83" i="4"/>
  <c r="CJ125" i="4" s="1"/>
  <c r="CJ126" i="4" s="1"/>
  <c r="CJ39" i="3"/>
  <c r="W78" i="3" s="1"/>
  <c r="BR5" i="4"/>
  <c r="R25" i="5" s="1"/>
  <c r="BS50" i="3"/>
  <c r="R64" i="3"/>
  <c r="CU45" i="3"/>
  <c r="CU85" i="4"/>
  <c r="BN99" i="3"/>
  <c r="BO61" i="3"/>
  <c r="BO16" i="4" s="1"/>
  <c r="BP54" i="3"/>
  <c r="AG11" i="2"/>
  <c r="AC28" i="2"/>
  <c r="AD28" i="2" s="1"/>
  <c r="BM97" i="3"/>
  <c r="BN4" i="4"/>
  <c r="BO49" i="3"/>
  <c r="BP6" i="6"/>
  <c r="BP11" i="6"/>
  <c r="BO96" i="3"/>
  <c r="BP10" i="4"/>
  <c r="BP20" i="6"/>
  <c r="BP12" i="4"/>
  <c r="BP13" i="4"/>
  <c r="BP19" i="6"/>
  <c r="Z90" i="2"/>
  <c r="BO14" i="4"/>
  <c r="BM99" i="3"/>
  <c r="BN61" i="3"/>
  <c r="BN16" i="4" s="1"/>
  <c r="DE83" i="4"/>
  <c r="DE39" i="3"/>
  <c r="DA39" i="3"/>
  <c r="DA83" i="4"/>
  <c r="AB142" i="2"/>
  <c r="DC14" i="3"/>
  <c r="AA138" i="2"/>
  <c r="AA76" i="2"/>
  <c r="CQ45" i="3"/>
  <c r="CQ85" i="4"/>
  <c r="BK70" i="4"/>
  <c r="BK49" i="4" s="1"/>
  <c r="AG29" i="2"/>
  <c r="CQ83" i="4"/>
  <c r="CQ39" i="3"/>
  <c r="P21" i="5"/>
  <c r="P20" i="5"/>
  <c r="P39" i="5"/>
  <c r="BO103" i="3"/>
  <c r="BP8" i="4"/>
  <c r="BO102" i="3"/>
  <c r="BQ53" i="3"/>
  <c r="BA32" i="6"/>
  <c r="Y90" i="2"/>
  <c r="AF134" i="2"/>
  <c r="BN102" i="3"/>
  <c r="AB30" i="2"/>
  <c r="Z43" i="2"/>
  <c r="BQ9" i="4"/>
  <c r="BP100" i="3"/>
  <c r="BR55" i="3"/>
  <c r="BS55" i="3"/>
  <c r="CK125" i="4"/>
  <c r="CY14" i="3"/>
  <c r="AA142" i="2"/>
  <c r="AD86" i="2"/>
  <c r="AE86" i="2" s="1"/>
  <c r="CT76" i="4"/>
  <c r="CT3" i="4"/>
  <c r="CX21" i="4"/>
  <c r="CT48" i="3"/>
  <c r="CP54" i="4"/>
  <c r="CO95" i="3" s="1"/>
  <c r="CO105" i="3" s="1"/>
  <c r="CP92" i="4"/>
  <c r="CP125" i="4" s="1"/>
  <c r="CS3" i="4"/>
  <c r="CS76" i="4"/>
  <c r="CW21" i="4"/>
  <c r="CS48" i="3"/>
  <c r="CO92" i="4"/>
  <c r="CO54" i="4"/>
  <c r="CN95" i="3" s="1"/>
  <c r="CN105" i="3" s="1"/>
  <c r="CN54" i="4"/>
  <c r="CM95" i="3" s="1"/>
  <c r="CM105" i="3" s="1"/>
  <c r="CN92" i="4"/>
  <c r="CR76" i="4"/>
  <c r="CR3" i="4"/>
  <c r="CV21" i="4"/>
  <c r="CR48" i="3"/>
  <c r="CR21" i="3"/>
  <c r="CV4" i="3"/>
  <c r="DB21" i="3"/>
  <c r="DF48" i="3"/>
  <c r="DF4" i="3"/>
  <c r="CW21" i="3"/>
  <c r="DA4" i="3"/>
  <c r="DO44" i="3" l="1"/>
  <c r="AE58" i="2"/>
  <c r="CK126" i="4"/>
  <c r="CL126" i="4" s="1"/>
  <c r="CM126" i="4" s="1"/>
  <c r="BR14" i="6"/>
  <c r="AE44" i="2"/>
  <c r="AF44" i="2" s="1"/>
  <c r="AG44" i="2" s="1"/>
  <c r="BL49" i="4"/>
  <c r="AC89" i="2"/>
  <c r="AD89" i="2" s="1"/>
  <c r="AD41" i="2"/>
  <c r="AE41" i="2" s="1"/>
  <c r="AE128" i="2"/>
  <c r="AD15" i="2"/>
  <c r="DM12" i="3"/>
  <c r="AG134" i="2"/>
  <c r="AG27" i="2"/>
  <c r="AH27" i="2" s="1"/>
  <c r="AH134" i="2"/>
  <c r="AI71" i="2"/>
  <c r="AJ71" i="2" s="1"/>
  <c r="BR13" i="4"/>
  <c r="BR12" i="4"/>
  <c r="DB85" i="4"/>
  <c r="DB45" i="3"/>
  <c r="AC136" i="2"/>
  <c r="DI13" i="3"/>
  <c r="BR15" i="6"/>
  <c r="BQ12" i="4"/>
  <c r="BS58" i="3"/>
  <c r="BS13" i="4" s="1"/>
  <c r="BQ13" i="4"/>
  <c r="R34" i="5" s="1"/>
  <c r="DJ12" i="3"/>
  <c r="AC129" i="2"/>
  <c r="BQ11" i="6"/>
  <c r="BS14" i="6"/>
  <c r="BQ10" i="6"/>
  <c r="BR10" i="6" s="1"/>
  <c r="AD59" i="2"/>
  <c r="DF12" i="3"/>
  <c r="AB129" i="2"/>
  <c r="DE44" i="3"/>
  <c r="DE84" i="4"/>
  <c r="CX83" i="4"/>
  <c r="CX39" i="3"/>
  <c r="AF74" i="2"/>
  <c r="AF137" i="2" s="1"/>
  <c r="DI83" i="4"/>
  <c r="BQ101" i="3"/>
  <c r="AA83" i="3"/>
  <c r="BS57" i="3"/>
  <c r="BT57" i="3" s="1"/>
  <c r="AD73" i="2"/>
  <c r="R72" i="3"/>
  <c r="DB83" i="4"/>
  <c r="DB39" i="3"/>
  <c r="BR21" i="6"/>
  <c r="DF45" i="3"/>
  <c r="DF85" i="4"/>
  <c r="BR11" i="4"/>
  <c r="R32" i="5" s="1"/>
  <c r="BR16" i="6"/>
  <c r="BR13" i="6"/>
  <c r="BS13" i="6" s="1"/>
  <c r="AE142" i="2"/>
  <c r="DO14" i="3"/>
  <c r="AF86" i="2"/>
  <c r="AA144" i="2"/>
  <c r="DA14" i="3"/>
  <c r="Y127" i="2"/>
  <c r="CR12" i="3"/>
  <c r="Z57" i="2"/>
  <c r="AA57" i="2" s="1"/>
  <c r="Y60" i="2"/>
  <c r="CO125" i="4"/>
  <c r="AE13" i="2"/>
  <c r="DM83" i="4"/>
  <c r="DM39" i="3"/>
  <c r="AH26" i="2"/>
  <c r="AI26" i="2" s="1"/>
  <c r="BO18" i="6"/>
  <c r="BO22" i="6" s="1"/>
  <c r="BO23" i="6" s="1"/>
  <c r="X130" i="2"/>
  <c r="X69" i="2"/>
  <c r="X61" i="2"/>
  <c r="BC60" i="2"/>
  <c r="CQ125" i="4"/>
  <c r="AA43" i="2"/>
  <c r="BO4" i="4"/>
  <c r="BN97" i="3"/>
  <c r="BP49" i="3"/>
  <c r="AB15" i="2"/>
  <c r="DK14" i="3"/>
  <c r="AD142" i="2"/>
  <c r="BQ19" i="6"/>
  <c r="CN39" i="3"/>
  <c r="X78" i="3" s="1"/>
  <c r="CN83" i="4"/>
  <c r="CN125" i="4" s="1"/>
  <c r="CN126" i="4" s="1"/>
  <c r="BN48" i="4"/>
  <c r="BQ6" i="6"/>
  <c r="BR6" i="6" s="1"/>
  <c r="BS15" i="6"/>
  <c r="DG45" i="3"/>
  <c r="DG85" i="4"/>
  <c r="BP103" i="3"/>
  <c r="BQ8" i="4"/>
  <c r="BP102" i="3"/>
  <c r="BR53" i="3"/>
  <c r="R67" i="3"/>
  <c r="DJ13" i="3"/>
  <c r="AC137" i="2"/>
  <c r="BO99" i="3"/>
  <c r="BP61" i="3"/>
  <c r="BP16" i="4" s="1"/>
  <c r="BQ54" i="3"/>
  <c r="CY45" i="3"/>
  <c r="CY85" i="4"/>
  <c r="Y91" i="2"/>
  <c r="Y146" i="2"/>
  <c r="BR60" i="3"/>
  <c r="AB88" i="2"/>
  <c r="AC88" i="2" s="1"/>
  <c r="AB76" i="2"/>
  <c r="AB138" i="2"/>
  <c r="BQ100" i="3"/>
  <c r="BR9" i="4"/>
  <c r="R30" i="5" s="1"/>
  <c r="R69" i="3"/>
  <c r="R90" i="3" s="1"/>
  <c r="AA90" i="2"/>
  <c r="DL13" i="3"/>
  <c r="AD135" i="2"/>
  <c r="AE72" i="2"/>
  <c r="BS5" i="4"/>
  <c r="BT50" i="3"/>
  <c r="AD137" i="2"/>
  <c r="DN13" i="3"/>
  <c r="AE14" i="2"/>
  <c r="BP8" i="6"/>
  <c r="BQ8" i="6" s="1"/>
  <c r="BR8" i="6" s="1"/>
  <c r="BB35" i="6" s="1"/>
  <c r="AC30" i="2"/>
  <c r="AE28" i="2"/>
  <c r="DF84" i="4"/>
  <c r="DF44" i="3"/>
  <c r="Q24" i="5"/>
  <c r="Q36" i="5" s="1"/>
  <c r="AC75" i="2"/>
  <c r="DD84" i="4"/>
  <c r="DD44" i="3"/>
  <c r="EG13" i="3"/>
  <c r="EI13" i="3"/>
  <c r="FG13" i="3"/>
  <c r="ED13" i="3"/>
  <c r="EF13" i="3"/>
  <c r="EE13" i="3"/>
  <c r="EC13" i="3"/>
  <c r="EA13" i="3"/>
  <c r="DX13" i="3"/>
  <c r="DY13" i="3"/>
  <c r="EX13" i="3"/>
  <c r="FJ13" i="3"/>
  <c r="EY13" i="3"/>
  <c r="EV13" i="3"/>
  <c r="FF13" i="3"/>
  <c r="EU13" i="3"/>
  <c r="FE13" i="3"/>
  <c r="DW13" i="3"/>
  <c r="AE137" i="2"/>
  <c r="ES13" i="3"/>
  <c r="FB13" i="3"/>
  <c r="DS13" i="3"/>
  <c r="FI13" i="3"/>
  <c r="EK13" i="3"/>
  <c r="FH13" i="3"/>
  <c r="EJ13" i="3"/>
  <c r="EH13" i="3"/>
  <c r="DT13" i="3"/>
  <c r="DR13" i="3"/>
  <c r="FD13" i="3"/>
  <c r="FC13" i="3"/>
  <c r="FA13" i="3"/>
  <c r="EZ13" i="3"/>
  <c r="EP13" i="3"/>
  <c r="EO13" i="3"/>
  <c r="ER13" i="3"/>
  <c r="EN13" i="3"/>
  <c r="EQ13" i="3"/>
  <c r="EL13" i="3"/>
  <c r="EM13" i="3"/>
  <c r="ET13" i="3"/>
  <c r="DV13" i="3"/>
  <c r="EW13" i="3"/>
  <c r="DZ13" i="3"/>
  <c r="DU13" i="3"/>
  <c r="EB13" i="3"/>
  <c r="CW45" i="3"/>
  <c r="CW85" i="4"/>
  <c r="AD30" i="2"/>
  <c r="AC15" i="2"/>
  <c r="Z45" i="2"/>
  <c r="Z46" i="2" s="1"/>
  <c r="CS45" i="3"/>
  <c r="CS85" i="4"/>
  <c r="AB42" i="2"/>
  <c r="BR59" i="3"/>
  <c r="BM68" i="4"/>
  <c r="BM38" i="4"/>
  <c r="AF14" i="2"/>
  <c r="DC45" i="3"/>
  <c r="DC85" i="4"/>
  <c r="AH29" i="2"/>
  <c r="BR12" i="6"/>
  <c r="AB126" i="2"/>
  <c r="DC12" i="3"/>
  <c r="AC56" i="2"/>
  <c r="AD56" i="2"/>
  <c r="AF13" i="2"/>
  <c r="DH44" i="3"/>
  <c r="DH84" i="4"/>
  <c r="BS9" i="4"/>
  <c r="BR100" i="3"/>
  <c r="BT55" i="3"/>
  <c r="BQ6" i="4"/>
  <c r="BP98" i="3"/>
  <c r="BR51" i="3"/>
  <c r="CU125" i="4"/>
  <c r="AH11" i="2"/>
  <c r="DL45" i="3"/>
  <c r="DL85" i="4"/>
  <c r="BP9" i="6"/>
  <c r="AG12" i="2"/>
  <c r="AG86" i="2"/>
  <c r="AH86" i="2" s="1"/>
  <c r="BA39" i="6"/>
  <c r="Z146" i="2"/>
  <c r="Z91" i="2"/>
  <c r="BP7" i="6"/>
  <c r="BQ7" i="6" s="1"/>
  <c r="CY83" i="4"/>
  <c r="CY39" i="3"/>
  <c r="BR20" i="6"/>
  <c r="BR11" i="6"/>
  <c r="BR10" i="4"/>
  <c r="R31" i="5" s="1"/>
  <c r="BQ96" i="3"/>
  <c r="BS56" i="3"/>
  <c r="BT56" i="3" s="1"/>
  <c r="DP14" i="3"/>
  <c r="AE143" i="2"/>
  <c r="AF87" i="2"/>
  <c r="DE48" i="3"/>
  <c r="DE4" i="3"/>
  <c r="DA21" i="3"/>
  <c r="DF21" i="3"/>
  <c r="DJ4" i="3"/>
  <c r="CV21" i="3"/>
  <c r="CZ4" i="3"/>
  <c r="CV76" i="4"/>
  <c r="CV3" i="4"/>
  <c r="CZ21" i="4"/>
  <c r="CV48" i="3"/>
  <c r="CR92" i="4"/>
  <c r="CR54" i="4"/>
  <c r="CQ95" i="3" s="1"/>
  <c r="CQ105" i="3" s="1"/>
  <c r="CW76" i="4"/>
  <c r="CW3" i="4"/>
  <c r="DA21" i="4"/>
  <c r="CS92" i="4"/>
  <c r="CS54" i="4"/>
  <c r="CR95" i="3" s="1"/>
  <c r="CR105" i="3" s="1"/>
  <c r="CX76" i="4"/>
  <c r="DB21" i="4"/>
  <c r="CX3" i="4"/>
  <c r="CT92" i="4"/>
  <c r="CT125" i="4" s="1"/>
  <c r="CT54" i="4"/>
  <c r="CS95" i="3" s="1"/>
  <c r="CS105" i="3" s="1"/>
  <c r="DN14" i="3" l="1"/>
  <c r="AD145" i="2"/>
  <c r="BS16" i="6"/>
  <c r="BT16" i="6" s="1"/>
  <c r="BB38" i="6"/>
  <c r="DQ12" i="3"/>
  <c r="AG58" i="2"/>
  <c r="AG128" i="2" s="1"/>
  <c r="AF58" i="2"/>
  <c r="BT21" i="6"/>
  <c r="BT14" i="6"/>
  <c r="BT11" i="4"/>
  <c r="BS101" i="3"/>
  <c r="BT13" i="6"/>
  <c r="AF41" i="2"/>
  <c r="AG41" i="2"/>
  <c r="AH41" i="2" s="1"/>
  <c r="R33" i="5"/>
  <c r="CO126" i="4"/>
  <c r="CP126" i="4" s="1"/>
  <c r="CQ126" i="4" s="1"/>
  <c r="AC145" i="2"/>
  <c r="DJ14" i="3"/>
  <c r="BT15" i="6"/>
  <c r="AI134" i="2"/>
  <c r="AE89" i="2"/>
  <c r="AF89" i="2" s="1"/>
  <c r="AF145" i="2" s="1"/>
  <c r="AE73" i="2"/>
  <c r="AF73" i="2" s="1"/>
  <c r="AF136" i="2" s="1"/>
  <c r="AD75" i="2"/>
  <c r="AK71" i="2"/>
  <c r="AL71" i="2" s="1"/>
  <c r="AJ134" i="2"/>
  <c r="AI27" i="2"/>
  <c r="AG74" i="2"/>
  <c r="DF83" i="4"/>
  <c r="DF39" i="3"/>
  <c r="AE56" i="2"/>
  <c r="AF56" i="2" s="1"/>
  <c r="DN12" i="3"/>
  <c r="AD129" i="2"/>
  <c r="AG13" i="2"/>
  <c r="AH13" i="2" s="1"/>
  <c r="BP18" i="6"/>
  <c r="BP22" i="6" s="1"/>
  <c r="BP23" i="6" s="1"/>
  <c r="DI44" i="3"/>
  <c r="DI84" i="4"/>
  <c r="CY125" i="4"/>
  <c r="DN85" i="4"/>
  <c r="DN45" i="3"/>
  <c r="BT58" i="3"/>
  <c r="BT13" i="4" s="1"/>
  <c r="DM13" i="3"/>
  <c r="AD136" i="2"/>
  <c r="BS12" i="4"/>
  <c r="BQ9" i="6"/>
  <c r="BR9" i="6" s="1"/>
  <c r="BB37" i="6" s="1"/>
  <c r="BR101" i="3"/>
  <c r="BS11" i="4"/>
  <c r="BS21" i="6"/>
  <c r="DJ39" i="3"/>
  <c r="DJ83" i="4"/>
  <c r="BU57" i="3"/>
  <c r="BV57" i="3" s="1"/>
  <c r="AE59" i="2"/>
  <c r="AF59" i="2" s="1"/>
  <c r="AF129" i="2" s="1"/>
  <c r="AJ26" i="2"/>
  <c r="AK26" i="2" s="1"/>
  <c r="BR7" i="6"/>
  <c r="R68" i="3"/>
  <c r="R89" i="3" s="1"/>
  <c r="R28" i="5"/>
  <c r="AC144" i="2"/>
  <c r="DI14" i="3"/>
  <c r="AC90" i="2"/>
  <c r="AD88" i="2"/>
  <c r="AE88" i="2" s="1"/>
  <c r="AH142" i="2"/>
  <c r="R26" i="5"/>
  <c r="BQ103" i="3"/>
  <c r="BR8" i="4"/>
  <c r="BQ102" i="3"/>
  <c r="BS53" i="3"/>
  <c r="AD126" i="2"/>
  <c r="DK12" i="3"/>
  <c r="ER44" i="3"/>
  <c r="BM70" i="4"/>
  <c r="BM49" i="4" s="1"/>
  <c r="EZ44" i="3"/>
  <c r="FJ44" i="3"/>
  <c r="DW84" i="4"/>
  <c r="DW44" i="3"/>
  <c r="BN68" i="4"/>
  <c r="BN70" i="4" s="1"/>
  <c r="BN38" i="4"/>
  <c r="BS59" i="3"/>
  <c r="R73" i="3"/>
  <c r="FA44" i="3"/>
  <c r="EX44" i="3"/>
  <c r="DL84" i="4"/>
  <c r="DL44" i="3"/>
  <c r="CZ12" i="3"/>
  <c r="AA127" i="2"/>
  <c r="AA60" i="2"/>
  <c r="EL44" i="3"/>
  <c r="EU44" i="3"/>
  <c r="DA45" i="3"/>
  <c r="DA85" i="4"/>
  <c r="DX44" i="3"/>
  <c r="DX84" i="4"/>
  <c r="DR84" i="4"/>
  <c r="DR44" i="3"/>
  <c r="EA44" i="3"/>
  <c r="BR14" i="4"/>
  <c r="R35" i="5" s="1"/>
  <c r="BS60" i="3"/>
  <c r="ET44" i="3"/>
  <c r="BB32" i="6"/>
  <c r="FD44" i="3"/>
  <c r="DT84" i="4"/>
  <c r="DT44" i="3"/>
  <c r="EC44" i="3"/>
  <c r="CS125" i="4"/>
  <c r="EH44" i="3"/>
  <c r="EE44" i="3"/>
  <c r="AE30" i="2"/>
  <c r="BB34" i="6"/>
  <c r="AA146" i="2"/>
  <c r="AA91" i="2"/>
  <c r="FF44" i="3"/>
  <c r="EV44" i="3"/>
  <c r="AF142" i="2"/>
  <c r="AH12" i="2"/>
  <c r="AI12" i="2" s="1"/>
  <c r="AC138" i="2"/>
  <c r="AC76" i="2"/>
  <c r="EN44" i="3"/>
  <c r="AC42" i="2"/>
  <c r="AG14" i="2"/>
  <c r="DJ84" i="4"/>
  <c r="DJ44" i="3"/>
  <c r="AC83" i="3" s="1"/>
  <c r="EF44" i="3"/>
  <c r="FH44" i="3"/>
  <c r="ED44" i="3"/>
  <c r="AF28" i="2"/>
  <c r="AG142" i="2"/>
  <c r="EO44" i="3"/>
  <c r="DE14" i="3"/>
  <c r="AB144" i="2"/>
  <c r="AB90" i="2"/>
  <c r="EY44" i="3"/>
  <c r="AA45" i="2"/>
  <c r="AA46" i="2" s="1"/>
  <c r="BS100" i="3"/>
  <c r="BT9" i="4"/>
  <c r="BU55" i="3"/>
  <c r="AI11" i="2"/>
  <c r="EJ44" i="3"/>
  <c r="EB44" i="3"/>
  <c r="EK44" i="3"/>
  <c r="FG44" i="3"/>
  <c r="BP4" i="4"/>
  <c r="BP48" i="4" s="1"/>
  <c r="BO97" i="3"/>
  <c r="BQ49" i="3"/>
  <c r="EM44" i="3"/>
  <c r="DN84" i="4"/>
  <c r="DN44" i="3"/>
  <c r="AD76" i="2"/>
  <c r="AD138" i="2"/>
  <c r="DC39" i="3"/>
  <c r="DC83" i="4"/>
  <c r="DC125" i="4" s="1"/>
  <c r="DP45" i="3"/>
  <c r="DP85" i="4"/>
  <c r="DY84" i="4"/>
  <c r="DY44" i="3"/>
  <c r="AH44" i="2"/>
  <c r="BT20" i="6"/>
  <c r="BT10" i="4"/>
  <c r="BS96" i="3"/>
  <c r="BU56" i="3"/>
  <c r="AD42" i="2"/>
  <c r="DO45" i="3"/>
  <c r="DO85" i="4"/>
  <c r="DP13" i="3"/>
  <c r="AE135" i="2"/>
  <c r="AF72" i="2"/>
  <c r="AG72" i="2"/>
  <c r="AH72" i="2"/>
  <c r="AF143" i="2"/>
  <c r="AG87" i="2"/>
  <c r="EP44" i="3"/>
  <c r="DZ44" i="3"/>
  <c r="DZ84" i="4"/>
  <c r="DS84" i="4"/>
  <c r="DS44" i="3"/>
  <c r="EG44" i="3"/>
  <c r="Y130" i="2"/>
  <c r="Y61" i="2"/>
  <c r="Y69" i="2"/>
  <c r="EQ44" i="3"/>
  <c r="AB43" i="2"/>
  <c r="AB45" i="2" s="1"/>
  <c r="AB46" i="2" s="1"/>
  <c r="FC44" i="3"/>
  <c r="AG137" i="2"/>
  <c r="EI44" i="3"/>
  <c r="BT5" i="4"/>
  <c r="BU50" i="3"/>
  <c r="AI86" i="2"/>
  <c r="AJ86" i="2" s="1"/>
  <c r="BR6" i="4"/>
  <c r="BQ98" i="3"/>
  <c r="BS51" i="3"/>
  <c r="R65" i="3"/>
  <c r="R88" i="3" s="1"/>
  <c r="R74" i="3"/>
  <c r="EW44" i="3"/>
  <c r="FB44" i="3"/>
  <c r="Z127" i="2"/>
  <c r="CV12" i="3"/>
  <c r="Z60" i="2"/>
  <c r="AB57" i="2"/>
  <c r="AC57" i="2" s="1"/>
  <c r="FE44" i="3"/>
  <c r="BP99" i="3"/>
  <c r="BR54" i="3"/>
  <c r="AF15" i="2"/>
  <c r="AE15" i="2"/>
  <c r="DG12" i="3"/>
  <c r="AC126" i="2"/>
  <c r="BR19" i="6"/>
  <c r="BS12" i="6"/>
  <c r="DU84" i="4"/>
  <c r="DU44" i="3"/>
  <c r="FI44" i="3"/>
  <c r="BR96" i="3"/>
  <c r="BS20" i="6"/>
  <c r="BS6" i="6"/>
  <c r="BS10" i="4"/>
  <c r="BS11" i="6"/>
  <c r="BT11" i="6" s="1"/>
  <c r="BS8" i="6"/>
  <c r="BS10" i="6"/>
  <c r="AI29" i="2"/>
  <c r="DV44" i="3"/>
  <c r="DV84" i="4"/>
  <c r="ES44" i="3"/>
  <c r="AB83" i="3"/>
  <c r="DK45" i="3"/>
  <c r="DK85" i="4"/>
  <c r="BO48" i="4"/>
  <c r="CR83" i="4"/>
  <c r="CR125" i="4" s="1"/>
  <c r="CR39" i="3"/>
  <c r="Y78" i="3" s="1"/>
  <c r="DB76" i="4"/>
  <c r="DB3" i="4"/>
  <c r="DB48" i="3"/>
  <c r="DF21" i="4"/>
  <c r="CX92" i="4"/>
  <c r="CX125" i="4" s="1"/>
  <c r="CX54" i="4"/>
  <c r="CW95" i="3" s="1"/>
  <c r="CW105" i="3" s="1"/>
  <c r="DA76" i="4"/>
  <c r="DA3" i="4"/>
  <c r="DE21" i="4"/>
  <c r="DA48" i="3"/>
  <c r="CW92" i="4"/>
  <c r="CW125" i="4" s="1"/>
  <c r="CW54" i="4"/>
  <c r="CV95" i="3" s="1"/>
  <c r="CV105" i="3" s="1"/>
  <c r="CZ76" i="4"/>
  <c r="DD21" i="4"/>
  <c r="CZ3" i="4"/>
  <c r="CZ48" i="3"/>
  <c r="CV92" i="4"/>
  <c r="CV54" i="4"/>
  <c r="CU95" i="3" s="1"/>
  <c r="CU105" i="3" s="1"/>
  <c r="CZ21" i="3"/>
  <c r="DD4" i="3"/>
  <c r="DJ21" i="3"/>
  <c r="DN4" i="3"/>
  <c r="DI4" i="3"/>
  <c r="DE21" i="3"/>
  <c r="BU16" i="6" l="1"/>
  <c r="BU58" i="3"/>
  <c r="AE75" i="2"/>
  <c r="BU14" i="6"/>
  <c r="BT101" i="3"/>
  <c r="BU11" i="4"/>
  <c r="AF128" i="2"/>
  <c r="AH58" i="2"/>
  <c r="BU15" i="6"/>
  <c r="DQ83" i="4"/>
  <c r="DQ39" i="3"/>
  <c r="BU21" i="6"/>
  <c r="BU13" i="6"/>
  <c r="BV13" i="6" s="1"/>
  <c r="BB33" i="6"/>
  <c r="DQ13" i="3"/>
  <c r="DQ44" i="3" s="1"/>
  <c r="DJ45" i="3"/>
  <c r="DJ85" i="4"/>
  <c r="DO12" i="3"/>
  <c r="DO39" i="3" s="1"/>
  <c r="AE136" i="2"/>
  <c r="EU14" i="3"/>
  <c r="EU45" i="3" s="1"/>
  <c r="EX14" i="3"/>
  <c r="EX45" i="3" s="1"/>
  <c r="EZ14" i="3"/>
  <c r="EZ45" i="3" s="1"/>
  <c r="DX14" i="3"/>
  <c r="EF14" i="3"/>
  <c r="EF45" i="3" s="1"/>
  <c r="FE14" i="3"/>
  <c r="FE45" i="3" s="1"/>
  <c r="FJ14" i="3"/>
  <c r="FJ45" i="3" s="1"/>
  <c r="DY14" i="3"/>
  <c r="FC14" i="3"/>
  <c r="FC45" i="3" s="1"/>
  <c r="ER14" i="3"/>
  <c r="ER45" i="3" s="1"/>
  <c r="DW14" i="3"/>
  <c r="DR14" i="3"/>
  <c r="EG14" i="3"/>
  <c r="EG45" i="3" s="1"/>
  <c r="EC14" i="3"/>
  <c r="EC45" i="3" s="1"/>
  <c r="EW14" i="3"/>
  <c r="EW45" i="3" s="1"/>
  <c r="ET14" i="3"/>
  <c r="ET45" i="3" s="1"/>
  <c r="EP14" i="3"/>
  <c r="EP45" i="3" s="1"/>
  <c r="EJ14" i="3"/>
  <c r="EJ45" i="3" s="1"/>
  <c r="FH14" i="3"/>
  <c r="FH45" i="3" s="1"/>
  <c r="AE145" i="2"/>
  <c r="EN14" i="3"/>
  <c r="EN45" i="3" s="1"/>
  <c r="DZ14" i="3"/>
  <c r="DS14" i="3"/>
  <c r="EB14" i="3"/>
  <c r="EB45" i="3" s="1"/>
  <c r="ED14" i="3"/>
  <c r="ED45" i="3" s="1"/>
  <c r="FG14" i="3"/>
  <c r="FG45" i="3" s="1"/>
  <c r="EV14" i="3"/>
  <c r="EV45" i="3" s="1"/>
  <c r="FA14" i="3"/>
  <c r="FA45" i="3" s="1"/>
  <c r="EY14" i="3"/>
  <c r="EY45" i="3" s="1"/>
  <c r="ES14" i="3"/>
  <c r="ES45" i="3" s="1"/>
  <c r="EE14" i="3"/>
  <c r="EE45" i="3" s="1"/>
  <c r="FD14" i="3"/>
  <c r="FD45" i="3" s="1"/>
  <c r="EM14" i="3"/>
  <c r="EM45" i="3" s="1"/>
  <c r="DT14" i="3"/>
  <c r="EO14" i="3"/>
  <c r="EO45" i="3" s="1"/>
  <c r="EK14" i="3"/>
  <c r="EK45" i="3" s="1"/>
  <c r="EA14" i="3"/>
  <c r="EA45" i="3" s="1"/>
  <c r="EH14" i="3"/>
  <c r="EH45" i="3" s="1"/>
  <c r="AG89" i="2"/>
  <c r="AG145" i="2" s="1"/>
  <c r="FB14" i="3"/>
  <c r="FB45" i="3" s="1"/>
  <c r="FF14" i="3"/>
  <c r="FF45" i="3" s="1"/>
  <c r="FI14" i="3"/>
  <c r="FI45" i="3" s="1"/>
  <c r="DV14" i="3"/>
  <c r="EL14" i="3"/>
  <c r="EL45" i="3" s="1"/>
  <c r="DU14" i="3"/>
  <c r="EQ14" i="3"/>
  <c r="EQ45" i="3" s="1"/>
  <c r="EI14" i="3"/>
  <c r="EI45" i="3" s="1"/>
  <c r="AK134" i="2"/>
  <c r="CR126" i="4"/>
  <c r="CS126" i="4" s="1"/>
  <c r="CT126" i="4" s="1"/>
  <c r="CU126" i="4" s="1"/>
  <c r="R92" i="3"/>
  <c r="BQ18" i="6"/>
  <c r="BQ22" i="6" s="1"/>
  <c r="BQ23" i="6" s="1"/>
  <c r="BW57" i="3"/>
  <c r="BV101" i="3" s="1"/>
  <c r="BS9" i="6"/>
  <c r="BT9" i="6" s="1"/>
  <c r="BU9" i="6" s="1"/>
  <c r="AG73" i="2"/>
  <c r="Q17" i="5"/>
  <c r="Q19" i="5" s="1"/>
  <c r="Q39" i="5" s="1"/>
  <c r="BN49" i="4"/>
  <c r="BR18" i="6"/>
  <c r="BR22" i="6" s="1"/>
  <c r="BR23" i="6" s="1"/>
  <c r="AC43" i="2"/>
  <c r="AJ27" i="2"/>
  <c r="AE126" i="2"/>
  <c r="BT12" i="4"/>
  <c r="EM12" i="3"/>
  <c r="EM39" i="3" s="1"/>
  <c r="FJ12" i="3"/>
  <c r="FJ39" i="3" s="1"/>
  <c r="EI12" i="3"/>
  <c r="EI39" i="3" s="1"/>
  <c r="DS12" i="3"/>
  <c r="ET12" i="3"/>
  <c r="ET39" i="3" s="1"/>
  <c r="FD12" i="3"/>
  <c r="FD39" i="3" s="1"/>
  <c r="EU12" i="3"/>
  <c r="EU39" i="3" s="1"/>
  <c r="FF12" i="3"/>
  <c r="FF39" i="3" s="1"/>
  <c r="DU12" i="3"/>
  <c r="EQ12" i="3"/>
  <c r="EQ39" i="3" s="1"/>
  <c r="EH12" i="3"/>
  <c r="EH39" i="3" s="1"/>
  <c r="FG12" i="3"/>
  <c r="FG39" i="3" s="1"/>
  <c r="EK12" i="3"/>
  <c r="EK39" i="3" s="1"/>
  <c r="EX12" i="3"/>
  <c r="EX39" i="3" s="1"/>
  <c r="EC12" i="3"/>
  <c r="EC39" i="3" s="1"/>
  <c r="FE12" i="3"/>
  <c r="FE39" i="3" s="1"/>
  <c r="FA12" i="3"/>
  <c r="FA39" i="3" s="1"/>
  <c r="EJ12" i="3"/>
  <c r="EJ39" i="3" s="1"/>
  <c r="EF12" i="3"/>
  <c r="EF39" i="3" s="1"/>
  <c r="EY12" i="3"/>
  <c r="EY39" i="3" s="1"/>
  <c r="AE129" i="2"/>
  <c r="DV12" i="3"/>
  <c r="FH12" i="3"/>
  <c r="FH39" i="3" s="1"/>
  <c r="DZ12" i="3"/>
  <c r="DR12" i="3"/>
  <c r="EL12" i="3"/>
  <c r="EL39" i="3" s="1"/>
  <c r="DT12" i="3"/>
  <c r="ER12" i="3"/>
  <c r="ER39" i="3" s="1"/>
  <c r="EB12" i="3"/>
  <c r="EB39" i="3" s="1"/>
  <c r="EG12" i="3"/>
  <c r="EG39" i="3" s="1"/>
  <c r="EZ12" i="3"/>
  <c r="EZ39" i="3" s="1"/>
  <c r="DX12" i="3"/>
  <c r="ED12" i="3"/>
  <c r="ED39" i="3" s="1"/>
  <c r="FI12" i="3"/>
  <c r="FI39" i="3" s="1"/>
  <c r="EP12" i="3"/>
  <c r="EP39" i="3" s="1"/>
  <c r="EO12" i="3"/>
  <c r="EO39" i="3" s="1"/>
  <c r="ES12" i="3"/>
  <c r="ES39" i="3" s="1"/>
  <c r="EV12" i="3"/>
  <c r="EV39" i="3" s="1"/>
  <c r="DY12" i="3"/>
  <c r="DW12" i="3"/>
  <c r="FC12" i="3"/>
  <c r="FC39" i="3" s="1"/>
  <c r="FB12" i="3"/>
  <c r="FB39" i="3" s="1"/>
  <c r="EW12" i="3"/>
  <c r="EW39" i="3" s="1"/>
  <c r="EA12" i="3"/>
  <c r="EA39" i="3" s="1"/>
  <c r="EN12" i="3"/>
  <c r="EN39" i="3" s="1"/>
  <c r="EE12" i="3"/>
  <c r="EE39" i="3" s="1"/>
  <c r="AG59" i="2"/>
  <c r="AH59" i="2" s="1"/>
  <c r="AH129" i="2" s="1"/>
  <c r="DN39" i="3"/>
  <c r="DN83" i="4"/>
  <c r="AH74" i="2"/>
  <c r="AH137" i="2" s="1"/>
  <c r="DM84" i="4"/>
  <c r="DM44" i="3"/>
  <c r="AD83" i="3" s="1"/>
  <c r="BS7" i="6"/>
  <c r="BS18" i="6" s="1"/>
  <c r="AC127" i="2"/>
  <c r="DH12" i="3"/>
  <c r="AC60" i="2"/>
  <c r="AD57" i="2"/>
  <c r="AJ142" i="2"/>
  <c r="DQ14" i="3"/>
  <c r="AE144" i="2"/>
  <c r="AE90" i="2"/>
  <c r="AF88" i="2"/>
  <c r="AG88" i="2"/>
  <c r="AG90" i="2" s="1"/>
  <c r="AG143" i="2"/>
  <c r="BK73" i="4"/>
  <c r="AH87" i="2"/>
  <c r="AJ11" i="2"/>
  <c r="AA69" i="2"/>
  <c r="AA61" i="2"/>
  <c r="AA130" i="2"/>
  <c r="AI13" i="2"/>
  <c r="AL134" i="2"/>
  <c r="AL26" i="2"/>
  <c r="BO38" i="4"/>
  <c r="BO68" i="4"/>
  <c r="BP38" i="4"/>
  <c r="BP68" i="4"/>
  <c r="BP70" i="4" s="1"/>
  <c r="AH14" i="2"/>
  <c r="AG83" i="3"/>
  <c r="AB146" i="2"/>
  <c r="AB91" i="2"/>
  <c r="AF126" i="2"/>
  <c r="AE138" i="2"/>
  <c r="AE76" i="2"/>
  <c r="BU9" i="4"/>
  <c r="BT100" i="3"/>
  <c r="BV55" i="3"/>
  <c r="AC45" i="2"/>
  <c r="AC46" i="2" s="1"/>
  <c r="AJ29" i="2"/>
  <c r="DG83" i="4"/>
  <c r="DG125" i="4" s="1"/>
  <c r="DG39" i="3"/>
  <c r="AH15" i="2"/>
  <c r="AG56" i="2"/>
  <c r="AG135" i="2"/>
  <c r="BV16" i="6"/>
  <c r="BV15" i="6"/>
  <c r="BV21" i="6"/>
  <c r="BV14" i="6"/>
  <c r="BV11" i="4"/>
  <c r="S32" i="5" s="1"/>
  <c r="BU101" i="3"/>
  <c r="S71" i="3"/>
  <c r="S91" i="3" s="1"/>
  <c r="BT6" i="6"/>
  <c r="AM71" i="2"/>
  <c r="AJ12" i="2"/>
  <c r="AK12" i="2" s="1"/>
  <c r="AL12" i="2" s="1"/>
  <c r="DK83" i="4"/>
  <c r="DK125" i="4" s="1"/>
  <c r="DK39" i="3"/>
  <c r="AD43" i="2"/>
  <c r="AE43" i="2" s="1"/>
  <c r="DP84" i="4"/>
  <c r="DP44" i="3"/>
  <c r="BT10" i="6"/>
  <c r="BU10" i="6" s="1"/>
  <c r="BU13" i="4"/>
  <c r="BU12" i="4"/>
  <c r="BV58" i="3"/>
  <c r="S72" i="3" s="1"/>
  <c r="AI142" i="2"/>
  <c r="BU5" i="4"/>
  <c r="BV50" i="3"/>
  <c r="BU20" i="6"/>
  <c r="BU10" i="4"/>
  <c r="BT96" i="3"/>
  <c r="BU11" i="6"/>
  <c r="BV56" i="3"/>
  <c r="S70" i="3" s="1"/>
  <c r="S86" i="3" s="1"/>
  <c r="BT8" i="6"/>
  <c r="BP97" i="3"/>
  <c r="BQ4" i="4"/>
  <c r="BR49" i="3"/>
  <c r="R63" i="3"/>
  <c r="CZ83" i="4"/>
  <c r="CZ125" i="4" s="1"/>
  <c r="CZ39" i="3"/>
  <c r="AA78" i="3" s="1"/>
  <c r="BS6" i="4"/>
  <c r="BR98" i="3"/>
  <c r="BT51" i="3"/>
  <c r="AF83" i="3"/>
  <c r="AG15" i="2"/>
  <c r="BT59" i="3"/>
  <c r="BQ99" i="3"/>
  <c r="BR61" i="3"/>
  <c r="BR16" i="4" s="1"/>
  <c r="BS54" i="3"/>
  <c r="BS19" i="6"/>
  <c r="BT12" i="6"/>
  <c r="DD12" i="3"/>
  <c r="AB127" i="2"/>
  <c r="AB60" i="2"/>
  <c r="AE42" i="2"/>
  <c r="AD144" i="2"/>
  <c r="DM14" i="3"/>
  <c r="AD90" i="2"/>
  <c r="DE45" i="3"/>
  <c r="DE85" i="4"/>
  <c r="BR103" i="3"/>
  <c r="BR102" i="3"/>
  <c r="BS8" i="4"/>
  <c r="BT53" i="3"/>
  <c r="AC146" i="2"/>
  <c r="AC91" i="2"/>
  <c r="AI44" i="2"/>
  <c r="AJ44" i="2" s="1"/>
  <c r="BS14" i="4"/>
  <c r="BT60" i="3"/>
  <c r="BQ61" i="3"/>
  <c r="BQ16" i="4" s="1"/>
  <c r="AF135" i="2"/>
  <c r="AF75" i="2"/>
  <c r="AI72" i="2"/>
  <c r="Z130" i="2"/>
  <c r="Z61" i="2"/>
  <c r="Z69" i="2"/>
  <c r="CV83" i="4"/>
  <c r="CV125" i="4" s="1"/>
  <c r="CV126" i="4" s="1"/>
  <c r="CW126" i="4" s="1"/>
  <c r="CX126" i="4" s="1"/>
  <c r="CY126" i="4" s="1"/>
  <c r="CV39" i="3"/>
  <c r="Z78" i="3" s="1"/>
  <c r="AI41" i="2"/>
  <c r="DI45" i="3"/>
  <c r="DI85" i="4"/>
  <c r="AK86" i="2"/>
  <c r="AL86" i="2" s="1"/>
  <c r="AH135" i="2"/>
  <c r="AF30" i="2"/>
  <c r="AG28" i="2"/>
  <c r="BB39" i="6"/>
  <c r="DI21" i="3"/>
  <c r="DM4" i="3"/>
  <c r="DN21" i="3"/>
  <c r="DR4" i="3"/>
  <c r="DD21" i="3"/>
  <c r="DH4" i="3"/>
  <c r="DD76" i="4"/>
  <c r="DD3" i="4"/>
  <c r="DH21" i="4"/>
  <c r="DD48" i="3"/>
  <c r="CZ92" i="4"/>
  <c r="CZ54" i="4"/>
  <c r="CY95" i="3" s="1"/>
  <c r="CY105" i="3" s="1"/>
  <c r="DE76" i="4"/>
  <c r="DE3" i="4"/>
  <c r="DI21" i="4"/>
  <c r="DA92" i="4"/>
  <c r="DA125" i="4" s="1"/>
  <c r="DA54" i="4"/>
  <c r="CZ95" i="3" s="1"/>
  <c r="CZ105" i="3" s="1"/>
  <c r="DJ21" i="4"/>
  <c r="DF76" i="4"/>
  <c r="DF3" i="4"/>
  <c r="DB92" i="4"/>
  <c r="DB125" i="4" s="1"/>
  <c r="DB54" i="4"/>
  <c r="DA95" i="3" s="1"/>
  <c r="DA105" i="3" s="1"/>
  <c r="AH128" i="2" l="1"/>
  <c r="AI58" i="2"/>
  <c r="DQ84" i="4"/>
  <c r="DO83" i="4"/>
  <c r="DO125" i="4" s="1"/>
  <c r="AH89" i="2"/>
  <c r="BS22" i="6"/>
  <c r="BS23" i="6" s="1"/>
  <c r="AE83" i="3"/>
  <c r="BW21" i="6"/>
  <c r="BW11" i="4"/>
  <c r="Q20" i="5"/>
  <c r="BW14" i="6"/>
  <c r="DX85" i="4"/>
  <c r="DX45" i="3"/>
  <c r="AG136" i="2"/>
  <c r="AH73" i="2"/>
  <c r="BX57" i="3"/>
  <c r="BY57" i="3" s="1"/>
  <c r="Q21" i="5"/>
  <c r="BW15" i="6"/>
  <c r="DU85" i="4"/>
  <c r="DU45" i="3"/>
  <c r="DS45" i="3"/>
  <c r="DS85" i="4"/>
  <c r="BW16" i="6"/>
  <c r="DZ45" i="3"/>
  <c r="DZ85" i="4"/>
  <c r="AI59" i="2"/>
  <c r="AI129" i="2" s="1"/>
  <c r="BW13" i="6"/>
  <c r="DV45" i="3"/>
  <c r="DV85" i="4"/>
  <c r="DT45" i="3"/>
  <c r="DT85" i="4"/>
  <c r="AI89" i="2"/>
  <c r="AH145" i="2"/>
  <c r="DY45" i="3"/>
  <c r="DY85" i="4"/>
  <c r="AD45" i="2"/>
  <c r="AD46" i="2" s="1"/>
  <c r="DR45" i="3"/>
  <c r="DR85" i="4"/>
  <c r="DW45" i="3"/>
  <c r="DW85" i="4"/>
  <c r="AG75" i="2"/>
  <c r="AG138" i="2" s="1"/>
  <c r="BW58" i="3"/>
  <c r="BW13" i="4" s="1"/>
  <c r="DV83" i="4"/>
  <c r="DV39" i="3"/>
  <c r="AF43" i="2"/>
  <c r="AG43" i="2" s="1"/>
  <c r="DZ83" i="4"/>
  <c r="DZ39" i="3"/>
  <c r="DY39" i="3"/>
  <c r="DY83" i="4"/>
  <c r="BT7" i="6"/>
  <c r="BU7" i="6" s="1"/>
  <c r="BV7" i="6" s="1"/>
  <c r="DT83" i="4"/>
  <c r="DT39" i="3"/>
  <c r="AG129" i="2"/>
  <c r="DW83" i="4"/>
  <c r="DW39" i="3"/>
  <c r="DX83" i="4"/>
  <c r="DX39" i="3"/>
  <c r="DR39" i="3"/>
  <c r="DR83" i="4"/>
  <c r="AE57" i="2"/>
  <c r="AF57" i="2" s="1"/>
  <c r="DU83" i="4"/>
  <c r="DU39" i="3"/>
  <c r="AI74" i="2"/>
  <c r="CZ126" i="4"/>
  <c r="DA126" i="4" s="1"/>
  <c r="DB126" i="4" s="1"/>
  <c r="DC126" i="4" s="1"/>
  <c r="DS39" i="3"/>
  <c r="DS83" i="4"/>
  <c r="AK27" i="2"/>
  <c r="AG146" i="2"/>
  <c r="AG91" i="2"/>
  <c r="AG126" i="2"/>
  <c r="BU59" i="3"/>
  <c r="BV10" i="6"/>
  <c r="BC38" i="6" s="1"/>
  <c r="BU96" i="3"/>
  <c r="BV10" i="4"/>
  <c r="S31" i="5" s="1"/>
  <c r="BV20" i="6"/>
  <c r="BV9" i="6"/>
  <c r="BC37" i="6" s="1"/>
  <c r="BV11" i="6"/>
  <c r="BW56" i="3"/>
  <c r="BT18" i="6"/>
  <c r="DD83" i="4"/>
  <c r="DD39" i="3"/>
  <c r="AB78" i="3" s="1"/>
  <c r="AE146" i="2"/>
  <c r="AE91" i="2"/>
  <c r="AK11" i="2"/>
  <c r="AL11" i="2" s="1"/>
  <c r="DQ45" i="3"/>
  <c r="DQ85" i="4"/>
  <c r="BS102" i="3"/>
  <c r="BT8" i="4"/>
  <c r="BS103" i="3"/>
  <c r="BU53" i="3"/>
  <c r="DE125" i="4"/>
  <c r="BV13" i="4"/>
  <c r="S34" i="5" s="1"/>
  <c r="BV12" i="4"/>
  <c r="S33" i="5" s="1"/>
  <c r="AI14" i="2"/>
  <c r="AD127" i="2"/>
  <c r="DL12" i="3"/>
  <c r="AD60" i="2"/>
  <c r="BV5" i="4"/>
  <c r="S25" i="5" s="1"/>
  <c r="BW50" i="3"/>
  <c r="AN71" i="2"/>
  <c r="AO71" i="2" s="1"/>
  <c r="R87" i="3"/>
  <c r="R75" i="3"/>
  <c r="BR4" i="4"/>
  <c r="BR48" i="4" s="1"/>
  <c r="BQ97" i="3"/>
  <c r="BS49" i="3"/>
  <c r="AJ41" i="2"/>
  <c r="BQ48" i="4"/>
  <c r="R24" i="5"/>
  <c r="R36" i="5" s="1"/>
  <c r="BU8" i="6"/>
  <c r="AH143" i="2"/>
  <c r="AC61" i="2"/>
  <c r="AC69" i="2"/>
  <c r="AC130" i="2"/>
  <c r="BR99" i="3"/>
  <c r="BS61" i="3"/>
  <c r="BS16" i="4" s="1"/>
  <c r="BT54" i="3"/>
  <c r="AF144" i="2"/>
  <c r="AF90" i="2"/>
  <c r="BT14" i="4"/>
  <c r="BU60" i="3"/>
  <c r="AM12" i="2"/>
  <c r="S64" i="3"/>
  <c r="BV9" i="4"/>
  <c r="S30" i="5" s="1"/>
  <c r="BU100" i="3"/>
  <c r="BW55" i="3"/>
  <c r="S69" i="3"/>
  <c r="S90" i="3" s="1"/>
  <c r="AM26" i="2"/>
  <c r="AH56" i="2"/>
  <c r="AK29" i="2"/>
  <c r="BU6" i="6"/>
  <c r="BV6" i="6" s="1"/>
  <c r="AN12" i="2"/>
  <c r="AO12" i="2" s="1"/>
  <c r="AE45" i="2"/>
  <c r="AE46" i="2" s="1"/>
  <c r="AD146" i="2"/>
  <c r="AD91" i="2"/>
  <c r="AJ13" i="2"/>
  <c r="DH83" i="4"/>
  <c r="DH39" i="3"/>
  <c r="AC78" i="3" s="1"/>
  <c r="AG144" i="2"/>
  <c r="AF138" i="2"/>
  <c r="AF76" i="2"/>
  <c r="AB130" i="2"/>
  <c r="AB61" i="2"/>
  <c r="AB69" i="2"/>
  <c r="AK142" i="2"/>
  <c r="AL142" i="2"/>
  <c r="AH28" i="2"/>
  <c r="AG30" i="2"/>
  <c r="AH88" i="2"/>
  <c r="AK44" i="2"/>
  <c r="AL44" i="2" s="1"/>
  <c r="AI135" i="2"/>
  <c r="AJ72" i="2"/>
  <c r="AM86" i="2"/>
  <c r="BT19" i="6"/>
  <c r="BU12" i="6"/>
  <c r="BU19" i="6" s="1"/>
  <c r="AI87" i="2"/>
  <c r="AM134" i="2"/>
  <c r="DM45" i="3"/>
  <c r="DM85" i="4"/>
  <c r="BS98" i="3"/>
  <c r="BT6" i="4"/>
  <c r="BU51" i="3"/>
  <c r="BV12" i="6"/>
  <c r="BV19" i="6" s="1"/>
  <c r="AF42" i="2"/>
  <c r="BO70" i="4"/>
  <c r="BO49" i="4" s="1"/>
  <c r="BP49" i="4" s="1"/>
  <c r="DF54" i="4"/>
  <c r="DE95" i="3" s="1"/>
  <c r="DE105" i="3" s="1"/>
  <c r="DF92" i="4"/>
  <c r="DF125" i="4" s="1"/>
  <c r="DJ76" i="4"/>
  <c r="DN21" i="4"/>
  <c r="DJ3" i="4"/>
  <c r="DJ48" i="3"/>
  <c r="DI76" i="4"/>
  <c r="DM21" i="4"/>
  <c r="DI3" i="4"/>
  <c r="DI48" i="3"/>
  <c r="DE54" i="4"/>
  <c r="DD95" i="3" s="1"/>
  <c r="DD105" i="3" s="1"/>
  <c r="DE92" i="4"/>
  <c r="DH76" i="4"/>
  <c r="DH3" i="4"/>
  <c r="DL21" i="4"/>
  <c r="DH48" i="3"/>
  <c r="DD54" i="4"/>
  <c r="DC95" i="3" s="1"/>
  <c r="DC105" i="3" s="1"/>
  <c r="DD92" i="4"/>
  <c r="DL4" i="3"/>
  <c r="DH21" i="3"/>
  <c r="DV4" i="3"/>
  <c r="DR21" i="3"/>
  <c r="DM21" i="3"/>
  <c r="DQ4" i="3"/>
  <c r="BX11" i="4" l="1"/>
  <c r="BX14" i="6"/>
  <c r="BX15" i="6"/>
  <c r="BX13" i="6"/>
  <c r="BX21" i="6"/>
  <c r="BW101" i="3"/>
  <c r="AI128" i="2"/>
  <c r="AJ58" i="2"/>
  <c r="BX16" i="6"/>
  <c r="DW125" i="4"/>
  <c r="AJ59" i="2"/>
  <c r="AJ129" i="2" s="1"/>
  <c r="AG76" i="2"/>
  <c r="BX58" i="3"/>
  <c r="DS125" i="4"/>
  <c r="AK59" i="2"/>
  <c r="AK129" i="2" s="1"/>
  <c r="BW12" i="4"/>
  <c r="AE60" i="2"/>
  <c r="AE69" i="2" s="1"/>
  <c r="AI145" i="2"/>
  <c r="AJ89" i="2"/>
  <c r="AH136" i="2"/>
  <c r="AH75" i="2"/>
  <c r="DP12" i="3"/>
  <c r="DP39" i="3" s="1"/>
  <c r="AE78" i="3" s="1"/>
  <c r="AE127" i="2"/>
  <c r="AI73" i="2"/>
  <c r="AF60" i="2"/>
  <c r="AF127" i="2"/>
  <c r="AG57" i="2"/>
  <c r="AH57" i="2" s="1"/>
  <c r="AH127" i="2" s="1"/>
  <c r="AL27" i="2"/>
  <c r="AM27" i="2" s="1"/>
  <c r="AN27" i="2" s="1"/>
  <c r="AO27" i="2" s="1"/>
  <c r="AH43" i="2"/>
  <c r="AI43" i="2" s="1"/>
  <c r="AG78" i="3"/>
  <c r="BT22" i="6"/>
  <c r="BT23" i="6" s="1"/>
  <c r="AF78" i="3"/>
  <c r="AJ74" i="2"/>
  <c r="AK74" i="2" s="1"/>
  <c r="AK137" i="2" s="1"/>
  <c r="AI137" i="2"/>
  <c r="AO134" i="2"/>
  <c r="BW5" i="4"/>
  <c r="BX50" i="3"/>
  <c r="AD61" i="2"/>
  <c r="AD130" i="2"/>
  <c r="AD69" i="2"/>
  <c r="BW12" i="6"/>
  <c r="BU18" i="6"/>
  <c r="BU22" i="6" s="1"/>
  <c r="BU23" i="6" s="1"/>
  <c r="DL83" i="4"/>
  <c r="DL39" i="3"/>
  <c r="AD78" i="3" s="1"/>
  <c r="BT102" i="3"/>
  <c r="BU8" i="4"/>
  <c r="BT103" i="3"/>
  <c r="BV53" i="3"/>
  <c r="DD125" i="4"/>
  <c r="DD126" i="4" s="1"/>
  <c r="DE126" i="4" s="1"/>
  <c r="DF126" i="4" s="1"/>
  <c r="DG126" i="4" s="1"/>
  <c r="AH90" i="2"/>
  <c r="AK41" i="2"/>
  <c r="AI88" i="2"/>
  <c r="AJ88" i="2" s="1"/>
  <c r="AJ144" i="2" s="1"/>
  <c r="BV8" i="6"/>
  <c r="BC35" i="6" s="1"/>
  <c r="AF45" i="2"/>
  <c r="AF46" i="2" s="1"/>
  <c r="BT98" i="3"/>
  <c r="BU6" i="4"/>
  <c r="BV51" i="3"/>
  <c r="S65" i="3"/>
  <c r="S88" i="3" s="1"/>
  <c r="AH126" i="2"/>
  <c r="AI56" i="2"/>
  <c r="AJ56" i="2" s="1"/>
  <c r="BS4" i="4"/>
  <c r="BR97" i="3"/>
  <c r="BT49" i="3"/>
  <c r="BW9" i="4"/>
  <c r="BV100" i="3"/>
  <c r="BX55" i="3"/>
  <c r="AI143" i="2"/>
  <c r="AJ14" i="2"/>
  <c r="AI15" i="2"/>
  <c r="AH30" i="2"/>
  <c r="AI28" i="2"/>
  <c r="AJ28" i="2"/>
  <c r="AJ30" i="2" s="1"/>
  <c r="BU14" i="4"/>
  <c r="BV60" i="3"/>
  <c r="BC32" i="6"/>
  <c r="S67" i="3"/>
  <c r="AG127" i="2"/>
  <c r="AI57" i="2"/>
  <c r="AI127" i="2" s="1"/>
  <c r="AJ87" i="2"/>
  <c r="BV59" i="3"/>
  <c r="S73" i="3" s="1"/>
  <c r="BS99" i="3"/>
  <c r="BT61" i="3"/>
  <c r="BT16" i="4" s="1"/>
  <c r="BU54" i="3"/>
  <c r="AN134" i="2"/>
  <c r="BW10" i="6"/>
  <c r="BW6" i="6"/>
  <c r="BW20" i="6"/>
  <c r="BW9" i="6"/>
  <c r="BW7" i="6"/>
  <c r="BW11" i="6"/>
  <c r="BV96" i="3"/>
  <c r="BW10" i="4"/>
  <c r="BX56" i="3"/>
  <c r="BR38" i="4"/>
  <c r="BR68" i="4"/>
  <c r="BR70" i="4" s="1"/>
  <c r="BY13" i="6"/>
  <c r="BY21" i="6"/>
  <c r="BY16" i="6"/>
  <c r="BY15" i="6"/>
  <c r="BY11" i="4"/>
  <c r="BY14" i="6"/>
  <c r="BX101" i="3"/>
  <c r="BZ57" i="3"/>
  <c r="AF146" i="2"/>
  <c r="AF91" i="2"/>
  <c r="AG42" i="2"/>
  <c r="BQ38" i="4"/>
  <c r="BQ68" i="4"/>
  <c r="AM142" i="2"/>
  <c r="AK13" i="2"/>
  <c r="AH144" i="2"/>
  <c r="AN26" i="2"/>
  <c r="AO26" i="2"/>
  <c r="AJ135" i="2"/>
  <c r="AL29" i="2"/>
  <c r="AM11" i="2"/>
  <c r="AG60" i="2"/>
  <c r="BX12" i="4"/>
  <c r="BX13" i="4"/>
  <c r="BY58" i="3"/>
  <c r="AN86" i="2"/>
  <c r="AO86" i="2" s="1"/>
  <c r="AK72" i="2"/>
  <c r="AM44" i="2"/>
  <c r="AN44" i="2" s="1"/>
  <c r="DU4" i="3"/>
  <c r="DQ21" i="3"/>
  <c r="DV21" i="3"/>
  <c r="DZ4" i="3"/>
  <c r="DL21" i="3"/>
  <c r="DP4" i="3"/>
  <c r="DL76" i="4"/>
  <c r="DP21" i="4"/>
  <c r="DL48" i="3"/>
  <c r="DL3" i="4"/>
  <c r="DH54" i="4"/>
  <c r="DG95" i="3" s="1"/>
  <c r="DG105" i="3" s="1"/>
  <c r="DH92" i="4"/>
  <c r="DH125" i="4" s="1"/>
  <c r="DM76" i="4"/>
  <c r="DM3" i="4"/>
  <c r="DQ21" i="4"/>
  <c r="DM48" i="3"/>
  <c r="DI54" i="4"/>
  <c r="DH95" i="3" s="1"/>
  <c r="DH105" i="3" s="1"/>
  <c r="DI92" i="4"/>
  <c r="DI125" i="4" s="1"/>
  <c r="DR21" i="4"/>
  <c r="DN3" i="4"/>
  <c r="DN76" i="4"/>
  <c r="DN48" i="3"/>
  <c r="DJ92" i="4"/>
  <c r="DJ125" i="4" s="1"/>
  <c r="DJ54" i="4"/>
  <c r="DI95" i="3" s="1"/>
  <c r="DI105" i="3" s="1"/>
  <c r="BV22" i="6" l="1"/>
  <c r="BV23" i="6" s="1"/>
  <c r="BV18" i="6"/>
  <c r="AJ128" i="2"/>
  <c r="AK58" i="2"/>
  <c r="AL59" i="2"/>
  <c r="AL129" i="2" s="1"/>
  <c r="BW8" i="6"/>
  <c r="BX8" i="6" s="1"/>
  <c r="DP83" i="4"/>
  <c r="AJ145" i="2"/>
  <c r="AE61" i="2"/>
  <c r="AE130" i="2"/>
  <c r="AI136" i="2"/>
  <c r="AJ73" i="2"/>
  <c r="AI75" i="2"/>
  <c r="AM59" i="2"/>
  <c r="AM129" i="2" s="1"/>
  <c r="AH138" i="2"/>
  <c r="AH76" i="2"/>
  <c r="AH60" i="2"/>
  <c r="AH69" i="2" s="1"/>
  <c r="AK73" i="2"/>
  <c r="AK136" i="2" s="1"/>
  <c r="AK89" i="2"/>
  <c r="AI90" i="2"/>
  <c r="AI146" i="2" s="1"/>
  <c r="AF130" i="2"/>
  <c r="AF69" i="2"/>
  <c r="AF61" i="2"/>
  <c r="AJ137" i="2"/>
  <c r="AL74" i="2"/>
  <c r="AL137" i="2" s="1"/>
  <c r="BC33" i="6"/>
  <c r="AJ126" i="2"/>
  <c r="AO142" i="2"/>
  <c r="AK135" i="2"/>
  <c r="AI30" i="2"/>
  <c r="AK28" i="2"/>
  <c r="AK30" i="2" s="1"/>
  <c r="AK88" i="2"/>
  <c r="AK144" i="2" s="1"/>
  <c r="BW59" i="3"/>
  <c r="BS48" i="4"/>
  <c r="DH126" i="4"/>
  <c r="DI126" i="4" s="1"/>
  <c r="DJ126" i="4" s="1"/>
  <c r="DK126" i="4" s="1"/>
  <c r="AG45" i="2"/>
  <c r="AG46" i="2" s="1"/>
  <c r="AH42" i="2"/>
  <c r="AI42" i="2" s="1"/>
  <c r="AI45" i="2" s="1"/>
  <c r="AI46" i="2" s="1"/>
  <c r="DL125" i="4"/>
  <c r="AI60" i="2"/>
  <c r="AI126" i="2"/>
  <c r="AJ143" i="2"/>
  <c r="AJ90" i="2"/>
  <c r="AJ43" i="2"/>
  <c r="AJ15" i="2"/>
  <c r="AI144" i="2"/>
  <c r="AL13" i="2"/>
  <c r="AM13" i="2" s="1"/>
  <c r="AN13" i="2" s="1"/>
  <c r="BW100" i="3"/>
  <c r="BX9" i="4"/>
  <c r="BY55" i="3"/>
  <c r="AL41" i="2"/>
  <c r="BW19" i="6"/>
  <c r="BX12" i="6"/>
  <c r="AN142" i="2"/>
  <c r="BS97" i="3"/>
  <c r="BT4" i="4"/>
  <c r="BT48" i="4" s="1"/>
  <c r="BU49" i="3"/>
  <c r="AM29" i="2"/>
  <c r="AN29" i="2"/>
  <c r="AO29" i="2" s="1"/>
  <c r="AK87" i="2"/>
  <c r="BW18" i="6"/>
  <c r="AH91" i="2"/>
  <c r="AH146" i="2"/>
  <c r="BC34" i="6"/>
  <c r="BC39" i="6" s="1"/>
  <c r="BX5" i="4"/>
  <c r="BY50" i="3"/>
  <c r="S26" i="5"/>
  <c r="BX10" i="6"/>
  <c r="BX20" i="6"/>
  <c r="BX6" i="6"/>
  <c r="BX7" i="6"/>
  <c r="BX9" i="6"/>
  <c r="BX11" i="6"/>
  <c r="BX10" i="4"/>
  <c r="BW96" i="3"/>
  <c r="BY56" i="3"/>
  <c r="BZ16" i="6"/>
  <c r="BZ13" i="6"/>
  <c r="BZ21" i="6"/>
  <c r="BZ15" i="6"/>
  <c r="BZ11" i="4"/>
  <c r="T32" i="5" s="1"/>
  <c r="BY101" i="3"/>
  <c r="BZ14" i="6"/>
  <c r="CA57" i="3"/>
  <c r="T71" i="3"/>
  <c r="T91" i="3" s="1"/>
  <c r="AN11" i="2"/>
  <c r="AJ57" i="2"/>
  <c r="AJ60" i="2" s="1"/>
  <c r="AK14" i="2"/>
  <c r="AO11" i="2"/>
  <c r="BU98" i="3"/>
  <c r="BV6" i="4"/>
  <c r="BW51" i="3"/>
  <c r="BV14" i="4"/>
  <c r="S35" i="5" s="1"/>
  <c r="BW60" i="3"/>
  <c r="S74" i="3"/>
  <c r="S92" i="3" s="1"/>
  <c r="BY12" i="4"/>
  <c r="BY13" i="4"/>
  <c r="BZ58" i="3"/>
  <c r="AG130" i="2"/>
  <c r="AG61" i="2"/>
  <c r="AG69" i="2"/>
  <c r="AK56" i="2"/>
  <c r="AL56" i="2" s="1"/>
  <c r="AL72" i="2"/>
  <c r="AO44" i="2"/>
  <c r="BQ70" i="4"/>
  <c r="R17" i="5"/>
  <c r="R19" i="5" s="1"/>
  <c r="BU61" i="3"/>
  <c r="BU16" i="4" s="1"/>
  <c r="BT99" i="3"/>
  <c r="BV54" i="3"/>
  <c r="BV8" i="4"/>
  <c r="S28" i="5" s="1"/>
  <c r="BU103" i="3"/>
  <c r="BU102" i="3"/>
  <c r="BW53" i="3"/>
  <c r="DN92" i="4"/>
  <c r="DN125" i="4" s="1"/>
  <c r="DN54" i="4"/>
  <c r="DM95" i="3" s="1"/>
  <c r="DM105" i="3" s="1"/>
  <c r="DR76" i="4"/>
  <c r="DR3" i="4"/>
  <c r="DV21" i="4"/>
  <c r="DR48" i="3"/>
  <c r="DU21" i="4"/>
  <c r="DQ76" i="4"/>
  <c r="DQ3" i="4"/>
  <c r="DQ48" i="3"/>
  <c r="DM54" i="4"/>
  <c r="DL95" i="3" s="1"/>
  <c r="DL105" i="3" s="1"/>
  <c r="DM92" i="4"/>
  <c r="DM125" i="4" s="1"/>
  <c r="DT21" i="4"/>
  <c r="DP3" i="4"/>
  <c r="DP76" i="4"/>
  <c r="DP48" i="3"/>
  <c r="DL92" i="4"/>
  <c r="DL54" i="4"/>
  <c r="DK95" i="3" s="1"/>
  <c r="DK105" i="3" s="1"/>
  <c r="DP21" i="3"/>
  <c r="DT4" i="3"/>
  <c r="DZ21" i="3"/>
  <c r="ED4" i="3"/>
  <c r="DU21" i="3"/>
  <c r="DY4" i="3"/>
  <c r="AK128" i="2" l="1"/>
  <c r="AL58" i="2"/>
  <c r="AK145" i="2"/>
  <c r="AI138" i="2"/>
  <c r="AI76" i="2"/>
  <c r="AH61" i="2"/>
  <c r="AL73" i="2"/>
  <c r="AL136" i="2" s="1"/>
  <c r="AH130" i="2"/>
  <c r="BW22" i="6"/>
  <c r="BW23" i="6" s="1"/>
  <c r="AI91" i="2"/>
  <c r="AN59" i="2"/>
  <c r="AN129" i="2" s="1"/>
  <c r="AJ136" i="2"/>
  <c r="AJ75" i="2"/>
  <c r="AL89" i="2"/>
  <c r="AL145" i="2" s="1"/>
  <c r="AK75" i="2"/>
  <c r="AK138" i="2" s="1"/>
  <c r="AM73" i="2"/>
  <c r="AM74" i="2"/>
  <c r="AM136" i="2"/>
  <c r="AL126" i="2"/>
  <c r="AJ130" i="2"/>
  <c r="AJ61" i="2"/>
  <c r="AK43" i="2"/>
  <c r="AM41" i="2"/>
  <c r="AH45" i="2"/>
  <c r="AH46" i="2" s="1"/>
  <c r="AJ42" i="2"/>
  <c r="BY11" i="6"/>
  <c r="BY7" i="6"/>
  <c r="BY8" i="6"/>
  <c r="BY6" i="6"/>
  <c r="BY9" i="6"/>
  <c r="BY20" i="6"/>
  <c r="BY10" i="6"/>
  <c r="BY10" i="4"/>
  <c r="BX96" i="3"/>
  <c r="BZ56" i="3"/>
  <c r="T70" i="3" s="1"/>
  <c r="T86" i="3" s="1"/>
  <c r="BT68" i="4"/>
  <c r="BT70" i="4" s="1"/>
  <c r="BT38" i="4"/>
  <c r="CA15" i="6"/>
  <c r="CA21" i="6"/>
  <c r="CA16" i="6"/>
  <c r="CA11" i="4"/>
  <c r="BZ101" i="3"/>
  <c r="CA14" i="6"/>
  <c r="CA13" i="6"/>
  <c r="CB57" i="3"/>
  <c r="BO73" i="4"/>
  <c r="BQ49" i="4"/>
  <c r="BR49" i="4" s="1"/>
  <c r="AM28" i="2"/>
  <c r="AM30" i="2" s="1"/>
  <c r="AK143" i="2"/>
  <c r="AK90" i="2"/>
  <c r="AL87" i="2"/>
  <c r="AL135" i="2"/>
  <c r="AL75" i="2"/>
  <c r="BV103" i="3"/>
  <c r="BW8" i="4"/>
  <c r="BV102" i="3"/>
  <c r="BX53" i="3"/>
  <c r="AK15" i="2"/>
  <c r="AM56" i="2"/>
  <c r="AN56" i="2" s="1"/>
  <c r="AM72" i="2"/>
  <c r="BY9" i="4"/>
  <c r="BX100" i="3"/>
  <c r="BZ55" i="3"/>
  <c r="DL126" i="4"/>
  <c r="DM126" i="4" s="1"/>
  <c r="DN126" i="4" s="1"/>
  <c r="DO126" i="4" s="1"/>
  <c r="AL28" i="2"/>
  <c r="AL30" i="2" s="1"/>
  <c r="AL14" i="2"/>
  <c r="BS38" i="4"/>
  <c r="BS68" i="4"/>
  <c r="BW6" i="4"/>
  <c r="BV98" i="3"/>
  <c r="BX51" i="3"/>
  <c r="R21" i="5"/>
  <c r="R20" i="5"/>
  <c r="R39" i="5"/>
  <c r="BW14" i="4"/>
  <c r="BX60" i="3"/>
  <c r="BX59" i="3"/>
  <c r="BY5" i="4"/>
  <c r="BZ50" i="3"/>
  <c r="AI61" i="2"/>
  <c r="AI130" i="2"/>
  <c r="AI69" i="2"/>
  <c r="BZ12" i="4"/>
  <c r="T33" i="5" s="1"/>
  <c r="BZ13" i="4"/>
  <c r="T34" i="5" s="1"/>
  <c r="CA58" i="3"/>
  <c r="T72" i="3"/>
  <c r="BV61" i="3"/>
  <c r="BV16" i="4" s="1"/>
  <c r="BU99" i="3"/>
  <c r="BW54" i="3"/>
  <c r="S68" i="3"/>
  <c r="S89" i="3" s="1"/>
  <c r="BX18" i="6"/>
  <c r="AL15" i="2"/>
  <c r="AJ91" i="2"/>
  <c r="AJ146" i="2"/>
  <c r="BX19" i="6"/>
  <c r="BY12" i="6"/>
  <c r="AK126" i="2"/>
  <c r="AJ127" i="2"/>
  <c r="AK57" i="2"/>
  <c r="AK127" i="2" s="1"/>
  <c r="BT97" i="3"/>
  <c r="BU4" i="4"/>
  <c r="BU48" i="4" s="1"/>
  <c r="BV49" i="3"/>
  <c r="AO13" i="2"/>
  <c r="AL88" i="2"/>
  <c r="AM88" i="2" s="1"/>
  <c r="AM144" i="2" s="1"/>
  <c r="DY21" i="3"/>
  <c r="EC4" i="3"/>
  <c r="ED21" i="3"/>
  <c r="EH4" i="3"/>
  <c r="DX4" i="3"/>
  <c r="DT21" i="3"/>
  <c r="DP92" i="4"/>
  <c r="DP125" i="4" s="1"/>
  <c r="DP54" i="4"/>
  <c r="DO95" i="3" s="1"/>
  <c r="DO105" i="3" s="1"/>
  <c r="DX21" i="4"/>
  <c r="DT76" i="4"/>
  <c r="DT3" i="4"/>
  <c r="DT48" i="3"/>
  <c r="DQ92" i="4"/>
  <c r="DQ125" i="4" s="1"/>
  <c r="DQ54" i="4"/>
  <c r="DP95" i="3" s="1"/>
  <c r="DP105" i="3" s="1"/>
  <c r="DU76" i="4"/>
  <c r="DY21" i="4"/>
  <c r="DU3" i="4"/>
  <c r="DU48" i="3"/>
  <c r="DZ21" i="4"/>
  <c r="DV76" i="4"/>
  <c r="DV48" i="3"/>
  <c r="DV3" i="4"/>
  <c r="DR54" i="4"/>
  <c r="DQ95" i="3" s="1"/>
  <c r="DQ105" i="3" s="1"/>
  <c r="DR92" i="4"/>
  <c r="DR125" i="4" s="1"/>
  <c r="AL128" i="2" l="1"/>
  <c r="AM58" i="2"/>
  <c r="AO59" i="2"/>
  <c r="AO129" i="2" s="1"/>
  <c r="AK76" i="2"/>
  <c r="AJ138" i="2"/>
  <c r="AJ76" i="2"/>
  <c r="AJ69" i="2"/>
  <c r="AM89" i="2"/>
  <c r="AM145" i="2" s="1"/>
  <c r="AO73" i="2"/>
  <c r="AO136" i="2" s="1"/>
  <c r="AN73" i="2"/>
  <c r="AN136" i="2" s="1"/>
  <c r="BX22" i="6"/>
  <c r="BX23" i="6" s="1"/>
  <c r="AO56" i="2"/>
  <c r="AO126" i="2" s="1"/>
  <c r="AM137" i="2"/>
  <c r="AN74" i="2"/>
  <c r="BV99" i="3"/>
  <c r="BX54" i="3"/>
  <c r="T25" i="5"/>
  <c r="CB21" i="6"/>
  <c r="CB14" i="6"/>
  <c r="CB16" i="6"/>
  <c r="CB11" i="4"/>
  <c r="CA101" i="3"/>
  <c r="CB13" i="6"/>
  <c r="CB15" i="6"/>
  <c r="CC57" i="3"/>
  <c r="BY18" i="6"/>
  <c r="AK91" i="2"/>
  <c r="AK146" i="2"/>
  <c r="AK60" i="2"/>
  <c r="AN126" i="2"/>
  <c r="BW103" i="3"/>
  <c r="BW102" i="3"/>
  <c r="BX8" i="4"/>
  <c r="BY53" i="3"/>
  <c r="BZ9" i="4"/>
  <c r="T30" i="5" s="1"/>
  <c r="BY100" i="3"/>
  <c r="CA55" i="3"/>
  <c r="BY59" i="3"/>
  <c r="BS49" i="4"/>
  <c r="BT49" i="4" s="1"/>
  <c r="BZ8" i="6"/>
  <c r="BD35" i="6" s="1"/>
  <c r="BZ10" i="4"/>
  <c r="T31" i="5" s="1"/>
  <c r="BZ6" i="6"/>
  <c r="BZ20" i="6"/>
  <c r="BZ9" i="6"/>
  <c r="BD37" i="6" s="1"/>
  <c r="BY96" i="3"/>
  <c r="BZ11" i="6"/>
  <c r="BZ10" i="6"/>
  <c r="BD38" i="6" s="1"/>
  <c r="BZ7" i="6"/>
  <c r="CA56" i="3"/>
  <c r="BZ5" i="4"/>
  <c r="CA50" i="3"/>
  <c r="BY19" i="6"/>
  <c r="BZ12" i="6"/>
  <c r="AL144" i="2"/>
  <c r="AN88" i="2"/>
  <c r="BX6" i="4"/>
  <c r="BW98" i="3"/>
  <c r="BY51" i="3"/>
  <c r="AM135" i="2"/>
  <c r="AM75" i="2"/>
  <c r="AN72" i="2"/>
  <c r="AL43" i="2"/>
  <c r="AM43" i="2" s="1"/>
  <c r="AN28" i="2"/>
  <c r="AN30" i="2" s="1"/>
  <c r="CA12" i="4"/>
  <c r="CA13" i="4"/>
  <c r="CB58" i="3"/>
  <c r="AM14" i="2"/>
  <c r="AM15" i="2" s="1"/>
  <c r="BX14" i="4"/>
  <c r="BY60" i="3"/>
  <c r="AJ45" i="2"/>
  <c r="AJ46" i="2" s="1"/>
  <c r="AK42" i="2"/>
  <c r="AL57" i="2"/>
  <c r="AM57" i="2" s="1"/>
  <c r="AM127" i="2" s="1"/>
  <c r="BS70" i="4"/>
  <c r="DP126" i="4"/>
  <c r="DQ126" i="4" s="1"/>
  <c r="DR126" i="4" s="1"/>
  <c r="DS126" i="4" s="1"/>
  <c r="AL76" i="2"/>
  <c r="AL138" i="2"/>
  <c r="T64" i="3"/>
  <c r="AN41" i="2"/>
  <c r="AO41" i="2" s="1"/>
  <c r="AM126" i="2"/>
  <c r="BU97" i="3"/>
  <c r="BV4" i="4"/>
  <c r="BW49" i="3"/>
  <c r="S63" i="3"/>
  <c r="AL143" i="2"/>
  <c r="AL90" i="2"/>
  <c r="BU38" i="4"/>
  <c r="BU68" i="4"/>
  <c r="BU70" i="4" s="1"/>
  <c r="T69" i="3"/>
  <c r="T90" i="3" s="1"/>
  <c r="AM87" i="2"/>
  <c r="DV92" i="4"/>
  <c r="DV125" i="4" s="1"/>
  <c r="DV54" i="4"/>
  <c r="DU95" i="3" s="1"/>
  <c r="DU105" i="3" s="1"/>
  <c r="DZ76" i="4"/>
  <c r="DZ48" i="3"/>
  <c r="DZ3" i="4"/>
  <c r="DY48" i="3"/>
  <c r="DY3" i="4"/>
  <c r="DY76" i="4"/>
  <c r="DU54" i="4"/>
  <c r="DT95" i="3" s="1"/>
  <c r="DT105" i="3" s="1"/>
  <c r="DU92" i="4"/>
  <c r="DU125" i="4" s="1"/>
  <c r="DT92" i="4"/>
  <c r="DT125" i="4" s="1"/>
  <c r="DT54" i="4"/>
  <c r="DS95" i="3" s="1"/>
  <c r="DS105" i="3" s="1"/>
  <c r="DX76" i="4"/>
  <c r="DX3" i="4"/>
  <c r="DX48" i="3"/>
  <c r="EB4" i="3"/>
  <c r="DX21" i="3"/>
  <c r="EH21" i="3"/>
  <c r="EL4" i="3"/>
  <c r="EC21" i="3"/>
  <c r="EG4" i="3"/>
  <c r="AM128" i="2" l="1"/>
  <c r="AN58" i="2"/>
  <c r="AN128" i="2" s="1"/>
  <c r="AN89" i="2"/>
  <c r="AN137" i="2"/>
  <c r="AO74" i="2"/>
  <c r="AO137" i="2" s="1"/>
  <c r="AN57" i="2"/>
  <c r="DT126" i="4"/>
  <c r="DU126" i="4" s="1"/>
  <c r="DV126" i="4" s="1"/>
  <c r="DW126" i="4" s="1"/>
  <c r="BY22" i="6"/>
  <c r="BY23" i="6" s="1"/>
  <c r="BZ18" i="6"/>
  <c r="BZ22" i="6"/>
  <c r="BZ23" i="6" s="1"/>
  <c r="BY8" i="4"/>
  <c r="BX103" i="3"/>
  <c r="BX102" i="3"/>
  <c r="BZ53" i="3"/>
  <c r="AN14" i="2"/>
  <c r="BU49" i="4"/>
  <c r="AO57" i="2"/>
  <c r="AO28" i="2"/>
  <c r="AO30" i="2" s="1"/>
  <c r="AM143" i="2"/>
  <c r="AM90" i="2"/>
  <c r="AN87" i="2"/>
  <c r="BW99" i="3"/>
  <c r="BY54" i="3"/>
  <c r="AN43" i="2"/>
  <c r="AO43" i="2" s="1"/>
  <c r="BW61" i="3"/>
  <c r="BW16" i="4" s="1"/>
  <c r="AN135" i="2"/>
  <c r="AN75" i="2"/>
  <c r="AO72" i="2"/>
  <c r="AM138" i="2"/>
  <c r="AM76" i="2"/>
  <c r="BD34" i="6"/>
  <c r="AM60" i="2"/>
  <c r="BD32" i="6"/>
  <c r="AL91" i="2"/>
  <c r="AL146" i="2"/>
  <c r="AK45" i="2"/>
  <c r="AK46" i="2" s="1"/>
  <c r="AL42" i="2"/>
  <c r="AN144" i="2"/>
  <c r="AO88" i="2"/>
  <c r="AO144" i="2" s="1"/>
  <c r="T67" i="3"/>
  <c r="BZ59" i="3"/>
  <c r="T73" i="3" s="1"/>
  <c r="BV48" i="4"/>
  <c r="S24" i="5"/>
  <c r="S36" i="5" s="1"/>
  <c r="AL127" i="2"/>
  <c r="AL60" i="2"/>
  <c r="BY6" i="4"/>
  <c r="BX98" i="3"/>
  <c r="BZ51" i="3"/>
  <c r="CB13" i="4"/>
  <c r="CB12" i="4"/>
  <c r="CC58" i="3"/>
  <c r="BZ19" i="6"/>
  <c r="CA12" i="6"/>
  <c r="BV97" i="3"/>
  <c r="BW4" i="4"/>
  <c r="BX49" i="3"/>
  <c r="AK61" i="2"/>
  <c r="AK69" i="2"/>
  <c r="AK130" i="2"/>
  <c r="BY14" i="4"/>
  <c r="BZ60" i="3"/>
  <c r="BZ100" i="3"/>
  <c r="CA9" i="4"/>
  <c r="CB55" i="3"/>
  <c r="BD33" i="6"/>
  <c r="S87" i="3"/>
  <c r="S75" i="3"/>
  <c r="CA5" i="4"/>
  <c r="CB50" i="3"/>
  <c r="CA20" i="6"/>
  <c r="BZ96" i="3"/>
  <c r="CA6" i="6"/>
  <c r="CA10" i="4"/>
  <c r="CA7" i="6"/>
  <c r="CA9" i="6"/>
  <c r="CA10" i="6"/>
  <c r="CA11" i="6"/>
  <c r="CA8" i="6"/>
  <c r="CB56" i="3"/>
  <c r="CC21" i="6"/>
  <c r="CC13" i="6"/>
  <c r="CC14" i="6"/>
  <c r="CC15" i="6"/>
  <c r="CC11" i="4"/>
  <c r="CC16" i="6"/>
  <c r="CB101" i="3"/>
  <c r="CD57" i="3"/>
  <c r="EG21" i="3"/>
  <c r="EK4" i="3"/>
  <c r="EL21" i="3"/>
  <c r="EP4" i="3"/>
  <c r="EB21" i="3"/>
  <c r="EF4" i="3"/>
  <c r="DX92" i="4"/>
  <c r="DX125" i="4" s="1"/>
  <c r="DX126" i="4" s="1"/>
  <c r="DX54" i="4"/>
  <c r="DW95" i="3" s="1"/>
  <c r="DW105" i="3" s="1"/>
  <c r="DY54" i="4"/>
  <c r="DX95" i="3" s="1"/>
  <c r="DX105" i="3" s="1"/>
  <c r="DY92" i="4"/>
  <c r="DY125" i="4" s="1"/>
  <c r="DZ92" i="4"/>
  <c r="DZ125" i="4" s="1"/>
  <c r="DZ54" i="4"/>
  <c r="DY95" i="3" s="1"/>
  <c r="DY105" i="3" s="1"/>
  <c r="AO58" i="2" l="1"/>
  <c r="AO128" i="2" s="1"/>
  <c r="AO89" i="2"/>
  <c r="AO145" i="2" s="1"/>
  <c r="AN145" i="2"/>
  <c r="DY126" i="4"/>
  <c r="DZ126" i="4" s="1"/>
  <c r="AN127" i="2"/>
  <c r="AN60" i="2"/>
  <c r="AL45" i="2"/>
  <c r="AL46" i="2" s="1"/>
  <c r="T65" i="3"/>
  <c r="T88" i="3" s="1"/>
  <c r="AM42" i="2"/>
  <c r="AN42" i="2" s="1"/>
  <c r="AN45" i="2" s="1"/>
  <c r="AN46" i="2" s="1"/>
  <c r="CC12" i="4"/>
  <c r="CC13" i="4"/>
  <c r="CD58" i="3"/>
  <c r="U72" i="3" s="1"/>
  <c r="CD15" i="6"/>
  <c r="CD13" i="6"/>
  <c r="CC101" i="3"/>
  <c r="CD16" i="6"/>
  <c r="CD21" i="6"/>
  <c r="CD14" i="6"/>
  <c r="CD11" i="4"/>
  <c r="U32" i="5" s="1"/>
  <c r="CE57" i="3"/>
  <c r="U71" i="3"/>
  <c r="U91" i="3" s="1"/>
  <c r="BZ8" i="4"/>
  <c r="T28" i="5" s="1"/>
  <c r="BY103" i="3"/>
  <c r="BY102" i="3"/>
  <c r="CA53" i="3"/>
  <c r="BX4" i="4"/>
  <c r="BW97" i="3"/>
  <c r="BY49" i="3"/>
  <c r="BV68" i="4"/>
  <c r="BV38" i="4"/>
  <c r="BY61" i="3"/>
  <c r="BY16" i="4" s="1"/>
  <c r="BX99" i="3"/>
  <c r="BZ54" i="3"/>
  <c r="AL69" i="2"/>
  <c r="AL130" i="2"/>
  <c r="AL61" i="2"/>
  <c r="AO127" i="2"/>
  <c r="AO60" i="2"/>
  <c r="AN138" i="2"/>
  <c r="AN76" i="2"/>
  <c r="CB5" i="4"/>
  <c r="CC50" i="3"/>
  <c r="AN69" i="2"/>
  <c r="BX61" i="3"/>
  <c r="BX16" i="4" s="1"/>
  <c r="CA59" i="3"/>
  <c r="BZ14" i="4"/>
  <c r="T35" i="5" s="1"/>
  <c r="CA60" i="3"/>
  <c r="T74" i="3"/>
  <c r="T92" i="3" s="1"/>
  <c r="CA18" i="6"/>
  <c r="BW48" i="4"/>
  <c r="AO135" i="2"/>
  <c r="AO75" i="2"/>
  <c r="AO14" i="2"/>
  <c r="AO15" i="2" s="1"/>
  <c r="AN15" i="2"/>
  <c r="BY98" i="3"/>
  <c r="BZ6" i="4"/>
  <c r="T26" i="5" s="1"/>
  <c r="CA51" i="3"/>
  <c r="AN143" i="2"/>
  <c r="AN90" i="2"/>
  <c r="AO87" i="2"/>
  <c r="CB9" i="4"/>
  <c r="CA100" i="3"/>
  <c r="CC55" i="3"/>
  <c r="CA19" i="6"/>
  <c r="CB12" i="6"/>
  <c r="AM91" i="2"/>
  <c r="AM146" i="2"/>
  <c r="AM130" i="2"/>
  <c r="AM61" i="2"/>
  <c r="AM69" i="2"/>
  <c r="CB7" i="6"/>
  <c r="CB11" i="6"/>
  <c r="CB20" i="6"/>
  <c r="CB8" i="6"/>
  <c r="CB9" i="6"/>
  <c r="CB6" i="6"/>
  <c r="CB10" i="6"/>
  <c r="CB10" i="4"/>
  <c r="CA96" i="3"/>
  <c r="CC56" i="3"/>
  <c r="BD39" i="6"/>
  <c r="EJ4" i="3"/>
  <c r="EF21" i="3"/>
  <c r="ET4" i="3"/>
  <c r="EP21" i="3"/>
  <c r="EK21" i="3"/>
  <c r="EO4" i="3"/>
  <c r="CA22" i="6" l="1"/>
  <c r="CA23" i="6" s="1"/>
  <c r="AN130" i="2"/>
  <c r="AN61" i="2"/>
  <c r="BZ98" i="3"/>
  <c r="CA6" i="4"/>
  <c r="CB51" i="3"/>
  <c r="AO69" i="2"/>
  <c r="AO130" i="2"/>
  <c r="AO61" i="2"/>
  <c r="AM45" i="2"/>
  <c r="AM46" i="2" s="1"/>
  <c r="AO42" i="2"/>
  <c r="AO45" i="2" s="1"/>
  <c r="AO46" i="2" s="1"/>
  <c r="CE13" i="6"/>
  <c r="CE14" i="6"/>
  <c r="CE16" i="6"/>
  <c r="CE11" i="4"/>
  <c r="CE21" i="6"/>
  <c r="CE15" i="6"/>
  <c r="CD101" i="3"/>
  <c r="CF57" i="3"/>
  <c r="AN146" i="2"/>
  <c r="AN91" i="2"/>
  <c r="CA14" i="4"/>
  <c r="CB60" i="3"/>
  <c r="CD13" i="4"/>
  <c r="U34" i="5" s="1"/>
  <c r="CD12" i="4"/>
  <c r="U33" i="5" s="1"/>
  <c r="CE58" i="3"/>
  <c r="BY99" i="3"/>
  <c r="CA54" i="3"/>
  <c r="T68" i="3"/>
  <c r="T89" i="3" s="1"/>
  <c r="BV70" i="4"/>
  <c r="S17" i="5"/>
  <c r="S19" i="5" s="1"/>
  <c r="AO143" i="2"/>
  <c r="AO90" i="2"/>
  <c r="CB59" i="3"/>
  <c r="AO76" i="2"/>
  <c r="AO138" i="2"/>
  <c r="CB18" i="6"/>
  <c r="BX97" i="3"/>
  <c r="BY4" i="4"/>
  <c r="BZ49" i="3"/>
  <c r="BZ61" i="3" s="1"/>
  <c r="BZ16" i="4" s="1"/>
  <c r="CB19" i="6"/>
  <c r="CC12" i="6"/>
  <c r="CC19" i="6" s="1"/>
  <c r="CC6" i="6"/>
  <c r="CC8" i="6"/>
  <c r="CC9" i="6"/>
  <c r="CC10" i="6"/>
  <c r="CC7" i="6"/>
  <c r="CC20" i="6"/>
  <c r="CC11" i="6"/>
  <c r="CC10" i="4"/>
  <c r="CB96" i="3"/>
  <c r="CD56" i="3"/>
  <c r="CB100" i="3"/>
  <c r="CC9" i="4"/>
  <c r="CD55" i="3"/>
  <c r="U69" i="3" s="1"/>
  <c r="U90" i="3" s="1"/>
  <c r="BZ102" i="3"/>
  <c r="CA8" i="4"/>
  <c r="BZ103" i="3"/>
  <c r="CB53" i="3"/>
  <c r="CC5" i="4"/>
  <c r="CD50" i="3"/>
  <c r="U64" i="3"/>
  <c r="BW38" i="4"/>
  <c r="BW68" i="4"/>
  <c r="BX48" i="4"/>
  <c r="ES4" i="3"/>
  <c r="EO21" i="3"/>
  <c r="ET21" i="3"/>
  <c r="EX4" i="3"/>
  <c r="EN4" i="3"/>
  <c r="EJ21" i="3"/>
  <c r="CB22" i="6" l="1"/>
  <c r="CB23" i="6" s="1"/>
  <c r="CF16" i="6"/>
  <c r="CF13" i="6"/>
  <c r="CF14" i="6"/>
  <c r="CF15" i="6"/>
  <c r="CF21" i="6"/>
  <c r="CE101" i="3"/>
  <c r="CF11" i="4"/>
  <c r="CG57" i="3"/>
  <c r="BS73" i="4"/>
  <c r="BV49" i="4"/>
  <c r="T63" i="3"/>
  <c r="BY48" i="4"/>
  <c r="CA102" i="3"/>
  <c r="CB8" i="4"/>
  <c r="CA103" i="3"/>
  <c r="CC53" i="3"/>
  <c r="BZ4" i="4"/>
  <c r="BZ48" i="4" s="1"/>
  <c r="BY97" i="3"/>
  <c r="CA49" i="3"/>
  <c r="CA98" i="3"/>
  <c r="CB6" i="4"/>
  <c r="CC51" i="3"/>
  <c r="BZ99" i="3"/>
  <c r="CB54" i="3"/>
  <c r="U25" i="5"/>
  <c r="AO91" i="2"/>
  <c r="AO146" i="2"/>
  <c r="S21" i="5"/>
  <c r="S20" i="5"/>
  <c r="S39" i="5"/>
  <c r="BX68" i="4"/>
  <c r="BX70" i="4" s="1"/>
  <c r="BX38" i="4"/>
  <c r="CE13" i="4"/>
  <c r="CE12" i="4"/>
  <c r="CF58" i="3"/>
  <c r="CC59" i="3"/>
  <c r="CB14" i="4"/>
  <c r="CC60" i="3"/>
  <c r="CC18" i="6"/>
  <c r="CC22" i="6" s="1"/>
  <c r="CC23" i="6" s="1"/>
  <c r="BE32" i="6"/>
  <c r="CD12" i="6"/>
  <c r="CD19" i="6" s="1"/>
  <c r="CC100" i="3"/>
  <c r="CD9" i="4"/>
  <c r="CE55" i="3"/>
  <c r="BW70" i="4"/>
  <c r="U30" i="5"/>
  <c r="CD5" i="4"/>
  <c r="CE50" i="3"/>
  <c r="CD7" i="6"/>
  <c r="CD9" i="6"/>
  <c r="BE37" i="6" s="1"/>
  <c r="CD8" i="6"/>
  <c r="BE35" i="6" s="1"/>
  <c r="CD6" i="6"/>
  <c r="CD20" i="6"/>
  <c r="CD11" i="6"/>
  <c r="CD10" i="4"/>
  <c r="U31" i="5" s="1"/>
  <c r="CD10" i="6"/>
  <c r="BE38" i="6" s="1"/>
  <c r="CC96" i="3"/>
  <c r="CE56" i="3"/>
  <c r="U70" i="3"/>
  <c r="U86" i="3" s="1"/>
  <c r="ER4" i="3"/>
  <c r="EN21" i="3"/>
  <c r="EX21" i="3"/>
  <c r="FB4" i="3"/>
  <c r="EW4" i="3"/>
  <c r="ES21" i="3"/>
  <c r="BE34" i="6" l="1"/>
  <c r="CG15" i="6"/>
  <c r="CG11" i="4"/>
  <c r="CG14" i="6"/>
  <c r="CG21" i="6"/>
  <c r="CG13" i="6"/>
  <c r="CF101" i="3"/>
  <c r="CG16" i="6"/>
  <c r="CH57" i="3"/>
  <c r="CA99" i="3"/>
  <c r="CB61" i="3"/>
  <c r="CB16" i="4" s="1"/>
  <c r="CC54" i="3"/>
  <c r="CD59" i="3"/>
  <c r="U73" i="3" s="1"/>
  <c r="CE5" i="4"/>
  <c r="CF50" i="3"/>
  <c r="U67" i="3"/>
  <c r="T75" i="3"/>
  <c r="T87" i="3"/>
  <c r="BY68" i="4"/>
  <c r="BY38" i="4"/>
  <c r="CE9" i="6"/>
  <c r="CE8" i="6"/>
  <c r="CE7" i="6"/>
  <c r="CE6" i="6"/>
  <c r="CE10" i="6"/>
  <c r="CD96" i="3"/>
  <c r="CE11" i="6"/>
  <c r="CE10" i="4"/>
  <c r="CE20" i="6"/>
  <c r="CF56" i="3"/>
  <c r="CF13" i="4"/>
  <c r="CF12" i="4"/>
  <c r="CG58" i="3"/>
  <c r="T24" i="5"/>
  <c r="T36" i="5" s="1"/>
  <c r="CB98" i="3"/>
  <c r="CC6" i="4"/>
  <c r="CD51" i="3"/>
  <c r="CE12" i="6"/>
  <c r="CE19" i="6" s="1"/>
  <c r="BW49" i="4"/>
  <c r="BX49" i="4" s="1"/>
  <c r="BZ68" i="4"/>
  <c r="BZ70" i="4" s="1"/>
  <c r="BZ38" i="4"/>
  <c r="CC14" i="4"/>
  <c r="CD60" i="3"/>
  <c r="U74" i="3" s="1"/>
  <c r="BE33" i="6"/>
  <c r="BE39" i="6" s="1"/>
  <c r="CA61" i="3"/>
  <c r="CA16" i="4" s="1"/>
  <c r="CD100" i="3"/>
  <c r="CE9" i="4"/>
  <c r="CF55" i="3"/>
  <c r="CD18" i="6"/>
  <c r="CD22" i="6"/>
  <c r="CD23" i="6" s="1"/>
  <c r="CA4" i="4"/>
  <c r="BZ97" i="3"/>
  <c r="CB49" i="3"/>
  <c r="CB103" i="3"/>
  <c r="CC8" i="4"/>
  <c r="CB102" i="3"/>
  <c r="CD53" i="3"/>
  <c r="EW21" i="3"/>
  <c r="FA4" i="3"/>
  <c r="FF4" i="3"/>
  <c r="FB21" i="3"/>
  <c r="EV4" i="3"/>
  <c r="ER21" i="3"/>
  <c r="CC98" i="3" l="1"/>
  <c r="CD6" i="4"/>
  <c r="CE51" i="3"/>
  <c r="U65" i="3"/>
  <c r="U88" i="3" s="1"/>
  <c r="CB4" i="4"/>
  <c r="CB48" i="4" s="1"/>
  <c r="CA97" i="3"/>
  <c r="CC49" i="3"/>
  <c r="U92" i="3"/>
  <c r="CG13" i="4"/>
  <c r="CG12" i="4"/>
  <c r="CH58" i="3"/>
  <c r="V72" i="3" s="1"/>
  <c r="CG101" i="3"/>
  <c r="CH11" i="4"/>
  <c r="V32" i="5" s="1"/>
  <c r="CH16" i="6"/>
  <c r="CH14" i="6"/>
  <c r="CH21" i="6"/>
  <c r="CH15" i="6"/>
  <c r="CH13" i="6"/>
  <c r="CI57" i="3"/>
  <c r="CD14" i="4"/>
  <c r="U35" i="5" s="1"/>
  <c r="CE60" i="3"/>
  <c r="BY70" i="4"/>
  <c r="BW73" i="4" s="1"/>
  <c r="T17" i="5"/>
  <c r="T19" i="5" s="1"/>
  <c r="T21" i="5" s="1"/>
  <c r="CA48" i="4"/>
  <c r="CF5" i="4"/>
  <c r="CG50" i="3"/>
  <c r="U26" i="5"/>
  <c r="CF7" i="6"/>
  <c r="CF20" i="6"/>
  <c r="CE96" i="3"/>
  <c r="CF10" i="6"/>
  <c r="CF10" i="4"/>
  <c r="CF6" i="6"/>
  <c r="CF11" i="6"/>
  <c r="CF9" i="6"/>
  <c r="CF8" i="6"/>
  <c r="CG56" i="3"/>
  <c r="U68" i="3"/>
  <c r="U89" i="3" s="1"/>
  <c r="V71" i="3"/>
  <c r="V91" i="3" s="1"/>
  <c r="CE59" i="3"/>
  <c r="CF12" i="6"/>
  <c r="T39" i="5"/>
  <c r="CB99" i="3"/>
  <c r="CD54" i="3"/>
  <c r="CE18" i="6"/>
  <c r="CC103" i="3"/>
  <c r="CD8" i="4"/>
  <c r="U28" i="5" s="1"/>
  <c r="CC102" i="3"/>
  <c r="CE53" i="3"/>
  <c r="CF9" i="4"/>
  <c r="CE100" i="3"/>
  <c r="CG55" i="3"/>
  <c r="EV21" i="3"/>
  <c r="EZ4" i="3"/>
  <c r="FF21" i="3"/>
  <c r="FJ4" i="3"/>
  <c r="FJ21" i="3" s="1"/>
  <c r="FE4" i="3"/>
  <c r="FA21" i="3"/>
  <c r="BY49" i="4" l="1"/>
  <c r="BZ49" i="4" s="1"/>
  <c r="CB97" i="3"/>
  <c r="CC4" i="4"/>
  <c r="CD49" i="3"/>
  <c r="CD61" i="3" s="1"/>
  <c r="CD16" i="4" s="1"/>
  <c r="CF18" i="6"/>
  <c r="CE14" i="4"/>
  <c r="CF60" i="3"/>
  <c r="CF14" i="4" s="1"/>
  <c r="CA68" i="4"/>
  <c r="CA38" i="4"/>
  <c r="CF59" i="3"/>
  <c r="CG8" i="6"/>
  <c r="CG10" i="6"/>
  <c r="CG7" i="6"/>
  <c r="CG9" i="6"/>
  <c r="CG6" i="6"/>
  <c r="CG10" i="4"/>
  <c r="CG20" i="6"/>
  <c r="CG11" i="6"/>
  <c r="CF96" i="3"/>
  <c r="CH56" i="3"/>
  <c r="CG5" i="4"/>
  <c r="CH50" i="3"/>
  <c r="CC61" i="3"/>
  <c r="CC16" i="4" s="1"/>
  <c r="CB68" i="4"/>
  <c r="CB70" i="4" s="1"/>
  <c r="CB38" i="4"/>
  <c r="CD98" i="3"/>
  <c r="CE6" i="4"/>
  <c r="CF51" i="3"/>
  <c r="CG9" i="4"/>
  <c r="CF100" i="3"/>
  <c r="CH55" i="3"/>
  <c r="V69" i="3"/>
  <c r="V90" i="3" s="1"/>
  <c r="CI15" i="6"/>
  <c r="CI21" i="6"/>
  <c r="CI13" i="6"/>
  <c r="CI11" i="4"/>
  <c r="CH101" i="3"/>
  <c r="CI14" i="6"/>
  <c r="CI16" i="6"/>
  <c r="CJ57" i="3"/>
  <c r="CE8" i="4"/>
  <c r="CD102" i="3"/>
  <c r="CD103" i="3"/>
  <c r="CF53" i="3"/>
  <c r="CC99" i="3"/>
  <c r="CE54" i="3"/>
  <c r="CF19" i="6"/>
  <c r="CG12" i="6"/>
  <c r="CH13" i="4"/>
  <c r="V34" i="5" s="1"/>
  <c r="CH12" i="4"/>
  <c r="V33" i="5" s="1"/>
  <c r="CI58" i="3"/>
  <c r="FI4" i="3"/>
  <c r="FI21" i="3" s="1"/>
  <c r="FE21" i="3"/>
  <c r="EZ21" i="3"/>
  <c r="FD4" i="3"/>
  <c r="CC48" i="4" l="1"/>
  <c r="CI12" i="4"/>
  <c r="CI13" i="4"/>
  <c r="CJ58" i="3"/>
  <c r="CG19" i="6"/>
  <c r="CH12" i="6"/>
  <c r="CD99" i="3"/>
  <c r="CE61" i="3"/>
  <c r="CE16" i="4" s="1"/>
  <c r="CF54" i="3"/>
  <c r="CG59" i="3"/>
  <c r="CI101" i="3"/>
  <c r="CJ11" i="4"/>
  <c r="CJ14" i="6"/>
  <c r="CJ21" i="6"/>
  <c r="CJ15" i="6"/>
  <c r="CJ16" i="6"/>
  <c r="CJ13" i="6"/>
  <c r="CK57" i="3"/>
  <c r="CH8" i="6"/>
  <c r="BF35" i="6" s="1"/>
  <c r="CH10" i="6"/>
  <c r="BF38" i="6" s="1"/>
  <c r="CH7" i="6"/>
  <c r="CH20" i="6"/>
  <c r="CH6" i="6"/>
  <c r="CG96" i="3"/>
  <c r="CH11" i="6"/>
  <c r="CH9" i="6"/>
  <c r="BF37" i="6" s="1"/>
  <c r="CH10" i="4"/>
  <c r="V31" i="5" s="1"/>
  <c r="CI56" i="3"/>
  <c r="CA70" i="4"/>
  <c r="CA49" i="4" s="1"/>
  <c r="CB49" i="4" s="1"/>
  <c r="CC97" i="3"/>
  <c r="CD4" i="4"/>
  <c r="CE49" i="3"/>
  <c r="U63" i="3"/>
  <c r="CF8" i="4"/>
  <c r="CE102" i="3"/>
  <c r="CE103" i="3"/>
  <c r="CG53" i="3"/>
  <c r="CG18" i="6"/>
  <c r="BF32" i="6"/>
  <c r="CH5" i="4"/>
  <c r="V25" i="5" s="1"/>
  <c r="CI50" i="3"/>
  <c r="V64" i="3"/>
  <c r="V74" i="3"/>
  <c r="CF6" i="4"/>
  <c r="CE98" i="3"/>
  <c r="CG51" i="3"/>
  <c r="V35" i="5"/>
  <c r="CC38" i="4"/>
  <c r="CC68" i="4"/>
  <c r="CC70" i="4" s="1"/>
  <c r="CH9" i="4"/>
  <c r="V30" i="5" s="1"/>
  <c r="CG100" i="3"/>
  <c r="CI55" i="3"/>
  <c r="V70" i="3"/>
  <c r="V86" i="3" s="1"/>
  <c r="FH4" i="3"/>
  <c r="FH21" i="3" s="1"/>
  <c r="FD21" i="3"/>
  <c r="CC49" i="4" l="1"/>
  <c r="BF33" i="6"/>
  <c r="CD48" i="4"/>
  <c r="U24" i="5"/>
  <c r="U36" i="5" s="1"/>
  <c r="CH19" i="6"/>
  <c r="CI12" i="6"/>
  <c r="CI19" i="6" s="1"/>
  <c r="CI5" i="4"/>
  <c r="CJ50" i="3"/>
  <c r="CK15" i="6"/>
  <c r="CK13" i="6"/>
  <c r="CK14" i="6"/>
  <c r="CK16" i="6"/>
  <c r="CK11" i="4"/>
  <c r="CK21" i="6"/>
  <c r="CJ101" i="3"/>
  <c r="CL57" i="3"/>
  <c r="W71" i="3" s="1"/>
  <c r="W91" i="3" s="1"/>
  <c r="CH18" i="6"/>
  <c r="CF103" i="3"/>
  <c r="CG8" i="4"/>
  <c r="CF102" i="3"/>
  <c r="CH53" i="3"/>
  <c r="CG6" i="4"/>
  <c r="CF98" i="3"/>
  <c r="CH51" i="3"/>
  <c r="CE99" i="3"/>
  <c r="CG54" i="3"/>
  <c r="U75" i="3"/>
  <c r="U87" i="3"/>
  <c r="CH59" i="3"/>
  <c r="CI10" i="6"/>
  <c r="CI10" i="4"/>
  <c r="CI6" i="6"/>
  <c r="CH96" i="3"/>
  <c r="CI11" i="6"/>
  <c r="CI7" i="6"/>
  <c r="CI9" i="6"/>
  <c r="CI8" i="6"/>
  <c r="CI20" i="6"/>
  <c r="CJ56" i="3"/>
  <c r="CJ12" i="4"/>
  <c r="CJ13" i="4"/>
  <c r="CK58" i="3"/>
  <c r="V65" i="3"/>
  <c r="V88" i="3" s="1"/>
  <c r="CH100" i="3"/>
  <c r="CI9" i="4"/>
  <c r="CJ55" i="3"/>
  <c r="CE4" i="4"/>
  <c r="CD97" i="3"/>
  <c r="CF49" i="3"/>
  <c r="CF61" i="3" s="1"/>
  <c r="CF16" i="4" s="1"/>
  <c r="BF34" i="6"/>
  <c r="BF39" i="6" s="1"/>
  <c r="CJ12" i="6" l="1"/>
  <c r="CJ19" i="6" s="1"/>
  <c r="CI59" i="3"/>
  <c r="V73" i="3"/>
  <c r="CJ5" i="4"/>
  <c r="CK50" i="3"/>
  <c r="CK12" i="4"/>
  <c r="CK13" i="4"/>
  <c r="CL58" i="3"/>
  <c r="CL21" i="6"/>
  <c r="CL13" i="6"/>
  <c r="CL14" i="6"/>
  <c r="CL15" i="6"/>
  <c r="CL16" i="6"/>
  <c r="CK101" i="3"/>
  <c r="CL11" i="4"/>
  <c r="W32" i="5" s="1"/>
  <c r="CM57" i="3"/>
  <c r="CG102" i="3"/>
  <c r="CH8" i="4"/>
  <c r="CG103" i="3"/>
  <c r="CI53" i="3"/>
  <c r="V67" i="3"/>
  <c r="CF4" i="4"/>
  <c r="CF48" i="4" s="1"/>
  <c r="CE97" i="3"/>
  <c r="CG49" i="3"/>
  <c r="CD38" i="4"/>
  <c r="CD68" i="4"/>
  <c r="V28" i="5"/>
  <c r="CJ11" i="6"/>
  <c r="CJ9" i="6"/>
  <c r="CJ7" i="6"/>
  <c r="CJ10" i="6"/>
  <c r="CJ20" i="6"/>
  <c r="CJ6" i="6"/>
  <c r="CJ8" i="6"/>
  <c r="CJ10" i="4"/>
  <c r="CI96" i="3"/>
  <c r="CK56" i="3"/>
  <c r="CF99" i="3"/>
  <c r="CH54" i="3"/>
  <c r="W72" i="3"/>
  <c r="CE48" i="4"/>
  <c r="CI100" i="3"/>
  <c r="CJ9" i="4"/>
  <c r="CK55" i="3"/>
  <c r="CG98" i="3"/>
  <c r="CH6" i="4"/>
  <c r="CI51" i="3"/>
  <c r="CI18" i="6"/>
  <c r="CK12" i="6"/>
  <c r="CK19" i="6" s="1"/>
  <c r="V26" i="5"/>
  <c r="CJ100" i="3" l="1"/>
  <c r="CK9" i="4"/>
  <c r="CL55" i="3"/>
  <c r="CG4" i="4"/>
  <c r="CF97" i="3"/>
  <c r="CH49" i="3"/>
  <c r="CK10" i="4"/>
  <c r="CJ96" i="3"/>
  <c r="CK20" i="6"/>
  <c r="CK11" i="6"/>
  <c r="CK9" i="6"/>
  <c r="CK10" i="6"/>
  <c r="CK8" i="6"/>
  <c r="CK7" i="6"/>
  <c r="CK6" i="6"/>
  <c r="CL56" i="3"/>
  <c r="CK5" i="4"/>
  <c r="CL50" i="3"/>
  <c r="CE38" i="4"/>
  <c r="CE68" i="4"/>
  <c r="CG99" i="3"/>
  <c r="CI54" i="3"/>
  <c r="V68" i="3"/>
  <c r="V89" i="3" s="1"/>
  <c r="CD70" i="4"/>
  <c r="U17" i="5"/>
  <c r="U19" i="5" s="1"/>
  <c r="CJ18" i="6"/>
  <c r="CF38" i="4"/>
  <c r="CF68" i="4"/>
  <c r="CF70" i="4" s="1"/>
  <c r="V92" i="3"/>
  <c r="CH103" i="3"/>
  <c r="CI8" i="4"/>
  <c r="CH102" i="3"/>
  <c r="CJ53" i="3"/>
  <c r="CI6" i="4"/>
  <c r="CH98" i="3"/>
  <c r="CJ51" i="3"/>
  <c r="CG61" i="3"/>
  <c r="CG16" i="4" s="1"/>
  <c r="CJ59" i="3"/>
  <c r="W33" i="5"/>
  <c r="CM14" i="6"/>
  <c r="CM21" i="6"/>
  <c r="CM13" i="6"/>
  <c r="CM15" i="6"/>
  <c r="CM11" i="4"/>
  <c r="CM16" i="6"/>
  <c r="CL101" i="3"/>
  <c r="CN57" i="3"/>
  <c r="CL12" i="6"/>
  <c r="CL19" i="6" s="1"/>
  <c r="CL12" i="4"/>
  <c r="CL13" i="4"/>
  <c r="W34" i="5" s="1"/>
  <c r="CM58" i="3"/>
  <c r="CK18" i="6" l="1"/>
  <c r="CG48" i="4"/>
  <c r="CG68" i="4" s="1"/>
  <c r="CG70" i="4" s="1"/>
  <c r="W69" i="3"/>
  <c r="W90" i="3" s="1"/>
  <c r="CK59" i="3"/>
  <c r="CM13" i="4"/>
  <c r="CM12" i="4"/>
  <c r="CN58" i="3"/>
  <c r="CL5" i="4"/>
  <c r="W25" i="5" s="1"/>
  <c r="CM50" i="3"/>
  <c r="W64" i="3"/>
  <c r="CL8" i="6"/>
  <c r="BG35" i="6" s="1"/>
  <c r="CL20" i="6"/>
  <c r="CL11" i="6"/>
  <c r="CL10" i="6"/>
  <c r="BG38" i="6" s="1"/>
  <c r="CL9" i="6"/>
  <c r="BG37" i="6" s="1"/>
  <c r="CL7" i="6"/>
  <c r="CL6" i="6"/>
  <c r="CK96" i="3"/>
  <c r="CL10" i="4"/>
  <c r="W31" i="5" s="1"/>
  <c r="CM56" i="3"/>
  <c r="CH4" i="4"/>
  <c r="CG97" i="3"/>
  <c r="CI49" i="3"/>
  <c r="V63" i="3"/>
  <c r="W70" i="3"/>
  <c r="W86" i="3" s="1"/>
  <c r="CJ6" i="4"/>
  <c r="CI98" i="3"/>
  <c r="CK51" i="3"/>
  <c r="CL9" i="4"/>
  <c r="W30" i="5" s="1"/>
  <c r="CK100" i="3"/>
  <c r="CM55" i="3"/>
  <c r="U21" i="5"/>
  <c r="U20" i="5"/>
  <c r="U39" i="5"/>
  <c r="CN14" i="6"/>
  <c r="CN21" i="6"/>
  <c r="CN16" i="6"/>
  <c r="CN15" i="6"/>
  <c r="CN13" i="6"/>
  <c r="CM101" i="3"/>
  <c r="CN11" i="4"/>
  <c r="CO57" i="3"/>
  <c r="CH99" i="3"/>
  <c r="CI61" i="3"/>
  <c r="CI16" i="4" s="1"/>
  <c r="CJ54" i="3"/>
  <c r="CD49" i="4"/>
  <c r="CA73" i="4"/>
  <c r="CH61" i="3"/>
  <c r="CH16" i="4" s="1"/>
  <c r="CE70" i="4"/>
  <c r="CM12" i="6"/>
  <c r="CM19" i="6" s="1"/>
  <c r="CJ8" i="4"/>
  <c r="CI103" i="3"/>
  <c r="CI102" i="3"/>
  <c r="CK53" i="3"/>
  <c r="V24" i="5"/>
  <c r="V36" i="5" s="1"/>
  <c r="BG33" i="6" l="1"/>
  <c r="BG34" i="6"/>
  <c r="CG38" i="4"/>
  <c r="CL100" i="3"/>
  <c r="CM9" i="4"/>
  <c r="CN55" i="3"/>
  <c r="CL59" i="3"/>
  <c r="CK8" i="4"/>
  <c r="CJ103" i="3"/>
  <c r="CJ102" i="3"/>
  <c r="CL53" i="3"/>
  <c r="W67" i="3" s="1"/>
  <c r="CJ98" i="3"/>
  <c r="CK6" i="4"/>
  <c r="CL51" i="3"/>
  <c r="CN12" i="4"/>
  <c r="CN13" i="4"/>
  <c r="CO58" i="3"/>
  <c r="CL18" i="6"/>
  <c r="V75" i="3"/>
  <c r="V87" i="3"/>
  <c r="CN12" i="6"/>
  <c r="CN19" i="6" s="1"/>
  <c r="CM10" i="6"/>
  <c r="CL96" i="3"/>
  <c r="CM10" i="4"/>
  <c r="CM20" i="6"/>
  <c r="CM8" i="6"/>
  <c r="CM11" i="6"/>
  <c r="CM9" i="6"/>
  <c r="CM7" i="6"/>
  <c r="CM6" i="6"/>
  <c r="CN56" i="3"/>
  <c r="CO15" i="6"/>
  <c r="CO13" i="6"/>
  <c r="CO16" i="6"/>
  <c r="CN101" i="3"/>
  <c r="CO11" i="4"/>
  <c r="CO21" i="6"/>
  <c r="CO14" i="6"/>
  <c r="CP57" i="3"/>
  <c r="X71" i="3" s="1"/>
  <c r="X91" i="3" s="1"/>
  <c r="CJ61" i="3"/>
  <c r="CJ16" i="4" s="1"/>
  <c r="CI99" i="3"/>
  <c r="CK54" i="3"/>
  <c r="CM5" i="4"/>
  <c r="CN50" i="3"/>
  <c r="CI4" i="4"/>
  <c r="CH97" i="3"/>
  <c r="CJ49" i="3"/>
  <c r="CH48" i="4"/>
  <c r="BG32" i="6"/>
  <c r="BG39" i="6" s="1"/>
  <c r="W65" i="3"/>
  <c r="W88" i="3" s="1"/>
  <c r="CE49" i="4"/>
  <c r="CF49" i="4" s="1"/>
  <c r="CG49" i="4" s="1"/>
  <c r="CO12" i="6" l="1"/>
  <c r="CN9" i="4"/>
  <c r="CM100" i="3"/>
  <c r="CO55" i="3"/>
  <c r="CL6" i="4"/>
  <c r="W26" i="5" s="1"/>
  <c r="CK98" i="3"/>
  <c r="CM51" i="3"/>
  <c r="CO13" i="4"/>
  <c r="CO12" i="4"/>
  <c r="CP58" i="3"/>
  <c r="CH38" i="4"/>
  <c r="CH68" i="4"/>
  <c r="CP14" i="6"/>
  <c r="CP21" i="6"/>
  <c r="CP16" i="6"/>
  <c r="CP12" i="6"/>
  <c r="CP13" i="6"/>
  <c r="CP15" i="6"/>
  <c r="CP11" i="4"/>
  <c r="X32" i="5" s="1"/>
  <c r="CO101" i="3"/>
  <c r="CQ57" i="3"/>
  <c r="CI48" i="4"/>
  <c r="CN8" i="6"/>
  <c r="CN11" i="6"/>
  <c r="CN20" i="6"/>
  <c r="CN10" i="6"/>
  <c r="CN9" i="6"/>
  <c r="CN10" i="4"/>
  <c r="CN6" i="6"/>
  <c r="CN7" i="6"/>
  <c r="CM96" i="3"/>
  <c r="CO56" i="3"/>
  <c r="CM18" i="6"/>
  <c r="CJ4" i="4"/>
  <c r="CJ48" i="4" s="1"/>
  <c r="CI97" i="3"/>
  <c r="CK49" i="3"/>
  <c r="CO19" i="6"/>
  <c r="CK103" i="3"/>
  <c r="CK102" i="3"/>
  <c r="CL8" i="4"/>
  <c r="W28" i="5" s="1"/>
  <c r="CM53" i="3"/>
  <c r="W73" i="3"/>
  <c r="W92" i="3" s="1"/>
  <c r="CJ99" i="3"/>
  <c r="CL54" i="3"/>
  <c r="CM59" i="3"/>
  <c r="CN5" i="4"/>
  <c r="CO50" i="3"/>
  <c r="CL98" i="3" l="1"/>
  <c r="CM6" i="4"/>
  <c r="CN51" i="3"/>
  <c r="CP19" i="6"/>
  <c r="CO9" i="4"/>
  <c r="CN100" i="3"/>
  <c r="CP55" i="3"/>
  <c r="CO5" i="4"/>
  <c r="CP50" i="3"/>
  <c r="CK99" i="3"/>
  <c r="CM54" i="3"/>
  <c r="X72" i="3"/>
  <c r="CQ21" i="6"/>
  <c r="CQ15" i="6"/>
  <c r="CQ12" i="6"/>
  <c r="CQ14" i="6"/>
  <c r="CQ16" i="6"/>
  <c r="CQ13" i="6"/>
  <c r="CQ11" i="4"/>
  <c r="CP101" i="3"/>
  <c r="CR57" i="3"/>
  <c r="CO9" i="6"/>
  <c r="CO20" i="6"/>
  <c r="CO8" i="6"/>
  <c r="CO7" i="6"/>
  <c r="CO10" i="6"/>
  <c r="CO6" i="6"/>
  <c r="CO11" i="6"/>
  <c r="CN96" i="3"/>
  <c r="CO10" i="4"/>
  <c r="CP56" i="3"/>
  <c r="X70" i="3" s="1"/>
  <c r="X86" i="3" s="1"/>
  <c r="CI68" i="4"/>
  <c r="CI38" i="4"/>
  <c r="W68" i="3"/>
  <c r="W89" i="3" s="1"/>
  <c r="X33" i="5"/>
  <c r="CH70" i="4"/>
  <c r="V17" i="5"/>
  <c r="V19" i="5" s="1"/>
  <c r="CJ97" i="3"/>
  <c r="CK4" i="4"/>
  <c r="CL49" i="3"/>
  <c r="CJ68" i="4"/>
  <c r="CJ38" i="4"/>
  <c r="CN59" i="3"/>
  <c r="CL102" i="3"/>
  <c r="CM8" i="4"/>
  <c r="CL103" i="3"/>
  <c r="CN53" i="3"/>
  <c r="CP12" i="4"/>
  <c r="CP13" i="4"/>
  <c r="X34" i="5" s="1"/>
  <c r="CQ58" i="3"/>
  <c r="CK61" i="3"/>
  <c r="CK16" i="4" s="1"/>
  <c r="CN18" i="6"/>
  <c r="CQ13" i="4" l="1"/>
  <c r="CQ12" i="4"/>
  <c r="CR58" i="3"/>
  <c r="CK48" i="4"/>
  <c r="W24" i="5"/>
  <c r="W36" i="5" s="1"/>
  <c r="CR21" i="6"/>
  <c r="CR15" i="6"/>
  <c r="CR13" i="6"/>
  <c r="CR12" i="6"/>
  <c r="CR16" i="6"/>
  <c r="CR14" i="6"/>
  <c r="CR11" i="4"/>
  <c r="CQ101" i="3"/>
  <c r="CS57" i="3"/>
  <c r="CI70" i="4"/>
  <c r="CQ68" i="4"/>
  <c r="CK97" i="3"/>
  <c r="CL4" i="4"/>
  <c r="CM49" i="3"/>
  <c r="CN6" i="4"/>
  <c r="CM98" i="3"/>
  <c r="CO51" i="3"/>
  <c r="CP9" i="4"/>
  <c r="X30" i="5" s="1"/>
  <c r="CO100" i="3"/>
  <c r="CQ55" i="3"/>
  <c r="CR68" i="4"/>
  <c r="CJ70" i="4"/>
  <c r="CE73" i="4"/>
  <c r="CH49" i="4"/>
  <c r="CL61" i="3"/>
  <c r="CL16" i="4" s="1"/>
  <c r="CO59" i="3"/>
  <c r="CP5" i="4"/>
  <c r="CQ50" i="3"/>
  <c r="CP7" i="6"/>
  <c r="CP9" i="6"/>
  <c r="BH37" i="6" s="1"/>
  <c r="CP8" i="6"/>
  <c r="BH35" i="6" s="1"/>
  <c r="CP10" i="4"/>
  <c r="X31" i="5" s="1"/>
  <c r="CO96" i="3"/>
  <c r="CP20" i="6"/>
  <c r="CP10" i="6"/>
  <c r="BH38" i="6" s="1"/>
  <c r="CP11" i="6"/>
  <c r="CP6" i="6"/>
  <c r="BH32" i="6" s="1"/>
  <c r="CQ56" i="3"/>
  <c r="CO18" i="6"/>
  <c r="X64" i="3"/>
  <c r="CQ19" i="6"/>
  <c r="V20" i="5"/>
  <c r="V21" i="5"/>
  <c r="X25" i="5"/>
  <c r="X69" i="3"/>
  <c r="X90" i="3" s="1"/>
  <c r="W63" i="3"/>
  <c r="CL99" i="3"/>
  <c r="CM61" i="3"/>
  <c r="CM16" i="4" s="1"/>
  <c r="CN54" i="3"/>
  <c r="CN8" i="4"/>
  <c r="CM103" i="3"/>
  <c r="CM102" i="3"/>
  <c r="CO53" i="3"/>
  <c r="BH33" i="6" l="1"/>
  <c r="BH34" i="6"/>
  <c r="CI49" i="4"/>
  <c r="CP18" i="6"/>
  <c r="CR13" i="4"/>
  <c r="CR12" i="4"/>
  <c r="CS58" i="3"/>
  <c r="CO6" i="4"/>
  <c r="CN98" i="3"/>
  <c r="CP51" i="3"/>
  <c r="W87" i="3"/>
  <c r="W75" i="3"/>
  <c r="CL97" i="3"/>
  <c r="CM4" i="4"/>
  <c r="CN49" i="3"/>
  <c r="CP59" i="3"/>
  <c r="CL48" i="4"/>
  <c r="CO8" i="4"/>
  <c r="CN102" i="3"/>
  <c r="CN103" i="3"/>
  <c r="CP53" i="3"/>
  <c r="BH39" i="6"/>
  <c r="CR19" i="6"/>
  <c r="CK68" i="4"/>
  <c r="CK38" i="4"/>
  <c r="CR70" i="4"/>
  <c r="CQ7" i="6"/>
  <c r="CQ9" i="6"/>
  <c r="CQ8" i="6"/>
  <c r="CQ6" i="6"/>
  <c r="CQ11" i="6"/>
  <c r="CP96" i="3"/>
  <c r="CQ10" i="4"/>
  <c r="CQ10" i="6"/>
  <c r="CQ20" i="6"/>
  <c r="CR56" i="3"/>
  <c r="CJ49" i="4"/>
  <c r="CQ70" i="4"/>
  <c r="CQ9" i="4"/>
  <c r="CP100" i="3"/>
  <c r="CR55" i="3"/>
  <c r="CQ5" i="4"/>
  <c r="CR50" i="3"/>
  <c r="CM99" i="3"/>
  <c r="CO54" i="3"/>
  <c r="CS13" i="6"/>
  <c r="CS14" i="6"/>
  <c r="CS16" i="6"/>
  <c r="CS21" i="6"/>
  <c r="CS15" i="6"/>
  <c r="CS12" i="6"/>
  <c r="CS11" i="4"/>
  <c r="CR101" i="3"/>
  <c r="CT57" i="3"/>
  <c r="CP6" i="4" l="1"/>
  <c r="X26" i="5" s="1"/>
  <c r="CO98" i="3"/>
  <c r="CQ51" i="3"/>
  <c r="X65" i="3"/>
  <c r="X88" i="3" s="1"/>
  <c r="CL38" i="4"/>
  <c r="CL68" i="4"/>
  <c r="CR5" i="4"/>
  <c r="CS50" i="3"/>
  <c r="CR9" i="4"/>
  <c r="CQ100" i="3"/>
  <c r="CS55" i="3"/>
  <c r="CT16" i="6"/>
  <c r="CT14" i="6"/>
  <c r="CT13" i="6"/>
  <c r="CT12" i="6"/>
  <c r="CT21" i="6"/>
  <c r="CT11" i="4"/>
  <c r="Y32" i="5" s="1"/>
  <c r="CT15" i="6"/>
  <c r="CS101" i="3"/>
  <c r="CU57" i="3"/>
  <c r="Y71" i="3"/>
  <c r="Y91" i="3" s="1"/>
  <c r="CM48" i="4"/>
  <c r="X67" i="3"/>
  <c r="CQ18" i="6"/>
  <c r="CQ59" i="3"/>
  <c r="X73" i="3"/>
  <c r="CN4" i="4"/>
  <c r="CM97" i="3"/>
  <c r="CO49" i="3"/>
  <c r="CS68" i="4"/>
  <c r="CK70" i="4"/>
  <c r="CK49" i="4" s="1"/>
  <c r="CS19" i="6"/>
  <c r="CR10" i="4"/>
  <c r="CQ96" i="3"/>
  <c r="CR10" i="6"/>
  <c r="CR6" i="6"/>
  <c r="CR8" i="6"/>
  <c r="CR20" i="6"/>
  <c r="CR11" i="6"/>
  <c r="CR9" i="6"/>
  <c r="CR7" i="6"/>
  <c r="CS56" i="3"/>
  <c r="CS12" i="4"/>
  <c r="CS13" i="4"/>
  <c r="CT58" i="3"/>
  <c r="CN99" i="3"/>
  <c r="CP54" i="3"/>
  <c r="X68" i="3"/>
  <c r="X89" i="3" s="1"/>
  <c r="CP8" i="4"/>
  <c r="X28" i="5" s="1"/>
  <c r="CO103" i="3"/>
  <c r="CO102" i="3"/>
  <c r="CQ53" i="3"/>
  <c r="CN61" i="3"/>
  <c r="CN16" i="4" s="1"/>
  <c r="CN48" i="4" l="1"/>
  <c r="CO99" i="3"/>
  <c r="CP61" i="3"/>
  <c r="CP16" i="4" s="1"/>
  <c r="CQ54" i="3"/>
  <c r="CR59" i="3"/>
  <c r="CT19" i="6"/>
  <c r="CN68" i="4"/>
  <c r="CN38" i="4"/>
  <c r="CU15" i="6"/>
  <c r="CU16" i="6"/>
  <c r="CU21" i="6"/>
  <c r="CU14" i="6"/>
  <c r="CU11" i="4"/>
  <c r="CT101" i="3"/>
  <c r="CU13" i="6"/>
  <c r="CU12" i="6"/>
  <c r="CV57" i="3"/>
  <c r="CT13" i="4"/>
  <c r="Y34" i="5" s="1"/>
  <c r="CT12" i="4"/>
  <c r="Y33" i="5" s="1"/>
  <c r="CU58" i="3"/>
  <c r="Y72" i="3"/>
  <c r="CI73" i="4"/>
  <c r="X92" i="3"/>
  <c r="CS9" i="4"/>
  <c r="CR100" i="3"/>
  <c r="CT55" i="3"/>
  <c r="CR18" i="6"/>
  <c r="CO61" i="3"/>
  <c r="CO16" i="4" s="1"/>
  <c r="CM38" i="4"/>
  <c r="CM68" i="4"/>
  <c r="CT68" i="4"/>
  <c r="CL70" i="4"/>
  <c r="CL49" i="4" s="1"/>
  <c r="CP98" i="3"/>
  <c r="CQ6" i="4"/>
  <c r="CR51" i="3"/>
  <c r="CS70" i="4"/>
  <c r="CO4" i="4"/>
  <c r="CN97" i="3"/>
  <c r="CP49" i="3"/>
  <c r="CS5" i="4"/>
  <c r="CT50" i="3"/>
  <c r="CP103" i="3"/>
  <c r="CP102" i="3"/>
  <c r="CQ8" i="4"/>
  <c r="CR53" i="3"/>
  <c r="CS9" i="6"/>
  <c r="CS10" i="6"/>
  <c r="CS20" i="6"/>
  <c r="CS6" i="6"/>
  <c r="CS7" i="6"/>
  <c r="CS8" i="6"/>
  <c r="CR96" i="3"/>
  <c r="CS10" i="4"/>
  <c r="CS11" i="6"/>
  <c r="CT56" i="3"/>
  <c r="Y70" i="3" s="1"/>
  <c r="Y86" i="3" s="1"/>
  <c r="W17" i="5"/>
  <c r="W19" i="5" s="1"/>
  <c r="CU12" i="4" l="1"/>
  <c r="CU13" i="4"/>
  <c r="CV58" i="3"/>
  <c r="CS59" i="3"/>
  <c r="CT20" i="6"/>
  <c r="CT10" i="6"/>
  <c r="CT6" i="6"/>
  <c r="CT11" i="6"/>
  <c r="CS96" i="3"/>
  <c r="CT10" i="4"/>
  <c r="Y31" i="5" s="1"/>
  <c r="CT9" i="6"/>
  <c r="CT7" i="6"/>
  <c r="CT8" i="6"/>
  <c r="CU56" i="3"/>
  <c r="CQ61" i="3"/>
  <c r="CQ16" i="4" s="1"/>
  <c r="CP99" i="3"/>
  <c r="CR54" i="3"/>
  <c r="CT5" i="4"/>
  <c r="Y25" i="5" s="1"/>
  <c r="CU50" i="3"/>
  <c r="Y64" i="3"/>
  <c r="CV68" i="4"/>
  <c r="CN70" i="4"/>
  <c r="CZ68" i="4"/>
  <c r="CT70" i="4"/>
  <c r="CV12" i="6"/>
  <c r="CV11" i="4"/>
  <c r="CV14" i="6"/>
  <c r="CV15" i="6"/>
  <c r="CU101" i="3"/>
  <c r="CV21" i="6"/>
  <c r="CV16" i="6"/>
  <c r="CV13" i="6"/>
  <c r="CW57" i="3"/>
  <c r="W20" i="5"/>
  <c r="W21" i="5"/>
  <c r="CU19" i="6"/>
  <c r="CP4" i="4"/>
  <c r="CO97" i="3"/>
  <c r="CQ49" i="3"/>
  <c r="CM70" i="4"/>
  <c r="CM49" i="4" s="1"/>
  <c r="CU68" i="4"/>
  <c r="CY68" i="4"/>
  <c r="CR6" i="4"/>
  <c r="CQ98" i="3"/>
  <c r="CS51" i="3"/>
  <c r="CS18" i="6"/>
  <c r="CO48" i="4"/>
  <c r="CT9" i="4"/>
  <c r="Y30" i="5" s="1"/>
  <c r="CS100" i="3"/>
  <c r="CU55" i="3"/>
  <c r="Y69" i="3"/>
  <c r="Y90" i="3" s="1"/>
  <c r="X63" i="3"/>
  <c r="CR8" i="4"/>
  <c r="CQ103" i="3"/>
  <c r="CQ102" i="3"/>
  <c r="CS53" i="3"/>
  <c r="Y17" i="5"/>
  <c r="Y19" i="5" s="1"/>
  <c r="CN49" i="4" l="1"/>
  <c r="CY70" i="4"/>
  <c r="DG68" i="4"/>
  <c r="CR103" i="3"/>
  <c r="CS8" i="4"/>
  <c r="CR102" i="3"/>
  <c r="CT53" i="3"/>
  <c r="Y67" i="3"/>
  <c r="CV13" i="4"/>
  <c r="CV12" i="4"/>
  <c r="CW58" i="3"/>
  <c r="CR98" i="3"/>
  <c r="CS6" i="4"/>
  <c r="CT51" i="3"/>
  <c r="CW15" i="6"/>
  <c r="CW12" i="6"/>
  <c r="CW13" i="6"/>
  <c r="CW16" i="6"/>
  <c r="CW14" i="6"/>
  <c r="CW21" i="6"/>
  <c r="CW11" i="4"/>
  <c r="CV101" i="3"/>
  <c r="CX57" i="3"/>
  <c r="Z71" i="3" s="1"/>
  <c r="Z91" i="3" s="1"/>
  <c r="X87" i="3"/>
  <c r="X75" i="3"/>
  <c r="CU70" i="4"/>
  <c r="DC68" i="4"/>
  <c r="CV19" i="6"/>
  <c r="DH68" i="4"/>
  <c r="CZ70" i="4"/>
  <c r="CT59" i="3"/>
  <c r="Y73" i="3" s="1"/>
  <c r="CU7" i="6"/>
  <c r="CU11" i="6"/>
  <c r="CU10" i="6"/>
  <c r="CU10" i="4"/>
  <c r="CT96" i="3"/>
  <c r="CU6" i="6"/>
  <c r="CU20" i="6"/>
  <c r="CU9" i="6"/>
  <c r="CU8" i="6"/>
  <c r="CV56" i="3"/>
  <c r="CO68" i="4"/>
  <c r="CO38" i="4"/>
  <c r="CU5" i="4"/>
  <c r="CV50" i="3"/>
  <c r="CP97" i="3"/>
  <c r="CQ4" i="4"/>
  <c r="CR49" i="3"/>
  <c r="CR61" i="3"/>
  <c r="CR16" i="4" s="1"/>
  <c r="CQ99" i="3"/>
  <c r="CS54" i="3"/>
  <c r="CP48" i="4"/>
  <c r="X24" i="5"/>
  <c r="X36" i="5" s="1"/>
  <c r="CU9" i="4"/>
  <c r="CT100" i="3"/>
  <c r="CV55" i="3"/>
  <c r="DD68" i="4"/>
  <c r="CV70" i="4"/>
  <c r="CT18" i="6"/>
  <c r="Y92" i="3" l="1"/>
  <c r="Y68" i="3"/>
  <c r="Y89" i="3" s="1"/>
  <c r="CV5" i="4"/>
  <c r="CW50" i="3"/>
  <c r="DG70" i="4"/>
  <c r="DO68" i="4"/>
  <c r="CW19" i="6"/>
  <c r="CS98" i="3"/>
  <c r="CT6" i="4"/>
  <c r="Y26" i="5" s="1"/>
  <c r="CU51" i="3"/>
  <c r="DP68" i="4"/>
  <c r="DH70" i="4"/>
  <c r="CU96" i="3"/>
  <c r="CV10" i="6"/>
  <c r="CV8" i="6"/>
  <c r="CV10" i="4"/>
  <c r="CV7" i="6"/>
  <c r="CV6" i="6"/>
  <c r="CV11" i="6"/>
  <c r="CV20" i="6"/>
  <c r="CV9" i="6"/>
  <c r="CW56" i="3"/>
  <c r="CU18" i="6"/>
  <c r="DC70" i="4"/>
  <c r="DK68" i="4"/>
  <c r="DL68" i="4"/>
  <c r="DD70" i="4"/>
  <c r="CR4" i="4"/>
  <c r="CR48" i="4" s="1"/>
  <c r="CR38" i="4" s="1"/>
  <c r="CQ97" i="3"/>
  <c r="CS49" i="3"/>
  <c r="CW12" i="4"/>
  <c r="CW13" i="4"/>
  <c r="CX58" i="3"/>
  <c r="Z72" i="3" s="1"/>
  <c r="CQ48" i="4"/>
  <c r="CQ38" i="4" s="1"/>
  <c r="CS102" i="3"/>
  <c r="CT8" i="4"/>
  <c r="Y28" i="5" s="1"/>
  <c r="CS103" i="3"/>
  <c r="CU53" i="3"/>
  <c r="CW68" i="4"/>
  <c r="CO70" i="4"/>
  <c r="DA68" i="4"/>
  <c r="CV9" i="4"/>
  <c r="CU100" i="3"/>
  <c r="CW55" i="3"/>
  <c r="Y65" i="3"/>
  <c r="Y88" i="3" s="1"/>
  <c r="CP68" i="4"/>
  <c r="CP38" i="4"/>
  <c r="CR99" i="3"/>
  <c r="CT54" i="3"/>
  <c r="CU59" i="3"/>
  <c r="CX15" i="6"/>
  <c r="CX13" i="6"/>
  <c r="CX12" i="6"/>
  <c r="CX14" i="6"/>
  <c r="CX16" i="6"/>
  <c r="CX21" i="6"/>
  <c r="CX11" i="4"/>
  <c r="Z32" i="5" s="1"/>
  <c r="CW101" i="3"/>
  <c r="CY57" i="3"/>
  <c r="CW9" i="4" l="1"/>
  <c r="CV100" i="3"/>
  <c r="CX55" i="3"/>
  <c r="DO70" i="4"/>
  <c r="DW68" i="4"/>
  <c r="CS4" i="4"/>
  <c r="CR97" i="3"/>
  <c r="CT49" i="3"/>
  <c r="Z34" i="5"/>
  <c r="CX68" i="4"/>
  <c r="CP70" i="4"/>
  <c r="DB68" i="4"/>
  <c r="X17" i="5"/>
  <c r="X19" i="5" s="1"/>
  <c r="CU6" i="4"/>
  <c r="CT98" i="3"/>
  <c r="CV51" i="3"/>
  <c r="CX19" i="6"/>
  <c r="CV18" i="6"/>
  <c r="DX68" i="4"/>
  <c r="DX70" i="4" s="1"/>
  <c r="DP70" i="4"/>
  <c r="CO49" i="4"/>
  <c r="CP49" i="4" s="1"/>
  <c r="CQ49" i="4" s="1"/>
  <c r="CR49" i="4" s="1"/>
  <c r="CM73" i="4"/>
  <c r="CS99" i="3"/>
  <c r="CU54" i="3"/>
  <c r="CX12" i="4"/>
  <c r="Z33" i="5" s="1"/>
  <c r="CX13" i="4"/>
  <c r="CY58" i="3"/>
  <c r="CW6" i="6"/>
  <c r="CW9" i="6"/>
  <c r="CW11" i="6"/>
  <c r="CW10" i="6"/>
  <c r="CW20" i="6"/>
  <c r="CW8" i="6"/>
  <c r="CW7" i="6"/>
  <c r="CW10" i="4"/>
  <c r="CV96" i="3"/>
  <c r="CX56" i="3"/>
  <c r="Z70" i="3" s="1"/>
  <c r="Z86" i="3" s="1"/>
  <c r="CW5" i="4"/>
  <c r="CX50" i="3"/>
  <c r="DI68" i="4"/>
  <c r="DA70" i="4"/>
  <c r="AA17" i="5"/>
  <c r="AA19" i="5" s="1"/>
  <c r="CU8" i="4"/>
  <c r="CT102" i="3"/>
  <c r="CT103" i="3"/>
  <c r="CV53" i="3"/>
  <c r="CS61" i="3"/>
  <c r="CS16" i="4" s="1"/>
  <c r="CV59" i="3"/>
  <c r="DK70" i="4"/>
  <c r="DS68" i="4"/>
  <c r="DT68" i="4"/>
  <c r="DT70" i="4" s="1"/>
  <c r="DL70" i="4"/>
  <c r="DE68" i="4"/>
  <c r="CW70" i="4"/>
  <c r="CY12" i="6"/>
  <c r="CY16" i="6"/>
  <c r="CY21" i="6"/>
  <c r="CY15" i="6"/>
  <c r="CY13" i="6"/>
  <c r="CY14" i="6"/>
  <c r="CX101" i="3"/>
  <c r="CY11" i="4"/>
  <c r="CZ57" i="3"/>
  <c r="CY19" i="6" l="1"/>
  <c r="CW18" i="6"/>
  <c r="DM68" i="4"/>
  <c r="DE70" i="4"/>
  <c r="DF68" i="4"/>
  <c r="AB17" i="5" s="1"/>
  <c r="AB19" i="5" s="1"/>
  <c r="CX70" i="4"/>
  <c r="DW70" i="4"/>
  <c r="CY12" i="4"/>
  <c r="CY13" i="4"/>
  <c r="CZ58" i="3"/>
  <c r="DS70" i="4"/>
  <c r="CX9" i="4"/>
  <c r="Z30" i="5" s="1"/>
  <c r="CW100" i="3"/>
  <c r="CY55" i="3"/>
  <c r="CZ16" i="6"/>
  <c r="CZ15" i="6"/>
  <c r="CZ14" i="6"/>
  <c r="CZ13" i="6"/>
  <c r="CZ12" i="6"/>
  <c r="CZ21" i="6"/>
  <c r="CZ11" i="4"/>
  <c r="CY101" i="3"/>
  <c r="DA57" i="3"/>
  <c r="CX5" i="4"/>
  <c r="Z25" i="5" s="1"/>
  <c r="CY50" i="3"/>
  <c r="Z64" i="3"/>
  <c r="CT4" i="4"/>
  <c r="CS97" i="3"/>
  <c r="CU49" i="3"/>
  <c r="Y63" i="3"/>
  <c r="CW59" i="3"/>
  <c r="CS48" i="4"/>
  <c r="CS38" i="4" s="1"/>
  <c r="CT61" i="3"/>
  <c r="CT16" i="4" s="1"/>
  <c r="Z17" i="5"/>
  <c r="Z19" i="5" s="1"/>
  <c r="CU102" i="3"/>
  <c r="CU103" i="3"/>
  <c r="CV8" i="4"/>
  <c r="CW53" i="3"/>
  <c r="DQ68" i="4"/>
  <c r="DI70" i="4"/>
  <c r="X21" i="5"/>
  <c r="X20" i="5"/>
  <c r="CX8" i="6"/>
  <c r="CX10" i="4"/>
  <c r="Z31" i="5" s="1"/>
  <c r="CW96" i="3"/>
  <c r="CX9" i="6"/>
  <c r="CX6" i="6"/>
  <c r="CX10" i="6"/>
  <c r="CX11" i="6"/>
  <c r="CX7" i="6"/>
  <c r="CX20" i="6"/>
  <c r="CY56" i="3"/>
  <c r="DJ68" i="4"/>
  <c r="AC17" i="5" s="1"/>
  <c r="AC19" i="5" s="1"/>
  <c r="DB70" i="4"/>
  <c r="Z69" i="3"/>
  <c r="Z90" i="3" s="1"/>
  <c r="CU98" i="3"/>
  <c r="CV6" i="4"/>
  <c r="CW51" i="3"/>
  <c r="CT99" i="3"/>
  <c r="CV54" i="3"/>
  <c r="CT48" i="4" l="1"/>
  <c r="CT38" i="4" s="1"/>
  <c r="DY68" i="4"/>
  <c r="DQ70" i="4"/>
  <c r="CT97" i="3"/>
  <c r="CU4" i="4"/>
  <c r="CV49" i="3"/>
  <c r="DU68" i="4"/>
  <c r="DM70" i="4"/>
  <c r="CX100" i="3"/>
  <c r="CY9" i="4"/>
  <c r="CZ55" i="3"/>
  <c r="CY9" i="6"/>
  <c r="CY8" i="6"/>
  <c r="CY10" i="4"/>
  <c r="CY7" i="6"/>
  <c r="CX96" i="3"/>
  <c r="CY6" i="6"/>
  <c r="CY11" i="6"/>
  <c r="CY20" i="6"/>
  <c r="CY10" i="6"/>
  <c r="CZ56" i="3"/>
  <c r="Y87" i="3"/>
  <c r="Y75" i="3"/>
  <c r="CY5" i="4"/>
  <c r="CZ50" i="3"/>
  <c r="CV98" i="3"/>
  <c r="CW6" i="4"/>
  <c r="CX51" i="3"/>
  <c r="DN68" i="4"/>
  <c r="AD17" i="5" s="1"/>
  <c r="AD19" i="5" s="1"/>
  <c r="DF70" i="4"/>
  <c r="Y24" i="5"/>
  <c r="Y36" i="5" s="1"/>
  <c r="CZ12" i="4"/>
  <c r="CZ13" i="4"/>
  <c r="DA58" i="3"/>
  <c r="CX18" i="6"/>
  <c r="CU99" i="3"/>
  <c r="CW54" i="3"/>
  <c r="CW8" i="4"/>
  <c r="CV102" i="3"/>
  <c r="CV103" i="3"/>
  <c r="CX53" i="3"/>
  <c r="CS49" i="4"/>
  <c r="CT49" i="4" s="1"/>
  <c r="DR68" i="4"/>
  <c r="AE17" i="5" s="1"/>
  <c r="AE19" i="5" s="1"/>
  <c r="DJ70" i="4"/>
  <c r="DA16" i="6"/>
  <c r="DA15" i="6"/>
  <c r="DA12" i="6"/>
  <c r="DA11" i="4"/>
  <c r="DA14" i="6"/>
  <c r="DA21" i="6"/>
  <c r="CZ101" i="3"/>
  <c r="DA13" i="6"/>
  <c r="DB57" i="3"/>
  <c r="CZ19" i="6"/>
  <c r="CU61" i="3"/>
  <c r="CU16" i="4" s="1"/>
  <c r="CX59" i="3"/>
  <c r="CW102" i="3" l="1"/>
  <c r="CX8" i="4"/>
  <c r="Z28" i="5" s="1"/>
  <c r="CW103" i="3"/>
  <c r="CY53" i="3"/>
  <c r="CU97" i="3"/>
  <c r="CV4" i="4"/>
  <c r="CW49" i="3"/>
  <c r="CZ20" i="6"/>
  <c r="CZ7" i="6"/>
  <c r="CZ10" i="6"/>
  <c r="CY96" i="3"/>
  <c r="CZ10" i="4"/>
  <c r="CZ8" i="6"/>
  <c r="CZ6" i="6"/>
  <c r="CZ9" i="6"/>
  <c r="CZ11" i="6"/>
  <c r="DA56" i="3"/>
  <c r="CU48" i="4"/>
  <c r="CU38" i="4" s="1"/>
  <c r="DB13" i="6"/>
  <c r="DB12" i="6"/>
  <c r="DB11" i="4"/>
  <c r="AA32" i="5" s="1"/>
  <c r="DA101" i="3"/>
  <c r="DB15" i="6"/>
  <c r="DB14" i="6"/>
  <c r="DB16" i="6"/>
  <c r="DB21" i="6"/>
  <c r="DC57" i="3"/>
  <c r="CX6" i="4"/>
  <c r="Z26" i="5" s="1"/>
  <c r="CW98" i="3"/>
  <c r="CY51" i="3"/>
  <c r="CY18" i="6"/>
  <c r="DY70" i="4"/>
  <c r="CY59" i="3"/>
  <c r="Z73" i="3"/>
  <c r="DA19" i="6"/>
  <c r="DV68" i="4"/>
  <c r="DV70" i="4" s="1"/>
  <c r="DN70" i="4"/>
  <c r="DA12" i="4"/>
  <c r="DA13" i="4"/>
  <c r="DB58" i="3"/>
  <c r="CV61" i="3"/>
  <c r="CV16" i="4" s="1"/>
  <c r="AA71" i="3"/>
  <c r="AA91" i="3" s="1"/>
  <c r="DU70" i="4"/>
  <c r="AF17" i="5"/>
  <c r="AF19" i="5" s="1"/>
  <c r="CZ5" i="4"/>
  <c r="DA50" i="3"/>
  <c r="DZ68" i="4"/>
  <c r="DZ70" i="4" s="1"/>
  <c r="DR70" i="4"/>
  <c r="Z67" i="3"/>
  <c r="CV99" i="3"/>
  <c r="CX54" i="3"/>
  <c r="Z65" i="3"/>
  <c r="Z88" i="3" s="1"/>
  <c r="CZ9" i="4"/>
  <c r="CY100" i="3"/>
  <c r="DA55" i="3"/>
  <c r="CV48" i="4" l="1"/>
  <c r="CV38" i="4" s="1"/>
  <c r="CU49" i="4"/>
  <c r="Z92" i="3"/>
  <c r="AG17" i="5"/>
  <c r="AG19" i="5" s="1"/>
  <c r="DB19" i="6"/>
  <c r="DC11" i="4"/>
  <c r="DB101" i="3"/>
  <c r="DC16" i="6"/>
  <c r="DC21" i="6"/>
  <c r="DC12" i="6"/>
  <c r="DC13" i="6"/>
  <c r="DC15" i="6"/>
  <c r="DC14" i="6"/>
  <c r="DD57" i="3"/>
  <c r="CZ100" i="3"/>
  <c r="DA9" i="4"/>
  <c r="DB55" i="3"/>
  <c r="AA69" i="3"/>
  <c r="AA90" i="3" s="1"/>
  <c r="CV97" i="3"/>
  <c r="CW4" i="4"/>
  <c r="CX49" i="3"/>
  <c r="DA10" i="6"/>
  <c r="DA11" i="6"/>
  <c r="DA10" i="4"/>
  <c r="DA6" i="6"/>
  <c r="DA20" i="6"/>
  <c r="DA8" i="6"/>
  <c r="CZ96" i="3"/>
  <c r="DA9" i="6"/>
  <c r="DA7" i="6"/>
  <c r="DB56" i="3"/>
  <c r="AA70" i="3" s="1"/>
  <c r="AA86" i="3" s="1"/>
  <c r="DA5" i="4"/>
  <c r="DB50" i="3"/>
  <c r="AA64" i="3" s="1"/>
  <c r="CZ18" i="6"/>
  <c r="CZ59" i="3"/>
  <c r="CY6" i="4"/>
  <c r="CX98" i="3"/>
  <c r="CZ51" i="3"/>
  <c r="DB13" i="4"/>
  <c r="AA34" i="5" s="1"/>
  <c r="DB12" i="4"/>
  <c r="AA33" i="5" s="1"/>
  <c r="DC58" i="3"/>
  <c r="CW61" i="3"/>
  <c r="CW16" i="4" s="1"/>
  <c r="Z63" i="3"/>
  <c r="CX102" i="3"/>
  <c r="CX103" i="3"/>
  <c r="CY8" i="4"/>
  <c r="CZ53" i="3"/>
  <c r="AA72" i="3"/>
  <c r="CW99" i="3"/>
  <c r="CY54" i="3"/>
  <c r="Z68" i="3"/>
  <c r="Z89" i="3" s="1"/>
  <c r="CV49" i="4" l="1"/>
  <c r="DD13" i="6"/>
  <c r="DD12" i="6"/>
  <c r="DD14" i="6"/>
  <c r="DD21" i="6"/>
  <c r="DD15" i="6"/>
  <c r="DD16" i="6"/>
  <c r="DC101" i="3"/>
  <c r="DD11" i="4"/>
  <c r="DE57" i="3"/>
  <c r="CW97" i="3"/>
  <c r="CX4" i="4"/>
  <c r="CY49" i="3"/>
  <c r="DC13" i="4"/>
  <c r="DC12" i="4"/>
  <c r="DD58" i="3"/>
  <c r="DA96" i="3"/>
  <c r="DB10" i="6"/>
  <c r="DB11" i="6"/>
  <c r="DB9" i="6"/>
  <c r="DB6" i="6"/>
  <c r="DB7" i="6"/>
  <c r="DB8" i="6"/>
  <c r="DB10" i="4"/>
  <c r="AA31" i="5" s="1"/>
  <c r="DB20" i="6"/>
  <c r="DC56" i="3"/>
  <c r="CW48" i="4"/>
  <c r="DA100" i="3"/>
  <c r="DB9" i="4"/>
  <c r="AA30" i="5" s="1"/>
  <c r="DC55" i="3"/>
  <c r="CZ8" i="4"/>
  <c r="CY103" i="3"/>
  <c r="CY102" i="3"/>
  <c r="DA53" i="3"/>
  <c r="DA59" i="3"/>
  <c r="Z24" i="5"/>
  <c r="Z36" i="5" s="1"/>
  <c r="DC19" i="6"/>
  <c r="DB5" i="4"/>
  <c r="AA25" i="5" s="1"/>
  <c r="DC50" i="3"/>
  <c r="CX61" i="3"/>
  <c r="CX16" i="4" s="1"/>
  <c r="Z75" i="3"/>
  <c r="Z87" i="3"/>
  <c r="CY61" i="3"/>
  <c r="CY16" i="4" s="1"/>
  <c r="CX99" i="3"/>
  <c r="CZ54" i="3"/>
  <c r="CY98" i="3"/>
  <c r="CZ6" i="4"/>
  <c r="DA51" i="3"/>
  <c r="DA18" i="6"/>
  <c r="CX48" i="4" l="1"/>
  <c r="CX38" i="4" s="1"/>
  <c r="DB59" i="3"/>
  <c r="AA73" i="3" s="1"/>
  <c r="DE15" i="6"/>
  <c r="DE11" i="4"/>
  <c r="DD101" i="3"/>
  <c r="DE13" i="6"/>
  <c r="DE16" i="6"/>
  <c r="DE12" i="6"/>
  <c r="DE14" i="6"/>
  <c r="DE21" i="6"/>
  <c r="DF57" i="3"/>
  <c r="CW38" i="4"/>
  <c r="CW49" i="4"/>
  <c r="CX49" i="4" s="1"/>
  <c r="CZ103" i="3"/>
  <c r="DA8" i="4"/>
  <c r="CZ102" i="3"/>
  <c r="DB53" i="3"/>
  <c r="CY99" i="3"/>
  <c r="DA54" i="3"/>
  <c r="CX97" i="3"/>
  <c r="CY4" i="4"/>
  <c r="CZ49" i="3"/>
  <c r="AA67" i="3"/>
  <c r="DA6" i="4"/>
  <c r="CZ98" i="3"/>
  <c r="DB51" i="3"/>
  <c r="DD19" i="6"/>
  <c r="DC11" i="6"/>
  <c r="DC6" i="6"/>
  <c r="DC8" i="6"/>
  <c r="DC9" i="6"/>
  <c r="DB96" i="3"/>
  <c r="DC10" i="6"/>
  <c r="DC7" i="6"/>
  <c r="DC20" i="6"/>
  <c r="DC10" i="4"/>
  <c r="DD56" i="3"/>
  <c r="DB18" i="6"/>
  <c r="DC9" i="4"/>
  <c r="DB100" i="3"/>
  <c r="DD55" i="3"/>
  <c r="DC5" i="4"/>
  <c r="DD50" i="3"/>
  <c r="DD12" i="4"/>
  <c r="DD13" i="4"/>
  <c r="DE58" i="3"/>
  <c r="AA92" i="3" l="1"/>
  <c r="CY97" i="3"/>
  <c r="CZ4" i="4"/>
  <c r="DA49" i="3"/>
  <c r="DC18" i="6"/>
  <c r="CZ61" i="3"/>
  <c r="CZ16" i="4" s="1"/>
  <c r="DF16" i="6"/>
  <c r="DF13" i="6"/>
  <c r="DF15" i="6"/>
  <c r="DF21" i="6"/>
  <c r="DF12" i="6"/>
  <c r="DF14" i="6"/>
  <c r="DF11" i="4"/>
  <c r="AB32" i="5" s="1"/>
  <c r="DE101" i="3"/>
  <c r="DG57" i="3"/>
  <c r="AB71" i="3"/>
  <c r="AB91" i="3" s="1"/>
  <c r="DE19" i="6"/>
  <c r="DE12" i="4"/>
  <c r="DE13" i="4"/>
  <c r="DF58" i="3"/>
  <c r="CY48" i="4"/>
  <c r="CY38" i="4" s="1"/>
  <c r="CZ99" i="3"/>
  <c r="DB54" i="3"/>
  <c r="DB6" i="4"/>
  <c r="DA98" i="3"/>
  <c r="DC51" i="3"/>
  <c r="AA65" i="3"/>
  <c r="AA88" i="3" s="1"/>
  <c r="DA102" i="3"/>
  <c r="DB8" i="4"/>
  <c r="AA28" i="5" s="1"/>
  <c r="DA103" i="3"/>
  <c r="DC53" i="3"/>
  <c r="DD5" i="4"/>
  <c r="DE50" i="3"/>
  <c r="DD9" i="4"/>
  <c r="DC100" i="3"/>
  <c r="DE55" i="3"/>
  <c r="AA26" i="5"/>
  <c r="DC59" i="3"/>
  <c r="DD6" i="6"/>
  <c r="DD20" i="6"/>
  <c r="DD9" i="6"/>
  <c r="DD8" i="6"/>
  <c r="DD11" i="6"/>
  <c r="DD7" i="6"/>
  <c r="DC96" i="3"/>
  <c r="DD10" i="6"/>
  <c r="DD10" i="4"/>
  <c r="DE56" i="3"/>
  <c r="CY49" i="4" l="1"/>
  <c r="DE5" i="4"/>
  <c r="DF50" i="3"/>
  <c r="AA68" i="3"/>
  <c r="AA89" i="3" s="1"/>
  <c r="DF19" i="6"/>
  <c r="CZ97" i="3"/>
  <c r="DA4" i="4"/>
  <c r="DB49" i="3"/>
  <c r="DE9" i="4"/>
  <c r="DD100" i="3"/>
  <c r="DF55" i="3"/>
  <c r="DE8" i="6"/>
  <c r="DE11" i="6"/>
  <c r="DE9" i="6"/>
  <c r="DE7" i="6"/>
  <c r="DE6" i="6"/>
  <c r="DE10" i="4"/>
  <c r="DE10" i="6"/>
  <c r="DD96" i="3"/>
  <c r="DE20" i="6"/>
  <c r="DF56" i="3"/>
  <c r="DB102" i="3"/>
  <c r="DC8" i="4"/>
  <c r="DB103" i="3"/>
  <c r="DD53" i="3"/>
  <c r="DD18" i="6"/>
  <c r="AB64" i="3"/>
  <c r="AB69" i="3"/>
  <c r="AB90" i="3" s="1"/>
  <c r="DF12" i="4"/>
  <c r="DF13" i="4"/>
  <c r="DG58" i="3"/>
  <c r="AB34" i="5"/>
  <c r="CZ48" i="4"/>
  <c r="CZ38" i="4" s="1"/>
  <c r="AA63" i="3"/>
  <c r="DB98" i="3"/>
  <c r="DC6" i="4"/>
  <c r="DD51" i="3"/>
  <c r="DA99" i="3"/>
  <c r="DB61" i="3"/>
  <c r="DB16" i="4" s="1"/>
  <c r="DC54" i="3"/>
  <c r="DA61" i="3"/>
  <c r="DA16" i="4" s="1"/>
  <c r="AB33" i="5"/>
  <c r="DD59" i="3"/>
  <c r="DG14" i="6"/>
  <c r="DG13" i="6"/>
  <c r="DG15" i="6"/>
  <c r="DG11" i="4"/>
  <c r="DG16" i="6"/>
  <c r="DG21" i="6"/>
  <c r="DG12" i="6"/>
  <c r="DF101" i="3"/>
  <c r="DH57" i="3"/>
  <c r="AB72" i="3"/>
  <c r="CZ49" i="4" l="1"/>
  <c r="AA87" i="3"/>
  <c r="AA75" i="3"/>
  <c r="DE59" i="3"/>
  <c r="DF5" i="4"/>
  <c r="AB25" i="5" s="1"/>
  <c r="DG50" i="3"/>
  <c r="DF11" i="6"/>
  <c r="DF20" i="6"/>
  <c r="DF8" i="6"/>
  <c r="DF9" i="6"/>
  <c r="DF7" i="6"/>
  <c r="DF6" i="6"/>
  <c r="DF10" i="6"/>
  <c r="DE96" i="3"/>
  <c r="DF10" i="4"/>
  <c r="AB31" i="5" s="1"/>
  <c r="DG56" i="3"/>
  <c r="DE18" i="6"/>
  <c r="DH16" i="6"/>
  <c r="DH15" i="6"/>
  <c r="DH14" i="6"/>
  <c r="DH21" i="6"/>
  <c r="DH13" i="6"/>
  <c r="DH12" i="6"/>
  <c r="DG101" i="3"/>
  <c r="DH11" i="4"/>
  <c r="DI57" i="3"/>
  <c r="DD6" i="4"/>
  <c r="DC98" i="3"/>
  <c r="DE51" i="3"/>
  <c r="DF9" i="4"/>
  <c r="AB30" i="5" s="1"/>
  <c r="DE100" i="3"/>
  <c r="DG55" i="3"/>
  <c r="DB99" i="3"/>
  <c r="DC61" i="3"/>
  <c r="DC16" i="4" s="1"/>
  <c r="DD54" i="3"/>
  <c r="DG13" i="4"/>
  <c r="DG12" i="4"/>
  <c r="DH58" i="3"/>
  <c r="AB70" i="3"/>
  <c r="AB86" i="3" s="1"/>
  <c r="DB4" i="4"/>
  <c r="DB48" i="4" s="1"/>
  <c r="DB38" i="4" s="1"/>
  <c r="DA97" i="3"/>
  <c r="DC49" i="3"/>
  <c r="DC102" i="3"/>
  <c r="DC103" i="3"/>
  <c r="DD8" i="4"/>
  <c r="DE53" i="3"/>
  <c r="DG19" i="6"/>
  <c r="DA48" i="4"/>
  <c r="DA38" i="4" s="1"/>
  <c r="DA49" i="4" l="1"/>
  <c r="DB49" i="4"/>
  <c r="DH19" i="6"/>
  <c r="DH13" i="4"/>
  <c r="DH12" i="4"/>
  <c r="DI58" i="3"/>
  <c r="DC99" i="3"/>
  <c r="DD61" i="3"/>
  <c r="DD16" i="4" s="1"/>
  <c r="DE54" i="3"/>
  <c r="AB67" i="3"/>
  <c r="DG9" i="4"/>
  <c r="DF100" i="3"/>
  <c r="DH55" i="3"/>
  <c r="DI21" i="6"/>
  <c r="DI13" i="6"/>
  <c r="DI15" i="6"/>
  <c r="DI14" i="6"/>
  <c r="DI16" i="6"/>
  <c r="DI11" i="4"/>
  <c r="DI12" i="6"/>
  <c r="DH101" i="3"/>
  <c r="DJ57" i="3"/>
  <c r="AC71" i="3" s="1"/>
  <c r="AC91" i="3" s="1"/>
  <c r="DF59" i="3"/>
  <c r="DG7" i="6"/>
  <c r="DG6" i="6"/>
  <c r="DG9" i="6"/>
  <c r="DG11" i="6"/>
  <c r="DF96" i="3"/>
  <c r="DG20" i="6"/>
  <c r="DG10" i="6"/>
  <c r="DG10" i="4"/>
  <c r="DG8" i="6"/>
  <c r="DH56" i="3"/>
  <c r="DE6" i="4"/>
  <c r="DD98" i="3"/>
  <c r="DF51" i="3"/>
  <c r="DG5" i="4"/>
  <c r="DH50" i="3"/>
  <c r="AB65" i="3"/>
  <c r="AB88" i="3" s="1"/>
  <c r="DF18" i="6"/>
  <c r="DD103" i="3"/>
  <c r="DE8" i="4"/>
  <c r="DD102" i="3"/>
  <c r="DF53" i="3"/>
  <c r="DB97" i="3"/>
  <c r="DC4" i="4"/>
  <c r="DD49" i="3"/>
  <c r="AA24" i="5"/>
  <c r="AA36" i="5" s="1"/>
  <c r="DI19" i="6" l="1"/>
  <c r="DG96" i="3"/>
  <c r="DH10" i="4"/>
  <c r="DH7" i="6"/>
  <c r="DH8" i="6"/>
  <c r="DH6" i="6"/>
  <c r="DH10" i="6"/>
  <c r="DH20" i="6"/>
  <c r="DH11" i="6"/>
  <c r="DH9" i="6"/>
  <c r="DI56" i="3"/>
  <c r="DH5" i="4"/>
  <c r="DI50" i="3"/>
  <c r="DD99" i="3"/>
  <c r="DE61" i="3"/>
  <c r="DE16" i="4" s="1"/>
  <c r="DF54" i="3"/>
  <c r="AB68" i="3"/>
  <c r="AB89" i="3" s="1"/>
  <c r="DJ14" i="6"/>
  <c r="DJ11" i="4"/>
  <c r="AC32" i="5" s="1"/>
  <c r="DJ21" i="6"/>
  <c r="DJ16" i="6"/>
  <c r="DJ15" i="6"/>
  <c r="DJ13" i="6"/>
  <c r="DI101" i="3"/>
  <c r="DJ12" i="6"/>
  <c r="DK57" i="3"/>
  <c r="DI13" i="4"/>
  <c r="DI12" i="4"/>
  <c r="DJ58" i="3"/>
  <c r="DE102" i="3"/>
  <c r="DE103" i="3"/>
  <c r="DF8" i="4"/>
  <c r="AB28" i="5" s="1"/>
  <c r="DG53" i="3"/>
  <c r="DG59" i="3"/>
  <c r="DD4" i="4"/>
  <c r="DD48" i="4" s="1"/>
  <c r="DD38" i="4" s="1"/>
  <c r="DC97" i="3"/>
  <c r="DE49" i="3"/>
  <c r="DF6" i="4"/>
  <c r="AB26" i="5" s="1"/>
  <c r="DE98" i="3"/>
  <c r="DG51" i="3"/>
  <c r="DC48" i="4"/>
  <c r="DG18" i="6"/>
  <c r="AB73" i="3"/>
  <c r="AB92" i="3" s="1"/>
  <c r="DH9" i="4"/>
  <c r="DG100" i="3"/>
  <c r="DI55" i="3"/>
  <c r="DC38" i="4" l="1"/>
  <c r="DC49" i="4"/>
  <c r="DD49" i="4" s="1"/>
  <c r="DI5" i="4"/>
  <c r="DJ50" i="3"/>
  <c r="AC64" i="3" s="1"/>
  <c r="DH59" i="3"/>
  <c r="DK14" i="6"/>
  <c r="DK15" i="6"/>
  <c r="DJ101" i="3"/>
  <c r="DK13" i="6"/>
  <c r="DK11" i="4"/>
  <c r="DK16" i="6"/>
  <c r="DK12" i="6"/>
  <c r="DK21" i="6"/>
  <c r="DL57" i="3"/>
  <c r="DF98" i="3"/>
  <c r="DG6" i="4"/>
  <c r="DH51" i="3"/>
  <c r="DH18" i="6"/>
  <c r="DJ13" i="4"/>
  <c r="AC34" i="5" s="1"/>
  <c r="DJ12" i="4"/>
  <c r="AC33" i="5" s="1"/>
  <c r="DK58" i="3"/>
  <c r="AC72" i="3"/>
  <c r="DJ19" i="6"/>
  <c r="DF102" i="3"/>
  <c r="DG8" i="4"/>
  <c r="DF103" i="3"/>
  <c r="DH53" i="3"/>
  <c r="DH100" i="3"/>
  <c r="DI9" i="4"/>
  <c r="DJ55" i="3"/>
  <c r="DE99" i="3"/>
  <c r="DG54" i="3"/>
  <c r="DE4" i="4"/>
  <c r="DD97" i="3"/>
  <c r="DF49" i="3"/>
  <c r="DI9" i="6"/>
  <c r="DI11" i="6"/>
  <c r="DI10" i="6"/>
  <c r="DI20" i="6"/>
  <c r="DI8" i="6"/>
  <c r="DI6" i="6"/>
  <c r="DI7" i="6"/>
  <c r="DI10" i="4"/>
  <c r="DH96" i="3"/>
  <c r="DJ56" i="3"/>
  <c r="DK19" i="6" l="1"/>
  <c r="DE48" i="4"/>
  <c r="DE38" i="4" s="1"/>
  <c r="AB24" i="5"/>
  <c r="AB36" i="5" s="1"/>
  <c r="DK13" i="4"/>
  <c r="DK12" i="4"/>
  <c r="DL58" i="3"/>
  <c r="DG102" i="3"/>
  <c r="DG103" i="3"/>
  <c r="DH8" i="4"/>
  <c r="DI53" i="3"/>
  <c r="DF4" i="4"/>
  <c r="DE97" i="3"/>
  <c r="DG49" i="3"/>
  <c r="AB63" i="3"/>
  <c r="DJ20" i="6"/>
  <c r="DJ6" i="6"/>
  <c r="DJ7" i="6"/>
  <c r="DJ10" i="6"/>
  <c r="DJ11" i="6"/>
  <c r="DJ9" i="6"/>
  <c r="DJ8" i="6"/>
  <c r="DJ10" i="4"/>
  <c r="AC31" i="5" s="1"/>
  <c r="DI96" i="3"/>
  <c r="DK56" i="3"/>
  <c r="AC70" i="3"/>
  <c r="AC86" i="3" s="1"/>
  <c r="DF61" i="3"/>
  <c r="DF16" i="4" s="1"/>
  <c r="DF99" i="3"/>
  <c r="DH54" i="3"/>
  <c r="DH6" i="4"/>
  <c r="DG98" i="3"/>
  <c r="DI51" i="3"/>
  <c r="DJ5" i="4"/>
  <c r="AC25" i="5" s="1"/>
  <c r="DK50" i="3"/>
  <c r="DJ9" i="4"/>
  <c r="DI100" i="3"/>
  <c r="DK55" i="3"/>
  <c r="AC69" i="3"/>
  <c r="AC90" i="3" s="1"/>
  <c r="DL12" i="6"/>
  <c r="DL11" i="4"/>
  <c r="DK101" i="3"/>
  <c r="DL21" i="6"/>
  <c r="DL14" i="6"/>
  <c r="DL13" i="6"/>
  <c r="DL16" i="6"/>
  <c r="DL15" i="6"/>
  <c r="DM57" i="3"/>
  <c r="DI18" i="6"/>
  <c r="AC30" i="5"/>
  <c r="DI59" i="3"/>
  <c r="DK5" i="4" l="1"/>
  <c r="DL50" i="3"/>
  <c r="DM21" i="6"/>
  <c r="DM11" i="4"/>
  <c r="DM13" i="6"/>
  <c r="DM12" i="6"/>
  <c r="DM15" i="6"/>
  <c r="DL101" i="3"/>
  <c r="DM16" i="6"/>
  <c r="DM14" i="6"/>
  <c r="DN57" i="3"/>
  <c r="AD71" i="3" s="1"/>
  <c r="AD91" i="3" s="1"/>
  <c r="DE49" i="4"/>
  <c r="DL12" i="4"/>
  <c r="DL13" i="4"/>
  <c r="DM58" i="3"/>
  <c r="DG61" i="3"/>
  <c r="DG16" i="4" s="1"/>
  <c r="DF48" i="4"/>
  <c r="DF38" i="4" s="1"/>
  <c r="DJ18" i="6"/>
  <c r="DJ100" i="3"/>
  <c r="DK9" i="4"/>
  <c r="DL55" i="3"/>
  <c r="DF97" i="3"/>
  <c r="DG4" i="4"/>
  <c r="DH49" i="3"/>
  <c r="DL19" i="6"/>
  <c r="AB87" i="3"/>
  <c r="AB75" i="3"/>
  <c r="DK8" i="6"/>
  <c r="DK20" i="6"/>
  <c r="DK11" i="6"/>
  <c r="DK6" i="6"/>
  <c r="DK10" i="4"/>
  <c r="DK7" i="6"/>
  <c r="DK10" i="6"/>
  <c r="DJ96" i="3"/>
  <c r="DK9" i="6"/>
  <c r="DL56" i="3"/>
  <c r="DI6" i="4"/>
  <c r="DH98" i="3"/>
  <c r="DJ51" i="3"/>
  <c r="AC65" i="3" s="1"/>
  <c r="AC88" i="3" s="1"/>
  <c r="DG99" i="3"/>
  <c r="DI54" i="3"/>
  <c r="DJ59" i="3"/>
  <c r="AC73" i="3" s="1"/>
  <c r="DH102" i="3"/>
  <c r="DH103" i="3"/>
  <c r="DI8" i="4"/>
  <c r="DJ53" i="3"/>
  <c r="AC67" i="3" s="1"/>
  <c r="AC92" i="3" l="1"/>
  <c r="DM19" i="6"/>
  <c r="DG97" i="3"/>
  <c r="DH4" i="4"/>
  <c r="DI49" i="3"/>
  <c r="DG48" i="4"/>
  <c r="DG38" i="4" s="1"/>
  <c r="DF49" i="4"/>
  <c r="DL5" i="4"/>
  <c r="DM50" i="3"/>
  <c r="DK59" i="3"/>
  <c r="DJ6" i="4"/>
  <c r="AC26" i="5" s="1"/>
  <c r="DI98" i="3"/>
  <c r="DK51" i="3"/>
  <c r="DL8" i="6"/>
  <c r="DL9" i="6"/>
  <c r="DL7" i="6"/>
  <c r="DL10" i="6"/>
  <c r="DL11" i="6"/>
  <c r="DL6" i="6"/>
  <c r="DL20" i="6"/>
  <c r="DL10" i="4"/>
  <c r="DK96" i="3"/>
  <c r="DM56" i="3"/>
  <c r="DI103" i="3"/>
  <c r="DI102" i="3"/>
  <c r="DJ8" i="4"/>
  <c r="AC28" i="5" s="1"/>
  <c r="DK53" i="3"/>
  <c r="DI61" i="3"/>
  <c r="DI16" i="4" s="1"/>
  <c r="DH99" i="3"/>
  <c r="DJ54" i="3"/>
  <c r="DM101" i="3"/>
  <c r="DN11" i="4"/>
  <c r="AD32" i="5" s="1"/>
  <c r="DN12" i="6"/>
  <c r="DN16" i="6"/>
  <c r="DN15" i="6"/>
  <c r="DN14" i="6"/>
  <c r="DN21" i="6"/>
  <c r="DN13" i="6"/>
  <c r="DO57" i="3"/>
  <c r="DH61" i="3"/>
  <c r="DH16" i="4" s="1"/>
  <c r="DM13" i="4"/>
  <c r="DM12" i="4"/>
  <c r="DN58" i="3"/>
  <c r="DK18" i="6"/>
  <c r="DL9" i="4"/>
  <c r="DK100" i="3"/>
  <c r="DM55" i="3"/>
  <c r="DJ102" i="3" l="1"/>
  <c r="DK8" i="4"/>
  <c r="DJ103" i="3"/>
  <c r="DL53" i="3"/>
  <c r="DL59" i="3"/>
  <c r="DM5" i="4"/>
  <c r="DN50" i="3"/>
  <c r="DN13" i="4"/>
  <c r="DN12" i="4"/>
  <c r="DO58" i="3"/>
  <c r="DM6" i="6"/>
  <c r="DM8" i="6"/>
  <c r="DM20" i="6"/>
  <c r="DM10" i="4"/>
  <c r="DL96" i="3"/>
  <c r="DM10" i="6"/>
  <c r="DM9" i="6"/>
  <c r="DM11" i="6"/>
  <c r="DM7" i="6"/>
  <c r="DN56" i="3"/>
  <c r="DN19" i="6"/>
  <c r="DK6" i="4"/>
  <c r="DJ98" i="3"/>
  <c r="DL51" i="3"/>
  <c r="DO14" i="6"/>
  <c r="DO15" i="6"/>
  <c r="DN101" i="3"/>
  <c r="DO12" i="6"/>
  <c r="DO11" i="4"/>
  <c r="DO21" i="6"/>
  <c r="DO16" i="6"/>
  <c r="DO13" i="6"/>
  <c r="DP57" i="3"/>
  <c r="DL100" i="3"/>
  <c r="DM9" i="4"/>
  <c r="DN55" i="3"/>
  <c r="DH48" i="4"/>
  <c r="DH38" i="4" s="1"/>
  <c r="AD34" i="5"/>
  <c r="DI4" i="4"/>
  <c r="DH97" i="3"/>
  <c r="DJ49" i="3"/>
  <c r="DJ61" i="3" s="1"/>
  <c r="DJ16" i="4" s="1"/>
  <c r="DG49" i="4"/>
  <c r="AD33" i="5"/>
  <c r="DI99" i="3"/>
  <c r="DK54" i="3"/>
  <c r="AC68" i="3"/>
  <c r="AC89" i="3" s="1"/>
  <c r="DL18" i="6"/>
  <c r="AD72" i="3"/>
  <c r="DH49" i="4" l="1"/>
  <c r="DN20" i="6"/>
  <c r="DN7" i="6"/>
  <c r="DN6" i="6"/>
  <c r="DN11" i="6"/>
  <c r="DN10" i="6"/>
  <c r="DN9" i="6"/>
  <c r="DN8" i="6"/>
  <c r="DM96" i="3"/>
  <c r="DN10" i="4"/>
  <c r="AD31" i="5" s="1"/>
  <c r="DO56" i="3"/>
  <c r="DN9" i="4"/>
  <c r="AD30" i="5" s="1"/>
  <c r="DM100" i="3"/>
  <c r="DO55" i="3"/>
  <c r="DM59" i="3"/>
  <c r="DM18" i="6"/>
  <c r="DO101" i="3"/>
  <c r="DP12" i="6"/>
  <c r="DP16" i="6"/>
  <c r="DP13" i="6"/>
  <c r="DP11" i="4"/>
  <c r="DP21" i="6"/>
  <c r="DP15" i="6"/>
  <c r="DP14" i="6"/>
  <c r="DQ57" i="3"/>
  <c r="DK102" i="3"/>
  <c r="DK103" i="3"/>
  <c r="DL8" i="4"/>
  <c r="DM53" i="3"/>
  <c r="DO19" i="6"/>
  <c r="DK98" i="3"/>
  <c r="DL6" i="4"/>
  <c r="DM51" i="3"/>
  <c r="AC63" i="3"/>
  <c r="DI48" i="4"/>
  <c r="DI38" i="4" s="1"/>
  <c r="AD70" i="3"/>
  <c r="AD86" i="3" s="1"/>
  <c r="DO12" i="4"/>
  <c r="DO13" i="4"/>
  <c r="DP58" i="3"/>
  <c r="DK61" i="3"/>
  <c r="DK16" i="4" s="1"/>
  <c r="DJ99" i="3"/>
  <c r="DL54" i="3"/>
  <c r="AD69" i="3"/>
  <c r="AD90" i="3" s="1"/>
  <c r="DN5" i="4"/>
  <c r="AD25" i="5" s="1"/>
  <c r="DO50" i="3"/>
  <c r="AD64" i="3"/>
  <c r="DJ4" i="4"/>
  <c r="DJ48" i="4" s="1"/>
  <c r="DJ38" i="4" s="1"/>
  <c r="DI97" i="3"/>
  <c r="DK49" i="3"/>
  <c r="DQ13" i="6" l="1"/>
  <c r="DQ16" i="6"/>
  <c r="DQ15" i="6"/>
  <c r="DP101" i="3"/>
  <c r="DQ11" i="4"/>
  <c r="DQ14" i="6"/>
  <c r="DQ21" i="6"/>
  <c r="DQ12" i="6"/>
  <c r="DR57" i="3"/>
  <c r="AE71" i="3" s="1"/>
  <c r="AE91" i="3" s="1"/>
  <c r="DN18" i="6"/>
  <c r="AC75" i="3"/>
  <c r="AC87" i="3"/>
  <c r="DP19" i="6"/>
  <c r="DJ97" i="3"/>
  <c r="DK4" i="4"/>
  <c r="DL49" i="3"/>
  <c r="DO5" i="4"/>
  <c r="DP50" i="3"/>
  <c r="DN59" i="3"/>
  <c r="DM6" i="4"/>
  <c r="DL98" i="3"/>
  <c r="DN51" i="3"/>
  <c r="DO7" i="6"/>
  <c r="DO20" i="6"/>
  <c r="DO10" i="6"/>
  <c r="DO9" i="6"/>
  <c r="DO8" i="6"/>
  <c r="DO11" i="6"/>
  <c r="DO6" i="6"/>
  <c r="DO10" i="4"/>
  <c r="DN96" i="3"/>
  <c r="DP56" i="3"/>
  <c r="DI49" i="4"/>
  <c r="DJ49" i="4" s="1"/>
  <c r="DK99" i="3"/>
  <c r="DM54" i="3"/>
  <c r="AD65" i="3"/>
  <c r="AD88" i="3" s="1"/>
  <c r="DP13" i="4"/>
  <c r="DP12" i="4"/>
  <c r="DQ58" i="3"/>
  <c r="DL103" i="3"/>
  <c r="DM8" i="4"/>
  <c r="DL102" i="3"/>
  <c r="DN53" i="3"/>
  <c r="AC24" i="5"/>
  <c r="AC36" i="5" s="1"/>
  <c r="DN100" i="3"/>
  <c r="DO9" i="4"/>
  <c r="DP55" i="3"/>
  <c r="DQ19" i="6" l="1"/>
  <c r="DO18" i="6"/>
  <c r="AD28" i="5"/>
  <c r="DO59" i="3"/>
  <c r="AD73" i="3"/>
  <c r="DK97" i="3"/>
  <c r="DL4" i="4"/>
  <c r="DM49" i="3"/>
  <c r="DP9" i="4"/>
  <c r="DO100" i="3"/>
  <c r="DQ55" i="3"/>
  <c r="DP5" i="4"/>
  <c r="DQ50" i="3"/>
  <c r="DR21" i="6"/>
  <c r="DR12" i="6"/>
  <c r="DQ101" i="3"/>
  <c r="DR11" i="4"/>
  <c r="AE32" i="5" s="1"/>
  <c r="DR16" i="6"/>
  <c r="DR13" i="6"/>
  <c r="DR15" i="6"/>
  <c r="DR14" i="6"/>
  <c r="DS57" i="3"/>
  <c r="DP10" i="6"/>
  <c r="DP20" i="6"/>
  <c r="DP9" i="6"/>
  <c r="DP8" i="6"/>
  <c r="DP7" i="6"/>
  <c r="DP6" i="6"/>
  <c r="DP11" i="6"/>
  <c r="DP10" i="4"/>
  <c r="DO96" i="3"/>
  <c r="DQ56" i="3"/>
  <c r="DK48" i="4"/>
  <c r="DK38" i="4" s="1"/>
  <c r="DL99" i="3"/>
  <c r="DN54" i="3"/>
  <c r="DQ12" i="4"/>
  <c r="DQ13" i="4"/>
  <c r="DR58" i="3"/>
  <c r="DM98" i="3"/>
  <c r="DN6" i="4"/>
  <c r="AD26" i="5" s="1"/>
  <c r="DO51" i="3"/>
  <c r="DL61" i="3"/>
  <c r="DL16" i="4" s="1"/>
  <c r="DN8" i="4"/>
  <c r="DM103" i="3"/>
  <c r="DM102" i="3"/>
  <c r="DO53" i="3"/>
  <c r="AD67" i="3"/>
  <c r="DL48" i="4" l="1"/>
  <c r="DL38" i="4" s="1"/>
  <c r="DK49" i="4"/>
  <c r="DL49" i="4" s="1"/>
  <c r="DP18" i="6"/>
  <c r="DN98" i="3"/>
  <c r="DO6" i="4"/>
  <c r="DP51" i="3"/>
  <c r="DP59" i="3"/>
  <c r="DR101" i="3"/>
  <c r="DS11" i="4"/>
  <c r="DS12" i="6"/>
  <c r="DS15" i="6"/>
  <c r="DS13" i="6"/>
  <c r="DS21" i="6"/>
  <c r="DS16" i="6"/>
  <c r="DS14" i="6"/>
  <c r="DT57" i="3"/>
  <c r="DM4" i="4"/>
  <c r="DL97" i="3"/>
  <c r="DN49" i="3"/>
  <c r="AD63" i="3" s="1"/>
  <c r="DR12" i="4"/>
  <c r="AE33" i="5" s="1"/>
  <c r="DR13" i="4"/>
  <c r="AE34" i="5" s="1"/>
  <c r="DS58" i="3"/>
  <c r="DN61" i="3"/>
  <c r="DN16" i="4" s="1"/>
  <c r="DM99" i="3"/>
  <c r="DO54" i="3"/>
  <c r="AD68" i="3"/>
  <c r="AD89" i="3" s="1"/>
  <c r="DM61" i="3"/>
  <c r="DM16" i="4" s="1"/>
  <c r="DQ10" i="6"/>
  <c r="DQ6" i="6"/>
  <c r="DQ7" i="6"/>
  <c r="DQ8" i="6"/>
  <c r="DQ20" i="6"/>
  <c r="DQ10" i="4"/>
  <c r="DQ9" i="6"/>
  <c r="DQ11" i="6"/>
  <c r="DP96" i="3"/>
  <c r="DR56" i="3"/>
  <c r="DQ5" i="4"/>
  <c r="DR50" i="3"/>
  <c r="AD92" i="3"/>
  <c r="DO8" i="4"/>
  <c r="DN103" i="3"/>
  <c r="DN102" i="3"/>
  <c r="DP53" i="3"/>
  <c r="DP100" i="3"/>
  <c r="DQ9" i="4"/>
  <c r="DR55" i="3"/>
  <c r="AE72" i="3"/>
  <c r="DR19" i="6"/>
  <c r="AE64" i="3"/>
  <c r="AD87" i="3" l="1"/>
  <c r="AD75" i="3"/>
  <c r="AE70" i="3"/>
  <c r="AE86" i="3" s="1"/>
  <c r="AE30" i="5"/>
  <c r="DO102" i="3"/>
  <c r="DO103" i="3"/>
  <c r="DP8" i="4"/>
  <c r="DQ53" i="3"/>
  <c r="DR6" i="6"/>
  <c r="DR8" i="6"/>
  <c r="DR7" i="6"/>
  <c r="DQ96" i="3"/>
  <c r="DR20" i="6"/>
  <c r="DR10" i="4"/>
  <c r="AE31" i="5" s="1"/>
  <c r="DR9" i="6"/>
  <c r="DR10" i="6"/>
  <c r="DR11" i="6"/>
  <c r="DS56" i="3"/>
  <c r="DO61" i="3"/>
  <c r="DO16" i="4" s="1"/>
  <c r="DN99" i="3"/>
  <c r="DP54" i="3"/>
  <c r="DT14" i="6"/>
  <c r="DT15" i="6"/>
  <c r="DT16" i="6"/>
  <c r="DT11" i="4"/>
  <c r="DT13" i="6"/>
  <c r="DT12" i="6"/>
  <c r="DS101" i="3"/>
  <c r="DT21" i="6"/>
  <c r="DU57" i="3"/>
  <c r="DS13" i="4"/>
  <c r="DS12" i="4"/>
  <c r="DT58" i="3"/>
  <c r="DM49" i="4"/>
  <c r="DQ59" i="3"/>
  <c r="DM97" i="3"/>
  <c r="DN4" i="4"/>
  <c r="DN48" i="4" s="1"/>
  <c r="DN38" i="4" s="1"/>
  <c r="DO49" i="3"/>
  <c r="DR5" i="4"/>
  <c r="DS50" i="3"/>
  <c r="DR9" i="4"/>
  <c r="DQ100" i="3"/>
  <c r="DS55" i="3"/>
  <c r="AE69" i="3"/>
  <c r="AE90" i="3" s="1"/>
  <c r="DS19" i="6"/>
  <c r="DQ18" i="6"/>
  <c r="DP6" i="4"/>
  <c r="DO98" i="3"/>
  <c r="DQ51" i="3"/>
  <c r="DM48" i="4"/>
  <c r="DM38" i="4" s="1"/>
  <c r="AD24" i="5"/>
  <c r="AD36" i="5" s="1"/>
  <c r="AE25" i="5"/>
  <c r="DN49" i="4" l="1"/>
  <c r="DS10" i="6"/>
  <c r="DS11" i="6"/>
  <c r="DS10" i="4"/>
  <c r="DS20" i="6"/>
  <c r="DS7" i="6"/>
  <c r="DS8" i="6"/>
  <c r="DR96" i="3"/>
  <c r="DS9" i="6"/>
  <c r="DS6" i="6"/>
  <c r="DT56" i="3"/>
  <c r="DR100" i="3"/>
  <c r="DS9" i="4"/>
  <c r="DT55" i="3"/>
  <c r="DS5" i="4"/>
  <c r="DT50" i="3"/>
  <c r="DN97" i="3"/>
  <c r="DO4" i="4"/>
  <c r="DP49" i="3"/>
  <c r="DO99" i="3"/>
  <c r="DQ54" i="3"/>
  <c r="DT12" i="4"/>
  <c r="DT13" i="4"/>
  <c r="DU58" i="3"/>
  <c r="DT19" i="6"/>
  <c r="DP103" i="3"/>
  <c r="DP102" i="3"/>
  <c r="DQ8" i="4"/>
  <c r="DR53" i="3"/>
  <c r="AE67" i="3" s="1"/>
  <c r="DU13" i="6"/>
  <c r="DU21" i="6"/>
  <c r="DU14" i="6"/>
  <c r="DU12" i="6"/>
  <c r="DU16" i="6"/>
  <c r="DU15" i="6"/>
  <c r="DU11" i="4"/>
  <c r="DT101" i="3"/>
  <c r="DV57" i="3"/>
  <c r="DP98" i="3"/>
  <c r="DQ6" i="4"/>
  <c r="DR51" i="3"/>
  <c r="DR18" i="6"/>
  <c r="DR59" i="3"/>
  <c r="DV12" i="6" l="1"/>
  <c r="DV14" i="6"/>
  <c r="DV16" i="6"/>
  <c r="DV13" i="6"/>
  <c r="DV21" i="6"/>
  <c r="DV11" i="4"/>
  <c r="AF32" i="5" s="1"/>
  <c r="DU101" i="3"/>
  <c r="DV15" i="6"/>
  <c r="DW57" i="3"/>
  <c r="DP4" i="4"/>
  <c r="DP48" i="4" s="1"/>
  <c r="DP38" i="4" s="1"/>
  <c r="DO97" i="3"/>
  <c r="DQ49" i="3"/>
  <c r="DT9" i="6"/>
  <c r="DT6" i="6"/>
  <c r="DT20" i="6"/>
  <c r="DT10" i="6"/>
  <c r="DT8" i="6"/>
  <c r="DT10" i="4"/>
  <c r="DT7" i="6"/>
  <c r="DS96" i="3"/>
  <c r="DT11" i="6"/>
  <c r="DU56" i="3"/>
  <c r="DS18" i="6"/>
  <c r="DQ61" i="3"/>
  <c r="DQ16" i="4" s="1"/>
  <c r="DP99" i="3"/>
  <c r="DR54" i="3"/>
  <c r="DS100" i="3"/>
  <c r="DT9" i="4"/>
  <c r="DU55" i="3"/>
  <c r="DT5" i="4"/>
  <c r="DU50" i="3"/>
  <c r="DQ98" i="3"/>
  <c r="DR6" i="4"/>
  <c r="AE26" i="5" s="1"/>
  <c r="DS51" i="3"/>
  <c r="AE65" i="3"/>
  <c r="AE88" i="3" s="1"/>
  <c r="AF71" i="3"/>
  <c r="AF91" i="3" s="1"/>
  <c r="DO48" i="4"/>
  <c r="DU19" i="6"/>
  <c r="DS59" i="3"/>
  <c r="AE73" i="3"/>
  <c r="AE92" i="3" s="1"/>
  <c r="DQ102" i="3"/>
  <c r="DR8" i="4"/>
  <c r="AE28" i="5" s="1"/>
  <c r="DQ103" i="3"/>
  <c r="DS53" i="3"/>
  <c r="DU12" i="4"/>
  <c r="DU13" i="4"/>
  <c r="DV58" i="3"/>
  <c r="DP61" i="3"/>
  <c r="DP16" i="4" s="1"/>
  <c r="DV19" i="6" l="1"/>
  <c r="DU5" i="4"/>
  <c r="DV50" i="3"/>
  <c r="AF72" i="3"/>
  <c r="DT18" i="6"/>
  <c r="DQ99" i="3"/>
  <c r="DS54" i="3"/>
  <c r="AE68" i="3"/>
  <c r="AE89" i="3" s="1"/>
  <c r="DO38" i="4"/>
  <c r="DO49" i="4"/>
  <c r="DP49" i="4" s="1"/>
  <c r="DQ49" i="4" s="1"/>
  <c r="DT59" i="3"/>
  <c r="DU9" i="4"/>
  <c r="DT100" i="3"/>
  <c r="DV55" i="3"/>
  <c r="DW12" i="6"/>
  <c r="DW14" i="6"/>
  <c r="DW15" i="6"/>
  <c r="DW13" i="6"/>
  <c r="DW16" i="6"/>
  <c r="DW21" i="6"/>
  <c r="DV101" i="3"/>
  <c r="DW11" i="4"/>
  <c r="DX57" i="3"/>
  <c r="DR98" i="3"/>
  <c r="DS6" i="4"/>
  <c r="DT51" i="3"/>
  <c r="DV12" i="4"/>
  <c r="AF33" i="5" s="1"/>
  <c r="DV13" i="4"/>
  <c r="AF34" i="5" s="1"/>
  <c r="DW58" i="3"/>
  <c r="DU11" i="6"/>
  <c r="DU10" i="6"/>
  <c r="DU9" i="6"/>
  <c r="DU8" i="6"/>
  <c r="DU20" i="6"/>
  <c r="DU10" i="4"/>
  <c r="DT96" i="3"/>
  <c r="DU6" i="6"/>
  <c r="DU7" i="6"/>
  <c r="DV56" i="3"/>
  <c r="DS8" i="4"/>
  <c r="DR102" i="3"/>
  <c r="DR103" i="3"/>
  <c r="DT53" i="3"/>
  <c r="AF69" i="3"/>
  <c r="AF90" i="3" s="1"/>
  <c r="DQ4" i="4"/>
  <c r="DQ48" i="4" s="1"/>
  <c r="DQ38" i="4" s="1"/>
  <c r="DP97" i="3"/>
  <c r="DR49" i="3"/>
  <c r="DW12" i="4" l="1"/>
  <c r="DW13" i="4"/>
  <c r="DX58" i="3"/>
  <c r="DV5" i="4"/>
  <c r="AF25" i="5" s="1"/>
  <c r="DW50" i="3"/>
  <c r="DV9" i="4"/>
  <c r="AF30" i="5" s="1"/>
  <c r="DU100" i="3"/>
  <c r="DW55" i="3"/>
  <c r="DX12" i="6"/>
  <c r="DX15" i="6"/>
  <c r="DX16" i="6"/>
  <c r="DX14" i="6"/>
  <c r="DX21" i="6"/>
  <c r="DX13" i="6"/>
  <c r="DX11" i="4"/>
  <c r="DW101" i="3"/>
  <c r="DY57" i="3"/>
  <c r="AF64" i="3"/>
  <c r="DU59" i="3"/>
  <c r="DR4" i="4"/>
  <c r="DQ97" i="3"/>
  <c r="DS49" i="3"/>
  <c r="AE63" i="3"/>
  <c r="DW19" i="6"/>
  <c r="DT8" i="4"/>
  <c r="DS102" i="3"/>
  <c r="DS103" i="3"/>
  <c r="DU53" i="3"/>
  <c r="DU18" i="6"/>
  <c r="DR61" i="3"/>
  <c r="DR16" i="4" s="1"/>
  <c r="DV10" i="4"/>
  <c r="AF31" i="5" s="1"/>
  <c r="DV20" i="6"/>
  <c r="DV9" i="6"/>
  <c r="DV6" i="6"/>
  <c r="DU96" i="3"/>
  <c r="DV8" i="6"/>
  <c r="DV11" i="6"/>
  <c r="DV10" i="6"/>
  <c r="DV7" i="6"/>
  <c r="DW56" i="3"/>
  <c r="AF70" i="3"/>
  <c r="AF86" i="3" s="1"/>
  <c r="DS61" i="3"/>
  <c r="DS16" i="4" s="1"/>
  <c r="DR99" i="3"/>
  <c r="DT54" i="3"/>
  <c r="DT6" i="4"/>
  <c r="DS98" i="3"/>
  <c r="DU51" i="3"/>
  <c r="DW9" i="4" l="1"/>
  <c r="DV100" i="3"/>
  <c r="DX55" i="3"/>
  <c r="DY14" i="6"/>
  <c r="DY15" i="6"/>
  <c r="DY13" i="6"/>
  <c r="DY21" i="6"/>
  <c r="DY16" i="6"/>
  <c r="DY12" i="6"/>
  <c r="DX101" i="3"/>
  <c r="DY11" i="4"/>
  <c r="DZ57" i="3"/>
  <c r="DU6" i="4"/>
  <c r="DT98" i="3"/>
  <c r="DV51" i="3"/>
  <c r="DT61" i="3"/>
  <c r="DT16" i="4" s="1"/>
  <c r="DS99" i="3"/>
  <c r="DU54" i="3"/>
  <c r="DW5" i="4"/>
  <c r="DX50" i="3"/>
  <c r="AE75" i="3"/>
  <c r="AE87" i="3"/>
  <c r="DV18" i="6"/>
  <c r="DX12" i="4"/>
  <c r="DX13" i="4"/>
  <c r="DY58" i="3"/>
  <c r="DX19" i="6"/>
  <c r="DV59" i="3"/>
  <c r="AF73" i="3" s="1"/>
  <c r="DT102" i="3"/>
  <c r="DT103" i="3"/>
  <c r="DU8" i="4"/>
  <c r="DV53" i="3"/>
  <c r="DW10" i="6"/>
  <c r="DW11" i="6"/>
  <c r="DV96" i="3"/>
  <c r="DW8" i="6"/>
  <c r="DW20" i="6"/>
  <c r="DW6" i="6"/>
  <c r="DW7" i="6"/>
  <c r="DW10" i="4"/>
  <c r="DW9" i="6"/>
  <c r="DX56" i="3"/>
  <c r="DR97" i="3"/>
  <c r="DS4" i="4"/>
  <c r="DT49" i="3"/>
  <c r="DR48" i="4"/>
  <c r="AE24" i="5"/>
  <c r="AE36" i="5" s="1"/>
  <c r="AF65" i="3"/>
  <c r="AF88" i="3" s="1"/>
  <c r="DX9" i="4" l="1"/>
  <c r="DW100" i="3"/>
  <c r="DY55" i="3"/>
  <c r="DV6" i="4"/>
  <c r="AF26" i="5" s="1"/>
  <c r="DU98" i="3"/>
  <c r="DW51" i="3"/>
  <c r="DX6" i="6"/>
  <c r="DX7" i="6"/>
  <c r="DX9" i="6"/>
  <c r="DX10" i="6"/>
  <c r="DX20" i="6"/>
  <c r="DX8" i="6"/>
  <c r="DX10" i="4"/>
  <c r="DX11" i="6"/>
  <c r="DW96" i="3"/>
  <c r="DY56" i="3"/>
  <c r="DT99" i="3"/>
  <c r="DV54" i="3"/>
  <c r="DW18" i="6"/>
  <c r="AF67" i="3"/>
  <c r="AF92" i="3" s="1"/>
  <c r="DZ21" i="6"/>
  <c r="DZ12" i="6"/>
  <c r="DZ15" i="6"/>
  <c r="DZ11" i="4"/>
  <c r="AG32" i="5" s="1"/>
  <c r="DZ16" i="6"/>
  <c r="DZ13" i="6"/>
  <c r="DZ14" i="6"/>
  <c r="DY101" i="3"/>
  <c r="EA57" i="3"/>
  <c r="AG71" i="3"/>
  <c r="AG91" i="3" s="1"/>
  <c r="DT4" i="4"/>
  <c r="DT48" i="4" s="1"/>
  <c r="DT38" i="4" s="1"/>
  <c r="DS97" i="3"/>
  <c r="DU49" i="3"/>
  <c r="DR38" i="4"/>
  <c r="DR49" i="4"/>
  <c r="DS48" i="4"/>
  <c r="DS38" i="4" s="1"/>
  <c r="DY19" i="6"/>
  <c r="DW59" i="3"/>
  <c r="DX5" i="4"/>
  <c r="DY50" i="3"/>
  <c r="DU103" i="3"/>
  <c r="DU102" i="3"/>
  <c r="DV8" i="4"/>
  <c r="AF28" i="5" s="1"/>
  <c r="DW53" i="3"/>
  <c r="DY13" i="4"/>
  <c r="DY12" i="4"/>
  <c r="DZ58" i="3"/>
  <c r="DX18" i="6" l="1"/>
  <c r="DV98" i="3"/>
  <c r="DW6" i="4"/>
  <c r="DX51" i="3"/>
  <c r="DU4" i="4"/>
  <c r="DT97" i="3"/>
  <c r="DV49" i="3"/>
  <c r="DX59" i="3"/>
  <c r="DV103" i="3"/>
  <c r="DW8" i="4"/>
  <c r="DV102" i="3"/>
  <c r="DX53" i="3"/>
  <c r="DS49" i="4"/>
  <c r="DT49" i="4" s="1"/>
  <c r="DZ19" i="6"/>
  <c r="DU99" i="3"/>
  <c r="DW54" i="3"/>
  <c r="AF68" i="3"/>
  <c r="AF89" i="3" s="1"/>
  <c r="DY5" i="4"/>
  <c r="DZ50" i="3"/>
  <c r="DU61" i="3"/>
  <c r="DU16" i="4" s="1"/>
  <c r="DZ12" i="4"/>
  <c r="AG33" i="5" s="1"/>
  <c r="DZ13" i="4"/>
  <c r="AG34" i="5" s="1"/>
  <c r="EA58" i="3"/>
  <c r="AG72" i="3"/>
  <c r="EB57" i="3"/>
  <c r="DY9" i="4"/>
  <c r="DX100" i="3"/>
  <c r="DZ55" i="3"/>
  <c r="DY8" i="6"/>
  <c r="DY9" i="6"/>
  <c r="DX96" i="3"/>
  <c r="DY7" i="6"/>
  <c r="DY6" i="6"/>
  <c r="DY10" i="4"/>
  <c r="DY11" i="6"/>
  <c r="DY20" i="6"/>
  <c r="DY10" i="6"/>
  <c r="DZ56" i="3"/>
  <c r="AG64" i="3"/>
  <c r="EA101" i="3" l="1"/>
  <c r="EC57" i="3"/>
  <c r="DW98" i="3"/>
  <c r="DX6" i="4"/>
  <c r="DY51" i="3"/>
  <c r="DZ7" i="6"/>
  <c r="DZ10" i="6"/>
  <c r="DZ8" i="6"/>
  <c r="DZ6" i="6"/>
  <c r="DZ20" i="6"/>
  <c r="DZ9" i="6"/>
  <c r="DZ10" i="4"/>
  <c r="AG31" i="5" s="1"/>
  <c r="DY96" i="3"/>
  <c r="DZ11" i="6"/>
  <c r="EA56" i="3"/>
  <c r="AG70" i="3"/>
  <c r="AG86" i="3" s="1"/>
  <c r="DV61" i="3"/>
  <c r="DV16" i="4" s="1"/>
  <c r="EB58" i="3"/>
  <c r="AF63" i="3"/>
  <c r="DW103" i="3"/>
  <c r="DW102" i="3"/>
  <c r="DX8" i="4"/>
  <c r="DY53" i="3"/>
  <c r="DZ9" i="4"/>
  <c r="DY100" i="3"/>
  <c r="EA55" i="3"/>
  <c r="AG69" i="3"/>
  <c r="AG90" i="3" s="1"/>
  <c r="DV99" i="3"/>
  <c r="DW61" i="3"/>
  <c r="DW16" i="4" s="1"/>
  <c r="DX54" i="3"/>
  <c r="DU48" i="4"/>
  <c r="DU38" i="4" s="1"/>
  <c r="AF24" i="5"/>
  <c r="AF36" i="5" s="1"/>
  <c r="DU97" i="3"/>
  <c r="DV4" i="4"/>
  <c r="DW49" i="3"/>
  <c r="DY18" i="6"/>
  <c r="DZ5" i="4"/>
  <c r="EA50" i="3"/>
  <c r="AG30" i="5"/>
  <c r="AG25" i="5"/>
  <c r="DY59" i="3"/>
  <c r="DY6" i="4" l="1"/>
  <c r="DX98" i="3"/>
  <c r="DZ51" i="3"/>
  <c r="DZ18" i="6"/>
  <c r="DW99" i="3"/>
  <c r="DX61" i="3"/>
  <c r="DX16" i="4" s="1"/>
  <c r="DY54" i="3"/>
  <c r="EB101" i="3"/>
  <c r="ED57" i="3"/>
  <c r="DV48" i="4"/>
  <c r="DV38" i="4" s="1"/>
  <c r="DZ59" i="3"/>
  <c r="AG73" i="3" s="1"/>
  <c r="EB50" i="3"/>
  <c r="EB55" i="3"/>
  <c r="DV97" i="3"/>
  <c r="DW4" i="4"/>
  <c r="DX49" i="3"/>
  <c r="EB56" i="3"/>
  <c r="DU49" i="4"/>
  <c r="DX103" i="3"/>
  <c r="DX102" i="3"/>
  <c r="DY8" i="4"/>
  <c r="DZ53" i="3"/>
  <c r="AF75" i="3"/>
  <c r="AF87" i="3"/>
  <c r="EC58" i="3"/>
  <c r="ED58" i="3" l="1"/>
  <c r="EA100" i="3"/>
  <c r="EC55" i="3"/>
  <c r="DV49" i="4"/>
  <c r="DZ8" i="4"/>
  <c r="AG28" i="5" s="1"/>
  <c r="DY102" i="3"/>
  <c r="DY103" i="3"/>
  <c r="EA53" i="3"/>
  <c r="EC101" i="3"/>
  <c r="EE57" i="3"/>
  <c r="DY61" i="3"/>
  <c r="DY16" i="4" s="1"/>
  <c r="DX99" i="3"/>
  <c r="DZ54" i="3"/>
  <c r="DZ6" i="4"/>
  <c r="DY98" i="3"/>
  <c r="EA51" i="3"/>
  <c r="AG26" i="5"/>
  <c r="EA96" i="3"/>
  <c r="EC56" i="3"/>
  <c r="EA59" i="3"/>
  <c r="EC50" i="3"/>
  <c r="DW48" i="4"/>
  <c r="DW38" i="4" s="1"/>
  <c r="AG68" i="3"/>
  <c r="AG89" i="3" s="1"/>
  <c r="AG65" i="3"/>
  <c r="AG88" i="3" s="1"/>
  <c r="AG67" i="3"/>
  <c r="AG92" i="3" s="1"/>
  <c r="DW97" i="3"/>
  <c r="DX4" i="4"/>
  <c r="DX48" i="4" s="1"/>
  <c r="DX38" i="4" s="1"/>
  <c r="DY49" i="3"/>
  <c r="DW49" i="4" l="1"/>
  <c r="DX49" i="4" s="1"/>
  <c r="EB51" i="3"/>
  <c r="DY99" i="3"/>
  <c r="EA54" i="3"/>
  <c r="EB53" i="3"/>
  <c r="ED50" i="3"/>
  <c r="EE58" i="3"/>
  <c r="EB59" i="3"/>
  <c r="EF57" i="3"/>
  <c r="DY4" i="4"/>
  <c r="DX97" i="3"/>
  <c r="DZ49" i="3"/>
  <c r="EB100" i="3"/>
  <c r="ED55" i="3"/>
  <c r="EB96" i="3"/>
  <c r="ED56" i="3"/>
  <c r="EB54" i="3" l="1"/>
  <c r="EF58" i="3"/>
  <c r="EA103" i="3"/>
  <c r="EA102" i="3"/>
  <c r="EC53" i="3"/>
  <c r="DY48" i="4"/>
  <c r="DY38" i="4" s="1"/>
  <c r="EE101" i="3"/>
  <c r="EG57" i="3"/>
  <c r="EC96" i="3"/>
  <c r="EE56" i="3"/>
  <c r="DY49" i="4"/>
  <c r="EA98" i="3"/>
  <c r="EC51" i="3"/>
  <c r="EC100" i="3"/>
  <c r="EE55" i="3"/>
  <c r="EC59" i="3"/>
  <c r="AG63" i="3"/>
  <c r="EE50" i="3"/>
  <c r="DY97" i="3"/>
  <c r="DZ4" i="4"/>
  <c r="EA49" i="3"/>
  <c r="DZ61" i="3"/>
  <c r="DZ16" i="4" s="1"/>
  <c r="EB98" i="3" l="1"/>
  <c r="ED51" i="3"/>
  <c r="EF55" i="3"/>
  <c r="EA61" i="3"/>
  <c r="EB103" i="3"/>
  <c r="EB102" i="3"/>
  <c r="ED53" i="3"/>
  <c r="EB49" i="3"/>
  <c r="EB61" i="3" s="1"/>
  <c r="EF56" i="3"/>
  <c r="DZ48" i="4"/>
  <c r="DZ38" i="4" s="1"/>
  <c r="EG58" i="3"/>
  <c r="EF101" i="3"/>
  <c r="EH57" i="3"/>
  <c r="AG24" i="5"/>
  <c r="AG36" i="5" s="1"/>
  <c r="EF50" i="3"/>
  <c r="EA99" i="3"/>
  <c r="EC54" i="3"/>
  <c r="AG87" i="3"/>
  <c r="AG75" i="3"/>
  <c r="ED59" i="3"/>
  <c r="EG101" i="3" l="1"/>
  <c r="EI57" i="3"/>
  <c r="EJ57" i="3" s="1"/>
  <c r="EG50" i="3"/>
  <c r="EH50" i="3" s="1"/>
  <c r="EI50" i="3" s="1"/>
  <c r="EJ50" i="3" s="1"/>
  <c r="EK50" i="3" s="1"/>
  <c r="EL50" i="3" s="1"/>
  <c r="EM50" i="3" s="1"/>
  <c r="EN50" i="3" s="1"/>
  <c r="EO50" i="3" s="1"/>
  <c r="EP50" i="3" s="1"/>
  <c r="EQ50" i="3" s="1"/>
  <c r="ER50" i="3" s="1"/>
  <c r="ES50" i="3" s="1"/>
  <c r="ET50" i="3" s="1"/>
  <c r="EU50" i="3" s="1"/>
  <c r="EV50" i="3" s="1"/>
  <c r="EW50" i="3" s="1"/>
  <c r="EX50" i="3" s="1"/>
  <c r="EY50" i="3" s="1"/>
  <c r="EZ50" i="3" s="1"/>
  <c r="FA50" i="3" s="1"/>
  <c r="FB50" i="3" s="1"/>
  <c r="FC50" i="3" s="1"/>
  <c r="FD50" i="3" s="1"/>
  <c r="FE50" i="3" s="1"/>
  <c r="FF50" i="3" s="1"/>
  <c r="DZ49" i="4"/>
  <c r="EC103" i="3"/>
  <c r="EC102" i="3"/>
  <c r="EE53" i="3"/>
  <c r="EB99" i="3"/>
  <c r="ED54" i="3"/>
  <c r="EE59" i="3"/>
  <c r="EC98" i="3"/>
  <c r="EE51" i="3"/>
  <c r="EA97" i="3"/>
  <c r="EC49" i="3"/>
  <c r="EE100" i="3"/>
  <c r="EG55" i="3"/>
  <c r="EH58" i="3"/>
  <c r="EE96" i="3"/>
  <c r="EG56" i="3"/>
  <c r="EC61" i="3" l="1"/>
  <c r="EF51" i="3"/>
  <c r="EF96" i="3"/>
  <c r="EH56" i="3"/>
  <c r="FG50" i="3"/>
  <c r="FH50" i="3" s="1"/>
  <c r="EF59" i="3"/>
  <c r="EI58" i="3"/>
  <c r="EI101" i="3"/>
  <c r="EK57" i="3"/>
  <c r="EF53" i="3"/>
  <c r="EB97" i="3"/>
  <c r="ED49" i="3"/>
  <c r="EF100" i="3"/>
  <c r="EH55" i="3"/>
  <c r="EC99" i="3"/>
  <c r="EE54" i="3"/>
  <c r="EG100" i="3" l="1"/>
  <c r="EI55" i="3"/>
  <c r="EJ55" i="3" s="1"/>
  <c r="EE98" i="3"/>
  <c r="EG51" i="3"/>
  <c r="FI50" i="3"/>
  <c r="EC97" i="3"/>
  <c r="EE49" i="3"/>
  <c r="EE103" i="3"/>
  <c r="EE102" i="3"/>
  <c r="EG53" i="3"/>
  <c r="EJ101" i="3"/>
  <c r="EL57" i="3"/>
  <c r="EG59" i="3"/>
  <c r="EH59" i="3" s="1"/>
  <c r="EI59" i="3" s="1"/>
  <c r="EJ59" i="3" s="1"/>
  <c r="EK59" i="3" s="1"/>
  <c r="EL59" i="3" s="1"/>
  <c r="EM59" i="3" s="1"/>
  <c r="EN59" i="3" s="1"/>
  <c r="EO59" i="3" s="1"/>
  <c r="EP59" i="3" s="1"/>
  <c r="EQ59" i="3" s="1"/>
  <c r="ER59" i="3" s="1"/>
  <c r="ES59" i="3" s="1"/>
  <c r="ET59" i="3" s="1"/>
  <c r="EU59" i="3" s="1"/>
  <c r="EV59" i="3" s="1"/>
  <c r="EW59" i="3" s="1"/>
  <c r="EX59" i="3" s="1"/>
  <c r="EY59" i="3" s="1"/>
  <c r="EZ59" i="3" s="1"/>
  <c r="FA59" i="3" s="1"/>
  <c r="FB59" i="3" s="1"/>
  <c r="FC59" i="3" s="1"/>
  <c r="FD59" i="3" s="1"/>
  <c r="FE59" i="3" s="1"/>
  <c r="EJ58" i="3"/>
  <c r="EG96" i="3"/>
  <c r="EI56" i="3"/>
  <c r="FJ50" i="3"/>
  <c r="EE61" i="3"/>
  <c r="EF54" i="3"/>
  <c r="ED61" i="3"/>
  <c r="EJ56" i="3" l="1"/>
  <c r="EE99" i="3"/>
  <c r="EG54" i="3"/>
  <c r="EF49" i="3"/>
  <c r="EK58" i="3"/>
  <c r="EL58" i="3" s="1"/>
  <c r="EM58" i="3" s="1"/>
  <c r="EN58" i="3" s="1"/>
  <c r="EO58" i="3" s="1"/>
  <c r="EP58" i="3" s="1"/>
  <c r="EQ58" i="3" s="1"/>
  <c r="ER58" i="3" s="1"/>
  <c r="ES58" i="3" s="1"/>
  <c r="ET58" i="3" s="1"/>
  <c r="EU58" i="3" s="1"/>
  <c r="EV58" i="3" s="1"/>
  <c r="EW58" i="3" s="1"/>
  <c r="EX58" i="3" s="1"/>
  <c r="EY58" i="3" s="1"/>
  <c r="EZ58" i="3" s="1"/>
  <c r="FA58" i="3" s="1"/>
  <c r="FB58" i="3" s="1"/>
  <c r="FC58" i="3" s="1"/>
  <c r="FD58" i="3" s="1"/>
  <c r="FE58" i="3" s="1"/>
  <c r="FF58" i="3" s="1"/>
  <c r="FG58" i="3" s="1"/>
  <c r="FH58" i="3" s="1"/>
  <c r="FI58" i="3" s="1"/>
  <c r="FJ58" i="3" s="1"/>
  <c r="EI100" i="3"/>
  <c r="EK55" i="3"/>
  <c r="EF103" i="3"/>
  <c r="EF102" i="3"/>
  <c r="EH53" i="3"/>
  <c r="EF98" i="3"/>
  <c r="EH51" i="3"/>
  <c r="EK101" i="3"/>
  <c r="EM57" i="3"/>
  <c r="EN57" i="3" s="1"/>
  <c r="FF59" i="3"/>
  <c r="FG59" i="3" s="1"/>
  <c r="FH59" i="3" s="1"/>
  <c r="FI59" i="3" s="1"/>
  <c r="EF99" i="3" l="1"/>
  <c r="EH54" i="3"/>
  <c r="EG102" i="3"/>
  <c r="EG103" i="3"/>
  <c r="EI53" i="3"/>
  <c r="EJ53" i="3" s="1"/>
  <c r="EJ100" i="3"/>
  <c r="EL55" i="3"/>
  <c r="EM101" i="3"/>
  <c r="EO57" i="3"/>
  <c r="EG98" i="3"/>
  <c r="EI51" i="3"/>
  <c r="EE97" i="3"/>
  <c r="EG49" i="3"/>
  <c r="EF61" i="3"/>
  <c r="EI96" i="3"/>
  <c r="EK56" i="3"/>
  <c r="FJ59" i="3"/>
  <c r="EN101" i="3" l="1"/>
  <c r="EP57" i="3"/>
  <c r="EJ51" i="3"/>
  <c r="EF97" i="3"/>
  <c r="EH49" i="3"/>
  <c r="EK100" i="3"/>
  <c r="EM55" i="3"/>
  <c r="EN55" i="3" s="1"/>
  <c r="EI102" i="3"/>
  <c r="EI103" i="3"/>
  <c r="EK53" i="3"/>
  <c r="EG61" i="3"/>
  <c r="EJ96" i="3"/>
  <c r="EL56" i="3"/>
  <c r="EH61" i="3"/>
  <c r="EG99" i="3"/>
  <c r="EI54" i="3"/>
  <c r="EK96" i="3" l="1"/>
  <c r="EM56" i="3"/>
  <c r="EN56" i="3" s="1"/>
  <c r="EJ103" i="3"/>
  <c r="EJ102" i="3"/>
  <c r="EL53" i="3"/>
  <c r="EG97" i="3"/>
  <c r="EI49" i="3"/>
  <c r="EI98" i="3"/>
  <c r="EK51" i="3"/>
  <c r="EI61" i="3"/>
  <c r="EJ54" i="3"/>
  <c r="EM100" i="3"/>
  <c r="EO55" i="3"/>
  <c r="EO101" i="3"/>
  <c r="EQ57" i="3"/>
  <c r="ER57" i="3" s="1"/>
  <c r="EJ98" i="3" l="1"/>
  <c r="EL51" i="3"/>
  <c r="EK103" i="3"/>
  <c r="EK102" i="3"/>
  <c r="EM53" i="3"/>
  <c r="EN53" i="3" s="1"/>
  <c r="EI99" i="3"/>
  <c r="EK54" i="3"/>
  <c r="EQ101" i="3"/>
  <c r="ES57" i="3"/>
  <c r="EN100" i="3"/>
  <c r="EP55" i="3"/>
  <c r="EJ49" i="3"/>
  <c r="EJ61" i="3" s="1"/>
  <c r="EM96" i="3"/>
  <c r="EO56" i="3"/>
  <c r="EN96" i="3" l="1"/>
  <c r="EP56" i="3"/>
  <c r="EO100" i="3"/>
  <c r="EQ55" i="3"/>
  <c r="ER55" i="3" s="1"/>
  <c r="EJ99" i="3"/>
  <c r="EL54" i="3"/>
  <c r="ER101" i="3"/>
  <c r="ET57" i="3"/>
  <c r="EK98" i="3"/>
  <c r="EM51" i="3"/>
  <c r="EN51" i="3" s="1"/>
  <c r="EI97" i="3"/>
  <c r="EK49" i="3"/>
  <c r="EK61" i="3" s="1"/>
  <c r="EM103" i="3"/>
  <c r="EM102" i="3"/>
  <c r="EO53" i="3"/>
  <c r="EM98" i="3" l="1"/>
  <c r="EO51" i="3"/>
  <c r="EK99" i="3"/>
  <c r="EM54" i="3"/>
  <c r="EN102" i="3"/>
  <c r="EN103" i="3"/>
  <c r="EP53" i="3"/>
  <c r="EJ97" i="3"/>
  <c r="EL49" i="3"/>
  <c r="ES101" i="3"/>
  <c r="EU57" i="3"/>
  <c r="EV57" i="3" s="1"/>
  <c r="EQ100" i="3"/>
  <c r="ES55" i="3"/>
  <c r="EO96" i="3"/>
  <c r="EQ56" i="3"/>
  <c r="ER56" i="3" s="1"/>
  <c r="EQ96" i="3" l="1"/>
  <c r="ES56" i="3"/>
  <c r="EK97" i="3"/>
  <c r="EM49" i="3"/>
  <c r="EN49" i="3" s="1"/>
  <c r="ER100" i="3"/>
  <c r="ET55" i="3"/>
  <c r="EM61" i="3"/>
  <c r="EN54" i="3"/>
  <c r="EL61" i="3"/>
  <c r="EU101" i="3"/>
  <c r="EW57" i="3"/>
  <c r="EO102" i="3"/>
  <c r="EO103" i="3"/>
  <c r="EQ53" i="3"/>
  <c r="ER53" i="3" s="1"/>
  <c r="EN98" i="3"/>
  <c r="EP51" i="3"/>
  <c r="EV101" i="3" l="1"/>
  <c r="EX57" i="3"/>
  <c r="EO98" i="3"/>
  <c r="EQ51" i="3"/>
  <c r="ER51" i="3" s="1"/>
  <c r="EN61" i="3"/>
  <c r="EM99" i="3"/>
  <c r="EO54" i="3"/>
  <c r="EM97" i="3"/>
  <c r="EO49" i="3"/>
  <c r="EQ102" i="3"/>
  <c r="EQ103" i="3"/>
  <c r="ES53" i="3"/>
  <c r="ES100" i="3"/>
  <c r="EU55" i="3"/>
  <c r="EV55" i="3" s="1"/>
  <c r="ER96" i="3"/>
  <c r="ET56" i="3"/>
  <c r="ES96" i="3" l="1"/>
  <c r="EU56" i="3"/>
  <c r="EV56" i="3" s="1"/>
  <c r="ER103" i="3"/>
  <c r="ER102" i="3"/>
  <c r="ET53" i="3"/>
  <c r="EN99" i="3"/>
  <c r="EO61" i="3"/>
  <c r="EP54" i="3"/>
  <c r="EW101" i="3"/>
  <c r="EY57" i="3"/>
  <c r="EZ57" i="3" s="1"/>
  <c r="EU100" i="3"/>
  <c r="EW55" i="3"/>
  <c r="EN97" i="3"/>
  <c r="EP49" i="3"/>
  <c r="EQ98" i="3"/>
  <c r="ES51" i="3"/>
  <c r="EO97" i="3" l="1"/>
  <c r="EQ49" i="3"/>
  <c r="ER49" i="3" s="1"/>
  <c r="EY101" i="3"/>
  <c r="FA57" i="3"/>
  <c r="ES102" i="3"/>
  <c r="ES103" i="3"/>
  <c r="EU53" i="3"/>
  <c r="EV53" i="3" s="1"/>
  <c r="ER98" i="3"/>
  <c r="ET51" i="3"/>
  <c r="EV100" i="3"/>
  <c r="EX55" i="3"/>
  <c r="EO99" i="3"/>
  <c r="EP61" i="3"/>
  <c r="EQ54" i="3"/>
  <c r="EU96" i="3"/>
  <c r="EW56" i="3"/>
  <c r="EW100" i="3" l="1"/>
  <c r="EY55" i="3"/>
  <c r="EZ55" i="3" s="1"/>
  <c r="EV96" i="3"/>
  <c r="EX56" i="3"/>
  <c r="EQ61" i="3"/>
  <c r="ER54" i="3"/>
  <c r="ES98" i="3"/>
  <c r="EU51" i="3"/>
  <c r="EV51" i="3" s="1"/>
  <c r="EZ101" i="3"/>
  <c r="FB57" i="3"/>
  <c r="EU103" i="3"/>
  <c r="EU102" i="3"/>
  <c r="EW53" i="3"/>
  <c r="EQ97" i="3"/>
  <c r="ES49" i="3"/>
  <c r="EV103" i="3" l="1"/>
  <c r="EV102" i="3"/>
  <c r="EX53" i="3"/>
  <c r="FA101" i="3"/>
  <c r="FC57" i="3"/>
  <c r="FD57" i="3" s="1"/>
  <c r="EW96" i="3"/>
  <c r="EY56" i="3"/>
  <c r="EZ56" i="3" s="1"/>
  <c r="ER97" i="3"/>
  <c r="ET49" i="3"/>
  <c r="EU98" i="3"/>
  <c r="EW51" i="3"/>
  <c r="EQ99" i="3"/>
  <c r="ER61" i="3"/>
  <c r="ES54" i="3"/>
  <c r="EY100" i="3"/>
  <c r="FA55" i="3"/>
  <c r="ES97" i="3" l="1"/>
  <c r="EU49" i="3"/>
  <c r="EV49" i="3" s="1"/>
  <c r="EZ100" i="3"/>
  <c r="FB55" i="3"/>
  <c r="EY96" i="3"/>
  <c r="FA56" i="3"/>
  <c r="ER99" i="3"/>
  <c r="ES61" i="3"/>
  <c r="ET54" i="3"/>
  <c r="EV98" i="3"/>
  <c r="EX51" i="3"/>
  <c r="FC101" i="3"/>
  <c r="FE57" i="3"/>
  <c r="EW102" i="3"/>
  <c r="EW103" i="3"/>
  <c r="EY53" i="3"/>
  <c r="EZ53" i="3" s="1"/>
  <c r="FD101" i="3" l="1"/>
  <c r="FF57" i="3"/>
  <c r="ES99" i="3"/>
  <c r="ET61" i="3"/>
  <c r="EU54" i="3"/>
  <c r="FA100" i="3"/>
  <c r="FC55" i="3"/>
  <c r="FD55" i="3" s="1"/>
  <c r="EY103" i="3"/>
  <c r="EY102" i="3"/>
  <c r="FA53" i="3"/>
  <c r="EW98" i="3"/>
  <c r="EY51" i="3"/>
  <c r="EZ51" i="3" s="1"/>
  <c r="EZ96" i="3"/>
  <c r="FB56" i="3"/>
  <c r="EU97" i="3"/>
  <c r="EW49" i="3"/>
  <c r="FA96" i="3" l="1"/>
  <c r="FC56" i="3"/>
  <c r="FD56" i="3" s="1"/>
  <c r="EV97" i="3"/>
  <c r="EX49" i="3"/>
  <c r="EZ102" i="3"/>
  <c r="EZ103" i="3"/>
  <c r="FB53" i="3"/>
  <c r="EU61" i="3"/>
  <c r="EV54" i="3"/>
  <c r="EY98" i="3"/>
  <c r="FA51" i="3"/>
  <c r="FC100" i="3"/>
  <c r="FE55" i="3"/>
  <c r="FE101" i="3"/>
  <c r="FG57" i="3"/>
  <c r="FH57" i="3" s="1"/>
  <c r="FG101" i="3" l="1"/>
  <c r="FI57" i="3"/>
  <c r="FD100" i="3"/>
  <c r="FF55" i="3"/>
  <c r="EV61" i="3"/>
  <c r="EU99" i="3"/>
  <c r="EW54" i="3"/>
  <c r="EW97" i="3"/>
  <c r="EY49" i="3"/>
  <c r="EZ49" i="3" s="1"/>
  <c r="EZ98" i="3"/>
  <c r="FB51" i="3"/>
  <c r="FA103" i="3"/>
  <c r="FA102" i="3"/>
  <c r="FC53" i="3"/>
  <c r="FD53" i="3" s="1"/>
  <c r="FC96" i="3"/>
  <c r="FE56" i="3"/>
  <c r="EW61" i="3" l="1"/>
  <c r="EV99" i="3"/>
  <c r="EX54" i="3"/>
  <c r="FC102" i="3"/>
  <c r="FC103" i="3"/>
  <c r="FE53" i="3"/>
  <c r="FD96" i="3"/>
  <c r="FF56" i="3"/>
  <c r="EY97" i="3"/>
  <c r="FA49" i="3"/>
  <c r="FA98" i="3"/>
  <c r="FC51" i="3"/>
  <c r="FD51" i="3" s="1"/>
  <c r="FH101" i="3"/>
  <c r="FJ57" i="3"/>
  <c r="FI101" i="3" s="1"/>
  <c r="FE100" i="3"/>
  <c r="FG55" i="3"/>
  <c r="FH55" i="3" s="1"/>
  <c r="FC98" i="3" l="1"/>
  <c r="FE51" i="3"/>
  <c r="FG100" i="3"/>
  <c r="FI55" i="3"/>
  <c r="FE96" i="3"/>
  <c r="FG56" i="3"/>
  <c r="FH56" i="3" s="1"/>
  <c r="EZ97" i="3"/>
  <c r="FB49" i="3"/>
  <c r="FD102" i="3"/>
  <c r="FD103" i="3"/>
  <c r="FF53" i="3"/>
  <c r="EW99" i="3"/>
  <c r="EX61" i="3"/>
  <c r="EY54" i="3"/>
  <c r="FE103" i="3" l="1"/>
  <c r="FE102" i="3"/>
  <c r="FG53" i="3"/>
  <c r="FH53" i="3" s="1"/>
  <c r="FG96" i="3"/>
  <c r="FI56" i="3"/>
  <c r="EY61" i="3"/>
  <c r="EZ54" i="3"/>
  <c r="FA97" i="3"/>
  <c r="FC49" i="3"/>
  <c r="FD49" i="3" s="1"/>
  <c r="FH100" i="3"/>
  <c r="FJ55" i="3"/>
  <c r="FI100" i="3" s="1"/>
  <c r="FD98" i="3"/>
  <c r="FF51" i="3"/>
  <c r="FE98" i="3" l="1"/>
  <c r="FG51" i="3"/>
  <c r="FH51" i="3" s="1"/>
  <c r="EZ61" i="3"/>
  <c r="EY99" i="3"/>
  <c r="FA54" i="3"/>
  <c r="FH96" i="3"/>
  <c r="FJ56" i="3"/>
  <c r="FI96" i="3" s="1"/>
  <c r="FC97" i="3"/>
  <c r="FE49" i="3"/>
  <c r="FG102" i="3"/>
  <c r="FG103" i="3"/>
  <c r="FI53" i="3"/>
  <c r="FH103" i="3" l="1"/>
  <c r="FH102" i="3"/>
  <c r="FJ53" i="3"/>
  <c r="FA61" i="3"/>
  <c r="EZ99" i="3"/>
  <c r="FB54" i="3"/>
  <c r="FD97" i="3"/>
  <c r="FF49" i="3"/>
  <c r="FG98" i="3"/>
  <c r="FI51" i="3"/>
  <c r="FH98" i="3" l="1"/>
  <c r="FJ51" i="3"/>
  <c r="FI98" i="3" s="1"/>
  <c r="FB61" i="3"/>
  <c r="FA99" i="3"/>
  <c r="FC54" i="3"/>
  <c r="FE97" i="3"/>
  <c r="FG49" i="3"/>
  <c r="FH49" i="3" s="1"/>
  <c r="FI102" i="3"/>
  <c r="FI103" i="3"/>
  <c r="FC61" i="3" l="1"/>
  <c r="FD54" i="3"/>
  <c r="FG97" i="3"/>
  <c r="FI49" i="3"/>
  <c r="FH97" i="3" l="1"/>
  <c r="FJ49" i="3"/>
  <c r="FI97" i="3" s="1"/>
  <c r="FD61" i="3"/>
  <c r="FC99" i="3"/>
  <c r="FE54" i="3"/>
  <c r="FD99" i="3" l="1"/>
  <c r="FE61" i="3"/>
  <c r="FF54" i="3"/>
  <c r="FE99" i="3" l="1"/>
  <c r="FF61" i="3"/>
  <c r="FG54" i="3"/>
  <c r="FG61" i="3" l="1"/>
  <c r="FH54" i="3"/>
  <c r="FH61" i="3" l="1"/>
  <c r="FG99" i="3"/>
  <c r="FI54" i="3"/>
  <c r="FI61" i="3" l="1"/>
  <c r="FH99" i="3"/>
  <c r="FJ54" i="3"/>
  <c r="FJ61" i="3" l="1"/>
  <c r="FI99" i="3"/>
</calcChain>
</file>

<file path=xl/sharedStrings.xml><?xml version="1.0" encoding="utf-8"?>
<sst xmlns="http://schemas.openxmlformats.org/spreadsheetml/2006/main" count="2227" uniqueCount="409">
  <si>
    <t>Notes</t>
  </si>
  <si>
    <t>This sheet explains the data in each tab and provides definitions and acronyms for terms used in this spreadsheet.</t>
  </si>
  <si>
    <t>Tab "Fuels"</t>
  </si>
  <si>
    <t xml:space="preserve">This tab contains total credits, deficits, and volume for each fuel reported under the LCFS program.  </t>
  </si>
  <si>
    <r>
      <rPr>
        <b/>
        <sz val="11"/>
        <color rgb="FF000000"/>
        <rFont val="Arial"/>
        <family val="2"/>
      </rPr>
      <t>Credits and Deficits</t>
    </r>
    <r>
      <rPr>
        <sz val="11"/>
        <color rgb="FF000000"/>
        <rFont val="Arial"/>
        <family val="2"/>
      </rPr>
      <t xml:space="preserve"> are calculated using the equation in section 95486(b)(3) of the LCFS regulation.  </t>
    </r>
  </si>
  <si>
    <r>
      <t xml:space="preserve">For </t>
    </r>
    <r>
      <rPr>
        <b/>
        <sz val="11"/>
        <color rgb="FF000000"/>
        <rFont val="Arial"/>
        <family val="2"/>
      </rPr>
      <t>Diesel and CARBOB</t>
    </r>
    <r>
      <rPr>
        <sz val="11"/>
        <color rgb="FF000000"/>
        <rFont val="Arial"/>
        <family val="2"/>
      </rPr>
      <t>, deficits shown are generated due to production, import and purchase, etc. while any credits shown are generated due to sale of inventory, exports outside CA, etc.</t>
    </r>
  </si>
  <si>
    <r>
      <t xml:space="preserve">For </t>
    </r>
    <r>
      <rPr>
        <b/>
        <sz val="11"/>
        <color rgb="FF000000"/>
        <rFont val="Arial"/>
        <family val="2"/>
      </rPr>
      <t>alternative fuels that displace Diesel and CARBOB</t>
    </r>
    <r>
      <rPr>
        <sz val="11"/>
        <color rgb="FF000000"/>
        <rFont val="Arial"/>
        <family val="2"/>
      </rPr>
      <t>, credits are generated by low-CI fuels due to production, imports and purchase, etc. while any deficits generated are either due to a higher carbon intensity (CI) than the CI standard or due to sale of inventories, exports outside of CA, etc.</t>
    </r>
  </si>
  <si>
    <r>
      <t xml:space="preserve">Volumes represent the </t>
    </r>
    <r>
      <rPr>
        <b/>
        <sz val="11"/>
        <color rgb="FF000000"/>
        <rFont val="Arial"/>
        <family val="2"/>
      </rPr>
      <t>"total obligated amount" (TOA)</t>
    </r>
    <r>
      <rPr>
        <sz val="11"/>
        <color rgb="FF000000"/>
        <rFont val="Arial"/>
        <family val="2"/>
      </rPr>
      <t xml:space="preserve"> which is the sum of all fuel transactions (reported in LRT-CBTS) with a positive obligation indicator (+) (i.e., production in California, production for import, import, purchased with obligation, gain in inventory) minus the sum of all transactions with a negative obligation indicator (-) (i.e., export, sold with obligation, loss of inventory, not used for transportation)</t>
    </r>
  </si>
  <si>
    <r>
      <rPr>
        <b/>
        <sz val="11"/>
        <color rgb="FF000000"/>
        <rFont val="Arial"/>
        <family val="2"/>
      </rPr>
      <t>TOA</t>
    </r>
    <r>
      <rPr>
        <sz val="11"/>
        <color rgb="FF000000"/>
        <rFont val="Arial"/>
        <family val="2"/>
      </rPr>
      <t xml:space="preserve"> is converted to gge by multiplying it with the ratio of the energy density of the fuel divided by energy density of CaRFG.  Energy densities of LCFS fuels and blendstocks are listed in the table below:</t>
    </r>
  </si>
  <si>
    <r>
      <rPr>
        <b/>
        <sz val="11"/>
        <color rgb="FF000000"/>
        <rFont val="Arial"/>
        <family val="2"/>
      </rPr>
      <t>Beginning in Q1 2020, CARBOB/Diesel Incremental Deficits</t>
    </r>
    <r>
      <rPr>
        <sz val="11"/>
        <color rgb="FF000000"/>
        <rFont val="Arial"/>
        <family val="2"/>
      </rPr>
      <t xml:space="preserve"> were generated due to the latest 3 year average of crude oil supply having a higher CI average than the baseline standard.</t>
    </r>
  </si>
  <si>
    <r>
      <rPr>
        <b/>
        <sz val="11"/>
        <color rgb="FF000000"/>
        <rFont val="Arial"/>
        <family val="2"/>
      </rPr>
      <t>Beginning in Q1 2019, Electricity credit and fuel volume data</t>
    </r>
    <r>
      <rPr>
        <sz val="11"/>
        <color rgb="FF000000"/>
        <rFont val="Arial"/>
        <family val="2"/>
      </rPr>
      <t xml:space="preserve"> has been further broken out into subcategories. Previously “Electricity- Onroad” category is broken out into “Electricity - Onroad - LDV/MDV” and “Electricity - Onroad – HDV;” and “Electricity- Offroad” category is broken out into Fixed Guideway Systems, eOGVs, eForklifts, and eCHE/eTRU. “Electricity – Incremental” category has been renamed as “(LDV/MDV – Onroad) Residential EV Charging with Low-CI (Incremental Credits).” Prior to 2019, Electricity was only available for “Electricity - Onroad - LDV/MDV” and “Electricity - Onroad – HDV”. </t>
    </r>
  </si>
  <si>
    <t>Fuel (units)</t>
  </si>
  <si>
    <t>Energy Density and  Conversion Factors</t>
  </si>
  <si>
    <t xml:space="preserve"> CARBOB (gal)</t>
  </si>
  <si>
    <t>119.53 (MJ/gal)</t>
  </si>
  <si>
    <t xml:space="preserve"> CaRFG (gal)</t>
  </si>
  <si>
    <t>115.83 (MJ/gal)</t>
  </si>
  <si>
    <t xml:space="preserve"> Diesel fuel (gal)</t>
  </si>
  <si>
    <t>134.47 (MJ/gal)</t>
  </si>
  <si>
    <t>CNG (scf)</t>
  </si>
  <si>
    <t>105.50 (MJ/Therm)</t>
  </si>
  <si>
    <t xml:space="preserve"> LNG (gal)</t>
  </si>
  <si>
    <t>78.83 (MJ/gal)</t>
  </si>
  <si>
    <t xml:space="preserve"> Electricity (KWh)</t>
  </si>
  <si>
    <t>3.60 (MJ/KWh)</t>
  </si>
  <si>
    <t xml:space="preserve"> Hydrogen (kg)</t>
  </si>
  <si>
    <t>120.00 (MJ/kg)</t>
  </si>
  <si>
    <t>Undenatured Anhydrous Ethanol (gal)</t>
  </si>
  <si>
    <t>80.53 (MJ/gal)</t>
  </si>
  <si>
    <t xml:space="preserve"> Denatured Ethanol (gal)</t>
  </si>
  <si>
    <t>81.51 (MJ/gal)</t>
  </si>
  <si>
    <t xml:space="preserve"> FAME Biodiesel (gal)</t>
  </si>
  <si>
    <t>126.13 (MJ/gal)</t>
  </si>
  <si>
    <t xml:space="preserve"> Renewable Diesel (gal)</t>
  </si>
  <si>
    <t>129.65 (MJ/gal)</t>
  </si>
  <si>
    <t>Alternative Jet Fuel (gal)</t>
  </si>
  <si>
    <t>126.37 (MJ/gal)</t>
  </si>
  <si>
    <t>Renewable Naphtha (gal)</t>
  </si>
  <si>
    <t>117.66 (MJ/gal)</t>
  </si>
  <si>
    <t>Propane (gal)</t>
  </si>
  <si>
    <t>89.63 (MJ/gal)</t>
  </si>
  <si>
    <r>
      <rPr>
        <b/>
        <sz val="11"/>
        <color rgb="FF000000"/>
        <rFont val="Arial"/>
        <family val="2"/>
      </rPr>
      <t>Administratively Adjusted Credits</t>
    </r>
    <r>
      <rPr>
        <sz val="11"/>
        <color rgb="FF000000"/>
        <rFont val="Arial"/>
        <family val="2"/>
      </rPr>
      <t xml:space="preserve"> reflect corrections to inaccurately reported data discovered through audits or self reported to CARB (Note:  Data shown denotes net credits and deficits adjustments in each quarter) pursuant to LCFS regulation section 95491(h)</t>
    </r>
  </si>
  <si>
    <t>LCFS Enforcement Webpage</t>
  </si>
  <si>
    <r>
      <rPr>
        <b/>
        <sz val="11"/>
        <color rgb="FF000000"/>
        <rFont val="Arial"/>
        <family val="2"/>
      </rPr>
      <t>Innovative crude</t>
    </r>
    <r>
      <rPr>
        <sz val="11"/>
        <color rgb="FF000000"/>
        <rFont val="Arial"/>
        <family val="2"/>
      </rPr>
      <t xml:space="preserve"> includes: crude produced and supplied to California refineries using solar steam generation (55 percent quality or greater), solar or wind electricity generation, solar heat generation, or carbon capture and storage (CCS) at the crude oil production facilities pursuant to LCFS regulation section 95489(c)</t>
    </r>
  </si>
  <si>
    <r>
      <rPr>
        <b/>
        <sz val="11"/>
        <color rgb="FF000000"/>
        <rFont val="Arial"/>
        <family val="2"/>
      </rPr>
      <t>Low Complexity/Low Energy Use Refinery</t>
    </r>
    <r>
      <rPr>
        <sz val="11"/>
        <color rgb="FF000000"/>
        <rFont val="Arial"/>
        <family val="2"/>
      </rPr>
      <t xml:space="preserve"> is offered to a refiner that meets both of the following criteria; a Modified Nelson Complexity Score equal to or less than 5, and total annual energy use equal to or less than 5 million MMBtu pursuant to LCFS regulation section 95489(d).</t>
    </r>
  </si>
  <si>
    <r>
      <rPr>
        <b/>
        <sz val="11"/>
        <color rgb="FF000000"/>
        <rFont val="Arial"/>
        <family val="2"/>
      </rPr>
      <t>Refinery Investment Credit</t>
    </r>
    <r>
      <rPr>
        <sz val="11"/>
        <color rgb="FF000000"/>
        <rFont val="Arial"/>
        <family val="2"/>
      </rPr>
      <t xml:space="preserve"> is offered to refiners that can demonstrate reduction of greenhouse gas emissions in its facility pursuant to LCFS regulation section 95489€.</t>
    </r>
  </si>
  <si>
    <r>
      <rPr>
        <b/>
        <sz val="11"/>
        <color rgb="FF000000"/>
        <rFont val="Arial"/>
        <family val="2"/>
      </rPr>
      <t>Renewable Hydrogen Refinery Credit</t>
    </r>
    <r>
      <rPr>
        <sz val="11"/>
        <color rgb="FF000000"/>
        <rFont val="Arial"/>
        <family val="2"/>
      </rPr>
      <t xml:space="preserve"> is offered to a refiner that produces CARBOB or diesel fuel that is partially derived from renewable hydrogen pursuant to LCFS regulation section 95489(f).</t>
    </r>
  </si>
  <si>
    <r>
      <rPr>
        <b/>
        <sz val="11"/>
        <color rgb="FF000000"/>
        <rFont val="Arial"/>
        <family val="2"/>
      </rPr>
      <t>ZEV Infrastructure Credits</t>
    </r>
    <r>
      <rPr>
        <sz val="11"/>
        <color rgb="FF000000"/>
        <rFont val="Arial"/>
        <family val="2"/>
      </rPr>
      <t xml:space="preserve"> shows total credits generated for Hydrogen Refueling Infrastructure (HRI) pathways and DC Fast Charging Infrastructure (FCI) pathways pursuant to LCFS regulation section 95486.2(a) &amp; (b).</t>
    </r>
  </si>
  <si>
    <r>
      <rPr>
        <b/>
        <sz val="11"/>
        <color rgb="FF000000"/>
        <rFont val="Arial"/>
        <family val="2"/>
      </rPr>
      <t>Buffer Account</t>
    </r>
    <r>
      <rPr>
        <sz val="11"/>
        <color rgb="FF000000"/>
        <rFont val="Arial"/>
        <family val="2"/>
      </rPr>
      <t xml:space="preserve"> shows number of credits deposited in the buffer account pursuant to the LCFS regulation section 95486 (a)(3).</t>
    </r>
  </si>
  <si>
    <r>
      <rPr>
        <b/>
        <sz val="11"/>
        <color rgb="FF000000"/>
        <rFont val="Arial"/>
        <family val="2"/>
      </rPr>
      <t>Cummulative Bank</t>
    </r>
    <r>
      <rPr>
        <sz val="11"/>
        <color rgb="FF000000"/>
        <rFont val="Arial"/>
        <family val="2"/>
      </rPr>
      <t xml:space="preserve"> shows the net credit/deficit balance as of the most recent quarter</t>
    </r>
  </si>
  <si>
    <r>
      <rPr>
        <b/>
        <sz val="11"/>
        <color rgb="FF000000"/>
        <rFont val="Arial"/>
        <family val="2"/>
      </rPr>
      <t>Estimated Petroleum Fuel Displaced by Alternative Fuels Supported by LCFS</t>
    </r>
    <r>
      <rPr>
        <sz val="11"/>
        <color rgb="FF000000"/>
        <rFont val="Arial"/>
        <family val="2"/>
      </rPr>
      <t xml:space="preserve"> represents the total amount of gasoline and diesel (expressed in units of gasoline gallon equivalents or GGE) that was displaced by the alternative fuels reported into LCFS each quarter since the beginning of the program.  It is calculated as a sum of the quarterly total obligated amount (TOA) of each alternative fuel multiplied by the energy density of the fuel and by the applicable energy economy ratio (EER) and divided by energy density of CaRFG in order to convert it to GGE. </t>
    </r>
  </si>
  <si>
    <t>Tab "Feedstock"</t>
  </si>
  <si>
    <t xml:space="preserve">This tab contains total credits, deficits, and volume for each feedstock of ethanol, biodiesel, renewable diesel, natural gas, and electricity. </t>
  </si>
  <si>
    <t xml:space="preserve">Credits and deficits are calculated using the equation in section 95486(b)(3) of the LCFS regulation. </t>
  </si>
  <si>
    <t>Volumes represent the "total obligated amount" (TOA) which is the sum of all fuel transactions (reported in LRT-CBTS) with the plus sign (e.g., production, import, purchased with obligation) minus the sum of all transactions with the minus sign (e.g., export, sold with obligation);</t>
  </si>
  <si>
    <t xml:space="preserve">Beginning in Q1 2021, all parties are reporting using CA-GREET3.0 FPCs.  These categories have been aligned with the feedstocks available through the Tier 1 calculator. 2011 through 2021 data will be archived on a seperate tab. </t>
  </si>
  <si>
    <t>Tab "Graphs"</t>
  </si>
  <si>
    <t xml:space="preserve">Figure 1 presents the total amount of credits and deficits for all fuels reported for each quarter and the cumulative bank curve.  </t>
  </si>
  <si>
    <t>Figure 2 presents the contribution of each fuel type to the total number of credits as a percentage and it is based on the credit 4-quarter rolling average for each fuel type.</t>
  </si>
  <si>
    <t xml:space="preserve">Figure 3 presents the number of credits (in MT) for each fuel type from 2011 to the present.     </t>
  </si>
  <si>
    <t>Tab "Feedstock 2011 - 2021"</t>
  </si>
  <si>
    <t xml:space="preserve">For archive purposes as the categories have been revised in the Tab "Feedstock" to no longer include CA-GREET2.0 and CA-GREET1.8B feedstock designations. </t>
  </si>
  <si>
    <t>Definitions and Acronyms:</t>
  </si>
  <si>
    <t xml:space="preserve">Please refer to LCFS regulation section 95481 </t>
  </si>
  <si>
    <t>https://ww2.arb.ca.gov/sites/default/files/2020-07/2020_lcfs_fro_oal-approved_unofficial_06302020.pdf</t>
  </si>
  <si>
    <t>Quarterly Update Data</t>
  </si>
  <si>
    <t>Bio-CNG</t>
  </si>
  <si>
    <t>EMTS</t>
  </si>
  <si>
    <t>Q1</t>
  </si>
  <si>
    <t>Q2</t>
  </si>
  <si>
    <t>Q3</t>
  </si>
  <si>
    <t>Q4</t>
  </si>
  <si>
    <t>Total</t>
  </si>
  <si>
    <t>CARB</t>
  </si>
  <si>
    <t>Bio-LNG</t>
  </si>
  <si>
    <t>Ethanol</t>
  </si>
  <si>
    <t>Biodiesel</t>
  </si>
  <si>
    <t>Renewable Diesel</t>
  </si>
  <si>
    <t>Alternative Jet Fuel</t>
  </si>
  <si>
    <t>Renewable Gasoline Blendstocks</t>
  </si>
  <si>
    <t>Propane</t>
  </si>
  <si>
    <t>LCFS Percent of EMTS</t>
  </si>
  <si>
    <t>Percent of Domestic Production Sold into California Market</t>
  </si>
  <si>
    <t>Vegetable Oil Production</t>
  </si>
  <si>
    <t>rd</t>
  </si>
  <si>
    <t>Fig. 2 - Alternative Fuels Volumes and Credits</t>
  </si>
  <si>
    <t xml:space="preserve">Volume (quaterly) from "Fuels" tab </t>
  </si>
  <si>
    <t/>
  </si>
  <si>
    <t>Unit</t>
  </si>
  <si>
    <t>Q1 2022</t>
  </si>
  <si>
    <t>Q1 2023</t>
  </si>
  <si>
    <t>Q1 2024</t>
  </si>
  <si>
    <t>Q1 2025</t>
  </si>
  <si>
    <t>Q1 2026</t>
  </si>
  <si>
    <t>Q1 2027</t>
  </si>
  <si>
    <t>Q1 2028</t>
  </si>
  <si>
    <t>Q1 2029</t>
  </si>
  <si>
    <t>Q1 2030</t>
  </si>
  <si>
    <t>Q1 2031</t>
  </si>
  <si>
    <t>Q1 2032</t>
  </si>
  <si>
    <t>Q1 2033</t>
  </si>
  <si>
    <t>Q1 2034</t>
  </si>
  <si>
    <t>Q1 2035</t>
  </si>
  <si>
    <t>Q1 2036</t>
  </si>
  <si>
    <t>Q1 2037</t>
  </si>
  <si>
    <t>Q1 2038</t>
  </si>
  <si>
    <t>Q1 2039</t>
  </si>
  <si>
    <t>Q1 2040</t>
  </si>
  <si>
    <t>Q1 2041</t>
  </si>
  <si>
    <t>Q1 2042</t>
  </si>
  <si>
    <t>Q1 2043</t>
  </si>
  <si>
    <t>Q1 2044</t>
  </si>
  <si>
    <t>Q1 2045</t>
  </si>
  <si>
    <t>Q1 2046</t>
  </si>
  <si>
    <t>Q1 2047</t>
  </si>
  <si>
    <t>Q1 2048</t>
  </si>
  <si>
    <t>Q1 2049</t>
  </si>
  <si>
    <t>Q1 2050</t>
  </si>
  <si>
    <t>Q1 2051</t>
  </si>
  <si>
    <t>dge</t>
  </si>
  <si>
    <t>Fossil CNG</t>
  </si>
  <si>
    <t>Fossil LNG</t>
  </si>
  <si>
    <t>Hydrogen</t>
  </si>
  <si>
    <t>gge</t>
  </si>
  <si>
    <t>Electricity</t>
  </si>
  <si>
    <t>gal</t>
  </si>
  <si>
    <t>CARBOB</t>
  </si>
  <si>
    <t>Diesel</t>
  </si>
  <si>
    <t>Electricity Total Volume</t>
  </si>
  <si>
    <t>Fuel Application Type</t>
  </si>
  <si>
    <t>Units</t>
  </si>
  <si>
    <t>Electricity – Onroad EV charging – LDV/MDV</t>
  </si>
  <si>
    <t>Electricity – Onroad EV charging – HDV</t>
  </si>
  <si>
    <t>Electricity – Onroad residential grid EV charging</t>
  </si>
  <si>
    <t>Electricity – Onroad non-residential grid EV charging – LDV/MDV</t>
  </si>
  <si>
    <t>Electricity – Onroad non-residential low-CI EV charging – LDV/MDV</t>
  </si>
  <si>
    <t>Electricity – Onroad non-residential grid EV charging – HDV</t>
  </si>
  <si>
    <t>Electricity – Onroad non-residential low-CI EV charging – HDV</t>
  </si>
  <si>
    <t>Electricity – Offroad fixed guideways</t>
  </si>
  <si>
    <t>Electricity – Offroad eOGV</t>
  </si>
  <si>
    <t>Electricity – Offroad eCHE</t>
  </si>
  <si>
    <t>Electricity – Offroad eForklifts</t>
  </si>
  <si>
    <t>Electricity – Offroad eForklifts – EDU</t>
  </si>
  <si>
    <t>Electricity – Offroad eForklifts – Reported</t>
  </si>
  <si>
    <t>Electricity – Offroad eTRU</t>
  </si>
  <si>
    <t>Total Electricity</t>
  </si>
  <si>
    <t>Conversion to gge using energy density from Table 3 in the LCFS regulation</t>
  </si>
  <si>
    <t>Biomethane</t>
  </si>
  <si>
    <t>Fossil Natural Gas</t>
  </si>
  <si>
    <t>Other (Hyrdrogen, AJF, Renewable Naphtha, Propane)</t>
  </si>
  <si>
    <t xml:space="preserve">Credits (MT) from "Fuels" tab </t>
  </si>
  <si>
    <t>Total Credits</t>
  </si>
  <si>
    <t>Annual Credits (MT)</t>
  </si>
  <si>
    <t>Volume (million gge)</t>
  </si>
  <si>
    <t>Credits (million MT)</t>
  </si>
  <si>
    <t>Other (Hydrogen, SAF, Renewable Naphtha, Propane)</t>
  </si>
  <si>
    <t>Credits (thousand MT)</t>
  </si>
  <si>
    <t>CARB Forecast</t>
  </si>
  <si>
    <t>Credits</t>
  </si>
  <si>
    <t>Fuel Type</t>
  </si>
  <si>
    <t>2011Q1</t>
  </si>
  <si>
    <t>2012Q1</t>
  </si>
  <si>
    <t>2013Q1</t>
  </si>
  <si>
    <t>2014Q1</t>
  </si>
  <si>
    <t>2015Q1</t>
  </si>
  <si>
    <t>2016Q1</t>
  </si>
  <si>
    <t>2017Q1</t>
  </si>
  <si>
    <t>2018Q1</t>
  </si>
  <si>
    <t>2019Q1</t>
  </si>
  <si>
    <t>2020Q1</t>
  </si>
  <si>
    <t>MT</t>
  </si>
  <si>
    <t>Renewable Naphtha</t>
  </si>
  <si>
    <t>CARBOB Incremental Deficits</t>
  </si>
  <si>
    <t>Diesel Incremental Deficits</t>
  </si>
  <si>
    <t>Electricity Credits</t>
  </si>
  <si>
    <t>2021Q1</t>
  </si>
  <si>
    <t>2022Q1</t>
  </si>
  <si>
    <t>2023Q1</t>
  </si>
  <si>
    <t>2024Q1</t>
  </si>
  <si>
    <t>2025Q1</t>
  </si>
  <si>
    <t>2026Q1</t>
  </si>
  <si>
    <t>2027Q1</t>
  </si>
  <si>
    <t>2028Q1</t>
  </si>
  <si>
    <t>2029Q1</t>
  </si>
  <si>
    <t>2030Q1</t>
  </si>
  <si>
    <t>2031Q1</t>
  </si>
  <si>
    <t>2032Q1</t>
  </si>
  <si>
    <t>2033Q1</t>
  </si>
  <si>
    <t>2034Q1</t>
  </si>
  <si>
    <t>2035Q1</t>
  </si>
  <si>
    <t>2036Q1</t>
  </si>
  <si>
    <t>2037Q1</t>
  </si>
  <si>
    <t>2038Q1</t>
  </si>
  <si>
    <t>2039Q1</t>
  </si>
  <si>
    <t>2040Q1</t>
  </si>
  <si>
    <t>2041Q1</t>
  </si>
  <si>
    <t>2042Q1</t>
  </si>
  <si>
    <t>Electricity – Onroad incremental Low-CI residential EV charging</t>
  </si>
  <si>
    <t>Electricity – Offroad eForklifts (no longer reported)</t>
  </si>
  <si>
    <t>Total Electricity Credits</t>
  </si>
  <si>
    <t>Credits ex Electricity and Projects</t>
  </si>
  <si>
    <t>Project Type</t>
  </si>
  <si>
    <t xml:space="preserve">Innovative Crude </t>
  </si>
  <si>
    <t>Low Complexity/Low Energy Use Refinery</t>
  </si>
  <si>
    <t>Refinery Investment Credit</t>
  </si>
  <si>
    <t>Renewable Hydrogen Refinery Credit</t>
  </si>
  <si>
    <t>Hydrogen Refueling Infrastructure (HRI) Credits</t>
  </si>
  <si>
    <t>DC Fast Charging Infrastructure (FCI) Credits</t>
  </si>
  <si>
    <t>Administratively Adjusted Credits</t>
  </si>
  <si>
    <t>Cummulative Bank</t>
  </si>
  <si>
    <t>Adjusted Cumulative Bank</t>
  </si>
  <si>
    <t>Cummulative Buffer Account</t>
  </si>
  <si>
    <t>Deficits</t>
  </si>
  <si>
    <t>2011 Q1</t>
  </si>
  <si>
    <t>2012 Q1</t>
  </si>
  <si>
    <t>2013 Q1</t>
  </si>
  <si>
    <t>2014 Q1</t>
  </si>
  <si>
    <t>2015 Q1</t>
  </si>
  <si>
    <t>2016 Q1</t>
  </si>
  <si>
    <t>2017 Q1</t>
  </si>
  <si>
    <t>2018 Q1</t>
  </si>
  <si>
    <t>2019 Q1</t>
  </si>
  <si>
    <t>2020 Q1</t>
  </si>
  <si>
    <t>2021 Q1</t>
  </si>
  <si>
    <t>2022 Q1</t>
  </si>
  <si>
    <t>2023 Q1</t>
  </si>
  <si>
    <t>Total Deficits</t>
  </si>
  <si>
    <t>Carbob consumption</t>
  </si>
  <si>
    <t>Diesel consumption</t>
  </si>
  <si>
    <t>Additional Deficits</t>
  </si>
  <si>
    <t>Total Volume</t>
  </si>
  <si>
    <t>Average CI Scores</t>
  </si>
  <si>
    <t>Estimated Petroleum Fuel Displaced</t>
  </si>
  <si>
    <t>Estimated Petroleum Fuel Displaced by Alternative Fuels Supported by LCFS</t>
  </si>
  <si>
    <t>Yr-Yr</t>
  </si>
  <si>
    <t>Annual Deficits</t>
  </si>
  <si>
    <t>Annual Credits</t>
  </si>
  <si>
    <t>Fig. 6 - BD &amp; RD Credit Generation by Feedstock</t>
  </si>
  <si>
    <t>Source: "Feedstock" tab</t>
  </si>
  <si>
    <t>Feedstock type</t>
  </si>
  <si>
    <t>BD-Canola</t>
  </si>
  <si>
    <t>BD-Corn Oil</t>
  </si>
  <si>
    <t>BD-Soy</t>
  </si>
  <si>
    <t>BD-Tallow</t>
  </si>
  <si>
    <t>BD-UCO</t>
  </si>
  <si>
    <t>BD – Other</t>
  </si>
  <si>
    <t>RD – Corn Oil</t>
  </si>
  <si>
    <t>RD – UCO</t>
  </si>
  <si>
    <t>RD – Tallow</t>
  </si>
  <si>
    <t>RD – Soy</t>
  </si>
  <si>
    <t>RD – Other</t>
  </si>
  <si>
    <t>RD – Fish Oil (no longer reported)</t>
  </si>
  <si>
    <t>Biodiesel Total</t>
  </si>
  <si>
    <t>Renewable Diesel Total</t>
  </si>
  <si>
    <t>Biodiesel Credits</t>
  </si>
  <si>
    <t>Renewable Diesel Credits</t>
  </si>
  <si>
    <t>Veg Oil - Percent of Total</t>
  </si>
  <si>
    <t>Canola</t>
  </si>
  <si>
    <t>Corn Oil</t>
  </si>
  <si>
    <t>Tallow</t>
  </si>
  <si>
    <t>UCO</t>
  </si>
  <si>
    <t>Soy</t>
  </si>
  <si>
    <t>Annual Credits (MMT) for each feedstock of BD and RD</t>
  </si>
  <si>
    <t>Distiller's Corn Oil</t>
  </si>
  <si>
    <t>Fish Oil</t>
  </si>
  <si>
    <t>Other</t>
  </si>
  <si>
    <t>Fig. 1 2011-2023 Performance of the Low Carbon Fuel Standard</t>
  </si>
  <si>
    <t>updated April 2024</t>
  </si>
  <si>
    <t>Initial Compliance Curve (Pre Litigation; not shown in the chart)</t>
  </si>
  <si>
    <t>Historic Compliance Targets (black solid line)</t>
  </si>
  <si>
    <t>Future Compliance Targets (black dotted line)</t>
  </si>
  <si>
    <t>Future Compliance Targets (forecast)</t>
  </si>
  <si>
    <t>Reported % CI Reduction (green line)</t>
  </si>
  <si>
    <t>so this is linear</t>
  </si>
  <si>
    <t>Total Credits (MT) from "Fuels" tab</t>
  </si>
  <si>
    <t>Total Deficits (MT) from "Fuels" tab</t>
  </si>
  <si>
    <t>Compliance Schedule for Diesel Fuel and Their Substitutes</t>
  </si>
  <si>
    <t>Year</t>
  </si>
  <si>
    <t>Diesel Compliance Standard (gCO2s/MJ)</t>
  </si>
  <si>
    <t>Gasoline Compliance Standard (gCO2s/MJ)</t>
  </si>
  <si>
    <t>Fossil Jet Fuel  Compliance Standard (gCO2s/MJ)</t>
  </si>
  <si>
    <t>2045 &amp; Subsequent years</t>
  </si>
  <si>
    <t>Fuel - Feedstock</t>
  </si>
  <si>
    <t>Ethanol - Corn</t>
  </si>
  <si>
    <t>Ethanol - Fiber</t>
  </si>
  <si>
    <t>Ethanol - Sorghum</t>
  </si>
  <si>
    <t>Ethanol – Sugarcane / Molasses</t>
  </si>
  <si>
    <t>Ethanol - Wheat</t>
  </si>
  <si>
    <t>Ethanol – Other</t>
  </si>
  <si>
    <t>NG - AD Wastewater Sludge</t>
  </si>
  <si>
    <t>NG - Dairy and Swine Manure</t>
  </si>
  <si>
    <t>NG - High-Solids Anaerobic Digestion (HSAD/Food Waste)</t>
  </si>
  <si>
    <t>NG - North American Fossil Gas</t>
  </si>
  <si>
    <t>NG - North American Landfill Gas</t>
  </si>
  <si>
    <t>NG - Waste Water</t>
  </si>
  <si>
    <t>Electricity – Grid avg. CI</t>
  </si>
  <si>
    <t>kWh</t>
  </si>
  <si>
    <t>Electricity – Zero-CI</t>
  </si>
  <si>
    <t>Electricity – Other Low-CI</t>
  </si>
  <si>
    <t>Ethanol - Cane</t>
  </si>
  <si>
    <t>Ethanol - Molasses</t>
  </si>
  <si>
    <t>Ethanol - Waste Beverage</t>
  </si>
  <si>
    <t>Ethanol - Biomass</t>
  </si>
  <si>
    <t>Ethanol – Sorghum&amp;Corn</t>
  </si>
  <si>
    <t>Ethanol – Sorghum&amp;Corn&amp;Wheat</t>
  </si>
  <si>
    <t>Ethanol - Waste Corn&amp;Sorghum Seeds</t>
  </si>
  <si>
    <t>Ethanol - Other</t>
  </si>
  <si>
    <t>RNWD – Other</t>
  </si>
  <si>
    <t>RNWD – Tallow</t>
  </si>
  <si>
    <t>RNWD – Fish Oil</t>
  </si>
  <si>
    <t>RNWD – UCO</t>
  </si>
  <si>
    <t>RNWD – Corn Oil</t>
  </si>
  <si>
    <t>North American Landfill Gas</t>
  </si>
  <si>
    <t>North American Fossil Gas</t>
  </si>
  <si>
    <t>High-Solids Anaerobic Digestion (HSAD/Food Waste) &amp; Waste Water</t>
  </si>
  <si>
    <t>Dairy Digester/Animal Waste</t>
  </si>
  <si>
    <t>Figure 2</t>
  </si>
  <si>
    <t>Rolling Average</t>
  </si>
  <si>
    <t>Q1 - Q4 '11</t>
  </si>
  <si>
    <t>Q2 '11 - Q1 '12</t>
  </si>
  <si>
    <t>Q3 '11 - Q2 '12</t>
  </si>
  <si>
    <t>Q4 '11 - Q3 '12</t>
  </si>
  <si>
    <t>Q1 - Q4 '12</t>
  </si>
  <si>
    <t>Q2 '12 - Q1 '13</t>
  </si>
  <si>
    <t>Q3 '12 - Q2 '13</t>
  </si>
  <si>
    <t>Q4 '12 - Q3 '13</t>
  </si>
  <si>
    <t>Q1 - Q4 '13</t>
  </si>
  <si>
    <t>Q2 '13 - Q1 '14</t>
  </si>
  <si>
    <t>Q3 '13 - Q2 '14</t>
  </si>
  <si>
    <t>Q4 '13 - Q3 '14</t>
  </si>
  <si>
    <t>Q1 - Q4 '14</t>
  </si>
  <si>
    <t>Q2 '14 - Q1 '15</t>
  </si>
  <si>
    <t>Q3 '14 - Q2 '15</t>
  </si>
  <si>
    <t>Q4 '14 - Q3 '15</t>
  </si>
  <si>
    <t>Q1 - Q4 '15</t>
  </si>
  <si>
    <t>Q2 '15 - Q1 '16</t>
  </si>
  <si>
    <t>Q3 '15 - Q2 '16</t>
  </si>
  <si>
    <t>Q4 '15 - Q3 '16</t>
  </si>
  <si>
    <t>Q1 - Q4 '16</t>
  </si>
  <si>
    <t>Q2 '16 - Q1 '17</t>
  </si>
  <si>
    <t>Q3 '16 - Q2 '17</t>
  </si>
  <si>
    <t>Q4 '16 - Q3 2017</t>
  </si>
  <si>
    <t>Q1 - Q4 '17</t>
  </si>
  <si>
    <t>Q2 '17 - Q1 '18</t>
  </si>
  <si>
    <t>Q3 '17 - Q2 '18</t>
  </si>
  <si>
    <t>Q4 '17 - Q3 '18</t>
  </si>
  <si>
    <t>Q1 '18 - Q4 '18</t>
  </si>
  <si>
    <t>Q2 '18 - Q1 '19</t>
  </si>
  <si>
    <t>Q3 '18 - Q2 '19</t>
  </si>
  <si>
    <t>Q4 '18 - Q3 '19</t>
  </si>
  <si>
    <t>Q1 '19 - Q4 '19</t>
  </si>
  <si>
    <t>Q2 '19 - Q1 '20</t>
  </si>
  <si>
    <t>Q3 '19 - Q2 '20</t>
  </si>
  <si>
    <t>Q4 '19 - Q3 '20</t>
  </si>
  <si>
    <t>Q1 '20 - Q4 '20</t>
  </si>
  <si>
    <t>Q2 '20 - Q1 '21</t>
  </si>
  <si>
    <t>Q3 '20 - Q2 '21</t>
  </si>
  <si>
    <t>Renewable Naptha</t>
  </si>
  <si>
    <t>Hydrogen Renewable Infrastructure Credits</t>
  </si>
  <si>
    <t>Fuel Cell Infrastructure Credits</t>
  </si>
  <si>
    <t>Figure 2 - GRAPH DATA</t>
  </si>
  <si>
    <t>Other (Hydrogen, Renewable Naphtha, Propane, Innovative Crude &amp; Low Complexity / Low Energy Use Refining, etc.)</t>
  </si>
  <si>
    <t>Figure 3</t>
  </si>
  <si>
    <t xml:space="preserve">Credits </t>
  </si>
  <si>
    <t>Electricity - Onroad</t>
  </si>
  <si>
    <t>Ethanol &lt;65</t>
  </si>
  <si>
    <t>Figure 3 - GRAPH DATA</t>
  </si>
  <si>
    <t>2021Q2</t>
  </si>
  <si>
    <t xml:space="preserve">Renewable Diesel </t>
  </si>
  <si>
    <t>Report Created On: 04/17/2020 02:29 PM</t>
  </si>
  <si>
    <t>2019 Rev</t>
  </si>
  <si>
    <t>Biodiesel-Residue</t>
  </si>
  <si>
    <t>gallons</t>
  </si>
  <si>
    <t>Biodiesel-Crop</t>
  </si>
  <si>
    <t>Ethanol-Starch</t>
  </si>
  <si>
    <t>Ethanol-Residue</t>
  </si>
  <si>
    <t>Ethanol-Sugarcane</t>
  </si>
  <si>
    <t>Renewable Diesel-Residue</t>
  </si>
  <si>
    <t>Renewable Diesel-Crop</t>
  </si>
  <si>
    <t>CA Biodiesel-Residue</t>
  </si>
  <si>
    <t>CA Biodiesel-Crop</t>
  </si>
  <si>
    <t>CA Ethanol-Starch</t>
  </si>
  <si>
    <t>CA Ethanol-Residue</t>
  </si>
  <si>
    <t>CA Ethanol-Sugarcane</t>
  </si>
  <si>
    <t>CA Renewable Diesel-Residue</t>
  </si>
  <si>
    <t>CA Renewable Diesel-Crop</t>
  </si>
  <si>
    <t>Date (Month YR)</t>
  </si>
  <si>
    <t>ARB Monthly Average Credit Price</t>
  </si>
  <si>
    <t xml:space="preserve">  Volume of Credits Transacted (MT)</t>
  </si>
  <si>
    <t>Last updated 10/13/2021</t>
  </si>
  <si>
    <t>http://www.arb.ca.gov/fuels/lcfs/credit/lrtcreditreports.htm</t>
  </si>
  <si>
    <t>J</t>
  </si>
  <si>
    <t>F</t>
  </si>
  <si>
    <t>M</t>
  </si>
  <si>
    <t>A</t>
  </si>
  <si>
    <t>S</t>
  </si>
  <si>
    <t>O</t>
  </si>
  <si>
    <t>N</t>
  </si>
  <si>
    <t>D</t>
  </si>
  <si>
    <t>GGE Conversion</t>
  </si>
  <si>
    <t>Imported Biodiesel-Residue</t>
  </si>
  <si>
    <t>Imported Biodiesel-Crop</t>
  </si>
  <si>
    <t>Imported Ethanol-Starch</t>
  </si>
  <si>
    <t>Imported Ethanol-Residue</t>
  </si>
  <si>
    <t>Imported Ethanol-Sugarcane</t>
  </si>
  <si>
    <t>Imported Renewable Diesel-Residue</t>
  </si>
  <si>
    <t>Imported Renewable Diesel-Crop</t>
  </si>
  <si>
    <t>Share of Total Reported Liquid Biofuel Volume that was Produced in State</t>
  </si>
  <si>
    <t>Total Instate Volumes (GGE)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</si>
</sst>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4" formatCode="_(&quot;$&quot;* #,##0.00_);_(&quot;$&quot;* \(#,##0.00\);_(&quot;$&quot;* &quot;-&quot;??_);_(@_)"/>
    <numFmt numFmtId="43" formatCode="_(* #,##0.00_);_(* \(#,##0.00\);_(* &quot;-&quot;??_);_(@_)"/>
    <numFmt numFmtId="164" formatCode="0.0%"/>
    <numFmt numFmtId="165" formatCode="_(* #,##0_);_(* \(#,##0\);_(* &quot;-&quot;??_);_(@_)"/>
    <numFmt numFmtId="166" formatCode="0_);\(0\)"/>
    <numFmt numFmtId="167" formatCode="0.0"/>
    <numFmt numFmtId="168" formatCode="_(* #,##0.0_);_(* \(#,##0.0\);_(* &quot;-&quot;??_);_(@_)"/>
    <numFmt numFmtId="169" formatCode="#,##0.0_);[Red]\(#,##0.0\)"/>
    <numFmt numFmtId="170" formatCode="_(* #,##0.0_);_(* \(#,##0.0\);_(* &quot;-&quot;?_);_(@_)"/>
    <numFmt numFmtId="171" formatCode="0.00_);[Red]\(0.00\)"/>
    <numFmt numFmtId="172" formatCode="_(* #,##0.00000_);_(* \(#,##0.00000\);_(* &quot;-&quot;??_);_(@_)"/>
    <numFmt numFmtId="173" formatCode="&quot;$&quot;#,##0"/>
    <numFmt numFmtId="174" formatCode="mmm\ yy"/>
  </numFmts>
  <fonts count="52" x14ac:knownFonts="1">
    <font>
      <sz val="11"/>
      <color rgb="FF000000"/>
      <name val="Aptos Narrow"/>
      <family val="2"/>
      <scheme val="minor"/>
    </font>
    <font>
      <sz val="11"/>
      <color theme="1"/>
      <name val="Aptos Narrow"/>
      <family val="2"/>
      <scheme val="minor"/>
    </font>
    <font>
      <sz val="11"/>
      <color rgb="FFFF0000"/>
      <name val="Aptos Narrow"/>
      <family val="2"/>
      <scheme val="minor"/>
    </font>
    <font>
      <sz val="11"/>
      <color theme="0"/>
      <name val="Aptos Narrow"/>
      <family val="2"/>
      <scheme val="minor"/>
    </font>
    <font>
      <u/>
      <sz val="11"/>
      <color theme="10"/>
      <name val="Aptos Narrow"/>
      <family val="2"/>
      <scheme val="minor"/>
    </font>
    <font>
      <sz val="11"/>
      <color rgb="FF000000"/>
      <name val="Aptos Narrow"/>
      <family val="2"/>
      <scheme val="minor"/>
    </font>
    <font>
      <b/>
      <sz val="14"/>
      <color rgb="FF000000"/>
      <name val="Arial"/>
      <family val="2"/>
    </font>
    <font>
      <sz val="11"/>
      <color rgb="FF000000"/>
      <name val="Arial"/>
      <family val="2"/>
    </font>
    <font>
      <b/>
      <sz val="11"/>
      <color rgb="FF000000"/>
      <name val="Arial"/>
      <family val="2"/>
    </font>
    <font>
      <i/>
      <sz val="11"/>
      <name val="Arial"/>
      <family val="2"/>
    </font>
    <font>
      <b/>
      <sz val="11"/>
      <name val="Arial"/>
      <family val="2"/>
    </font>
    <font>
      <sz val="11"/>
      <name val="Arial"/>
      <family val="2"/>
    </font>
    <font>
      <u/>
      <sz val="14"/>
      <color theme="10"/>
      <name val="Arial Narrow"/>
      <family val="2"/>
    </font>
    <font>
      <b/>
      <sz val="14"/>
      <color theme="0"/>
      <name val="Arial"/>
      <family val="2"/>
    </font>
    <font>
      <b/>
      <sz val="14"/>
      <color rgb="FFECECEC"/>
      <name val="Arial"/>
      <family val="2"/>
    </font>
    <font>
      <sz val="11"/>
      <name val="Calibri"/>
      <family val="2"/>
    </font>
    <font>
      <b/>
      <sz val="11"/>
      <name val="Calibri"/>
      <family val="2"/>
    </font>
    <font>
      <sz val="10"/>
      <name val="Arial"/>
      <family val="2"/>
    </font>
    <font>
      <b/>
      <sz val="10"/>
      <name val="Arial"/>
      <family val="2"/>
    </font>
    <font>
      <sz val="9"/>
      <name val="Arial Narrow"/>
      <family val="2"/>
    </font>
    <font>
      <b/>
      <sz val="10"/>
      <color rgb="FFECECEC"/>
      <name val="Arial"/>
      <family val="2"/>
    </font>
    <font>
      <b/>
      <sz val="14"/>
      <name val="Arial"/>
      <family val="2"/>
    </font>
    <font>
      <b/>
      <u/>
      <sz val="11"/>
      <color rgb="FF000000"/>
      <name val="Arial"/>
      <family val="2"/>
    </font>
    <font>
      <b/>
      <u/>
      <sz val="10"/>
      <color rgb="FF000000"/>
      <name val="Arial"/>
      <family val="2"/>
    </font>
    <font>
      <sz val="11"/>
      <color rgb="FF000000"/>
      <name val="Calibri"/>
      <family val="2"/>
    </font>
    <font>
      <sz val="10"/>
      <color rgb="FF000000"/>
      <name val="Arial"/>
      <family val="2"/>
    </font>
    <font>
      <sz val="12"/>
      <color rgb="FF000000"/>
      <name val="Avenir Next LT Pro"/>
      <family val="2"/>
    </font>
    <font>
      <sz val="9"/>
      <color rgb="FF000000"/>
      <name val="Arial"/>
      <family val="2"/>
    </font>
    <font>
      <b/>
      <u/>
      <sz val="14"/>
      <color rgb="FF000000"/>
      <name val="Arial"/>
      <family val="2"/>
    </font>
    <font>
      <b/>
      <sz val="9"/>
      <color rgb="FF000000"/>
      <name val="Arial"/>
      <family val="2"/>
    </font>
    <font>
      <sz val="9"/>
      <name val="Arial"/>
      <family val="2"/>
    </font>
    <font>
      <b/>
      <sz val="10"/>
      <color rgb="FF000000"/>
      <name val="Arial"/>
      <family val="2"/>
    </font>
    <font>
      <sz val="10"/>
      <color rgb="FFFF0000"/>
      <name val="Arial"/>
      <family val="2"/>
    </font>
    <font>
      <sz val="9"/>
      <color rgb="FFFF0000"/>
      <name val="Arial"/>
      <family val="2"/>
    </font>
    <font>
      <b/>
      <sz val="9"/>
      <color rgb="FFFF0000"/>
      <name val="Arial"/>
      <family val="2"/>
    </font>
    <font>
      <sz val="11"/>
      <color rgb="FFFF0000"/>
      <name val="Arial"/>
      <family val="2"/>
    </font>
    <font>
      <sz val="9"/>
      <color theme="1" tint="4.9989318521683403E-2"/>
      <name val="Arial"/>
      <family val="2"/>
    </font>
    <font>
      <b/>
      <sz val="10"/>
      <color rgb="FFFF0000"/>
      <name val="Arial"/>
      <family val="2"/>
    </font>
    <font>
      <b/>
      <u/>
      <sz val="12"/>
      <color rgb="FF000000"/>
      <name val="Arial"/>
      <family val="2"/>
    </font>
    <font>
      <sz val="12"/>
      <color rgb="FF000000"/>
      <name val="Arial"/>
      <family val="2"/>
    </font>
    <font>
      <b/>
      <sz val="14"/>
      <name val="Calibri"/>
      <family val="2"/>
    </font>
    <font>
      <sz val="10"/>
      <color rgb="FF000000"/>
      <name val="Arial Narrow"/>
      <family val="2"/>
    </font>
    <font>
      <b/>
      <sz val="10"/>
      <color rgb="FF000000"/>
      <name val="Arial Narrow"/>
      <family val="2"/>
    </font>
    <font>
      <sz val="10"/>
      <name val="Arial Narrow"/>
      <family val="2"/>
    </font>
    <font>
      <i/>
      <sz val="9"/>
      <color rgb="FFFF0000"/>
      <name val="Arial"/>
      <family val="2"/>
    </font>
    <font>
      <b/>
      <sz val="14"/>
      <color rgb="FF000000"/>
      <name val="Calibri"/>
      <family val="2"/>
    </font>
    <font>
      <b/>
      <sz val="11"/>
      <color rgb="FF000000"/>
      <name val="Calibri"/>
      <family val="2"/>
    </font>
    <font>
      <b/>
      <sz val="12"/>
      <color rgb="FF000000"/>
      <name val="Arial"/>
      <family val="2"/>
    </font>
    <font>
      <sz val="12"/>
      <color theme="1"/>
      <name val="Aptos Narrow"/>
      <family val="2"/>
      <scheme val="minor"/>
    </font>
    <font>
      <sz val="11"/>
      <color theme="0"/>
      <name val="Arial"/>
      <family val="2"/>
    </font>
    <font>
      <u/>
      <sz val="11"/>
      <color theme="10"/>
      <name val="Arial"/>
      <family val="2"/>
    </font>
    <font>
      <sz val="11"/>
      <color theme="1"/>
      <name val="Arial"/>
      <family val="2"/>
    </font>
  </fonts>
  <fills count="17">
    <fill>
      <patternFill patternType="none"/>
    </fill>
    <fill>
      <patternFill patternType="gray125"/>
    </fill>
    <fill>
      <patternFill patternType="solid">
        <fgColor theme="4"/>
      </patternFill>
    </fill>
    <fill>
      <patternFill patternType="solid">
        <fgColor theme="5"/>
      </patternFill>
    </fill>
    <fill>
      <patternFill patternType="solid">
        <fgColor theme="0" tint="-0.249977111117893"/>
        <bgColor indexed="64"/>
      </patternFill>
    </fill>
    <fill>
      <patternFill patternType="solid">
        <fgColor theme="0" tint="-4.9989318521683403E-2"/>
        <bgColor indexed="64"/>
      </patternFill>
    </fill>
    <fill>
      <patternFill patternType="solid">
        <fgColor rgb="FF8C8C8C"/>
        <bgColor indexed="64"/>
      </patternFill>
    </fill>
    <fill>
      <patternFill patternType="solid">
        <fgColor rgb="FFFFFF00"/>
        <bgColor indexed="64"/>
      </patternFill>
    </fill>
    <fill>
      <patternFill patternType="solid">
        <fgColor theme="0"/>
        <bgColor indexed="64"/>
      </patternFill>
    </fill>
    <fill>
      <patternFill patternType="solid">
        <fgColor rgb="FFECECEC"/>
        <bgColor indexed="64"/>
      </patternFill>
    </fill>
    <fill>
      <patternFill patternType="solid">
        <fgColor rgb="FFECECEC"/>
        <bgColor rgb="FFFFC0CB"/>
      </patternFill>
    </fill>
    <fill>
      <patternFill patternType="solid">
        <fgColor rgb="FFFFC0CB"/>
        <bgColor rgb="FFFFC0CB"/>
      </patternFill>
    </fill>
    <fill>
      <patternFill patternType="solid">
        <fgColor theme="5" tint="0.79998168889431442"/>
        <bgColor indexed="64"/>
      </patternFill>
    </fill>
    <fill>
      <patternFill patternType="solid">
        <fgColor theme="5"/>
        <bgColor indexed="64"/>
      </patternFill>
    </fill>
    <fill>
      <patternFill patternType="solid">
        <fgColor theme="4"/>
        <bgColor indexed="64"/>
      </patternFill>
    </fill>
    <fill>
      <patternFill patternType="solid">
        <fgColor rgb="FF92D050"/>
        <bgColor indexed="64"/>
      </patternFill>
    </fill>
    <fill>
      <patternFill patternType="solid">
        <fgColor theme="1"/>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rgb="FFD3D3D3"/>
      </left>
      <right style="thin">
        <color rgb="FFD3D3D3"/>
      </right>
      <top style="thin">
        <color rgb="FFD3D3D3"/>
      </top>
      <bottom style="thin">
        <color rgb="FFD3D3D3"/>
      </bottom>
      <diagonal/>
    </border>
    <border>
      <left style="thin">
        <color rgb="FFD3D3D3"/>
      </left>
      <right/>
      <top/>
      <bottom/>
      <diagonal/>
    </border>
    <border>
      <left style="thin">
        <color rgb="FFD3D3D3"/>
      </left>
      <right/>
      <top style="thin">
        <color rgb="FFD3D3D3"/>
      </top>
      <bottom style="thin">
        <color rgb="FFD3D3D3"/>
      </bottom>
      <diagonal/>
    </border>
    <border>
      <left/>
      <right style="thin">
        <color rgb="FFD3D3D3"/>
      </right>
      <top style="thin">
        <color rgb="FFD3D3D3"/>
      </top>
      <bottom style="thin">
        <color rgb="FFD3D3D3"/>
      </bottom>
      <diagonal/>
    </border>
    <border>
      <left/>
      <right/>
      <top style="thin">
        <color rgb="FFD3D3D3"/>
      </top>
      <bottom style="thin">
        <color rgb="FFD3D3D3"/>
      </bottom>
      <diagonal/>
    </border>
    <border>
      <left style="thick">
        <color rgb="FF8C8C8C"/>
      </left>
      <right style="thin">
        <color rgb="FFD3D3D3"/>
      </right>
      <top style="thin">
        <color rgb="FFD3D3D3"/>
      </top>
      <bottom style="thin">
        <color rgb="FFD3D3D3"/>
      </bottom>
      <diagonal/>
    </border>
    <border>
      <left style="thick">
        <color rgb="FF8C8C8C"/>
      </left>
      <right/>
      <top/>
      <bottom/>
      <diagonal/>
    </border>
    <border>
      <left style="thick">
        <color rgb="FF8C8C8C"/>
      </left>
      <right/>
      <top style="thin">
        <color rgb="FFD3D3D3"/>
      </top>
      <bottom style="thin">
        <color rgb="FFD3D3D3"/>
      </bottom>
      <diagonal/>
    </border>
    <border>
      <left/>
      <right style="thick">
        <color rgb="FF8C8C8C"/>
      </right>
      <top style="thin">
        <color rgb="FFD3D3D3"/>
      </top>
      <bottom style="thin">
        <color rgb="FFD3D3D3"/>
      </bottom>
      <diagonal/>
    </border>
    <border>
      <left style="medium">
        <color indexed="64"/>
      </left>
      <right style="medium">
        <color indexed="64"/>
      </right>
      <top/>
      <bottom/>
      <diagonal/>
    </border>
    <border>
      <left/>
      <right style="medium">
        <color indexed="64"/>
      </right>
      <top/>
      <bottom/>
      <diagonal/>
    </border>
  </borders>
  <cellStyleXfs count="14">
    <xf numFmtId="0" fontId="0" fillId="0" borderId="0"/>
    <xf numFmtId="43" fontId="5" fillId="0" borderId="0" applyFont="0" applyFill="0" applyBorder="0" applyAlignment="0" applyProtection="0"/>
    <xf numFmtId="9" fontId="5" fillId="0" borderId="0" applyFont="0" applyFill="0" applyBorder="0" applyAlignment="0" applyProtection="0"/>
    <xf numFmtId="0" fontId="3" fillId="3" borderId="0" applyNumberFormat="0" applyBorder="0" applyAlignment="0" applyProtection="0"/>
    <xf numFmtId="0" fontId="4" fillId="0" borderId="0" applyNumberFormat="0" applyFill="0" applyBorder="0" applyAlignment="0" applyProtection="0"/>
    <xf numFmtId="0" fontId="1" fillId="0" borderId="0"/>
    <xf numFmtId="44" fontId="48" fillId="0" borderId="0" applyFont="0" applyFill="0" applyBorder="0" applyAlignment="0" applyProtection="0"/>
    <xf numFmtId="0" fontId="49" fillId="2" borderId="0" applyNumberFormat="0" applyBorder="0" applyAlignment="0" applyProtection="0"/>
    <xf numFmtId="0" fontId="50" fillId="0" borderId="0" applyNumberFormat="0" applyFill="0" applyBorder="0" applyAlignment="0" applyProtection="0"/>
    <xf numFmtId="0" fontId="49" fillId="3" borderId="0" applyNumberFormat="0" applyBorder="0" applyAlignment="0" applyProtection="0"/>
    <xf numFmtId="43" fontId="48" fillId="0" borderId="0" applyFont="0" applyFill="0" applyBorder="0" applyAlignment="0" applyProtection="0"/>
    <xf numFmtId="0" fontId="48" fillId="0" borderId="0"/>
    <xf numFmtId="43" fontId="1" fillId="0" borderId="0" applyFont="0" applyFill="0" applyBorder="0" applyAlignment="0" applyProtection="0"/>
    <xf numFmtId="9" fontId="1" fillId="0" borderId="0" applyFont="0" applyFill="0" applyBorder="0" applyAlignment="0" applyProtection="0"/>
  </cellStyleXfs>
  <cellXfs count="201">
    <xf numFmtId="0" fontId="0" fillId="0" borderId="0" xfId="0"/>
    <xf numFmtId="0" fontId="6" fillId="0" borderId="0" xfId="0" applyFont="1"/>
    <xf numFmtId="0" fontId="7" fillId="0" borderId="0" xfId="0" applyFont="1"/>
    <xf numFmtId="0" fontId="8" fillId="0" borderId="0" xfId="0" applyFont="1"/>
    <xf numFmtId="0" fontId="7" fillId="0" borderId="0" xfId="0" applyFont="1" applyAlignment="1">
      <alignment wrapText="1"/>
    </xf>
    <xf numFmtId="0" fontId="9" fillId="4" borderId="1" xfId="0" applyFont="1" applyFill="1" applyBorder="1" applyAlignment="1">
      <alignment horizontal="center"/>
    </xf>
    <xf numFmtId="0" fontId="7" fillId="5" borderId="1" xfId="0" applyFont="1" applyFill="1" applyBorder="1" applyAlignment="1">
      <alignment horizontal="center"/>
    </xf>
    <xf numFmtId="0" fontId="4" fillId="0" borderId="0" xfId="4"/>
    <xf numFmtId="0" fontId="10" fillId="0" borderId="0" xfId="0" applyFont="1"/>
    <xf numFmtId="0" fontId="11" fillId="0" borderId="0" xfId="0" applyFont="1"/>
    <xf numFmtId="0" fontId="12" fillId="0" borderId="0" xfId="4" applyFont="1"/>
    <xf numFmtId="0" fontId="13" fillId="6" borderId="0" xfId="0" applyFont="1" applyFill="1"/>
    <xf numFmtId="0" fontId="14" fillId="6" borderId="0" xfId="0" applyFont="1" applyFill="1"/>
    <xf numFmtId="0" fontId="15" fillId="0" borderId="0" xfId="0" applyFont="1"/>
    <xf numFmtId="0" fontId="16" fillId="0" borderId="0" xfId="0" applyFont="1"/>
    <xf numFmtId="0" fontId="17" fillId="0" borderId="0" xfId="0" applyFont="1"/>
    <xf numFmtId="38" fontId="17" fillId="0" borderId="0" xfId="0" applyNumberFormat="1" applyFont="1"/>
    <xf numFmtId="38" fontId="18" fillId="0" borderId="0" xfId="0" applyNumberFormat="1" applyFont="1"/>
    <xf numFmtId="38" fontId="15" fillId="0" borderId="0" xfId="0" applyNumberFormat="1" applyFont="1"/>
    <xf numFmtId="9" fontId="15" fillId="0" borderId="0" xfId="2" applyFont="1" applyFill="1" applyBorder="1"/>
    <xf numFmtId="9" fontId="15" fillId="0" borderId="0" xfId="2" applyFont="1"/>
    <xf numFmtId="164" fontId="19" fillId="0" borderId="0" xfId="2" applyNumberFormat="1" applyFont="1"/>
    <xf numFmtId="164" fontId="15" fillId="0" borderId="0" xfId="2" applyNumberFormat="1" applyFont="1"/>
    <xf numFmtId="9" fontId="14" fillId="6" borderId="0" xfId="2" applyFont="1" applyFill="1"/>
    <xf numFmtId="9" fontId="20" fillId="6" borderId="0" xfId="2" applyFont="1" applyFill="1"/>
    <xf numFmtId="38" fontId="17" fillId="7" borderId="0" xfId="0" applyNumberFormat="1" applyFont="1" applyFill="1"/>
    <xf numFmtId="38" fontId="18" fillId="7" borderId="0" xfId="0" applyNumberFormat="1" applyFont="1" applyFill="1"/>
    <xf numFmtId="164" fontId="17" fillId="0" borderId="0" xfId="2" applyNumberFormat="1" applyFont="1"/>
    <xf numFmtId="164" fontId="18" fillId="0" borderId="0" xfId="2" applyNumberFormat="1" applyFont="1"/>
    <xf numFmtId="164" fontId="15" fillId="0" borderId="0" xfId="0" applyNumberFormat="1" applyFont="1"/>
    <xf numFmtId="0" fontId="21" fillId="0" borderId="0" xfId="0" applyFont="1"/>
    <xf numFmtId="165" fontId="17" fillId="0" borderId="0" xfId="1" applyNumberFormat="1" applyFont="1" applyFill="1" applyBorder="1"/>
    <xf numFmtId="38" fontId="17" fillId="0" borderId="0" xfId="1" applyNumberFormat="1" applyFont="1" applyFill="1" applyBorder="1"/>
    <xf numFmtId="38" fontId="18" fillId="0" borderId="0" xfId="1" applyNumberFormat="1" applyFont="1" applyFill="1" applyBorder="1"/>
    <xf numFmtId="165" fontId="18" fillId="0" borderId="0" xfId="1" applyNumberFormat="1" applyFont="1" applyFill="1" applyBorder="1"/>
    <xf numFmtId="0" fontId="18" fillId="0" borderId="0" xfId="0" applyFont="1"/>
    <xf numFmtId="0" fontId="22" fillId="0" borderId="2" xfId="0" applyFont="1" applyBorder="1" applyAlignment="1">
      <alignment vertical="top" wrapText="1" readingOrder="1"/>
    </xf>
    <xf numFmtId="0" fontId="23" fillId="0" borderId="2" xfId="0" applyFont="1" applyBorder="1" applyAlignment="1">
      <alignment vertical="top" wrapText="1" readingOrder="1"/>
    </xf>
    <xf numFmtId="0" fontId="24" fillId="0" borderId="2" xfId="0" applyFont="1" applyBorder="1" applyAlignment="1">
      <alignment vertical="top" wrapText="1" readingOrder="1"/>
    </xf>
    <xf numFmtId="0" fontId="25" fillId="0" borderId="2" xfId="0" applyFont="1" applyBorder="1" applyAlignment="1">
      <alignment vertical="top" wrapText="1" readingOrder="1"/>
    </xf>
    <xf numFmtId="0" fontId="17" fillId="8" borderId="2" xfId="0" applyFont="1" applyFill="1" applyBorder="1" applyAlignment="1">
      <alignment vertical="top" wrapText="1" readingOrder="1"/>
    </xf>
    <xf numFmtId="165" fontId="26" fillId="0" borderId="2" xfId="1" applyNumberFormat="1" applyFont="1" applyFill="1" applyBorder="1" applyAlignment="1">
      <alignment vertical="top" wrapText="1" readingOrder="1"/>
    </xf>
    <xf numFmtId="0" fontId="25" fillId="8" borderId="2" xfId="0" applyFont="1" applyFill="1" applyBorder="1" applyAlignment="1">
      <alignment vertical="top" wrapText="1" readingOrder="1"/>
    </xf>
    <xf numFmtId="166" fontId="11" fillId="0" borderId="0" xfId="1" applyNumberFormat="1" applyFont="1" applyFill="1" applyBorder="1"/>
    <xf numFmtId="14" fontId="11" fillId="0" borderId="0" xfId="0" applyNumberFormat="1" applyFont="1"/>
    <xf numFmtId="165" fontId="11" fillId="0" borderId="0" xfId="1" applyNumberFormat="1" applyFont="1" applyFill="1" applyBorder="1"/>
    <xf numFmtId="165" fontId="10" fillId="0" borderId="0" xfId="1" applyNumberFormat="1" applyFont="1" applyFill="1" applyBorder="1"/>
    <xf numFmtId="0" fontId="11" fillId="7" borderId="0" xfId="0" applyFont="1" applyFill="1"/>
    <xf numFmtId="165" fontId="11" fillId="7" borderId="0" xfId="0" applyNumberFormat="1" applyFont="1" applyFill="1"/>
    <xf numFmtId="165" fontId="10" fillId="7" borderId="0" xfId="0" applyNumberFormat="1" applyFont="1" applyFill="1"/>
    <xf numFmtId="165" fontId="11" fillId="0" borderId="0" xfId="0" applyNumberFormat="1" applyFont="1"/>
    <xf numFmtId="165" fontId="10" fillId="0" borderId="0" xfId="0" applyNumberFormat="1" applyFont="1"/>
    <xf numFmtId="10" fontId="11" fillId="0" borderId="0" xfId="2" applyNumberFormat="1" applyFont="1"/>
    <xf numFmtId="167" fontId="11" fillId="0" borderId="0" xfId="0" applyNumberFormat="1" applyFont="1"/>
    <xf numFmtId="167" fontId="10" fillId="0" borderId="0" xfId="0" applyNumberFormat="1" applyFont="1"/>
    <xf numFmtId="168" fontId="11" fillId="0" borderId="0" xfId="0" applyNumberFormat="1" applyFont="1"/>
    <xf numFmtId="168" fontId="10" fillId="0" borderId="0" xfId="0" applyNumberFormat="1" applyFont="1"/>
    <xf numFmtId="169" fontId="11" fillId="0" borderId="0" xfId="0" applyNumberFormat="1" applyFont="1"/>
    <xf numFmtId="169" fontId="10" fillId="0" borderId="0" xfId="0" applyNumberFormat="1" applyFont="1"/>
    <xf numFmtId="38" fontId="11" fillId="0" borderId="0" xfId="0" applyNumberFormat="1" applyFont="1"/>
    <xf numFmtId="38" fontId="10" fillId="7" borderId="0" xfId="0" applyNumberFormat="1" applyFont="1" applyFill="1"/>
    <xf numFmtId="38" fontId="10" fillId="0" borderId="0" xfId="0" applyNumberFormat="1" applyFont="1"/>
    <xf numFmtId="165" fontId="27" fillId="0" borderId="2" xfId="1" applyNumberFormat="1" applyFont="1" applyFill="1" applyBorder="1" applyAlignment="1">
      <alignment horizontal="center" vertical="center" wrapText="1" readingOrder="1"/>
    </xf>
    <xf numFmtId="0" fontId="28" fillId="9" borderId="2" xfId="0" applyFont="1" applyFill="1" applyBorder="1" applyAlignment="1">
      <alignment vertical="top" wrapText="1" readingOrder="1"/>
    </xf>
    <xf numFmtId="0" fontId="23" fillId="9" borderId="2" xfId="0" applyFont="1" applyFill="1" applyBorder="1" applyAlignment="1">
      <alignment vertical="top" wrapText="1" readingOrder="1"/>
    </xf>
    <xf numFmtId="0" fontId="25" fillId="10" borderId="2" xfId="0" applyFont="1" applyFill="1" applyBorder="1" applyAlignment="1">
      <alignment vertical="top" wrapText="1" readingOrder="1"/>
    </xf>
    <xf numFmtId="0" fontId="25" fillId="10" borderId="0" xfId="0" applyFont="1" applyFill="1" applyAlignment="1">
      <alignment vertical="top" wrapText="1" readingOrder="1"/>
    </xf>
    <xf numFmtId="0" fontId="25" fillId="10" borderId="3" xfId="0" applyFont="1" applyFill="1" applyBorder="1" applyAlignment="1">
      <alignment vertical="top" wrapText="1" readingOrder="1"/>
    </xf>
    <xf numFmtId="0" fontId="7" fillId="0" borderId="2" xfId="0" applyFont="1" applyBorder="1" applyAlignment="1">
      <alignment vertical="top" wrapText="1" readingOrder="1"/>
    </xf>
    <xf numFmtId="165" fontId="25" fillId="0" borderId="2" xfId="1" applyNumberFormat="1" applyFont="1" applyFill="1" applyBorder="1" applyAlignment="1">
      <alignment vertical="top" wrapText="1" readingOrder="1"/>
    </xf>
    <xf numFmtId="165" fontId="27" fillId="0" borderId="2" xfId="1" applyNumberFormat="1" applyFont="1" applyFill="1" applyBorder="1" applyAlignment="1">
      <alignment vertical="top" wrapText="1" readingOrder="1"/>
    </xf>
    <xf numFmtId="38" fontId="27" fillId="0" borderId="2" xfId="1" applyNumberFormat="1" applyFont="1" applyFill="1" applyBorder="1" applyAlignment="1">
      <alignment vertical="top" wrapText="1" readingOrder="1"/>
    </xf>
    <xf numFmtId="38" fontId="29" fillId="0" borderId="2" xfId="1" applyNumberFormat="1" applyFont="1" applyFill="1" applyBorder="1" applyAlignment="1">
      <alignment vertical="top" wrapText="1" readingOrder="1"/>
    </xf>
    <xf numFmtId="14" fontId="30" fillId="0" borderId="0" xfId="0" applyNumberFormat="1" applyFont="1"/>
    <xf numFmtId="0" fontId="6" fillId="9" borderId="2" xfId="0" applyFont="1" applyFill="1" applyBorder="1" applyAlignment="1">
      <alignment vertical="top" wrapText="1" readingOrder="1"/>
    </xf>
    <xf numFmtId="0" fontId="25" fillId="0" borderId="4" xfId="0" applyFont="1" applyBorder="1" applyAlignment="1">
      <alignment vertical="top" wrapText="1" readingOrder="1"/>
    </xf>
    <xf numFmtId="0" fontId="25" fillId="0" borderId="0" xfId="0" applyFont="1" applyAlignment="1">
      <alignment vertical="top" wrapText="1" readingOrder="1"/>
    </xf>
    <xf numFmtId="165" fontId="29" fillId="0" borderId="2" xfId="1" applyNumberFormat="1" applyFont="1" applyFill="1" applyBorder="1" applyAlignment="1">
      <alignment vertical="top" wrapText="1" readingOrder="1"/>
    </xf>
    <xf numFmtId="165" fontId="27" fillId="0" borderId="2" xfId="1" applyNumberFormat="1" applyFont="1" applyBorder="1" applyAlignment="1">
      <alignment vertical="top" wrapText="1" readingOrder="1"/>
    </xf>
    <xf numFmtId="0" fontId="31" fillId="0" borderId="2" xfId="0" applyFont="1" applyBorder="1" applyAlignment="1">
      <alignment vertical="top" wrapText="1" readingOrder="1"/>
    </xf>
    <xf numFmtId="0" fontId="25" fillId="9" borderId="2" xfId="0" applyFont="1" applyFill="1" applyBorder="1" applyAlignment="1">
      <alignment vertical="top" wrapText="1" readingOrder="1"/>
    </xf>
    <xf numFmtId="0" fontId="32" fillId="0" borderId="2" xfId="0" applyFont="1" applyBorder="1" applyAlignment="1">
      <alignment vertical="top" wrapText="1" readingOrder="1"/>
    </xf>
    <xf numFmtId="165" fontId="33" fillId="0" borderId="2" xfId="1" applyNumberFormat="1" applyFont="1" applyFill="1" applyBorder="1" applyAlignment="1">
      <alignment vertical="top" wrapText="1" readingOrder="1"/>
    </xf>
    <xf numFmtId="165" fontId="33" fillId="0" borderId="2" xfId="3" applyNumberFormat="1" applyFont="1" applyFill="1" applyBorder="1" applyAlignment="1">
      <alignment vertical="top" wrapText="1" readingOrder="1"/>
    </xf>
    <xf numFmtId="38" fontId="33" fillId="0" borderId="2" xfId="1" applyNumberFormat="1" applyFont="1" applyFill="1" applyBorder="1" applyAlignment="1">
      <alignment vertical="top" wrapText="1" readingOrder="1"/>
    </xf>
    <xf numFmtId="38" fontId="34" fillId="0" borderId="2" xfId="1" applyNumberFormat="1" applyFont="1" applyFill="1" applyBorder="1" applyAlignment="1">
      <alignment vertical="top" wrapText="1" readingOrder="1"/>
    </xf>
    <xf numFmtId="0" fontId="35" fillId="0" borderId="0" xfId="0" applyFont="1"/>
    <xf numFmtId="165" fontId="36" fillId="0" borderId="2" xfId="3" applyNumberFormat="1" applyFont="1" applyFill="1" applyBorder="1" applyAlignment="1">
      <alignment vertical="top" wrapText="1" readingOrder="1"/>
    </xf>
    <xf numFmtId="0" fontId="30" fillId="0" borderId="0" xfId="0" applyFont="1"/>
    <xf numFmtId="38" fontId="30" fillId="0" borderId="0" xfId="0" applyNumberFormat="1" applyFont="1"/>
    <xf numFmtId="165" fontId="27" fillId="0" borderId="2" xfId="0" applyNumberFormat="1" applyFont="1" applyBorder="1" applyAlignment="1">
      <alignment vertical="top" wrapText="1" readingOrder="1"/>
    </xf>
    <xf numFmtId="38" fontId="27" fillId="0" borderId="2" xfId="0" applyNumberFormat="1" applyFont="1" applyBorder="1" applyAlignment="1">
      <alignment vertical="top" wrapText="1" readingOrder="1"/>
    </xf>
    <xf numFmtId="38" fontId="29" fillId="0" borderId="2" xfId="0" applyNumberFormat="1" applyFont="1" applyBorder="1" applyAlignment="1">
      <alignment vertical="top" wrapText="1" readingOrder="1"/>
    </xf>
    <xf numFmtId="0" fontId="8" fillId="0" borderId="2" xfId="0" applyFont="1" applyBorder="1" applyAlignment="1">
      <alignment vertical="top" wrapText="1" readingOrder="1"/>
    </xf>
    <xf numFmtId="9" fontId="30" fillId="0" borderId="0" xfId="2" applyFont="1"/>
    <xf numFmtId="165" fontId="27" fillId="0" borderId="5" xfId="0" applyNumberFormat="1" applyFont="1" applyBorder="1" applyAlignment="1">
      <alignment vertical="top" wrapText="1" readingOrder="1"/>
    </xf>
    <xf numFmtId="38" fontId="30" fillId="0" borderId="0" xfId="2" applyNumberFormat="1" applyFont="1"/>
    <xf numFmtId="0" fontId="25" fillId="0" borderId="6" xfId="0" applyFont="1" applyBorder="1" applyAlignment="1">
      <alignment vertical="top" wrapText="1" readingOrder="1"/>
    </xf>
    <xf numFmtId="0" fontId="25" fillId="0" borderId="5" xfId="0" applyFont="1" applyBorder="1" applyAlignment="1">
      <alignment vertical="top" wrapText="1" readingOrder="1"/>
    </xf>
    <xf numFmtId="0" fontId="25" fillId="10" borderId="4" xfId="0" applyFont="1" applyFill="1" applyBorder="1" applyAlignment="1">
      <alignment vertical="top" wrapText="1" readingOrder="1"/>
    </xf>
    <xf numFmtId="0" fontId="25" fillId="10" borderId="7" xfId="0" applyFont="1" applyFill="1" applyBorder="1" applyAlignment="1">
      <alignment vertical="top" wrapText="1" readingOrder="1"/>
    </xf>
    <xf numFmtId="0" fontId="25" fillId="10" borderId="8" xfId="0" applyFont="1" applyFill="1" applyBorder="1" applyAlignment="1">
      <alignment vertical="top" wrapText="1" readingOrder="1"/>
    </xf>
    <xf numFmtId="0" fontId="25" fillId="0" borderId="7" xfId="0" applyFont="1" applyBorder="1" applyAlignment="1">
      <alignment vertical="top" wrapText="1" readingOrder="1"/>
    </xf>
    <xf numFmtId="165" fontId="27" fillId="0" borderId="4" xfId="1" applyNumberFormat="1" applyFont="1" applyFill="1" applyBorder="1" applyAlignment="1">
      <alignment vertical="top" wrapText="1" readingOrder="1"/>
    </xf>
    <xf numFmtId="165" fontId="27" fillId="0" borderId="7" xfId="1" applyNumberFormat="1" applyFont="1" applyFill="1" applyBorder="1" applyAlignment="1">
      <alignment vertical="top" wrapText="1" readingOrder="1"/>
    </xf>
    <xf numFmtId="165" fontId="29" fillId="0" borderId="7" xfId="1" applyNumberFormat="1" applyFont="1" applyFill="1" applyBorder="1" applyAlignment="1">
      <alignment vertical="top" wrapText="1" readingOrder="1"/>
    </xf>
    <xf numFmtId="165" fontId="27" fillId="0" borderId="9" xfId="1" applyNumberFormat="1" applyFont="1" applyFill="1" applyBorder="1" applyAlignment="1">
      <alignment vertical="top" wrapText="1" readingOrder="1"/>
    </xf>
    <xf numFmtId="165" fontId="27" fillId="0" borderId="6" xfId="1" applyNumberFormat="1" applyFont="1" applyFill="1" applyBorder="1" applyAlignment="1">
      <alignment vertical="top" wrapText="1" readingOrder="1"/>
    </xf>
    <xf numFmtId="165" fontId="29" fillId="0" borderId="9" xfId="1" applyNumberFormat="1" applyFont="1" applyFill="1" applyBorder="1" applyAlignment="1">
      <alignment vertical="top" wrapText="1" readingOrder="1"/>
    </xf>
    <xf numFmtId="165" fontId="29" fillId="0" borderId="6" xfId="1" applyNumberFormat="1" applyFont="1" applyFill="1" applyBorder="1" applyAlignment="1">
      <alignment vertical="top" wrapText="1" readingOrder="1"/>
    </xf>
    <xf numFmtId="165" fontId="29" fillId="0" borderId="10" xfId="1" applyNumberFormat="1" applyFont="1" applyFill="1" applyBorder="1" applyAlignment="1">
      <alignment vertical="top" wrapText="1" readingOrder="1"/>
    </xf>
    <xf numFmtId="170" fontId="29" fillId="0" borderId="9" xfId="1" applyNumberFormat="1" applyFont="1" applyFill="1" applyBorder="1" applyAlignment="1">
      <alignment vertical="top" wrapText="1" readingOrder="1"/>
    </xf>
    <xf numFmtId="165" fontId="27" fillId="0" borderId="0" xfId="1" applyNumberFormat="1" applyFont="1" applyFill="1" applyBorder="1" applyAlignment="1">
      <alignment vertical="top" wrapText="1" readingOrder="1"/>
    </xf>
    <xf numFmtId="165" fontId="27" fillId="0" borderId="10" xfId="1" applyNumberFormat="1" applyFont="1" applyFill="1" applyBorder="1" applyAlignment="1">
      <alignment vertical="top" wrapText="1" readingOrder="1"/>
    </xf>
    <xf numFmtId="165" fontId="29" fillId="0" borderId="0" xfId="1" applyNumberFormat="1" applyFont="1" applyFill="1" applyBorder="1" applyAlignment="1">
      <alignment vertical="top" wrapText="1" readingOrder="1"/>
    </xf>
    <xf numFmtId="9" fontId="27" fillId="0" borderId="0" xfId="2" applyFont="1" applyFill="1" applyBorder="1" applyAlignment="1">
      <alignment vertical="top" wrapText="1" readingOrder="1"/>
    </xf>
    <xf numFmtId="43" fontId="11" fillId="0" borderId="0" xfId="0" applyNumberFormat="1" applyFont="1"/>
    <xf numFmtId="0" fontId="37" fillId="0" borderId="2" xfId="0" applyFont="1" applyBorder="1" applyAlignment="1">
      <alignment vertical="top" wrapText="1" readingOrder="1"/>
    </xf>
    <xf numFmtId="165" fontId="35" fillId="0" borderId="0" xfId="0" applyNumberFormat="1" applyFont="1"/>
    <xf numFmtId="165" fontId="25" fillId="0" borderId="0" xfId="1" applyNumberFormat="1" applyFont="1" applyFill="1" applyBorder="1" applyAlignment="1">
      <alignment vertical="top" wrapText="1" readingOrder="1"/>
    </xf>
    <xf numFmtId="0" fontId="28" fillId="0" borderId="2" xfId="0" applyFont="1" applyBorder="1" applyAlignment="1">
      <alignment vertical="top" wrapText="1" readingOrder="1"/>
    </xf>
    <xf numFmtId="165" fontId="29" fillId="0" borderId="2" xfId="0" applyNumberFormat="1" applyFont="1" applyBorder="1" applyAlignment="1">
      <alignment vertical="top" wrapText="1" readingOrder="1"/>
    </xf>
    <xf numFmtId="165" fontId="25" fillId="0" borderId="2" xfId="0" applyNumberFormat="1" applyFont="1" applyBorder="1" applyAlignment="1">
      <alignment vertical="top" wrapText="1" readingOrder="1"/>
    </xf>
    <xf numFmtId="165" fontId="25" fillId="0" borderId="0" xfId="0" applyNumberFormat="1" applyFont="1" applyAlignment="1">
      <alignment vertical="top" wrapText="1" readingOrder="1"/>
    </xf>
    <xf numFmtId="165" fontId="25" fillId="0" borderId="3" xfId="0" applyNumberFormat="1" applyFont="1" applyBorder="1" applyAlignment="1">
      <alignment vertical="top" wrapText="1" readingOrder="1"/>
    </xf>
    <xf numFmtId="0" fontId="22" fillId="9" borderId="2" xfId="0" applyFont="1" applyFill="1" applyBorder="1" applyAlignment="1">
      <alignment vertical="top" wrapText="1" readingOrder="1"/>
    </xf>
    <xf numFmtId="171" fontId="25" fillId="0" borderId="2" xfId="0" applyNumberFormat="1" applyFont="1" applyBorder="1" applyAlignment="1">
      <alignment vertical="top" wrapText="1" readingOrder="1"/>
    </xf>
    <xf numFmtId="171" fontId="27" fillId="0" borderId="2" xfId="0" applyNumberFormat="1" applyFont="1" applyBorder="1" applyAlignment="1">
      <alignment vertical="top" wrapText="1" readingOrder="1"/>
    </xf>
    <xf numFmtId="171" fontId="25" fillId="0" borderId="6" xfId="0" applyNumberFormat="1" applyFont="1" applyBorder="1" applyAlignment="1">
      <alignment vertical="top" wrapText="1" readingOrder="1"/>
    </xf>
    <xf numFmtId="171" fontId="27" fillId="0" borderId="6" xfId="0" applyNumberFormat="1" applyFont="1" applyBorder="1" applyAlignment="1">
      <alignment vertical="top" wrapText="1" readingOrder="1"/>
    </xf>
    <xf numFmtId="171" fontId="27" fillId="0" borderId="0" xfId="0" applyNumberFormat="1" applyFont="1" applyAlignment="1">
      <alignment vertical="top" wrapText="1" readingOrder="1"/>
    </xf>
    <xf numFmtId="0" fontId="38" fillId="9" borderId="2" xfId="0" applyFont="1" applyFill="1" applyBorder="1" applyAlignment="1">
      <alignment vertical="top" wrapText="1" readingOrder="1"/>
    </xf>
    <xf numFmtId="0" fontId="39" fillId="10" borderId="2" xfId="0" applyFont="1" applyFill="1" applyBorder="1" applyAlignment="1">
      <alignment vertical="top" wrapText="1" readingOrder="1"/>
    </xf>
    <xf numFmtId="0" fontId="39" fillId="10" borderId="0" xfId="0" applyFont="1" applyFill="1" applyAlignment="1">
      <alignment vertical="top" wrapText="1" readingOrder="1"/>
    </xf>
    <xf numFmtId="0" fontId="39" fillId="10" borderId="3" xfId="0" applyFont="1" applyFill="1" applyBorder="1" applyAlignment="1">
      <alignment vertical="top" wrapText="1" readingOrder="1"/>
    </xf>
    <xf numFmtId="171" fontId="11" fillId="0" borderId="0" xfId="0" applyNumberFormat="1" applyFont="1"/>
    <xf numFmtId="9" fontId="11" fillId="0" borderId="0" xfId="2" applyFont="1"/>
    <xf numFmtId="0" fontId="40" fillId="0" borderId="0" xfId="0" applyFont="1"/>
    <xf numFmtId="0" fontId="25" fillId="11" borderId="2" xfId="0" applyFont="1" applyFill="1" applyBorder="1" applyAlignment="1">
      <alignment vertical="top" wrapText="1" readingOrder="1"/>
    </xf>
    <xf numFmtId="38" fontId="41" fillId="0" borderId="2" xfId="1" applyNumberFormat="1" applyFont="1" applyFill="1" applyBorder="1" applyAlignment="1">
      <alignment vertical="top" wrapText="1" readingOrder="1"/>
    </xf>
    <xf numFmtId="38" fontId="42" fillId="0" borderId="2" xfId="1" applyNumberFormat="1" applyFont="1" applyFill="1" applyBorder="1" applyAlignment="1">
      <alignment vertical="top" wrapText="1" readingOrder="1"/>
    </xf>
    <xf numFmtId="38" fontId="41" fillId="0" borderId="0" xfId="1" applyNumberFormat="1" applyFont="1" applyFill="1" applyBorder="1" applyAlignment="1">
      <alignment vertical="top" wrapText="1" readingOrder="1"/>
    </xf>
    <xf numFmtId="38" fontId="42" fillId="0" borderId="0" xfId="1" applyNumberFormat="1" applyFont="1" applyFill="1" applyBorder="1" applyAlignment="1">
      <alignment vertical="top" wrapText="1" readingOrder="1"/>
    </xf>
    <xf numFmtId="9" fontId="25" fillId="0" borderId="0" xfId="2" applyFont="1" applyFill="1" applyBorder="1" applyAlignment="1">
      <alignment vertical="top" wrapText="1" readingOrder="1"/>
    </xf>
    <xf numFmtId="38" fontId="25" fillId="0" borderId="0" xfId="0" applyNumberFormat="1" applyFont="1" applyAlignment="1">
      <alignment vertical="top" wrapText="1" readingOrder="1"/>
    </xf>
    <xf numFmtId="164" fontId="25" fillId="0" borderId="0" xfId="2" applyNumberFormat="1" applyFont="1" applyAlignment="1">
      <alignment vertical="top" wrapText="1" readingOrder="1"/>
    </xf>
    <xf numFmtId="40" fontId="43" fillId="0" borderId="0" xfId="0" applyNumberFormat="1" applyFont="1"/>
    <xf numFmtId="40" fontId="15" fillId="0" borderId="0" xfId="0" applyNumberFormat="1" applyFont="1"/>
    <xf numFmtId="172" fontId="15" fillId="0" borderId="0" xfId="0" applyNumberFormat="1" applyFont="1"/>
    <xf numFmtId="2" fontId="15" fillId="0" borderId="0" xfId="0" applyNumberFormat="1" applyFont="1"/>
    <xf numFmtId="0" fontId="44" fillId="0" borderId="0" xfId="0" applyFont="1"/>
    <xf numFmtId="43" fontId="11" fillId="0" borderId="0" xfId="1" applyFont="1" applyFill="1" applyBorder="1"/>
    <xf numFmtId="0" fontId="10" fillId="0" borderId="0" xfId="0" applyFont="1" applyAlignment="1">
      <alignment wrapText="1"/>
    </xf>
    <xf numFmtId="0" fontId="10" fillId="8" borderId="1" xfId="0" applyFont="1" applyFill="1" applyBorder="1"/>
    <xf numFmtId="0" fontId="10" fillId="8" borderId="1" xfId="0" applyFont="1" applyFill="1" applyBorder="1" applyAlignment="1">
      <alignment wrapText="1"/>
    </xf>
    <xf numFmtId="0" fontId="11" fillId="8" borderId="1" xfId="0" applyFont="1" applyFill="1" applyBorder="1"/>
    <xf numFmtId="0" fontId="11" fillId="8" borderId="1" xfId="0" applyFont="1" applyFill="1" applyBorder="1" applyAlignment="1">
      <alignment wrapText="1"/>
    </xf>
    <xf numFmtId="0" fontId="11" fillId="7" borderId="1" xfId="0" applyFont="1" applyFill="1" applyBorder="1"/>
    <xf numFmtId="0" fontId="11" fillId="7" borderId="1" xfId="0" applyFont="1" applyFill="1" applyBorder="1" applyAlignment="1">
      <alignment wrapText="1"/>
    </xf>
    <xf numFmtId="0" fontId="11" fillId="0" borderId="0" xfId="0" applyFont="1" applyAlignment="1">
      <alignment wrapText="1"/>
    </xf>
    <xf numFmtId="165" fontId="25" fillId="0" borderId="2" xfId="1" applyNumberFormat="1" applyFont="1" applyBorder="1" applyAlignment="1">
      <alignment vertical="top" wrapText="1" readingOrder="1"/>
    </xf>
    <xf numFmtId="0" fontId="25" fillId="11" borderId="0" xfId="0" applyFont="1" applyFill="1" applyAlignment="1">
      <alignment vertical="top" wrapText="1" readingOrder="1"/>
    </xf>
    <xf numFmtId="0" fontId="25" fillId="11" borderId="3" xfId="0" applyFont="1" applyFill="1" applyBorder="1" applyAlignment="1">
      <alignment vertical="top" wrapText="1" readingOrder="1"/>
    </xf>
    <xf numFmtId="0" fontId="24" fillId="12" borderId="2" xfId="0" applyFont="1" applyFill="1" applyBorder="1" applyAlignment="1">
      <alignment vertical="top" wrapText="1" readingOrder="1"/>
    </xf>
    <xf numFmtId="0" fontId="15" fillId="12" borderId="0" xfId="0" applyFont="1" applyFill="1" applyAlignment="1">
      <alignment wrapText="1" readingOrder="1"/>
    </xf>
    <xf numFmtId="0" fontId="15" fillId="0" borderId="0" xfId="0" applyFont="1" applyAlignment="1">
      <alignment wrapText="1" readingOrder="1"/>
    </xf>
    <xf numFmtId="165" fontId="15" fillId="0" borderId="0" xfId="1" applyNumberFormat="1" applyFont="1" applyFill="1" applyBorder="1"/>
    <xf numFmtId="0" fontId="45" fillId="0" borderId="2" xfId="0" applyFont="1" applyBorder="1" applyAlignment="1">
      <alignment vertical="top" wrapText="1" readingOrder="1"/>
    </xf>
    <xf numFmtId="0" fontId="46" fillId="0" borderId="2" xfId="0" applyFont="1" applyBorder="1" applyAlignment="1">
      <alignment vertical="top" wrapText="1" readingOrder="1"/>
    </xf>
    <xf numFmtId="0" fontId="46" fillId="11" borderId="2" xfId="0" applyFont="1" applyFill="1" applyBorder="1" applyAlignment="1">
      <alignment vertical="top" wrapText="1" readingOrder="1"/>
    </xf>
    <xf numFmtId="0" fontId="31" fillId="11" borderId="2" xfId="0" applyFont="1" applyFill="1" applyBorder="1" applyAlignment="1">
      <alignment vertical="top" wrapText="1" readingOrder="1"/>
    </xf>
    <xf numFmtId="3" fontId="25" fillId="0" borderId="2" xfId="0" applyNumberFormat="1" applyFont="1" applyBorder="1" applyAlignment="1">
      <alignment vertical="top" wrapText="1" readingOrder="1"/>
    </xf>
    <xf numFmtId="0" fontId="1" fillId="0" borderId="0" xfId="5"/>
    <xf numFmtId="0" fontId="48" fillId="0" borderId="11" xfId="5" applyFont="1" applyBorder="1" applyAlignment="1">
      <alignment wrapText="1"/>
    </xf>
    <xf numFmtId="173" fontId="49" fillId="13" borderId="0" xfId="6" applyNumberFormat="1" applyFont="1" applyFill="1" applyAlignment="1">
      <alignment wrapText="1"/>
    </xf>
    <xf numFmtId="0" fontId="49" fillId="14" borderId="0" xfId="7" applyFill="1" applyAlignment="1">
      <alignment wrapText="1"/>
    </xf>
    <xf numFmtId="0" fontId="2" fillId="0" borderId="0" xfId="5" applyFont="1"/>
    <xf numFmtId="0" fontId="50" fillId="0" borderId="0" xfId="8"/>
    <xf numFmtId="0" fontId="1" fillId="0" borderId="12" xfId="5" applyBorder="1" applyAlignment="1">
      <alignment horizontal="center"/>
    </xf>
    <xf numFmtId="174" fontId="48" fillId="0" borderId="11" xfId="5" applyNumberFormat="1" applyFont="1" applyBorder="1"/>
    <xf numFmtId="173" fontId="49" fillId="13" borderId="0" xfId="9" applyNumberFormat="1" applyFill="1"/>
    <xf numFmtId="165" fontId="49" fillId="14" borderId="0" xfId="10" applyNumberFormat="1" applyFont="1" applyFill="1"/>
    <xf numFmtId="3" fontId="49" fillId="14" borderId="0" xfId="11" applyNumberFormat="1" applyFont="1" applyFill="1"/>
    <xf numFmtId="0" fontId="49" fillId="14" borderId="0" xfId="11" applyFont="1" applyFill="1"/>
    <xf numFmtId="173" fontId="49" fillId="13" borderId="0" xfId="9" applyNumberFormat="1" applyFill="1" applyBorder="1"/>
    <xf numFmtId="173" fontId="1" fillId="0" borderId="0" xfId="5" applyNumberFormat="1"/>
    <xf numFmtId="0" fontId="51" fillId="0" borderId="0" xfId="5" applyFont="1"/>
    <xf numFmtId="0" fontId="1" fillId="15" borderId="0" xfId="5" applyFill="1"/>
    <xf numFmtId="165" fontId="1" fillId="0" borderId="0" xfId="5" applyNumberFormat="1"/>
    <xf numFmtId="165" fontId="0" fillId="0" borderId="0" xfId="12" applyNumberFormat="1" applyFont="1"/>
    <xf numFmtId="165" fontId="15" fillId="0" borderId="0" xfId="0" applyNumberFormat="1" applyFont="1"/>
    <xf numFmtId="0" fontId="3" fillId="16" borderId="0" xfId="5" applyFont="1" applyFill="1" applyAlignment="1">
      <alignment horizontal="right"/>
    </xf>
    <xf numFmtId="0" fontId="3" fillId="16" borderId="0" xfId="5" applyFont="1" applyFill="1"/>
    <xf numFmtId="0" fontId="1" fillId="0" borderId="0" xfId="5" applyAlignment="1">
      <alignment wrapText="1"/>
    </xf>
    <xf numFmtId="10" fontId="0" fillId="0" borderId="0" xfId="13" applyNumberFormat="1" applyFont="1"/>
    <xf numFmtId="0" fontId="25" fillId="11" borderId="2" xfId="0" applyFont="1" applyFill="1" applyBorder="1" applyAlignment="1">
      <alignment vertical="top" wrapText="1" readingOrder="1"/>
    </xf>
    <xf numFmtId="0" fontId="15" fillId="0" borderId="6" xfId="0" applyFont="1" applyBorder="1" applyAlignment="1">
      <alignment vertical="top" wrapText="1"/>
    </xf>
    <xf numFmtId="0" fontId="15" fillId="0" borderId="5" xfId="0" applyFont="1" applyBorder="1" applyAlignment="1">
      <alignment vertical="top" wrapText="1"/>
    </xf>
    <xf numFmtId="0" fontId="47" fillId="11" borderId="0" xfId="0" applyFont="1" applyFill="1" applyAlignment="1">
      <alignment horizontal="left" vertical="center" wrapText="1" readingOrder="1"/>
    </xf>
    <xf numFmtId="0" fontId="15" fillId="0" borderId="0" xfId="0" applyFont="1"/>
    <xf numFmtId="0" fontId="1" fillId="0" borderId="12" xfId="5" applyBorder="1" applyAlignment="1">
      <alignment horizontal="center"/>
    </xf>
  </cellXfs>
  <cellStyles count="14">
    <cellStyle name="Accent1 2" xfId="7" xr:uid="{139D53C3-E555-4506-A77F-72E5E764AB10}"/>
    <cellStyle name="Accent2" xfId="3" builtinId="33"/>
    <cellStyle name="Accent2 2" xfId="9" xr:uid="{2A8A24B0-C436-4A9B-9850-729B3A39E9FA}"/>
    <cellStyle name="Comma" xfId="1" builtinId="3"/>
    <cellStyle name="Comma 2" xfId="12" xr:uid="{3E0B9249-D3B2-4F5E-9003-AF80752F03F2}"/>
    <cellStyle name="Comma 6" xfId="10" xr:uid="{901EDC86-D52A-4AE6-9226-721361D09CBC}"/>
    <cellStyle name="Currency 3" xfId="6" xr:uid="{DDBD5FC1-0269-4DB9-A82A-C8E767E344A3}"/>
    <cellStyle name="Hyperlink" xfId="4" builtinId="8"/>
    <cellStyle name="Hyperlink 2" xfId="8" xr:uid="{BADD16AB-1CE1-4FEE-B253-7BFD9DF96261}"/>
    <cellStyle name="Normal" xfId="0" builtinId="0"/>
    <cellStyle name="Normal 2 3" xfId="5" xr:uid="{7277F389-656B-4D6B-9CE1-5D7FF81E7972}"/>
    <cellStyle name="Normal 9" xfId="11" xr:uid="{ADE61E85-CFD9-4A4D-8781-83A60BD0FD76}"/>
    <cellStyle name="Percent" xfId="2" builtinId="5"/>
    <cellStyle name="Percent 2" xfId="13" xr:uid="{F2A32039-0098-44D4-A157-122A9668379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0.xml"/><Relationship Id="rId18" Type="http://schemas.openxmlformats.org/officeDocument/2006/relationships/chartsheet" Target="chartsheets/sheet4.xml"/><Relationship Id="rId26" Type="http://schemas.openxmlformats.org/officeDocument/2006/relationships/chartsheet" Target="chartsheets/sheet12.xml"/><Relationship Id="rId39" Type="http://schemas.openxmlformats.org/officeDocument/2006/relationships/worksheet" Target="worksheets/sheet15.xml"/><Relationship Id="rId21" Type="http://schemas.openxmlformats.org/officeDocument/2006/relationships/chartsheet" Target="chartsheets/sheet7.xml"/><Relationship Id="rId34" Type="http://schemas.openxmlformats.org/officeDocument/2006/relationships/chartsheet" Target="chartsheets/sheet20.xml"/><Relationship Id="rId42" Type="http://schemas.openxmlformats.org/officeDocument/2006/relationships/externalLink" Target="externalLinks/externalLink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3.xml"/><Relationship Id="rId29" Type="http://schemas.openxmlformats.org/officeDocument/2006/relationships/chartsheet" Target="chartsheets/sheet1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hartsheet" Target="chartsheets/sheet2.xml"/><Relationship Id="rId24" Type="http://schemas.openxmlformats.org/officeDocument/2006/relationships/chartsheet" Target="chartsheets/sheet10.xml"/><Relationship Id="rId32" Type="http://schemas.openxmlformats.org/officeDocument/2006/relationships/chartsheet" Target="chartsheets/sheet18.xml"/><Relationship Id="rId37" Type="http://schemas.openxmlformats.org/officeDocument/2006/relationships/chartsheet" Target="chartsheets/sheet23.xml"/><Relationship Id="rId40" Type="http://schemas.openxmlformats.org/officeDocument/2006/relationships/worksheet" Target="worksheets/sheet16.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2.xml"/><Relationship Id="rId23" Type="http://schemas.openxmlformats.org/officeDocument/2006/relationships/chartsheet" Target="chartsheets/sheet9.xml"/><Relationship Id="rId28" Type="http://schemas.openxmlformats.org/officeDocument/2006/relationships/chartsheet" Target="chartsheets/sheet14.xml"/><Relationship Id="rId36" Type="http://schemas.openxmlformats.org/officeDocument/2006/relationships/chartsheet" Target="chartsheets/sheet22.xml"/><Relationship Id="rId10" Type="http://schemas.openxmlformats.org/officeDocument/2006/relationships/worksheet" Target="worksheets/sheet9.xml"/><Relationship Id="rId19" Type="http://schemas.openxmlformats.org/officeDocument/2006/relationships/chartsheet" Target="chartsheets/sheet5.xml"/><Relationship Id="rId31" Type="http://schemas.openxmlformats.org/officeDocument/2006/relationships/chartsheet" Target="chartsheets/sheet17.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hartsheet" Target="chartsheets/sheet1.xml"/><Relationship Id="rId14" Type="http://schemas.openxmlformats.org/officeDocument/2006/relationships/worksheet" Target="worksheets/sheet11.xml"/><Relationship Id="rId22" Type="http://schemas.openxmlformats.org/officeDocument/2006/relationships/chartsheet" Target="chartsheets/sheet8.xml"/><Relationship Id="rId27" Type="http://schemas.openxmlformats.org/officeDocument/2006/relationships/chartsheet" Target="chartsheets/sheet13.xml"/><Relationship Id="rId30" Type="http://schemas.openxmlformats.org/officeDocument/2006/relationships/chartsheet" Target="chartsheets/sheet16.xml"/><Relationship Id="rId35" Type="http://schemas.openxmlformats.org/officeDocument/2006/relationships/chartsheet" Target="chartsheets/sheet21.xml"/><Relationship Id="rId43"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chartsheet" Target="chartsheets/sheet3.xml"/><Relationship Id="rId17" Type="http://schemas.openxmlformats.org/officeDocument/2006/relationships/worksheet" Target="worksheets/sheet14.xml"/><Relationship Id="rId25" Type="http://schemas.openxmlformats.org/officeDocument/2006/relationships/chartsheet" Target="chartsheets/sheet11.xml"/><Relationship Id="rId33" Type="http://schemas.openxmlformats.org/officeDocument/2006/relationships/chartsheet" Target="chartsheets/sheet19.xml"/><Relationship Id="rId38" Type="http://schemas.openxmlformats.org/officeDocument/2006/relationships/chartsheet" Target="chartsheets/sheet24.xml"/><Relationship Id="rId46" Type="http://schemas.openxmlformats.org/officeDocument/2006/relationships/calcChain" Target="calcChain.xml"/><Relationship Id="rId20" Type="http://schemas.openxmlformats.org/officeDocument/2006/relationships/chartsheet" Target="chartsheets/sheet6.xml"/><Relationship Id="rId41" Type="http://schemas.openxmlformats.org/officeDocument/2006/relationships/externalLink" Target="externalLinks/externalLink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10.xml.rels><?xml version="1.0" encoding="UTF-8" standalone="yes"?>
<Relationships xmlns="http://schemas.openxmlformats.org/package/2006/relationships"><Relationship Id="rId1" Type="http://schemas.openxmlformats.org/officeDocument/2006/relationships/chartUserShapes" Target="../drawings/drawing5.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9.xml"/><Relationship Id="rId1" Type="http://schemas.microsoft.com/office/2011/relationships/chartStyle" Target="style9.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10.xml"/><Relationship Id="rId1" Type="http://schemas.microsoft.com/office/2011/relationships/chartStyle" Target="style10.xml"/></Relationships>
</file>

<file path=xl/charts/_rels/chart13.xml.rels><?xml version="1.0" encoding="UTF-8" standalone="yes"?>
<Relationships xmlns="http://schemas.openxmlformats.org/package/2006/relationships"><Relationship Id="rId1" Type="http://schemas.openxmlformats.org/officeDocument/2006/relationships/themeOverride" Target="../theme/themeOverride1.xml"/></Relationships>
</file>

<file path=xl/charts/_rels/chart14.xml.rels><?xml version="1.0" encoding="UTF-8" standalone="yes"?>
<Relationships xmlns="http://schemas.openxmlformats.org/package/2006/relationships"><Relationship Id="rId2" Type="http://schemas.openxmlformats.org/officeDocument/2006/relationships/chartUserShapes" Target="../drawings/drawing11.xml"/><Relationship Id="rId1" Type="http://schemas.openxmlformats.org/officeDocument/2006/relationships/themeOverride" Target="../theme/themeOverride2.xml"/></Relationships>
</file>

<file path=xl/charts/_rels/chart15.xml.rels><?xml version="1.0" encoding="UTF-8" standalone="yes"?>
<Relationships xmlns="http://schemas.openxmlformats.org/package/2006/relationships"><Relationship Id="rId1" Type="http://schemas.openxmlformats.org/officeDocument/2006/relationships/themeOverride" Target="../theme/themeOverride3.xml"/></Relationships>
</file>

<file path=xl/charts/_rels/chart16.xml.rels><?xml version="1.0" encoding="UTF-8" standalone="yes"?>
<Relationships xmlns="http://schemas.openxmlformats.org/package/2006/relationships"><Relationship Id="rId3" Type="http://schemas.openxmlformats.org/officeDocument/2006/relationships/chartUserShapes" Target="../drawings/drawing13.xml"/><Relationship Id="rId2" Type="http://schemas.microsoft.com/office/2011/relationships/chartColorStyle" Target="colors11.xml"/><Relationship Id="rId1" Type="http://schemas.microsoft.com/office/2011/relationships/chartStyle" Target="style11.xml"/></Relationships>
</file>

<file path=xl/charts/_rels/chart17.xml.rels><?xml version="1.0" encoding="UTF-8" standalone="yes"?>
<Relationships xmlns="http://schemas.openxmlformats.org/package/2006/relationships"><Relationship Id="rId3" Type="http://schemas.openxmlformats.org/officeDocument/2006/relationships/chartUserShapes" Target="../drawings/drawing15.xml"/><Relationship Id="rId2" Type="http://schemas.microsoft.com/office/2011/relationships/chartColorStyle" Target="colors12.xml"/><Relationship Id="rId1" Type="http://schemas.microsoft.com/office/2011/relationships/chartStyle" Target="style12.xml"/></Relationships>
</file>

<file path=xl/charts/_rels/chart18.xml.rels><?xml version="1.0" encoding="UTF-8" standalone="yes"?>
<Relationships xmlns="http://schemas.openxmlformats.org/package/2006/relationships"><Relationship Id="rId3" Type="http://schemas.openxmlformats.org/officeDocument/2006/relationships/chartUserShapes" Target="../drawings/drawing17.xml"/><Relationship Id="rId2" Type="http://schemas.microsoft.com/office/2011/relationships/chartColorStyle" Target="colors13.xml"/><Relationship Id="rId1" Type="http://schemas.microsoft.com/office/2011/relationships/chartStyle" Target="style13.xml"/></Relationships>
</file>

<file path=xl/charts/_rels/chart19.xml.rels><?xml version="1.0" encoding="UTF-8" standalone="yes"?>
<Relationships xmlns="http://schemas.openxmlformats.org/package/2006/relationships"><Relationship Id="rId3" Type="http://schemas.openxmlformats.org/officeDocument/2006/relationships/chartUserShapes" Target="../drawings/drawing19.xml"/><Relationship Id="rId2" Type="http://schemas.microsoft.com/office/2011/relationships/chartColorStyle" Target="colors14.xml"/><Relationship Id="rId1" Type="http://schemas.microsoft.com/office/2011/relationships/chartStyle" Target="style14.xml"/></Relationships>
</file>

<file path=xl/charts/_rels/chart20.xml.rels><?xml version="1.0" encoding="UTF-8" standalone="yes"?>
<Relationships xmlns="http://schemas.openxmlformats.org/package/2006/relationships"><Relationship Id="rId3" Type="http://schemas.openxmlformats.org/officeDocument/2006/relationships/chartUserShapes" Target="../drawings/drawing21.xml"/><Relationship Id="rId2" Type="http://schemas.microsoft.com/office/2011/relationships/chartColorStyle" Target="colors15.xml"/><Relationship Id="rId1" Type="http://schemas.microsoft.com/office/2011/relationships/chartStyle" Target="style15.xml"/></Relationships>
</file>

<file path=xl/charts/_rels/chart21.xml.rels><?xml version="1.0" encoding="UTF-8" standalone="yes"?>
<Relationships xmlns="http://schemas.openxmlformats.org/package/2006/relationships"><Relationship Id="rId3" Type="http://schemas.openxmlformats.org/officeDocument/2006/relationships/chartUserShapes" Target="../drawings/drawing23.xml"/><Relationship Id="rId2" Type="http://schemas.microsoft.com/office/2011/relationships/chartColorStyle" Target="colors16.xml"/><Relationship Id="rId1" Type="http://schemas.microsoft.com/office/2011/relationships/chartStyle" Target="style16.xml"/></Relationships>
</file>

<file path=xl/charts/_rels/chart22.xml.rels><?xml version="1.0" encoding="UTF-8" standalone="yes"?>
<Relationships xmlns="http://schemas.openxmlformats.org/package/2006/relationships"><Relationship Id="rId3" Type="http://schemas.openxmlformats.org/officeDocument/2006/relationships/chartUserShapes" Target="../drawings/drawing25.xml"/><Relationship Id="rId2" Type="http://schemas.microsoft.com/office/2011/relationships/chartColorStyle" Target="colors17.xml"/><Relationship Id="rId1" Type="http://schemas.microsoft.com/office/2011/relationships/chartStyle" Target="style17.xml"/></Relationships>
</file>

<file path=xl/charts/_rels/chart23.xml.rels><?xml version="1.0" encoding="UTF-8" standalone="yes"?>
<Relationships xmlns="http://schemas.openxmlformats.org/package/2006/relationships"><Relationship Id="rId3" Type="http://schemas.openxmlformats.org/officeDocument/2006/relationships/chartUserShapes" Target="../drawings/drawing27.xml"/><Relationship Id="rId2" Type="http://schemas.microsoft.com/office/2011/relationships/chartColorStyle" Target="colors18.xml"/><Relationship Id="rId1" Type="http://schemas.microsoft.com/office/2011/relationships/chartStyle" Target="style18.xml"/></Relationships>
</file>

<file path=xl/charts/_rels/chart24.xml.rels><?xml version="1.0" encoding="UTF-8" standalone="yes"?>
<Relationships xmlns="http://schemas.openxmlformats.org/package/2006/relationships"><Relationship Id="rId3" Type="http://schemas.openxmlformats.org/officeDocument/2006/relationships/chartUserShapes" Target="../drawings/drawing29.xml"/><Relationship Id="rId2" Type="http://schemas.microsoft.com/office/2011/relationships/chartColorStyle" Target="colors19.xml"/><Relationship Id="rId1" Type="http://schemas.microsoft.com/office/2011/relationships/chartStyle" Target="style19.xml"/></Relationships>
</file>

<file path=xl/charts/_rels/chart25.xml.rels><?xml version="1.0" encoding="UTF-8" standalone="yes"?>
<Relationships xmlns="http://schemas.openxmlformats.org/package/2006/relationships"><Relationship Id="rId3" Type="http://schemas.openxmlformats.org/officeDocument/2006/relationships/chartUserShapes" Target="../drawings/drawing31.xml"/><Relationship Id="rId2" Type="http://schemas.microsoft.com/office/2011/relationships/chartColorStyle" Target="colors20.xml"/><Relationship Id="rId1" Type="http://schemas.microsoft.com/office/2011/relationships/chartStyle" Target="style20.xml"/></Relationships>
</file>

<file path=xl/charts/_rels/chart26.xml.rels><?xml version="1.0" encoding="UTF-8" standalone="yes"?>
<Relationships xmlns="http://schemas.openxmlformats.org/package/2006/relationships"><Relationship Id="rId3" Type="http://schemas.openxmlformats.org/officeDocument/2006/relationships/chartUserShapes" Target="../drawings/drawing33.xml"/><Relationship Id="rId2" Type="http://schemas.microsoft.com/office/2011/relationships/chartColorStyle" Target="colors21.xml"/><Relationship Id="rId1" Type="http://schemas.microsoft.com/office/2011/relationships/chartStyle" Target="style21.xml"/></Relationships>
</file>

<file path=xl/charts/_rels/chart27.xml.rels><?xml version="1.0" encoding="UTF-8" standalone="yes"?>
<Relationships xmlns="http://schemas.openxmlformats.org/package/2006/relationships"><Relationship Id="rId3" Type="http://schemas.openxmlformats.org/officeDocument/2006/relationships/chartUserShapes" Target="../drawings/drawing35.xml"/><Relationship Id="rId2" Type="http://schemas.microsoft.com/office/2011/relationships/chartColorStyle" Target="colors22.xml"/><Relationship Id="rId1" Type="http://schemas.microsoft.com/office/2011/relationships/chartStyle" Target="style22.xml"/></Relationships>
</file>

<file path=xl/charts/_rels/chart28.xml.rels><?xml version="1.0" encoding="UTF-8" standalone="yes"?>
<Relationships xmlns="http://schemas.openxmlformats.org/package/2006/relationships"><Relationship Id="rId3" Type="http://schemas.openxmlformats.org/officeDocument/2006/relationships/chartUserShapes" Target="../drawings/drawing37.xml"/><Relationship Id="rId2" Type="http://schemas.microsoft.com/office/2011/relationships/chartColorStyle" Target="colors23.xml"/><Relationship Id="rId1" Type="http://schemas.microsoft.com/office/2011/relationships/chartStyle" Target="style23.xml"/></Relationships>
</file>

<file path=xl/charts/_rels/chart29.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30.xml.rels><?xml version="1.0" encoding="UTF-8" standalone="yes"?>
<Relationships xmlns="http://schemas.openxmlformats.org/package/2006/relationships"><Relationship Id="rId3" Type="http://schemas.openxmlformats.org/officeDocument/2006/relationships/chartUserShapes" Target="../drawings/drawing40.xml"/><Relationship Id="rId2" Type="http://schemas.microsoft.com/office/2011/relationships/chartColorStyle" Target="colors25.xml"/><Relationship Id="rId1" Type="http://schemas.microsoft.com/office/2011/relationships/chartStyle" Target="style25.xml"/></Relationships>
</file>

<file path=xl/charts/_rels/chart31.xml.rels><?xml version="1.0" encoding="UTF-8" standalone="yes"?>
<Relationships xmlns="http://schemas.openxmlformats.org/package/2006/relationships"><Relationship Id="rId3" Type="http://schemas.openxmlformats.org/officeDocument/2006/relationships/chartUserShapes" Target="../drawings/drawing42.xml"/><Relationship Id="rId2" Type="http://schemas.microsoft.com/office/2011/relationships/chartColorStyle" Target="colors26.xml"/><Relationship Id="rId1" Type="http://schemas.microsoft.com/office/2011/relationships/chartStyle" Target="style26.xml"/></Relationships>
</file>

<file path=xl/charts/_rels/chart32.xml.rels><?xml version="1.0" encoding="UTF-8" standalone="yes"?>
<Relationships xmlns="http://schemas.openxmlformats.org/package/2006/relationships"><Relationship Id="rId3" Type="http://schemas.openxmlformats.org/officeDocument/2006/relationships/chartUserShapes" Target="../drawings/drawing44.xml"/><Relationship Id="rId2" Type="http://schemas.microsoft.com/office/2011/relationships/chartColorStyle" Target="colors27.xml"/><Relationship Id="rId1" Type="http://schemas.microsoft.com/office/2011/relationships/chartStyle" Target="style27.xml"/></Relationships>
</file>

<file path=xl/charts/_rels/chart33.xml.rels><?xml version="1.0" encoding="UTF-8" standalone="yes"?>
<Relationships xmlns="http://schemas.openxmlformats.org/package/2006/relationships"><Relationship Id="rId3" Type="http://schemas.openxmlformats.org/officeDocument/2006/relationships/chartUserShapes" Target="../drawings/drawing46.xml"/><Relationship Id="rId2" Type="http://schemas.microsoft.com/office/2011/relationships/chartColorStyle" Target="colors28.xml"/><Relationship Id="rId1" Type="http://schemas.microsoft.com/office/2011/relationships/chartStyle" Target="style28.xml"/></Relationships>
</file>

<file path=xl/charts/_rels/chart34.xml.rels><?xml version="1.0" encoding="UTF-8" standalone="yes"?>
<Relationships xmlns="http://schemas.openxmlformats.org/package/2006/relationships"><Relationship Id="rId3" Type="http://schemas.openxmlformats.org/officeDocument/2006/relationships/chartUserShapes" Target="../drawings/drawing48.xml"/><Relationship Id="rId2" Type="http://schemas.microsoft.com/office/2011/relationships/chartColorStyle" Target="colors29.xml"/><Relationship Id="rId1" Type="http://schemas.microsoft.com/office/2011/relationships/chartStyle" Target="style29.xml"/></Relationships>
</file>

<file path=xl/charts/_rels/chart35.xml.rels><?xml version="1.0" encoding="UTF-8" standalone="yes"?>
<Relationships xmlns="http://schemas.openxmlformats.org/package/2006/relationships"><Relationship Id="rId3" Type="http://schemas.openxmlformats.org/officeDocument/2006/relationships/chartUserShapes" Target="../drawings/drawing50.xml"/><Relationship Id="rId2" Type="http://schemas.microsoft.com/office/2011/relationships/chartColorStyle" Target="colors30.xml"/><Relationship Id="rId1" Type="http://schemas.microsoft.com/office/2011/relationships/chartStyle" Target="style30.xml"/></Relationships>
</file>

<file path=xl/charts/_rels/chart36.xml.rels><?xml version="1.0" encoding="UTF-8" standalone="yes"?>
<Relationships xmlns="http://schemas.openxmlformats.org/package/2006/relationships"><Relationship Id="rId1" Type="http://schemas.openxmlformats.org/officeDocument/2006/relationships/chartUserShapes" Target="../drawings/drawing5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Biodiesel Feedstock</a:t>
            </a:r>
            <a:r>
              <a:rPr lang="en-GB" baseline="0"/>
              <a:t> Consumption</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barChart>
        <c:barDir val="col"/>
        <c:grouping val="stacked"/>
        <c:varyColors val="0"/>
        <c:ser>
          <c:idx val="0"/>
          <c:order val="0"/>
          <c:tx>
            <c:strRef>
              <c:f>'Biofuel Feedstocks'!$A$6:$B$6</c:f>
              <c:strCache>
                <c:ptCount val="2"/>
                <c:pt idx="0">
                  <c:v>BD-Canola</c:v>
                </c:pt>
              </c:strCache>
            </c:strRef>
          </c:tx>
          <c:spPr>
            <a:solidFill>
              <a:schemeClr val="accent1"/>
            </a:solidFill>
            <a:ln>
              <a:noFill/>
            </a:ln>
            <a:effectLst/>
          </c:spPr>
          <c:invertIfNegative val="0"/>
          <c:cat>
            <c:multiLvlStrRef>
              <c:f>'Biofuel Feedstocks'!$AM$4:$BF$5</c:f>
              <c:multiLvlStrCache>
                <c:ptCount val="20"/>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lvl>
                <c:lvl>
                  <c:pt idx="0">
                    <c:v>2020</c:v>
                  </c:pt>
                  <c:pt idx="4">
                    <c:v>2021</c:v>
                  </c:pt>
                  <c:pt idx="8">
                    <c:v>2022</c:v>
                  </c:pt>
                  <c:pt idx="12">
                    <c:v>2023</c:v>
                  </c:pt>
                  <c:pt idx="16">
                    <c:v>2024</c:v>
                  </c:pt>
                </c:lvl>
              </c:multiLvlStrCache>
            </c:multiLvlStrRef>
          </c:cat>
          <c:val>
            <c:numRef>
              <c:f>'Biofuel Feedstocks'!$C$6:$BD$6</c:f>
              <c:numCache>
                <c:formatCode>#,##0_);[Red]\(#,##0\)</c:formatCode>
                <c:ptCount val="18"/>
                <c:pt idx="0">
                  <c:v>1106</c:v>
                </c:pt>
                <c:pt idx="1">
                  <c:v>4033</c:v>
                </c:pt>
                <c:pt idx="2">
                  <c:v>3213</c:v>
                </c:pt>
                <c:pt idx="3">
                  <c:v>41026</c:v>
                </c:pt>
                <c:pt idx="4">
                  <c:v>160</c:v>
                </c:pt>
                <c:pt idx="5">
                  <c:v>0</c:v>
                </c:pt>
                <c:pt idx="6">
                  <c:v>12161</c:v>
                </c:pt>
                <c:pt idx="7">
                  <c:v>5884</c:v>
                </c:pt>
                <c:pt idx="8">
                  <c:v>17460</c:v>
                </c:pt>
                <c:pt idx="9">
                  <c:v>19551</c:v>
                </c:pt>
                <c:pt idx="10">
                  <c:v>33717</c:v>
                </c:pt>
                <c:pt idx="11">
                  <c:v>55285</c:v>
                </c:pt>
                <c:pt idx="12">
                  <c:v>109914</c:v>
                </c:pt>
                <c:pt idx="13">
                  <c:v>34240</c:v>
                </c:pt>
                <c:pt idx="14">
                  <c:v>35693</c:v>
                </c:pt>
                <c:pt idx="15">
                  <c:v>110066</c:v>
                </c:pt>
                <c:pt idx="16">
                  <c:v>105974</c:v>
                </c:pt>
                <c:pt idx="17">
                  <c:v>26605</c:v>
                </c:pt>
              </c:numCache>
            </c:numRef>
          </c:val>
          <c:extLst>
            <c:ext xmlns:c16="http://schemas.microsoft.com/office/drawing/2014/chart" uri="{C3380CC4-5D6E-409C-BE32-E72D297353CC}">
              <c16:uniqueId val="{00000000-6EE1-40B2-BAEC-B081B14B815A}"/>
            </c:ext>
          </c:extLst>
        </c:ser>
        <c:ser>
          <c:idx val="1"/>
          <c:order val="1"/>
          <c:tx>
            <c:strRef>
              <c:f>'Biofuel Feedstocks'!$A$7:$B$7</c:f>
              <c:strCache>
                <c:ptCount val="2"/>
                <c:pt idx="0">
                  <c:v>BD-Corn Oil</c:v>
                </c:pt>
              </c:strCache>
            </c:strRef>
          </c:tx>
          <c:spPr>
            <a:solidFill>
              <a:schemeClr val="accent2"/>
            </a:solidFill>
            <a:ln>
              <a:noFill/>
            </a:ln>
            <a:effectLst/>
          </c:spPr>
          <c:invertIfNegative val="0"/>
          <c:cat>
            <c:multiLvlStrRef>
              <c:f>'Biofuel Feedstocks'!$AM$4:$BF$5</c:f>
              <c:multiLvlStrCache>
                <c:ptCount val="20"/>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lvl>
                <c:lvl>
                  <c:pt idx="0">
                    <c:v>2020</c:v>
                  </c:pt>
                  <c:pt idx="4">
                    <c:v>2021</c:v>
                  </c:pt>
                  <c:pt idx="8">
                    <c:v>2022</c:v>
                  </c:pt>
                  <c:pt idx="12">
                    <c:v>2023</c:v>
                  </c:pt>
                  <c:pt idx="16">
                    <c:v>2024</c:v>
                  </c:pt>
                </c:lvl>
              </c:multiLvlStrCache>
            </c:multiLvlStrRef>
          </c:cat>
          <c:val>
            <c:numRef>
              <c:f>'Biofuel Feedstocks'!$C$7:$BD$7</c:f>
              <c:numCache>
                <c:formatCode>#,##0_);[Red]\(#,##0\)</c:formatCode>
                <c:ptCount val="18"/>
                <c:pt idx="0">
                  <c:v>253131</c:v>
                </c:pt>
                <c:pt idx="1">
                  <c:v>147977</c:v>
                </c:pt>
                <c:pt idx="2">
                  <c:v>216961</c:v>
                </c:pt>
                <c:pt idx="3">
                  <c:v>273614</c:v>
                </c:pt>
                <c:pt idx="4">
                  <c:v>239381</c:v>
                </c:pt>
                <c:pt idx="5">
                  <c:v>259705</c:v>
                </c:pt>
                <c:pt idx="6">
                  <c:v>236600</c:v>
                </c:pt>
                <c:pt idx="7">
                  <c:v>180779</c:v>
                </c:pt>
                <c:pt idx="8">
                  <c:v>279063</c:v>
                </c:pt>
                <c:pt idx="9">
                  <c:v>101548</c:v>
                </c:pt>
                <c:pt idx="10">
                  <c:v>159976</c:v>
                </c:pt>
                <c:pt idx="11">
                  <c:v>168359</c:v>
                </c:pt>
                <c:pt idx="12">
                  <c:v>198138</c:v>
                </c:pt>
                <c:pt idx="13">
                  <c:v>141601</c:v>
                </c:pt>
                <c:pt idx="14">
                  <c:v>104450</c:v>
                </c:pt>
                <c:pt idx="15">
                  <c:v>119674</c:v>
                </c:pt>
                <c:pt idx="16">
                  <c:v>98334</c:v>
                </c:pt>
                <c:pt idx="17">
                  <c:v>106296</c:v>
                </c:pt>
              </c:numCache>
            </c:numRef>
          </c:val>
          <c:extLst>
            <c:ext xmlns:c16="http://schemas.microsoft.com/office/drawing/2014/chart" uri="{C3380CC4-5D6E-409C-BE32-E72D297353CC}">
              <c16:uniqueId val="{00000001-6EE1-40B2-BAEC-B081B14B815A}"/>
            </c:ext>
          </c:extLst>
        </c:ser>
        <c:ser>
          <c:idx val="2"/>
          <c:order val="2"/>
          <c:tx>
            <c:strRef>
              <c:f>'Biofuel Feedstocks'!$A$8:$B$8</c:f>
              <c:strCache>
                <c:ptCount val="2"/>
                <c:pt idx="0">
                  <c:v>BD-Soy</c:v>
                </c:pt>
              </c:strCache>
            </c:strRef>
          </c:tx>
          <c:spPr>
            <a:solidFill>
              <a:schemeClr val="accent3"/>
            </a:solidFill>
            <a:ln>
              <a:noFill/>
            </a:ln>
            <a:effectLst/>
          </c:spPr>
          <c:invertIfNegative val="0"/>
          <c:cat>
            <c:multiLvlStrRef>
              <c:f>'Biofuel Feedstocks'!$AM$4:$BF$5</c:f>
              <c:multiLvlStrCache>
                <c:ptCount val="20"/>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lvl>
                <c:lvl>
                  <c:pt idx="0">
                    <c:v>2020</c:v>
                  </c:pt>
                  <c:pt idx="4">
                    <c:v>2021</c:v>
                  </c:pt>
                  <c:pt idx="8">
                    <c:v>2022</c:v>
                  </c:pt>
                  <c:pt idx="12">
                    <c:v>2023</c:v>
                  </c:pt>
                  <c:pt idx="16">
                    <c:v>2024</c:v>
                  </c:pt>
                </c:lvl>
              </c:multiLvlStrCache>
            </c:multiLvlStrRef>
          </c:cat>
          <c:val>
            <c:numRef>
              <c:f>'Biofuel Feedstocks'!$C$8:$BD$8</c:f>
              <c:numCache>
                <c:formatCode>#,##0_);[Red]\(#,##0\)</c:formatCode>
                <c:ptCount val="18"/>
                <c:pt idx="0">
                  <c:v>362</c:v>
                </c:pt>
                <c:pt idx="1">
                  <c:v>524</c:v>
                </c:pt>
                <c:pt idx="2">
                  <c:v>1203</c:v>
                </c:pt>
                <c:pt idx="3">
                  <c:v>14779</c:v>
                </c:pt>
                <c:pt idx="4">
                  <c:v>168</c:v>
                </c:pt>
                <c:pt idx="5">
                  <c:v>1332</c:v>
                </c:pt>
                <c:pt idx="6">
                  <c:v>0</c:v>
                </c:pt>
                <c:pt idx="7">
                  <c:v>20465</c:v>
                </c:pt>
                <c:pt idx="8">
                  <c:v>15418</c:v>
                </c:pt>
                <c:pt idx="9">
                  <c:v>9613</c:v>
                </c:pt>
                <c:pt idx="10">
                  <c:v>6865</c:v>
                </c:pt>
                <c:pt idx="11">
                  <c:v>9178</c:v>
                </c:pt>
                <c:pt idx="12">
                  <c:v>3019</c:v>
                </c:pt>
                <c:pt idx="13">
                  <c:v>1113</c:v>
                </c:pt>
                <c:pt idx="14">
                  <c:v>20579</c:v>
                </c:pt>
                <c:pt idx="15">
                  <c:v>32507</c:v>
                </c:pt>
                <c:pt idx="16">
                  <c:v>3662</c:v>
                </c:pt>
                <c:pt idx="17">
                  <c:v>279</c:v>
                </c:pt>
              </c:numCache>
            </c:numRef>
          </c:val>
          <c:extLst>
            <c:ext xmlns:c16="http://schemas.microsoft.com/office/drawing/2014/chart" uri="{C3380CC4-5D6E-409C-BE32-E72D297353CC}">
              <c16:uniqueId val="{00000002-6EE1-40B2-BAEC-B081B14B815A}"/>
            </c:ext>
          </c:extLst>
        </c:ser>
        <c:ser>
          <c:idx val="3"/>
          <c:order val="3"/>
          <c:tx>
            <c:strRef>
              <c:f>'Biofuel Feedstocks'!$A$9:$B$9</c:f>
              <c:strCache>
                <c:ptCount val="2"/>
                <c:pt idx="0">
                  <c:v>BD-Tallow</c:v>
                </c:pt>
              </c:strCache>
            </c:strRef>
          </c:tx>
          <c:spPr>
            <a:solidFill>
              <a:schemeClr val="accent4"/>
            </a:solidFill>
            <a:ln>
              <a:noFill/>
            </a:ln>
            <a:effectLst/>
          </c:spPr>
          <c:invertIfNegative val="0"/>
          <c:cat>
            <c:multiLvlStrRef>
              <c:f>'Biofuel Feedstocks'!$AM$4:$BF$5</c:f>
              <c:multiLvlStrCache>
                <c:ptCount val="20"/>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lvl>
                <c:lvl>
                  <c:pt idx="0">
                    <c:v>2020</c:v>
                  </c:pt>
                  <c:pt idx="4">
                    <c:v>2021</c:v>
                  </c:pt>
                  <c:pt idx="8">
                    <c:v>2022</c:v>
                  </c:pt>
                  <c:pt idx="12">
                    <c:v>2023</c:v>
                  </c:pt>
                  <c:pt idx="16">
                    <c:v>2024</c:v>
                  </c:pt>
                </c:lvl>
              </c:multiLvlStrCache>
            </c:multiLvlStrRef>
          </c:cat>
          <c:val>
            <c:numRef>
              <c:f>'Biofuel Feedstocks'!$C$9:$BD$9</c:f>
              <c:numCache>
                <c:formatCode>#,##0_);[Red]\(#,##0\)</c:formatCode>
                <c:ptCount val="18"/>
                <c:pt idx="0">
                  <c:v>17577</c:v>
                </c:pt>
                <c:pt idx="1">
                  <c:v>110903</c:v>
                </c:pt>
                <c:pt idx="2">
                  <c:v>124092</c:v>
                </c:pt>
                <c:pt idx="3">
                  <c:v>75855</c:v>
                </c:pt>
                <c:pt idx="4">
                  <c:v>75170</c:v>
                </c:pt>
                <c:pt idx="5">
                  <c:v>157049</c:v>
                </c:pt>
                <c:pt idx="6">
                  <c:v>146085</c:v>
                </c:pt>
                <c:pt idx="7">
                  <c:v>75846</c:v>
                </c:pt>
                <c:pt idx="8">
                  <c:v>60351</c:v>
                </c:pt>
                <c:pt idx="9">
                  <c:v>184799</c:v>
                </c:pt>
                <c:pt idx="10">
                  <c:v>160452</c:v>
                </c:pt>
                <c:pt idx="11">
                  <c:v>126252</c:v>
                </c:pt>
                <c:pt idx="12">
                  <c:v>51254</c:v>
                </c:pt>
                <c:pt idx="13">
                  <c:v>113902</c:v>
                </c:pt>
                <c:pt idx="14">
                  <c:v>148428</c:v>
                </c:pt>
                <c:pt idx="15">
                  <c:v>34019</c:v>
                </c:pt>
                <c:pt idx="16">
                  <c:v>54777</c:v>
                </c:pt>
                <c:pt idx="17">
                  <c:v>98261</c:v>
                </c:pt>
              </c:numCache>
            </c:numRef>
          </c:val>
          <c:extLst>
            <c:ext xmlns:c16="http://schemas.microsoft.com/office/drawing/2014/chart" uri="{C3380CC4-5D6E-409C-BE32-E72D297353CC}">
              <c16:uniqueId val="{00000003-6EE1-40B2-BAEC-B081B14B815A}"/>
            </c:ext>
          </c:extLst>
        </c:ser>
        <c:ser>
          <c:idx val="4"/>
          <c:order val="4"/>
          <c:tx>
            <c:strRef>
              <c:f>'Biofuel Feedstocks'!$A$10:$B$10</c:f>
              <c:strCache>
                <c:ptCount val="2"/>
                <c:pt idx="0">
                  <c:v>BD-UCO</c:v>
                </c:pt>
              </c:strCache>
            </c:strRef>
          </c:tx>
          <c:spPr>
            <a:solidFill>
              <a:schemeClr val="accent5"/>
            </a:solidFill>
            <a:ln>
              <a:noFill/>
            </a:ln>
            <a:effectLst/>
          </c:spPr>
          <c:invertIfNegative val="0"/>
          <c:cat>
            <c:multiLvlStrRef>
              <c:f>'Biofuel Feedstocks'!$AM$4:$BF$5</c:f>
              <c:multiLvlStrCache>
                <c:ptCount val="20"/>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lvl>
                <c:lvl>
                  <c:pt idx="0">
                    <c:v>2020</c:v>
                  </c:pt>
                  <c:pt idx="4">
                    <c:v>2021</c:v>
                  </c:pt>
                  <c:pt idx="8">
                    <c:v>2022</c:v>
                  </c:pt>
                  <c:pt idx="12">
                    <c:v>2023</c:v>
                  </c:pt>
                  <c:pt idx="16">
                    <c:v>2024</c:v>
                  </c:pt>
                </c:lvl>
              </c:multiLvlStrCache>
            </c:multiLvlStrRef>
          </c:cat>
          <c:val>
            <c:numRef>
              <c:f>'Biofuel Feedstocks'!$C$10:$BD$10</c:f>
              <c:numCache>
                <c:formatCode>#,##0_);[Red]\(#,##0\)</c:formatCode>
                <c:ptCount val="18"/>
                <c:pt idx="0">
                  <c:v>205621</c:v>
                </c:pt>
                <c:pt idx="1">
                  <c:v>229058</c:v>
                </c:pt>
                <c:pt idx="2">
                  <c:v>246827</c:v>
                </c:pt>
                <c:pt idx="3">
                  <c:v>244785</c:v>
                </c:pt>
                <c:pt idx="4">
                  <c:v>146159</c:v>
                </c:pt>
                <c:pt idx="5">
                  <c:v>196380</c:v>
                </c:pt>
                <c:pt idx="6">
                  <c:v>226200</c:v>
                </c:pt>
                <c:pt idx="7">
                  <c:v>302191</c:v>
                </c:pt>
                <c:pt idx="8">
                  <c:v>184578</c:v>
                </c:pt>
                <c:pt idx="9">
                  <c:v>224750</c:v>
                </c:pt>
                <c:pt idx="10">
                  <c:v>198114</c:v>
                </c:pt>
                <c:pt idx="11">
                  <c:v>179477</c:v>
                </c:pt>
                <c:pt idx="12">
                  <c:v>131050</c:v>
                </c:pt>
                <c:pt idx="13">
                  <c:v>177069</c:v>
                </c:pt>
                <c:pt idx="14">
                  <c:v>187874</c:v>
                </c:pt>
                <c:pt idx="15">
                  <c:v>215418</c:v>
                </c:pt>
                <c:pt idx="16">
                  <c:v>198000</c:v>
                </c:pt>
                <c:pt idx="17">
                  <c:v>208990</c:v>
                </c:pt>
              </c:numCache>
            </c:numRef>
          </c:val>
          <c:extLst>
            <c:ext xmlns:c16="http://schemas.microsoft.com/office/drawing/2014/chart" uri="{C3380CC4-5D6E-409C-BE32-E72D297353CC}">
              <c16:uniqueId val="{00000004-6EE1-40B2-BAEC-B081B14B815A}"/>
            </c:ext>
          </c:extLst>
        </c:ser>
        <c:ser>
          <c:idx val="5"/>
          <c:order val="5"/>
          <c:tx>
            <c:strRef>
              <c:f>'Biofuel Feedstocks'!$A$11:$B$11</c:f>
              <c:strCache>
                <c:ptCount val="2"/>
                <c:pt idx="0">
                  <c:v>BD – Other</c:v>
                </c:pt>
              </c:strCache>
            </c:strRef>
          </c:tx>
          <c:spPr>
            <a:solidFill>
              <a:schemeClr val="accent6"/>
            </a:solidFill>
            <a:ln>
              <a:noFill/>
            </a:ln>
            <a:effectLst/>
          </c:spPr>
          <c:invertIfNegative val="0"/>
          <c:cat>
            <c:multiLvlStrRef>
              <c:f>'Biofuel Feedstocks'!$AM$4:$BF$5</c:f>
              <c:multiLvlStrCache>
                <c:ptCount val="20"/>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lvl>
                <c:lvl>
                  <c:pt idx="0">
                    <c:v>2020</c:v>
                  </c:pt>
                  <c:pt idx="4">
                    <c:v>2021</c:v>
                  </c:pt>
                  <c:pt idx="8">
                    <c:v>2022</c:v>
                  </c:pt>
                  <c:pt idx="12">
                    <c:v>2023</c:v>
                  </c:pt>
                  <c:pt idx="16">
                    <c:v>2024</c:v>
                  </c:pt>
                </c:lvl>
              </c:multiLvlStrCache>
            </c:multiLvlStrRef>
          </c:cat>
          <c:val>
            <c:numRef>
              <c:f>'Biofuel Feedstocks'!$C$11:$BD$11</c:f>
              <c:numCache>
                <c:formatCode>#,##0_);[Red]\(#,##0\)</c:formatCode>
                <c:ptCount val="18"/>
                <c:pt idx="0">
                  <c:v>0</c:v>
                </c:pt>
                <c:pt idx="1">
                  <c:v>0</c:v>
                </c:pt>
                <c:pt idx="2">
                  <c:v>0</c:v>
                </c:pt>
                <c:pt idx="3">
                  <c:v>680</c:v>
                </c:pt>
                <c:pt idx="4">
                  <c:v>18604</c:v>
                </c:pt>
                <c:pt idx="5">
                  <c:v>8301</c:v>
                </c:pt>
                <c:pt idx="6">
                  <c:v>1903</c:v>
                </c:pt>
                <c:pt idx="7">
                  <c:v>76</c:v>
                </c:pt>
                <c:pt idx="8">
                  <c:v>0</c:v>
                </c:pt>
                <c:pt idx="9">
                  <c:v>2484</c:v>
                </c:pt>
                <c:pt idx="10">
                  <c:v>4722</c:v>
                </c:pt>
                <c:pt idx="11">
                  <c:v>2301</c:v>
                </c:pt>
                <c:pt idx="12">
                  <c:v>49</c:v>
                </c:pt>
                <c:pt idx="13">
                  <c:v>106</c:v>
                </c:pt>
                <c:pt idx="14">
                  <c:v>23</c:v>
                </c:pt>
                <c:pt idx="15">
                  <c:v>14</c:v>
                </c:pt>
                <c:pt idx="16">
                  <c:v>82</c:v>
                </c:pt>
                <c:pt idx="17">
                  <c:v>0</c:v>
                </c:pt>
              </c:numCache>
            </c:numRef>
          </c:val>
          <c:extLst>
            <c:ext xmlns:c16="http://schemas.microsoft.com/office/drawing/2014/chart" uri="{C3380CC4-5D6E-409C-BE32-E72D297353CC}">
              <c16:uniqueId val="{00000005-6EE1-40B2-BAEC-B081B14B815A}"/>
            </c:ext>
          </c:extLst>
        </c:ser>
        <c:dLbls>
          <c:showLegendKey val="0"/>
          <c:showVal val="0"/>
          <c:showCatName val="0"/>
          <c:showSerName val="0"/>
          <c:showPercent val="0"/>
          <c:showBubbleSize val="0"/>
        </c:dLbls>
        <c:gapWidth val="50"/>
        <c:overlap val="100"/>
        <c:axId val="2101292063"/>
        <c:axId val="2101292543"/>
      </c:barChart>
      <c:catAx>
        <c:axId val="2101292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1292543"/>
        <c:crosses val="autoZero"/>
        <c:auto val="1"/>
        <c:lblAlgn val="ctr"/>
        <c:lblOffset val="100"/>
        <c:noMultiLvlLbl val="0"/>
      </c:catAx>
      <c:valAx>
        <c:axId val="2101292543"/>
        <c:scaling>
          <c:orientation val="minMax"/>
        </c:scaling>
        <c:delete val="0"/>
        <c:axPos val="l"/>
        <c:majorGridlines>
          <c:spPr>
            <a:ln w="9525" cap="flat" cmpd="sng" algn="ctr">
              <a:solidFill>
                <a:schemeClr val="tx1">
                  <a:lumMod val="15000"/>
                  <a:lumOff val="85000"/>
                </a:schemeClr>
              </a:solidFill>
              <a:round/>
            </a:ln>
            <a:effectLst/>
          </c:spPr>
        </c:majorGridlines>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12920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Renewable Diesel Feedstock</a:t>
            </a:r>
            <a:r>
              <a:rPr lang="en-GB" baseline="0"/>
              <a:t> Consumption</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barChart>
        <c:barDir val="col"/>
        <c:grouping val="stacked"/>
        <c:varyColors val="0"/>
        <c:ser>
          <c:idx val="0"/>
          <c:order val="0"/>
          <c:tx>
            <c:strRef>
              <c:f>'Biofuel Feedstocks'!$A$12:$B$12</c:f>
              <c:strCache>
                <c:ptCount val="2"/>
                <c:pt idx="0">
                  <c:v>RD – Corn Oil</c:v>
                </c:pt>
              </c:strCache>
            </c:strRef>
          </c:tx>
          <c:spPr>
            <a:solidFill>
              <a:schemeClr val="accent1"/>
            </a:solidFill>
            <a:ln>
              <a:noFill/>
            </a:ln>
            <a:effectLst/>
          </c:spPr>
          <c:invertIfNegative val="0"/>
          <c:cat>
            <c:multiLvlStrRef>
              <c:f>'Biofuel Feedstocks'!$AM$4:$BD$5</c:f>
              <c:multiLvlStrCache>
                <c:ptCount val="18"/>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lvl>
                <c:lvl>
                  <c:pt idx="0">
                    <c:v>2020</c:v>
                  </c:pt>
                  <c:pt idx="4">
                    <c:v>2021</c:v>
                  </c:pt>
                  <c:pt idx="8">
                    <c:v>2022</c:v>
                  </c:pt>
                  <c:pt idx="12">
                    <c:v>2023</c:v>
                  </c:pt>
                  <c:pt idx="16">
                    <c:v>2024</c:v>
                  </c:pt>
                </c:lvl>
              </c:multiLvlStrCache>
            </c:multiLvlStrRef>
          </c:cat>
          <c:val>
            <c:numRef>
              <c:f>'Biofuel Feedstocks'!$C$12:$BD$12</c:f>
              <c:numCache>
                <c:formatCode>#,##0_);[Red]\(#,##0\)</c:formatCode>
                <c:ptCount val="18"/>
                <c:pt idx="0">
                  <c:v>165231</c:v>
                </c:pt>
                <c:pt idx="1">
                  <c:v>186081</c:v>
                </c:pt>
                <c:pt idx="2">
                  <c:v>163859</c:v>
                </c:pt>
                <c:pt idx="3">
                  <c:v>242987</c:v>
                </c:pt>
                <c:pt idx="4">
                  <c:v>188497</c:v>
                </c:pt>
                <c:pt idx="5">
                  <c:v>267658</c:v>
                </c:pt>
                <c:pt idx="6">
                  <c:v>393228</c:v>
                </c:pt>
                <c:pt idx="7">
                  <c:v>333964</c:v>
                </c:pt>
                <c:pt idx="8">
                  <c:v>615584</c:v>
                </c:pt>
                <c:pt idx="9">
                  <c:v>511290</c:v>
                </c:pt>
                <c:pt idx="10">
                  <c:v>689777</c:v>
                </c:pt>
                <c:pt idx="11">
                  <c:v>473636</c:v>
                </c:pt>
                <c:pt idx="12">
                  <c:v>262804</c:v>
                </c:pt>
                <c:pt idx="13">
                  <c:v>246096</c:v>
                </c:pt>
                <c:pt idx="14">
                  <c:v>637129</c:v>
                </c:pt>
                <c:pt idx="15">
                  <c:v>475307</c:v>
                </c:pt>
                <c:pt idx="16">
                  <c:v>450129</c:v>
                </c:pt>
                <c:pt idx="17">
                  <c:v>818492</c:v>
                </c:pt>
              </c:numCache>
            </c:numRef>
          </c:val>
          <c:extLst>
            <c:ext xmlns:c16="http://schemas.microsoft.com/office/drawing/2014/chart" uri="{C3380CC4-5D6E-409C-BE32-E72D297353CC}">
              <c16:uniqueId val="{00000000-88F1-492C-A069-CC68B1B71B54}"/>
            </c:ext>
          </c:extLst>
        </c:ser>
        <c:ser>
          <c:idx val="1"/>
          <c:order val="1"/>
          <c:tx>
            <c:strRef>
              <c:f>'Biofuel Feedstocks'!$A$13:$B$13</c:f>
              <c:strCache>
                <c:ptCount val="2"/>
                <c:pt idx="0">
                  <c:v>RD – UCO</c:v>
                </c:pt>
              </c:strCache>
            </c:strRef>
          </c:tx>
          <c:spPr>
            <a:solidFill>
              <a:schemeClr val="accent2"/>
            </a:solidFill>
            <a:ln>
              <a:noFill/>
            </a:ln>
            <a:effectLst/>
          </c:spPr>
          <c:invertIfNegative val="0"/>
          <c:cat>
            <c:multiLvlStrRef>
              <c:f>'Biofuel Feedstocks'!$AM$4:$BD$5</c:f>
              <c:multiLvlStrCache>
                <c:ptCount val="18"/>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lvl>
                <c:lvl>
                  <c:pt idx="0">
                    <c:v>2020</c:v>
                  </c:pt>
                  <c:pt idx="4">
                    <c:v>2021</c:v>
                  </c:pt>
                  <c:pt idx="8">
                    <c:v>2022</c:v>
                  </c:pt>
                  <c:pt idx="12">
                    <c:v>2023</c:v>
                  </c:pt>
                  <c:pt idx="16">
                    <c:v>2024</c:v>
                  </c:pt>
                </c:lvl>
              </c:multiLvlStrCache>
            </c:multiLvlStrRef>
          </c:cat>
          <c:val>
            <c:numRef>
              <c:f>'Biofuel Feedstocks'!$C$13:$BD$13</c:f>
              <c:numCache>
                <c:formatCode>#,##0_);[Red]\(#,##0\)</c:formatCode>
                <c:ptCount val="18"/>
                <c:pt idx="0">
                  <c:v>414494</c:v>
                </c:pt>
                <c:pt idx="1">
                  <c:v>336409</c:v>
                </c:pt>
                <c:pt idx="2">
                  <c:v>468295</c:v>
                </c:pt>
                <c:pt idx="3">
                  <c:v>574305</c:v>
                </c:pt>
                <c:pt idx="4">
                  <c:v>700368</c:v>
                </c:pt>
                <c:pt idx="5">
                  <c:v>506257</c:v>
                </c:pt>
                <c:pt idx="6">
                  <c:v>498339</c:v>
                </c:pt>
                <c:pt idx="7">
                  <c:v>736108</c:v>
                </c:pt>
                <c:pt idx="8">
                  <c:v>675796</c:v>
                </c:pt>
                <c:pt idx="9">
                  <c:v>810562</c:v>
                </c:pt>
                <c:pt idx="10">
                  <c:v>806369</c:v>
                </c:pt>
                <c:pt idx="11">
                  <c:v>1041919</c:v>
                </c:pt>
                <c:pt idx="12">
                  <c:v>1063577</c:v>
                </c:pt>
                <c:pt idx="13">
                  <c:v>1196187</c:v>
                </c:pt>
                <c:pt idx="14">
                  <c:v>908876</c:v>
                </c:pt>
                <c:pt idx="15">
                  <c:v>749664</c:v>
                </c:pt>
                <c:pt idx="16">
                  <c:v>650256</c:v>
                </c:pt>
                <c:pt idx="17">
                  <c:v>583050</c:v>
                </c:pt>
              </c:numCache>
            </c:numRef>
          </c:val>
          <c:extLst>
            <c:ext xmlns:c16="http://schemas.microsoft.com/office/drawing/2014/chart" uri="{C3380CC4-5D6E-409C-BE32-E72D297353CC}">
              <c16:uniqueId val="{00000001-88F1-492C-A069-CC68B1B71B54}"/>
            </c:ext>
          </c:extLst>
        </c:ser>
        <c:ser>
          <c:idx val="2"/>
          <c:order val="2"/>
          <c:tx>
            <c:strRef>
              <c:f>'Biofuel Feedstocks'!$A$14:$B$14</c:f>
              <c:strCache>
                <c:ptCount val="2"/>
                <c:pt idx="0">
                  <c:v>RD – Tallow</c:v>
                </c:pt>
              </c:strCache>
            </c:strRef>
          </c:tx>
          <c:spPr>
            <a:solidFill>
              <a:schemeClr val="accent3"/>
            </a:solidFill>
            <a:ln>
              <a:noFill/>
            </a:ln>
            <a:effectLst/>
          </c:spPr>
          <c:invertIfNegative val="0"/>
          <c:cat>
            <c:multiLvlStrRef>
              <c:f>'Biofuel Feedstocks'!$AM$4:$BD$5</c:f>
              <c:multiLvlStrCache>
                <c:ptCount val="18"/>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lvl>
                <c:lvl>
                  <c:pt idx="0">
                    <c:v>2020</c:v>
                  </c:pt>
                  <c:pt idx="4">
                    <c:v>2021</c:v>
                  </c:pt>
                  <c:pt idx="8">
                    <c:v>2022</c:v>
                  </c:pt>
                  <c:pt idx="12">
                    <c:v>2023</c:v>
                  </c:pt>
                  <c:pt idx="16">
                    <c:v>2024</c:v>
                  </c:pt>
                </c:lvl>
              </c:multiLvlStrCache>
            </c:multiLvlStrRef>
          </c:cat>
          <c:val>
            <c:numRef>
              <c:f>'Biofuel Feedstocks'!$C$14:$BD$14</c:f>
              <c:numCache>
                <c:formatCode>#,##0_);[Red]\(#,##0\)</c:formatCode>
                <c:ptCount val="18"/>
                <c:pt idx="0">
                  <c:v>357630</c:v>
                </c:pt>
                <c:pt idx="1">
                  <c:v>493433</c:v>
                </c:pt>
                <c:pt idx="2">
                  <c:v>377830</c:v>
                </c:pt>
                <c:pt idx="3">
                  <c:v>332145</c:v>
                </c:pt>
                <c:pt idx="4">
                  <c:v>362239</c:v>
                </c:pt>
                <c:pt idx="5">
                  <c:v>533684</c:v>
                </c:pt>
                <c:pt idx="6">
                  <c:v>474384</c:v>
                </c:pt>
                <c:pt idx="7">
                  <c:v>461012</c:v>
                </c:pt>
                <c:pt idx="8">
                  <c:v>656798</c:v>
                </c:pt>
                <c:pt idx="9">
                  <c:v>813604</c:v>
                </c:pt>
                <c:pt idx="10">
                  <c:v>475856</c:v>
                </c:pt>
                <c:pt idx="11">
                  <c:v>668860</c:v>
                </c:pt>
                <c:pt idx="12">
                  <c:v>704410</c:v>
                </c:pt>
                <c:pt idx="13">
                  <c:v>782035</c:v>
                </c:pt>
                <c:pt idx="14">
                  <c:v>1005003</c:v>
                </c:pt>
                <c:pt idx="15">
                  <c:v>1543151</c:v>
                </c:pt>
                <c:pt idx="16">
                  <c:v>1487636</c:v>
                </c:pt>
                <c:pt idx="17">
                  <c:v>1209942</c:v>
                </c:pt>
              </c:numCache>
            </c:numRef>
          </c:val>
          <c:extLst>
            <c:ext xmlns:c16="http://schemas.microsoft.com/office/drawing/2014/chart" uri="{C3380CC4-5D6E-409C-BE32-E72D297353CC}">
              <c16:uniqueId val="{00000002-88F1-492C-A069-CC68B1B71B54}"/>
            </c:ext>
          </c:extLst>
        </c:ser>
        <c:ser>
          <c:idx val="3"/>
          <c:order val="3"/>
          <c:tx>
            <c:strRef>
              <c:f>'Biofuel Feedstocks'!$A$15:$B$15</c:f>
              <c:strCache>
                <c:ptCount val="2"/>
                <c:pt idx="0">
                  <c:v>RD – Soy</c:v>
                </c:pt>
              </c:strCache>
            </c:strRef>
          </c:tx>
          <c:spPr>
            <a:solidFill>
              <a:schemeClr val="accent4"/>
            </a:solidFill>
            <a:ln>
              <a:noFill/>
            </a:ln>
            <a:effectLst/>
          </c:spPr>
          <c:invertIfNegative val="0"/>
          <c:cat>
            <c:multiLvlStrRef>
              <c:f>'Biofuel Feedstocks'!$AM$4:$BD$5</c:f>
              <c:multiLvlStrCache>
                <c:ptCount val="18"/>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lvl>
                <c:lvl>
                  <c:pt idx="0">
                    <c:v>2020</c:v>
                  </c:pt>
                  <c:pt idx="4">
                    <c:v>2021</c:v>
                  </c:pt>
                  <c:pt idx="8">
                    <c:v>2022</c:v>
                  </c:pt>
                  <c:pt idx="12">
                    <c:v>2023</c:v>
                  </c:pt>
                  <c:pt idx="16">
                    <c:v>2024</c:v>
                  </c:pt>
                </c:lvl>
              </c:multiLvlStrCache>
            </c:multiLvlStrRef>
          </c:cat>
          <c:val>
            <c:numRef>
              <c:f>'Biofuel Feedstocks'!$C$15:$BD$15</c:f>
              <c:numCache>
                <c:formatCode>General</c:formatCode>
                <c:ptCount val="18"/>
                <c:pt idx="6" formatCode="#,##0_);[Red]\(#,##0\)">
                  <c:v>338780</c:v>
                </c:pt>
                <c:pt idx="7" formatCode="#,##0_);[Red]\(#,##0\)">
                  <c:v>337919</c:v>
                </c:pt>
                <c:pt idx="8" formatCode="#,##0_);[Red]\(#,##0\)">
                  <c:v>312835</c:v>
                </c:pt>
                <c:pt idx="9" formatCode="#,##0_);[Red]\(#,##0\)">
                  <c:v>262394</c:v>
                </c:pt>
                <c:pt idx="10" formatCode="#,##0_);[Red]\(#,##0\)">
                  <c:v>268356</c:v>
                </c:pt>
                <c:pt idx="11" formatCode="#,##0_);[Red]\(#,##0\)">
                  <c:v>235211</c:v>
                </c:pt>
                <c:pt idx="12" formatCode="#,##0_);[Red]\(#,##0\)">
                  <c:v>323806</c:v>
                </c:pt>
                <c:pt idx="13" formatCode="#,##0_);[Red]\(#,##0\)">
                  <c:v>393074</c:v>
                </c:pt>
                <c:pt idx="14" formatCode="#,##0_);[Red]\(#,##0\)">
                  <c:v>309159</c:v>
                </c:pt>
                <c:pt idx="15" formatCode="#,##0_);[Red]\(#,##0\)">
                  <c:v>368613</c:v>
                </c:pt>
                <c:pt idx="16" formatCode="#,##0_);[Red]\(#,##0\)">
                  <c:v>281650</c:v>
                </c:pt>
                <c:pt idx="17" formatCode="#,##0_);[Red]\(#,##0\)">
                  <c:v>481724</c:v>
                </c:pt>
              </c:numCache>
            </c:numRef>
          </c:val>
          <c:extLst>
            <c:ext xmlns:c16="http://schemas.microsoft.com/office/drawing/2014/chart" uri="{C3380CC4-5D6E-409C-BE32-E72D297353CC}">
              <c16:uniqueId val="{00000003-88F1-492C-A069-CC68B1B71B54}"/>
            </c:ext>
          </c:extLst>
        </c:ser>
        <c:ser>
          <c:idx val="4"/>
          <c:order val="4"/>
          <c:tx>
            <c:strRef>
              <c:f>'Biofuel Feedstocks'!$A$16:$B$16</c:f>
              <c:strCache>
                <c:ptCount val="2"/>
                <c:pt idx="0">
                  <c:v>RD – Other</c:v>
                </c:pt>
              </c:strCache>
            </c:strRef>
          </c:tx>
          <c:spPr>
            <a:solidFill>
              <a:schemeClr val="accent5"/>
            </a:solidFill>
            <a:ln>
              <a:noFill/>
            </a:ln>
            <a:effectLst/>
          </c:spPr>
          <c:invertIfNegative val="0"/>
          <c:cat>
            <c:multiLvlStrRef>
              <c:f>'Biofuel Feedstocks'!$AM$4:$BD$5</c:f>
              <c:multiLvlStrCache>
                <c:ptCount val="18"/>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lvl>
                <c:lvl>
                  <c:pt idx="0">
                    <c:v>2020</c:v>
                  </c:pt>
                  <c:pt idx="4">
                    <c:v>2021</c:v>
                  </c:pt>
                  <c:pt idx="8">
                    <c:v>2022</c:v>
                  </c:pt>
                  <c:pt idx="12">
                    <c:v>2023</c:v>
                  </c:pt>
                  <c:pt idx="16">
                    <c:v>2024</c:v>
                  </c:pt>
                </c:lvl>
              </c:multiLvlStrCache>
            </c:multiLvlStrRef>
          </c:cat>
          <c:val>
            <c:numRef>
              <c:f>'Biofuel Feedstocks'!$C$16:$BD$16</c:f>
              <c:numCache>
                <c:formatCode>#,##0_);[Red]\(#,##0\)</c:formatCode>
                <c:ptCount val="18"/>
                <c:pt idx="0">
                  <c:v>63076</c:v>
                </c:pt>
                <c:pt idx="1">
                  <c:v>114086</c:v>
                </c:pt>
                <c:pt idx="2">
                  <c:v>87095</c:v>
                </c:pt>
                <c:pt idx="3">
                  <c:v>117925</c:v>
                </c:pt>
                <c:pt idx="4">
                  <c:v>181543</c:v>
                </c:pt>
                <c:pt idx="5">
                  <c:v>196135</c:v>
                </c:pt>
                <c:pt idx="6">
                  <c:v>19505</c:v>
                </c:pt>
                <c:pt idx="7">
                  <c:v>26843</c:v>
                </c:pt>
                <c:pt idx="8">
                  <c:v>15616</c:v>
                </c:pt>
                <c:pt idx="9">
                  <c:v>67834</c:v>
                </c:pt>
                <c:pt idx="10">
                  <c:v>152956</c:v>
                </c:pt>
                <c:pt idx="11">
                  <c:v>143652</c:v>
                </c:pt>
                <c:pt idx="12">
                  <c:v>149481</c:v>
                </c:pt>
                <c:pt idx="13">
                  <c:v>229769</c:v>
                </c:pt>
                <c:pt idx="14">
                  <c:v>322334</c:v>
                </c:pt>
                <c:pt idx="15">
                  <c:v>258377</c:v>
                </c:pt>
                <c:pt idx="16">
                  <c:v>279869</c:v>
                </c:pt>
                <c:pt idx="17">
                  <c:v>399726</c:v>
                </c:pt>
              </c:numCache>
            </c:numRef>
          </c:val>
          <c:extLst>
            <c:ext xmlns:c16="http://schemas.microsoft.com/office/drawing/2014/chart" uri="{C3380CC4-5D6E-409C-BE32-E72D297353CC}">
              <c16:uniqueId val="{00000004-88F1-492C-A069-CC68B1B71B54}"/>
            </c:ext>
          </c:extLst>
        </c:ser>
        <c:dLbls>
          <c:showLegendKey val="0"/>
          <c:showVal val="0"/>
          <c:showCatName val="0"/>
          <c:showSerName val="0"/>
          <c:showPercent val="0"/>
          <c:showBubbleSize val="0"/>
        </c:dLbls>
        <c:gapWidth val="50"/>
        <c:overlap val="100"/>
        <c:axId val="2101292063"/>
        <c:axId val="2101292543"/>
      </c:barChart>
      <c:catAx>
        <c:axId val="2101292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1292543"/>
        <c:crosses val="autoZero"/>
        <c:auto val="1"/>
        <c:lblAlgn val="ctr"/>
        <c:lblOffset val="100"/>
        <c:noMultiLvlLbl val="0"/>
      </c:catAx>
      <c:valAx>
        <c:axId val="2101292543"/>
        <c:scaling>
          <c:orientation val="minMax"/>
        </c:scaling>
        <c:delete val="0"/>
        <c:axPos val="l"/>
        <c:majorGridlines>
          <c:spPr>
            <a:ln w="9525" cap="flat" cmpd="sng" algn="ctr">
              <a:solidFill>
                <a:schemeClr val="tx1">
                  <a:lumMod val="15000"/>
                  <a:lumOff val="85000"/>
                </a:schemeClr>
              </a:solidFill>
              <a:round/>
            </a:ln>
            <a:effectLst/>
          </c:spPr>
        </c:majorGridlines>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12920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Biodiesel Feedstock</a:t>
            </a:r>
            <a:r>
              <a:rPr lang="en-GB" baseline="0"/>
              <a:t> Consumption</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barChart>
        <c:barDir val="col"/>
        <c:grouping val="percentStacked"/>
        <c:varyColors val="0"/>
        <c:ser>
          <c:idx val="0"/>
          <c:order val="0"/>
          <c:tx>
            <c:strRef>
              <c:f>'Biofuel Feedstocks'!$A$6:$B$6</c:f>
              <c:strCache>
                <c:ptCount val="2"/>
                <c:pt idx="0">
                  <c:v>BD-Canola</c:v>
                </c:pt>
              </c:strCache>
            </c:strRef>
          </c:tx>
          <c:spPr>
            <a:solidFill>
              <a:schemeClr val="accent1"/>
            </a:solidFill>
            <a:ln>
              <a:noFill/>
            </a:ln>
            <a:effectLst/>
          </c:spPr>
          <c:invertIfNegative val="0"/>
          <c:cat>
            <c:multiLvlStrRef>
              <c:f>'Biofuel Feedstocks'!$AM$4:$BF$5</c:f>
              <c:multiLvlStrCache>
                <c:ptCount val="20"/>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lvl>
                <c:lvl>
                  <c:pt idx="0">
                    <c:v>2020</c:v>
                  </c:pt>
                  <c:pt idx="4">
                    <c:v>2021</c:v>
                  </c:pt>
                  <c:pt idx="8">
                    <c:v>2022</c:v>
                  </c:pt>
                  <c:pt idx="12">
                    <c:v>2023</c:v>
                  </c:pt>
                  <c:pt idx="16">
                    <c:v>2024</c:v>
                  </c:pt>
                </c:lvl>
              </c:multiLvlStrCache>
            </c:multiLvlStrRef>
          </c:cat>
          <c:val>
            <c:numRef>
              <c:f>'Biofuel Feedstocks'!$C$6:$BD$6</c:f>
              <c:numCache>
                <c:formatCode>#,##0_);[Red]\(#,##0\)</c:formatCode>
                <c:ptCount val="18"/>
                <c:pt idx="0">
                  <c:v>1106</c:v>
                </c:pt>
                <c:pt idx="1">
                  <c:v>4033</c:v>
                </c:pt>
                <c:pt idx="2">
                  <c:v>3213</c:v>
                </c:pt>
                <c:pt idx="3">
                  <c:v>41026</c:v>
                </c:pt>
                <c:pt idx="4">
                  <c:v>160</c:v>
                </c:pt>
                <c:pt idx="5">
                  <c:v>0</c:v>
                </c:pt>
                <c:pt idx="6">
                  <c:v>12161</c:v>
                </c:pt>
                <c:pt idx="7">
                  <c:v>5884</c:v>
                </c:pt>
                <c:pt idx="8">
                  <c:v>17460</c:v>
                </c:pt>
                <c:pt idx="9">
                  <c:v>19551</c:v>
                </c:pt>
                <c:pt idx="10">
                  <c:v>33717</c:v>
                </c:pt>
                <c:pt idx="11">
                  <c:v>55285</c:v>
                </c:pt>
                <c:pt idx="12">
                  <c:v>109914</c:v>
                </c:pt>
                <c:pt idx="13">
                  <c:v>34240</c:v>
                </c:pt>
                <c:pt idx="14">
                  <c:v>35693</c:v>
                </c:pt>
                <c:pt idx="15">
                  <c:v>110066</c:v>
                </c:pt>
                <c:pt idx="16">
                  <c:v>105974</c:v>
                </c:pt>
                <c:pt idx="17">
                  <c:v>26605</c:v>
                </c:pt>
              </c:numCache>
            </c:numRef>
          </c:val>
          <c:extLst>
            <c:ext xmlns:c16="http://schemas.microsoft.com/office/drawing/2014/chart" uri="{C3380CC4-5D6E-409C-BE32-E72D297353CC}">
              <c16:uniqueId val="{00000000-6A84-49A9-B176-7D694A3AE76E}"/>
            </c:ext>
          </c:extLst>
        </c:ser>
        <c:ser>
          <c:idx val="1"/>
          <c:order val="1"/>
          <c:tx>
            <c:strRef>
              <c:f>'Biofuel Feedstocks'!$A$7:$B$7</c:f>
              <c:strCache>
                <c:ptCount val="2"/>
                <c:pt idx="0">
                  <c:v>BD-Corn Oil</c:v>
                </c:pt>
              </c:strCache>
            </c:strRef>
          </c:tx>
          <c:spPr>
            <a:solidFill>
              <a:schemeClr val="accent2"/>
            </a:solidFill>
            <a:ln>
              <a:noFill/>
            </a:ln>
            <a:effectLst/>
          </c:spPr>
          <c:invertIfNegative val="0"/>
          <c:cat>
            <c:multiLvlStrRef>
              <c:f>'Biofuel Feedstocks'!$AM$4:$BF$5</c:f>
              <c:multiLvlStrCache>
                <c:ptCount val="20"/>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lvl>
                <c:lvl>
                  <c:pt idx="0">
                    <c:v>2020</c:v>
                  </c:pt>
                  <c:pt idx="4">
                    <c:v>2021</c:v>
                  </c:pt>
                  <c:pt idx="8">
                    <c:v>2022</c:v>
                  </c:pt>
                  <c:pt idx="12">
                    <c:v>2023</c:v>
                  </c:pt>
                  <c:pt idx="16">
                    <c:v>2024</c:v>
                  </c:pt>
                </c:lvl>
              </c:multiLvlStrCache>
            </c:multiLvlStrRef>
          </c:cat>
          <c:val>
            <c:numRef>
              <c:f>'Biofuel Feedstocks'!$C$7:$BD$7</c:f>
              <c:numCache>
                <c:formatCode>#,##0_);[Red]\(#,##0\)</c:formatCode>
                <c:ptCount val="18"/>
                <c:pt idx="0">
                  <c:v>253131</c:v>
                </c:pt>
                <c:pt idx="1">
                  <c:v>147977</c:v>
                </c:pt>
                <c:pt idx="2">
                  <c:v>216961</c:v>
                </c:pt>
                <c:pt idx="3">
                  <c:v>273614</c:v>
                </c:pt>
                <c:pt idx="4">
                  <c:v>239381</c:v>
                </c:pt>
                <c:pt idx="5">
                  <c:v>259705</c:v>
                </c:pt>
                <c:pt idx="6">
                  <c:v>236600</c:v>
                </c:pt>
                <c:pt idx="7">
                  <c:v>180779</c:v>
                </c:pt>
                <c:pt idx="8">
                  <c:v>279063</c:v>
                </c:pt>
                <c:pt idx="9">
                  <c:v>101548</c:v>
                </c:pt>
                <c:pt idx="10">
                  <c:v>159976</c:v>
                </c:pt>
                <c:pt idx="11">
                  <c:v>168359</c:v>
                </c:pt>
                <c:pt idx="12">
                  <c:v>198138</c:v>
                </c:pt>
                <c:pt idx="13">
                  <c:v>141601</c:v>
                </c:pt>
                <c:pt idx="14">
                  <c:v>104450</c:v>
                </c:pt>
                <c:pt idx="15">
                  <c:v>119674</c:v>
                </c:pt>
                <c:pt idx="16">
                  <c:v>98334</c:v>
                </c:pt>
                <c:pt idx="17">
                  <c:v>106296</c:v>
                </c:pt>
              </c:numCache>
            </c:numRef>
          </c:val>
          <c:extLst>
            <c:ext xmlns:c16="http://schemas.microsoft.com/office/drawing/2014/chart" uri="{C3380CC4-5D6E-409C-BE32-E72D297353CC}">
              <c16:uniqueId val="{00000001-6A84-49A9-B176-7D694A3AE76E}"/>
            </c:ext>
          </c:extLst>
        </c:ser>
        <c:ser>
          <c:idx val="2"/>
          <c:order val="2"/>
          <c:tx>
            <c:strRef>
              <c:f>'Biofuel Feedstocks'!$A$8:$B$8</c:f>
              <c:strCache>
                <c:ptCount val="2"/>
                <c:pt idx="0">
                  <c:v>BD-Soy</c:v>
                </c:pt>
              </c:strCache>
            </c:strRef>
          </c:tx>
          <c:spPr>
            <a:solidFill>
              <a:schemeClr val="accent3"/>
            </a:solidFill>
            <a:ln>
              <a:noFill/>
            </a:ln>
            <a:effectLst/>
          </c:spPr>
          <c:invertIfNegative val="0"/>
          <c:cat>
            <c:multiLvlStrRef>
              <c:f>'Biofuel Feedstocks'!$AM$4:$BF$5</c:f>
              <c:multiLvlStrCache>
                <c:ptCount val="20"/>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lvl>
                <c:lvl>
                  <c:pt idx="0">
                    <c:v>2020</c:v>
                  </c:pt>
                  <c:pt idx="4">
                    <c:v>2021</c:v>
                  </c:pt>
                  <c:pt idx="8">
                    <c:v>2022</c:v>
                  </c:pt>
                  <c:pt idx="12">
                    <c:v>2023</c:v>
                  </c:pt>
                  <c:pt idx="16">
                    <c:v>2024</c:v>
                  </c:pt>
                </c:lvl>
              </c:multiLvlStrCache>
            </c:multiLvlStrRef>
          </c:cat>
          <c:val>
            <c:numRef>
              <c:f>'Biofuel Feedstocks'!$C$8:$BD$8</c:f>
              <c:numCache>
                <c:formatCode>#,##0_);[Red]\(#,##0\)</c:formatCode>
                <c:ptCount val="18"/>
                <c:pt idx="0">
                  <c:v>362</c:v>
                </c:pt>
                <c:pt idx="1">
                  <c:v>524</c:v>
                </c:pt>
                <c:pt idx="2">
                  <c:v>1203</c:v>
                </c:pt>
                <c:pt idx="3">
                  <c:v>14779</c:v>
                </c:pt>
                <c:pt idx="4">
                  <c:v>168</c:v>
                </c:pt>
                <c:pt idx="5">
                  <c:v>1332</c:v>
                </c:pt>
                <c:pt idx="6">
                  <c:v>0</c:v>
                </c:pt>
                <c:pt idx="7">
                  <c:v>20465</c:v>
                </c:pt>
                <c:pt idx="8">
                  <c:v>15418</c:v>
                </c:pt>
                <c:pt idx="9">
                  <c:v>9613</c:v>
                </c:pt>
                <c:pt idx="10">
                  <c:v>6865</c:v>
                </c:pt>
                <c:pt idx="11">
                  <c:v>9178</c:v>
                </c:pt>
                <c:pt idx="12">
                  <c:v>3019</c:v>
                </c:pt>
                <c:pt idx="13">
                  <c:v>1113</c:v>
                </c:pt>
                <c:pt idx="14">
                  <c:v>20579</c:v>
                </c:pt>
                <c:pt idx="15">
                  <c:v>32507</c:v>
                </c:pt>
                <c:pt idx="16">
                  <c:v>3662</c:v>
                </c:pt>
                <c:pt idx="17">
                  <c:v>279</c:v>
                </c:pt>
              </c:numCache>
            </c:numRef>
          </c:val>
          <c:extLst>
            <c:ext xmlns:c16="http://schemas.microsoft.com/office/drawing/2014/chart" uri="{C3380CC4-5D6E-409C-BE32-E72D297353CC}">
              <c16:uniqueId val="{00000002-6A84-49A9-B176-7D694A3AE76E}"/>
            </c:ext>
          </c:extLst>
        </c:ser>
        <c:ser>
          <c:idx val="3"/>
          <c:order val="3"/>
          <c:tx>
            <c:strRef>
              <c:f>'Biofuel Feedstocks'!$A$9:$B$9</c:f>
              <c:strCache>
                <c:ptCount val="2"/>
                <c:pt idx="0">
                  <c:v>BD-Tallow</c:v>
                </c:pt>
              </c:strCache>
            </c:strRef>
          </c:tx>
          <c:spPr>
            <a:solidFill>
              <a:schemeClr val="accent4"/>
            </a:solidFill>
            <a:ln>
              <a:noFill/>
            </a:ln>
            <a:effectLst/>
          </c:spPr>
          <c:invertIfNegative val="0"/>
          <c:cat>
            <c:multiLvlStrRef>
              <c:f>'Biofuel Feedstocks'!$AM$4:$BF$5</c:f>
              <c:multiLvlStrCache>
                <c:ptCount val="20"/>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lvl>
                <c:lvl>
                  <c:pt idx="0">
                    <c:v>2020</c:v>
                  </c:pt>
                  <c:pt idx="4">
                    <c:v>2021</c:v>
                  </c:pt>
                  <c:pt idx="8">
                    <c:v>2022</c:v>
                  </c:pt>
                  <c:pt idx="12">
                    <c:v>2023</c:v>
                  </c:pt>
                  <c:pt idx="16">
                    <c:v>2024</c:v>
                  </c:pt>
                </c:lvl>
              </c:multiLvlStrCache>
            </c:multiLvlStrRef>
          </c:cat>
          <c:val>
            <c:numRef>
              <c:f>'Biofuel Feedstocks'!$C$9:$BD$9</c:f>
              <c:numCache>
                <c:formatCode>#,##0_);[Red]\(#,##0\)</c:formatCode>
                <c:ptCount val="18"/>
                <c:pt idx="0">
                  <c:v>17577</c:v>
                </c:pt>
                <c:pt idx="1">
                  <c:v>110903</c:v>
                </c:pt>
                <c:pt idx="2">
                  <c:v>124092</c:v>
                </c:pt>
                <c:pt idx="3">
                  <c:v>75855</c:v>
                </c:pt>
                <c:pt idx="4">
                  <c:v>75170</c:v>
                </c:pt>
                <c:pt idx="5">
                  <c:v>157049</c:v>
                </c:pt>
                <c:pt idx="6">
                  <c:v>146085</c:v>
                </c:pt>
                <c:pt idx="7">
                  <c:v>75846</c:v>
                </c:pt>
                <c:pt idx="8">
                  <c:v>60351</c:v>
                </c:pt>
                <c:pt idx="9">
                  <c:v>184799</c:v>
                </c:pt>
                <c:pt idx="10">
                  <c:v>160452</c:v>
                </c:pt>
                <c:pt idx="11">
                  <c:v>126252</c:v>
                </c:pt>
                <c:pt idx="12">
                  <c:v>51254</c:v>
                </c:pt>
                <c:pt idx="13">
                  <c:v>113902</c:v>
                </c:pt>
                <c:pt idx="14">
                  <c:v>148428</c:v>
                </c:pt>
                <c:pt idx="15">
                  <c:v>34019</c:v>
                </c:pt>
                <c:pt idx="16">
                  <c:v>54777</c:v>
                </c:pt>
                <c:pt idx="17">
                  <c:v>98261</c:v>
                </c:pt>
              </c:numCache>
            </c:numRef>
          </c:val>
          <c:extLst>
            <c:ext xmlns:c16="http://schemas.microsoft.com/office/drawing/2014/chart" uri="{C3380CC4-5D6E-409C-BE32-E72D297353CC}">
              <c16:uniqueId val="{00000003-6A84-49A9-B176-7D694A3AE76E}"/>
            </c:ext>
          </c:extLst>
        </c:ser>
        <c:ser>
          <c:idx val="4"/>
          <c:order val="4"/>
          <c:tx>
            <c:strRef>
              <c:f>'Biofuel Feedstocks'!$A$10:$B$10</c:f>
              <c:strCache>
                <c:ptCount val="2"/>
                <c:pt idx="0">
                  <c:v>BD-UCO</c:v>
                </c:pt>
              </c:strCache>
            </c:strRef>
          </c:tx>
          <c:spPr>
            <a:solidFill>
              <a:schemeClr val="accent5"/>
            </a:solidFill>
            <a:ln>
              <a:noFill/>
            </a:ln>
            <a:effectLst/>
          </c:spPr>
          <c:invertIfNegative val="0"/>
          <c:cat>
            <c:multiLvlStrRef>
              <c:f>'Biofuel Feedstocks'!$AM$4:$BF$5</c:f>
              <c:multiLvlStrCache>
                <c:ptCount val="20"/>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lvl>
                <c:lvl>
                  <c:pt idx="0">
                    <c:v>2020</c:v>
                  </c:pt>
                  <c:pt idx="4">
                    <c:v>2021</c:v>
                  </c:pt>
                  <c:pt idx="8">
                    <c:v>2022</c:v>
                  </c:pt>
                  <c:pt idx="12">
                    <c:v>2023</c:v>
                  </c:pt>
                  <c:pt idx="16">
                    <c:v>2024</c:v>
                  </c:pt>
                </c:lvl>
              </c:multiLvlStrCache>
            </c:multiLvlStrRef>
          </c:cat>
          <c:val>
            <c:numRef>
              <c:f>'Biofuel Feedstocks'!$C$10:$BD$10</c:f>
              <c:numCache>
                <c:formatCode>#,##0_);[Red]\(#,##0\)</c:formatCode>
                <c:ptCount val="18"/>
                <c:pt idx="0">
                  <c:v>205621</c:v>
                </c:pt>
                <c:pt idx="1">
                  <c:v>229058</c:v>
                </c:pt>
                <c:pt idx="2">
                  <c:v>246827</c:v>
                </c:pt>
                <c:pt idx="3">
                  <c:v>244785</c:v>
                </c:pt>
                <c:pt idx="4">
                  <c:v>146159</c:v>
                </c:pt>
                <c:pt idx="5">
                  <c:v>196380</c:v>
                </c:pt>
                <c:pt idx="6">
                  <c:v>226200</c:v>
                </c:pt>
                <c:pt idx="7">
                  <c:v>302191</c:v>
                </c:pt>
                <c:pt idx="8">
                  <c:v>184578</c:v>
                </c:pt>
                <c:pt idx="9">
                  <c:v>224750</c:v>
                </c:pt>
                <c:pt idx="10">
                  <c:v>198114</c:v>
                </c:pt>
                <c:pt idx="11">
                  <c:v>179477</c:v>
                </c:pt>
                <c:pt idx="12">
                  <c:v>131050</c:v>
                </c:pt>
                <c:pt idx="13">
                  <c:v>177069</c:v>
                </c:pt>
                <c:pt idx="14">
                  <c:v>187874</c:v>
                </c:pt>
                <c:pt idx="15">
                  <c:v>215418</c:v>
                </c:pt>
                <c:pt idx="16">
                  <c:v>198000</c:v>
                </c:pt>
                <c:pt idx="17">
                  <c:v>208990</c:v>
                </c:pt>
              </c:numCache>
            </c:numRef>
          </c:val>
          <c:extLst>
            <c:ext xmlns:c16="http://schemas.microsoft.com/office/drawing/2014/chart" uri="{C3380CC4-5D6E-409C-BE32-E72D297353CC}">
              <c16:uniqueId val="{00000004-6A84-49A9-B176-7D694A3AE76E}"/>
            </c:ext>
          </c:extLst>
        </c:ser>
        <c:ser>
          <c:idx val="5"/>
          <c:order val="5"/>
          <c:tx>
            <c:strRef>
              <c:f>'Biofuel Feedstocks'!$A$11:$B$11</c:f>
              <c:strCache>
                <c:ptCount val="2"/>
                <c:pt idx="0">
                  <c:v>BD – Other</c:v>
                </c:pt>
              </c:strCache>
            </c:strRef>
          </c:tx>
          <c:spPr>
            <a:solidFill>
              <a:schemeClr val="accent6"/>
            </a:solidFill>
            <a:ln>
              <a:noFill/>
            </a:ln>
            <a:effectLst/>
          </c:spPr>
          <c:invertIfNegative val="0"/>
          <c:cat>
            <c:multiLvlStrRef>
              <c:f>'Biofuel Feedstocks'!$AM$4:$BF$5</c:f>
              <c:multiLvlStrCache>
                <c:ptCount val="20"/>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lvl>
                <c:lvl>
                  <c:pt idx="0">
                    <c:v>2020</c:v>
                  </c:pt>
                  <c:pt idx="4">
                    <c:v>2021</c:v>
                  </c:pt>
                  <c:pt idx="8">
                    <c:v>2022</c:v>
                  </c:pt>
                  <c:pt idx="12">
                    <c:v>2023</c:v>
                  </c:pt>
                  <c:pt idx="16">
                    <c:v>2024</c:v>
                  </c:pt>
                </c:lvl>
              </c:multiLvlStrCache>
            </c:multiLvlStrRef>
          </c:cat>
          <c:val>
            <c:numRef>
              <c:f>'Biofuel Feedstocks'!$C$11:$BD$11</c:f>
              <c:numCache>
                <c:formatCode>#,##0_);[Red]\(#,##0\)</c:formatCode>
                <c:ptCount val="18"/>
                <c:pt idx="0">
                  <c:v>0</c:v>
                </c:pt>
                <c:pt idx="1">
                  <c:v>0</c:v>
                </c:pt>
                <c:pt idx="2">
                  <c:v>0</c:v>
                </c:pt>
                <c:pt idx="3">
                  <c:v>680</c:v>
                </c:pt>
                <c:pt idx="4">
                  <c:v>18604</c:v>
                </c:pt>
                <c:pt idx="5">
                  <c:v>8301</c:v>
                </c:pt>
                <c:pt idx="6">
                  <c:v>1903</c:v>
                </c:pt>
                <c:pt idx="7">
                  <c:v>76</c:v>
                </c:pt>
                <c:pt idx="8">
                  <c:v>0</c:v>
                </c:pt>
                <c:pt idx="9">
                  <c:v>2484</c:v>
                </c:pt>
                <c:pt idx="10">
                  <c:v>4722</c:v>
                </c:pt>
                <c:pt idx="11">
                  <c:v>2301</c:v>
                </c:pt>
                <c:pt idx="12">
                  <c:v>49</c:v>
                </c:pt>
                <c:pt idx="13">
                  <c:v>106</c:v>
                </c:pt>
                <c:pt idx="14">
                  <c:v>23</c:v>
                </c:pt>
                <c:pt idx="15">
                  <c:v>14</c:v>
                </c:pt>
                <c:pt idx="16">
                  <c:v>82</c:v>
                </c:pt>
                <c:pt idx="17">
                  <c:v>0</c:v>
                </c:pt>
              </c:numCache>
            </c:numRef>
          </c:val>
          <c:extLst>
            <c:ext xmlns:c16="http://schemas.microsoft.com/office/drawing/2014/chart" uri="{C3380CC4-5D6E-409C-BE32-E72D297353CC}">
              <c16:uniqueId val="{00000005-6A84-49A9-B176-7D694A3AE76E}"/>
            </c:ext>
          </c:extLst>
        </c:ser>
        <c:dLbls>
          <c:showLegendKey val="0"/>
          <c:showVal val="0"/>
          <c:showCatName val="0"/>
          <c:showSerName val="0"/>
          <c:showPercent val="0"/>
          <c:showBubbleSize val="0"/>
        </c:dLbls>
        <c:gapWidth val="50"/>
        <c:overlap val="100"/>
        <c:axId val="2101292063"/>
        <c:axId val="2101292543"/>
      </c:barChart>
      <c:catAx>
        <c:axId val="2101292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1292543"/>
        <c:crosses val="autoZero"/>
        <c:auto val="1"/>
        <c:lblAlgn val="ctr"/>
        <c:lblOffset val="100"/>
        <c:noMultiLvlLbl val="0"/>
      </c:catAx>
      <c:valAx>
        <c:axId val="210129254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12920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Renewable Diesel Feedstock</a:t>
            </a:r>
            <a:r>
              <a:rPr lang="en-GB" baseline="0"/>
              <a:t> Consumption</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barChart>
        <c:barDir val="col"/>
        <c:grouping val="percentStacked"/>
        <c:varyColors val="0"/>
        <c:ser>
          <c:idx val="0"/>
          <c:order val="0"/>
          <c:tx>
            <c:strRef>
              <c:f>'Biofuel Feedstocks'!$A$12:$B$12</c:f>
              <c:strCache>
                <c:ptCount val="2"/>
                <c:pt idx="0">
                  <c:v>RD – Corn Oil</c:v>
                </c:pt>
              </c:strCache>
            </c:strRef>
          </c:tx>
          <c:spPr>
            <a:solidFill>
              <a:schemeClr val="accent1"/>
            </a:solidFill>
            <a:ln>
              <a:noFill/>
            </a:ln>
            <a:effectLst/>
          </c:spPr>
          <c:invertIfNegative val="0"/>
          <c:cat>
            <c:multiLvlStrRef>
              <c:f>'Biofuel Feedstocks'!$AM$4:$BD$5</c:f>
              <c:multiLvlStrCache>
                <c:ptCount val="18"/>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lvl>
                <c:lvl>
                  <c:pt idx="0">
                    <c:v>2020</c:v>
                  </c:pt>
                  <c:pt idx="4">
                    <c:v>2021</c:v>
                  </c:pt>
                  <c:pt idx="8">
                    <c:v>2022</c:v>
                  </c:pt>
                  <c:pt idx="12">
                    <c:v>2023</c:v>
                  </c:pt>
                  <c:pt idx="16">
                    <c:v>2024</c:v>
                  </c:pt>
                </c:lvl>
              </c:multiLvlStrCache>
            </c:multiLvlStrRef>
          </c:cat>
          <c:val>
            <c:numRef>
              <c:f>'Biofuel Feedstocks'!$C$12:$BD$12</c:f>
              <c:numCache>
                <c:formatCode>#,##0_);[Red]\(#,##0\)</c:formatCode>
                <c:ptCount val="18"/>
                <c:pt idx="0">
                  <c:v>165231</c:v>
                </c:pt>
                <c:pt idx="1">
                  <c:v>186081</c:v>
                </c:pt>
                <c:pt idx="2">
                  <c:v>163859</c:v>
                </c:pt>
                <c:pt idx="3">
                  <c:v>242987</c:v>
                </c:pt>
                <c:pt idx="4">
                  <c:v>188497</c:v>
                </c:pt>
                <c:pt idx="5">
                  <c:v>267658</c:v>
                </c:pt>
                <c:pt idx="6">
                  <c:v>393228</c:v>
                </c:pt>
                <c:pt idx="7">
                  <c:v>333964</c:v>
                </c:pt>
                <c:pt idx="8">
                  <c:v>615584</c:v>
                </c:pt>
                <c:pt idx="9">
                  <c:v>511290</c:v>
                </c:pt>
                <c:pt idx="10">
                  <c:v>689777</c:v>
                </c:pt>
                <c:pt idx="11">
                  <c:v>473636</c:v>
                </c:pt>
                <c:pt idx="12">
                  <c:v>262804</c:v>
                </c:pt>
                <c:pt idx="13">
                  <c:v>246096</c:v>
                </c:pt>
                <c:pt idx="14">
                  <c:v>637129</c:v>
                </c:pt>
                <c:pt idx="15">
                  <c:v>475307</c:v>
                </c:pt>
                <c:pt idx="16">
                  <c:v>450129</c:v>
                </c:pt>
                <c:pt idx="17">
                  <c:v>818492</c:v>
                </c:pt>
              </c:numCache>
            </c:numRef>
          </c:val>
          <c:extLst>
            <c:ext xmlns:c16="http://schemas.microsoft.com/office/drawing/2014/chart" uri="{C3380CC4-5D6E-409C-BE32-E72D297353CC}">
              <c16:uniqueId val="{00000000-01D2-4BF4-B800-1639B71C8157}"/>
            </c:ext>
          </c:extLst>
        </c:ser>
        <c:ser>
          <c:idx val="1"/>
          <c:order val="1"/>
          <c:tx>
            <c:strRef>
              <c:f>'Biofuel Feedstocks'!$A$13:$B$13</c:f>
              <c:strCache>
                <c:ptCount val="2"/>
                <c:pt idx="0">
                  <c:v>RD – UCO</c:v>
                </c:pt>
              </c:strCache>
            </c:strRef>
          </c:tx>
          <c:spPr>
            <a:solidFill>
              <a:schemeClr val="accent2"/>
            </a:solidFill>
            <a:ln>
              <a:noFill/>
            </a:ln>
            <a:effectLst/>
          </c:spPr>
          <c:invertIfNegative val="0"/>
          <c:cat>
            <c:multiLvlStrRef>
              <c:f>'Biofuel Feedstocks'!$AM$4:$BD$5</c:f>
              <c:multiLvlStrCache>
                <c:ptCount val="18"/>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lvl>
                <c:lvl>
                  <c:pt idx="0">
                    <c:v>2020</c:v>
                  </c:pt>
                  <c:pt idx="4">
                    <c:v>2021</c:v>
                  </c:pt>
                  <c:pt idx="8">
                    <c:v>2022</c:v>
                  </c:pt>
                  <c:pt idx="12">
                    <c:v>2023</c:v>
                  </c:pt>
                  <c:pt idx="16">
                    <c:v>2024</c:v>
                  </c:pt>
                </c:lvl>
              </c:multiLvlStrCache>
            </c:multiLvlStrRef>
          </c:cat>
          <c:val>
            <c:numRef>
              <c:f>'Biofuel Feedstocks'!$C$13:$BD$13</c:f>
              <c:numCache>
                <c:formatCode>#,##0_);[Red]\(#,##0\)</c:formatCode>
                <c:ptCount val="18"/>
                <c:pt idx="0">
                  <c:v>414494</c:v>
                </c:pt>
                <c:pt idx="1">
                  <c:v>336409</c:v>
                </c:pt>
                <c:pt idx="2">
                  <c:v>468295</c:v>
                </c:pt>
                <c:pt idx="3">
                  <c:v>574305</c:v>
                </c:pt>
                <c:pt idx="4">
                  <c:v>700368</c:v>
                </c:pt>
                <c:pt idx="5">
                  <c:v>506257</c:v>
                </c:pt>
                <c:pt idx="6">
                  <c:v>498339</c:v>
                </c:pt>
                <c:pt idx="7">
                  <c:v>736108</c:v>
                </c:pt>
                <c:pt idx="8">
                  <c:v>675796</c:v>
                </c:pt>
                <c:pt idx="9">
                  <c:v>810562</c:v>
                </c:pt>
                <c:pt idx="10">
                  <c:v>806369</c:v>
                </c:pt>
                <c:pt idx="11">
                  <c:v>1041919</c:v>
                </c:pt>
                <c:pt idx="12">
                  <c:v>1063577</c:v>
                </c:pt>
                <c:pt idx="13">
                  <c:v>1196187</c:v>
                </c:pt>
                <c:pt idx="14">
                  <c:v>908876</c:v>
                </c:pt>
                <c:pt idx="15">
                  <c:v>749664</c:v>
                </c:pt>
                <c:pt idx="16">
                  <c:v>650256</c:v>
                </c:pt>
                <c:pt idx="17">
                  <c:v>583050</c:v>
                </c:pt>
              </c:numCache>
            </c:numRef>
          </c:val>
          <c:extLst>
            <c:ext xmlns:c16="http://schemas.microsoft.com/office/drawing/2014/chart" uri="{C3380CC4-5D6E-409C-BE32-E72D297353CC}">
              <c16:uniqueId val="{00000001-01D2-4BF4-B800-1639B71C8157}"/>
            </c:ext>
          </c:extLst>
        </c:ser>
        <c:ser>
          <c:idx val="2"/>
          <c:order val="2"/>
          <c:tx>
            <c:strRef>
              <c:f>'Biofuel Feedstocks'!$A$14:$B$14</c:f>
              <c:strCache>
                <c:ptCount val="2"/>
                <c:pt idx="0">
                  <c:v>RD – Tallow</c:v>
                </c:pt>
              </c:strCache>
            </c:strRef>
          </c:tx>
          <c:spPr>
            <a:solidFill>
              <a:schemeClr val="accent3"/>
            </a:solidFill>
            <a:ln>
              <a:noFill/>
            </a:ln>
            <a:effectLst/>
          </c:spPr>
          <c:invertIfNegative val="0"/>
          <c:cat>
            <c:multiLvlStrRef>
              <c:f>'Biofuel Feedstocks'!$AM$4:$BD$5</c:f>
              <c:multiLvlStrCache>
                <c:ptCount val="18"/>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lvl>
                <c:lvl>
                  <c:pt idx="0">
                    <c:v>2020</c:v>
                  </c:pt>
                  <c:pt idx="4">
                    <c:v>2021</c:v>
                  </c:pt>
                  <c:pt idx="8">
                    <c:v>2022</c:v>
                  </c:pt>
                  <c:pt idx="12">
                    <c:v>2023</c:v>
                  </c:pt>
                  <c:pt idx="16">
                    <c:v>2024</c:v>
                  </c:pt>
                </c:lvl>
              </c:multiLvlStrCache>
            </c:multiLvlStrRef>
          </c:cat>
          <c:val>
            <c:numRef>
              <c:f>'Biofuel Feedstocks'!$C$14:$BD$14</c:f>
              <c:numCache>
                <c:formatCode>#,##0_);[Red]\(#,##0\)</c:formatCode>
                <c:ptCount val="18"/>
                <c:pt idx="0">
                  <c:v>357630</c:v>
                </c:pt>
                <c:pt idx="1">
                  <c:v>493433</c:v>
                </c:pt>
                <c:pt idx="2">
                  <c:v>377830</c:v>
                </c:pt>
                <c:pt idx="3">
                  <c:v>332145</c:v>
                </c:pt>
                <c:pt idx="4">
                  <c:v>362239</c:v>
                </c:pt>
                <c:pt idx="5">
                  <c:v>533684</c:v>
                </c:pt>
                <c:pt idx="6">
                  <c:v>474384</c:v>
                </c:pt>
                <c:pt idx="7">
                  <c:v>461012</c:v>
                </c:pt>
                <c:pt idx="8">
                  <c:v>656798</c:v>
                </c:pt>
                <c:pt idx="9">
                  <c:v>813604</c:v>
                </c:pt>
                <c:pt idx="10">
                  <c:v>475856</c:v>
                </c:pt>
                <c:pt idx="11">
                  <c:v>668860</c:v>
                </c:pt>
                <c:pt idx="12">
                  <c:v>704410</c:v>
                </c:pt>
                <c:pt idx="13">
                  <c:v>782035</c:v>
                </c:pt>
                <c:pt idx="14">
                  <c:v>1005003</c:v>
                </c:pt>
                <c:pt idx="15">
                  <c:v>1543151</c:v>
                </c:pt>
                <c:pt idx="16">
                  <c:v>1487636</c:v>
                </c:pt>
                <c:pt idx="17">
                  <c:v>1209942</c:v>
                </c:pt>
              </c:numCache>
            </c:numRef>
          </c:val>
          <c:extLst>
            <c:ext xmlns:c16="http://schemas.microsoft.com/office/drawing/2014/chart" uri="{C3380CC4-5D6E-409C-BE32-E72D297353CC}">
              <c16:uniqueId val="{00000002-01D2-4BF4-B800-1639B71C8157}"/>
            </c:ext>
          </c:extLst>
        </c:ser>
        <c:ser>
          <c:idx val="3"/>
          <c:order val="3"/>
          <c:tx>
            <c:strRef>
              <c:f>'Biofuel Feedstocks'!$A$15:$B$15</c:f>
              <c:strCache>
                <c:ptCount val="2"/>
                <c:pt idx="0">
                  <c:v>RD – Soy</c:v>
                </c:pt>
              </c:strCache>
            </c:strRef>
          </c:tx>
          <c:spPr>
            <a:solidFill>
              <a:schemeClr val="accent4"/>
            </a:solidFill>
            <a:ln>
              <a:noFill/>
            </a:ln>
            <a:effectLst/>
          </c:spPr>
          <c:invertIfNegative val="0"/>
          <c:cat>
            <c:multiLvlStrRef>
              <c:f>'Biofuel Feedstocks'!$AM$4:$BD$5</c:f>
              <c:multiLvlStrCache>
                <c:ptCount val="18"/>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lvl>
                <c:lvl>
                  <c:pt idx="0">
                    <c:v>2020</c:v>
                  </c:pt>
                  <c:pt idx="4">
                    <c:v>2021</c:v>
                  </c:pt>
                  <c:pt idx="8">
                    <c:v>2022</c:v>
                  </c:pt>
                  <c:pt idx="12">
                    <c:v>2023</c:v>
                  </c:pt>
                  <c:pt idx="16">
                    <c:v>2024</c:v>
                  </c:pt>
                </c:lvl>
              </c:multiLvlStrCache>
            </c:multiLvlStrRef>
          </c:cat>
          <c:val>
            <c:numRef>
              <c:f>'Biofuel Feedstocks'!$C$15:$BD$15</c:f>
              <c:numCache>
                <c:formatCode>General</c:formatCode>
                <c:ptCount val="18"/>
                <c:pt idx="6" formatCode="#,##0_);[Red]\(#,##0\)">
                  <c:v>338780</c:v>
                </c:pt>
                <c:pt idx="7" formatCode="#,##0_);[Red]\(#,##0\)">
                  <c:v>337919</c:v>
                </c:pt>
                <c:pt idx="8" formatCode="#,##0_);[Red]\(#,##0\)">
                  <c:v>312835</c:v>
                </c:pt>
                <c:pt idx="9" formatCode="#,##0_);[Red]\(#,##0\)">
                  <c:v>262394</c:v>
                </c:pt>
                <c:pt idx="10" formatCode="#,##0_);[Red]\(#,##0\)">
                  <c:v>268356</c:v>
                </c:pt>
                <c:pt idx="11" formatCode="#,##0_);[Red]\(#,##0\)">
                  <c:v>235211</c:v>
                </c:pt>
                <c:pt idx="12" formatCode="#,##0_);[Red]\(#,##0\)">
                  <c:v>323806</c:v>
                </c:pt>
                <c:pt idx="13" formatCode="#,##0_);[Red]\(#,##0\)">
                  <c:v>393074</c:v>
                </c:pt>
                <c:pt idx="14" formatCode="#,##0_);[Red]\(#,##0\)">
                  <c:v>309159</c:v>
                </c:pt>
                <c:pt idx="15" formatCode="#,##0_);[Red]\(#,##0\)">
                  <c:v>368613</c:v>
                </c:pt>
                <c:pt idx="16" formatCode="#,##0_);[Red]\(#,##0\)">
                  <c:v>281650</c:v>
                </c:pt>
                <c:pt idx="17" formatCode="#,##0_);[Red]\(#,##0\)">
                  <c:v>481724</c:v>
                </c:pt>
              </c:numCache>
            </c:numRef>
          </c:val>
          <c:extLst>
            <c:ext xmlns:c16="http://schemas.microsoft.com/office/drawing/2014/chart" uri="{C3380CC4-5D6E-409C-BE32-E72D297353CC}">
              <c16:uniqueId val="{00000003-01D2-4BF4-B800-1639B71C8157}"/>
            </c:ext>
          </c:extLst>
        </c:ser>
        <c:ser>
          <c:idx val="4"/>
          <c:order val="4"/>
          <c:tx>
            <c:strRef>
              <c:f>'Biofuel Feedstocks'!$A$16:$B$16</c:f>
              <c:strCache>
                <c:ptCount val="2"/>
                <c:pt idx="0">
                  <c:v>RD – Other</c:v>
                </c:pt>
              </c:strCache>
            </c:strRef>
          </c:tx>
          <c:spPr>
            <a:solidFill>
              <a:schemeClr val="accent5"/>
            </a:solidFill>
            <a:ln>
              <a:noFill/>
            </a:ln>
            <a:effectLst/>
          </c:spPr>
          <c:invertIfNegative val="0"/>
          <c:cat>
            <c:multiLvlStrRef>
              <c:f>'Biofuel Feedstocks'!$AM$4:$BD$5</c:f>
              <c:multiLvlStrCache>
                <c:ptCount val="18"/>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lvl>
                <c:lvl>
                  <c:pt idx="0">
                    <c:v>2020</c:v>
                  </c:pt>
                  <c:pt idx="4">
                    <c:v>2021</c:v>
                  </c:pt>
                  <c:pt idx="8">
                    <c:v>2022</c:v>
                  </c:pt>
                  <c:pt idx="12">
                    <c:v>2023</c:v>
                  </c:pt>
                  <c:pt idx="16">
                    <c:v>2024</c:v>
                  </c:pt>
                </c:lvl>
              </c:multiLvlStrCache>
            </c:multiLvlStrRef>
          </c:cat>
          <c:val>
            <c:numRef>
              <c:f>'Biofuel Feedstocks'!$C$16:$BD$16</c:f>
              <c:numCache>
                <c:formatCode>#,##0_);[Red]\(#,##0\)</c:formatCode>
                <c:ptCount val="18"/>
                <c:pt idx="0">
                  <c:v>63076</c:v>
                </c:pt>
                <c:pt idx="1">
                  <c:v>114086</c:v>
                </c:pt>
                <c:pt idx="2">
                  <c:v>87095</c:v>
                </c:pt>
                <c:pt idx="3">
                  <c:v>117925</c:v>
                </c:pt>
                <c:pt idx="4">
                  <c:v>181543</c:v>
                </c:pt>
                <c:pt idx="5">
                  <c:v>196135</c:v>
                </c:pt>
                <c:pt idx="6">
                  <c:v>19505</c:v>
                </c:pt>
                <c:pt idx="7">
                  <c:v>26843</c:v>
                </c:pt>
                <c:pt idx="8">
                  <c:v>15616</c:v>
                </c:pt>
                <c:pt idx="9">
                  <c:v>67834</c:v>
                </c:pt>
                <c:pt idx="10">
                  <c:v>152956</c:v>
                </c:pt>
                <c:pt idx="11">
                  <c:v>143652</c:v>
                </c:pt>
                <c:pt idx="12">
                  <c:v>149481</c:v>
                </c:pt>
                <c:pt idx="13">
                  <c:v>229769</c:v>
                </c:pt>
                <c:pt idx="14">
                  <c:v>322334</c:v>
                </c:pt>
                <c:pt idx="15">
                  <c:v>258377</c:v>
                </c:pt>
                <c:pt idx="16">
                  <c:v>279869</c:v>
                </c:pt>
                <c:pt idx="17">
                  <c:v>399726</c:v>
                </c:pt>
              </c:numCache>
            </c:numRef>
          </c:val>
          <c:extLst>
            <c:ext xmlns:c16="http://schemas.microsoft.com/office/drawing/2014/chart" uri="{C3380CC4-5D6E-409C-BE32-E72D297353CC}">
              <c16:uniqueId val="{00000004-01D2-4BF4-B800-1639B71C8157}"/>
            </c:ext>
          </c:extLst>
        </c:ser>
        <c:dLbls>
          <c:showLegendKey val="0"/>
          <c:showVal val="0"/>
          <c:showCatName val="0"/>
          <c:showSerName val="0"/>
          <c:showPercent val="0"/>
          <c:showBubbleSize val="0"/>
        </c:dLbls>
        <c:gapWidth val="50"/>
        <c:overlap val="100"/>
        <c:axId val="2101292063"/>
        <c:axId val="2101292543"/>
      </c:barChart>
      <c:catAx>
        <c:axId val="2101292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1292543"/>
        <c:crosses val="autoZero"/>
        <c:auto val="1"/>
        <c:lblAlgn val="ctr"/>
        <c:lblOffset val="100"/>
        <c:noMultiLvlLbl val="0"/>
      </c:catAx>
      <c:valAx>
        <c:axId val="210129254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12920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Biodiesel Feedstock Breakdown 2Q</a:t>
            </a:r>
            <a:r>
              <a:rPr lang="en-GB" baseline="0"/>
              <a:t> 2024</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manualLayout>
          <c:layoutTarget val="inner"/>
          <c:xMode val="edge"/>
          <c:yMode val="edge"/>
          <c:x val="0.24976224846894138"/>
          <c:y val="0.22666375036453776"/>
          <c:w val="0.45047572178477691"/>
          <c:h val="0.75079286964129488"/>
        </c:manualLayout>
      </c:layout>
      <c:pieChart>
        <c:varyColors val="1"/>
        <c:ser>
          <c:idx val="0"/>
          <c:order val="0"/>
          <c:spPr>
            <a:ln>
              <a:noFill/>
            </a:ln>
          </c:spPr>
          <c:dPt>
            <c:idx val="0"/>
            <c:bubble3D val="0"/>
            <c:spPr>
              <a:solidFill>
                <a:schemeClr val="accent1"/>
              </a:solidFill>
              <a:ln w="19050">
                <a:noFill/>
              </a:ln>
              <a:effectLst/>
            </c:spPr>
            <c:extLst>
              <c:ext xmlns:c16="http://schemas.microsoft.com/office/drawing/2014/chart" uri="{C3380CC4-5D6E-409C-BE32-E72D297353CC}">
                <c16:uniqueId val="{00000001-75AE-41E6-B3C8-8EF813DD851D}"/>
              </c:ext>
            </c:extLst>
          </c:dPt>
          <c:dPt>
            <c:idx val="1"/>
            <c:bubble3D val="0"/>
            <c:spPr>
              <a:solidFill>
                <a:schemeClr val="accent2"/>
              </a:solidFill>
              <a:ln w="19050">
                <a:noFill/>
              </a:ln>
              <a:effectLst/>
            </c:spPr>
            <c:extLst>
              <c:ext xmlns:c16="http://schemas.microsoft.com/office/drawing/2014/chart" uri="{C3380CC4-5D6E-409C-BE32-E72D297353CC}">
                <c16:uniqueId val="{00000003-75AE-41E6-B3C8-8EF813DD851D}"/>
              </c:ext>
            </c:extLst>
          </c:dPt>
          <c:dPt>
            <c:idx val="2"/>
            <c:bubble3D val="0"/>
            <c:spPr>
              <a:solidFill>
                <a:schemeClr val="accent3"/>
              </a:solidFill>
              <a:ln w="19050">
                <a:noFill/>
              </a:ln>
              <a:effectLst/>
            </c:spPr>
            <c:extLst>
              <c:ext xmlns:c16="http://schemas.microsoft.com/office/drawing/2014/chart" uri="{C3380CC4-5D6E-409C-BE32-E72D297353CC}">
                <c16:uniqueId val="{00000005-75AE-41E6-B3C8-8EF813DD851D}"/>
              </c:ext>
            </c:extLst>
          </c:dPt>
          <c:dPt>
            <c:idx val="3"/>
            <c:bubble3D val="0"/>
            <c:spPr>
              <a:solidFill>
                <a:schemeClr val="accent4"/>
              </a:solidFill>
              <a:ln w="19050">
                <a:noFill/>
              </a:ln>
              <a:effectLst/>
            </c:spPr>
            <c:extLst>
              <c:ext xmlns:c16="http://schemas.microsoft.com/office/drawing/2014/chart" uri="{C3380CC4-5D6E-409C-BE32-E72D297353CC}">
                <c16:uniqueId val="{00000007-75AE-41E6-B3C8-8EF813DD851D}"/>
              </c:ext>
            </c:extLst>
          </c:dPt>
          <c:dPt>
            <c:idx val="4"/>
            <c:bubble3D val="0"/>
            <c:spPr>
              <a:solidFill>
                <a:schemeClr val="accent5"/>
              </a:solidFill>
              <a:ln w="19050">
                <a:noFill/>
              </a:ln>
              <a:effectLst/>
            </c:spPr>
            <c:extLst>
              <c:ext xmlns:c16="http://schemas.microsoft.com/office/drawing/2014/chart" uri="{C3380CC4-5D6E-409C-BE32-E72D297353CC}">
                <c16:uniqueId val="{00000009-75AE-41E6-B3C8-8EF813DD851D}"/>
              </c:ext>
            </c:extLst>
          </c:dPt>
          <c:dLbls>
            <c:dLbl>
              <c:idx val="0"/>
              <c:layout>
                <c:manualLayout>
                  <c:x val="0.16635433070866143"/>
                  <c:y val="0.1038433216681248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5AE-41E6-B3C8-8EF813DD851D}"/>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'Biofuel Feedstocks'!$A$6:$A$11</c15:sqref>
                  </c15:fullRef>
                </c:ext>
              </c:extLst>
              <c:f>'Biofuel Feedstocks'!$A$6:$A$10</c:f>
              <c:strCache>
                <c:ptCount val="5"/>
                <c:pt idx="0">
                  <c:v>BD-Canola</c:v>
                </c:pt>
                <c:pt idx="1">
                  <c:v>BD-Corn Oil</c:v>
                </c:pt>
                <c:pt idx="2">
                  <c:v>BD-Soy</c:v>
                </c:pt>
                <c:pt idx="3">
                  <c:v>BD-Tallow</c:v>
                </c:pt>
                <c:pt idx="4">
                  <c:v>BD-UCO</c:v>
                </c:pt>
              </c:strCache>
            </c:strRef>
          </c:cat>
          <c:val>
            <c:numRef>
              <c:extLst>
                <c:ext xmlns:c15="http://schemas.microsoft.com/office/drawing/2012/chart" uri="{02D57815-91ED-43cb-92C2-25804820EDAC}">
                  <c15:fullRef>
                    <c15:sqref>'Biofuel Feedstocks'!$BD$6:$BD$11</c15:sqref>
                  </c15:fullRef>
                </c:ext>
              </c:extLst>
              <c:f>'Biofuel Feedstocks'!$BD$6:$BD$10</c:f>
              <c:numCache>
                <c:formatCode>#,##0_);[Red]\(#,##0\)</c:formatCode>
                <c:ptCount val="5"/>
                <c:pt idx="0">
                  <c:v>26605</c:v>
                </c:pt>
                <c:pt idx="1">
                  <c:v>106296</c:v>
                </c:pt>
                <c:pt idx="2">
                  <c:v>279</c:v>
                </c:pt>
                <c:pt idx="3">
                  <c:v>98261</c:v>
                </c:pt>
                <c:pt idx="4">
                  <c:v>208990</c:v>
                </c:pt>
              </c:numCache>
            </c:numRef>
          </c:val>
          <c:extLst>
            <c:ext xmlns:c15="http://schemas.microsoft.com/office/drawing/2012/chart" uri="{02D57815-91ED-43cb-92C2-25804820EDAC}">
              <c15:categoryFilterExceptions>
                <c15:categoryFilterException>
                  <c15:sqref>'Biofuel Feedstocks'!$BD$11</c15:sqref>
                  <c15:spPr xmlns:c15="http://schemas.microsoft.com/office/drawing/2012/chart">
                    <a:solidFill>
                      <a:schemeClr val="accent6"/>
                    </a:solidFill>
                    <a:ln w="19050">
                      <a:noFill/>
                    </a:ln>
                    <a:effectLst/>
                  </c15:spPr>
                  <c15:bubble3D val="0"/>
                </c15:categoryFilterException>
              </c15:categoryFilterExceptions>
            </c:ext>
            <c:ext xmlns:c16="http://schemas.microsoft.com/office/drawing/2014/chart" uri="{C3380CC4-5D6E-409C-BE32-E72D297353CC}">
              <c16:uniqueId val="{0000000A-75AE-41E6-B3C8-8EF813DD851D}"/>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Renewable</a:t>
            </a:r>
            <a:r>
              <a:rPr lang="en-GB" baseline="0"/>
              <a:t> Diesel Feedstock Breakdown 2Q 2024</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manualLayout>
          <c:layoutTarget val="inner"/>
          <c:xMode val="edge"/>
          <c:yMode val="edge"/>
          <c:x val="0.29142891513560804"/>
          <c:y val="0.21277486147564889"/>
          <c:w val="0.43658683289588796"/>
          <c:h val="0.72764472149314663"/>
        </c:manualLayout>
      </c:layout>
      <c:pieChart>
        <c:varyColors val="1"/>
        <c:ser>
          <c:idx val="0"/>
          <c:order val="0"/>
          <c:spPr>
            <a:ln>
              <a:noFill/>
            </a:ln>
          </c:spPr>
          <c:dPt>
            <c:idx val="0"/>
            <c:bubble3D val="0"/>
            <c:spPr>
              <a:solidFill>
                <a:schemeClr val="accent1"/>
              </a:solidFill>
              <a:ln w="19050">
                <a:noFill/>
              </a:ln>
              <a:effectLst/>
            </c:spPr>
            <c:extLst>
              <c:ext xmlns:c16="http://schemas.microsoft.com/office/drawing/2014/chart" uri="{C3380CC4-5D6E-409C-BE32-E72D297353CC}">
                <c16:uniqueId val="{00000001-2BA7-4BEE-8B31-0FE8183C894E}"/>
              </c:ext>
            </c:extLst>
          </c:dPt>
          <c:dPt>
            <c:idx val="1"/>
            <c:bubble3D val="0"/>
            <c:spPr>
              <a:solidFill>
                <a:schemeClr val="accent2"/>
              </a:solidFill>
              <a:ln w="19050">
                <a:noFill/>
              </a:ln>
              <a:effectLst/>
            </c:spPr>
            <c:extLst>
              <c:ext xmlns:c16="http://schemas.microsoft.com/office/drawing/2014/chart" uri="{C3380CC4-5D6E-409C-BE32-E72D297353CC}">
                <c16:uniqueId val="{00000003-2BA7-4BEE-8B31-0FE8183C894E}"/>
              </c:ext>
            </c:extLst>
          </c:dPt>
          <c:dPt>
            <c:idx val="2"/>
            <c:bubble3D val="0"/>
            <c:spPr>
              <a:solidFill>
                <a:schemeClr val="accent3"/>
              </a:solidFill>
              <a:ln w="19050">
                <a:noFill/>
              </a:ln>
              <a:effectLst/>
            </c:spPr>
            <c:extLst>
              <c:ext xmlns:c16="http://schemas.microsoft.com/office/drawing/2014/chart" uri="{C3380CC4-5D6E-409C-BE32-E72D297353CC}">
                <c16:uniqueId val="{00000005-2BA7-4BEE-8B31-0FE8183C894E}"/>
              </c:ext>
            </c:extLst>
          </c:dPt>
          <c:dPt>
            <c:idx val="3"/>
            <c:bubble3D val="0"/>
            <c:spPr>
              <a:solidFill>
                <a:schemeClr val="accent4"/>
              </a:solidFill>
              <a:ln w="19050">
                <a:noFill/>
              </a:ln>
              <a:effectLst/>
            </c:spPr>
            <c:extLst>
              <c:ext xmlns:c16="http://schemas.microsoft.com/office/drawing/2014/chart" uri="{C3380CC4-5D6E-409C-BE32-E72D297353CC}">
                <c16:uniqueId val="{00000007-2BA7-4BEE-8B31-0FE8183C894E}"/>
              </c:ext>
            </c:extLst>
          </c:dPt>
          <c:dPt>
            <c:idx val="4"/>
            <c:bubble3D val="0"/>
            <c:spPr>
              <a:solidFill>
                <a:schemeClr val="accent5"/>
              </a:solidFill>
              <a:ln w="19050">
                <a:noFill/>
              </a:ln>
              <a:effectLst/>
            </c:spPr>
            <c:extLst>
              <c:ext xmlns:c16="http://schemas.microsoft.com/office/drawing/2014/chart" uri="{C3380CC4-5D6E-409C-BE32-E72D297353CC}">
                <c16:uniqueId val="{00000009-2BA7-4BEE-8B31-0FE8183C894E}"/>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'Biofuel Feedstocks'!$A$12:$A$17</c15:sqref>
                  </c15:fullRef>
                </c:ext>
              </c:extLst>
              <c:f>'Biofuel Feedstocks'!$A$12:$A$16</c:f>
              <c:strCache>
                <c:ptCount val="5"/>
                <c:pt idx="0">
                  <c:v>RD – Corn Oil</c:v>
                </c:pt>
                <c:pt idx="1">
                  <c:v>RD – UCO</c:v>
                </c:pt>
                <c:pt idx="2">
                  <c:v>RD – Tallow</c:v>
                </c:pt>
                <c:pt idx="3">
                  <c:v>RD – Soy</c:v>
                </c:pt>
                <c:pt idx="4">
                  <c:v>RD – Other</c:v>
                </c:pt>
              </c:strCache>
            </c:strRef>
          </c:cat>
          <c:val>
            <c:numRef>
              <c:extLst>
                <c:ext xmlns:c15="http://schemas.microsoft.com/office/drawing/2012/chart" uri="{02D57815-91ED-43cb-92C2-25804820EDAC}">
                  <c15:fullRef>
                    <c15:sqref>'Biofuel Feedstocks'!$BD$12:$BD$17</c15:sqref>
                  </c15:fullRef>
                </c:ext>
              </c:extLst>
              <c:f>'Biofuel Feedstocks'!$BD$12:$BD$16</c:f>
              <c:numCache>
                <c:formatCode>#,##0_);[Red]\(#,##0\)</c:formatCode>
                <c:ptCount val="5"/>
                <c:pt idx="0">
                  <c:v>818492</c:v>
                </c:pt>
                <c:pt idx="1">
                  <c:v>583050</c:v>
                </c:pt>
                <c:pt idx="2">
                  <c:v>1209942</c:v>
                </c:pt>
                <c:pt idx="3">
                  <c:v>481724</c:v>
                </c:pt>
                <c:pt idx="4">
                  <c:v>399726</c:v>
                </c:pt>
              </c:numCache>
            </c:numRef>
          </c:val>
          <c:extLst>
            <c:ext xmlns:c15="http://schemas.microsoft.com/office/drawing/2012/chart" uri="{02D57815-91ED-43cb-92C2-25804820EDAC}">
              <c15:categoryFilterExceptions>
                <c15:categoryFilterException>
                  <c15:sqref>'Biofuel Feedstocks'!$BD$17</c15:sqref>
                  <c15:spPr xmlns:c15="http://schemas.microsoft.com/office/drawing/2012/chart">
                    <a:solidFill>
                      <a:schemeClr val="accent6"/>
                    </a:solidFill>
                    <a:ln w="19050">
                      <a:noFill/>
                    </a:ln>
                    <a:effectLst/>
                  </c15:spPr>
                  <c15:bubble3D val="0"/>
                </c15:categoryFilterException>
              </c15:categoryFilterExceptions>
            </c:ext>
            <c:ext xmlns:c16="http://schemas.microsoft.com/office/drawing/2014/chart" uri="{C3380CC4-5D6E-409C-BE32-E72D297353CC}">
              <c16:uniqueId val="{0000000A-2BA7-4BEE-8B31-0FE8183C894E}"/>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Biomass-Based Diesel Feedstock Consumption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percentStacked"/>
        <c:varyColors val="0"/>
        <c:ser>
          <c:idx val="0"/>
          <c:order val="0"/>
          <c:tx>
            <c:strRef>
              <c:f>'Biofuel Feedstocks'!$A$24</c:f>
              <c:strCache>
                <c:ptCount val="1"/>
                <c:pt idx="0">
                  <c:v>Canola</c:v>
                </c:pt>
              </c:strCache>
            </c:strRef>
          </c:tx>
          <c:spPr>
            <a:solidFill>
              <a:schemeClr val="accent1"/>
            </a:solidFill>
            <a:ln>
              <a:noFill/>
            </a:ln>
            <a:effectLst/>
          </c:spPr>
          <c:invertIfNegative val="0"/>
          <c:cat>
            <c:multiLvlStrRef>
              <c:extLst>
                <c:ext xmlns:c15="http://schemas.microsoft.com/office/drawing/2012/chart" uri="{02D57815-91ED-43cb-92C2-25804820EDAC}">
                  <c15:fullRef>
                    <c15:sqref>'Biofuel Feedstocks'!$AM$4:$BF$5</c15:sqref>
                  </c15:fullRef>
                </c:ext>
              </c:extLst>
              <c:f>'Biofuel Feedstocks'!$AM$4:$BF$5</c:f>
              <c:multiLvlStrCache>
                <c:ptCount val="12"/>
                <c:lvl>
                  <c:pt idx="0">
                    <c:v>Q1</c:v>
                  </c:pt>
                  <c:pt idx="1">
                    <c:v>Q2</c:v>
                  </c:pt>
                  <c:pt idx="2">
                    <c:v>Q3</c:v>
                  </c:pt>
                  <c:pt idx="3">
                    <c:v>Q4</c:v>
                  </c:pt>
                  <c:pt idx="4">
                    <c:v>Q1</c:v>
                  </c:pt>
                  <c:pt idx="5">
                    <c:v>Q2</c:v>
                  </c:pt>
                  <c:pt idx="6">
                    <c:v>Q3</c:v>
                  </c:pt>
                  <c:pt idx="7">
                    <c:v>Q4</c:v>
                  </c:pt>
                  <c:pt idx="8">
                    <c:v>Q1</c:v>
                  </c:pt>
                  <c:pt idx="9">
                    <c:v>Q2</c:v>
                  </c:pt>
                  <c:pt idx="10">
                    <c:v>Q3</c:v>
                  </c:pt>
                  <c:pt idx="11">
                    <c:v>Q4</c:v>
                  </c:pt>
                </c:lvl>
                <c:lvl>
                  <c:pt idx="0">
                    <c:v>2020</c:v>
                  </c:pt>
                  <c:pt idx="4">
                    <c:v>2023</c:v>
                  </c:pt>
                  <c:pt idx="8">
                    <c:v>2024</c:v>
                  </c:pt>
                </c:lvl>
              </c:multiLvlStrCache>
            </c:multiLvlStrRef>
          </c:cat>
          <c:val>
            <c:numRef>
              <c:extLst>
                <c:ext xmlns:c15="http://schemas.microsoft.com/office/drawing/2012/chart" uri="{02D57815-91ED-43cb-92C2-25804820EDAC}">
                  <c15:fullRef>
                    <c15:sqref>'Biofuel Feedstocks'!$B$24:$BD$24</c15:sqref>
                  </c15:fullRef>
                </c:ext>
              </c:extLst>
              <c:f>('Biofuel Feedstocks'!$B$24:$AL$24,'Biofuel Feedstocks'!$AU$24:$BD$24)</c:f>
              <c:numCache>
                <c:formatCode>#,##0_);[Red]\(#,##0\)</c:formatCode>
                <c:ptCount val="11"/>
                <c:pt idx="1">
                  <c:v>17460</c:v>
                </c:pt>
                <c:pt idx="2">
                  <c:v>19551</c:v>
                </c:pt>
                <c:pt idx="3">
                  <c:v>33717</c:v>
                </c:pt>
                <c:pt idx="4">
                  <c:v>55285</c:v>
                </c:pt>
                <c:pt idx="5">
                  <c:v>109914</c:v>
                </c:pt>
                <c:pt idx="6">
                  <c:v>34240</c:v>
                </c:pt>
                <c:pt idx="7">
                  <c:v>35693</c:v>
                </c:pt>
                <c:pt idx="8">
                  <c:v>110066</c:v>
                </c:pt>
                <c:pt idx="9">
                  <c:v>105974</c:v>
                </c:pt>
                <c:pt idx="10">
                  <c:v>26605</c:v>
                </c:pt>
              </c:numCache>
            </c:numRef>
          </c:val>
          <c:extLst>
            <c:ext xmlns:c16="http://schemas.microsoft.com/office/drawing/2014/chart" uri="{C3380CC4-5D6E-409C-BE32-E72D297353CC}">
              <c16:uniqueId val="{00000000-B359-4B74-B157-01ED849ECD7C}"/>
            </c:ext>
          </c:extLst>
        </c:ser>
        <c:ser>
          <c:idx val="1"/>
          <c:order val="1"/>
          <c:tx>
            <c:strRef>
              <c:f>'Biofuel Feedstocks'!$A$25</c:f>
              <c:strCache>
                <c:ptCount val="1"/>
                <c:pt idx="0">
                  <c:v>Corn Oil</c:v>
                </c:pt>
              </c:strCache>
            </c:strRef>
          </c:tx>
          <c:spPr>
            <a:solidFill>
              <a:schemeClr val="accent2"/>
            </a:solidFill>
            <a:ln>
              <a:noFill/>
            </a:ln>
            <a:effectLst/>
          </c:spPr>
          <c:invertIfNegative val="0"/>
          <c:cat>
            <c:multiLvlStrRef>
              <c:extLst>
                <c:ext xmlns:c15="http://schemas.microsoft.com/office/drawing/2012/chart" uri="{02D57815-91ED-43cb-92C2-25804820EDAC}">
                  <c15:fullRef>
                    <c15:sqref>'Biofuel Feedstocks'!$AM$4:$BF$5</c15:sqref>
                  </c15:fullRef>
                </c:ext>
              </c:extLst>
              <c:f>'Biofuel Feedstocks'!$AM$4:$BF$5</c:f>
              <c:multiLvlStrCache>
                <c:ptCount val="12"/>
                <c:lvl>
                  <c:pt idx="0">
                    <c:v>Q1</c:v>
                  </c:pt>
                  <c:pt idx="1">
                    <c:v>Q2</c:v>
                  </c:pt>
                  <c:pt idx="2">
                    <c:v>Q3</c:v>
                  </c:pt>
                  <c:pt idx="3">
                    <c:v>Q4</c:v>
                  </c:pt>
                  <c:pt idx="4">
                    <c:v>Q1</c:v>
                  </c:pt>
                  <c:pt idx="5">
                    <c:v>Q2</c:v>
                  </c:pt>
                  <c:pt idx="6">
                    <c:v>Q3</c:v>
                  </c:pt>
                  <c:pt idx="7">
                    <c:v>Q4</c:v>
                  </c:pt>
                  <c:pt idx="8">
                    <c:v>Q1</c:v>
                  </c:pt>
                  <c:pt idx="9">
                    <c:v>Q2</c:v>
                  </c:pt>
                  <c:pt idx="10">
                    <c:v>Q3</c:v>
                  </c:pt>
                  <c:pt idx="11">
                    <c:v>Q4</c:v>
                  </c:pt>
                </c:lvl>
                <c:lvl>
                  <c:pt idx="0">
                    <c:v>2020</c:v>
                  </c:pt>
                  <c:pt idx="4">
                    <c:v>2023</c:v>
                  </c:pt>
                  <c:pt idx="8">
                    <c:v>2024</c:v>
                  </c:pt>
                </c:lvl>
              </c:multiLvlStrCache>
            </c:multiLvlStrRef>
          </c:cat>
          <c:val>
            <c:numRef>
              <c:extLst>
                <c:ext xmlns:c15="http://schemas.microsoft.com/office/drawing/2012/chart" uri="{02D57815-91ED-43cb-92C2-25804820EDAC}">
                  <c15:fullRef>
                    <c15:sqref>'Biofuel Feedstocks'!$B$25:$BD$25</c15:sqref>
                  </c15:fullRef>
                </c:ext>
              </c:extLst>
              <c:f>('Biofuel Feedstocks'!$B$25:$AL$25,'Biofuel Feedstocks'!$AU$25:$BD$25)</c:f>
              <c:numCache>
                <c:formatCode>#,##0_);[Red]\(#,##0\)</c:formatCode>
                <c:ptCount val="11"/>
                <c:pt idx="1">
                  <c:v>894647</c:v>
                </c:pt>
                <c:pt idx="2">
                  <c:v>612838</c:v>
                </c:pt>
                <c:pt idx="3">
                  <c:v>849753</c:v>
                </c:pt>
                <c:pt idx="4">
                  <c:v>641995</c:v>
                </c:pt>
                <c:pt idx="5">
                  <c:v>460942</c:v>
                </c:pt>
                <c:pt idx="6">
                  <c:v>387697</c:v>
                </c:pt>
                <c:pt idx="7">
                  <c:v>741579</c:v>
                </c:pt>
                <c:pt idx="8">
                  <c:v>594981</c:v>
                </c:pt>
                <c:pt idx="9">
                  <c:v>548463</c:v>
                </c:pt>
                <c:pt idx="10">
                  <c:v>924788</c:v>
                </c:pt>
              </c:numCache>
            </c:numRef>
          </c:val>
          <c:extLst>
            <c:ext xmlns:c16="http://schemas.microsoft.com/office/drawing/2014/chart" uri="{C3380CC4-5D6E-409C-BE32-E72D297353CC}">
              <c16:uniqueId val="{00000001-B359-4B74-B157-01ED849ECD7C}"/>
            </c:ext>
          </c:extLst>
        </c:ser>
        <c:ser>
          <c:idx val="2"/>
          <c:order val="2"/>
          <c:tx>
            <c:strRef>
              <c:f>'Biofuel Feedstocks'!$A$26</c:f>
              <c:strCache>
                <c:ptCount val="1"/>
                <c:pt idx="0">
                  <c:v>Tallow</c:v>
                </c:pt>
              </c:strCache>
            </c:strRef>
          </c:tx>
          <c:spPr>
            <a:solidFill>
              <a:schemeClr val="accent3"/>
            </a:solidFill>
            <a:ln>
              <a:noFill/>
            </a:ln>
            <a:effectLst/>
          </c:spPr>
          <c:invertIfNegative val="0"/>
          <c:cat>
            <c:multiLvlStrRef>
              <c:extLst>
                <c:ext xmlns:c15="http://schemas.microsoft.com/office/drawing/2012/chart" uri="{02D57815-91ED-43cb-92C2-25804820EDAC}">
                  <c15:fullRef>
                    <c15:sqref>'Biofuel Feedstocks'!$AM$4:$BF$5</c15:sqref>
                  </c15:fullRef>
                </c:ext>
              </c:extLst>
              <c:f>'Biofuel Feedstocks'!$AM$4:$BF$5</c:f>
              <c:multiLvlStrCache>
                <c:ptCount val="12"/>
                <c:lvl>
                  <c:pt idx="0">
                    <c:v>Q1</c:v>
                  </c:pt>
                  <c:pt idx="1">
                    <c:v>Q2</c:v>
                  </c:pt>
                  <c:pt idx="2">
                    <c:v>Q3</c:v>
                  </c:pt>
                  <c:pt idx="3">
                    <c:v>Q4</c:v>
                  </c:pt>
                  <c:pt idx="4">
                    <c:v>Q1</c:v>
                  </c:pt>
                  <c:pt idx="5">
                    <c:v>Q2</c:v>
                  </c:pt>
                  <c:pt idx="6">
                    <c:v>Q3</c:v>
                  </c:pt>
                  <c:pt idx="7">
                    <c:v>Q4</c:v>
                  </c:pt>
                  <c:pt idx="8">
                    <c:v>Q1</c:v>
                  </c:pt>
                  <c:pt idx="9">
                    <c:v>Q2</c:v>
                  </c:pt>
                  <c:pt idx="10">
                    <c:v>Q3</c:v>
                  </c:pt>
                  <c:pt idx="11">
                    <c:v>Q4</c:v>
                  </c:pt>
                </c:lvl>
                <c:lvl>
                  <c:pt idx="0">
                    <c:v>2020</c:v>
                  </c:pt>
                  <c:pt idx="4">
                    <c:v>2023</c:v>
                  </c:pt>
                  <c:pt idx="8">
                    <c:v>2024</c:v>
                  </c:pt>
                </c:lvl>
              </c:multiLvlStrCache>
            </c:multiLvlStrRef>
          </c:cat>
          <c:val>
            <c:numRef>
              <c:extLst>
                <c:ext xmlns:c15="http://schemas.microsoft.com/office/drawing/2012/chart" uri="{02D57815-91ED-43cb-92C2-25804820EDAC}">
                  <c15:fullRef>
                    <c15:sqref>'Biofuel Feedstocks'!$B$26:$BD$26</c15:sqref>
                  </c15:fullRef>
                </c:ext>
              </c:extLst>
              <c:f>('Biofuel Feedstocks'!$B$26:$AL$26,'Biofuel Feedstocks'!$AU$26:$BD$26)</c:f>
              <c:numCache>
                <c:formatCode>#,##0_);[Red]\(#,##0\)</c:formatCode>
                <c:ptCount val="11"/>
                <c:pt idx="1">
                  <c:v>717149</c:v>
                </c:pt>
                <c:pt idx="2">
                  <c:v>998403</c:v>
                </c:pt>
                <c:pt idx="3">
                  <c:v>636308</c:v>
                </c:pt>
                <c:pt idx="4">
                  <c:v>795112</c:v>
                </c:pt>
                <c:pt idx="5">
                  <c:v>755664</c:v>
                </c:pt>
                <c:pt idx="6">
                  <c:v>895937</c:v>
                </c:pt>
                <c:pt idx="7">
                  <c:v>1153431</c:v>
                </c:pt>
                <c:pt idx="8">
                  <c:v>1577170</c:v>
                </c:pt>
                <c:pt idx="9">
                  <c:v>1542413</c:v>
                </c:pt>
                <c:pt idx="10">
                  <c:v>1308203</c:v>
                </c:pt>
              </c:numCache>
            </c:numRef>
          </c:val>
          <c:extLst>
            <c:ext xmlns:c16="http://schemas.microsoft.com/office/drawing/2014/chart" uri="{C3380CC4-5D6E-409C-BE32-E72D297353CC}">
              <c16:uniqueId val="{00000002-B359-4B74-B157-01ED849ECD7C}"/>
            </c:ext>
          </c:extLst>
        </c:ser>
        <c:ser>
          <c:idx val="3"/>
          <c:order val="3"/>
          <c:tx>
            <c:strRef>
              <c:f>'Biofuel Feedstocks'!$A$27</c:f>
              <c:strCache>
                <c:ptCount val="1"/>
                <c:pt idx="0">
                  <c:v>UCO</c:v>
                </c:pt>
              </c:strCache>
            </c:strRef>
          </c:tx>
          <c:spPr>
            <a:solidFill>
              <a:schemeClr val="accent4"/>
            </a:solidFill>
            <a:ln>
              <a:noFill/>
            </a:ln>
            <a:effectLst/>
          </c:spPr>
          <c:invertIfNegative val="0"/>
          <c:cat>
            <c:multiLvlStrRef>
              <c:extLst>
                <c:ext xmlns:c15="http://schemas.microsoft.com/office/drawing/2012/chart" uri="{02D57815-91ED-43cb-92C2-25804820EDAC}">
                  <c15:fullRef>
                    <c15:sqref>'Biofuel Feedstocks'!$AM$4:$BF$5</c15:sqref>
                  </c15:fullRef>
                </c:ext>
              </c:extLst>
              <c:f>'Biofuel Feedstocks'!$AM$4:$BF$5</c:f>
              <c:multiLvlStrCache>
                <c:ptCount val="12"/>
                <c:lvl>
                  <c:pt idx="0">
                    <c:v>Q1</c:v>
                  </c:pt>
                  <c:pt idx="1">
                    <c:v>Q2</c:v>
                  </c:pt>
                  <c:pt idx="2">
                    <c:v>Q3</c:v>
                  </c:pt>
                  <c:pt idx="3">
                    <c:v>Q4</c:v>
                  </c:pt>
                  <c:pt idx="4">
                    <c:v>Q1</c:v>
                  </c:pt>
                  <c:pt idx="5">
                    <c:v>Q2</c:v>
                  </c:pt>
                  <c:pt idx="6">
                    <c:v>Q3</c:v>
                  </c:pt>
                  <c:pt idx="7">
                    <c:v>Q4</c:v>
                  </c:pt>
                  <c:pt idx="8">
                    <c:v>Q1</c:v>
                  </c:pt>
                  <c:pt idx="9">
                    <c:v>Q2</c:v>
                  </c:pt>
                  <c:pt idx="10">
                    <c:v>Q3</c:v>
                  </c:pt>
                  <c:pt idx="11">
                    <c:v>Q4</c:v>
                  </c:pt>
                </c:lvl>
                <c:lvl>
                  <c:pt idx="0">
                    <c:v>2020</c:v>
                  </c:pt>
                  <c:pt idx="4">
                    <c:v>2023</c:v>
                  </c:pt>
                  <c:pt idx="8">
                    <c:v>2024</c:v>
                  </c:pt>
                </c:lvl>
              </c:multiLvlStrCache>
            </c:multiLvlStrRef>
          </c:cat>
          <c:val>
            <c:numRef>
              <c:extLst>
                <c:ext xmlns:c15="http://schemas.microsoft.com/office/drawing/2012/chart" uri="{02D57815-91ED-43cb-92C2-25804820EDAC}">
                  <c15:fullRef>
                    <c15:sqref>'Biofuel Feedstocks'!$B$27:$BD$27</c15:sqref>
                  </c15:fullRef>
                </c:ext>
              </c:extLst>
              <c:f>('Biofuel Feedstocks'!$B$27:$AL$27,'Biofuel Feedstocks'!$AU$27:$BD$27)</c:f>
              <c:numCache>
                <c:formatCode>#,##0_);[Red]\(#,##0\)</c:formatCode>
                <c:ptCount val="11"/>
                <c:pt idx="1">
                  <c:v>860374</c:v>
                </c:pt>
                <c:pt idx="2">
                  <c:v>1035312</c:v>
                </c:pt>
                <c:pt idx="3">
                  <c:v>1004483</c:v>
                </c:pt>
                <c:pt idx="4">
                  <c:v>1221396</c:v>
                </c:pt>
                <c:pt idx="5">
                  <c:v>1194627</c:v>
                </c:pt>
                <c:pt idx="6">
                  <c:v>1373256</c:v>
                </c:pt>
                <c:pt idx="7">
                  <c:v>1096750</c:v>
                </c:pt>
                <c:pt idx="8">
                  <c:v>965082</c:v>
                </c:pt>
                <c:pt idx="9">
                  <c:v>848256</c:v>
                </c:pt>
                <c:pt idx="10">
                  <c:v>792040</c:v>
                </c:pt>
              </c:numCache>
            </c:numRef>
          </c:val>
          <c:extLst>
            <c:ext xmlns:c16="http://schemas.microsoft.com/office/drawing/2014/chart" uri="{C3380CC4-5D6E-409C-BE32-E72D297353CC}">
              <c16:uniqueId val="{00000003-B359-4B74-B157-01ED849ECD7C}"/>
            </c:ext>
          </c:extLst>
        </c:ser>
        <c:ser>
          <c:idx val="4"/>
          <c:order val="4"/>
          <c:tx>
            <c:strRef>
              <c:f>'Biofuel Feedstocks'!$A$28</c:f>
              <c:strCache>
                <c:ptCount val="1"/>
                <c:pt idx="0">
                  <c:v>Soy</c:v>
                </c:pt>
              </c:strCache>
            </c:strRef>
          </c:tx>
          <c:spPr>
            <a:solidFill>
              <a:schemeClr val="accent5"/>
            </a:solidFill>
            <a:ln>
              <a:noFill/>
            </a:ln>
            <a:effectLst/>
          </c:spPr>
          <c:invertIfNegative val="0"/>
          <c:cat>
            <c:multiLvlStrRef>
              <c:extLst>
                <c:ext xmlns:c15="http://schemas.microsoft.com/office/drawing/2012/chart" uri="{02D57815-91ED-43cb-92C2-25804820EDAC}">
                  <c15:fullRef>
                    <c15:sqref>'Biofuel Feedstocks'!$AM$4:$BF$5</c15:sqref>
                  </c15:fullRef>
                </c:ext>
              </c:extLst>
              <c:f>'Biofuel Feedstocks'!$AM$4:$BF$5</c:f>
              <c:multiLvlStrCache>
                <c:ptCount val="12"/>
                <c:lvl>
                  <c:pt idx="0">
                    <c:v>Q1</c:v>
                  </c:pt>
                  <c:pt idx="1">
                    <c:v>Q2</c:v>
                  </c:pt>
                  <c:pt idx="2">
                    <c:v>Q3</c:v>
                  </c:pt>
                  <c:pt idx="3">
                    <c:v>Q4</c:v>
                  </c:pt>
                  <c:pt idx="4">
                    <c:v>Q1</c:v>
                  </c:pt>
                  <c:pt idx="5">
                    <c:v>Q2</c:v>
                  </c:pt>
                  <c:pt idx="6">
                    <c:v>Q3</c:v>
                  </c:pt>
                  <c:pt idx="7">
                    <c:v>Q4</c:v>
                  </c:pt>
                  <c:pt idx="8">
                    <c:v>Q1</c:v>
                  </c:pt>
                  <c:pt idx="9">
                    <c:v>Q2</c:v>
                  </c:pt>
                  <c:pt idx="10">
                    <c:v>Q3</c:v>
                  </c:pt>
                  <c:pt idx="11">
                    <c:v>Q4</c:v>
                  </c:pt>
                </c:lvl>
                <c:lvl>
                  <c:pt idx="0">
                    <c:v>2020</c:v>
                  </c:pt>
                  <c:pt idx="4">
                    <c:v>2023</c:v>
                  </c:pt>
                  <c:pt idx="8">
                    <c:v>2024</c:v>
                  </c:pt>
                </c:lvl>
              </c:multiLvlStrCache>
            </c:multiLvlStrRef>
          </c:cat>
          <c:val>
            <c:numRef>
              <c:extLst>
                <c:ext xmlns:c15="http://schemas.microsoft.com/office/drawing/2012/chart" uri="{02D57815-91ED-43cb-92C2-25804820EDAC}">
                  <c15:fullRef>
                    <c15:sqref>'Biofuel Feedstocks'!$B$28:$BD$28</c15:sqref>
                  </c15:fullRef>
                </c:ext>
              </c:extLst>
              <c:f>('Biofuel Feedstocks'!$B$28:$AL$28,'Biofuel Feedstocks'!$AU$28:$BD$28)</c:f>
              <c:numCache>
                <c:formatCode>#,##0_);[Red]\(#,##0\)</c:formatCode>
                <c:ptCount val="11"/>
                <c:pt idx="1">
                  <c:v>328253</c:v>
                </c:pt>
                <c:pt idx="2">
                  <c:v>272007</c:v>
                </c:pt>
                <c:pt idx="3">
                  <c:v>275221</c:v>
                </c:pt>
                <c:pt idx="4">
                  <c:v>244389</c:v>
                </c:pt>
                <c:pt idx="5">
                  <c:v>326825</c:v>
                </c:pt>
                <c:pt idx="6">
                  <c:v>394187</c:v>
                </c:pt>
                <c:pt idx="7">
                  <c:v>329738</c:v>
                </c:pt>
                <c:pt idx="8">
                  <c:v>401120</c:v>
                </c:pt>
                <c:pt idx="9">
                  <c:v>285312</c:v>
                </c:pt>
                <c:pt idx="10">
                  <c:v>482003</c:v>
                </c:pt>
              </c:numCache>
            </c:numRef>
          </c:val>
          <c:extLst>
            <c:ext xmlns:c16="http://schemas.microsoft.com/office/drawing/2014/chart" uri="{C3380CC4-5D6E-409C-BE32-E72D297353CC}">
              <c16:uniqueId val="{00000004-B359-4B74-B157-01ED849ECD7C}"/>
            </c:ext>
          </c:extLst>
        </c:ser>
        <c:dLbls>
          <c:showLegendKey val="0"/>
          <c:showVal val="0"/>
          <c:showCatName val="0"/>
          <c:showSerName val="0"/>
          <c:showPercent val="0"/>
          <c:showBubbleSize val="0"/>
        </c:dLbls>
        <c:gapWidth val="50"/>
        <c:overlap val="100"/>
        <c:axId val="1268973855"/>
        <c:axId val="1268974815"/>
      </c:barChart>
      <c:catAx>
        <c:axId val="1268973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8974815"/>
        <c:crosses val="autoZero"/>
        <c:auto val="1"/>
        <c:lblAlgn val="ctr"/>
        <c:lblOffset val="100"/>
        <c:noMultiLvlLbl val="0"/>
      </c:catAx>
      <c:valAx>
        <c:axId val="126897481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89738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BBD</a:t>
            </a:r>
            <a:r>
              <a:rPr lang="en-GB" baseline="0"/>
              <a:t> Feedstock Breakdown 2Q 2024</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manualLayout>
          <c:layoutTarget val="inner"/>
          <c:xMode val="edge"/>
          <c:yMode val="edge"/>
          <c:x val="0.27476224846894137"/>
          <c:y val="0.22666375036453776"/>
          <c:w val="0.44769794400699914"/>
          <c:h val="0.74616324001166523"/>
        </c:manualLayout>
      </c:layout>
      <c:pieChart>
        <c:varyColors val="1"/>
        <c:ser>
          <c:idx val="0"/>
          <c:order val="0"/>
          <c:spPr>
            <a:ln>
              <a:noFill/>
            </a:ln>
          </c:spPr>
          <c:dPt>
            <c:idx val="0"/>
            <c:bubble3D val="0"/>
            <c:spPr>
              <a:solidFill>
                <a:schemeClr val="accent1"/>
              </a:solidFill>
              <a:ln w="19050">
                <a:noFill/>
              </a:ln>
              <a:effectLst/>
            </c:spPr>
            <c:extLst>
              <c:ext xmlns:c16="http://schemas.microsoft.com/office/drawing/2014/chart" uri="{C3380CC4-5D6E-409C-BE32-E72D297353CC}">
                <c16:uniqueId val="{00000001-01A1-43FD-B4C9-8AF8EB9BACA4}"/>
              </c:ext>
            </c:extLst>
          </c:dPt>
          <c:dPt>
            <c:idx val="1"/>
            <c:bubble3D val="0"/>
            <c:spPr>
              <a:solidFill>
                <a:schemeClr val="accent2"/>
              </a:solidFill>
              <a:ln w="19050">
                <a:noFill/>
              </a:ln>
              <a:effectLst/>
            </c:spPr>
            <c:extLst>
              <c:ext xmlns:c16="http://schemas.microsoft.com/office/drawing/2014/chart" uri="{C3380CC4-5D6E-409C-BE32-E72D297353CC}">
                <c16:uniqueId val="{00000003-01A1-43FD-B4C9-8AF8EB9BACA4}"/>
              </c:ext>
            </c:extLst>
          </c:dPt>
          <c:dPt>
            <c:idx val="2"/>
            <c:bubble3D val="0"/>
            <c:spPr>
              <a:solidFill>
                <a:schemeClr val="accent3"/>
              </a:solidFill>
              <a:ln w="19050">
                <a:noFill/>
              </a:ln>
              <a:effectLst/>
            </c:spPr>
            <c:extLst>
              <c:ext xmlns:c16="http://schemas.microsoft.com/office/drawing/2014/chart" uri="{C3380CC4-5D6E-409C-BE32-E72D297353CC}">
                <c16:uniqueId val="{00000005-01A1-43FD-B4C9-8AF8EB9BACA4}"/>
              </c:ext>
            </c:extLst>
          </c:dPt>
          <c:dPt>
            <c:idx val="3"/>
            <c:bubble3D val="0"/>
            <c:spPr>
              <a:solidFill>
                <a:schemeClr val="accent4"/>
              </a:solidFill>
              <a:ln w="19050">
                <a:noFill/>
              </a:ln>
              <a:effectLst/>
            </c:spPr>
            <c:extLst>
              <c:ext xmlns:c16="http://schemas.microsoft.com/office/drawing/2014/chart" uri="{C3380CC4-5D6E-409C-BE32-E72D297353CC}">
                <c16:uniqueId val="{00000007-01A1-43FD-B4C9-8AF8EB9BACA4}"/>
              </c:ext>
            </c:extLst>
          </c:dPt>
          <c:dPt>
            <c:idx val="4"/>
            <c:bubble3D val="0"/>
            <c:spPr>
              <a:solidFill>
                <a:schemeClr val="accent5"/>
              </a:solidFill>
              <a:ln w="19050">
                <a:noFill/>
              </a:ln>
              <a:effectLst/>
            </c:spPr>
            <c:extLst>
              <c:ext xmlns:c16="http://schemas.microsoft.com/office/drawing/2014/chart" uri="{C3380CC4-5D6E-409C-BE32-E72D297353CC}">
                <c16:uniqueId val="{00000009-01A1-43FD-B4C9-8AF8EB9BACA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'Biofuel Feedstocks'!$A$24:$A$28</c:f>
              <c:strCache>
                <c:ptCount val="5"/>
                <c:pt idx="0">
                  <c:v>Canola</c:v>
                </c:pt>
                <c:pt idx="1">
                  <c:v>Corn Oil</c:v>
                </c:pt>
                <c:pt idx="2">
                  <c:v>Tallow</c:v>
                </c:pt>
                <c:pt idx="3">
                  <c:v>UCO</c:v>
                </c:pt>
                <c:pt idx="4">
                  <c:v>Soy</c:v>
                </c:pt>
              </c:strCache>
            </c:strRef>
          </c:cat>
          <c:val>
            <c:numRef>
              <c:f>'Biofuel Feedstocks'!$BD$24:$BD$28</c:f>
              <c:numCache>
                <c:formatCode>#,##0_);[Red]\(#,##0\)</c:formatCode>
                <c:ptCount val="5"/>
                <c:pt idx="0">
                  <c:v>26605</c:v>
                </c:pt>
                <c:pt idx="1">
                  <c:v>924788</c:v>
                </c:pt>
                <c:pt idx="2">
                  <c:v>1308203</c:v>
                </c:pt>
                <c:pt idx="3">
                  <c:v>792040</c:v>
                </c:pt>
                <c:pt idx="4">
                  <c:v>482003</c:v>
                </c:pt>
              </c:numCache>
            </c:numRef>
          </c:val>
          <c:extLst>
            <c:ext xmlns:c16="http://schemas.microsoft.com/office/drawing/2014/chart" uri="{C3380CC4-5D6E-409C-BE32-E72D297353CC}">
              <c16:uniqueId val="{0000000A-01A1-43FD-B4C9-8AF8EB9BACA4}"/>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7374971296876695E-2"/>
          <c:y val="0.10576509921836942"/>
          <c:w val="0.87270387238200298"/>
          <c:h val="0.81115970841002627"/>
        </c:manualLayout>
      </c:layout>
      <c:lineChart>
        <c:grouping val="standard"/>
        <c:varyColors val="0"/>
        <c:ser>
          <c:idx val="4"/>
          <c:order val="0"/>
          <c:tx>
            <c:strRef>
              <c:f>'CA LCFS Performance'!$A$4</c:f>
              <c:strCache>
                <c:ptCount val="1"/>
                <c:pt idx="0">
                  <c:v>Historic Compliance Targets (black solid line)</c:v>
                </c:pt>
              </c:strCache>
            </c:strRef>
          </c:tx>
          <c:spPr>
            <a:ln w="63500">
              <a:solidFill>
                <a:schemeClr val="tx1"/>
              </a:solidFill>
            </a:ln>
          </c:spPr>
          <c:marker>
            <c:symbol val="none"/>
          </c:marker>
          <c:cat>
            <c:numRef>
              <c:f>'CA LCFS Performance'!$D$2:$W$2</c:f>
              <c:numCache>
                <c:formatCode>General</c:formatCode>
                <c:ptCount val="20"/>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pt idx="13">
                  <c:v>2024</c:v>
                </c:pt>
                <c:pt idx="14">
                  <c:v>2025</c:v>
                </c:pt>
                <c:pt idx="15">
                  <c:v>2026</c:v>
                </c:pt>
                <c:pt idx="16">
                  <c:v>2027</c:v>
                </c:pt>
                <c:pt idx="17">
                  <c:v>2028</c:v>
                </c:pt>
                <c:pt idx="18">
                  <c:v>2029</c:v>
                </c:pt>
                <c:pt idx="19">
                  <c:v>2030</c:v>
                </c:pt>
              </c:numCache>
            </c:numRef>
          </c:cat>
          <c:val>
            <c:numRef>
              <c:f>'CA LCFS Performance'!$D$4:$P$4</c:f>
              <c:numCache>
                <c:formatCode>General</c:formatCode>
                <c:ptCount val="13"/>
                <c:pt idx="0">
                  <c:v>-0.25</c:v>
                </c:pt>
                <c:pt idx="1">
                  <c:v>-0.5</c:v>
                </c:pt>
                <c:pt idx="2">
                  <c:v>-1</c:v>
                </c:pt>
                <c:pt idx="3">
                  <c:v>-1</c:v>
                </c:pt>
                <c:pt idx="4">
                  <c:v>-1</c:v>
                </c:pt>
                <c:pt idx="5">
                  <c:v>-2</c:v>
                </c:pt>
                <c:pt idx="6">
                  <c:v>-3.5000000000000004</c:v>
                </c:pt>
                <c:pt idx="7">
                  <c:v>-5</c:v>
                </c:pt>
                <c:pt idx="8">
                  <c:v>-6.25</c:v>
                </c:pt>
                <c:pt idx="9">
                  <c:v>-7.5</c:v>
                </c:pt>
                <c:pt idx="10">
                  <c:v>-8.75</c:v>
                </c:pt>
                <c:pt idx="11">
                  <c:v>-10</c:v>
                </c:pt>
                <c:pt idx="12">
                  <c:v>-11.25</c:v>
                </c:pt>
              </c:numCache>
            </c:numRef>
          </c:val>
          <c:smooth val="0"/>
          <c:extLst>
            <c:ext xmlns:c16="http://schemas.microsoft.com/office/drawing/2014/chart" uri="{C3380CC4-5D6E-409C-BE32-E72D297353CC}">
              <c16:uniqueId val="{00000000-C0AE-4A94-86ED-BD3A259BD80D}"/>
            </c:ext>
          </c:extLst>
        </c:ser>
        <c:ser>
          <c:idx val="1"/>
          <c:order val="1"/>
          <c:tx>
            <c:strRef>
              <c:f>'CA LCFS Performance'!$A$7</c:f>
              <c:strCache>
                <c:ptCount val="1"/>
                <c:pt idx="0">
                  <c:v>Reported % CI Reduction (green line)</c:v>
                </c:pt>
              </c:strCache>
            </c:strRef>
          </c:tx>
          <c:spPr>
            <a:ln w="63500" cmpd="sng">
              <a:solidFill>
                <a:srgbClr val="00B050"/>
              </a:solidFill>
              <a:prstDash val="solid"/>
            </a:ln>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1-C0AE-4A94-86ED-BD3A259BD80D}"/>
                </c:ext>
              </c:extLst>
            </c:dLbl>
            <c:dLbl>
              <c:idx val="1"/>
              <c:delete val="1"/>
              <c:extLst>
                <c:ext xmlns:c15="http://schemas.microsoft.com/office/drawing/2012/chart" uri="{CE6537A1-D6FC-4f65-9D91-7224C49458BB}"/>
                <c:ext xmlns:c16="http://schemas.microsoft.com/office/drawing/2014/chart" uri="{C3380CC4-5D6E-409C-BE32-E72D297353CC}">
                  <c16:uniqueId val="{00000002-C0AE-4A94-86ED-BD3A259BD80D}"/>
                </c:ext>
              </c:extLst>
            </c:dLbl>
            <c:dLbl>
              <c:idx val="2"/>
              <c:delete val="1"/>
              <c:extLst>
                <c:ext xmlns:c15="http://schemas.microsoft.com/office/drawing/2012/chart" uri="{CE6537A1-D6FC-4f65-9D91-7224C49458BB}"/>
                <c:ext xmlns:c16="http://schemas.microsoft.com/office/drawing/2014/chart" uri="{C3380CC4-5D6E-409C-BE32-E72D297353CC}">
                  <c16:uniqueId val="{00000003-C0AE-4A94-86ED-BD3A259BD80D}"/>
                </c:ext>
              </c:extLst>
            </c:dLbl>
            <c:dLbl>
              <c:idx val="3"/>
              <c:delete val="1"/>
              <c:extLst>
                <c:ext xmlns:c15="http://schemas.microsoft.com/office/drawing/2012/chart" uri="{CE6537A1-D6FC-4f65-9D91-7224C49458BB}"/>
                <c:ext xmlns:c16="http://schemas.microsoft.com/office/drawing/2014/chart" uri="{C3380CC4-5D6E-409C-BE32-E72D297353CC}">
                  <c16:uniqueId val="{00000004-C0AE-4A94-86ED-BD3A259BD80D}"/>
                </c:ext>
              </c:extLst>
            </c:dLbl>
            <c:dLbl>
              <c:idx val="4"/>
              <c:delete val="1"/>
              <c:extLst>
                <c:ext xmlns:c15="http://schemas.microsoft.com/office/drawing/2012/chart" uri="{CE6537A1-D6FC-4f65-9D91-7224C49458BB}"/>
                <c:ext xmlns:c16="http://schemas.microsoft.com/office/drawing/2014/chart" uri="{C3380CC4-5D6E-409C-BE32-E72D297353CC}">
                  <c16:uniqueId val="{00000005-C0AE-4A94-86ED-BD3A259BD80D}"/>
                </c:ext>
              </c:extLst>
            </c:dLbl>
            <c:dLbl>
              <c:idx val="5"/>
              <c:delete val="1"/>
              <c:extLst>
                <c:ext xmlns:c15="http://schemas.microsoft.com/office/drawing/2012/chart" uri="{CE6537A1-D6FC-4f65-9D91-7224C49458BB}"/>
                <c:ext xmlns:c16="http://schemas.microsoft.com/office/drawing/2014/chart" uri="{C3380CC4-5D6E-409C-BE32-E72D297353CC}">
                  <c16:uniqueId val="{00000006-C0AE-4A94-86ED-BD3A259BD80D}"/>
                </c:ext>
              </c:extLst>
            </c:dLbl>
            <c:dLbl>
              <c:idx val="6"/>
              <c:delete val="1"/>
              <c:extLst>
                <c:ext xmlns:c15="http://schemas.microsoft.com/office/drawing/2012/chart" uri="{CE6537A1-D6FC-4f65-9D91-7224C49458BB}"/>
                <c:ext xmlns:c16="http://schemas.microsoft.com/office/drawing/2014/chart" uri="{C3380CC4-5D6E-409C-BE32-E72D297353CC}">
                  <c16:uniqueId val="{00000007-C0AE-4A94-86ED-BD3A259BD80D}"/>
                </c:ext>
              </c:extLst>
            </c:dLbl>
            <c:dLbl>
              <c:idx val="7"/>
              <c:delete val="1"/>
              <c:extLst>
                <c:ext xmlns:c15="http://schemas.microsoft.com/office/drawing/2012/chart" uri="{CE6537A1-D6FC-4f65-9D91-7224C49458BB}"/>
                <c:ext xmlns:c16="http://schemas.microsoft.com/office/drawing/2014/chart" uri="{C3380CC4-5D6E-409C-BE32-E72D297353CC}">
                  <c16:uniqueId val="{00000008-C0AE-4A94-86ED-BD3A259BD80D}"/>
                </c:ext>
              </c:extLst>
            </c:dLbl>
            <c:dLbl>
              <c:idx val="8"/>
              <c:delete val="1"/>
              <c:extLst>
                <c:ext xmlns:c15="http://schemas.microsoft.com/office/drawing/2012/chart" uri="{CE6537A1-D6FC-4f65-9D91-7224C49458BB}"/>
                <c:ext xmlns:c16="http://schemas.microsoft.com/office/drawing/2014/chart" uri="{C3380CC4-5D6E-409C-BE32-E72D297353CC}">
                  <c16:uniqueId val="{00000009-C0AE-4A94-86ED-BD3A259BD80D}"/>
                </c:ext>
              </c:extLst>
            </c:dLbl>
            <c:dLbl>
              <c:idx val="9"/>
              <c:delete val="1"/>
              <c:extLst>
                <c:ext xmlns:c15="http://schemas.microsoft.com/office/drawing/2012/chart" uri="{CE6537A1-D6FC-4f65-9D91-7224C49458BB}"/>
                <c:ext xmlns:c16="http://schemas.microsoft.com/office/drawing/2014/chart" uri="{C3380CC4-5D6E-409C-BE32-E72D297353CC}">
                  <c16:uniqueId val="{0000000A-C0AE-4A94-86ED-BD3A259BD80D}"/>
                </c:ext>
              </c:extLst>
            </c:dLbl>
            <c:dLbl>
              <c:idx val="10"/>
              <c:delete val="1"/>
              <c:extLst>
                <c:ext xmlns:c15="http://schemas.microsoft.com/office/drawing/2012/chart" uri="{CE6537A1-D6FC-4f65-9D91-7224C49458BB}"/>
                <c:ext xmlns:c16="http://schemas.microsoft.com/office/drawing/2014/chart" uri="{C3380CC4-5D6E-409C-BE32-E72D297353CC}">
                  <c16:uniqueId val="{0000000B-C0AE-4A94-86ED-BD3A259BD80D}"/>
                </c:ext>
              </c:extLst>
            </c:dLbl>
            <c:dLbl>
              <c:idx val="11"/>
              <c:delete val="1"/>
              <c:extLst>
                <c:ext xmlns:c15="http://schemas.microsoft.com/office/drawing/2012/chart" uri="{CE6537A1-D6FC-4f65-9D91-7224C49458BB}"/>
                <c:ext xmlns:c16="http://schemas.microsoft.com/office/drawing/2014/chart" uri="{C3380CC4-5D6E-409C-BE32-E72D297353CC}">
                  <c16:uniqueId val="{0000000C-C0AE-4A94-86ED-BD3A259BD80D}"/>
                </c:ext>
              </c:extLst>
            </c:dLbl>
            <c:dLbl>
              <c:idx val="12"/>
              <c:layout>
                <c:manualLayout>
                  <c:x val="-8.5600299949482914E-2"/>
                  <c:y val="2.279201461129571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C0AE-4A94-86ED-BD3A259BD80D}"/>
                </c:ext>
              </c:extLst>
            </c:dLbl>
            <c:spPr>
              <a:noFill/>
              <a:ln>
                <a:noFill/>
              </a:ln>
              <a:effectLst/>
            </c:spPr>
            <c:txPr>
              <a:bodyPr wrap="square" lIns="38100" tIns="19050" rIns="38100" bIns="19050" anchor="ctr">
                <a:spAutoFit/>
              </a:bodyPr>
              <a:lstStyle/>
              <a:p>
                <a:pPr>
                  <a:defRPr>
                    <a:solidFill>
                      <a:srgbClr val="00B050"/>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'CA LCFS Performance'!$D$2:$W$2</c:f>
              <c:numCache>
                <c:formatCode>General</c:formatCode>
                <c:ptCount val="20"/>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pt idx="13">
                  <c:v>2024</c:v>
                </c:pt>
                <c:pt idx="14">
                  <c:v>2025</c:v>
                </c:pt>
                <c:pt idx="15">
                  <c:v>2026</c:v>
                </c:pt>
                <c:pt idx="16">
                  <c:v>2027</c:v>
                </c:pt>
                <c:pt idx="17">
                  <c:v>2028</c:v>
                </c:pt>
                <c:pt idx="18">
                  <c:v>2029</c:v>
                </c:pt>
                <c:pt idx="19">
                  <c:v>2030</c:v>
                </c:pt>
              </c:numCache>
            </c:numRef>
          </c:cat>
          <c:val>
            <c:numRef>
              <c:f>'CA LCFS Performance'!$D$7:$P$7</c:f>
              <c:numCache>
                <c:formatCode>_(* #,##0.00_);_(* \(#,##0.00\);_(* "-"??_);_(@_)</c:formatCode>
                <c:ptCount val="13"/>
                <c:pt idx="0">
                  <c:v>-0.5926761569748269</c:v>
                </c:pt>
                <c:pt idx="1">
                  <c:v>-0.82977469884955524</c:v>
                </c:pt>
                <c:pt idx="2">
                  <c:v>-1.5046146040153547</c:v>
                </c:pt>
                <c:pt idx="3">
                  <c:v>-1.6749934173318148</c:v>
                </c:pt>
                <c:pt idx="4">
                  <c:v>-2.075918915729368</c:v>
                </c:pt>
                <c:pt idx="5">
                  <c:v>-2.7678596420646122</c:v>
                </c:pt>
                <c:pt idx="6">
                  <c:v>-3.5016024001160453</c:v>
                </c:pt>
                <c:pt idx="7">
                  <c:v>-4.5730043408978691</c:v>
                </c:pt>
                <c:pt idx="8">
                  <c:v>-6.0270391314496319</c:v>
                </c:pt>
                <c:pt idx="9">
                  <c:v>-7.4464998651879704</c:v>
                </c:pt>
                <c:pt idx="10">
                  <c:v>-9.4081494621341388</c:v>
                </c:pt>
                <c:pt idx="11">
                  <c:v>-12.655230846300721</c:v>
                </c:pt>
                <c:pt idx="12">
                  <c:v>-15.344512187234402</c:v>
                </c:pt>
              </c:numCache>
            </c:numRef>
          </c:val>
          <c:smooth val="0"/>
          <c:extLst>
            <c:ext xmlns:c16="http://schemas.microsoft.com/office/drawing/2014/chart" uri="{C3380CC4-5D6E-409C-BE32-E72D297353CC}">
              <c16:uniqueId val="{0000000E-C0AE-4A94-86ED-BD3A259BD80D}"/>
            </c:ext>
          </c:extLst>
        </c:ser>
        <c:ser>
          <c:idx val="0"/>
          <c:order val="2"/>
          <c:tx>
            <c:strRef>
              <c:f>'CA LCFS Performance'!$A$5</c:f>
              <c:strCache>
                <c:ptCount val="1"/>
                <c:pt idx="0">
                  <c:v>Future Compliance Targets (black dotted line)</c:v>
                </c:pt>
              </c:strCache>
            </c:strRef>
          </c:tx>
          <c:spPr>
            <a:ln w="63500">
              <a:solidFill>
                <a:schemeClr val="bg2">
                  <a:lumMod val="90000"/>
                </a:schemeClr>
              </a:solidFill>
              <a:prstDash val="solid"/>
            </a:ln>
          </c:spPr>
          <c:marker>
            <c:symbol val="circle"/>
            <c:size val="8"/>
            <c:spPr>
              <a:solidFill>
                <a:schemeClr val="tx1"/>
              </a:solidFill>
              <a:ln w="12700">
                <a:noFill/>
                <a:prstDash val="solid"/>
              </a:ln>
            </c:spPr>
          </c:marker>
          <c:dLbls>
            <c:dLbl>
              <c:idx val="7"/>
              <c:delete val="1"/>
              <c:extLst>
                <c:ext xmlns:c15="http://schemas.microsoft.com/office/drawing/2012/chart" uri="{CE6537A1-D6FC-4f65-9D91-7224C49458BB}"/>
                <c:ext xmlns:c16="http://schemas.microsoft.com/office/drawing/2014/chart" uri="{C3380CC4-5D6E-409C-BE32-E72D297353CC}">
                  <c16:uniqueId val="{0000000F-C0AE-4A94-86ED-BD3A259BD80D}"/>
                </c:ext>
              </c:extLst>
            </c:dLbl>
            <c:dLbl>
              <c:idx val="8"/>
              <c:delete val="1"/>
              <c:extLst>
                <c:ext xmlns:c15="http://schemas.microsoft.com/office/drawing/2012/chart" uri="{CE6537A1-D6FC-4f65-9D91-7224C49458BB}"/>
                <c:ext xmlns:c16="http://schemas.microsoft.com/office/drawing/2014/chart" uri="{C3380CC4-5D6E-409C-BE32-E72D297353CC}">
                  <c16:uniqueId val="{00000010-C0AE-4A94-86ED-BD3A259BD80D}"/>
                </c:ext>
              </c:extLst>
            </c:dLbl>
            <c:dLbl>
              <c:idx val="10"/>
              <c:layout>
                <c:manualLayout>
                  <c:x val="-2.7088391839466281E-2"/>
                  <c:y val="-4.666008220282880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C0AE-4A94-86ED-BD3A259BD80D}"/>
                </c:ext>
              </c:extLst>
            </c:dLbl>
            <c:spPr>
              <a:noFill/>
              <a:ln>
                <a:noFill/>
              </a:ln>
              <a:effectLst/>
            </c:sp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'CA LCFS Performance'!$D$2:$W$2</c:f>
              <c:numCache>
                <c:formatCode>General</c:formatCode>
                <c:ptCount val="20"/>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pt idx="13">
                  <c:v>2024</c:v>
                </c:pt>
                <c:pt idx="14">
                  <c:v>2025</c:v>
                </c:pt>
                <c:pt idx="15">
                  <c:v>2026</c:v>
                </c:pt>
                <c:pt idx="16">
                  <c:v>2027</c:v>
                </c:pt>
                <c:pt idx="17">
                  <c:v>2028</c:v>
                </c:pt>
                <c:pt idx="18">
                  <c:v>2029</c:v>
                </c:pt>
                <c:pt idx="19">
                  <c:v>2030</c:v>
                </c:pt>
              </c:numCache>
            </c:numRef>
          </c:cat>
          <c:val>
            <c:numRef>
              <c:f>'CA LCFS Performance'!$D$5:$W$5</c:f>
              <c:numCache>
                <c:formatCode>General</c:formatCode>
                <c:ptCount val="20"/>
                <c:pt idx="12">
                  <c:v>-11.25</c:v>
                </c:pt>
                <c:pt idx="13">
                  <c:v>-12.5</c:v>
                </c:pt>
                <c:pt idx="14">
                  <c:v>-13.75</c:v>
                </c:pt>
                <c:pt idx="15">
                  <c:v>-15</c:v>
                </c:pt>
                <c:pt idx="16">
                  <c:v>-16.25</c:v>
                </c:pt>
                <c:pt idx="17">
                  <c:v>-17.5</c:v>
                </c:pt>
                <c:pt idx="18">
                  <c:v>-18.75</c:v>
                </c:pt>
                <c:pt idx="19">
                  <c:v>-20</c:v>
                </c:pt>
              </c:numCache>
            </c:numRef>
          </c:val>
          <c:smooth val="1"/>
          <c:extLst>
            <c:ext xmlns:c16="http://schemas.microsoft.com/office/drawing/2014/chart" uri="{C3380CC4-5D6E-409C-BE32-E72D297353CC}">
              <c16:uniqueId val="{00000012-C0AE-4A94-86ED-BD3A259BD80D}"/>
            </c:ext>
          </c:extLst>
        </c:ser>
        <c:ser>
          <c:idx val="2"/>
          <c:order val="3"/>
          <c:tx>
            <c:strRef>
              <c:f>'CA LCFS Performance'!$A$6</c:f>
              <c:strCache>
                <c:ptCount val="1"/>
                <c:pt idx="0">
                  <c:v>Future Compliance Targets (forecast)</c:v>
                </c:pt>
              </c:strCache>
            </c:strRef>
          </c:tx>
          <c:spPr>
            <a:ln w="63500" cmpd="sng">
              <a:solidFill>
                <a:srgbClr val="DFC9EF"/>
              </a:solidFill>
              <a:prstDash val="solid"/>
            </a:ln>
          </c:spPr>
          <c:marker>
            <c:symbol val="circle"/>
            <c:size val="8"/>
            <c:spPr>
              <a:solidFill>
                <a:srgbClr val="7030A0"/>
              </a:solidFill>
              <a:ln w="12700">
                <a:solidFill>
                  <a:srgbClr val="7030A0"/>
                </a:solidFill>
              </a:ln>
            </c:spPr>
          </c:marker>
          <c:dLbls>
            <c:dLbl>
              <c:idx val="14"/>
              <c:layout>
                <c:manualLayout>
                  <c:x val="0"/>
                  <c:y val="1.36752087667779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C0AE-4A94-86ED-BD3A259BD80D}"/>
                </c:ext>
              </c:extLst>
            </c:dLbl>
            <c:dLbl>
              <c:idx val="15"/>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C0AE-4A94-86ED-BD3A259BD80D}"/>
                </c:ext>
              </c:extLst>
            </c:dLbl>
            <c:dLbl>
              <c:idx val="16"/>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C0AE-4A94-86ED-BD3A259BD80D}"/>
                </c:ext>
              </c:extLst>
            </c:dLbl>
            <c:dLbl>
              <c:idx val="17"/>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C0AE-4A94-86ED-BD3A259BD80D}"/>
                </c:ext>
              </c:extLst>
            </c:dLbl>
            <c:dLbl>
              <c:idx val="18"/>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C0AE-4A94-86ED-BD3A259BD80D}"/>
                </c:ext>
              </c:extLst>
            </c:dLbl>
            <c:dLbl>
              <c:idx val="19"/>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8-C0AE-4A94-86ED-BD3A259BD80D}"/>
                </c:ext>
              </c:extLst>
            </c:dLbl>
            <c:spPr>
              <a:noFill/>
              <a:ln>
                <a:noFill/>
              </a:ln>
              <a:effectLst/>
            </c:spPr>
            <c:txPr>
              <a:bodyPr wrap="square" lIns="38100" tIns="19050" rIns="38100" bIns="19050" anchor="ctr">
                <a:spAutoFit/>
              </a:bodyPr>
              <a:lstStyle/>
              <a:p>
                <a:pPr>
                  <a:defRPr>
                    <a:solidFill>
                      <a:sysClr val="windowText" lastClr="000000"/>
                    </a:solidFill>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ext>
            </c:extLst>
          </c:dLbls>
          <c:cat>
            <c:numRef>
              <c:f>'CA LCFS Performance'!$D$2:$W$2</c:f>
              <c:numCache>
                <c:formatCode>General</c:formatCode>
                <c:ptCount val="20"/>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pt idx="13">
                  <c:v>2024</c:v>
                </c:pt>
                <c:pt idx="14">
                  <c:v>2025</c:v>
                </c:pt>
                <c:pt idx="15">
                  <c:v>2026</c:v>
                </c:pt>
                <c:pt idx="16">
                  <c:v>2027</c:v>
                </c:pt>
                <c:pt idx="17">
                  <c:v>2028</c:v>
                </c:pt>
                <c:pt idx="18">
                  <c:v>2029</c:v>
                </c:pt>
                <c:pt idx="19">
                  <c:v>2030</c:v>
                </c:pt>
              </c:numCache>
            </c:numRef>
          </c:cat>
          <c:val>
            <c:numRef>
              <c:f>'CA LCFS Performance'!$D$6:$W$6</c:f>
              <c:numCache>
                <c:formatCode>General</c:formatCode>
                <c:ptCount val="20"/>
                <c:pt idx="12">
                  <c:v>-11.25</c:v>
                </c:pt>
                <c:pt idx="13">
                  <c:v>-12.5</c:v>
                </c:pt>
                <c:pt idx="14">
                  <c:v>-15.5</c:v>
                </c:pt>
                <c:pt idx="15">
                  <c:v>-18.5</c:v>
                </c:pt>
                <c:pt idx="16">
                  <c:v>-21.5</c:v>
                </c:pt>
                <c:pt idx="17">
                  <c:v>-24.5</c:v>
                </c:pt>
                <c:pt idx="18">
                  <c:v>-27.5</c:v>
                </c:pt>
                <c:pt idx="19">
                  <c:v>-30</c:v>
                </c:pt>
              </c:numCache>
            </c:numRef>
          </c:val>
          <c:smooth val="1"/>
          <c:extLst>
            <c:ext xmlns:c16="http://schemas.microsoft.com/office/drawing/2014/chart" uri="{C3380CC4-5D6E-409C-BE32-E72D297353CC}">
              <c16:uniqueId val="{00000019-C0AE-4A94-86ED-BD3A259BD80D}"/>
            </c:ext>
          </c:extLst>
        </c:ser>
        <c:dLbls>
          <c:showLegendKey val="0"/>
          <c:showVal val="0"/>
          <c:showCatName val="0"/>
          <c:showSerName val="0"/>
          <c:showPercent val="0"/>
          <c:showBubbleSize val="0"/>
        </c:dLbls>
        <c:smooth val="0"/>
        <c:axId val="153559808"/>
        <c:axId val="153562496"/>
      </c:lineChart>
      <c:catAx>
        <c:axId val="153559808"/>
        <c:scaling>
          <c:orientation val="minMax"/>
        </c:scaling>
        <c:delete val="0"/>
        <c:axPos val="t"/>
        <c:numFmt formatCode="General" sourceLinked="1"/>
        <c:majorTickMark val="none"/>
        <c:minorTickMark val="none"/>
        <c:tickLblPos val="high"/>
        <c:txPr>
          <a:bodyPr/>
          <a:lstStyle/>
          <a:p>
            <a:pPr>
              <a:defRPr sz="1200" b="0" baseline="0"/>
            </a:pPr>
            <a:endParaRPr lang="en-US"/>
          </a:p>
        </c:txPr>
        <c:crossAx val="153562496"/>
        <c:crosses val="max"/>
        <c:auto val="1"/>
        <c:lblAlgn val="ctr"/>
        <c:lblOffset val="1"/>
        <c:noMultiLvlLbl val="0"/>
      </c:catAx>
      <c:valAx>
        <c:axId val="153562496"/>
        <c:scaling>
          <c:orientation val="minMax"/>
        </c:scaling>
        <c:delete val="0"/>
        <c:axPos val="l"/>
        <c:majorGridlines/>
        <c:title>
          <c:tx>
            <c:rich>
              <a:bodyPr/>
              <a:lstStyle/>
              <a:p>
                <a:pPr>
                  <a:defRPr/>
                </a:pPr>
                <a:r>
                  <a:rPr lang="en-US" sz="1600" baseline="0"/>
                  <a:t>Percent Reduction in Carbon Intensity</a:t>
                </a:r>
              </a:p>
            </c:rich>
          </c:tx>
          <c:overlay val="0"/>
        </c:title>
        <c:numFmt formatCode="0.0" sourceLinked="0"/>
        <c:majorTickMark val="none"/>
        <c:minorTickMark val="none"/>
        <c:tickLblPos val="nextTo"/>
        <c:txPr>
          <a:bodyPr/>
          <a:lstStyle/>
          <a:p>
            <a:pPr>
              <a:defRPr sz="1200" b="1" i="0" baseline="0"/>
            </a:pPr>
            <a:endParaRPr lang="en-US"/>
          </a:p>
        </c:txPr>
        <c:crossAx val="153559808"/>
        <c:crosses val="autoZero"/>
        <c:crossBetween val="between"/>
      </c:valAx>
    </c:plotArea>
    <c:legend>
      <c:legendPos val="r"/>
      <c:layout>
        <c:manualLayout>
          <c:xMode val="edge"/>
          <c:yMode val="edge"/>
          <c:x val="0.11706046938307468"/>
          <c:y val="0.62570842949402816"/>
          <c:w val="0.32541326766126083"/>
          <c:h val="0.27812718554333021"/>
        </c:manualLayout>
      </c:layout>
      <c:overlay val="0"/>
      <c:spPr>
        <a:solidFill>
          <a:schemeClr val="bg1"/>
        </a:solidFill>
        <a:ln>
          <a:solidFill>
            <a:schemeClr val="tx1"/>
          </a:solidFill>
        </a:ln>
      </c:spPr>
      <c:txPr>
        <a:bodyPr/>
        <a:lstStyle/>
        <a:p>
          <a:pPr>
            <a:defRPr sz="1200" b="1" i="0" baseline="0"/>
          </a:pPr>
          <a:endParaRPr lang="en-US"/>
        </a:p>
      </c:txPr>
    </c:legend>
    <c:plotVisOnly val="1"/>
    <c:dispBlanksAs val="gap"/>
    <c:showDLblsOverMax val="0"/>
  </c:chart>
  <c:printSettings>
    <c:headerFooter/>
    <c:pageMargins b="0.75" l="0.7" r="0.7" t="0.75" header="0.3" footer="0.3"/>
    <c:pageSetup orientation="landscape"/>
  </c:printSettings>
  <c:userShapes r:id="rId1"/>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32397780737646"/>
          <c:y val="0.10576509921836942"/>
          <c:w val="0.86683906353381401"/>
          <c:h val="0.81115970841002627"/>
        </c:manualLayout>
      </c:layout>
      <c:lineChart>
        <c:grouping val="standard"/>
        <c:varyColors val="0"/>
        <c:ser>
          <c:idx val="4"/>
          <c:order val="0"/>
          <c:tx>
            <c:strRef>
              <c:f>'CA LCFS Performance'!$A$4</c:f>
              <c:strCache>
                <c:ptCount val="1"/>
                <c:pt idx="0">
                  <c:v>Historic Compliance Targets (black solid line)</c:v>
                </c:pt>
              </c:strCache>
            </c:strRef>
          </c:tx>
          <c:spPr>
            <a:ln w="63500">
              <a:solidFill>
                <a:schemeClr val="tx1"/>
              </a:solidFill>
            </a:ln>
          </c:spPr>
          <c:marker>
            <c:symbol val="none"/>
          </c:marker>
          <c:cat>
            <c:numRef>
              <c:f>'CA LCFS Performance'!$D$2:$W$2</c:f>
              <c:numCache>
                <c:formatCode>General</c:formatCode>
                <c:ptCount val="20"/>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pt idx="13">
                  <c:v>2024</c:v>
                </c:pt>
                <c:pt idx="14">
                  <c:v>2025</c:v>
                </c:pt>
                <c:pt idx="15">
                  <c:v>2026</c:v>
                </c:pt>
                <c:pt idx="16">
                  <c:v>2027</c:v>
                </c:pt>
                <c:pt idx="17">
                  <c:v>2028</c:v>
                </c:pt>
                <c:pt idx="18">
                  <c:v>2029</c:v>
                </c:pt>
                <c:pt idx="19">
                  <c:v>2030</c:v>
                </c:pt>
              </c:numCache>
            </c:numRef>
          </c:cat>
          <c:val>
            <c:numRef>
              <c:f>'CA LCFS Performance'!$D$4:$P$4</c:f>
              <c:numCache>
                <c:formatCode>General</c:formatCode>
                <c:ptCount val="13"/>
                <c:pt idx="0">
                  <c:v>-0.25</c:v>
                </c:pt>
                <c:pt idx="1">
                  <c:v>-0.5</c:v>
                </c:pt>
                <c:pt idx="2">
                  <c:v>-1</c:v>
                </c:pt>
                <c:pt idx="3">
                  <c:v>-1</c:v>
                </c:pt>
                <c:pt idx="4">
                  <c:v>-1</c:v>
                </c:pt>
                <c:pt idx="5">
                  <c:v>-2</c:v>
                </c:pt>
                <c:pt idx="6">
                  <c:v>-3.5000000000000004</c:v>
                </c:pt>
                <c:pt idx="7">
                  <c:v>-5</c:v>
                </c:pt>
                <c:pt idx="8">
                  <c:v>-6.25</c:v>
                </c:pt>
                <c:pt idx="9">
                  <c:v>-7.5</c:v>
                </c:pt>
                <c:pt idx="10">
                  <c:v>-8.75</c:v>
                </c:pt>
                <c:pt idx="11">
                  <c:v>-10</c:v>
                </c:pt>
                <c:pt idx="12">
                  <c:v>-11.25</c:v>
                </c:pt>
              </c:numCache>
            </c:numRef>
          </c:val>
          <c:smooth val="0"/>
          <c:extLst>
            <c:ext xmlns:c16="http://schemas.microsoft.com/office/drawing/2014/chart" uri="{C3380CC4-5D6E-409C-BE32-E72D297353CC}">
              <c16:uniqueId val="{00000000-B47E-452C-A9A8-8C9CFB16B9A9}"/>
            </c:ext>
          </c:extLst>
        </c:ser>
        <c:ser>
          <c:idx val="1"/>
          <c:order val="1"/>
          <c:tx>
            <c:strRef>
              <c:f>'CA LCFS Performance'!$A$7</c:f>
              <c:strCache>
                <c:ptCount val="1"/>
                <c:pt idx="0">
                  <c:v>Reported % CI Reduction (green line)</c:v>
                </c:pt>
              </c:strCache>
            </c:strRef>
          </c:tx>
          <c:spPr>
            <a:ln w="63500" cmpd="sng">
              <a:solidFill>
                <a:srgbClr val="00B050"/>
              </a:solidFill>
              <a:prstDash val="solid"/>
            </a:ln>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1-B47E-452C-A9A8-8C9CFB16B9A9}"/>
                </c:ext>
              </c:extLst>
            </c:dLbl>
            <c:dLbl>
              <c:idx val="1"/>
              <c:delete val="1"/>
              <c:extLst>
                <c:ext xmlns:c15="http://schemas.microsoft.com/office/drawing/2012/chart" uri="{CE6537A1-D6FC-4f65-9D91-7224C49458BB}"/>
                <c:ext xmlns:c16="http://schemas.microsoft.com/office/drawing/2014/chart" uri="{C3380CC4-5D6E-409C-BE32-E72D297353CC}">
                  <c16:uniqueId val="{00000002-B47E-452C-A9A8-8C9CFB16B9A9}"/>
                </c:ext>
              </c:extLst>
            </c:dLbl>
            <c:dLbl>
              <c:idx val="2"/>
              <c:delete val="1"/>
              <c:extLst>
                <c:ext xmlns:c15="http://schemas.microsoft.com/office/drawing/2012/chart" uri="{CE6537A1-D6FC-4f65-9D91-7224C49458BB}"/>
                <c:ext xmlns:c16="http://schemas.microsoft.com/office/drawing/2014/chart" uri="{C3380CC4-5D6E-409C-BE32-E72D297353CC}">
                  <c16:uniqueId val="{00000003-B47E-452C-A9A8-8C9CFB16B9A9}"/>
                </c:ext>
              </c:extLst>
            </c:dLbl>
            <c:dLbl>
              <c:idx val="3"/>
              <c:delete val="1"/>
              <c:extLst>
                <c:ext xmlns:c15="http://schemas.microsoft.com/office/drawing/2012/chart" uri="{CE6537A1-D6FC-4f65-9D91-7224C49458BB}"/>
                <c:ext xmlns:c16="http://schemas.microsoft.com/office/drawing/2014/chart" uri="{C3380CC4-5D6E-409C-BE32-E72D297353CC}">
                  <c16:uniqueId val="{00000004-B47E-452C-A9A8-8C9CFB16B9A9}"/>
                </c:ext>
              </c:extLst>
            </c:dLbl>
            <c:dLbl>
              <c:idx val="4"/>
              <c:delete val="1"/>
              <c:extLst>
                <c:ext xmlns:c15="http://schemas.microsoft.com/office/drawing/2012/chart" uri="{CE6537A1-D6FC-4f65-9D91-7224C49458BB}"/>
                <c:ext xmlns:c16="http://schemas.microsoft.com/office/drawing/2014/chart" uri="{C3380CC4-5D6E-409C-BE32-E72D297353CC}">
                  <c16:uniqueId val="{00000005-B47E-452C-A9A8-8C9CFB16B9A9}"/>
                </c:ext>
              </c:extLst>
            </c:dLbl>
            <c:dLbl>
              <c:idx val="5"/>
              <c:delete val="1"/>
              <c:extLst>
                <c:ext xmlns:c15="http://schemas.microsoft.com/office/drawing/2012/chart" uri="{CE6537A1-D6FC-4f65-9D91-7224C49458BB}"/>
                <c:ext xmlns:c16="http://schemas.microsoft.com/office/drawing/2014/chart" uri="{C3380CC4-5D6E-409C-BE32-E72D297353CC}">
                  <c16:uniqueId val="{00000006-B47E-452C-A9A8-8C9CFB16B9A9}"/>
                </c:ext>
              </c:extLst>
            </c:dLbl>
            <c:dLbl>
              <c:idx val="6"/>
              <c:delete val="1"/>
              <c:extLst>
                <c:ext xmlns:c15="http://schemas.microsoft.com/office/drawing/2012/chart" uri="{CE6537A1-D6FC-4f65-9D91-7224C49458BB}"/>
                <c:ext xmlns:c16="http://schemas.microsoft.com/office/drawing/2014/chart" uri="{C3380CC4-5D6E-409C-BE32-E72D297353CC}">
                  <c16:uniqueId val="{00000007-B47E-452C-A9A8-8C9CFB16B9A9}"/>
                </c:ext>
              </c:extLst>
            </c:dLbl>
            <c:dLbl>
              <c:idx val="7"/>
              <c:delete val="1"/>
              <c:extLst>
                <c:ext xmlns:c15="http://schemas.microsoft.com/office/drawing/2012/chart" uri="{CE6537A1-D6FC-4f65-9D91-7224C49458BB}"/>
                <c:ext xmlns:c16="http://schemas.microsoft.com/office/drawing/2014/chart" uri="{C3380CC4-5D6E-409C-BE32-E72D297353CC}">
                  <c16:uniqueId val="{00000008-B47E-452C-A9A8-8C9CFB16B9A9}"/>
                </c:ext>
              </c:extLst>
            </c:dLbl>
            <c:dLbl>
              <c:idx val="8"/>
              <c:delete val="1"/>
              <c:extLst>
                <c:ext xmlns:c15="http://schemas.microsoft.com/office/drawing/2012/chart" uri="{CE6537A1-D6FC-4f65-9D91-7224C49458BB}"/>
                <c:ext xmlns:c16="http://schemas.microsoft.com/office/drawing/2014/chart" uri="{C3380CC4-5D6E-409C-BE32-E72D297353CC}">
                  <c16:uniqueId val="{00000009-B47E-452C-A9A8-8C9CFB16B9A9}"/>
                </c:ext>
              </c:extLst>
            </c:dLbl>
            <c:dLbl>
              <c:idx val="9"/>
              <c:delete val="1"/>
              <c:extLst>
                <c:ext xmlns:c15="http://schemas.microsoft.com/office/drawing/2012/chart" uri="{CE6537A1-D6FC-4f65-9D91-7224C49458BB}"/>
                <c:ext xmlns:c16="http://schemas.microsoft.com/office/drawing/2014/chart" uri="{C3380CC4-5D6E-409C-BE32-E72D297353CC}">
                  <c16:uniqueId val="{0000000A-B47E-452C-A9A8-8C9CFB16B9A9}"/>
                </c:ext>
              </c:extLst>
            </c:dLbl>
            <c:dLbl>
              <c:idx val="10"/>
              <c:delete val="1"/>
              <c:extLst>
                <c:ext xmlns:c15="http://schemas.microsoft.com/office/drawing/2012/chart" uri="{CE6537A1-D6FC-4f65-9D91-7224C49458BB}"/>
                <c:ext xmlns:c16="http://schemas.microsoft.com/office/drawing/2014/chart" uri="{C3380CC4-5D6E-409C-BE32-E72D297353CC}">
                  <c16:uniqueId val="{0000000B-B47E-452C-A9A8-8C9CFB16B9A9}"/>
                </c:ext>
              </c:extLst>
            </c:dLbl>
            <c:dLbl>
              <c:idx val="11"/>
              <c:delete val="1"/>
              <c:extLst>
                <c:ext xmlns:c15="http://schemas.microsoft.com/office/drawing/2012/chart" uri="{CE6537A1-D6FC-4f65-9D91-7224C49458BB}"/>
                <c:ext xmlns:c16="http://schemas.microsoft.com/office/drawing/2014/chart" uri="{C3380CC4-5D6E-409C-BE32-E72D297353CC}">
                  <c16:uniqueId val="{0000000C-B47E-452C-A9A8-8C9CFB16B9A9}"/>
                </c:ext>
              </c:extLst>
            </c:dLbl>
            <c:dLbl>
              <c:idx val="12"/>
              <c:layout>
                <c:manualLayout>
                  <c:x val="-8.5600299949482914E-2"/>
                  <c:y val="2.279201461129571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B47E-452C-A9A8-8C9CFB16B9A9}"/>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'CA LCFS Performance'!$D$2:$W$2</c:f>
              <c:numCache>
                <c:formatCode>General</c:formatCode>
                <c:ptCount val="20"/>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pt idx="13">
                  <c:v>2024</c:v>
                </c:pt>
                <c:pt idx="14">
                  <c:v>2025</c:v>
                </c:pt>
                <c:pt idx="15">
                  <c:v>2026</c:v>
                </c:pt>
                <c:pt idx="16">
                  <c:v>2027</c:v>
                </c:pt>
                <c:pt idx="17">
                  <c:v>2028</c:v>
                </c:pt>
                <c:pt idx="18">
                  <c:v>2029</c:v>
                </c:pt>
                <c:pt idx="19">
                  <c:v>2030</c:v>
                </c:pt>
              </c:numCache>
            </c:numRef>
          </c:cat>
          <c:val>
            <c:numRef>
              <c:f>'CA LCFS Performance'!$D$7:$P$7</c:f>
              <c:numCache>
                <c:formatCode>_(* #,##0.00_);_(* \(#,##0.00\);_(* "-"??_);_(@_)</c:formatCode>
                <c:ptCount val="13"/>
                <c:pt idx="0">
                  <c:v>-0.5926761569748269</c:v>
                </c:pt>
                <c:pt idx="1">
                  <c:v>-0.82977469884955524</c:v>
                </c:pt>
                <c:pt idx="2">
                  <c:v>-1.5046146040153547</c:v>
                </c:pt>
                <c:pt idx="3">
                  <c:v>-1.6749934173318148</c:v>
                </c:pt>
                <c:pt idx="4">
                  <c:v>-2.075918915729368</c:v>
                </c:pt>
                <c:pt idx="5">
                  <c:v>-2.7678596420646122</c:v>
                </c:pt>
                <c:pt idx="6">
                  <c:v>-3.5016024001160453</c:v>
                </c:pt>
                <c:pt idx="7">
                  <c:v>-4.5730043408978691</c:v>
                </c:pt>
                <c:pt idx="8">
                  <c:v>-6.0270391314496319</c:v>
                </c:pt>
                <c:pt idx="9">
                  <c:v>-7.4464998651879704</c:v>
                </c:pt>
                <c:pt idx="10">
                  <c:v>-9.4081494621341388</c:v>
                </c:pt>
                <c:pt idx="11">
                  <c:v>-12.655230846300721</c:v>
                </c:pt>
                <c:pt idx="12">
                  <c:v>-15.344512187234402</c:v>
                </c:pt>
              </c:numCache>
            </c:numRef>
          </c:val>
          <c:smooth val="0"/>
          <c:extLst>
            <c:ext xmlns:c16="http://schemas.microsoft.com/office/drawing/2014/chart" uri="{C3380CC4-5D6E-409C-BE32-E72D297353CC}">
              <c16:uniqueId val="{0000000E-B47E-452C-A9A8-8C9CFB16B9A9}"/>
            </c:ext>
          </c:extLst>
        </c:ser>
        <c:ser>
          <c:idx val="0"/>
          <c:order val="2"/>
          <c:tx>
            <c:strRef>
              <c:f>'CA LCFS Performance'!$A$5</c:f>
              <c:strCache>
                <c:ptCount val="1"/>
                <c:pt idx="0">
                  <c:v>Future Compliance Targets (black dotted line)</c:v>
                </c:pt>
              </c:strCache>
            </c:strRef>
          </c:tx>
          <c:spPr>
            <a:ln w="63500">
              <a:solidFill>
                <a:schemeClr val="bg2">
                  <a:lumMod val="90000"/>
                </a:schemeClr>
              </a:solidFill>
              <a:prstDash val="solid"/>
            </a:ln>
          </c:spPr>
          <c:marker>
            <c:symbol val="circle"/>
            <c:size val="8"/>
            <c:spPr>
              <a:solidFill>
                <a:schemeClr val="tx1"/>
              </a:solidFill>
              <a:ln w="12700">
                <a:noFill/>
                <a:prstDash val="solid"/>
              </a:ln>
            </c:spPr>
          </c:marker>
          <c:dLbls>
            <c:dLbl>
              <c:idx val="7"/>
              <c:delete val="1"/>
              <c:extLst>
                <c:ext xmlns:c15="http://schemas.microsoft.com/office/drawing/2012/chart" uri="{CE6537A1-D6FC-4f65-9D91-7224C49458BB}"/>
                <c:ext xmlns:c16="http://schemas.microsoft.com/office/drawing/2014/chart" uri="{C3380CC4-5D6E-409C-BE32-E72D297353CC}">
                  <c16:uniqueId val="{0000000F-B47E-452C-A9A8-8C9CFB16B9A9}"/>
                </c:ext>
              </c:extLst>
            </c:dLbl>
            <c:dLbl>
              <c:idx val="8"/>
              <c:delete val="1"/>
              <c:extLst>
                <c:ext xmlns:c15="http://schemas.microsoft.com/office/drawing/2012/chart" uri="{CE6537A1-D6FC-4f65-9D91-7224C49458BB}"/>
                <c:ext xmlns:c16="http://schemas.microsoft.com/office/drawing/2014/chart" uri="{C3380CC4-5D6E-409C-BE32-E72D297353CC}">
                  <c16:uniqueId val="{00000010-B47E-452C-A9A8-8C9CFB16B9A9}"/>
                </c:ext>
              </c:extLst>
            </c:dLbl>
            <c:dLbl>
              <c:idx val="10"/>
              <c:layout>
                <c:manualLayout>
                  <c:x val="-2.7088391839466281E-2"/>
                  <c:y val="-4.666008220282880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B47E-452C-A9A8-8C9CFB16B9A9}"/>
                </c:ext>
              </c:extLst>
            </c:dLbl>
            <c:spPr>
              <a:noFill/>
              <a:ln>
                <a:noFill/>
              </a:ln>
              <a:effectLst/>
            </c:sp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'CA LCFS Performance'!$D$2:$W$2</c:f>
              <c:numCache>
                <c:formatCode>General</c:formatCode>
                <c:ptCount val="20"/>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pt idx="13">
                  <c:v>2024</c:v>
                </c:pt>
                <c:pt idx="14">
                  <c:v>2025</c:v>
                </c:pt>
                <c:pt idx="15">
                  <c:v>2026</c:v>
                </c:pt>
                <c:pt idx="16">
                  <c:v>2027</c:v>
                </c:pt>
                <c:pt idx="17">
                  <c:v>2028</c:v>
                </c:pt>
                <c:pt idx="18">
                  <c:v>2029</c:v>
                </c:pt>
                <c:pt idx="19">
                  <c:v>2030</c:v>
                </c:pt>
              </c:numCache>
            </c:numRef>
          </c:cat>
          <c:val>
            <c:numRef>
              <c:f>'CA LCFS Performance'!$D$5:$W$5</c:f>
              <c:numCache>
                <c:formatCode>General</c:formatCode>
                <c:ptCount val="20"/>
                <c:pt idx="12">
                  <c:v>-11.25</c:v>
                </c:pt>
                <c:pt idx="13">
                  <c:v>-12.5</c:v>
                </c:pt>
                <c:pt idx="14">
                  <c:v>-13.75</c:v>
                </c:pt>
                <c:pt idx="15">
                  <c:v>-15</c:v>
                </c:pt>
                <c:pt idx="16">
                  <c:v>-16.25</c:v>
                </c:pt>
                <c:pt idx="17">
                  <c:v>-17.5</c:v>
                </c:pt>
                <c:pt idx="18">
                  <c:v>-18.75</c:v>
                </c:pt>
                <c:pt idx="19">
                  <c:v>-20</c:v>
                </c:pt>
              </c:numCache>
            </c:numRef>
          </c:val>
          <c:smooth val="1"/>
          <c:extLst>
            <c:ext xmlns:c16="http://schemas.microsoft.com/office/drawing/2014/chart" uri="{C3380CC4-5D6E-409C-BE32-E72D297353CC}">
              <c16:uniqueId val="{00000012-B47E-452C-A9A8-8C9CFB16B9A9}"/>
            </c:ext>
          </c:extLst>
        </c:ser>
        <c:ser>
          <c:idx val="2"/>
          <c:order val="3"/>
          <c:tx>
            <c:strRef>
              <c:f>'CA LCFS Performance'!$A$6</c:f>
              <c:strCache>
                <c:ptCount val="1"/>
                <c:pt idx="0">
                  <c:v>Future Compliance Targets (forecast)</c:v>
                </c:pt>
              </c:strCache>
            </c:strRef>
          </c:tx>
          <c:spPr>
            <a:ln w="63500" cmpd="sng">
              <a:solidFill>
                <a:srgbClr val="DFC9EF"/>
              </a:solidFill>
              <a:prstDash val="solid"/>
            </a:ln>
          </c:spPr>
          <c:marker>
            <c:symbol val="circle"/>
            <c:size val="8"/>
            <c:spPr>
              <a:solidFill>
                <a:srgbClr val="7030A0"/>
              </a:solidFill>
              <a:ln w="12700">
                <a:solidFill>
                  <a:srgbClr val="7030A0"/>
                </a:solidFill>
              </a:ln>
            </c:spPr>
          </c:marker>
          <c:dLbls>
            <c:dLbl>
              <c:idx val="14"/>
              <c:layout>
                <c:manualLayout>
                  <c:x val="0"/>
                  <c:y val="1.36752087667779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B47E-452C-A9A8-8C9CFB16B9A9}"/>
                </c:ext>
              </c:extLst>
            </c:dLbl>
            <c:dLbl>
              <c:idx val="15"/>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B47E-452C-A9A8-8C9CFB16B9A9}"/>
                </c:ext>
              </c:extLst>
            </c:dLbl>
            <c:dLbl>
              <c:idx val="16"/>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B47E-452C-A9A8-8C9CFB16B9A9}"/>
                </c:ext>
              </c:extLst>
            </c:dLbl>
            <c:dLbl>
              <c:idx val="17"/>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B47E-452C-A9A8-8C9CFB16B9A9}"/>
                </c:ext>
              </c:extLst>
            </c:dLbl>
            <c:dLbl>
              <c:idx val="18"/>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B47E-452C-A9A8-8C9CFB16B9A9}"/>
                </c:ext>
              </c:extLst>
            </c:dLbl>
            <c:dLbl>
              <c:idx val="19"/>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8-B47E-452C-A9A8-8C9CFB16B9A9}"/>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1"/>
              </c:ext>
            </c:extLst>
          </c:dLbls>
          <c:cat>
            <c:numRef>
              <c:f>'CA LCFS Performance'!$D$2:$W$2</c:f>
              <c:numCache>
                <c:formatCode>General</c:formatCode>
                <c:ptCount val="20"/>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pt idx="13">
                  <c:v>2024</c:v>
                </c:pt>
                <c:pt idx="14">
                  <c:v>2025</c:v>
                </c:pt>
                <c:pt idx="15">
                  <c:v>2026</c:v>
                </c:pt>
                <c:pt idx="16">
                  <c:v>2027</c:v>
                </c:pt>
                <c:pt idx="17">
                  <c:v>2028</c:v>
                </c:pt>
                <c:pt idx="18">
                  <c:v>2029</c:v>
                </c:pt>
                <c:pt idx="19">
                  <c:v>2030</c:v>
                </c:pt>
              </c:numCache>
            </c:numRef>
          </c:cat>
          <c:val>
            <c:numRef>
              <c:f>'CA LCFS Performance'!$D$6:$W$6</c:f>
              <c:numCache>
                <c:formatCode>General</c:formatCode>
                <c:ptCount val="20"/>
                <c:pt idx="12">
                  <c:v>-11.25</c:v>
                </c:pt>
                <c:pt idx="13">
                  <c:v>-12.5</c:v>
                </c:pt>
                <c:pt idx="14">
                  <c:v>-15.5</c:v>
                </c:pt>
                <c:pt idx="15">
                  <c:v>-18.5</c:v>
                </c:pt>
                <c:pt idx="16">
                  <c:v>-21.5</c:v>
                </c:pt>
                <c:pt idx="17">
                  <c:v>-24.5</c:v>
                </c:pt>
                <c:pt idx="18">
                  <c:v>-27.5</c:v>
                </c:pt>
                <c:pt idx="19">
                  <c:v>-30</c:v>
                </c:pt>
              </c:numCache>
            </c:numRef>
          </c:val>
          <c:smooth val="1"/>
          <c:extLst>
            <c:ext xmlns:c16="http://schemas.microsoft.com/office/drawing/2014/chart" uri="{C3380CC4-5D6E-409C-BE32-E72D297353CC}">
              <c16:uniqueId val="{00000019-B47E-452C-A9A8-8C9CFB16B9A9}"/>
            </c:ext>
          </c:extLst>
        </c:ser>
        <c:dLbls>
          <c:showLegendKey val="0"/>
          <c:showVal val="0"/>
          <c:showCatName val="0"/>
          <c:showSerName val="0"/>
          <c:showPercent val="0"/>
          <c:showBubbleSize val="0"/>
        </c:dLbls>
        <c:smooth val="0"/>
        <c:axId val="153559808"/>
        <c:axId val="153562496"/>
      </c:lineChart>
      <c:catAx>
        <c:axId val="153559808"/>
        <c:scaling>
          <c:orientation val="minMax"/>
        </c:scaling>
        <c:delete val="0"/>
        <c:axPos val="t"/>
        <c:numFmt formatCode="General" sourceLinked="1"/>
        <c:majorTickMark val="none"/>
        <c:minorTickMark val="none"/>
        <c:tickLblPos val="high"/>
        <c:txPr>
          <a:bodyPr/>
          <a:lstStyle/>
          <a:p>
            <a:pPr>
              <a:defRPr sz="1100"/>
            </a:pPr>
            <a:endParaRPr lang="en-US"/>
          </a:p>
        </c:txPr>
        <c:crossAx val="153562496"/>
        <c:crosses val="max"/>
        <c:auto val="1"/>
        <c:lblAlgn val="ctr"/>
        <c:lblOffset val="1"/>
        <c:noMultiLvlLbl val="0"/>
      </c:catAx>
      <c:valAx>
        <c:axId val="153562496"/>
        <c:scaling>
          <c:orientation val="minMax"/>
        </c:scaling>
        <c:delete val="0"/>
        <c:axPos val="l"/>
        <c:majorGridlines/>
        <c:title>
          <c:tx>
            <c:rich>
              <a:bodyPr/>
              <a:lstStyle/>
              <a:p>
                <a:pPr>
                  <a:defRPr b="0"/>
                </a:pPr>
                <a:r>
                  <a:rPr lang="en-US" b="0"/>
                  <a:t>Percent Reduction in Carbon Intensity</a:t>
                </a:r>
              </a:p>
            </c:rich>
          </c:tx>
          <c:overlay val="0"/>
        </c:title>
        <c:numFmt formatCode="0.0" sourceLinked="0"/>
        <c:majorTickMark val="none"/>
        <c:minorTickMark val="none"/>
        <c:tickLblPos val="nextTo"/>
        <c:crossAx val="153559808"/>
        <c:crosses val="autoZero"/>
        <c:crossBetween val="between"/>
      </c:valAx>
      <c:spPr>
        <a:ln>
          <a:solidFill>
            <a:schemeClr val="bg1">
              <a:lumMod val="85000"/>
            </a:schemeClr>
          </a:solidFill>
        </a:ln>
      </c:spPr>
    </c:plotArea>
    <c:legend>
      <c:legendPos val="r"/>
      <c:layout>
        <c:manualLayout>
          <c:xMode val="edge"/>
          <c:yMode val="edge"/>
          <c:x val="0.11706046938307468"/>
          <c:y val="0.71252223005947568"/>
          <c:w val="0.44710860806366165"/>
          <c:h val="0.19131323912414161"/>
        </c:manualLayout>
      </c:layout>
      <c:overlay val="0"/>
      <c:spPr>
        <a:solidFill>
          <a:schemeClr val="bg1"/>
        </a:solidFill>
        <a:ln>
          <a:solidFill>
            <a:schemeClr val="tx1"/>
          </a:solidFill>
        </a:ln>
      </c:spPr>
    </c:legend>
    <c:plotVisOnly val="1"/>
    <c:dispBlanksAs val="gap"/>
    <c:showDLblsOverMax val="0"/>
  </c:chart>
  <c:spPr>
    <a:ln>
      <a:noFill/>
    </a:ln>
  </c:spPr>
  <c:txPr>
    <a:bodyPr/>
    <a:lstStyle/>
    <a:p>
      <a:pPr>
        <a:defRPr sz="1200">
          <a:latin typeface="Arial" panose="020B0604020202020204" pitchFamily="34" charset="0"/>
          <a:cs typeface="Arial" panose="020B0604020202020204" pitchFamily="34" charset="0"/>
        </a:defRPr>
      </a:pPr>
      <a:endParaRPr lang="en-US"/>
    </a:p>
  </c:txPr>
  <c:userShapes r:id="rId1"/>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GB" sz="1800"/>
              <a:t>Biomass-Based Diesel Feedstock Consumption</a:t>
            </a:r>
          </a:p>
        </c:rich>
      </c:tx>
      <c:layout>
        <c:manualLayout>
          <c:xMode val="edge"/>
          <c:yMode val="edge"/>
          <c:x val="0.242007326007326"/>
          <c:y val="8.0685829551185081E-3"/>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2751268587799969"/>
          <c:y val="8.4794472399434759E-2"/>
          <c:w val="0.82140485564304466"/>
          <c:h val="0.7546082811949314"/>
        </c:manualLayout>
      </c:layout>
      <c:barChart>
        <c:barDir val="col"/>
        <c:grouping val="stacked"/>
        <c:varyColors val="0"/>
        <c:ser>
          <c:idx val="0"/>
          <c:order val="0"/>
          <c:tx>
            <c:strRef>
              <c:f>'Biofuel Feedstocks'!$A$24</c:f>
              <c:strCache>
                <c:ptCount val="1"/>
                <c:pt idx="0">
                  <c:v>Canola</c:v>
                </c:pt>
              </c:strCache>
            </c:strRef>
          </c:tx>
          <c:spPr>
            <a:solidFill>
              <a:srgbClr val="6F0791"/>
            </a:solidFill>
            <a:ln>
              <a:noFill/>
            </a:ln>
            <a:effectLst/>
          </c:spPr>
          <c:invertIfNegative val="0"/>
          <c:cat>
            <c:multiLvlStrRef>
              <c:f>'Biofuel Feedstocks'!$AM$4:$BF$5</c:f>
              <c:multiLvlStrCache>
                <c:ptCount val="20"/>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lvl>
                <c:lvl>
                  <c:pt idx="0">
                    <c:v>2020</c:v>
                  </c:pt>
                  <c:pt idx="4">
                    <c:v>2021</c:v>
                  </c:pt>
                  <c:pt idx="8">
                    <c:v>2022</c:v>
                  </c:pt>
                  <c:pt idx="12">
                    <c:v>2023</c:v>
                  </c:pt>
                  <c:pt idx="16">
                    <c:v>2024</c:v>
                  </c:pt>
                </c:lvl>
              </c:multiLvlStrCache>
            </c:multiLvlStrRef>
          </c:cat>
          <c:val>
            <c:numRef>
              <c:f>'Biofuel Feedstocks'!$B$24:$BD$24</c:f>
              <c:numCache>
                <c:formatCode>#,##0_);[Red]\(#,##0\)</c:formatCode>
                <c:ptCount val="19"/>
                <c:pt idx="1">
                  <c:v>1106</c:v>
                </c:pt>
                <c:pt idx="2">
                  <c:v>4033</c:v>
                </c:pt>
                <c:pt idx="3">
                  <c:v>3213</c:v>
                </c:pt>
                <c:pt idx="4">
                  <c:v>41026</c:v>
                </c:pt>
                <c:pt idx="5">
                  <c:v>160</c:v>
                </c:pt>
                <c:pt idx="6">
                  <c:v>0</c:v>
                </c:pt>
                <c:pt idx="7">
                  <c:v>12161</c:v>
                </c:pt>
                <c:pt idx="8">
                  <c:v>5884</c:v>
                </c:pt>
                <c:pt idx="9">
                  <c:v>17460</c:v>
                </c:pt>
                <c:pt idx="10">
                  <c:v>19551</c:v>
                </c:pt>
                <c:pt idx="11">
                  <c:v>33717</c:v>
                </c:pt>
                <c:pt idx="12">
                  <c:v>55285</c:v>
                </c:pt>
                <c:pt idx="13">
                  <c:v>109914</c:v>
                </c:pt>
                <c:pt idx="14">
                  <c:v>34240</c:v>
                </c:pt>
                <c:pt idx="15">
                  <c:v>35693</c:v>
                </c:pt>
                <c:pt idx="16">
                  <c:v>110066</c:v>
                </c:pt>
                <c:pt idx="17">
                  <c:v>105974</c:v>
                </c:pt>
                <c:pt idx="18">
                  <c:v>26605</c:v>
                </c:pt>
              </c:numCache>
            </c:numRef>
          </c:val>
          <c:extLst>
            <c:ext xmlns:c16="http://schemas.microsoft.com/office/drawing/2014/chart" uri="{C3380CC4-5D6E-409C-BE32-E72D297353CC}">
              <c16:uniqueId val="{00000000-DC97-457D-8A29-D8431B65DEEA}"/>
            </c:ext>
          </c:extLst>
        </c:ser>
        <c:ser>
          <c:idx val="1"/>
          <c:order val="1"/>
          <c:tx>
            <c:strRef>
              <c:f>'Biofuel Feedstocks'!$A$25</c:f>
              <c:strCache>
                <c:ptCount val="1"/>
                <c:pt idx="0">
                  <c:v>Corn Oil</c:v>
                </c:pt>
              </c:strCache>
            </c:strRef>
          </c:tx>
          <c:spPr>
            <a:solidFill>
              <a:srgbClr val="CFB93C"/>
            </a:solidFill>
            <a:ln>
              <a:noFill/>
            </a:ln>
            <a:effectLst/>
          </c:spPr>
          <c:invertIfNegative val="0"/>
          <c:cat>
            <c:multiLvlStrRef>
              <c:f>'Biofuel Feedstocks'!$AM$4:$BF$5</c:f>
              <c:multiLvlStrCache>
                <c:ptCount val="20"/>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lvl>
                <c:lvl>
                  <c:pt idx="0">
                    <c:v>2020</c:v>
                  </c:pt>
                  <c:pt idx="4">
                    <c:v>2021</c:v>
                  </c:pt>
                  <c:pt idx="8">
                    <c:v>2022</c:v>
                  </c:pt>
                  <c:pt idx="12">
                    <c:v>2023</c:v>
                  </c:pt>
                  <c:pt idx="16">
                    <c:v>2024</c:v>
                  </c:pt>
                </c:lvl>
              </c:multiLvlStrCache>
            </c:multiLvlStrRef>
          </c:cat>
          <c:val>
            <c:numRef>
              <c:f>'Biofuel Feedstocks'!$B$25:$BD$25</c:f>
              <c:numCache>
                <c:formatCode>#,##0_);[Red]\(#,##0\)</c:formatCode>
                <c:ptCount val="19"/>
                <c:pt idx="1">
                  <c:v>418362</c:v>
                </c:pt>
                <c:pt idx="2">
                  <c:v>334058</c:v>
                </c:pt>
                <c:pt idx="3">
                  <c:v>380820</c:v>
                </c:pt>
                <c:pt idx="4">
                  <c:v>516601</c:v>
                </c:pt>
                <c:pt idx="5">
                  <c:v>427878</c:v>
                </c:pt>
                <c:pt idx="6">
                  <c:v>527363</c:v>
                </c:pt>
                <c:pt idx="7">
                  <c:v>629828</c:v>
                </c:pt>
                <c:pt idx="8">
                  <c:v>514743</c:v>
                </c:pt>
                <c:pt idx="9">
                  <c:v>894647</c:v>
                </c:pt>
                <c:pt idx="10">
                  <c:v>612838</c:v>
                </c:pt>
                <c:pt idx="11">
                  <c:v>849753</c:v>
                </c:pt>
                <c:pt idx="12">
                  <c:v>641995</c:v>
                </c:pt>
                <c:pt idx="13">
                  <c:v>460942</c:v>
                </c:pt>
                <c:pt idx="14">
                  <c:v>387697</c:v>
                </c:pt>
                <c:pt idx="15">
                  <c:v>741579</c:v>
                </c:pt>
                <c:pt idx="16">
                  <c:v>594981</c:v>
                </c:pt>
                <c:pt idx="17">
                  <c:v>548463</c:v>
                </c:pt>
                <c:pt idx="18">
                  <c:v>924788</c:v>
                </c:pt>
              </c:numCache>
            </c:numRef>
          </c:val>
          <c:extLst>
            <c:ext xmlns:c16="http://schemas.microsoft.com/office/drawing/2014/chart" uri="{C3380CC4-5D6E-409C-BE32-E72D297353CC}">
              <c16:uniqueId val="{00000001-DC97-457D-8A29-D8431B65DEEA}"/>
            </c:ext>
          </c:extLst>
        </c:ser>
        <c:ser>
          <c:idx val="2"/>
          <c:order val="2"/>
          <c:tx>
            <c:strRef>
              <c:f>'Biofuel Feedstocks'!$A$26</c:f>
              <c:strCache>
                <c:ptCount val="1"/>
                <c:pt idx="0">
                  <c:v>Tallow</c:v>
                </c:pt>
              </c:strCache>
            </c:strRef>
          </c:tx>
          <c:spPr>
            <a:solidFill>
              <a:srgbClr val="3C55CF"/>
            </a:solidFill>
            <a:ln>
              <a:noFill/>
            </a:ln>
            <a:effectLst/>
          </c:spPr>
          <c:invertIfNegative val="0"/>
          <c:cat>
            <c:multiLvlStrRef>
              <c:f>'Biofuel Feedstocks'!$AM$4:$BF$5</c:f>
              <c:multiLvlStrCache>
                <c:ptCount val="20"/>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lvl>
                <c:lvl>
                  <c:pt idx="0">
                    <c:v>2020</c:v>
                  </c:pt>
                  <c:pt idx="4">
                    <c:v>2021</c:v>
                  </c:pt>
                  <c:pt idx="8">
                    <c:v>2022</c:v>
                  </c:pt>
                  <c:pt idx="12">
                    <c:v>2023</c:v>
                  </c:pt>
                  <c:pt idx="16">
                    <c:v>2024</c:v>
                  </c:pt>
                </c:lvl>
              </c:multiLvlStrCache>
            </c:multiLvlStrRef>
          </c:cat>
          <c:val>
            <c:numRef>
              <c:f>'Biofuel Feedstocks'!$B$26:$BD$26</c:f>
              <c:numCache>
                <c:formatCode>#,##0_);[Red]\(#,##0\)</c:formatCode>
                <c:ptCount val="19"/>
                <c:pt idx="1">
                  <c:v>375207</c:v>
                </c:pt>
                <c:pt idx="2">
                  <c:v>604336</c:v>
                </c:pt>
                <c:pt idx="3">
                  <c:v>501922</c:v>
                </c:pt>
                <c:pt idx="4">
                  <c:v>408000</c:v>
                </c:pt>
                <c:pt idx="5">
                  <c:v>437409</c:v>
                </c:pt>
                <c:pt idx="6">
                  <c:v>690733</c:v>
                </c:pt>
                <c:pt idx="7">
                  <c:v>620469</c:v>
                </c:pt>
                <c:pt idx="8">
                  <c:v>536858</c:v>
                </c:pt>
                <c:pt idx="9">
                  <c:v>717149</c:v>
                </c:pt>
                <c:pt idx="10">
                  <c:v>998403</c:v>
                </c:pt>
                <c:pt idx="11">
                  <c:v>636308</c:v>
                </c:pt>
                <c:pt idx="12">
                  <c:v>795112</c:v>
                </c:pt>
                <c:pt idx="13">
                  <c:v>755664</c:v>
                </c:pt>
                <c:pt idx="14">
                  <c:v>895937</c:v>
                </c:pt>
                <c:pt idx="15">
                  <c:v>1153431</c:v>
                </c:pt>
                <c:pt idx="16">
                  <c:v>1577170</c:v>
                </c:pt>
                <c:pt idx="17">
                  <c:v>1542413</c:v>
                </c:pt>
                <c:pt idx="18">
                  <c:v>1308203</c:v>
                </c:pt>
              </c:numCache>
            </c:numRef>
          </c:val>
          <c:extLst>
            <c:ext xmlns:c16="http://schemas.microsoft.com/office/drawing/2014/chart" uri="{C3380CC4-5D6E-409C-BE32-E72D297353CC}">
              <c16:uniqueId val="{00000002-DC97-457D-8A29-D8431B65DEEA}"/>
            </c:ext>
          </c:extLst>
        </c:ser>
        <c:ser>
          <c:idx val="3"/>
          <c:order val="3"/>
          <c:tx>
            <c:strRef>
              <c:f>'Biofuel Feedstocks'!$A$27</c:f>
              <c:strCache>
                <c:ptCount val="1"/>
                <c:pt idx="0">
                  <c:v>UCO</c:v>
                </c:pt>
              </c:strCache>
            </c:strRef>
          </c:tx>
          <c:spPr>
            <a:solidFill>
              <a:srgbClr val="CF883C"/>
            </a:solidFill>
            <a:ln>
              <a:noFill/>
            </a:ln>
            <a:effectLst/>
          </c:spPr>
          <c:invertIfNegative val="0"/>
          <c:cat>
            <c:multiLvlStrRef>
              <c:f>'Biofuel Feedstocks'!$AM$4:$BF$5</c:f>
              <c:multiLvlStrCache>
                <c:ptCount val="20"/>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lvl>
                <c:lvl>
                  <c:pt idx="0">
                    <c:v>2020</c:v>
                  </c:pt>
                  <c:pt idx="4">
                    <c:v>2021</c:v>
                  </c:pt>
                  <c:pt idx="8">
                    <c:v>2022</c:v>
                  </c:pt>
                  <c:pt idx="12">
                    <c:v>2023</c:v>
                  </c:pt>
                  <c:pt idx="16">
                    <c:v>2024</c:v>
                  </c:pt>
                </c:lvl>
              </c:multiLvlStrCache>
            </c:multiLvlStrRef>
          </c:cat>
          <c:val>
            <c:numRef>
              <c:f>'Biofuel Feedstocks'!$B$27:$BD$27</c:f>
              <c:numCache>
                <c:formatCode>#,##0_);[Red]\(#,##0\)</c:formatCode>
                <c:ptCount val="19"/>
                <c:pt idx="1">
                  <c:v>620115</c:v>
                </c:pt>
                <c:pt idx="2">
                  <c:v>565467</c:v>
                </c:pt>
                <c:pt idx="3">
                  <c:v>715122</c:v>
                </c:pt>
                <c:pt idx="4">
                  <c:v>819090</c:v>
                </c:pt>
                <c:pt idx="5">
                  <c:v>846527</c:v>
                </c:pt>
                <c:pt idx="6">
                  <c:v>702637</c:v>
                </c:pt>
                <c:pt idx="7">
                  <c:v>724539</c:v>
                </c:pt>
                <c:pt idx="8">
                  <c:v>1038299</c:v>
                </c:pt>
                <c:pt idx="9">
                  <c:v>860374</c:v>
                </c:pt>
                <c:pt idx="10">
                  <c:v>1035312</c:v>
                </c:pt>
                <c:pt idx="11">
                  <c:v>1004483</c:v>
                </c:pt>
                <c:pt idx="12">
                  <c:v>1221396</c:v>
                </c:pt>
                <c:pt idx="13">
                  <c:v>1194627</c:v>
                </c:pt>
                <c:pt idx="14">
                  <c:v>1373256</c:v>
                </c:pt>
                <c:pt idx="15">
                  <c:v>1096750</c:v>
                </c:pt>
                <c:pt idx="16">
                  <c:v>965082</c:v>
                </c:pt>
                <c:pt idx="17">
                  <c:v>848256</c:v>
                </c:pt>
                <c:pt idx="18">
                  <c:v>792040</c:v>
                </c:pt>
              </c:numCache>
            </c:numRef>
          </c:val>
          <c:extLst>
            <c:ext xmlns:c16="http://schemas.microsoft.com/office/drawing/2014/chart" uri="{C3380CC4-5D6E-409C-BE32-E72D297353CC}">
              <c16:uniqueId val="{00000003-DC97-457D-8A29-D8431B65DEEA}"/>
            </c:ext>
          </c:extLst>
        </c:ser>
        <c:ser>
          <c:idx val="4"/>
          <c:order val="4"/>
          <c:tx>
            <c:strRef>
              <c:f>'Biofuel Feedstocks'!$A$28</c:f>
              <c:strCache>
                <c:ptCount val="1"/>
                <c:pt idx="0">
                  <c:v>Soy</c:v>
                </c:pt>
              </c:strCache>
            </c:strRef>
          </c:tx>
          <c:spPr>
            <a:solidFill>
              <a:srgbClr val="3CCFC3"/>
            </a:solidFill>
            <a:ln>
              <a:noFill/>
            </a:ln>
            <a:effectLst/>
          </c:spPr>
          <c:invertIfNegative val="0"/>
          <c:cat>
            <c:multiLvlStrRef>
              <c:f>'Biofuel Feedstocks'!$AM$4:$BF$5</c:f>
              <c:multiLvlStrCache>
                <c:ptCount val="20"/>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lvl>
                <c:lvl>
                  <c:pt idx="0">
                    <c:v>2020</c:v>
                  </c:pt>
                  <c:pt idx="4">
                    <c:v>2021</c:v>
                  </c:pt>
                  <c:pt idx="8">
                    <c:v>2022</c:v>
                  </c:pt>
                  <c:pt idx="12">
                    <c:v>2023</c:v>
                  </c:pt>
                  <c:pt idx="16">
                    <c:v>2024</c:v>
                  </c:pt>
                </c:lvl>
              </c:multiLvlStrCache>
            </c:multiLvlStrRef>
          </c:cat>
          <c:val>
            <c:numRef>
              <c:f>'Biofuel Feedstocks'!$B$28:$BD$28</c:f>
              <c:numCache>
                <c:formatCode>#,##0_);[Red]\(#,##0\)</c:formatCode>
                <c:ptCount val="19"/>
                <c:pt idx="1">
                  <c:v>362</c:v>
                </c:pt>
                <c:pt idx="2">
                  <c:v>524</c:v>
                </c:pt>
                <c:pt idx="3">
                  <c:v>1203</c:v>
                </c:pt>
                <c:pt idx="4">
                  <c:v>14779</c:v>
                </c:pt>
                <c:pt idx="5">
                  <c:v>168</c:v>
                </c:pt>
                <c:pt idx="6">
                  <c:v>1332</c:v>
                </c:pt>
                <c:pt idx="7">
                  <c:v>338780</c:v>
                </c:pt>
                <c:pt idx="8">
                  <c:v>358384</c:v>
                </c:pt>
                <c:pt idx="9">
                  <c:v>328253</c:v>
                </c:pt>
                <c:pt idx="10">
                  <c:v>272007</c:v>
                </c:pt>
                <c:pt idx="11">
                  <c:v>275221</c:v>
                </c:pt>
                <c:pt idx="12">
                  <c:v>244389</c:v>
                </c:pt>
                <c:pt idx="13">
                  <c:v>326825</c:v>
                </c:pt>
                <c:pt idx="14">
                  <c:v>394187</c:v>
                </c:pt>
                <c:pt idx="15">
                  <c:v>329738</c:v>
                </c:pt>
                <c:pt idx="16">
                  <c:v>401120</c:v>
                </c:pt>
                <c:pt idx="17">
                  <c:v>285312</c:v>
                </c:pt>
                <c:pt idx="18">
                  <c:v>482003</c:v>
                </c:pt>
              </c:numCache>
            </c:numRef>
          </c:val>
          <c:extLst>
            <c:ext xmlns:c16="http://schemas.microsoft.com/office/drawing/2014/chart" uri="{C3380CC4-5D6E-409C-BE32-E72D297353CC}">
              <c16:uniqueId val="{00000004-DC97-457D-8A29-D8431B65DEEA}"/>
            </c:ext>
          </c:extLst>
        </c:ser>
        <c:dLbls>
          <c:showLegendKey val="0"/>
          <c:showVal val="0"/>
          <c:showCatName val="0"/>
          <c:showSerName val="0"/>
          <c:showPercent val="0"/>
          <c:showBubbleSize val="0"/>
        </c:dLbls>
        <c:gapWidth val="25"/>
        <c:overlap val="100"/>
        <c:axId val="1268973855"/>
        <c:axId val="1268974815"/>
      </c:barChart>
      <c:catAx>
        <c:axId val="1268973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268974815"/>
        <c:crosses val="autoZero"/>
        <c:auto val="1"/>
        <c:lblAlgn val="ctr"/>
        <c:lblOffset val="0"/>
        <c:noMultiLvlLbl val="0"/>
      </c:catAx>
      <c:valAx>
        <c:axId val="12689748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268973855"/>
        <c:crosses val="autoZero"/>
        <c:crossBetween val="between"/>
      </c:valAx>
      <c:spPr>
        <a:noFill/>
        <a:ln>
          <a:solidFill>
            <a:schemeClr val="bg1">
              <a:lumMod val="75000"/>
            </a:schemeClr>
          </a:solidFill>
        </a:ln>
        <a:effectLst/>
      </c:spPr>
    </c:plotArea>
    <c:legend>
      <c:legendPos val="b"/>
      <c:layout>
        <c:manualLayout>
          <c:xMode val="edge"/>
          <c:yMode val="edge"/>
          <c:x val="0.24201828617576648"/>
          <c:y val="0.92793484778094126"/>
          <c:w val="0.57753849518810152"/>
          <c:h val="5.1879438560145506E-2"/>
        </c:manualLayout>
      </c:layout>
      <c:overlay val="0"/>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sz="1200">
          <a:solidFill>
            <a:sysClr val="windowText" lastClr="000000"/>
          </a:solidFill>
          <a:latin typeface="Arial" panose="020B0604020202020204" pitchFamily="34" charset="0"/>
          <a:cs typeface="Arial" panose="020B0604020202020204" pitchFamily="34" charset="0"/>
        </a:defRPr>
      </a:pPr>
      <a:endParaRPr lang="en-US"/>
    </a:p>
  </c:txPr>
  <c:userShapes r:id="rId3"/>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US" sz="1800"/>
              <a:t>Annual Credit</a:t>
            </a:r>
            <a:r>
              <a:rPr lang="en-US" sz="1800" baseline="0"/>
              <a:t> and Deficit Generation</a:t>
            </a:r>
            <a:endParaRPr lang="en-US" sz="1800"/>
          </a:p>
        </c:rich>
      </c:tx>
      <c:overlay val="0"/>
      <c:spPr>
        <a:noFill/>
        <a:ln>
          <a:noFill/>
        </a:ln>
        <a:effectLst/>
      </c:spPr>
      <c:txPr>
        <a:bodyPr rot="0" spcFirstLastPara="1" vertOverflow="ellipsis" vert="horz" wrap="square" anchor="ctr" anchorCtr="1"/>
        <a:lstStyle/>
        <a:p>
          <a:pPr>
            <a:defRPr sz="18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2372941125912469"/>
          <c:y val="9.4433372819548E-2"/>
          <c:w val="0.86155606937585161"/>
          <c:h val="0.76852772164541383"/>
        </c:manualLayout>
      </c:layout>
      <c:barChart>
        <c:barDir val="col"/>
        <c:grouping val="clustered"/>
        <c:varyColors val="0"/>
        <c:ser>
          <c:idx val="1"/>
          <c:order val="0"/>
          <c:tx>
            <c:strRef>
              <c:f>'Annual Credit-Deficit Gen'!$A$19</c:f>
              <c:strCache>
                <c:ptCount val="1"/>
                <c:pt idx="0">
                  <c:v>Total Deficits</c:v>
                </c:pt>
              </c:strCache>
            </c:strRef>
          </c:tx>
          <c:spPr>
            <a:solidFill>
              <a:srgbClr val="6F0791"/>
            </a:solidFill>
            <a:ln>
              <a:solidFill>
                <a:schemeClr val="tx1"/>
              </a:solidFill>
            </a:ln>
            <a:effectLst/>
          </c:spPr>
          <c:invertIfNegative val="0"/>
          <c:cat>
            <c:numRef>
              <c:f>'Annual Credit-Deficit Gen'!$J$2:$Y$2</c:f>
              <c:numCache>
                <c:formatCode>General</c:formatCode>
                <c:ptCount val="16"/>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numCache>
            </c:numRef>
          </c:cat>
          <c:val>
            <c:numRef>
              <c:f>'Annual Credit-Deficit Gen'!$J$19:$Y$19</c:f>
              <c:numCache>
                <c:formatCode>#,##0_);[Red]\(#,##0\)</c:formatCode>
                <c:ptCount val="16"/>
                <c:pt idx="0">
                  <c:v>15487415</c:v>
                </c:pt>
                <c:pt idx="1">
                  <c:v>15488232</c:v>
                </c:pt>
                <c:pt idx="2">
                  <c:v>18971245</c:v>
                </c:pt>
                <c:pt idx="3">
                  <c:v>21225670</c:v>
                </c:pt>
                <c:pt idx="4">
                  <c:v>22418786</c:v>
                </c:pt>
                <c:pt idx="5">
                  <c:v>31449482.806050129</c:v>
                </c:pt>
                <c:pt idx="6">
                  <c:v>55097350.546787247</c:v>
                </c:pt>
                <c:pt idx="7">
                  <c:v>61306487.834373616</c:v>
                </c:pt>
                <c:pt idx="8">
                  <c:v>71592381.763769895</c:v>
                </c:pt>
                <c:pt idx="9">
                  <c:v>76492054.324597955</c:v>
                </c:pt>
                <c:pt idx="10">
                  <c:v>81108552.599000096</c:v>
                </c:pt>
                <c:pt idx="11">
                  <c:v>71471031.592437118</c:v>
                </c:pt>
                <c:pt idx="12">
                  <c:v>78285366.336044103</c:v>
                </c:pt>
                <c:pt idx="13">
                  <c:v>88986400.720198393</c:v>
                </c:pt>
                <c:pt idx="14">
                  <c:v>126767275.30041289</c:v>
                </c:pt>
                <c:pt idx="15">
                  <c:v>165397000.65035653</c:v>
                </c:pt>
              </c:numCache>
            </c:numRef>
          </c:val>
          <c:extLst>
            <c:ext xmlns:c16="http://schemas.microsoft.com/office/drawing/2014/chart" uri="{C3380CC4-5D6E-409C-BE32-E72D297353CC}">
              <c16:uniqueId val="{00000000-9413-48E8-82F2-5A9AC2ADD5C0}"/>
            </c:ext>
          </c:extLst>
        </c:ser>
        <c:ser>
          <c:idx val="0"/>
          <c:order val="1"/>
          <c:tx>
            <c:strRef>
              <c:f>'Annual Credit-Deficit Gen'!$A$36</c:f>
              <c:strCache>
                <c:ptCount val="1"/>
                <c:pt idx="0">
                  <c:v>Total Credits</c:v>
                </c:pt>
              </c:strCache>
            </c:strRef>
          </c:tx>
          <c:spPr>
            <a:solidFill>
              <a:srgbClr val="CF883C"/>
            </a:solidFill>
            <a:ln>
              <a:solidFill>
                <a:schemeClr val="tx1"/>
              </a:solidFill>
            </a:ln>
            <a:effectLst/>
          </c:spPr>
          <c:invertIfNegative val="0"/>
          <c:cat>
            <c:numRef>
              <c:f>'Annual Credit-Deficit Gen'!$J$2:$Y$2</c:f>
              <c:numCache>
                <c:formatCode>General</c:formatCode>
                <c:ptCount val="16"/>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numCache>
            </c:numRef>
          </c:cat>
          <c:val>
            <c:numRef>
              <c:f>'Annual Credit-Deficit Gen'!$J$36:$Y$36</c:f>
              <c:numCache>
                <c:formatCode>#,##0_);[Red]\(#,##0\)</c:formatCode>
                <c:ptCount val="16"/>
                <c:pt idx="0">
                  <c:v>14750849</c:v>
                </c:pt>
                <c:pt idx="1">
                  <c:v>15220049</c:v>
                </c:pt>
                <c:pt idx="2">
                  <c:v>20127657</c:v>
                </c:pt>
                <c:pt idx="3">
                  <c:v>26560890</c:v>
                </c:pt>
                <c:pt idx="4">
                  <c:v>30258428</c:v>
                </c:pt>
                <c:pt idx="5">
                  <c:v>35414166.271699719</c:v>
                </c:pt>
                <c:pt idx="6">
                  <c:v>33884857.513744384</c:v>
                </c:pt>
                <c:pt idx="7">
                  <c:v>37676473.833017379</c:v>
                </c:pt>
                <c:pt idx="8">
                  <c:v>45751371.49299223</c:v>
                </c:pt>
                <c:pt idx="9">
                  <c:v>47612170.844470523</c:v>
                </c:pt>
                <c:pt idx="10">
                  <c:v>50631427.75956057</c:v>
                </c:pt>
                <c:pt idx="11">
                  <c:v>55790217.703748249</c:v>
                </c:pt>
                <c:pt idx="12">
                  <c:v>58635608.819558695</c:v>
                </c:pt>
                <c:pt idx="13">
                  <c:v>66137237.965713412</c:v>
                </c:pt>
                <c:pt idx="14">
                  <c:v>76290819.178328738</c:v>
                </c:pt>
                <c:pt idx="15">
                  <c:v>83210137.7711142</c:v>
                </c:pt>
              </c:numCache>
            </c:numRef>
          </c:val>
          <c:extLst>
            <c:ext xmlns:c16="http://schemas.microsoft.com/office/drawing/2014/chart" uri="{C3380CC4-5D6E-409C-BE32-E72D297353CC}">
              <c16:uniqueId val="{00000001-9413-48E8-82F2-5A9AC2ADD5C0}"/>
            </c:ext>
          </c:extLst>
        </c:ser>
        <c:dLbls>
          <c:showLegendKey val="0"/>
          <c:showVal val="0"/>
          <c:showCatName val="0"/>
          <c:showSerName val="0"/>
          <c:showPercent val="0"/>
          <c:showBubbleSize val="0"/>
        </c:dLbls>
        <c:gapWidth val="25"/>
        <c:axId val="1162262544"/>
        <c:axId val="1162263856"/>
      </c:barChart>
      <c:catAx>
        <c:axId val="1162262544"/>
        <c:scaling>
          <c:orientation val="minMax"/>
        </c:scaling>
        <c:delete val="0"/>
        <c:axPos val="b"/>
        <c:numFmt formatCode="General" sourceLinked="1"/>
        <c:majorTickMark val="none"/>
        <c:minorTickMark val="none"/>
        <c:tickLblPos val="nextTo"/>
        <c:spPr>
          <a:solidFill>
            <a:schemeClr val="bg1"/>
          </a:solidFill>
          <a:ln w="9525" cap="flat" cmpd="sng" algn="ctr">
            <a:solidFill>
              <a:srgbClr val="5D803B"/>
            </a:solidFill>
            <a:round/>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162263856"/>
        <c:crosses val="autoZero"/>
        <c:auto val="1"/>
        <c:lblAlgn val="ctr"/>
        <c:lblOffset val="100"/>
        <c:noMultiLvlLbl val="0"/>
      </c:catAx>
      <c:valAx>
        <c:axId val="1162263856"/>
        <c:scaling>
          <c:orientation val="minMax"/>
          <c:max val="160000000"/>
        </c:scaling>
        <c:delete val="0"/>
        <c:axPos val="l"/>
        <c:majorGridlines>
          <c:spPr>
            <a:ln w="9525" cap="flat" cmpd="sng" algn="ctr">
              <a:solidFill>
                <a:schemeClr val="bg1">
                  <a:lumMod val="50000"/>
                </a:schemeClr>
              </a:solidFill>
              <a:round/>
            </a:ln>
            <a:effectLst/>
          </c:spPr>
        </c:majorGridlines>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162262544"/>
        <c:crosses val="autoZero"/>
        <c:crossBetween val="between"/>
      </c:valAx>
      <c:spPr>
        <a:noFill/>
        <a:ln>
          <a:solidFill>
            <a:srgbClr val="5D803B"/>
          </a:solidFill>
        </a:ln>
        <a:effectLst/>
      </c:spPr>
    </c:plotArea>
    <c:legend>
      <c:legendPos val="b"/>
      <c:layout>
        <c:manualLayout>
          <c:xMode val="edge"/>
          <c:yMode val="edge"/>
          <c:x val="0.35622384213006475"/>
          <c:y val="0.93034055698789886"/>
          <c:w val="0.32360819816760522"/>
          <c:h val="6.485344142673781E-2"/>
        </c:manualLayout>
      </c:layout>
      <c:overlay val="0"/>
      <c:spPr>
        <a:noFill/>
        <a:ln>
          <a:noFill/>
        </a:ln>
        <a:effectLst/>
      </c:spPr>
      <c:txPr>
        <a:bodyPr rot="0" spcFirstLastPara="1" vertOverflow="ellipsis" vert="horz" wrap="square" anchor="ctr" anchorCtr="1"/>
        <a:lstStyle/>
        <a:p>
          <a:pPr>
            <a:defRPr sz="14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sz="1400" b="1">
          <a:solidFill>
            <a:sysClr val="windowText" lastClr="000000"/>
          </a:solidFill>
          <a:latin typeface="Arial" panose="020B0604020202020204" pitchFamily="34" charset="0"/>
          <a:cs typeface="Arial" panose="020B0604020202020204" pitchFamily="34" charset="0"/>
        </a:defRPr>
      </a:pPr>
      <a:endParaRPr lang="en-US"/>
    </a:p>
  </c:txPr>
  <c:userShapes r:id="rId3"/>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1200"/>
            </a:pPr>
            <a:r>
              <a:rPr lang="en-US" sz="1200" b="1" i="0" baseline="0">
                <a:effectLst/>
              </a:rPr>
              <a:t>Fig 2. Credit Percentage by Fuel</a:t>
            </a:r>
            <a:endParaRPr lang="en-US" sz="1200">
              <a:effectLst/>
            </a:endParaRPr>
          </a:p>
          <a:p>
            <a:pPr>
              <a:defRPr sz="1200"/>
            </a:pPr>
            <a:r>
              <a:rPr lang="en-US" sz="1200" b="1" i="0" baseline="0">
                <a:effectLst/>
              </a:rPr>
              <a:t>Q1 2011 - Q2 2021</a:t>
            </a:r>
            <a:endParaRPr lang="en-US" sz="1200">
              <a:effectLst/>
            </a:endParaRPr>
          </a:p>
        </c:rich>
      </c:tx>
      <c:overlay val="0"/>
    </c:title>
    <c:autoTitleDeleted val="0"/>
    <c:plotArea>
      <c:layout>
        <c:manualLayout>
          <c:layoutTarget val="inner"/>
          <c:xMode val="edge"/>
          <c:yMode val="edge"/>
          <c:x val="6.7170095081760778E-2"/>
          <c:y val="0.17518624001787012"/>
          <c:w val="0.66944782458068375"/>
          <c:h val="0.6834243591891439"/>
        </c:manualLayout>
      </c:layout>
      <c:areaChart>
        <c:grouping val="percentStacked"/>
        <c:varyColors val="0"/>
        <c:ser>
          <c:idx val="2"/>
          <c:order val="0"/>
          <c:tx>
            <c:strRef>
              <c:f>'Graph Data'!$A$28</c:f>
              <c:strCache>
                <c:ptCount val="1"/>
                <c:pt idx="0">
                  <c:v>Other (Hydrogen, Renewable Naphtha, Propane, Innovative Crude &amp; Low Complexity / Low Energy Use Refining, etc.)</c:v>
                </c:pt>
              </c:strCache>
            </c:strRef>
          </c:tx>
          <c:spPr>
            <a:solidFill>
              <a:srgbClr val="FFFF00"/>
            </a:solidFill>
            <a:ln w="25400">
              <a:noFill/>
            </a:ln>
          </c:spPr>
          <c:cat>
            <c:strRef>
              <c:f>'Graph Data'!$C$3:$AO$3</c:f>
              <c:strCache>
                <c:ptCount val="39"/>
                <c:pt idx="0">
                  <c:v>Q1 - Q4 '11</c:v>
                </c:pt>
                <c:pt idx="1">
                  <c:v>Q2 '11 - Q1 '12</c:v>
                </c:pt>
                <c:pt idx="2">
                  <c:v>Q3 '11 - Q2 '12</c:v>
                </c:pt>
                <c:pt idx="3">
                  <c:v>Q4 '11 - Q3 '12</c:v>
                </c:pt>
                <c:pt idx="4">
                  <c:v>Q1 - Q4 '12</c:v>
                </c:pt>
                <c:pt idx="5">
                  <c:v>Q2 '12 - Q1 '13</c:v>
                </c:pt>
                <c:pt idx="6">
                  <c:v>Q3 '12 - Q2 '13</c:v>
                </c:pt>
                <c:pt idx="7">
                  <c:v>Q4 '12 - Q3 '13</c:v>
                </c:pt>
                <c:pt idx="8">
                  <c:v>Q1 - Q4 '13</c:v>
                </c:pt>
                <c:pt idx="9">
                  <c:v>Q2 '13 - Q1 '14</c:v>
                </c:pt>
                <c:pt idx="10">
                  <c:v>Q3 '13 - Q2 '14</c:v>
                </c:pt>
                <c:pt idx="11">
                  <c:v>Q4 '13 - Q3 '14</c:v>
                </c:pt>
                <c:pt idx="12">
                  <c:v>Q1 - Q4 '14</c:v>
                </c:pt>
                <c:pt idx="13">
                  <c:v>Q2 '14 - Q1 '15</c:v>
                </c:pt>
                <c:pt idx="14">
                  <c:v>Q3 '14 - Q2 '15</c:v>
                </c:pt>
                <c:pt idx="15">
                  <c:v>Q4 '14 - Q3 '15</c:v>
                </c:pt>
                <c:pt idx="16">
                  <c:v>Q1 - Q4 '15</c:v>
                </c:pt>
                <c:pt idx="17">
                  <c:v>Q2 '15 - Q1 '16</c:v>
                </c:pt>
                <c:pt idx="18">
                  <c:v>Q3 '15 - Q2 '16</c:v>
                </c:pt>
                <c:pt idx="19">
                  <c:v>Q4 '15 - Q3 '16</c:v>
                </c:pt>
                <c:pt idx="20">
                  <c:v>Q1 - Q4 '16</c:v>
                </c:pt>
                <c:pt idx="21">
                  <c:v>Q2 '16 - Q1 '17</c:v>
                </c:pt>
                <c:pt idx="22">
                  <c:v>Q3 '16 - Q2 '17</c:v>
                </c:pt>
                <c:pt idx="23">
                  <c:v>Q4 '16 - Q3 2017</c:v>
                </c:pt>
                <c:pt idx="24">
                  <c:v>Q1 - Q4 '17</c:v>
                </c:pt>
                <c:pt idx="25">
                  <c:v>Q2 '17 - Q1 '18</c:v>
                </c:pt>
                <c:pt idx="26">
                  <c:v>Q3 '17 - Q2 '18</c:v>
                </c:pt>
                <c:pt idx="27">
                  <c:v>Q4 '17 - Q3 '18</c:v>
                </c:pt>
                <c:pt idx="28">
                  <c:v>Q1 '18 - Q4 '18</c:v>
                </c:pt>
                <c:pt idx="29">
                  <c:v>Q2 '18 - Q1 '19</c:v>
                </c:pt>
                <c:pt idx="30">
                  <c:v>Q3 '18 - Q2 '19</c:v>
                </c:pt>
                <c:pt idx="31">
                  <c:v>Q4 '18 - Q3 '19</c:v>
                </c:pt>
                <c:pt idx="32">
                  <c:v>Q1 '19 - Q4 '19</c:v>
                </c:pt>
                <c:pt idx="33">
                  <c:v>Q2 '19 - Q1 '20</c:v>
                </c:pt>
                <c:pt idx="34">
                  <c:v>Q3 '19 - Q2 '20</c:v>
                </c:pt>
                <c:pt idx="35">
                  <c:v>Q4 '19 - Q3 '20</c:v>
                </c:pt>
                <c:pt idx="36">
                  <c:v>Q1 '20 - Q4 '20</c:v>
                </c:pt>
                <c:pt idx="37">
                  <c:v>Q2 '20 - Q1 '21</c:v>
                </c:pt>
                <c:pt idx="38">
                  <c:v>Q3 '20 - Q2 '21</c:v>
                </c:pt>
              </c:strCache>
            </c:strRef>
          </c:cat>
          <c:val>
            <c:numRef>
              <c:f>'Graph Data'!$C$28:$AO$28</c:f>
              <c:numCache>
                <c:formatCode>_(* #,##0_);_(* \(#,##0\);_(* "-"??_);_(@_)</c:formatCode>
                <c:ptCount val="3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12.5</c:v>
                </c:pt>
                <c:pt idx="16">
                  <c:v>18.5</c:v>
                </c:pt>
                <c:pt idx="17">
                  <c:v>37968.75</c:v>
                </c:pt>
                <c:pt idx="18">
                  <c:v>38112.25</c:v>
                </c:pt>
                <c:pt idx="19">
                  <c:v>39251.166666666664</c:v>
                </c:pt>
                <c:pt idx="20">
                  <c:v>39246.25</c:v>
                </c:pt>
                <c:pt idx="21">
                  <c:v>38815.333333333336</c:v>
                </c:pt>
                <c:pt idx="22">
                  <c:v>38495.25</c:v>
                </c:pt>
                <c:pt idx="23">
                  <c:v>37963.75</c:v>
                </c:pt>
                <c:pt idx="24">
                  <c:v>37501.5</c:v>
                </c:pt>
                <c:pt idx="25">
                  <c:v>37136.75</c:v>
                </c:pt>
                <c:pt idx="26">
                  <c:v>36755</c:v>
                </c:pt>
                <c:pt idx="27">
                  <c:v>36385.75</c:v>
                </c:pt>
                <c:pt idx="28">
                  <c:v>2920.55</c:v>
                </c:pt>
                <c:pt idx="29">
                  <c:v>3716.25</c:v>
                </c:pt>
                <c:pt idx="30">
                  <c:v>6516.1666666666661</c:v>
                </c:pt>
                <c:pt idx="31">
                  <c:v>19441.583333333336</c:v>
                </c:pt>
                <c:pt idx="32">
                  <c:v>22781.25</c:v>
                </c:pt>
                <c:pt idx="33">
                  <c:v>26361.541666666664</c:v>
                </c:pt>
                <c:pt idx="34">
                  <c:v>27990.5</c:v>
                </c:pt>
                <c:pt idx="35">
                  <c:v>35608.861111111109</c:v>
                </c:pt>
                <c:pt idx="36">
                  <c:v>34369.75</c:v>
                </c:pt>
                <c:pt idx="37">
                  <c:v>45627.194444444445</c:v>
                </c:pt>
                <c:pt idx="38">
                  <c:v>57721.638888888891</c:v>
                </c:pt>
              </c:numCache>
            </c:numRef>
          </c:val>
          <c:extLst>
            <c:ext xmlns:c16="http://schemas.microsoft.com/office/drawing/2014/chart" uri="{C3380CC4-5D6E-409C-BE32-E72D297353CC}">
              <c16:uniqueId val="{00000000-B397-4198-BBE6-EC22C4A50EE0}"/>
            </c:ext>
          </c:extLst>
        </c:ser>
        <c:ser>
          <c:idx val="1"/>
          <c:order val="1"/>
          <c:tx>
            <c:strRef>
              <c:f>'Graph Data'!$A$27</c:f>
              <c:strCache>
                <c:ptCount val="1"/>
                <c:pt idx="0">
                  <c:v>Renewable Diesel</c:v>
                </c:pt>
              </c:strCache>
            </c:strRef>
          </c:tx>
          <c:spPr>
            <a:ln w="25400">
              <a:noFill/>
            </a:ln>
          </c:spPr>
          <c:cat>
            <c:strRef>
              <c:f>'Graph Data'!$C$3:$AO$3</c:f>
              <c:strCache>
                <c:ptCount val="39"/>
                <c:pt idx="0">
                  <c:v>Q1 - Q4 '11</c:v>
                </c:pt>
                <c:pt idx="1">
                  <c:v>Q2 '11 - Q1 '12</c:v>
                </c:pt>
                <c:pt idx="2">
                  <c:v>Q3 '11 - Q2 '12</c:v>
                </c:pt>
                <c:pt idx="3">
                  <c:v>Q4 '11 - Q3 '12</c:v>
                </c:pt>
                <c:pt idx="4">
                  <c:v>Q1 - Q4 '12</c:v>
                </c:pt>
                <c:pt idx="5">
                  <c:v>Q2 '12 - Q1 '13</c:v>
                </c:pt>
                <c:pt idx="6">
                  <c:v>Q3 '12 - Q2 '13</c:v>
                </c:pt>
                <c:pt idx="7">
                  <c:v>Q4 '12 - Q3 '13</c:v>
                </c:pt>
                <c:pt idx="8">
                  <c:v>Q1 - Q4 '13</c:v>
                </c:pt>
                <c:pt idx="9">
                  <c:v>Q2 '13 - Q1 '14</c:v>
                </c:pt>
                <c:pt idx="10">
                  <c:v>Q3 '13 - Q2 '14</c:v>
                </c:pt>
                <c:pt idx="11">
                  <c:v>Q4 '13 - Q3 '14</c:v>
                </c:pt>
                <c:pt idx="12">
                  <c:v>Q1 - Q4 '14</c:v>
                </c:pt>
                <c:pt idx="13">
                  <c:v>Q2 '14 - Q1 '15</c:v>
                </c:pt>
                <c:pt idx="14">
                  <c:v>Q3 '14 - Q2 '15</c:v>
                </c:pt>
                <c:pt idx="15">
                  <c:v>Q4 '14 - Q3 '15</c:v>
                </c:pt>
                <c:pt idx="16">
                  <c:v>Q1 - Q4 '15</c:v>
                </c:pt>
                <c:pt idx="17">
                  <c:v>Q2 '15 - Q1 '16</c:v>
                </c:pt>
                <c:pt idx="18">
                  <c:v>Q3 '15 - Q2 '16</c:v>
                </c:pt>
                <c:pt idx="19">
                  <c:v>Q4 '15 - Q3 '16</c:v>
                </c:pt>
                <c:pt idx="20">
                  <c:v>Q1 - Q4 '16</c:v>
                </c:pt>
                <c:pt idx="21">
                  <c:v>Q2 '16 - Q1 '17</c:v>
                </c:pt>
                <c:pt idx="22">
                  <c:v>Q3 '16 - Q2 '17</c:v>
                </c:pt>
                <c:pt idx="23">
                  <c:v>Q4 '16 - Q3 2017</c:v>
                </c:pt>
                <c:pt idx="24">
                  <c:v>Q1 - Q4 '17</c:v>
                </c:pt>
                <c:pt idx="25">
                  <c:v>Q2 '17 - Q1 '18</c:v>
                </c:pt>
                <c:pt idx="26">
                  <c:v>Q3 '17 - Q2 '18</c:v>
                </c:pt>
                <c:pt idx="27">
                  <c:v>Q4 '17 - Q3 '18</c:v>
                </c:pt>
                <c:pt idx="28">
                  <c:v>Q1 '18 - Q4 '18</c:v>
                </c:pt>
                <c:pt idx="29">
                  <c:v>Q2 '18 - Q1 '19</c:v>
                </c:pt>
                <c:pt idx="30">
                  <c:v>Q3 '18 - Q2 '19</c:v>
                </c:pt>
                <c:pt idx="31">
                  <c:v>Q4 '18 - Q3 '19</c:v>
                </c:pt>
                <c:pt idx="32">
                  <c:v>Q1 '19 - Q4 '19</c:v>
                </c:pt>
                <c:pt idx="33">
                  <c:v>Q2 '19 - Q1 '20</c:v>
                </c:pt>
                <c:pt idx="34">
                  <c:v>Q3 '19 - Q2 '20</c:v>
                </c:pt>
                <c:pt idx="35">
                  <c:v>Q4 '19 - Q3 '20</c:v>
                </c:pt>
                <c:pt idx="36">
                  <c:v>Q1 '20 - Q4 '20</c:v>
                </c:pt>
                <c:pt idx="37">
                  <c:v>Q2 '20 - Q1 '21</c:v>
                </c:pt>
                <c:pt idx="38">
                  <c:v>Q3 '20 - Q2 '21</c:v>
                </c:pt>
              </c:strCache>
            </c:strRef>
          </c:cat>
          <c:val>
            <c:numRef>
              <c:f>'Graph Data'!$C$27:$AO$27</c:f>
              <c:numCache>
                <c:formatCode>_(* #,##0_);_(* \(#,##0\);_(* "-"??_);_(@_)</c:formatCode>
                <c:ptCount val="39"/>
                <c:pt idx="0">
                  <c:v>4255</c:v>
                </c:pt>
                <c:pt idx="1">
                  <c:v>5162.75</c:v>
                </c:pt>
                <c:pt idx="2">
                  <c:v>6021.75</c:v>
                </c:pt>
                <c:pt idx="3">
                  <c:v>6915.75</c:v>
                </c:pt>
                <c:pt idx="4">
                  <c:v>18164.75</c:v>
                </c:pt>
                <c:pt idx="5">
                  <c:v>32600.75</c:v>
                </c:pt>
                <c:pt idx="6">
                  <c:v>75473</c:v>
                </c:pt>
                <c:pt idx="7">
                  <c:v>145738</c:v>
                </c:pt>
                <c:pt idx="8">
                  <c:v>197482.25</c:v>
                </c:pt>
                <c:pt idx="9">
                  <c:v>229472.75</c:v>
                </c:pt>
                <c:pt idx="10">
                  <c:v>237650.5</c:v>
                </c:pt>
                <c:pt idx="11">
                  <c:v>230531.5</c:v>
                </c:pt>
                <c:pt idx="12">
                  <c:v>211244.75</c:v>
                </c:pt>
                <c:pt idx="13">
                  <c:v>214231</c:v>
                </c:pt>
                <c:pt idx="14">
                  <c:v>221521.75</c:v>
                </c:pt>
                <c:pt idx="15">
                  <c:v>231039</c:v>
                </c:pt>
                <c:pt idx="16">
                  <c:v>259542.75</c:v>
                </c:pt>
                <c:pt idx="17">
                  <c:v>277096.75</c:v>
                </c:pt>
                <c:pt idx="18">
                  <c:v>384694.75</c:v>
                </c:pt>
                <c:pt idx="19">
                  <c:v>454443.5</c:v>
                </c:pt>
                <c:pt idx="20">
                  <c:v>560304.25</c:v>
                </c:pt>
                <c:pt idx="21">
                  <c:v>644325.25</c:v>
                </c:pt>
                <c:pt idx="22">
                  <c:v>685591.75</c:v>
                </c:pt>
                <c:pt idx="23">
                  <c:v>752235</c:v>
                </c:pt>
                <c:pt idx="24">
                  <c:v>741682.5</c:v>
                </c:pt>
                <c:pt idx="25">
                  <c:v>794697.25</c:v>
                </c:pt>
                <c:pt idx="26">
                  <c:v>811822.25</c:v>
                </c:pt>
                <c:pt idx="27">
                  <c:v>771975.75</c:v>
                </c:pt>
                <c:pt idx="28">
                  <c:v>936189.4</c:v>
                </c:pt>
                <c:pt idx="29">
                  <c:v>1026714.5</c:v>
                </c:pt>
                <c:pt idx="30">
                  <c:v>1089847</c:v>
                </c:pt>
                <c:pt idx="31">
                  <c:v>1147931.3333333333</c:v>
                </c:pt>
                <c:pt idx="32">
                  <c:v>1168978.375</c:v>
                </c:pt>
                <c:pt idx="33">
                  <c:v>1198614.75</c:v>
                </c:pt>
                <c:pt idx="34">
                  <c:v>1285682.4444444445</c:v>
                </c:pt>
                <c:pt idx="35">
                  <c:v>1378964.7777777778</c:v>
                </c:pt>
                <c:pt idx="36">
                  <c:v>1483403.6666666667</c:v>
                </c:pt>
                <c:pt idx="37">
                  <c:v>1640489.4444444445</c:v>
                </c:pt>
                <c:pt idx="38">
                  <c:v>1779237.111111111</c:v>
                </c:pt>
              </c:numCache>
            </c:numRef>
          </c:val>
          <c:extLst>
            <c:ext xmlns:c16="http://schemas.microsoft.com/office/drawing/2014/chart" uri="{C3380CC4-5D6E-409C-BE32-E72D297353CC}">
              <c16:uniqueId val="{00000001-B397-4198-BBE6-EC22C4A50EE0}"/>
            </c:ext>
          </c:extLst>
        </c:ser>
        <c:ser>
          <c:idx val="0"/>
          <c:order val="2"/>
          <c:tx>
            <c:strRef>
              <c:f>'Graph Data'!$A$26</c:f>
              <c:strCache>
                <c:ptCount val="1"/>
                <c:pt idx="0">
                  <c:v>Biodiesel</c:v>
                </c:pt>
              </c:strCache>
            </c:strRef>
          </c:tx>
          <c:spPr>
            <a:ln w="25400">
              <a:noFill/>
            </a:ln>
          </c:spPr>
          <c:cat>
            <c:strRef>
              <c:f>'Graph Data'!$C$3:$AO$3</c:f>
              <c:strCache>
                <c:ptCount val="39"/>
                <c:pt idx="0">
                  <c:v>Q1 - Q4 '11</c:v>
                </c:pt>
                <c:pt idx="1">
                  <c:v>Q2 '11 - Q1 '12</c:v>
                </c:pt>
                <c:pt idx="2">
                  <c:v>Q3 '11 - Q2 '12</c:v>
                </c:pt>
                <c:pt idx="3">
                  <c:v>Q4 '11 - Q3 '12</c:v>
                </c:pt>
                <c:pt idx="4">
                  <c:v>Q1 - Q4 '12</c:v>
                </c:pt>
                <c:pt idx="5">
                  <c:v>Q2 '12 - Q1 '13</c:v>
                </c:pt>
                <c:pt idx="6">
                  <c:v>Q3 '12 - Q2 '13</c:v>
                </c:pt>
                <c:pt idx="7">
                  <c:v>Q4 '12 - Q3 '13</c:v>
                </c:pt>
                <c:pt idx="8">
                  <c:v>Q1 - Q4 '13</c:v>
                </c:pt>
                <c:pt idx="9">
                  <c:v>Q2 '13 - Q1 '14</c:v>
                </c:pt>
                <c:pt idx="10">
                  <c:v>Q3 '13 - Q2 '14</c:v>
                </c:pt>
                <c:pt idx="11">
                  <c:v>Q4 '13 - Q3 '14</c:v>
                </c:pt>
                <c:pt idx="12">
                  <c:v>Q1 - Q4 '14</c:v>
                </c:pt>
                <c:pt idx="13">
                  <c:v>Q2 '14 - Q1 '15</c:v>
                </c:pt>
                <c:pt idx="14">
                  <c:v>Q3 '14 - Q2 '15</c:v>
                </c:pt>
                <c:pt idx="15">
                  <c:v>Q4 '14 - Q3 '15</c:v>
                </c:pt>
                <c:pt idx="16">
                  <c:v>Q1 - Q4 '15</c:v>
                </c:pt>
                <c:pt idx="17">
                  <c:v>Q2 '15 - Q1 '16</c:v>
                </c:pt>
                <c:pt idx="18">
                  <c:v>Q3 '15 - Q2 '16</c:v>
                </c:pt>
                <c:pt idx="19">
                  <c:v>Q4 '15 - Q3 '16</c:v>
                </c:pt>
                <c:pt idx="20">
                  <c:v>Q1 - Q4 '16</c:v>
                </c:pt>
                <c:pt idx="21">
                  <c:v>Q2 '16 - Q1 '17</c:v>
                </c:pt>
                <c:pt idx="22">
                  <c:v>Q3 '16 - Q2 '17</c:v>
                </c:pt>
                <c:pt idx="23">
                  <c:v>Q4 '16 - Q3 2017</c:v>
                </c:pt>
                <c:pt idx="24">
                  <c:v>Q1 - Q4 '17</c:v>
                </c:pt>
                <c:pt idx="25">
                  <c:v>Q2 '17 - Q1 '18</c:v>
                </c:pt>
                <c:pt idx="26">
                  <c:v>Q3 '17 - Q2 '18</c:v>
                </c:pt>
                <c:pt idx="27">
                  <c:v>Q4 '17 - Q3 '18</c:v>
                </c:pt>
                <c:pt idx="28">
                  <c:v>Q1 '18 - Q4 '18</c:v>
                </c:pt>
                <c:pt idx="29">
                  <c:v>Q2 '18 - Q1 '19</c:v>
                </c:pt>
                <c:pt idx="30">
                  <c:v>Q3 '18 - Q2 '19</c:v>
                </c:pt>
                <c:pt idx="31">
                  <c:v>Q4 '18 - Q3 '19</c:v>
                </c:pt>
                <c:pt idx="32">
                  <c:v>Q1 '19 - Q4 '19</c:v>
                </c:pt>
                <c:pt idx="33">
                  <c:v>Q2 '19 - Q1 '20</c:v>
                </c:pt>
                <c:pt idx="34">
                  <c:v>Q3 '19 - Q2 '20</c:v>
                </c:pt>
                <c:pt idx="35">
                  <c:v>Q4 '19 - Q3 '20</c:v>
                </c:pt>
                <c:pt idx="36">
                  <c:v>Q1 '20 - Q4 '20</c:v>
                </c:pt>
                <c:pt idx="37">
                  <c:v>Q2 '20 - Q1 '21</c:v>
                </c:pt>
                <c:pt idx="38">
                  <c:v>Q3 '20 - Q2 '21</c:v>
                </c:pt>
              </c:strCache>
            </c:strRef>
          </c:cat>
          <c:val>
            <c:numRef>
              <c:f>'Graph Data'!$C$26:$AO$26</c:f>
              <c:numCache>
                <c:formatCode>_(* #,##0_);_(* \(#,##0\);_(* "-"??_);_(@_)</c:formatCode>
                <c:ptCount val="39"/>
                <c:pt idx="0">
                  <c:v>21066.75</c:v>
                </c:pt>
                <c:pt idx="1">
                  <c:v>26837.25</c:v>
                </c:pt>
                <c:pt idx="2">
                  <c:v>31928.25</c:v>
                </c:pt>
                <c:pt idx="3">
                  <c:v>34835.25</c:v>
                </c:pt>
                <c:pt idx="4">
                  <c:v>37336.75</c:v>
                </c:pt>
                <c:pt idx="5">
                  <c:v>40337.75</c:v>
                </c:pt>
                <c:pt idx="6">
                  <c:v>60626</c:v>
                </c:pt>
                <c:pt idx="7">
                  <c:v>84731.75</c:v>
                </c:pt>
                <c:pt idx="8">
                  <c:v>141667.5</c:v>
                </c:pt>
                <c:pt idx="9">
                  <c:v>172125.5</c:v>
                </c:pt>
                <c:pt idx="10">
                  <c:v>187184.5</c:v>
                </c:pt>
                <c:pt idx="11">
                  <c:v>193299.25</c:v>
                </c:pt>
                <c:pt idx="12">
                  <c:v>179500</c:v>
                </c:pt>
                <c:pt idx="13">
                  <c:v>186099.25</c:v>
                </c:pt>
                <c:pt idx="14">
                  <c:v>212265.5</c:v>
                </c:pt>
                <c:pt idx="15">
                  <c:v>264657.25</c:v>
                </c:pt>
                <c:pt idx="16">
                  <c:v>303477.5</c:v>
                </c:pt>
                <c:pt idx="17">
                  <c:v>335225.5</c:v>
                </c:pt>
                <c:pt idx="18">
                  <c:v>361311.75</c:v>
                </c:pt>
                <c:pt idx="19">
                  <c:v>387917</c:v>
                </c:pt>
                <c:pt idx="20">
                  <c:v>434195.75</c:v>
                </c:pt>
                <c:pt idx="21">
                  <c:v>430204</c:v>
                </c:pt>
                <c:pt idx="22">
                  <c:v>412601.75</c:v>
                </c:pt>
                <c:pt idx="23">
                  <c:v>393268</c:v>
                </c:pt>
                <c:pt idx="24">
                  <c:v>344934.75</c:v>
                </c:pt>
                <c:pt idx="25">
                  <c:v>344859</c:v>
                </c:pt>
                <c:pt idx="26">
                  <c:v>353758.75</c:v>
                </c:pt>
                <c:pt idx="27">
                  <c:v>365863.75</c:v>
                </c:pt>
                <c:pt idx="28">
                  <c:v>390738.8</c:v>
                </c:pt>
                <c:pt idx="29">
                  <c:v>440645</c:v>
                </c:pt>
                <c:pt idx="30">
                  <c:v>462299.83333333331</c:v>
                </c:pt>
                <c:pt idx="31">
                  <c:v>468264.83333333331</c:v>
                </c:pt>
                <c:pt idx="32">
                  <c:v>505552.125</c:v>
                </c:pt>
                <c:pt idx="33">
                  <c:v>522114.875</c:v>
                </c:pt>
                <c:pt idx="34">
                  <c:v>548052.4444444445</c:v>
                </c:pt>
                <c:pt idx="35">
                  <c:v>556818.11111111112</c:v>
                </c:pt>
                <c:pt idx="36">
                  <c:v>565438.5555555555</c:v>
                </c:pt>
                <c:pt idx="37">
                  <c:v>571596.66666666663</c:v>
                </c:pt>
                <c:pt idx="38">
                  <c:v>579532.33333333337</c:v>
                </c:pt>
              </c:numCache>
            </c:numRef>
          </c:val>
          <c:extLst>
            <c:ext xmlns:c16="http://schemas.microsoft.com/office/drawing/2014/chart" uri="{C3380CC4-5D6E-409C-BE32-E72D297353CC}">
              <c16:uniqueId val="{00000002-B397-4198-BBE6-EC22C4A50EE0}"/>
            </c:ext>
          </c:extLst>
        </c:ser>
        <c:ser>
          <c:idx val="7"/>
          <c:order val="3"/>
          <c:tx>
            <c:strRef>
              <c:f>'Graph Data'!$A$23</c:f>
              <c:strCache>
                <c:ptCount val="1"/>
                <c:pt idx="0">
                  <c:v>Electricity</c:v>
                </c:pt>
              </c:strCache>
            </c:strRef>
          </c:tx>
          <c:cat>
            <c:strRef>
              <c:f>'Graph Data'!$C$3:$AO$3</c:f>
              <c:strCache>
                <c:ptCount val="39"/>
                <c:pt idx="0">
                  <c:v>Q1 - Q4 '11</c:v>
                </c:pt>
                <c:pt idx="1">
                  <c:v>Q2 '11 - Q1 '12</c:v>
                </c:pt>
                <c:pt idx="2">
                  <c:v>Q3 '11 - Q2 '12</c:v>
                </c:pt>
                <c:pt idx="3">
                  <c:v>Q4 '11 - Q3 '12</c:v>
                </c:pt>
                <c:pt idx="4">
                  <c:v>Q1 - Q4 '12</c:v>
                </c:pt>
                <c:pt idx="5">
                  <c:v>Q2 '12 - Q1 '13</c:v>
                </c:pt>
                <c:pt idx="6">
                  <c:v>Q3 '12 - Q2 '13</c:v>
                </c:pt>
                <c:pt idx="7">
                  <c:v>Q4 '12 - Q3 '13</c:v>
                </c:pt>
                <c:pt idx="8">
                  <c:v>Q1 - Q4 '13</c:v>
                </c:pt>
                <c:pt idx="9">
                  <c:v>Q2 '13 - Q1 '14</c:v>
                </c:pt>
                <c:pt idx="10">
                  <c:v>Q3 '13 - Q2 '14</c:v>
                </c:pt>
                <c:pt idx="11">
                  <c:v>Q4 '13 - Q3 '14</c:v>
                </c:pt>
                <c:pt idx="12">
                  <c:v>Q1 - Q4 '14</c:v>
                </c:pt>
                <c:pt idx="13">
                  <c:v>Q2 '14 - Q1 '15</c:v>
                </c:pt>
                <c:pt idx="14">
                  <c:v>Q3 '14 - Q2 '15</c:v>
                </c:pt>
                <c:pt idx="15">
                  <c:v>Q4 '14 - Q3 '15</c:v>
                </c:pt>
                <c:pt idx="16">
                  <c:v>Q1 - Q4 '15</c:v>
                </c:pt>
                <c:pt idx="17">
                  <c:v>Q2 '15 - Q1 '16</c:v>
                </c:pt>
                <c:pt idx="18">
                  <c:v>Q3 '15 - Q2 '16</c:v>
                </c:pt>
                <c:pt idx="19">
                  <c:v>Q4 '15 - Q3 '16</c:v>
                </c:pt>
                <c:pt idx="20">
                  <c:v>Q1 - Q4 '16</c:v>
                </c:pt>
                <c:pt idx="21">
                  <c:v>Q2 '16 - Q1 '17</c:v>
                </c:pt>
                <c:pt idx="22">
                  <c:v>Q3 '16 - Q2 '17</c:v>
                </c:pt>
                <c:pt idx="23">
                  <c:v>Q4 '16 - Q3 2017</c:v>
                </c:pt>
                <c:pt idx="24">
                  <c:v>Q1 - Q4 '17</c:v>
                </c:pt>
                <c:pt idx="25">
                  <c:v>Q2 '17 - Q1 '18</c:v>
                </c:pt>
                <c:pt idx="26">
                  <c:v>Q3 '17 - Q2 '18</c:v>
                </c:pt>
                <c:pt idx="27">
                  <c:v>Q4 '17 - Q3 '18</c:v>
                </c:pt>
                <c:pt idx="28">
                  <c:v>Q1 '18 - Q4 '18</c:v>
                </c:pt>
                <c:pt idx="29">
                  <c:v>Q2 '18 - Q1 '19</c:v>
                </c:pt>
                <c:pt idx="30">
                  <c:v>Q3 '18 - Q2 '19</c:v>
                </c:pt>
                <c:pt idx="31">
                  <c:v>Q4 '18 - Q3 '19</c:v>
                </c:pt>
                <c:pt idx="32">
                  <c:v>Q1 '19 - Q4 '19</c:v>
                </c:pt>
                <c:pt idx="33">
                  <c:v>Q2 '19 - Q1 '20</c:v>
                </c:pt>
                <c:pt idx="34">
                  <c:v>Q3 '19 - Q2 '20</c:v>
                </c:pt>
                <c:pt idx="35">
                  <c:v>Q4 '19 - Q3 '20</c:v>
                </c:pt>
                <c:pt idx="36">
                  <c:v>Q1 '20 - Q4 '20</c:v>
                </c:pt>
                <c:pt idx="37">
                  <c:v>Q2 '20 - Q1 '21</c:v>
                </c:pt>
                <c:pt idx="38">
                  <c:v>Q3 '20 - Q2 '21</c:v>
                </c:pt>
              </c:strCache>
            </c:strRef>
          </c:cat>
          <c:val>
            <c:numRef>
              <c:f>'Graph Data'!$C$23:$AO$23</c:f>
              <c:numCache>
                <c:formatCode>_(* #,##0_);_(* \(#,##0\);_(* "-"??_);_(@_)</c:formatCode>
                <c:ptCount val="39"/>
                <c:pt idx="0">
                  <c:v>1935.75</c:v>
                </c:pt>
                <c:pt idx="1">
                  <c:v>2950.75</c:v>
                </c:pt>
                <c:pt idx="2">
                  <c:v>4017.5</c:v>
                </c:pt>
                <c:pt idx="3">
                  <c:v>5227.25</c:v>
                </c:pt>
                <c:pt idx="4">
                  <c:v>6746</c:v>
                </c:pt>
                <c:pt idx="5">
                  <c:v>9379</c:v>
                </c:pt>
                <c:pt idx="6">
                  <c:v>12868</c:v>
                </c:pt>
                <c:pt idx="7">
                  <c:v>17304.25</c:v>
                </c:pt>
                <c:pt idx="8">
                  <c:v>23488.25</c:v>
                </c:pt>
                <c:pt idx="9">
                  <c:v>30163.75</c:v>
                </c:pt>
                <c:pt idx="10">
                  <c:v>38057.75</c:v>
                </c:pt>
                <c:pt idx="11">
                  <c:v>46639.5</c:v>
                </c:pt>
                <c:pt idx="12">
                  <c:v>55332.5</c:v>
                </c:pt>
                <c:pt idx="13">
                  <c:v>63321.25</c:v>
                </c:pt>
                <c:pt idx="14">
                  <c:v>70066.25</c:v>
                </c:pt>
                <c:pt idx="15">
                  <c:v>77983.75</c:v>
                </c:pt>
                <c:pt idx="16">
                  <c:v>84435</c:v>
                </c:pt>
                <c:pt idx="17">
                  <c:v>117624</c:v>
                </c:pt>
                <c:pt idx="18">
                  <c:v>152143.25</c:v>
                </c:pt>
                <c:pt idx="19">
                  <c:v>185794.25</c:v>
                </c:pt>
                <c:pt idx="20">
                  <c:v>226175.75</c:v>
                </c:pt>
                <c:pt idx="21">
                  <c:v>244170.25</c:v>
                </c:pt>
                <c:pt idx="22">
                  <c:v>263683.25</c:v>
                </c:pt>
                <c:pt idx="23">
                  <c:v>282887.25</c:v>
                </c:pt>
                <c:pt idx="24">
                  <c:v>299528</c:v>
                </c:pt>
                <c:pt idx="25">
                  <c:v>328548.75</c:v>
                </c:pt>
                <c:pt idx="26">
                  <c:v>361007.75</c:v>
                </c:pt>
                <c:pt idx="27">
                  <c:v>402847</c:v>
                </c:pt>
                <c:pt idx="28">
                  <c:v>447864.25</c:v>
                </c:pt>
                <c:pt idx="29">
                  <c:v>506016.75</c:v>
                </c:pt>
                <c:pt idx="30">
                  <c:v>555254.25</c:v>
                </c:pt>
                <c:pt idx="31">
                  <c:v>621549</c:v>
                </c:pt>
                <c:pt idx="32">
                  <c:v>698205</c:v>
                </c:pt>
                <c:pt idx="33">
                  <c:v>741600.75</c:v>
                </c:pt>
                <c:pt idx="34">
                  <c:v>735755.25</c:v>
                </c:pt>
                <c:pt idx="35">
                  <c:v>736741</c:v>
                </c:pt>
                <c:pt idx="36">
                  <c:v>735745.75</c:v>
                </c:pt>
                <c:pt idx="37">
                  <c:v>761077</c:v>
                </c:pt>
                <c:pt idx="38">
                  <c:v>891410.5</c:v>
                </c:pt>
              </c:numCache>
            </c:numRef>
          </c:val>
          <c:extLst>
            <c:ext xmlns:c16="http://schemas.microsoft.com/office/drawing/2014/chart" uri="{C3380CC4-5D6E-409C-BE32-E72D297353CC}">
              <c16:uniqueId val="{00000003-B397-4198-BBE6-EC22C4A50EE0}"/>
            </c:ext>
          </c:extLst>
        </c:ser>
        <c:ser>
          <c:idx val="3"/>
          <c:order val="4"/>
          <c:tx>
            <c:strRef>
              <c:f>'Graph Data'!$A$24</c:f>
              <c:strCache>
                <c:ptCount val="1"/>
                <c:pt idx="0">
                  <c:v>Fossil Natural Gas</c:v>
                </c:pt>
              </c:strCache>
            </c:strRef>
          </c:tx>
          <c:cat>
            <c:strRef>
              <c:f>'Graph Data'!$C$3:$AO$3</c:f>
              <c:strCache>
                <c:ptCount val="39"/>
                <c:pt idx="0">
                  <c:v>Q1 - Q4 '11</c:v>
                </c:pt>
                <c:pt idx="1">
                  <c:v>Q2 '11 - Q1 '12</c:v>
                </c:pt>
                <c:pt idx="2">
                  <c:v>Q3 '11 - Q2 '12</c:v>
                </c:pt>
                <c:pt idx="3">
                  <c:v>Q4 '11 - Q3 '12</c:v>
                </c:pt>
                <c:pt idx="4">
                  <c:v>Q1 - Q4 '12</c:v>
                </c:pt>
                <c:pt idx="5">
                  <c:v>Q2 '12 - Q1 '13</c:v>
                </c:pt>
                <c:pt idx="6">
                  <c:v>Q3 '12 - Q2 '13</c:v>
                </c:pt>
                <c:pt idx="7">
                  <c:v>Q4 '12 - Q3 '13</c:v>
                </c:pt>
                <c:pt idx="8">
                  <c:v>Q1 - Q4 '13</c:v>
                </c:pt>
                <c:pt idx="9">
                  <c:v>Q2 '13 - Q1 '14</c:v>
                </c:pt>
                <c:pt idx="10">
                  <c:v>Q3 '13 - Q2 '14</c:v>
                </c:pt>
                <c:pt idx="11">
                  <c:v>Q4 '13 - Q3 '14</c:v>
                </c:pt>
                <c:pt idx="12">
                  <c:v>Q1 - Q4 '14</c:v>
                </c:pt>
                <c:pt idx="13">
                  <c:v>Q2 '14 - Q1 '15</c:v>
                </c:pt>
                <c:pt idx="14">
                  <c:v>Q3 '14 - Q2 '15</c:v>
                </c:pt>
                <c:pt idx="15">
                  <c:v>Q4 '14 - Q3 '15</c:v>
                </c:pt>
                <c:pt idx="16">
                  <c:v>Q1 - Q4 '15</c:v>
                </c:pt>
                <c:pt idx="17">
                  <c:v>Q2 '15 - Q1 '16</c:v>
                </c:pt>
                <c:pt idx="18">
                  <c:v>Q3 '15 - Q2 '16</c:v>
                </c:pt>
                <c:pt idx="19">
                  <c:v>Q4 '15 - Q3 '16</c:v>
                </c:pt>
                <c:pt idx="20">
                  <c:v>Q1 - Q4 '16</c:v>
                </c:pt>
                <c:pt idx="21">
                  <c:v>Q2 '16 - Q1 '17</c:v>
                </c:pt>
                <c:pt idx="22">
                  <c:v>Q3 '16 - Q2 '17</c:v>
                </c:pt>
                <c:pt idx="23">
                  <c:v>Q4 '16 - Q3 2017</c:v>
                </c:pt>
                <c:pt idx="24">
                  <c:v>Q1 - Q4 '17</c:v>
                </c:pt>
                <c:pt idx="25">
                  <c:v>Q2 '17 - Q1 '18</c:v>
                </c:pt>
                <c:pt idx="26">
                  <c:v>Q3 '17 - Q2 '18</c:v>
                </c:pt>
                <c:pt idx="27">
                  <c:v>Q4 '17 - Q3 '18</c:v>
                </c:pt>
                <c:pt idx="28">
                  <c:v>Q1 '18 - Q4 '18</c:v>
                </c:pt>
                <c:pt idx="29">
                  <c:v>Q2 '18 - Q1 '19</c:v>
                </c:pt>
                <c:pt idx="30">
                  <c:v>Q3 '18 - Q2 '19</c:v>
                </c:pt>
                <c:pt idx="31">
                  <c:v>Q4 '18 - Q3 '19</c:v>
                </c:pt>
                <c:pt idx="32">
                  <c:v>Q1 '19 - Q4 '19</c:v>
                </c:pt>
                <c:pt idx="33">
                  <c:v>Q2 '19 - Q1 '20</c:v>
                </c:pt>
                <c:pt idx="34">
                  <c:v>Q3 '19 - Q2 '20</c:v>
                </c:pt>
                <c:pt idx="35">
                  <c:v>Q4 '19 - Q3 '20</c:v>
                </c:pt>
                <c:pt idx="36">
                  <c:v>Q1 '20 - Q4 '20</c:v>
                </c:pt>
                <c:pt idx="37">
                  <c:v>Q2 '20 - Q1 '21</c:v>
                </c:pt>
                <c:pt idx="38">
                  <c:v>Q3 '20 - Q2 '21</c:v>
                </c:pt>
              </c:strCache>
            </c:strRef>
          </c:cat>
          <c:val>
            <c:numRef>
              <c:f>'Graph Data'!$C$24:$AO$24</c:f>
              <c:numCache>
                <c:formatCode>_(* #,##0_);_(* \(#,##0\);_(* "-"??_);_(@_)</c:formatCode>
                <c:ptCount val="39"/>
                <c:pt idx="0">
                  <c:v>41097.5</c:v>
                </c:pt>
                <c:pt idx="1">
                  <c:v>41170.5</c:v>
                </c:pt>
                <c:pt idx="2">
                  <c:v>41417.75</c:v>
                </c:pt>
                <c:pt idx="3">
                  <c:v>43542.5</c:v>
                </c:pt>
                <c:pt idx="4">
                  <c:v>45792.5</c:v>
                </c:pt>
                <c:pt idx="5">
                  <c:v>50547.5</c:v>
                </c:pt>
                <c:pt idx="6">
                  <c:v>54269.25</c:v>
                </c:pt>
                <c:pt idx="7">
                  <c:v>54483.5</c:v>
                </c:pt>
                <c:pt idx="8">
                  <c:v>55463.75</c:v>
                </c:pt>
                <c:pt idx="9">
                  <c:v>55062.5</c:v>
                </c:pt>
                <c:pt idx="10">
                  <c:v>58140</c:v>
                </c:pt>
                <c:pt idx="11">
                  <c:v>60638.5</c:v>
                </c:pt>
                <c:pt idx="12">
                  <c:v>61754</c:v>
                </c:pt>
                <c:pt idx="13">
                  <c:v>62258.75</c:v>
                </c:pt>
                <c:pt idx="14">
                  <c:v>57339.5</c:v>
                </c:pt>
                <c:pt idx="15">
                  <c:v>54535.75</c:v>
                </c:pt>
                <c:pt idx="16">
                  <c:v>51397.75</c:v>
                </c:pt>
                <c:pt idx="17">
                  <c:v>47389.5</c:v>
                </c:pt>
                <c:pt idx="18">
                  <c:v>46374</c:v>
                </c:pt>
                <c:pt idx="19">
                  <c:v>44218.75</c:v>
                </c:pt>
                <c:pt idx="20">
                  <c:v>42547.75</c:v>
                </c:pt>
                <c:pt idx="21">
                  <c:v>35648.75</c:v>
                </c:pt>
                <c:pt idx="22">
                  <c:v>27575.5</c:v>
                </c:pt>
                <c:pt idx="23">
                  <c:v>20837.5</c:v>
                </c:pt>
                <c:pt idx="24">
                  <c:v>14623.5</c:v>
                </c:pt>
                <c:pt idx="25">
                  <c:v>14438.75</c:v>
                </c:pt>
                <c:pt idx="26">
                  <c:v>15099</c:v>
                </c:pt>
                <c:pt idx="27">
                  <c:v>15325</c:v>
                </c:pt>
                <c:pt idx="28">
                  <c:v>13381.599999999999</c:v>
                </c:pt>
                <c:pt idx="29">
                  <c:v>11157.166666666668</c:v>
                </c:pt>
                <c:pt idx="30">
                  <c:v>9561.6666666666661</c:v>
                </c:pt>
                <c:pt idx="31">
                  <c:v>7693.5</c:v>
                </c:pt>
                <c:pt idx="32">
                  <c:v>4880.5</c:v>
                </c:pt>
                <c:pt idx="33">
                  <c:v>3924.75</c:v>
                </c:pt>
                <c:pt idx="34">
                  <c:v>2811.3333333333335</c:v>
                </c:pt>
                <c:pt idx="35">
                  <c:v>2003.4444444444443</c:v>
                </c:pt>
                <c:pt idx="36">
                  <c:v>1238.7777777777778</c:v>
                </c:pt>
                <c:pt idx="37">
                  <c:v>898.11111111111109</c:v>
                </c:pt>
                <c:pt idx="38">
                  <c:v>698.55555555555554</c:v>
                </c:pt>
              </c:numCache>
            </c:numRef>
          </c:val>
          <c:extLst>
            <c:ext xmlns:c16="http://schemas.microsoft.com/office/drawing/2014/chart" uri="{C3380CC4-5D6E-409C-BE32-E72D297353CC}">
              <c16:uniqueId val="{00000004-B397-4198-BBE6-EC22C4A50EE0}"/>
            </c:ext>
          </c:extLst>
        </c:ser>
        <c:ser>
          <c:idx val="9"/>
          <c:order val="5"/>
          <c:tx>
            <c:strRef>
              <c:f>'Graph Data'!$A$25</c:f>
              <c:strCache>
                <c:ptCount val="1"/>
                <c:pt idx="0">
                  <c:v>Biomethane</c:v>
                </c:pt>
              </c:strCache>
            </c:strRef>
          </c:tx>
          <c:spPr>
            <a:solidFill>
              <a:srgbClr val="9BBB59">
                <a:lumMod val="75000"/>
              </a:srgbClr>
            </a:solidFill>
            <a:ln w="25400">
              <a:noFill/>
            </a:ln>
          </c:spPr>
          <c:cat>
            <c:strRef>
              <c:f>'Graph Data'!$C$3:$AO$3</c:f>
              <c:strCache>
                <c:ptCount val="39"/>
                <c:pt idx="0">
                  <c:v>Q1 - Q4 '11</c:v>
                </c:pt>
                <c:pt idx="1">
                  <c:v>Q2 '11 - Q1 '12</c:v>
                </c:pt>
                <c:pt idx="2">
                  <c:v>Q3 '11 - Q2 '12</c:v>
                </c:pt>
                <c:pt idx="3">
                  <c:v>Q4 '11 - Q3 '12</c:v>
                </c:pt>
                <c:pt idx="4">
                  <c:v>Q1 - Q4 '12</c:v>
                </c:pt>
                <c:pt idx="5">
                  <c:v>Q2 '12 - Q1 '13</c:v>
                </c:pt>
                <c:pt idx="6">
                  <c:v>Q3 '12 - Q2 '13</c:v>
                </c:pt>
                <c:pt idx="7">
                  <c:v>Q4 '12 - Q3 '13</c:v>
                </c:pt>
                <c:pt idx="8">
                  <c:v>Q1 - Q4 '13</c:v>
                </c:pt>
                <c:pt idx="9">
                  <c:v>Q2 '13 - Q1 '14</c:v>
                </c:pt>
                <c:pt idx="10">
                  <c:v>Q3 '13 - Q2 '14</c:v>
                </c:pt>
                <c:pt idx="11">
                  <c:v>Q4 '13 - Q3 '14</c:v>
                </c:pt>
                <c:pt idx="12">
                  <c:v>Q1 - Q4 '14</c:v>
                </c:pt>
                <c:pt idx="13">
                  <c:v>Q2 '14 - Q1 '15</c:v>
                </c:pt>
                <c:pt idx="14">
                  <c:v>Q3 '14 - Q2 '15</c:v>
                </c:pt>
                <c:pt idx="15">
                  <c:v>Q4 '14 - Q3 '15</c:v>
                </c:pt>
                <c:pt idx="16">
                  <c:v>Q1 - Q4 '15</c:v>
                </c:pt>
                <c:pt idx="17">
                  <c:v>Q2 '15 - Q1 '16</c:v>
                </c:pt>
                <c:pt idx="18">
                  <c:v>Q3 '15 - Q2 '16</c:v>
                </c:pt>
                <c:pt idx="19">
                  <c:v>Q4 '15 - Q3 '16</c:v>
                </c:pt>
                <c:pt idx="20">
                  <c:v>Q1 - Q4 '16</c:v>
                </c:pt>
                <c:pt idx="21">
                  <c:v>Q2 '16 - Q1 '17</c:v>
                </c:pt>
                <c:pt idx="22">
                  <c:v>Q3 '16 - Q2 '17</c:v>
                </c:pt>
                <c:pt idx="23">
                  <c:v>Q4 '16 - Q3 2017</c:v>
                </c:pt>
                <c:pt idx="24">
                  <c:v>Q1 - Q4 '17</c:v>
                </c:pt>
                <c:pt idx="25">
                  <c:v>Q2 '17 - Q1 '18</c:v>
                </c:pt>
                <c:pt idx="26">
                  <c:v>Q3 '17 - Q2 '18</c:v>
                </c:pt>
                <c:pt idx="27">
                  <c:v>Q4 '17 - Q3 '18</c:v>
                </c:pt>
                <c:pt idx="28">
                  <c:v>Q1 '18 - Q4 '18</c:v>
                </c:pt>
                <c:pt idx="29">
                  <c:v>Q2 '18 - Q1 '19</c:v>
                </c:pt>
                <c:pt idx="30">
                  <c:v>Q3 '18 - Q2 '19</c:v>
                </c:pt>
                <c:pt idx="31">
                  <c:v>Q4 '18 - Q3 '19</c:v>
                </c:pt>
                <c:pt idx="32">
                  <c:v>Q1 '19 - Q4 '19</c:v>
                </c:pt>
                <c:pt idx="33">
                  <c:v>Q2 '19 - Q1 '20</c:v>
                </c:pt>
                <c:pt idx="34">
                  <c:v>Q3 '19 - Q2 '20</c:v>
                </c:pt>
                <c:pt idx="35">
                  <c:v>Q4 '19 - Q3 '20</c:v>
                </c:pt>
                <c:pt idx="36">
                  <c:v>Q1 '20 - Q4 '20</c:v>
                </c:pt>
                <c:pt idx="37">
                  <c:v>Q2 '20 - Q1 '21</c:v>
                </c:pt>
                <c:pt idx="38">
                  <c:v>Q3 '20 - Q2 '21</c:v>
                </c:pt>
              </c:strCache>
            </c:strRef>
          </c:cat>
          <c:val>
            <c:numRef>
              <c:f>'Graph Data'!$C$25:$AO$25</c:f>
              <c:numCache>
                <c:formatCode>_(* #,##0_);_(* \(#,##0\);_(* "-"??_);_(@_)</c:formatCode>
                <c:ptCount val="39"/>
                <c:pt idx="0">
                  <c:v>3678.75</c:v>
                </c:pt>
                <c:pt idx="1">
                  <c:v>4217.5</c:v>
                </c:pt>
                <c:pt idx="2">
                  <c:v>4505.5</c:v>
                </c:pt>
                <c:pt idx="3">
                  <c:v>4159.75</c:v>
                </c:pt>
                <c:pt idx="4">
                  <c:v>3711.25</c:v>
                </c:pt>
                <c:pt idx="5">
                  <c:v>3679.5</c:v>
                </c:pt>
                <c:pt idx="6">
                  <c:v>3920</c:v>
                </c:pt>
                <c:pt idx="7">
                  <c:v>15309</c:v>
                </c:pt>
                <c:pt idx="8">
                  <c:v>24529.5</c:v>
                </c:pt>
                <c:pt idx="9">
                  <c:v>33904.25</c:v>
                </c:pt>
                <c:pt idx="10">
                  <c:v>42082</c:v>
                </c:pt>
                <c:pt idx="11">
                  <c:v>47945.25</c:v>
                </c:pt>
                <c:pt idx="12">
                  <c:v>59889.5</c:v>
                </c:pt>
                <c:pt idx="13">
                  <c:v>73466.5</c:v>
                </c:pt>
                <c:pt idx="14">
                  <c:v>99950.75</c:v>
                </c:pt>
                <c:pt idx="15">
                  <c:v>123151.25</c:v>
                </c:pt>
                <c:pt idx="16">
                  <c:v>143988</c:v>
                </c:pt>
                <c:pt idx="17">
                  <c:v>166678.25</c:v>
                </c:pt>
                <c:pt idx="18">
                  <c:v>178626.5</c:v>
                </c:pt>
                <c:pt idx="19">
                  <c:v>175902.25</c:v>
                </c:pt>
                <c:pt idx="20">
                  <c:v>170663.75</c:v>
                </c:pt>
                <c:pt idx="21">
                  <c:v>158142</c:v>
                </c:pt>
                <c:pt idx="22">
                  <c:v>153610.25</c:v>
                </c:pt>
                <c:pt idx="23">
                  <c:v>161317.75</c:v>
                </c:pt>
                <c:pt idx="24">
                  <c:v>170246.25</c:v>
                </c:pt>
                <c:pt idx="25">
                  <c:v>180942.75</c:v>
                </c:pt>
                <c:pt idx="26">
                  <c:v>180192.25</c:v>
                </c:pt>
                <c:pt idx="27">
                  <c:v>183354.75</c:v>
                </c:pt>
                <c:pt idx="28">
                  <c:v>186642.6</c:v>
                </c:pt>
                <c:pt idx="29">
                  <c:v>200781.33333333334</c:v>
                </c:pt>
                <c:pt idx="30">
                  <c:v>223013</c:v>
                </c:pt>
                <c:pt idx="31">
                  <c:v>239912</c:v>
                </c:pt>
                <c:pt idx="32">
                  <c:v>325187.375</c:v>
                </c:pt>
                <c:pt idx="33">
                  <c:v>361165.625</c:v>
                </c:pt>
                <c:pt idx="34">
                  <c:v>464238.66666666669</c:v>
                </c:pt>
                <c:pt idx="35">
                  <c:v>528408.4444444445</c:v>
                </c:pt>
                <c:pt idx="36">
                  <c:v>585856.44444444438</c:v>
                </c:pt>
                <c:pt idx="37">
                  <c:v>674731.33333333337</c:v>
                </c:pt>
                <c:pt idx="38">
                  <c:v>772691.77777777775</c:v>
                </c:pt>
              </c:numCache>
            </c:numRef>
          </c:val>
          <c:extLst>
            <c:ext xmlns:c16="http://schemas.microsoft.com/office/drawing/2014/chart" uri="{C3380CC4-5D6E-409C-BE32-E72D297353CC}">
              <c16:uniqueId val="{00000005-B397-4198-BBE6-EC22C4A50EE0}"/>
            </c:ext>
          </c:extLst>
        </c:ser>
        <c:ser>
          <c:idx val="6"/>
          <c:order val="6"/>
          <c:tx>
            <c:strRef>
              <c:f>'Graph Data'!$A$22</c:f>
              <c:strCache>
                <c:ptCount val="1"/>
                <c:pt idx="0">
                  <c:v>Ethanol</c:v>
                </c:pt>
              </c:strCache>
            </c:strRef>
          </c:tx>
          <c:spPr>
            <a:solidFill>
              <a:srgbClr val="F79646">
                <a:lumMod val="75000"/>
              </a:srgbClr>
            </a:solidFill>
          </c:spPr>
          <c:cat>
            <c:strRef>
              <c:f>'Graph Data'!$C$3:$AO$3</c:f>
              <c:strCache>
                <c:ptCount val="39"/>
                <c:pt idx="0">
                  <c:v>Q1 - Q4 '11</c:v>
                </c:pt>
                <c:pt idx="1">
                  <c:v>Q2 '11 - Q1 '12</c:v>
                </c:pt>
                <c:pt idx="2">
                  <c:v>Q3 '11 - Q2 '12</c:v>
                </c:pt>
                <c:pt idx="3">
                  <c:v>Q4 '11 - Q3 '12</c:v>
                </c:pt>
                <c:pt idx="4">
                  <c:v>Q1 - Q4 '12</c:v>
                </c:pt>
                <c:pt idx="5">
                  <c:v>Q2 '12 - Q1 '13</c:v>
                </c:pt>
                <c:pt idx="6">
                  <c:v>Q3 '12 - Q2 '13</c:v>
                </c:pt>
                <c:pt idx="7">
                  <c:v>Q4 '12 - Q3 '13</c:v>
                </c:pt>
                <c:pt idx="8">
                  <c:v>Q1 - Q4 '13</c:v>
                </c:pt>
                <c:pt idx="9">
                  <c:v>Q2 '13 - Q1 '14</c:v>
                </c:pt>
                <c:pt idx="10">
                  <c:v>Q3 '13 - Q2 '14</c:v>
                </c:pt>
                <c:pt idx="11">
                  <c:v>Q4 '13 - Q3 '14</c:v>
                </c:pt>
                <c:pt idx="12">
                  <c:v>Q1 - Q4 '14</c:v>
                </c:pt>
                <c:pt idx="13">
                  <c:v>Q2 '14 - Q1 '15</c:v>
                </c:pt>
                <c:pt idx="14">
                  <c:v>Q3 '14 - Q2 '15</c:v>
                </c:pt>
                <c:pt idx="15">
                  <c:v>Q4 '14 - Q3 '15</c:v>
                </c:pt>
                <c:pt idx="16">
                  <c:v>Q1 - Q4 '15</c:v>
                </c:pt>
                <c:pt idx="17">
                  <c:v>Q2 '15 - Q1 '16</c:v>
                </c:pt>
                <c:pt idx="18">
                  <c:v>Q3 '15 - Q2 '16</c:v>
                </c:pt>
                <c:pt idx="19">
                  <c:v>Q4 '15 - Q3 '16</c:v>
                </c:pt>
                <c:pt idx="20">
                  <c:v>Q1 - Q4 '16</c:v>
                </c:pt>
                <c:pt idx="21">
                  <c:v>Q2 '16 - Q1 '17</c:v>
                </c:pt>
                <c:pt idx="22">
                  <c:v>Q3 '16 - Q2 '17</c:v>
                </c:pt>
                <c:pt idx="23">
                  <c:v>Q4 '16 - Q3 2017</c:v>
                </c:pt>
                <c:pt idx="24">
                  <c:v>Q1 - Q4 '17</c:v>
                </c:pt>
                <c:pt idx="25">
                  <c:v>Q2 '17 - Q1 '18</c:v>
                </c:pt>
                <c:pt idx="26">
                  <c:v>Q3 '17 - Q2 '18</c:v>
                </c:pt>
                <c:pt idx="27">
                  <c:v>Q4 '17 - Q3 '18</c:v>
                </c:pt>
                <c:pt idx="28">
                  <c:v>Q1 '18 - Q4 '18</c:v>
                </c:pt>
                <c:pt idx="29">
                  <c:v>Q2 '18 - Q1 '19</c:v>
                </c:pt>
                <c:pt idx="30">
                  <c:v>Q3 '18 - Q2 '19</c:v>
                </c:pt>
                <c:pt idx="31">
                  <c:v>Q4 '18 - Q3 '19</c:v>
                </c:pt>
                <c:pt idx="32">
                  <c:v>Q1 '19 - Q4 '19</c:v>
                </c:pt>
                <c:pt idx="33">
                  <c:v>Q2 '19 - Q1 '20</c:v>
                </c:pt>
                <c:pt idx="34">
                  <c:v>Q3 '19 - Q2 '20</c:v>
                </c:pt>
                <c:pt idx="35">
                  <c:v>Q4 '19 - Q3 '20</c:v>
                </c:pt>
                <c:pt idx="36">
                  <c:v>Q1 '20 - Q4 '20</c:v>
                </c:pt>
                <c:pt idx="37">
                  <c:v>Q2 '20 - Q1 '21</c:v>
                </c:pt>
                <c:pt idx="38">
                  <c:v>Q3 '20 - Q2 '21</c:v>
                </c:pt>
              </c:strCache>
            </c:strRef>
          </c:cat>
          <c:val>
            <c:numRef>
              <c:f>'Graph Data'!$C$22:$AO$22</c:f>
              <c:numCache>
                <c:formatCode>_(* #,##0_);_(* \(#,##0\);_(* "-"??_);_(@_)</c:formatCode>
                <c:ptCount val="39"/>
                <c:pt idx="0">
                  <c:v>255888.25</c:v>
                </c:pt>
                <c:pt idx="1">
                  <c:v>266727.25</c:v>
                </c:pt>
                <c:pt idx="2">
                  <c:v>269743.5</c:v>
                </c:pt>
                <c:pt idx="3">
                  <c:v>288811</c:v>
                </c:pt>
                <c:pt idx="4">
                  <c:v>304773.5</c:v>
                </c:pt>
                <c:pt idx="5">
                  <c:v>351042.25</c:v>
                </c:pt>
                <c:pt idx="6">
                  <c:v>394796.75</c:v>
                </c:pt>
                <c:pt idx="7">
                  <c:v>451907.5</c:v>
                </c:pt>
                <c:pt idx="8">
                  <c:v>495969.5</c:v>
                </c:pt>
                <c:pt idx="9">
                  <c:v>499193</c:v>
                </c:pt>
                <c:pt idx="10">
                  <c:v>527117.75</c:v>
                </c:pt>
                <c:pt idx="11">
                  <c:v>512500.5</c:v>
                </c:pt>
                <c:pt idx="12">
                  <c:v>507720.75</c:v>
                </c:pt>
                <c:pt idx="13">
                  <c:v>511213.5</c:v>
                </c:pt>
                <c:pt idx="14">
                  <c:v>499516</c:v>
                </c:pt>
                <c:pt idx="15">
                  <c:v>502037.5</c:v>
                </c:pt>
                <c:pt idx="16">
                  <c:v>531188.5</c:v>
                </c:pt>
                <c:pt idx="17">
                  <c:v>622043.5</c:v>
                </c:pt>
                <c:pt idx="18">
                  <c:v>710200</c:v>
                </c:pt>
                <c:pt idx="19">
                  <c:v>805507.75</c:v>
                </c:pt>
                <c:pt idx="20">
                  <c:v>879846.5</c:v>
                </c:pt>
                <c:pt idx="21">
                  <c:v>866449</c:v>
                </c:pt>
                <c:pt idx="22">
                  <c:v>866394.5</c:v>
                </c:pt>
                <c:pt idx="23">
                  <c:v>869357.25</c:v>
                </c:pt>
                <c:pt idx="24">
                  <c:v>872056</c:v>
                </c:pt>
                <c:pt idx="25">
                  <c:v>870380.25</c:v>
                </c:pt>
                <c:pt idx="26">
                  <c:v>850128.25</c:v>
                </c:pt>
                <c:pt idx="27">
                  <c:v>854713.25</c:v>
                </c:pt>
                <c:pt idx="28">
                  <c:v>864632.25</c:v>
                </c:pt>
                <c:pt idx="29">
                  <c:v>907202.25</c:v>
                </c:pt>
                <c:pt idx="30">
                  <c:v>984828</c:v>
                </c:pt>
                <c:pt idx="31">
                  <c:v>1039674</c:v>
                </c:pt>
                <c:pt idx="32">
                  <c:v>1085533</c:v>
                </c:pt>
                <c:pt idx="33">
                  <c:v>1110328.25</c:v>
                </c:pt>
                <c:pt idx="34">
                  <c:v>1000950.75</c:v>
                </c:pt>
                <c:pt idx="35">
                  <c:v>971846.5</c:v>
                </c:pt>
                <c:pt idx="36">
                  <c:v>934163.75</c:v>
                </c:pt>
                <c:pt idx="37">
                  <c:v>859502</c:v>
                </c:pt>
                <c:pt idx="38">
                  <c:v>948992.75</c:v>
                </c:pt>
              </c:numCache>
            </c:numRef>
          </c:val>
          <c:extLst>
            <c:ext xmlns:c16="http://schemas.microsoft.com/office/drawing/2014/chart" uri="{C3380CC4-5D6E-409C-BE32-E72D297353CC}">
              <c16:uniqueId val="{00000006-B397-4198-BBE6-EC22C4A50EE0}"/>
            </c:ext>
          </c:extLst>
        </c:ser>
        <c:dLbls>
          <c:showLegendKey val="0"/>
          <c:showVal val="0"/>
          <c:showCatName val="0"/>
          <c:showSerName val="0"/>
          <c:showPercent val="0"/>
          <c:showBubbleSize val="0"/>
        </c:dLbls>
        <c:axId val="79831040"/>
        <c:axId val="79832576"/>
      </c:areaChart>
      <c:catAx>
        <c:axId val="79831040"/>
        <c:scaling>
          <c:orientation val="minMax"/>
        </c:scaling>
        <c:delete val="0"/>
        <c:axPos val="b"/>
        <c:numFmt formatCode="General" sourceLinked="0"/>
        <c:majorTickMark val="out"/>
        <c:minorTickMark val="none"/>
        <c:tickLblPos val="nextTo"/>
        <c:txPr>
          <a:bodyPr rot="2100000" vert="horz"/>
          <a:lstStyle/>
          <a:p>
            <a:pPr>
              <a:defRPr sz="700"/>
            </a:pPr>
            <a:endParaRPr lang="en-US"/>
          </a:p>
        </c:txPr>
        <c:crossAx val="79832576"/>
        <c:crosses val="autoZero"/>
        <c:auto val="1"/>
        <c:lblAlgn val="ctr"/>
        <c:lblOffset val="100"/>
        <c:tickLblSkip val="1"/>
        <c:noMultiLvlLbl val="0"/>
      </c:catAx>
      <c:valAx>
        <c:axId val="79832576"/>
        <c:scaling>
          <c:orientation val="minMax"/>
        </c:scaling>
        <c:delete val="0"/>
        <c:axPos val="l"/>
        <c:majorGridlines/>
        <c:numFmt formatCode="0%" sourceLinked="1"/>
        <c:majorTickMark val="out"/>
        <c:minorTickMark val="none"/>
        <c:tickLblPos val="nextTo"/>
        <c:crossAx val="79831040"/>
        <c:crossesAt val="1"/>
        <c:crossBetween val="midCat"/>
      </c:valAx>
    </c:plotArea>
    <c:legend>
      <c:legendPos val="r"/>
      <c:layout>
        <c:manualLayout>
          <c:xMode val="edge"/>
          <c:yMode val="edge"/>
          <c:x val="0.76415528619328732"/>
          <c:y val="6.5726197942071407E-2"/>
          <c:w val="0.22584242853198003"/>
          <c:h val="0.80238775462801659"/>
        </c:manualLayout>
      </c:layout>
      <c:overlay val="0"/>
      <c:txPr>
        <a:bodyPr/>
        <a:lstStyle/>
        <a:p>
          <a:pPr>
            <a:defRPr sz="900"/>
          </a:pPr>
          <a:endParaRPr lang="en-US"/>
        </a:p>
      </c:txPr>
    </c:legend>
    <c:plotVisOnly val="1"/>
    <c:dispBlanksAs val="gap"/>
    <c:showDLblsOverMax val="0"/>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a:pPr>
            <a:r>
              <a:rPr lang="en-US" sz="1400" b="1" i="0" baseline="0">
                <a:effectLst/>
              </a:rPr>
              <a:t>Fig 3. Credits (MT) By Fuel Type</a:t>
            </a:r>
            <a:endParaRPr lang="en-US" sz="1400">
              <a:effectLst/>
            </a:endParaRPr>
          </a:p>
          <a:p>
            <a:pPr>
              <a:defRPr/>
            </a:pPr>
            <a:r>
              <a:rPr lang="en-US" sz="1400" b="1" i="0" baseline="0">
                <a:effectLst/>
              </a:rPr>
              <a:t>Q1 2011 - Q2 2021</a:t>
            </a:r>
            <a:endParaRPr lang="en-US" sz="1400">
              <a:effectLst/>
            </a:endParaRPr>
          </a:p>
        </c:rich>
      </c:tx>
      <c:layout>
        <c:manualLayout>
          <c:xMode val="edge"/>
          <c:yMode val="edge"/>
          <c:x val="0.36511877520436448"/>
          <c:y val="9.9875136419016308E-3"/>
        </c:manualLayout>
      </c:layout>
      <c:overlay val="0"/>
    </c:title>
    <c:autoTitleDeleted val="0"/>
    <c:plotArea>
      <c:layout>
        <c:manualLayout>
          <c:layoutTarget val="inner"/>
          <c:xMode val="edge"/>
          <c:yMode val="edge"/>
          <c:x val="0.12520953781121003"/>
          <c:y val="0.14907756530433697"/>
          <c:w val="0.61809497139217429"/>
          <c:h val="0.72756965379327587"/>
        </c:manualLayout>
      </c:layout>
      <c:lineChart>
        <c:grouping val="standard"/>
        <c:varyColors val="0"/>
        <c:ser>
          <c:idx val="10"/>
          <c:order val="0"/>
          <c:tx>
            <c:strRef>
              <c:f>'Graph Data'!$A$58</c:f>
              <c:strCache>
                <c:ptCount val="1"/>
                <c:pt idx="0">
                  <c:v>Renewable Diesel </c:v>
                </c:pt>
              </c:strCache>
            </c:strRef>
          </c:tx>
          <c:marker>
            <c:symbol val="none"/>
          </c:marker>
          <c:cat>
            <c:strRef>
              <c:f>'Graph Data'!$C$52:$AR$52</c:f>
              <c:strCache>
                <c:ptCount val="42"/>
                <c:pt idx="0">
                  <c:v>2011Q1</c:v>
                </c:pt>
                <c:pt idx="1">
                  <c:v>Q2</c:v>
                </c:pt>
                <c:pt idx="2">
                  <c:v>Q3</c:v>
                </c:pt>
                <c:pt idx="3">
                  <c:v>Q4</c:v>
                </c:pt>
                <c:pt idx="4">
                  <c:v>2012Q1</c:v>
                </c:pt>
                <c:pt idx="5">
                  <c:v>Q2</c:v>
                </c:pt>
                <c:pt idx="6">
                  <c:v>Q3</c:v>
                </c:pt>
                <c:pt idx="7">
                  <c:v>Q4</c:v>
                </c:pt>
                <c:pt idx="8">
                  <c:v>2013Q1</c:v>
                </c:pt>
                <c:pt idx="9">
                  <c:v>Q2</c:v>
                </c:pt>
                <c:pt idx="10">
                  <c:v>Q3</c:v>
                </c:pt>
                <c:pt idx="11">
                  <c:v>Q4</c:v>
                </c:pt>
                <c:pt idx="12">
                  <c:v>2014Q1</c:v>
                </c:pt>
                <c:pt idx="13">
                  <c:v>Q2</c:v>
                </c:pt>
                <c:pt idx="14">
                  <c:v>Q3</c:v>
                </c:pt>
                <c:pt idx="15">
                  <c:v>Q4</c:v>
                </c:pt>
                <c:pt idx="16">
                  <c:v>2015Q1</c:v>
                </c:pt>
                <c:pt idx="17">
                  <c:v>Q2</c:v>
                </c:pt>
                <c:pt idx="18">
                  <c:v>Q3</c:v>
                </c:pt>
                <c:pt idx="19">
                  <c:v>Q4</c:v>
                </c:pt>
                <c:pt idx="20">
                  <c:v>2016Q1</c:v>
                </c:pt>
                <c:pt idx="21">
                  <c:v>Q2</c:v>
                </c:pt>
                <c:pt idx="22">
                  <c:v>Q3</c:v>
                </c:pt>
                <c:pt idx="23">
                  <c:v>Q4</c:v>
                </c:pt>
                <c:pt idx="24">
                  <c:v>2017Q1</c:v>
                </c:pt>
                <c:pt idx="25">
                  <c:v>Q2</c:v>
                </c:pt>
                <c:pt idx="26">
                  <c:v>Q3</c:v>
                </c:pt>
                <c:pt idx="27">
                  <c:v>Q4</c:v>
                </c:pt>
                <c:pt idx="28">
                  <c:v>2018Q1</c:v>
                </c:pt>
                <c:pt idx="29">
                  <c:v>Q2</c:v>
                </c:pt>
                <c:pt idx="30">
                  <c:v>Q3</c:v>
                </c:pt>
                <c:pt idx="31">
                  <c:v>Q4</c:v>
                </c:pt>
                <c:pt idx="32">
                  <c:v>2019Q1</c:v>
                </c:pt>
                <c:pt idx="33">
                  <c:v>Q2</c:v>
                </c:pt>
                <c:pt idx="34">
                  <c:v>Q3</c:v>
                </c:pt>
                <c:pt idx="35">
                  <c:v>Q4</c:v>
                </c:pt>
                <c:pt idx="36">
                  <c:v>2020Q1</c:v>
                </c:pt>
                <c:pt idx="37">
                  <c:v>Q2</c:v>
                </c:pt>
                <c:pt idx="38">
                  <c:v>Q3</c:v>
                </c:pt>
                <c:pt idx="39">
                  <c:v>Q4</c:v>
                </c:pt>
                <c:pt idx="40">
                  <c:v>2021Q1</c:v>
                </c:pt>
                <c:pt idx="41">
                  <c:v>Q2</c:v>
                </c:pt>
              </c:strCache>
            </c:strRef>
          </c:cat>
          <c:val>
            <c:numRef>
              <c:f>'Graph Data'!$C$58:$AR$58</c:f>
              <c:numCache>
                <c:formatCode>_(* #,##0_);_(* \(#,##0\);_(* "-"??_);_(@_)</c:formatCode>
                <c:ptCount val="42"/>
                <c:pt idx="0">
                  <c:v>3070</c:v>
                </c:pt>
                <c:pt idx="1">
                  <c:v>3368</c:v>
                </c:pt>
                <c:pt idx="2">
                  <c:v>4362</c:v>
                </c:pt>
                <c:pt idx="3">
                  <c:v>6220</c:v>
                </c:pt>
                <c:pt idx="4">
                  <c:v>6701</c:v>
                </c:pt>
                <c:pt idx="5">
                  <c:v>6804</c:v>
                </c:pt>
                <c:pt idx="6">
                  <c:v>7938</c:v>
                </c:pt>
                <c:pt idx="7">
                  <c:v>51216</c:v>
                </c:pt>
                <c:pt idx="8">
                  <c:v>64445</c:v>
                </c:pt>
                <c:pt idx="9">
                  <c:v>178293</c:v>
                </c:pt>
                <c:pt idx="10">
                  <c:v>288998</c:v>
                </c:pt>
                <c:pt idx="11">
                  <c:v>258193</c:v>
                </c:pt>
                <c:pt idx="12">
                  <c:v>192407</c:v>
                </c:pt>
                <c:pt idx="13">
                  <c:v>211004</c:v>
                </c:pt>
                <c:pt idx="14">
                  <c:v>260522</c:v>
                </c:pt>
                <c:pt idx="15">
                  <c:v>181046</c:v>
                </c:pt>
                <c:pt idx="16">
                  <c:v>204352</c:v>
                </c:pt>
                <c:pt idx="17">
                  <c:v>240167</c:v>
                </c:pt>
                <c:pt idx="18">
                  <c:v>298591</c:v>
                </c:pt>
                <c:pt idx="19">
                  <c:v>295061</c:v>
                </c:pt>
                <c:pt idx="20">
                  <c:v>274568</c:v>
                </c:pt>
                <c:pt idx="21">
                  <c:v>670559</c:v>
                </c:pt>
                <c:pt idx="22">
                  <c:v>577586</c:v>
                </c:pt>
                <c:pt idx="23">
                  <c:v>718504</c:v>
                </c:pt>
                <c:pt idx="24">
                  <c:v>610652</c:v>
                </c:pt>
                <c:pt idx="25">
                  <c:v>835625</c:v>
                </c:pt>
                <c:pt idx="26">
                  <c:v>844159</c:v>
                </c:pt>
                <c:pt idx="27">
                  <c:v>676294</c:v>
                </c:pt>
                <c:pt idx="28">
                  <c:v>822711</c:v>
                </c:pt>
                <c:pt idx="29">
                  <c:v>904125</c:v>
                </c:pt>
                <c:pt idx="30">
                  <c:v>684773</c:v>
                </c:pt>
                <c:pt idx="31">
                  <c:v>1073782</c:v>
                </c:pt>
                <c:pt idx="32">
                  <c:v>1195556</c:v>
                </c:pt>
                <c:pt idx="33">
                  <c:v>1245746</c:v>
                </c:pt>
                <c:pt idx="34">
                  <c:v>1056305</c:v>
                </c:pt>
                <c:pt idx="35">
                  <c:v>1282920</c:v>
                </c:pt>
                <c:pt idx="36">
                  <c:v>1033279</c:v>
                </c:pt>
                <c:pt idx="37">
                  <c:v>1141074</c:v>
                </c:pt>
                <c:pt idx="38">
                  <c:v>1104970</c:v>
                </c:pt>
                <c:pt idx="39">
                  <c:v>1291977</c:v>
                </c:pt>
                <c:pt idx="40">
                  <c:v>1432647</c:v>
                </c:pt>
                <c:pt idx="41">
                  <c:v>1503734</c:v>
                </c:pt>
              </c:numCache>
            </c:numRef>
          </c:val>
          <c:smooth val="0"/>
          <c:extLst>
            <c:ext xmlns:c16="http://schemas.microsoft.com/office/drawing/2014/chart" uri="{C3380CC4-5D6E-409C-BE32-E72D297353CC}">
              <c16:uniqueId val="{00000000-CDDD-4656-88C3-CF13AEC7BAD5}"/>
            </c:ext>
          </c:extLst>
        </c:ser>
        <c:ser>
          <c:idx val="8"/>
          <c:order val="1"/>
          <c:tx>
            <c:strRef>
              <c:f>'Graph Data'!$A$53</c:f>
              <c:strCache>
                <c:ptCount val="1"/>
                <c:pt idx="0">
                  <c:v>Ethanol</c:v>
                </c:pt>
              </c:strCache>
            </c:strRef>
          </c:tx>
          <c:marker>
            <c:symbol val="none"/>
          </c:marker>
          <c:cat>
            <c:strRef>
              <c:f>'Graph Data'!$C$52:$AR$52</c:f>
              <c:strCache>
                <c:ptCount val="42"/>
                <c:pt idx="0">
                  <c:v>2011Q1</c:v>
                </c:pt>
                <c:pt idx="1">
                  <c:v>Q2</c:v>
                </c:pt>
                <c:pt idx="2">
                  <c:v>Q3</c:v>
                </c:pt>
                <c:pt idx="3">
                  <c:v>Q4</c:v>
                </c:pt>
                <c:pt idx="4">
                  <c:v>2012Q1</c:v>
                </c:pt>
                <c:pt idx="5">
                  <c:v>Q2</c:v>
                </c:pt>
                <c:pt idx="6">
                  <c:v>Q3</c:v>
                </c:pt>
                <c:pt idx="7">
                  <c:v>Q4</c:v>
                </c:pt>
                <c:pt idx="8">
                  <c:v>2013Q1</c:v>
                </c:pt>
                <c:pt idx="9">
                  <c:v>Q2</c:v>
                </c:pt>
                <c:pt idx="10">
                  <c:v>Q3</c:v>
                </c:pt>
                <c:pt idx="11">
                  <c:v>Q4</c:v>
                </c:pt>
                <c:pt idx="12">
                  <c:v>2014Q1</c:v>
                </c:pt>
                <c:pt idx="13">
                  <c:v>Q2</c:v>
                </c:pt>
                <c:pt idx="14">
                  <c:v>Q3</c:v>
                </c:pt>
                <c:pt idx="15">
                  <c:v>Q4</c:v>
                </c:pt>
                <c:pt idx="16">
                  <c:v>2015Q1</c:v>
                </c:pt>
                <c:pt idx="17">
                  <c:v>Q2</c:v>
                </c:pt>
                <c:pt idx="18">
                  <c:v>Q3</c:v>
                </c:pt>
                <c:pt idx="19">
                  <c:v>Q4</c:v>
                </c:pt>
                <c:pt idx="20">
                  <c:v>2016Q1</c:v>
                </c:pt>
                <c:pt idx="21">
                  <c:v>Q2</c:v>
                </c:pt>
                <c:pt idx="22">
                  <c:v>Q3</c:v>
                </c:pt>
                <c:pt idx="23">
                  <c:v>Q4</c:v>
                </c:pt>
                <c:pt idx="24">
                  <c:v>2017Q1</c:v>
                </c:pt>
                <c:pt idx="25">
                  <c:v>Q2</c:v>
                </c:pt>
                <c:pt idx="26">
                  <c:v>Q3</c:v>
                </c:pt>
                <c:pt idx="27">
                  <c:v>Q4</c:v>
                </c:pt>
                <c:pt idx="28">
                  <c:v>2018Q1</c:v>
                </c:pt>
                <c:pt idx="29">
                  <c:v>Q2</c:v>
                </c:pt>
                <c:pt idx="30">
                  <c:v>Q3</c:v>
                </c:pt>
                <c:pt idx="31">
                  <c:v>Q4</c:v>
                </c:pt>
                <c:pt idx="32">
                  <c:v>2019Q1</c:v>
                </c:pt>
                <c:pt idx="33">
                  <c:v>Q2</c:v>
                </c:pt>
                <c:pt idx="34">
                  <c:v>Q3</c:v>
                </c:pt>
                <c:pt idx="35">
                  <c:v>Q4</c:v>
                </c:pt>
                <c:pt idx="36">
                  <c:v>2020Q1</c:v>
                </c:pt>
                <c:pt idx="37">
                  <c:v>Q2</c:v>
                </c:pt>
                <c:pt idx="38">
                  <c:v>Q3</c:v>
                </c:pt>
                <c:pt idx="39">
                  <c:v>Q4</c:v>
                </c:pt>
                <c:pt idx="40">
                  <c:v>2021Q1</c:v>
                </c:pt>
                <c:pt idx="41">
                  <c:v>Q2</c:v>
                </c:pt>
              </c:strCache>
            </c:strRef>
          </c:cat>
          <c:val>
            <c:numRef>
              <c:f>'Graph Data'!$C$53:$AR$53</c:f>
              <c:numCache>
                <c:formatCode>_(* #,##0_);_(* \(#,##0\);_(* "-"??_);_(@_)</c:formatCode>
                <c:ptCount val="42"/>
                <c:pt idx="0">
                  <c:v>217913</c:v>
                </c:pt>
                <c:pt idx="1">
                  <c:v>252550</c:v>
                </c:pt>
                <c:pt idx="2">
                  <c:v>282189</c:v>
                </c:pt>
                <c:pt idx="3">
                  <c:v>270901</c:v>
                </c:pt>
                <c:pt idx="4">
                  <c:v>261269</c:v>
                </c:pt>
                <c:pt idx="5">
                  <c:v>264615</c:v>
                </c:pt>
                <c:pt idx="6">
                  <c:v>358459</c:v>
                </c:pt>
                <c:pt idx="7">
                  <c:v>334751</c:v>
                </c:pt>
                <c:pt idx="8">
                  <c:v>446344</c:v>
                </c:pt>
                <c:pt idx="9">
                  <c:v>439633</c:v>
                </c:pt>
                <c:pt idx="10">
                  <c:v>586902</c:v>
                </c:pt>
                <c:pt idx="11">
                  <c:v>510999</c:v>
                </c:pt>
                <c:pt idx="12">
                  <c:v>459238</c:v>
                </c:pt>
                <c:pt idx="13">
                  <c:v>551332</c:v>
                </c:pt>
                <c:pt idx="14">
                  <c:v>528433</c:v>
                </c:pt>
                <c:pt idx="15">
                  <c:v>491880</c:v>
                </c:pt>
                <c:pt idx="16">
                  <c:v>473209</c:v>
                </c:pt>
                <c:pt idx="17">
                  <c:v>504542</c:v>
                </c:pt>
                <c:pt idx="18">
                  <c:v>538519</c:v>
                </c:pt>
                <c:pt idx="19">
                  <c:v>608484</c:v>
                </c:pt>
                <c:pt idx="20">
                  <c:v>836629</c:v>
                </c:pt>
                <c:pt idx="21">
                  <c:v>857168</c:v>
                </c:pt>
                <c:pt idx="22">
                  <c:v>919750</c:v>
                </c:pt>
                <c:pt idx="23">
                  <c:v>905839</c:v>
                </c:pt>
                <c:pt idx="24">
                  <c:v>783039</c:v>
                </c:pt>
                <c:pt idx="25">
                  <c:v>856950</c:v>
                </c:pt>
                <c:pt idx="26">
                  <c:v>931601</c:v>
                </c:pt>
                <c:pt idx="27">
                  <c:v>916634</c:v>
                </c:pt>
                <c:pt idx="28">
                  <c:v>776336</c:v>
                </c:pt>
                <c:pt idx="29">
                  <c:v>775942</c:v>
                </c:pt>
                <c:pt idx="30">
                  <c:v>949941</c:v>
                </c:pt>
                <c:pt idx="31">
                  <c:v>956310</c:v>
                </c:pt>
                <c:pt idx="32">
                  <c:v>946616</c:v>
                </c:pt>
                <c:pt idx="33">
                  <c:v>1086445</c:v>
                </c:pt>
                <c:pt idx="34">
                  <c:v>1169325</c:v>
                </c:pt>
                <c:pt idx="35">
                  <c:v>1139746</c:v>
                </c:pt>
                <c:pt idx="36">
                  <c:v>1045797</c:v>
                </c:pt>
                <c:pt idx="37">
                  <c:v>648935</c:v>
                </c:pt>
                <c:pt idx="38">
                  <c:v>1052908</c:v>
                </c:pt>
                <c:pt idx="39">
                  <c:v>989015</c:v>
                </c:pt>
                <c:pt idx="40">
                  <c:v>747150</c:v>
                </c:pt>
                <c:pt idx="41">
                  <c:v>1006898</c:v>
                </c:pt>
              </c:numCache>
            </c:numRef>
          </c:val>
          <c:smooth val="0"/>
          <c:extLst>
            <c:ext xmlns:c16="http://schemas.microsoft.com/office/drawing/2014/chart" uri="{C3380CC4-5D6E-409C-BE32-E72D297353CC}">
              <c16:uniqueId val="{00000001-CDDD-4656-88C3-CF13AEC7BAD5}"/>
            </c:ext>
          </c:extLst>
        </c:ser>
        <c:ser>
          <c:idx val="9"/>
          <c:order val="2"/>
          <c:tx>
            <c:strRef>
              <c:f>'Graph Data'!$A$54</c:f>
              <c:strCache>
                <c:ptCount val="1"/>
                <c:pt idx="0">
                  <c:v>Electricity</c:v>
                </c:pt>
              </c:strCache>
            </c:strRef>
          </c:tx>
          <c:spPr>
            <a:ln>
              <a:prstDash val="sysDash"/>
            </a:ln>
          </c:spPr>
          <c:marker>
            <c:symbol val="none"/>
          </c:marker>
          <c:cat>
            <c:strRef>
              <c:f>'Graph Data'!$C$52:$AR$52</c:f>
              <c:strCache>
                <c:ptCount val="42"/>
                <c:pt idx="0">
                  <c:v>2011Q1</c:v>
                </c:pt>
                <c:pt idx="1">
                  <c:v>Q2</c:v>
                </c:pt>
                <c:pt idx="2">
                  <c:v>Q3</c:v>
                </c:pt>
                <c:pt idx="3">
                  <c:v>Q4</c:v>
                </c:pt>
                <c:pt idx="4">
                  <c:v>2012Q1</c:v>
                </c:pt>
                <c:pt idx="5">
                  <c:v>Q2</c:v>
                </c:pt>
                <c:pt idx="6">
                  <c:v>Q3</c:v>
                </c:pt>
                <c:pt idx="7">
                  <c:v>Q4</c:v>
                </c:pt>
                <c:pt idx="8">
                  <c:v>2013Q1</c:v>
                </c:pt>
                <c:pt idx="9">
                  <c:v>Q2</c:v>
                </c:pt>
                <c:pt idx="10">
                  <c:v>Q3</c:v>
                </c:pt>
                <c:pt idx="11">
                  <c:v>Q4</c:v>
                </c:pt>
                <c:pt idx="12">
                  <c:v>2014Q1</c:v>
                </c:pt>
                <c:pt idx="13">
                  <c:v>Q2</c:v>
                </c:pt>
                <c:pt idx="14">
                  <c:v>Q3</c:v>
                </c:pt>
                <c:pt idx="15">
                  <c:v>Q4</c:v>
                </c:pt>
                <c:pt idx="16">
                  <c:v>2015Q1</c:v>
                </c:pt>
                <c:pt idx="17">
                  <c:v>Q2</c:v>
                </c:pt>
                <c:pt idx="18">
                  <c:v>Q3</c:v>
                </c:pt>
                <c:pt idx="19">
                  <c:v>Q4</c:v>
                </c:pt>
                <c:pt idx="20">
                  <c:v>2016Q1</c:v>
                </c:pt>
                <c:pt idx="21">
                  <c:v>Q2</c:v>
                </c:pt>
                <c:pt idx="22">
                  <c:v>Q3</c:v>
                </c:pt>
                <c:pt idx="23">
                  <c:v>Q4</c:v>
                </c:pt>
                <c:pt idx="24">
                  <c:v>2017Q1</c:v>
                </c:pt>
                <c:pt idx="25">
                  <c:v>Q2</c:v>
                </c:pt>
                <c:pt idx="26">
                  <c:v>Q3</c:v>
                </c:pt>
                <c:pt idx="27">
                  <c:v>Q4</c:v>
                </c:pt>
                <c:pt idx="28">
                  <c:v>2018Q1</c:v>
                </c:pt>
                <c:pt idx="29">
                  <c:v>Q2</c:v>
                </c:pt>
                <c:pt idx="30">
                  <c:v>Q3</c:v>
                </c:pt>
                <c:pt idx="31">
                  <c:v>Q4</c:v>
                </c:pt>
                <c:pt idx="32">
                  <c:v>2019Q1</c:v>
                </c:pt>
                <c:pt idx="33">
                  <c:v>Q2</c:v>
                </c:pt>
                <c:pt idx="34">
                  <c:v>Q3</c:v>
                </c:pt>
                <c:pt idx="35">
                  <c:v>Q4</c:v>
                </c:pt>
                <c:pt idx="36">
                  <c:v>2020Q1</c:v>
                </c:pt>
                <c:pt idx="37">
                  <c:v>Q2</c:v>
                </c:pt>
                <c:pt idx="38">
                  <c:v>Q3</c:v>
                </c:pt>
                <c:pt idx="39">
                  <c:v>Q4</c:v>
                </c:pt>
                <c:pt idx="40">
                  <c:v>2021Q1</c:v>
                </c:pt>
                <c:pt idx="41">
                  <c:v>Q2</c:v>
                </c:pt>
              </c:strCache>
            </c:strRef>
          </c:cat>
          <c:val>
            <c:numRef>
              <c:f>'Graph Data'!$C$54:$AR$54</c:f>
              <c:numCache>
                <c:formatCode>_(* #,##0_);_(* \(#,##0\);_(* "-"??_);_(@_)</c:formatCode>
                <c:ptCount val="42"/>
                <c:pt idx="0">
                  <c:v>459</c:v>
                </c:pt>
                <c:pt idx="1">
                  <c:v>1293</c:v>
                </c:pt>
                <c:pt idx="2">
                  <c:v>2455</c:v>
                </c:pt>
                <c:pt idx="3">
                  <c:v>3536</c:v>
                </c:pt>
                <c:pt idx="4">
                  <c:v>4519</c:v>
                </c:pt>
                <c:pt idx="5">
                  <c:v>5560</c:v>
                </c:pt>
                <c:pt idx="6">
                  <c:v>7294</c:v>
                </c:pt>
                <c:pt idx="7">
                  <c:v>9611</c:v>
                </c:pt>
                <c:pt idx="8">
                  <c:v>15051</c:v>
                </c:pt>
                <c:pt idx="9">
                  <c:v>19516</c:v>
                </c:pt>
                <c:pt idx="10">
                  <c:v>25039</c:v>
                </c:pt>
                <c:pt idx="11">
                  <c:v>34347</c:v>
                </c:pt>
                <c:pt idx="12">
                  <c:v>41753</c:v>
                </c:pt>
                <c:pt idx="13">
                  <c:v>51092</c:v>
                </c:pt>
                <c:pt idx="14">
                  <c:v>59366</c:v>
                </c:pt>
                <c:pt idx="15">
                  <c:v>69119</c:v>
                </c:pt>
                <c:pt idx="16">
                  <c:v>73708</c:v>
                </c:pt>
                <c:pt idx="17">
                  <c:v>78072</c:v>
                </c:pt>
                <c:pt idx="18">
                  <c:v>91036</c:v>
                </c:pt>
                <c:pt idx="19">
                  <c:v>94924</c:v>
                </c:pt>
                <c:pt idx="20">
                  <c:v>206464</c:v>
                </c:pt>
                <c:pt idx="21">
                  <c:v>216149</c:v>
                </c:pt>
                <c:pt idx="22">
                  <c:v>225640</c:v>
                </c:pt>
                <c:pt idx="23">
                  <c:v>256450</c:v>
                </c:pt>
                <c:pt idx="24">
                  <c:v>278442</c:v>
                </c:pt>
                <c:pt idx="25">
                  <c:v>294201</c:v>
                </c:pt>
                <c:pt idx="26">
                  <c:v>302456</c:v>
                </c:pt>
                <c:pt idx="27">
                  <c:v>323013</c:v>
                </c:pt>
                <c:pt idx="28">
                  <c:v>394525</c:v>
                </c:pt>
                <c:pt idx="29">
                  <c:v>424037</c:v>
                </c:pt>
                <c:pt idx="30">
                  <c:v>469813</c:v>
                </c:pt>
                <c:pt idx="31">
                  <c:v>503082</c:v>
                </c:pt>
                <c:pt idx="32">
                  <c:v>627135</c:v>
                </c:pt>
                <c:pt idx="33">
                  <c:v>620987</c:v>
                </c:pt>
                <c:pt idx="34">
                  <c:v>734992</c:v>
                </c:pt>
                <c:pt idx="35">
                  <c:v>809706</c:v>
                </c:pt>
                <c:pt idx="36">
                  <c:v>800718</c:v>
                </c:pt>
                <c:pt idx="37">
                  <c:v>597605</c:v>
                </c:pt>
                <c:pt idx="38">
                  <c:v>738935</c:v>
                </c:pt>
                <c:pt idx="39">
                  <c:v>805725</c:v>
                </c:pt>
                <c:pt idx="40">
                  <c:v>902043</c:v>
                </c:pt>
                <c:pt idx="41">
                  <c:v>1118939</c:v>
                </c:pt>
              </c:numCache>
            </c:numRef>
          </c:val>
          <c:smooth val="0"/>
          <c:extLst>
            <c:ext xmlns:c16="http://schemas.microsoft.com/office/drawing/2014/chart" uri="{C3380CC4-5D6E-409C-BE32-E72D297353CC}">
              <c16:uniqueId val="{00000002-CDDD-4656-88C3-CF13AEC7BAD5}"/>
            </c:ext>
          </c:extLst>
        </c:ser>
        <c:ser>
          <c:idx val="11"/>
          <c:order val="3"/>
          <c:tx>
            <c:strRef>
              <c:f>'Graph Data'!$A$57</c:f>
              <c:strCache>
                <c:ptCount val="1"/>
                <c:pt idx="0">
                  <c:v>Biodiesel</c:v>
                </c:pt>
              </c:strCache>
            </c:strRef>
          </c:tx>
          <c:marker>
            <c:symbol val="none"/>
          </c:marker>
          <c:cat>
            <c:strRef>
              <c:f>'Graph Data'!$C$52:$AR$52</c:f>
              <c:strCache>
                <c:ptCount val="42"/>
                <c:pt idx="0">
                  <c:v>2011Q1</c:v>
                </c:pt>
                <c:pt idx="1">
                  <c:v>Q2</c:v>
                </c:pt>
                <c:pt idx="2">
                  <c:v>Q3</c:v>
                </c:pt>
                <c:pt idx="3">
                  <c:v>Q4</c:v>
                </c:pt>
                <c:pt idx="4">
                  <c:v>2012Q1</c:v>
                </c:pt>
                <c:pt idx="5">
                  <c:v>Q2</c:v>
                </c:pt>
                <c:pt idx="6">
                  <c:v>Q3</c:v>
                </c:pt>
                <c:pt idx="7">
                  <c:v>Q4</c:v>
                </c:pt>
                <c:pt idx="8">
                  <c:v>2013Q1</c:v>
                </c:pt>
                <c:pt idx="9">
                  <c:v>Q2</c:v>
                </c:pt>
                <c:pt idx="10">
                  <c:v>Q3</c:v>
                </c:pt>
                <c:pt idx="11">
                  <c:v>Q4</c:v>
                </c:pt>
                <c:pt idx="12">
                  <c:v>2014Q1</c:v>
                </c:pt>
                <c:pt idx="13">
                  <c:v>Q2</c:v>
                </c:pt>
                <c:pt idx="14">
                  <c:v>Q3</c:v>
                </c:pt>
                <c:pt idx="15">
                  <c:v>Q4</c:v>
                </c:pt>
                <c:pt idx="16">
                  <c:v>2015Q1</c:v>
                </c:pt>
                <c:pt idx="17">
                  <c:v>Q2</c:v>
                </c:pt>
                <c:pt idx="18">
                  <c:v>Q3</c:v>
                </c:pt>
                <c:pt idx="19">
                  <c:v>Q4</c:v>
                </c:pt>
                <c:pt idx="20">
                  <c:v>2016Q1</c:v>
                </c:pt>
                <c:pt idx="21">
                  <c:v>Q2</c:v>
                </c:pt>
                <c:pt idx="22">
                  <c:v>Q3</c:v>
                </c:pt>
                <c:pt idx="23">
                  <c:v>Q4</c:v>
                </c:pt>
                <c:pt idx="24">
                  <c:v>2017Q1</c:v>
                </c:pt>
                <c:pt idx="25">
                  <c:v>Q2</c:v>
                </c:pt>
                <c:pt idx="26">
                  <c:v>Q3</c:v>
                </c:pt>
                <c:pt idx="27">
                  <c:v>Q4</c:v>
                </c:pt>
                <c:pt idx="28">
                  <c:v>2018Q1</c:v>
                </c:pt>
                <c:pt idx="29">
                  <c:v>Q2</c:v>
                </c:pt>
                <c:pt idx="30">
                  <c:v>Q3</c:v>
                </c:pt>
                <c:pt idx="31">
                  <c:v>Q4</c:v>
                </c:pt>
                <c:pt idx="32">
                  <c:v>2019Q1</c:v>
                </c:pt>
                <c:pt idx="33">
                  <c:v>Q2</c:v>
                </c:pt>
                <c:pt idx="34">
                  <c:v>Q3</c:v>
                </c:pt>
                <c:pt idx="35">
                  <c:v>Q4</c:v>
                </c:pt>
                <c:pt idx="36">
                  <c:v>2020Q1</c:v>
                </c:pt>
                <c:pt idx="37">
                  <c:v>Q2</c:v>
                </c:pt>
                <c:pt idx="38">
                  <c:v>Q3</c:v>
                </c:pt>
                <c:pt idx="39">
                  <c:v>Q4</c:v>
                </c:pt>
                <c:pt idx="40">
                  <c:v>2021Q1</c:v>
                </c:pt>
                <c:pt idx="41">
                  <c:v>Q2</c:v>
                </c:pt>
              </c:strCache>
            </c:strRef>
          </c:cat>
          <c:val>
            <c:numRef>
              <c:f>'Graph Data'!$C$57:$AR$57</c:f>
              <c:numCache>
                <c:formatCode>_(* #,##0_);_(* \(#,##0\);_(* "-"??_);_(@_)</c:formatCode>
                <c:ptCount val="42"/>
                <c:pt idx="0">
                  <c:v>12300</c:v>
                </c:pt>
                <c:pt idx="1">
                  <c:v>21555</c:v>
                </c:pt>
                <c:pt idx="2">
                  <c:v>22424</c:v>
                </c:pt>
                <c:pt idx="3">
                  <c:v>27988</c:v>
                </c:pt>
                <c:pt idx="4">
                  <c:v>35382</c:v>
                </c:pt>
                <c:pt idx="5">
                  <c:v>41919</c:v>
                </c:pt>
                <c:pt idx="6">
                  <c:v>34052</c:v>
                </c:pt>
                <c:pt idx="7">
                  <c:v>37994</c:v>
                </c:pt>
                <c:pt idx="8">
                  <c:v>47386</c:v>
                </c:pt>
                <c:pt idx="9">
                  <c:v>123072</c:v>
                </c:pt>
                <c:pt idx="10">
                  <c:v>130475</c:v>
                </c:pt>
                <c:pt idx="11">
                  <c:v>265737</c:v>
                </c:pt>
                <c:pt idx="12">
                  <c:v>169218</c:v>
                </c:pt>
                <c:pt idx="13">
                  <c:v>183308</c:v>
                </c:pt>
                <c:pt idx="14">
                  <c:v>154934</c:v>
                </c:pt>
                <c:pt idx="15">
                  <c:v>210540</c:v>
                </c:pt>
                <c:pt idx="16">
                  <c:v>195615</c:v>
                </c:pt>
                <c:pt idx="17">
                  <c:v>287973</c:v>
                </c:pt>
                <c:pt idx="18">
                  <c:v>364501</c:v>
                </c:pt>
                <c:pt idx="19">
                  <c:v>365821</c:v>
                </c:pt>
                <c:pt idx="20">
                  <c:v>322607</c:v>
                </c:pt>
                <c:pt idx="21">
                  <c:v>392318</c:v>
                </c:pt>
                <c:pt idx="22">
                  <c:v>470922</c:v>
                </c:pt>
                <c:pt idx="23">
                  <c:v>550936</c:v>
                </c:pt>
                <c:pt idx="24">
                  <c:v>306640</c:v>
                </c:pt>
                <c:pt idx="25">
                  <c:v>321909</c:v>
                </c:pt>
                <c:pt idx="26">
                  <c:v>393587</c:v>
                </c:pt>
                <c:pt idx="27">
                  <c:v>357603</c:v>
                </c:pt>
                <c:pt idx="28">
                  <c:v>306337</c:v>
                </c:pt>
                <c:pt idx="29">
                  <c:v>357508</c:v>
                </c:pt>
                <c:pt idx="30">
                  <c:v>442007</c:v>
                </c:pt>
                <c:pt idx="31">
                  <c:v>500702</c:v>
                </c:pt>
                <c:pt idx="32">
                  <c:v>347140</c:v>
                </c:pt>
                <c:pt idx="33">
                  <c:v>490163</c:v>
                </c:pt>
                <c:pt idx="34">
                  <c:v>506350</c:v>
                </c:pt>
                <c:pt idx="35">
                  <c:v>487437</c:v>
                </c:pt>
                <c:pt idx="36">
                  <c:v>477797</c:v>
                </c:pt>
                <c:pt idx="37">
                  <c:v>492495</c:v>
                </c:pt>
                <c:pt idx="38">
                  <c:v>592296</c:v>
                </c:pt>
                <c:pt idx="39">
                  <c:v>650739</c:v>
                </c:pt>
                <c:pt idx="40">
                  <c:v>479642</c:v>
                </c:pt>
                <c:pt idx="41">
                  <c:v>622767</c:v>
                </c:pt>
              </c:numCache>
            </c:numRef>
          </c:val>
          <c:smooth val="0"/>
          <c:extLst>
            <c:ext xmlns:c16="http://schemas.microsoft.com/office/drawing/2014/chart" uri="{C3380CC4-5D6E-409C-BE32-E72D297353CC}">
              <c16:uniqueId val="{00000003-CDDD-4656-88C3-CF13AEC7BAD5}"/>
            </c:ext>
          </c:extLst>
        </c:ser>
        <c:ser>
          <c:idx val="1"/>
          <c:order val="4"/>
          <c:tx>
            <c:strRef>
              <c:f>'Graph Data'!$A$56</c:f>
              <c:strCache>
                <c:ptCount val="1"/>
                <c:pt idx="0">
                  <c:v>Biomethane</c:v>
                </c:pt>
              </c:strCache>
            </c:strRef>
          </c:tx>
          <c:marker>
            <c:symbol val="none"/>
          </c:marker>
          <c:cat>
            <c:strRef>
              <c:f>'Graph Data'!$C$52:$AR$52</c:f>
              <c:strCache>
                <c:ptCount val="42"/>
                <c:pt idx="0">
                  <c:v>2011Q1</c:v>
                </c:pt>
                <c:pt idx="1">
                  <c:v>Q2</c:v>
                </c:pt>
                <c:pt idx="2">
                  <c:v>Q3</c:v>
                </c:pt>
                <c:pt idx="3">
                  <c:v>Q4</c:v>
                </c:pt>
                <c:pt idx="4">
                  <c:v>2012Q1</c:v>
                </c:pt>
                <c:pt idx="5">
                  <c:v>Q2</c:v>
                </c:pt>
                <c:pt idx="6">
                  <c:v>Q3</c:v>
                </c:pt>
                <c:pt idx="7">
                  <c:v>Q4</c:v>
                </c:pt>
                <c:pt idx="8">
                  <c:v>2013Q1</c:v>
                </c:pt>
                <c:pt idx="9">
                  <c:v>Q2</c:v>
                </c:pt>
                <c:pt idx="10">
                  <c:v>Q3</c:v>
                </c:pt>
                <c:pt idx="11">
                  <c:v>Q4</c:v>
                </c:pt>
                <c:pt idx="12">
                  <c:v>2014Q1</c:v>
                </c:pt>
                <c:pt idx="13">
                  <c:v>Q2</c:v>
                </c:pt>
                <c:pt idx="14">
                  <c:v>Q3</c:v>
                </c:pt>
                <c:pt idx="15">
                  <c:v>Q4</c:v>
                </c:pt>
                <c:pt idx="16">
                  <c:v>2015Q1</c:v>
                </c:pt>
                <c:pt idx="17">
                  <c:v>Q2</c:v>
                </c:pt>
                <c:pt idx="18">
                  <c:v>Q3</c:v>
                </c:pt>
                <c:pt idx="19">
                  <c:v>Q4</c:v>
                </c:pt>
                <c:pt idx="20">
                  <c:v>2016Q1</c:v>
                </c:pt>
                <c:pt idx="21">
                  <c:v>Q2</c:v>
                </c:pt>
                <c:pt idx="22">
                  <c:v>Q3</c:v>
                </c:pt>
                <c:pt idx="23">
                  <c:v>Q4</c:v>
                </c:pt>
                <c:pt idx="24">
                  <c:v>2017Q1</c:v>
                </c:pt>
                <c:pt idx="25">
                  <c:v>Q2</c:v>
                </c:pt>
                <c:pt idx="26">
                  <c:v>Q3</c:v>
                </c:pt>
                <c:pt idx="27">
                  <c:v>Q4</c:v>
                </c:pt>
                <c:pt idx="28">
                  <c:v>2018Q1</c:v>
                </c:pt>
                <c:pt idx="29">
                  <c:v>Q2</c:v>
                </c:pt>
                <c:pt idx="30">
                  <c:v>Q3</c:v>
                </c:pt>
                <c:pt idx="31">
                  <c:v>Q4</c:v>
                </c:pt>
                <c:pt idx="32">
                  <c:v>2019Q1</c:v>
                </c:pt>
                <c:pt idx="33">
                  <c:v>Q2</c:v>
                </c:pt>
                <c:pt idx="34">
                  <c:v>Q3</c:v>
                </c:pt>
                <c:pt idx="35">
                  <c:v>Q4</c:v>
                </c:pt>
                <c:pt idx="36">
                  <c:v>2020Q1</c:v>
                </c:pt>
                <c:pt idx="37">
                  <c:v>Q2</c:v>
                </c:pt>
                <c:pt idx="38">
                  <c:v>Q3</c:v>
                </c:pt>
                <c:pt idx="39">
                  <c:v>Q4</c:v>
                </c:pt>
                <c:pt idx="40">
                  <c:v>2021Q1</c:v>
                </c:pt>
                <c:pt idx="41">
                  <c:v>Q2</c:v>
                </c:pt>
              </c:strCache>
            </c:strRef>
          </c:cat>
          <c:val>
            <c:numRef>
              <c:f>'Graph Data'!$C$56:$AR$56</c:f>
              <c:numCache>
                <c:formatCode>_(* #,##0_);_(* \(#,##0\);_(* "-"??_);_(@_)</c:formatCode>
                <c:ptCount val="42"/>
                <c:pt idx="0">
                  <c:v>2212</c:v>
                </c:pt>
                <c:pt idx="1">
                  <c:v>3069</c:v>
                </c:pt>
                <c:pt idx="2">
                  <c:v>4960</c:v>
                </c:pt>
                <c:pt idx="3">
                  <c:v>4474</c:v>
                </c:pt>
                <c:pt idx="4">
                  <c:v>4367</c:v>
                </c:pt>
                <c:pt idx="5">
                  <c:v>4221</c:v>
                </c:pt>
                <c:pt idx="6">
                  <c:v>3577</c:v>
                </c:pt>
                <c:pt idx="7">
                  <c:v>2680</c:v>
                </c:pt>
                <c:pt idx="8">
                  <c:v>4240</c:v>
                </c:pt>
                <c:pt idx="9">
                  <c:v>5183</c:v>
                </c:pt>
                <c:pt idx="10">
                  <c:v>49133</c:v>
                </c:pt>
                <c:pt idx="11">
                  <c:v>39562</c:v>
                </c:pt>
                <c:pt idx="12">
                  <c:v>41739</c:v>
                </c:pt>
                <c:pt idx="13">
                  <c:v>37894</c:v>
                </c:pt>
                <c:pt idx="14">
                  <c:v>72586</c:v>
                </c:pt>
                <c:pt idx="15">
                  <c:v>87339</c:v>
                </c:pt>
                <c:pt idx="16">
                  <c:v>96047</c:v>
                </c:pt>
                <c:pt idx="17">
                  <c:v>143831</c:v>
                </c:pt>
                <c:pt idx="18">
                  <c:v>165388</c:v>
                </c:pt>
                <c:pt idx="19">
                  <c:v>170686</c:v>
                </c:pt>
                <c:pt idx="20">
                  <c:v>186808</c:v>
                </c:pt>
                <c:pt idx="21">
                  <c:v>191624</c:v>
                </c:pt>
                <c:pt idx="22">
                  <c:v>154491</c:v>
                </c:pt>
                <c:pt idx="23">
                  <c:v>149732</c:v>
                </c:pt>
                <c:pt idx="24">
                  <c:v>136721</c:v>
                </c:pt>
                <c:pt idx="25">
                  <c:v>173497</c:v>
                </c:pt>
                <c:pt idx="26">
                  <c:v>185321</c:v>
                </c:pt>
                <c:pt idx="27">
                  <c:v>185446</c:v>
                </c:pt>
                <c:pt idx="28">
                  <c:v>179507</c:v>
                </c:pt>
                <c:pt idx="29">
                  <c:v>170495</c:v>
                </c:pt>
                <c:pt idx="30">
                  <c:v>197971</c:v>
                </c:pt>
                <c:pt idx="31">
                  <c:v>203315</c:v>
                </c:pt>
                <c:pt idx="32">
                  <c:v>181925</c:v>
                </c:pt>
                <c:pt idx="33">
                  <c:v>199915</c:v>
                </c:pt>
                <c:pt idx="34">
                  <c:v>251067</c:v>
                </c:pt>
                <c:pt idx="35">
                  <c:v>303885</c:v>
                </c:pt>
                <c:pt idx="36">
                  <c:v>299365</c:v>
                </c:pt>
                <c:pt idx="37">
                  <c:v>322693</c:v>
                </c:pt>
                <c:pt idx="38">
                  <c:v>489199</c:v>
                </c:pt>
                <c:pt idx="39">
                  <c:v>553450</c:v>
                </c:pt>
                <c:pt idx="40">
                  <c:v>469751</c:v>
                </c:pt>
                <c:pt idx="41">
                  <c:v>645559</c:v>
                </c:pt>
              </c:numCache>
            </c:numRef>
          </c:val>
          <c:smooth val="0"/>
          <c:extLst>
            <c:ext xmlns:c16="http://schemas.microsoft.com/office/drawing/2014/chart" uri="{C3380CC4-5D6E-409C-BE32-E72D297353CC}">
              <c16:uniqueId val="{00000004-CDDD-4656-88C3-CF13AEC7BAD5}"/>
            </c:ext>
          </c:extLst>
        </c:ser>
        <c:ser>
          <c:idx val="0"/>
          <c:order val="5"/>
          <c:tx>
            <c:strRef>
              <c:f>'Graph Data'!$A$55</c:f>
              <c:strCache>
                <c:ptCount val="1"/>
                <c:pt idx="0">
                  <c:v>Fossil Natural Gas</c:v>
                </c:pt>
              </c:strCache>
            </c:strRef>
          </c:tx>
          <c:spPr>
            <a:ln>
              <a:solidFill>
                <a:srgbClr val="EEECE1">
                  <a:lumMod val="25000"/>
                </a:srgbClr>
              </a:solidFill>
            </a:ln>
          </c:spPr>
          <c:marker>
            <c:symbol val="none"/>
          </c:marker>
          <c:cat>
            <c:strRef>
              <c:f>'Graph Data'!$C$52:$AR$52</c:f>
              <c:strCache>
                <c:ptCount val="42"/>
                <c:pt idx="0">
                  <c:v>2011Q1</c:v>
                </c:pt>
                <c:pt idx="1">
                  <c:v>Q2</c:v>
                </c:pt>
                <c:pt idx="2">
                  <c:v>Q3</c:v>
                </c:pt>
                <c:pt idx="3">
                  <c:v>Q4</c:v>
                </c:pt>
                <c:pt idx="4">
                  <c:v>2012Q1</c:v>
                </c:pt>
                <c:pt idx="5">
                  <c:v>Q2</c:v>
                </c:pt>
                <c:pt idx="6">
                  <c:v>Q3</c:v>
                </c:pt>
                <c:pt idx="7">
                  <c:v>Q4</c:v>
                </c:pt>
                <c:pt idx="8">
                  <c:v>2013Q1</c:v>
                </c:pt>
                <c:pt idx="9">
                  <c:v>Q2</c:v>
                </c:pt>
                <c:pt idx="10">
                  <c:v>Q3</c:v>
                </c:pt>
                <c:pt idx="11">
                  <c:v>Q4</c:v>
                </c:pt>
                <c:pt idx="12">
                  <c:v>2014Q1</c:v>
                </c:pt>
                <c:pt idx="13">
                  <c:v>Q2</c:v>
                </c:pt>
                <c:pt idx="14">
                  <c:v>Q3</c:v>
                </c:pt>
                <c:pt idx="15">
                  <c:v>Q4</c:v>
                </c:pt>
                <c:pt idx="16">
                  <c:v>2015Q1</c:v>
                </c:pt>
                <c:pt idx="17">
                  <c:v>Q2</c:v>
                </c:pt>
                <c:pt idx="18">
                  <c:v>Q3</c:v>
                </c:pt>
                <c:pt idx="19">
                  <c:v>Q4</c:v>
                </c:pt>
                <c:pt idx="20">
                  <c:v>2016Q1</c:v>
                </c:pt>
                <c:pt idx="21">
                  <c:v>Q2</c:v>
                </c:pt>
                <c:pt idx="22">
                  <c:v>Q3</c:v>
                </c:pt>
                <c:pt idx="23">
                  <c:v>Q4</c:v>
                </c:pt>
                <c:pt idx="24">
                  <c:v>2017Q1</c:v>
                </c:pt>
                <c:pt idx="25">
                  <c:v>Q2</c:v>
                </c:pt>
                <c:pt idx="26">
                  <c:v>Q3</c:v>
                </c:pt>
                <c:pt idx="27">
                  <c:v>Q4</c:v>
                </c:pt>
                <c:pt idx="28">
                  <c:v>2018Q1</c:v>
                </c:pt>
                <c:pt idx="29">
                  <c:v>Q2</c:v>
                </c:pt>
                <c:pt idx="30">
                  <c:v>Q3</c:v>
                </c:pt>
                <c:pt idx="31">
                  <c:v>Q4</c:v>
                </c:pt>
                <c:pt idx="32">
                  <c:v>2019Q1</c:v>
                </c:pt>
                <c:pt idx="33">
                  <c:v>Q2</c:v>
                </c:pt>
                <c:pt idx="34">
                  <c:v>Q3</c:v>
                </c:pt>
                <c:pt idx="35">
                  <c:v>Q4</c:v>
                </c:pt>
                <c:pt idx="36">
                  <c:v>2020Q1</c:v>
                </c:pt>
                <c:pt idx="37">
                  <c:v>Q2</c:v>
                </c:pt>
                <c:pt idx="38">
                  <c:v>Q3</c:v>
                </c:pt>
                <c:pt idx="39">
                  <c:v>Q4</c:v>
                </c:pt>
                <c:pt idx="40">
                  <c:v>2021Q1</c:v>
                </c:pt>
                <c:pt idx="41">
                  <c:v>Q2</c:v>
                </c:pt>
              </c:strCache>
            </c:strRef>
          </c:cat>
          <c:val>
            <c:numRef>
              <c:f>'Graph Data'!$C$55:$AR$55</c:f>
              <c:numCache>
                <c:formatCode>_(* #,##0_);_(* \(#,##0\);_(* "-"??_);_(@_)</c:formatCode>
                <c:ptCount val="42"/>
                <c:pt idx="0">
                  <c:v>39934</c:v>
                </c:pt>
                <c:pt idx="1">
                  <c:v>42169</c:v>
                </c:pt>
                <c:pt idx="2">
                  <c:v>41443</c:v>
                </c:pt>
                <c:pt idx="3">
                  <c:v>40844</c:v>
                </c:pt>
                <c:pt idx="4">
                  <c:v>40226</c:v>
                </c:pt>
                <c:pt idx="5">
                  <c:v>43158</c:v>
                </c:pt>
                <c:pt idx="6">
                  <c:v>49942</c:v>
                </c:pt>
                <c:pt idx="7">
                  <c:v>49844</c:v>
                </c:pt>
                <c:pt idx="8">
                  <c:v>59246</c:v>
                </c:pt>
                <c:pt idx="9">
                  <c:v>58045</c:v>
                </c:pt>
                <c:pt idx="10">
                  <c:v>50799</c:v>
                </c:pt>
                <c:pt idx="11">
                  <c:v>53765</c:v>
                </c:pt>
                <c:pt idx="12">
                  <c:v>57641</c:v>
                </c:pt>
                <c:pt idx="13">
                  <c:v>70355</c:v>
                </c:pt>
                <c:pt idx="14">
                  <c:v>60793</c:v>
                </c:pt>
                <c:pt idx="15">
                  <c:v>58227</c:v>
                </c:pt>
                <c:pt idx="16">
                  <c:v>59660</c:v>
                </c:pt>
                <c:pt idx="17">
                  <c:v>50678</c:v>
                </c:pt>
                <c:pt idx="18">
                  <c:v>49578</c:v>
                </c:pt>
                <c:pt idx="19">
                  <c:v>45675</c:v>
                </c:pt>
                <c:pt idx="20">
                  <c:v>43627</c:v>
                </c:pt>
                <c:pt idx="21">
                  <c:v>46616</c:v>
                </c:pt>
                <c:pt idx="22">
                  <c:v>40957</c:v>
                </c:pt>
                <c:pt idx="23">
                  <c:v>38991</c:v>
                </c:pt>
                <c:pt idx="24">
                  <c:v>16031</c:v>
                </c:pt>
                <c:pt idx="25">
                  <c:v>14323</c:v>
                </c:pt>
                <c:pt idx="26">
                  <c:v>14005</c:v>
                </c:pt>
                <c:pt idx="27">
                  <c:v>14135</c:v>
                </c:pt>
                <c:pt idx="28">
                  <c:v>15292</c:v>
                </c:pt>
                <c:pt idx="29">
                  <c:v>16964</c:v>
                </c:pt>
                <c:pt idx="30">
                  <c:v>14909</c:v>
                </c:pt>
                <c:pt idx="31">
                  <c:v>11610</c:v>
                </c:pt>
                <c:pt idx="32">
                  <c:v>8133</c:v>
                </c:pt>
                <c:pt idx="33">
                  <c:v>7220</c:v>
                </c:pt>
                <c:pt idx="34">
                  <c:v>8107</c:v>
                </c:pt>
                <c:pt idx="35">
                  <c:v>7391</c:v>
                </c:pt>
                <c:pt idx="36">
                  <c:v>3700</c:v>
                </c:pt>
                <c:pt idx="37">
                  <c:v>2451</c:v>
                </c:pt>
                <c:pt idx="38">
                  <c:v>1457</c:v>
                </c:pt>
                <c:pt idx="39">
                  <c:v>585</c:v>
                </c:pt>
                <c:pt idx="40">
                  <c:v>487</c:v>
                </c:pt>
                <c:pt idx="41">
                  <c:v>579</c:v>
                </c:pt>
              </c:numCache>
            </c:numRef>
          </c:val>
          <c:smooth val="0"/>
          <c:extLst>
            <c:ext xmlns:c16="http://schemas.microsoft.com/office/drawing/2014/chart" uri="{C3380CC4-5D6E-409C-BE32-E72D297353CC}">
              <c16:uniqueId val="{00000005-CDDD-4656-88C3-CF13AEC7BAD5}"/>
            </c:ext>
          </c:extLst>
        </c:ser>
        <c:ser>
          <c:idx val="13"/>
          <c:order val="6"/>
          <c:tx>
            <c:strRef>
              <c:f>'Graph Data'!$A$59</c:f>
              <c:strCache>
                <c:ptCount val="1"/>
                <c:pt idx="0">
                  <c:v>Other (Hydrogen, Renewable Naphtha, Propane, Innovative Crude &amp; Low Complexity / Low Energy Use Refining, etc.)</c:v>
                </c:pt>
              </c:strCache>
            </c:strRef>
          </c:tx>
          <c:marker>
            <c:symbol val="none"/>
          </c:marker>
          <c:cat>
            <c:strRef>
              <c:f>'Graph Data'!$C$52:$AR$52</c:f>
              <c:strCache>
                <c:ptCount val="42"/>
                <c:pt idx="0">
                  <c:v>2011Q1</c:v>
                </c:pt>
                <c:pt idx="1">
                  <c:v>Q2</c:v>
                </c:pt>
                <c:pt idx="2">
                  <c:v>Q3</c:v>
                </c:pt>
                <c:pt idx="3">
                  <c:v>Q4</c:v>
                </c:pt>
                <c:pt idx="4">
                  <c:v>2012Q1</c:v>
                </c:pt>
                <c:pt idx="5">
                  <c:v>Q2</c:v>
                </c:pt>
                <c:pt idx="6">
                  <c:v>Q3</c:v>
                </c:pt>
                <c:pt idx="7">
                  <c:v>Q4</c:v>
                </c:pt>
                <c:pt idx="8">
                  <c:v>2013Q1</c:v>
                </c:pt>
                <c:pt idx="9">
                  <c:v>Q2</c:v>
                </c:pt>
                <c:pt idx="10">
                  <c:v>Q3</c:v>
                </c:pt>
                <c:pt idx="11">
                  <c:v>Q4</c:v>
                </c:pt>
                <c:pt idx="12">
                  <c:v>2014Q1</c:v>
                </c:pt>
                <c:pt idx="13">
                  <c:v>Q2</c:v>
                </c:pt>
                <c:pt idx="14">
                  <c:v>Q3</c:v>
                </c:pt>
                <c:pt idx="15">
                  <c:v>Q4</c:v>
                </c:pt>
                <c:pt idx="16">
                  <c:v>2015Q1</c:v>
                </c:pt>
                <c:pt idx="17">
                  <c:v>Q2</c:v>
                </c:pt>
                <c:pt idx="18">
                  <c:v>Q3</c:v>
                </c:pt>
                <c:pt idx="19">
                  <c:v>Q4</c:v>
                </c:pt>
                <c:pt idx="20">
                  <c:v>2016Q1</c:v>
                </c:pt>
                <c:pt idx="21">
                  <c:v>Q2</c:v>
                </c:pt>
                <c:pt idx="22">
                  <c:v>Q3</c:v>
                </c:pt>
                <c:pt idx="23">
                  <c:v>Q4</c:v>
                </c:pt>
                <c:pt idx="24">
                  <c:v>2017Q1</c:v>
                </c:pt>
                <c:pt idx="25">
                  <c:v>Q2</c:v>
                </c:pt>
                <c:pt idx="26">
                  <c:v>Q3</c:v>
                </c:pt>
                <c:pt idx="27">
                  <c:v>Q4</c:v>
                </c:pt>
                <c:pt idx="28">
                  <c:v>2018Q1</c:v>
                </c:pt>
                <c:pt idx="29">
                  <c:v>Q2</c:v>
                </c:pt>
                <c:pt idx="30">
                  <c:v>Q3</c:v>
                </c:pt>
                <c:pt idx="31">
                  <c:v>Q4</c:v>
                </c:pt>
                <c:pt idx="32">
                  <c:v>2019Q1</c:v>
                </c:pt>
                <c:pt idx="33">
                  <c:v>Q2</c:v>
                </c:pt>
                <c:pt idx="34">
                  <c:v>Q3</c:v>
                </c:pt>
                <c:pt idx="35">
                  <c:v>Q4</c:v>
                </c:pt>
                <c:pt idx="36">
                  <c:v>2020Q1</c:v>
                </c:pt>
                <c:pt idx="37">
                  <c:v>Q2</c:v>
                </c:pt>
                <c:pt idx="38">
                  <c:v>Q3</c:v>
                </c:pt>
                <c:pt idx="39">
                  <c:v>Q4</c:v>
                </c:pt>
                <c:pt idx="40">
                  <c:v>2021Q1</c:v>
                </c:pt>
                <c:pt idx="41">
                  <c:v>Q2</c:v>
                </c:pt>
              </c:strCache>
            </c:strRef>
          </c:cat>
          <c:val>
            <c:numRef>
              <c:f>'Graph Data'!$C$59:$AR$59</c:f>
              <c:numCache>
                <c:formatCode>_(* #,##0_);_(* \(#,##0\);_(* "-"??_);_(@_)</c:formatCode>
                <c:ptCount val="4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50</c:v>
                </c:pt>
                <c:pt idx="19">
                  <c:v>24</c:v>
                </c:pt>
                <c:pt idx="20">
                  <c:v>37975</c:v>
                </c:pt>
                <c:pt idx="21">
                  <c:v>38243</c:v>
                </c:pt>
                <c:pt idx="22">
                  <c:v>39843</c:v>
                </c:pt>
                <c:pt idx="23">
                  <c:v>39493</c:v>
                </c:pt>
                <c:pt idx="24">
                  <c:v>37028</c:v>
                </c:pt>
                <c:pt idx="25">
                  <c:v>37617</c:v>
                </c:pt>
                <c:pt idx="26">
                  <c:v>37717</c:v>
                </c:pt>
                <c:pt idx="27">
                  <c:v>37644</c:v>
                </c:pt>
                <c:pt idx="28">
                  <c:v>35569</c:v>
                </c:pt>
                <c:pt idx="29">
                  <c:v>36090</c:v>
                </c:pt>
                <c:pt idx="30">
                  <c:v>36240</c:v>
                </c:pt>
                <c:pt idx="31">
                  <c:v>37400</c:v>
                </c:pt>
                <c:pt idx="32">
                  <c:v>42116</c:v>
                </c:pt>
                <c:pt idx="33">
                  <c:v>51531</c:v>
                </c:pt>
                <c:pt idx="34">
                  <c:v>61015</c:v>
                </c:pt>
                <c:pt idx="35">
                  <c:v>64846</c:v>
                </c:pt>
                <c:pt idx="36">
                  <c:v>36191</c:v>
                </c:pt>
                <c:pt idx="37">
                  <c:v>38399</c:v>
                </c:pt>
                <c:pt idx="38">
                  <c:v>40959</c:v>
                </c:pt>
                <c:pt idx="39">
                  <c:v>51160</c:v>
                </c:pt>
                <c:pt idx="40">
                  <c:v>76037</c:v>
                </c:pt>
                <c:pt idx="41">
                  <c:v>86517</c:v>
                </c:pt>
              </c:numCache>
            </c:numRef>
          </c:val>
          <c:smooth val="0"/>
          <c:extLst>
            <c:ext xmlns:c16="http://schemas.microsoft.com/office/drawing/2014/chart" uri="{C3380CC4-5D6E-409C-BE32-E72D297353CC}">
              <c16:uniqueId val="{00000006-CDDD-4656-88C3-CF13AEC7BAD5}"/>
            </c:ext>
          </c:extLst>
        </c:ser>
        <c:dLbls>
          <c:showLegendKey val="0"/>
          <c:showVal val="0"/>
          <c:showCatName val="0"/>
          <c:showSerName val="0"/>
          <c:showPercent val="0"/>
          <c:showBubbleSize val="0"/>
        </c:dLbls>
        <c:smooth val="0"/>
        <c:axId val="81293312"/>
        <c:axId val="81294848"/>
      </c:lineChart>
      <c:catAx>
        <c:axId val="81293312"/>
        <c:scaling>
          <c:orientation val="minMax"/>
        </c:scaling>
        <c:delete val="0"/>
        <c:axPos val="b"/>
        <c:numFmt formatCode="General" sourceLinked="1"/>
        <c:majorTickMark val="out"/>
        <c:minorTickMark val="none"/>
        <c:tickLblPos val="low"/>
        <c:crossAx val="81294848"/>
        <c:crosses val="autoZero"/>
        <c:auto val="1"/>
        <c:lblAlgn val="ctr"/>
        <c:lblOffset val="100"/>
        <c:tickLblSkip val="1"/>
        <c:tickMarkSkip val="1"/>
        <c:noMultiLvlLbl val="0"/>
      </c:catAx>
      <c:valAx>
        <c:axId val="81294848"/>
        <c:scaling>
          <c:orientation val="minMax"/>
        </c:scaling>
        <c:delete val="0"/>
        <c:axPos val="l"/>
        <c:majorGridlines/>
        <c:title>
          <c:tx>
            <c:rich>
              <a:bodyPr/>
              <a:lstStyle/>
              <a:p>
                <a:pPr>
                  <a:defRPr/>
                </a:pPr>
                <a:r>
                  <a:rPr lang="en-US"/>
                  <a:t>Metric Tons (MT)</a:t>
                </a:r>
              </a:p>
            </c:rich>
          </c:tx>
          <c:overlay val="0"/>
        </c:title>
        <c:numFmt formatCode="_(* #,##0_);_(* \(#,##0\);_(* &quot;-&quot;??_);_(@_)" sourceLinked="1"/>
        <c:majorTickMark val="out"/>
        <c:minorTickMark val="none"/>
        <c:tickLblPos val="nextTo"/>
        <c:crossAx val="81293312"/>
        <c:crosses val="autoZero"/>
        <c:crossBetween val="between"/>
      </c:valAx>
      <c:spPr>
        <a:ln>
          <a:solidFill>
            <a:srgbClr val="4F81BD"/>
          </a:solidFill>
        </a:ln>
      </c:spPr>
    </c:plotArea>
    <c:legend>
      <c:legendPos val="r"/>
      <c:layout>
        <c:manualLayout>
          <c:xMode val="edge"/>
          <c:yMode val="edge"/>
          <c:x val="0.75142387573135194"/>
          <c:y val="3.2249281444111363E-2"/>
          <c:w val="0.24857612426864809"/>
          <c:h val="0.84407905894579249"/>
        </c:manualLayout>
      </c:layout>
      <c:overlay val="0"/>
      <c:txPr>
        <a:bodyPr/>
        <a:lstStyle/>
        <a:p>
          <a:pPr>
            <a:defRPr sz="900"/>
          </a:pPr>
          <a:endParaRPr lang="en-US"/>
        </a:p>
      </c:txPr>
    </c:legend>
    <c:plotVisOnly val="1"/>
    <c:dispBlanksAs val="gap"/>
    <c:showDLblsOverMax val="0"/>
  </c:chart>
  <c:spPr>
    <a:solidFill>
      <a:sysClr val="window" lastClr="FFFFFF"/>
    </a:solidFill>
  </c:spPr>
  <c:printSettings>
    <c:headerFooter/>
    <c:pageMargins b="0.75" l="0.7" r="0.7" t="0.75" header="0.3" footer="0.3"/>
    <c:pageSetup/>
  </c:printSettings>
  <c:userShapes r:id="rId2"/>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a:pPr>
            <a:r>
              <a:rPr lang="en-US" sz="1200"/>
              <a:t>Fig 1. Total Credits and Deficits (MT)</a:t>
            </a:r>
          </a:p>
          <a:p>
            <a:pPr>
              <a:defRPr/>
            </a:pPr>
            <a:r>
              <a:rPr lang="en-US" sz="1200"/>
              <a:t>for All Fuels Reported Q1 2011 - Q2 2021</a:t>
            </a:r>
          </a:p>
        </c:rich>
      </c:tx>
      <c:overlay val="0"/>
    </c:title>
    <c:autoTitleDeleted val="0"/>
    <c:plotArea>
      <c:layout>
        <c:manualLayout>
          <c:layoutTarget val="inner"/>
          <c:xMode val="edge"/>
          <c:yMode val="edge"/>
          <c:x val="0.14441110215553765"/>
          <c:y val="0.20314487004913859"/>
          <c:w val="0.80471098401702346"/>
          <c:h val="0.56910096764220264"/>
        </c:manualLayout>
      </c:layout>
      <c:barChart>
        <c:barDir val="col"/>
        <c:grouping val="clustered"/>
        <c:varyColors val="0"/>
        <c:ser>
          <c:idx val="0"/>
          <c:order val="0"/>
          <c:tx>
            <c:strRef>
              <c:f>'Qrtly Credit-Deficit Generation'!$A$2</c:f>
              <c:strCache>
                <c:ptCount val="1"/>
                <c:pt idx="0">
                  <c:v>Credits</c:v>
                </c:pt>
              </c:strCache>
            </c:strRef>
          </c:tx>
          <c:invertIfNegative val="0"/>
          <c:cat>
            <c:strRef>
              <c:f>'Qrtly Credit-Deficit Generation'!$C$3:$AR$3</c:f>
              <c:strCache>
                <c:ptCount val="42"/>
                <c:pt idx="0">
                  <c:v>2011Q1</c:v>
                </c:pt>
                <c:pt idx="1">
                  <c:v>Q2</c:v>
                </c:pt>
                <c:pt idx="2">
                  <c:v>Q3</c:v>
                </c:pt>
                <c:pt idx="3">
                  <c:v>Q4</c:v>
                </c:pt>
                <c:pt idx="4">
                  <c:v>2012Q1</c:v>
                </c:pt>
                <c:pt idx="5">
                  <c:v>Q2</c:v>
                </c:pt>
                <c:pt idx="6">
                  <c:v>Q3</c:v>
                </c:pt>
                <c:pt idx="7">
                  <c:v>Q4</c:v>
                </c:pt>
                <c:pt idx="8">
                  <c:v>2013Q1</c:v>
                </c:pt>
                <c:pt idx="9">
                  <c:v>Q2</c:v>
                </c:pt>
                <c:pt idx="10">
                  <c:v>Q3</c:v>
                </c:pt>
                <c:pt idx="11">
                  <c:v>Q4</c:v>
                </c:pt>
                <c:pt idx="12">
                  <c:v>2014Q1</c:v>
                </c:pt>
                <c:pt idx="13">
                  <c:v>Q2</c:v>
                </c:pt>
                <c:pt idx="14">
                  <c:v>Q3</c:v>
                </c:pt>
                <c:pt idx="15">
                  <c:v>Q4</c:v>
                </c:pt>
                <c:pt idx="16">
                  <c:v>2015Q1</c:v>
                </c:pt>
                <c:pt idx="17">
                  <c:v>Q2</c:v>
                </c:pt>
                <c:pt idx="18">
                  <c:v>Q3</c:v>
                </c:pt>
                <c:pt idx="19">
                  <c:v>Q4</c:v>
                </c:pt>
                <c:pt idx="20">
                  <c:v>2016Q1</c:v>
                </c:pt>
                <c:pt idx="21">
                  <c:v>Q2</c:v>
                </c:pt>
                <c:pt idx="22">
                  <c:v>Q3</c:v>
                </c:pt>
                <c:pt idx="23">
                  <c:v>Q4</c:v>
                </c:pt>
                <c:pt idx="24">
                  <c:v>2017Q1</c:v>
                </c:pt>
                <c:pt idx="25">
                  <c:v>Q2</c:v>
                </c:pt>
                <c:pt idx="26">
                  <c:v>Q3</c:v>
                </c:pt>
                <c:pt idx="27">
                  <c:v>Q4</c:v>
                </c:pt>
                <c:pt idx="28">
                  <c:v>2018Q1</c:v>
                </c:pt>
                <c:pt idx="29">
                  <c:v>Q2</c:v>
                </c:pt>
                <c:pt idx="30">
                  <c:v>Q3</c:v>
                </c:pt>
                <c:pt idx="31">
                  <c:v>Q4</c:v>
                </c:pt>
                <c:pt idx="32">
                  <c:v>2019Q1</c:v>
                </c:pt>
                <c:pt idx="33">
                  <c:v> Q2 </c:v>
                </c:pt>
                <c:pt idx="34">
                  <c:v> Q3 </c:v>
                </c:pt>
                <c:pt idx="35">
                  <c:v> Q4 </c:v>
                </c:pt>
                <c:pt idx="36">
                  <c:v>2020Q1</c:v>
                </c:pt>
                <c:pt idx="37">
                  <c:v>Q2</c:v>
                </c:pt>
                <c:pt idx="38">
                  <c:v>Q3</c:v>
                </c:pt>
                <c:pt idx="39">
                  <c:v>Q4</c:v>
                </c:pt>
                <c:pt idx="40">
                  <c:v>2021Q1</c:v>
                </c:pt>
                <c:pt idx="41">
                  <c:v>Q2</c:v>
                </c:pt>
              </c:strCache>
            </c:strRef>
          </c:cat>
          <c:val>
            <c:numRef>
              <c:f>'Qrtly Credit-Deficit Generation'!$C$48:$AR$48</c:f>
              <c:numCache>
                <c:formatCode>_(* #,##0_);_(* \(#,##0\);_(* "-"??_);_(@_)</c:formatCode>
                <c:ptCount val="42"/>
                <c:pt idx="0">
                  <c:v>275639</c:v>
                </c:pt>
                <c:pt idx="1">
                  <c:v>325071</c:v>
                </c:pt>
                <c:pt idx="2">
                  <c:v>358817</c:v>
                </c:pt>
                <c:pt idx="3">
                  <c:v>334451</c:v>
                </c:pt>
                <c:pt idx="4">
                  <c:v>366391</c:v>
                </c:pt>
                <c:pt idx="5">
                  <c:v>380783</c:v>
                </c:pt>
                <c:pt idx="6">
                  <c:v>471290</c:v>
                </c:pt>
                <c:pt idx="7">
                  <c:v>473045</c:v>
                </c:pt>
                <c:pt idx="8">
                  <c:v>652535</c:v>
                </c:pt>
                <c:pt idx="9">
                  <c:v>832199</c:v>
                </c:pt>
                <c:pt idx="10">
                  <c:v>1132141</c:v>
                </c:pt>
                <c:pt idx="11">
                  <c:v>1137322</c:v>
                </c:pt>
                <c:pt idx="12">
                  <c:v>961263</c:v>
                </c:pt>
                <c:pt idx="13">
                  <c:v>1111616</c:v>
                </c:pt>
                <c:pt idx="14">
                  <c:v>1148264</c:v>
                </c:pt>
                <c:pt idx="15">
                  <c:v>1079148</c:v>
                </c:pt>
                <c:pt idx="16">
                  <c:v>1102924</c:v>
                </c:pt>
                <c:pt idx="17">
                  <c:v>1307672</c:v>
                </c:pt>
                <c:pt idx="18">
                  <c:v>1510754</c:v>
                </c:pt>
                <c:pt idx="19">
                  <c:v>1566898</c:v>
                </c:pt>
                <c:pt idx="20">
                  <c:v>1907907</c:v>
                </c:pt>
                <c:pt idx="21">
                  <c:v>2416121</c:v>
                </c:pt>
                <c:pt idx="22">
                  <c:v>2428897</c:v>
                </c:pt>
                <c:pt idx="23">
                  <c:v>2631117</c:v>
                </c:pt>
                <c:pt idx="24">
                  <c:v>2195244</c:v>
                </c:pt>
                <c:pt idx="25">
                  <c:v>2582576</c:v>
                </c:pt>
                <c:pt idx="26">
                  <c:v>2727781</c:v>
                </c:pt>
                <c:pt idx="27">
                  <c:v>2515832</c:v>
                </c:pt>
                <c:pt idx="28">
                  <c:v>2510702</c:v>
                </c:pt>
                <c:pt idx="29">
                  <c:v>2698411</c:v>
                </c:pt>
                <c:pt idx="30">
                  <c:v>2801496</c:v>
                </c:pt>
                <c:pt idx="31">
                  <c:v>3299857</c:v>
                </c:pt>
                <c:pt idx="32">
                  <c:v>3327537</c:v>
                </c:pt>
                <c:pt idx="33">
                  <c:v>3707200</c:v>
                </c:pt>
                <c:pt idx="34">
                  <c:v>3812949</c:v>
                </c:pt>
                <c:pt idx="35">
                  <c:v>4087212</c:v>
                </c:pt>
                <c:pt idx="36">
                  <c:v>3701393</c:v>
                </c:pt>
                <c:pt idx="37">
                  <c:v>3252944</c:v>
                </c:pt>
                <c:pt idx="38">
                  <c:v>4068893</c:v>
                </c:pt>
                <c:pt idx="39">
                  <c:v>4355579</c:v>
                </c:pt>
                <c:pt idx="40">
                  <c:v>4006166</c:v>
                </c:pt>
                <c:pt idx="41">
                  <c:v>4972250</c:v>
                </c:pt>
              </c:numCache>
            </c:numRef>
          </c:val>
          <c:extLst>
            <c:ext xmlns:c16="http://schemas.microsoft.com/office/drawing/2014/chart" uri="{C3380CC4-5D6E-409C-BE32-E72D297353CC}">
              <c16:uniqueId val="{00000000-46DE-4926-A503-3A4C6DBF073B}"/>
            </c:ext>
          </c:extLst>
        </c:ser>
        <c:ser>
          <c:idx val="1"/>
          <c:order val="1"/>
          <c:tx>
            <c:strRef>
              <c:f>'Qrtly Credit-Deficit Generation'!$A$53</c:f>
              <c:strCache>
                <c:ptCount val="1"/>
                <c:pt idx="0">
                  <c:v>Deficits</c:v>
                </c:pt>
              </c:strCache>
            </c:strRef>
          </c:tx>
          <c:invertIfNegative val="0"/>
          <c:cat>
            <c:strRef>
              <c:f>'Qrtly Credit-Deficit Generation'!$C$3:$AR$3</c:f>
              <c:strCache>
                <c:ptCount val="42"/>
                <c:pt idx="0">
                  <c:v>2011Q1</c:v>
                </c:pt>
                <c:pt idx="1">
                  <c:v>Q2</c:v>
                </c:pt>
                <c:pt idx="2">
                  <c:v>Q3</c:v>
                </c:pt>
                <c:pt idx="3">
                  <c:v>Q4</c:v>
                </c:pt>
                <c:pt idx="4">
                  <c:v>2012Q1</c:v>
                </c:pt>
                <c:pt idx="5">
                  <c:v>Q2</c:v>
                </c:pt>
                <c:pt idx="6">
                  <c:v>Q3</c:v>
                </c:pt>
                <c:pt idx="7">
                  <c:v>Q4</c:v>
                </c:pt>
                <c:pt idx="8">
                  <c:v>2013Q1</c:v>
                </c:pt>
                <c:pt idx="9">
                  <c:v>Q2</c:v>
                </c:pt>
                <c:pt idx="10">
                  <c:v>Q3</c:v>
                </c:pt>
                <c:pt idx="11">
                  <c:v>Q4</c:v>
                </c:pt>
                <c:pt idx="12">
                  <c:v>2014Q1</c:v>
                </c:pt>
                <c:pt idx="13">
                  <c:v>Q2</c:v>
                </c:pt>
                <c:pt idx="14">
                  <c:v>Q3</c:v>
                </c:pt>
                <c:pt idx="15">
                  <c:v>Q4</c:v>
                </c:pt>
                <c:pt idx="16">
                  <c:v>2015Q1</c:v>
                </c:pt>
                <c:pt idx="17">
                  <c:v>Q2</c:v>
                </c:pt>
                <c:pt idx="18">
                  <c:v>Q3</c:v>
                </c:pt>
                <c:pt idx="19">
                  <c:v>Q4</c:v>
                </c:pt>
                <c:pt idx="20">
                  <c:v>2016Q1</c:v>
                </c:pt>
                <c:pt idx="21">
                  <c:v>Q2</c:v>
                </c:pt>
                <c:pt idx="22">
                  <c:v>Q3</c:v>
                </c:pt>
                <c:pt idx="23">
                  <c:v>Q4</c:v>
                </c:pt>
                <c:pt idx="24">
                  <c:v>2017Q1</c:v>
                </c:pt>
                <c:pt idx="25">
                  <c:v>Q2</c:v>
                </c:pt>
                <c:pt idx="26">
                  <c:v>Q3</c:v>
                </c:pt>
                <c:pt idx="27">
                  <c:v>Q4</c:v>
                </c:pt>
                <c:pt idx="28">
                  <c:v>2018Q1</c:v>
                </c:pt>
                <c:pt idx="29">
                  <c:v>Q2</c:v>
                </c:pt>
                <c:pt idx="30">
                  <c:v>Q3</c:v>
                </c:pt>
                <c:pt idx="31">
                  <c:v>Q4</c:v>
                </c:pt>
                <c:pt idx="32">
                  <c:v>2019Q1</c:v>
                </c:pt>
                <c:pt idx="33">
                  <c:v> Q2 </c:v>
                </c:pt>
                <c:pt idx="34">
                  <c:v> Q3 </c:v>
                </c:pt>
                <c:pt idx="35">
                  <c:v> Q4 </c:v>
                </c:pt>
                <c:pt idx="36">
                  <c:v>2020Q1</c:v>
                </c:pt>
                <c:pt idx="37">
                  <c:v>Q2</c:v>
                </c:pt>
                <c:pt idx="38">
                  <c:v>Q3</c:v>
                </c:pt>
                <c:pt idx="39">
                  <c:v>Q4</c:v>
                </c:pt>
                <c:pt idx="40">
                  <c:v>2021Q1</c:v>
                </c:pt>
                <c:pt idx="41">
                  <c:v>Q2</c:v>
                </c:pt>
              </c:strCache>
            </c:strRef>
          </c:cat>
          <c:val>
            <c:numRef>
              <c:f>'Qrtly Credit-Deficit Generation'!$C$70:$AR$70</c:f>
              <c:numCache>
                <c:formatCode>_(* #,##0_);_(* \(#,##0\);_(* "-"??_);_(@_)</c:formatCode>
                <c:ptCount val="42"/>
                <c:pt idx="0">
                  <c:v>132283</c:v>
                </c:pt>
                <c:pt idx="1">
                  <c:v>134760</c:v>
                </c:pt>
                <c:pt idx="2">
                  <c:v>141381</c:v>
                </c:pt>
                <c:pt idx="3">
                  <c:v>137396</c:v>
                </c:pt>
                <c:pt idx="4">
                  <c:v>240260</c:v>
                </c:pt>
                <c:pt idx="5">
                  <c:v>252750</c:v>
                </c:pt>
                <c:pt idx="6">
                  <c:v>259582</c:v>
                </c:pt>
                <c:pt idx="7">
                  <c:v>266666</c:v>
                </c:pt>
                <c:pt idx="8">
                  <c:v>558804</c:v>
                </c:pt>
                <c:pt idx="9">
                  <c:v>636140</c:v>
                </c:pt>
                <c:pt idx="10">
                  <c:v>646613</c:v>
                </c:pt>
                <c:pt idx="11">
                  <c:v>653565</c:v>
                </c:pt>
                <c:pt idx="12">
                  <c:v>596240</c:v>
                </c:pt>
                <c:pt idx="13">
                  <c:v>653122</c:v>
                </c:pt>
                <c:pt idx="14">
                  <c:v>660254</c:v>
                </c:pt>
                <c:pt idx="15">
                  <c:v>657732</c:v>
                </c:pt>
                <c:pt idx="16">
                  <c:v>600144</c:v>
                </c:pt>
                <c:pt idx="17">
                  <c:v>660642</c:v>
                </c:pt>
                <c:pt idx="18">
                  <c:v>696772</c:v>
                </c:pt>
                <c:pt idx="19">
                  <c:v>686210</c:v>
                </c:pt>
                <c:pt idx="20">
                  <c:v>1627195</c:v>
                </c:pt>
                <c:pt idx="21">
                  <c:v>1641557</c:v>
                </c:pt>
                <c:pt idx="22">
                  <c:v>1736480</c:v>
                </c:pt>
                <c:pt idx="23">
                  <c:v>1775489</c:v>
                </c:pt>
                <c:pt idx="24">
                  <c:v>2356219</c:v>
                </c:pt>
                <c:pt idx="25">
                  <c:v>2497824</c:v>
                </c:pt>
                <c:pt idx="26">
                  <c:v>2566865</c:v>
                </c:pt>
                <c:pt idx="27">
                  <c:v>2595941</c:v>
                </c:pt>
                <c:pt idx="28">
                  <c:v>2879229</c:v>
                </c:pt>
                <c:pt idx="29">
                  <c:v>3141737</c:v>
                </c:pt>
                <c:pt idx="30">
                  <c:v>3140905</c:v>
                </c:pt>
                <c:pt idx="31">
                  <c:v>3204695</c:v>
                </c:pt>
                <c:pt idx="32">
                  <c:v>3747363</c:v>
                </c:pt>
                <c:pt idx="33">
                  <c:v>3918948</c:v>
                </c:pt>
                <c:pt idx="34">
                  <c:v>3930131</c:v>
                </c:pt>
                <c:pt idx="35">
                  <c:v>3890973</c:v>
                </c:pt>
                <c:pt idx="36">
                  <c:v>4148685</c:v>
                </c:pt>
                <c:pt idx="37">
                  <c:v>3388059</c:v>
                </c:pt>
                <c:pt idx="38">
                  <c:v>4001573</c:v>
                </c:pt>
                <c:pt idx="39">
                  <c:v>3949915</c:v>
                </c:pt>
                <c:pt idx="40">
                  <c:v>4286270</c:v>
                </c:pt>
                <c:pt idx="41">
                  <c:v>4826990</c:v>
                </c:pt>
              </c:numCache>
            </c:numRef>
          </c:val>
          <c:extLst>
            <c:ext xmlns:c16="http://schemas.microsoft.com/office/drawing/2014/chart" uri="{C3380CC4-5D6E-409C-BE32-E72D297353CC}">
              <c16:uniqueId val="{00000001-46DE-4926-A503-3A4C6DBF073B}"/>
            </c:ext>
          </c:extLst>
        </c:ser>
        <c:dLbls>
          <c:showLegendKey val="0"/>
          <c:showVal val="0"/>
          <c:showCatName val="0"/>
          <c:showSerName val="0"/>
          <c:showPercent val="0"/>
          <c:showBubbleSize val="0"/>
        </c:dLbls>
        <c:gapWidth val="150"/>
        <c:axId val="79760768"/>
        <c:axId val="79762560"/>
      </c:barChart>
      <c:lineChart>
        <c:grouping val="standard"/>
        <c:varyColors val="0"/>
        <c:ser>
          <c:idx val="2"/>
          <c:order val="2"/>
          <c:tx>
            <c:strRef>
              <c:f>'Qrtly Credit-Deficit Generation'!$A$49</c:f>
              <c:strCache>
                <c:ptCount val="1"/>
                <c:pt idx="0">
                  <c:v>Cummulative Bank</c:v>
                </c:pt>
              </c:strCache>
            </c:strRef>
          </c:tx>
          <c:marker>
            <c:symbol val="none"/>
          </c:marker>
          <c:cat>
            <c:strRef>
              <c:f>'Qrtly Credit-Deficit Generation'!$C$3:$AL$3</c:f>
              <c:strCache>
                <c:ptCount val="36"/>
                <c:pt idx="0">
                  <c:v>2011Q1</c:v>
                </c:pt>
                <c:pt idx="1">
                  <c:v>Q2</c:v>
                </c:pt>
                <c:pt idx="2">
                  <c:v>Q3</c:v>
                </c:pt>
                <c:pt idx="3">
                  <c:v>Q4</c:v>
                </c:pt>
                <c:pt idx="4">
                  <c:v>2012Q1</c:v>
                </c:pt>
                <c:pt idx="5">
                  <c:v>Q2</c:v>
                </c:pt>
                <c:pt idx="6">
                  <c:v>Q3</c:v>
                </c:pt>
                <c:pt idx="7">
                  <c:v>Q4</c:v>
                </c:pt>
                <c:pt idx="8">
                  <c:v>2013Q1</c:v>
                </c:pt>
                <c:pt idx="9">
                  <c:v>Q2</c:v>
                </c:pt>
                <c:pt idx="10">
                  <c:v>Q3</c:v>
                </c:pt>
                <c:pt idx="11">
                  <c:v>Q4</c:v>
                </c:pt>
                <c:pt idx="12">
                  <c:v>2014Q1</c:v>
                </c:pt>
                <c:pt idx="13">
                  <c:v>Q2</c:v>
                </c:pt>
                <c:pt idx="14">
                  <c:v>Q3</c:v>
                </c:pt>
                <c:pt idx="15">
                  <c:v>Q4</c:v>
                </c:pt>
                <c:pt idx="16">
                  <c:v>2015Q1</c:v>
                </c:pt>
                <c:pt idx="17">
                  <c:v>Q2</c:v>
                </c:pt>
                <c:pt idx="18">
                  <c:v>Q3</c:v>
                </c:pt>
                <c:pt idx="19">
                  <c:v>Q4</c:v>
                </c:pt>
                <c:pt idx="20">
                  <c:v>2016Q1</c:v>
                </c:pt>
                <c:pt idx="21">
                  <c:v>Q2</c:v>
                </c:pt>
                <c:pt idx="22">
                  <c:v>Q3</c:v>
                </c:pt>
                <c:pt idx="23">
                  <c:v>Q4</c:v>
                </c:pt>
                <c:pt idx="24">
                  <c:v>2017Q1</c:v>
                </c:pt>
                <c:pt idx="25">
                  <c:v>Q2</c:v>
                </c:pt>
                <c:pt idx="26">
                  <c:v>Q3</c:v>
                </c:pt>
                <c:pt idx="27">
                  <c:v>Q4</c:v>
                </c:pt>
                <c:pt idx="28">
                  <c:v>2018Q1</c:v>
                </c:pt>
                <c:pt idx="29">
                  <c:v>Q2</c:v>
                </c:pt>
                <c:pt idx="30">
                  <c:v>Q3</c:v>
                </c:pt>
                <c:pt idx="31">
                  <c:v>Q4</c:v>
                </c:pt>
                <c:pt idx="32">
                  <c:v>2019Q1</c:v>
                </c:pt>
                <c:pt idx="33">
                  <c:v> Q2 </c:v>
                </c:pt>
                <c:pt idx="34">
                  <c:v> Q3 </c:v>
                </c:pt>
                <c:pt idx="35">
                  <c:v> Q4 </c:v>
                </c:pt>
              </c:strCache>
            </c:strRef>
          </c:cat>
          <c:val>
            <c:numRef>
              <c:f>'Qrtly Credit-Deficit Generation'!$C$49:$AR$49</c:f>
              <c:numCache>
                <c:formatCode>_(* #,##0_);_(* \(#,##0\);_(* "-"??_);_(@_)</c:formatCode>
                <c:ptCount val="42"/>
                <c:pt idx="0">
                  <c:v>143356</c:v>
                </c:pt>
                <c:pt idx="1">
                  <c:v>333667</c:v>
                </c:pt>
                <c:pt idx="2">
                  <c:v>551103</c:v>
                </c:pt>
                <c:pt idx="3">
                  <c:v>748158</c:v>
                </c:pt>
                <c:pt idx="4">
                  <c:v>874289</c:v>
                </c:pt>
                <c:pt idx="5">
                  <c:v>1002322</c:v>
                </c:pt>
                <c:pt idx="6">
                  <c:v>1214030</c:v>
                </c:pt>
                <c:pt idx="7">
                  <c:v>1420409</c:v>
                </c:pt>
                <c:pt idx="8">
                  <c:v>1514140</c:v>
                </c:pt>
                <c:pt idx="9">
                  <c:v>1710199</c:v>
                </c:pt>
                <c:pt idx="10">
                  <c:v>2195727</c:v>
                </c:pt>
                <c:pt idx="11">
                  <c:v>2679484</c:v>
                </c:pt>
                <c:pt idx="12">
                  <c:v>3044507</c:v>
                </c:pt>
                <c:pt idx="13">
                  <c:v>3503001</c:v>
                </c:pt>
                <c:pt idx="14">
                  <c:v>3991011</c:v>
                </c:pt>
                <c:pt idx="15">
                  <c:v>4412427</c:v>
                </c:pt>
                <c:pt idx="16">
                  <c:v>4915207</c:v>
                </c:pt>
                <c:pt idx="17">
                  <c:v>5562237</c:v>
                </c:pt>
                <c:pt idx="18">
                  <c:v>6376219</c:v>
                </c:pt>
                <c:pt idx="19">
                  <c:v>7256907</c:v>
                </c:pt>
                <c:pt idx="20">
                  <c:v>7537619</c:v>
                </c:pt>
                <c:pt idx="21">
                  <c:v>8312183</c:v>
                </c:pt>
                <c:pt idx="22">
                  <c:v>9004600</c:v>
                </c:pt>
                <c:pt idx="23">
                  <c:v>9860228</c:v>
                </c:pt>
                <c:pt idx="24">
                  <c:v>9699253</c:v>
                </c:pt>
                <c:pt idx="25">
                  <c:v>9784005</c:v>
                </c:pt>
                <c:pt idx="26">
                  <c:v>9944921</c:v>
                </c:pt>
                <c:pt idx="27">
                  <c:v>9864812</c:v>
                </c:pt>
                <c:pt idx="28">
                  <c:v>9526971</c:v>
                </c:pt>
                <c:pt idx="29">
                  <c:v>9111975</c:v>
                </c:pt>
                <c:pt idx="30">
                  <c:v>8798591</c:v>
                </c:pt>
                <c:pt idx="31">
                  <c:v>8918202</c:v>
                </c:pt>
                <c:pt idx="32">
                  <c:v>8523082</c:v>
                </c:pt>
                <c:pt idx="33">
                  <c:v>8333578</c:v>
                </c:pt>
                <c:pt idx="34">
                  <c:v>8231775</c:v>
                </c:pt>
                <c:pt idx="35">
                  <c:v>8439052</c:v>
                </c:pt>
                <c:pt idx="36">
                  <c:v>8004136</c:v>
                </c:pt>
                <c:pt idx="37">
                  <c:v>7870851</c:v>
                </c:pt>
                <c:pt idx="38">
                  <c:v>7937912</c:v>
                </c:pt>
                <c:pt idx="39">
                  <c:v>8343187</c:v>
                </c:pt>
                <c:pt idx="40">
                  <c:v>8083108</c:v>
                </c:pt>
                <c:pt idx="41">
                  <c:v>8268007</c:v>
                </c:pt>
              </c:numCache>
            </c:numRef>
          </c:val>
          <c:smooth val="0"/>
          <c:extLst>
            <c:ext xmlns:c16="http://schemas.microsoft.com/office/drawing/2014/chart" uri="{C3380CC4-5D6E-409C-BE32-E72D297353CC}">
              <c16:uniqueId val="{00000002-46DE-4926-A503-3A4C6DBF073B}"/>
            </c:ext>
          </c:extLst>
        </c:ser>
        <c:dLbls>
          <c:showLegendKey val="0"/>
          <c:showVal val="0"/>
          <c:showCatName val="0"/>
          <c:showSerName val="0"/>
          <c:showPercent val="0"/>
          <c:showBubbleSize val="0"/>
        </c:dLbls>
        <c:marker val="1"/>
        <c:smooth val="0"/>
        <c:axId val="79760768"/>
        <c:axId val="79762560"/>
      </c:lineChart>
      <c:catAx>
        <c:axId val="79760768"/>
        <c:scaling>
          <c:orientation val="minMax"/>
        </c:scaling>
        <c:delete val="0"/>
        <c:axPos val="b"/>
        <c:numFmt formatCode="General" sourceLinked="0"/>
        <c:majorTickMark val="out"/>
        <c:minorTickMark val="none"/>
        <c:tickLblPos val="nextTo"/>
        <c:crossAx val="79762560"/>
        <c:crosses val="autoZero"/>
        <c:auto val="1"/>
        <c:lblAlgn val="ctr"/>
        <c:lblOffset val="100"/>
        <c:noMultiLvlLbl val="0"/>
      </c:catAx>
      <c:valAx>
        <c:axId val="79762560"/>
        <c:scaling>
          <c:orientation val="minMax"/>
          <c:max val="11000000"/>
          <c:min val="0"/>
        </c:scaling>
        <c:delete val="0"/>
        <c:axPos val="l"/>
        <c:majorGridlines/>
        <c:title>
          <c:tx>
            <c:rich>
              <a:bodyPr rot="-5400000" vert="horz"/>
              <a:lstStyle/>
              <a:p>
                <a:pPr>
                  <a:defRPr/>
                </a:pPr>
                <a:r>
                  <a:rPr lang="en-US"/>
                  <a:t>Metric Tons</a:t>
                </a:r>
                <a:r>
                  <a:rPr lang="en-US" baseline="0"/>
                  <a:t> (MT)</a:t>
                </a:r>
                <a:endParaRPr lang="en-US"/>
              </a:p>
            </c:rich>
          </c:tx>
          <c:overlay val="0"/>
        </c:title>
        <c:numFmt formatCode="#,##0" sourceLinked="0"/>
        <c:majorTickMark val="out"/>
        <c:minorTickMark val="none"/>
        <c:tickLblPos val="nextTo"/>
        <c:crossAx val="79760768"/>
        <c:crosses val="autoZero"/>
        <c:crossBetween val="between"/>
      </c:valAx>
      <c:spPr>
        <a:ln>
          <a:solidFill>
            <a:srgbClr val="4F81BD"/>
          </a:solidFill>
        </a:ln>
      </c:spPr>
    </c:plotArea>
    <c:legend>
      <c:legendPos val="b"/>
      <c:overlay val="0"/>
    </c:legend>
    <c:plotVisOnly val="1"/>
    <c:dispBlanksAs val="gap"/>
    <c:showDLblsOverMax val="0"/>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8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US" sz="2800"/>
              <a:t>Average Ethanol Carbon</a:t>
            </a:r>
            <a:r>
              <a:rPr lang="en-US" sz="2800" baseline="0"/>
              <a:t> Intensity Score</a:t>
            </a:r>
            <a:endParaRPr lang="en-US" sz="2800"/>
          </a:p>
        </c:rich>
      </c:tx>
      <c:overlay val="0"/>
      <c:spPr>
        <a:noFill/>
        <a:ln>
          <a:noFill/>
        </a:ln>
        <a:effectLst/>
      </c:spPr>
      <c:txPr>
        <a:bodyPr rot="0" spcFirstLastPara="1" vertOverflow="ellipsis" vert="horz" wrap="square" anchor="ctr" anchorCtr="1"/>
        <a:lstStyle/>
        <a:p>
          <a:pPr>
            <a:defRPr sz="28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9.2184696792419016E-2"/>
          <c:y val="0.12746300329480093"/>
          <c:w val="0.89444069742034504"/>
          <c:h val="0.66781039840917999"/>
        </c:manualLayout>
      </c:layout>
      <c:lineChart>
        <c:grouping val="standard"/>
        <c:varyColors val="0"/>
        <c:ser>
          <c:idx val="0"/>
          <c:order val="0"/>
          <c:tx>
            <c:strRef>
              <c:f>'Qrtly Credit-Deficit Generation'!$A$111</c:f>
              <c:strCache>
                <c:ptCount val="1"/>
                <c:pt idx="0">
                  <c:v>Ethanol</c:v>
                </c:pt>
              </c:strCache>
            </c:strRef>
          </c:tx>
          <c:spPr>
            <a:ln w="28575" cap="rnd">
              <a:solidFill>
                <a:srgbClr val="5D803B"/>
              </a:solidFill>
              <a:round/>
            </a:ln>
            <a:effectLst/>
          </c:spPr>
          <c:marker>
            <c:symbol val="circle"/>
            <c:size val="7"/>
            <c:spPr>
              <a:solidFill>
                <a:srgbClr val="5D803B"/>
              </a:solidFill>
              <a:ln w="9525">
                <a:solidFill>
                  <a:schemeClr val="tx1"/>
                </a:solidFill>
              </a:ln>
              <a:effectLst/>
            </c:spPr>
          </c:marker>
          <c:dPt>
            <c:idx val="43"/>
            <c:marker>
              <c:symbol val="circle"/>
              <c:size val="7"/>
              <c:spPr>
                <a:solidFill>
                  <a:srgbClr val="5D803B"/>
                </a:solidFill>
                <a:ln w="9525">
                  <a:solidFill>
                    <a:schemeClr val="tx1"/>
                  </a:solidFill>
                </a:ln>
                <a:effectLst/>
              </c:spPr>
            </c:marker>
            <c:bubble3D val="0"/>
            <c:spPr>
              <a:ln w="28575" cap="rnd">
                <a:solidFill>
                  <a:srgbClr val="5D803B"/>
                </a:solidFill>
                <a:prstDash val="solid"/>
                <a:round/>
              </a:ln>
              <a:effectLst/>
            </c:spPr>
            <c:extLst>
              <c:ext xmlns:c16="http://schemas.microsoft.com/office/drawing/2014/chart" uri="{C3380CC4-5D6E-409C-BE32-E72D297353CC}">
                <c16:uniqueId val="{00000001-D77C-4B4B-9449-72CCCEA1CC25}"/>
              </c:ext>
            </c:extLst>
          </c:dPt>
          <c:dPt>
            <c:idx val="44"/>
            <c:marker>
              <c:symbol val="circle"/>
              <c:size val="7"/>
              <c:spPr>
                <a:solidFill>
                  <a:srgbClr val="5D803B"/>
                </a:solidFill>
                <a:ln w="9525">
                  <a:solidFill>
                    <a:schemeClr val="tx1"/>
                  </a:solidFill>
                </a:ln>
                <a:effectLst/>
              </c:spPr>
            </c:marker>
            <c:bubble3D val="0"/>
            <c:spPr>
              <a:ln w="28575" cap="rnd">
                <a:solidFill>
                  <a:srgbClr val="5D803B"/>
                </a:solidFill>
                <a:prstDash val="solid"/>
                <a:round/>
              </a:ln>
              <a:effectLst/>
            </c:spPr>
            <c:extLst>
              <c:ext xmlns:c16="http://schemas.microsoft.com/office/drawing/2014/chart" uri="{C3380CC4-5D6E-409C-BE32-E72D297353CC}">
                <c16:uniqueId val="{00000003-D77C-4B4B-9449-72CCCEA1CC25}"/>
              </c:ext>
            </c:extLst>
          </c:dPt>
          <c:dPt>
            <c:idx val="45"/>
            <c:marker>
              <c:symbol val="circle"/>
              <c:size val="7"/>
              <c:spPr>
                <a:solidFill>
                  <a:srgbClr val="5D803B"/>
                </a:solidFill>
                <a:ln w="9525">
                  <a:solidFill>
                    <a:schemeClr val="tx1"/>
                  </a:solidFill>
                </a:ln>
                <a:effectLst/>
              </c:spPr>
            </c:marker>
            <c:bubble3D val="0"/>
            <c:spPr>
              <a:ln w="28575" cap="rnd">
                <a:solidFill>
                  <a:srgbClr val="5D803B"/>
                </a:solidFill>
                <a:prstDash val="solid"/>
                <a:round/>
              </a:ln>
              <a:effectLst/>
            </c:spPr>
            <c:extLst>
              <c:ext xmlns:c16="http://schemas.microsoft.com/office/drawing/2014/chart" uri="{C3380CC4-5D6E-409C-BE32-E72D297353CC}">
                <c16:uniqueId val="{00000005-D77C-4B4B-9449-72CCCEA1CC25}"/>
              </c:ext>
            </c:extLst>
          </c:dPt>
          <c:dPt>
            <c:idx val="46"/>
            <c:marker>
              <c:symbol val="circle"/>
              <c:size val="7"/>
              <c:spPr>
                <a:solidFill>
                  <a:srgbClr val="5D803B"/>
                </a:solidFill>
                <a:ln w="9525">
                  <a:solidFill>
                    <a:schemeClr val="tx1"/>
                  </a:solidFill>
                </a:ln>
                <a:effectLst/>
              </c:spPr>
            </c:marker>
            <c:bubble3D val="0"/>
            <c:spPr>
              <a:ln w="28575" cap="rnd">
                <a:solidFill>
                  <a:srgbClr val="5D803B"/>
                </a:solidFill>
                <a:prstDash val="solid"/>
                <a:round/>
              </a:ln>
              <a:effectLst/>
            </c:spPr>
            <c:extLst>
              <c:ext xmlns:c16="http://schemas.microsoft.com/office/drawing/2014/chart" uri="{C3380CC4-5D6E-409C-BE32-E72D297353CC}">
                <c16:uniqueId val="{00000007-D77C-4B4B-9449-72CCCEA1CC25}"/>
              </c:ext>
            </c:extLst>
          </c:dPt>
          <c:dPt>
            <c:idx val="47"/>
            <c:marker>
              <c:symbol val="circle"/>
              <c:size val="7"/>
              <c:spPr>
                <a:solidFill>
                  <a:srgbClr val="5D803B"/>
                </a:solidFill>
                <a:ln w="9525">
                  <a:solidFill>
                    <a:schemeClr val="tx1"/>
                  </a:solidFill>
                </a:ln>
                <a:effectLst/>
              </c:spPr>
            </c:marker>
            <c:bubble3D val="0"/>
            <c:spPr>
              <a:ln w="28575" cap="rnd">
                <a:solidFill>
                  <a:srgbClr val="5D803B"/>
                </a:solidFill>
                <a:prstDash val="solid"/>
                <a:round/>
              </a:ln>
              <a:effectLst/>
            </c:spPr>
            <c:extLst>
              <c:ext xmlns:c16="http://schemas.microsoft.com/office/drawing/2014/chart" uri="{C3380CC4-5D6E-409C-BE32-E72D297353CC}">
                <c16:uniqueId val="{00000009-D77C-4B4B-9449-72CCCEA1CC25}"/>
              </c:ext>
            </c:extLst>
          </c:dPt>
          <c:dPt>
            <c:idx val="48"/>
            <c:marker>
              <c:symbol val="circle"/>
              <c:size val="7"/>
              <c:spPr>
                <a:solidFill>
                  <a:srgbClr val="5D803B"/>
                </a:solidFill>
                <a:ln w="9525">
                  <a:solidFill>
                    <a:schemeClr val="tx1"/>
                  </a:solidFill>
                </a:ln>
                <a:effectLst/>
              </c:spPr>
            </c:marker>
            <c:bubble3D val="0"/>
            <c:spPr>
              <a:ln w="28575" cap="rnd">
                <a:solidFill>
                  <a:srgbClr val="5D803B"/>
                </a:solidFill>
                <a:prstDash val="solid"/>
                <a:round/>
              </a:ln>
              <a:effectLst/>
            </c:spPr>
            <c:extLst>
              <c:ext xmlns:c16="http://schemas.microsoft.com/office/drawing/2014/chart" uri="{C3380CC4-5D6E-409C-BE32-E72D297353CC}">
                <c16:uniqueId val="{0000000B-D77C-4B4B-9449-72CCCEA1CC25}"/>
              </c:ext>
            </c:extLst>
          </c:dPt>
          <c:dPt>
            <c:idx val="49"/>
            <c:marker>
              <c:symbol val="circle"/>
              <c:size val="7"/>
              <c:spPr>
                <a:solidFill>
                  <a:srgbClr val="5D803B"/>
                </a:solidFill>
                <a:ln w="9525">
                  <a:solidFill>
                    <a:schemeClr val="tx1"/>
                  </a:solidFill>
                </a:ln>
                <a:effectLst/>
              </c:spPr>
            </c:marker>
            <c:bubble3D val="0"/>
            <c:spPr>
              <a:ln w="28575" cap="rnd">
                <a:solidFill>
                  <a:srgbClr val="5D803B"/>
                </a:solidFill>
                <a:prstDash val="dash"/>
                <a:round/>
              </a:ln>
              <a:effectLst/>
            </c:spPr>
            <c:extLst>
              <c:ext xmlns:c16="http://schemas.microsoft.com/office/drawing/2014/chart" uri="{C3380CC4-5D6E-409C-BE32-E72D297353CC}">
                <c16:uniqueId val="{0000000D-D77C-4B4B-9449-72CCCEA1CC25}"/>
              </c:ext>
            </c:extLst>
          </c:dPt>
          <c:dPt>
            <c:idx val="50"/>
            <c:marker>
              <c:symbol val="circle"/>
              <c:size val="7"/>
              <c:spPr>
                <a:solidFill>
                  <a:srgbClr val="5D803B"/>
                </a:solidFill>
                <a:ln w="9525">
                  <a:solidFill>
                    <a:schemeClr val="tx1"/>
                  </a:solidFill>
                </a:ln>
                <a:effectLst/>
              </c:spPr>
            </c:marker>
            <c:bubble3D val="0"/>
            <c:spPr>
              <a:ln w="28575" cap="rnd">
                <a:solidFill>
                  <a:srgbClr val="5D803B"/>
                </a:solidFill>
                <a:prstDash val="solid"/>
                <a:round/>
              </a:ln>
              <a:effectLst/>
            </c:spPr>
            <c:extLst>
              <c:ext xmlns:c16="http://schemas.microsoft.com/office/drawing/2014/chart" uri="{C3380CC4-5D6E-409C-BE32-E72D297353CC}">
                <c16:uniqueId val="{0000000F-D77C-4B4B-9449-72CCCEA1CC25}"/>
              </c:ext>
            </c:extLst>
          </c:dPt>
          <c:dPt>
            <c:idx val="51"/>
            <c:marker>
              <c:symbol val="circle"/>
              <c:size val="7"/>
              <c:spPr>
                <a:solidFill>
                  <a:srgbClr val="5D803B"/>
                </a:solidFill>
                <a:ln w="9525">
                  <a:solidFill>
                    <a:schemeClr val="tx1"/>
                  </a:solidFill>
                </a:ln>
                <a:effectLst/>
              </c:spPr>
            </c:marker>
            <c:bubble3D val="0"/>
            <c:spPr>
              <a:ln w="28575" cap="rnd">
                <a:solidFill>
                  <a:srgbClr val="5D803B"/>
                </a:solidFill>
                <a:prstDash val="solid"/>
                <a:round/>
              </a:ln>
              <a:effectLst/>
            </c:spPr>
            <c:extLst>
              <c:ext xmlns:c16="http://schemas.microsoft.com/office/drawing/2014/chart" uri="{C3380CC4-5D6E-409C-BE32-E72D297353CC}">
                <c16:uniqueId val="{00000011-D77C-4B4B-9449-72CCCEA1CC25}"/>
              </c:ext>
            </c:extLst>
          </c:dPt>
          <c:cat>
            <c:strRef>
              <c:f>'Qrtly Credit-Deficit Generation'!$C$110:$BD$110</c:f>
              <c:strCache>
                <c:ptCount val="54"/>
                <c:pt idx="0">
                  <c:v>2011 Q1</c:v>
                </c:pt>
                <c:pt idx="1">
                  <c:v>Q2</c:v>
                </c:pt>
                <c:pt idx="2">
                  <c:v>Q3</c:v>
                </c:pt>
                <c:pt idx="3">
                  <c:v>Q4</c:v>
                </c:pt>
                <c:pt idx="4">
                  <c:v>2012 Q1</c:v>
                </c:pt>
                <c:pt idx="5">
                  <c:v>Q2</c:v>
                </c:pt>
                <c:pt idx="6">
                  <c:v>Q3</c:v>
                </c:pt>
                <c:pt idx="7">
                  <c:v>Q4</c:v>
                </c:pt>
                <c:pt idx="8">
                  <c:v>2013 Q1</c:v>
                </c:pt>
                <c:pt idx="9">
                  <c:v>Q2</c:v>
                </c:pt>
                <c:pt idx="10">
                  <c:v>Q3</c:v>
                </c:pt>
                <c:pt idx="11">
                  <c:v>Q4</c:v>
                </c:pt>
                <c:pt idx="12">
                  <c:v>2014 Q1</c:v>
                </c:pt>
                <c:pt idx="13">
                  <c:v>Q2</c:v>
                </c:pt>
                <c:pt idx="14">
                  <c:v>Q3</c:v>
                </c:pt>
                <c:pt idx="15">
                  <c:v>Q4</c:v>
                </c:pt>
                <c:pt idx="16">
                  <c:v>2015 Q1</c:v>
                </c:pt>
                <c:pt idx="17">
                  <c:v>Q2</c:v>
                </c:pt>
                <c:pt idx="18">
                  <c:v>Q3</c:v>
                </c:pt>
                <c:pt idx="19">
                  <c:v>Q4</c:v>
                </c:pt>
                <c:pt idx="20">
                  <c:v>2016 Q1</c:v>
                </c:pt>
                <c:pt idx="21">
                  <c:v>Q2</c:v>
                </c:pt>
                <c:pt idx="22">
                  <c:v>Q3</c:v>
                </c:pt>
                <c:pt idx="23">
                  <c:v>Q4</c:v>
                </c:pt>
                <c:pt idx="24">
                  <c:v>2017 Q1</c:v>
                </c:pt>
                <c:pt idx="25">
                  <c:v>Q2</c:v>
                </c:pt>
                <c:pt idx="26">
                  <c:v>Q3</c:v>
                </c:pt>
                <c:pt idx="27">
                  <c:v>Q4</c:v>
                </c:pt>
                <c:pt idx="28">
                  <c:v>2018 Q1</c:v>
                </c:pt>
                <c:pt idx="29">
                  <c:v>Q2</c:v>
                </c:pt>
                <c:pt idx="30">
                  <c:v>Q3</c:v>
                </c:pt>
                <c:pt idx="31">
                  <c:v>Q4</c:v>
                </c:pt>
                <c:pt idx="32">
                  <c:v>2019 Q1</c:v>
                </c:pt>
                <c:pt idx="33">
                  <c:v>Q2</c:v>
                </c:pt>
                <c:pt idx="34">
                  <c:v>Q3</c:v>
                </c:pt>
                <c:pt idx="35">
                  <c:v>Q4</c:v>
                </c:pt>
                <c:pt idx="36">
                  <c:v>2020 Q1</c:v>
                </c:pt>
                <c:pt idx="37">
                  <c:v>Q2</c:v>
                </c:pt>
                <c:pt idx="38">
                  <c:v>Q3</c:v>
                </c:pt>
                <c:pt idx="39">
                  <c:v>Q4</c:v>
                </c:pt>
                <c:pt idx="40">
                  <c:v>2021 Q1</c:v>
                </c:pt>
                <c:pt idx="41">
                  <c:v>Q2</c:v>
                </c:pt>
                <c:pt idx="42">
                  <c:v>Q3</c:v>
                </c:pt>
                <c:pt idx="43">
                  <c:v>Q4</c:v>
                </c:pt>
                <c:pt idx="44">
                  <c:v>2022 Q1</c:v>
                </c:pt>
                <c:pt idx="45">
                  <c:v>Q2</c:v>
                </c:pt>
                <c:pt idx="46">
                  <c:v>Q3</c:v>
                </c:pt>
                <c:pt idx="47">
                  <c:v>Q4</c:v>
                </c:pt>
                <c:pt idx="48">
                  <c:v>2023 Q1</c:v>
                </c:pt>
                <c:pt idx="49">
                  <c:v>Q2</c:v>
                </c:pt>
                <c:pt idx="50">
                  <c:v>Q3</c:v>
                </c:pt>
                <c:pt idx="51">
                  <c:v>Q4</c:v>
                </c:pt>
                <c:pt idx="52">
                  <c:v>2024Q1</c:v>
                </c:pt>
                <c:pt idx="53">
                  <c:v>Q2</c:v>
                </c:pt>
              </c:strCache>
            </c:strRef>
          </c:cat>
          <c:val>
            <c:numRef>
              <c:f>'Qrtly Credit-Deficit Generation'!$C$111:$BD$111</c:f>
              <c:numCache>
                <c:formatCode>0.00_);[Red]\(0.00\)</c:formatCode>
                <c:ptCount val="54"/>
                <c:pt idx="0">
                  <c:v>88.48</c:v>
                </c:pt>
                <c:pt idx="1">
                  <c:v>87.8</c:v>
                </c:pt>
                <c:pt idx="2">
                  <c:v>87</c:v>
                </c:pt>
                <c:pt idx="3">
                  <c:v>86.6</c:v>
                </c:pt>
                <c:pt idx="4">
                  <c:v>86.8</c:v>
                </c:pt>
                <c:pt idx="5">
                  <c:v>86.78</c:v>
                </c:pt>
                <c:pt idx="6">
                  <c:v>83.48</c:v>
                </c:pt>
                <c:pt idx="7">
                  <c:v>84.27</c:v>
                </c:pt>
                <c:pt idx="8">
                  <c:v>83.6</c:v>
                </c:pt>
                <c:pt idx="9">
                  <c:v>83.81</c:v>
                </c:pt>
                <c:pt idx="10">
                  <c:v>80.239999999999995</c:v>
                </c:pt>
                <c:pt idx="11">
                  <c:v>81.84</c:v>
                </c:pt>
                <c:pt idx="12">
                  <c:v>82.83</c:v>
                </c:pt>
                <c:pt idx="13">
                  <c:v>80.400000000000006</c:v>
                </c:pt>
                <c:pt idx="14">
                  <c:v>82.03</c:v>
                </c:pt>
                <c:pt idx="15">
                  <c:v>82.38</c:v>
                </c:pt>
                <c:pt idx="16">
                  <c:v>82.86</c:v>
                </c:pt>
                <c:pt idx="17">
                  <c:v>82.75</c:v>
                </c:pt>
                <c:pt idx="18">
                  <c:v>81.8</c:v>
                </c:pt>
                <c:pt idx="19">
                  <c:v>78.87</c:v>
                </c:pt>
                <c:pt idx="20">
                  <c:v>72.87</c:v>
                </c:pt>
                <c:pt idx="21">
                  <c:v>70.83</c:v>
                </c:pt>
                <c:pt idx="22">
                  <c:v>69.98</c:v>
                </c:pt>
                <c:pt idx="23">
                  <c:v>70.34</c:v>
                </c:pt>
                <c:pt idx="24">
                  <c:v>71.489999999999995</c:v>
                </c:pt>
                <c:pt idx="25">
                  <c:v>70.290000000000006</c:v>
                </c:pt>
                <c:pt idx="26">
                  <c:v>69.510000000000005</c:v>
                </c:pt>
                <c:pt idx="27">
                  <c:v>68.98</c:v>
                </c:pt>
                <c:pt idx="28">
                  <c:v>70.099999999999994</c:v>
                </c:pt>
                <c:pt idx="29">
                  <c:v>70.02</c:v>
                </c:pt>
                <c:pt idx="30">
                  <c:v>68.41</c:v>
                </c:pt>
                <c:pt idx="31">
                  <c:v>65.89</c:v>
                </c:pt>
                <c:pt idx="32">
                  <c:v>66</c:v>
                </c:pt>
                <c:pt idx="33">
                  <c:v>63.69</c:v>
                </c:pt>
                <c:pt idx="34">
                  <c:v>59.33</c:v>
                </c:pt>
                <c:pt idx="35">
                  <c:v>59.46</c:v>
                </c:pt>
                <c:pt idx="36">
                  <c:v>60.34</c:v>
                </c:pt>
                <c:pt idx="37">
                  <c:v>62.13</c:v>
                </c:pt>
                <c:pt idx="38">
                  <c:v>57.77</c:v>
                </c:pt>
                <c:pt idx="39">
                  <c:v>57.69</c:v>
                </c:pt>
                <c:pt idx="40">
                  <c:v>60.66</c:v>
                </c:pt>
                <c:pt idx="41">
                  <c:v>60.87</c:v>
                </c:pt>
                <c:pt idx="42">
                  <c:v>59.45</c:v>
                </c:pt>
                <c:pt idx="43">
                  <c:v>58.8</c:v>
                </c:pt>
                <c:pt idx="44">
                  <c:v>58.47</c:v>
                </c:pt>
                <c:pt idx="45">
                  <c:v>59.71</c:v>
                </c:pt>
                <c:pt idx="46">
                  <c:v>59.39</c:v>
                </c:pt>
                <c:pt idx="47">
                  <c:v>59.168167502801701</c:v>
                </c:pt>
                <c:pt idx="48" formatCode="General">
                  <c:v>60.09</c:v>
                </c:pt>
                <c:pt idx="49" formatCode="General">
                  <c:v>60.47</c:v>
                </c:pt>
                <c:pt idx="50" formatCode="General">
                  <c:v>61.32</c:v>
                </c:pt>
                <c:pt idx="51" formatCode="General">
                  <c:v>58.3</c:v>
                </c:pt>
                <c:pt idx="52" formatCode="General">
                  <c:v>59.16</c:v>
                </c:pt>
                <c:pt idx="53" formatCode="General">
                  <c:v>57.51</c:v>
                </c:pt>
              </c:numCache>
            </c:numRef>
          </c:val>
          <c:smooth val="0"/>
          <c:extLst>
            <c:ext xmlns:c16="http://schemas.microsoft.com/office/drawing/2014/chart" uri="{C3380CC4-5D6E-409C-BE32-E72D297353CC}">
              <c16:uniqueId val="{00000012-D77C-4B4B-9449-72CCCEA1CC25}"/>
            </c:ext>
          </c:extLst>
        </c:ser>
        <c:dLbls>
          <c:showLegendKey val="0"/>
          <c:showVal val="0"/>
          <c:showCatName val="0"/>
          <c:showSerName val="0"/>
          <c:showPercent val="0"/>
          <c:showBubbleSize val="0"/>
        </c:dLbls>
        <c:marker val="1"/>
        <c:smooth val="0"/>
        <c:axId val="79620736"/>
        <c:axId val="80548224"/>
      </c:lineChart>
      <c:catAx>
        <c:axId val="79620736"/>
        <c:scaling>
          <c:orientation val="minMax"/>
        </c:scaling>
        <c:delete val="0"/>
        <c:axPos val="b"/>
        <c:numFmt formatCode="General" sourceLinked="1"/>
        <c:majorTickMark val="none"/>
        <c:minorTickMark val="none"/>
        <c:tickLblPos val="nextTo"/>
        <c:spPr>
          <a:noFill/>
          <a:ln w="9525" cap="flat" cmpd="sng" algn="ctr">
            <a:solidFill>
              <a:srgbClr val="5D803B"/>
            </a:solidFill>
            <a:round/>
          </a:ln>
          <a:effectLst/>
        </c:spPr>
        <c:txPr>
          <a:bodyPr rot="-5400000" spcFirstLastPara="1" vertOverflow="ellipsis" wrap="square" anchor="ctr" anchorCtr="1"/>
          <a:lstStyle/>
          <a:p>
            <a:pPr>
              <a:defRPr sz="14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80548224"/>
        <c:crosses val="autoZero"/>
        <c:auto val="1"/>
        <c:lblAlgn val="ctr"/>
        <c:lblOffset val="100"/>
        <c:noMultiLvlLbl val="0"/>
      </c:catAx>
      <c:valAx>
        <c:axId val="80548224"/>
        <c:scaling>
          <c:orientation val="minMax"/>
          <c:min val="50"/>
        </c:scaling>
        <c:delete val="0"/>
        <c:axPos val="l"/>
        <c:majorGridlines>
          <c:spPr>
            <a:ln w="9525" cap="flat" cmpd="sng" algn="ctr">
              <a:solidFill>
                <a:schemeClr val="bg1">
                  <a:lumMod val="65000"/>
                </a:schemeClr>
              </a:solidFill>
              <a:round/>
            </a:ln>
            <a:effectLst/>
          </c:spPr>
        </c:majorGridlines>
        <c:title>
          <c:tx>
            <c:rich>
              <a:bodyPr rot="-5400000" spcFirstLastPara="1" vertOverflow="ellipsis" vert="horz" wrap="square" anchor="ctr" anchorCtr="1"/>
              <a:lstStyle/>
              <a:p>
                <a:pPr>
                  <a:defRPr sz="10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000"/>
                  <a:t>(average CI</a:t>
                </a:r>
                <a:r>
                  <a:rPr lang="en-US" sz="1000" baseline="0"/>
                  <a:t> score)</a:t>
                </a:r>
                <a:endParaRPr lang="en-US" sz="1000"/>
              </a:p>
            </c:rich>
          </c:tx>
          <c:layout>
            <c:manualLayout>
              <c:xMode val="edge"/>
              <c:yMode val="edge"/>
              <c:x val="0"/>
              <c:y val="0.33363768358742391"/>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00_);[Red]\(0.00\)"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9620736"/>
        <c:crosses val="autoZero"/>
        <c:crossBetween val="between"/>
      </c:valAx>
      <c:spPr>
        <a:noFill/>
        <a:ln>
          <a:solidFill>
            <a:srgbClr val="5D803B"/>
          </a:solidFill>
        </a:ln>
        <a:effectLst/>
      </c:spPr>
    </c:plotArea>
    <c:plotVisOnly val="1"/>
    <c:dispBlanksAs val="gap"/>
    <c:showDLblsOverMax val="0"/>
  </c:chart>
  <c:spPr>
    <a:solidFill>
      <a:schemeClr val="bg1"/>
    </a:solidFill>
    <a:ln w="9525" cap="flat" cmpd="sng" algn="ctr">
      <a:noFill/>
      <a:round/>
    </a:ln>
    <a:effectLst/>
  </c:spPr>
  <c:txPr>
    <a:bodyPr/>
    <a:lstStyle/>
    <a:p>
      <a:pPr>
        <a:defRPr sz="1400" b="1">
          <a:solidFill>
            <a:sysClr val="windowText" lastClr="000000"/>
          </a:solidFill>
          <a:latin typeface="Arial" panose="020B0604020202020204" pitchFamily="34" charset="0"/>
          <a:cs typeface="Arial" panose="020B0604020202020204" pitchFamily="34" charset="0"/>
        </a:defRPr>
      </a:pPr>
      <a:endParaRPr lang="en-US"/>
    </a:p>
  </c:txPr>
  <c:userShapes r:id="rId3"/>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US" sz="2400"/>
              <a:t>Average Renewable Diesel Carbon Intensity</a:t>
            </a:r>
          </a:p>
        </c:rich>
      </c:tx>
      <c:overlay val="0"/>
      <c:spPr>
        <a:noFill/>
        <a:ln>
          <a:noFill/>
        </a:ln>
        <a:effectLst/>
      </c:spPr>
      <c:txPr>
        <a:bodyPr rot="0" spcFirstLastPara="1" vertOverflow="ellipsis" vert="horz" wrap="square" anchor="ctr" anchorCtr="1"/>
        <a:lstStyle/>
        <a:p>
          <a:pPr>
            <a:defRPr sz="24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00296427339762"/>
          <c:y val="9.966058887900954E-2"/>
          <c:w val="0.88387282582656101"/>
          <c:h val="0.68505755640576149"/>
        </c:manualLayout>
      </c:layout>
      <c:lineChart>
        <c:grouping val="standard"/>
        <c:varyColors val="0"/>
        <c:ser>
          <c:idx val="0"/>
          <c:order val="0"/>
          <c:tx>
            <c:strRef>
              <c:f>'Qrtly Credit-Deficit Generation'!$A$113</c:f>
              <c:strCache>
                <c:ptCount val="1"/>
                <c:pt idx="0">
                  <c:v>Renewable Diesel</c:v>
                </c:pt>
              </c:strCache>
            </c:strRef>
          </c:tx>
          <c:spPr>
            <a:ln w="28575" cap="rnd">
              <a:solidFill>
                <a:srgbClr val="5D803B"/>
              </a:solidFill>
              <a:round/>
            </a:ln>
            <a:effectLst/>
          </c:spPr>
          <c:marker>
            <c:symbol val="circle"/>
            <c:size val="7"/>
            <c:spPr>
              <a:solidFill>
                <a:srgbClr val="5D803B"/>
              </a:solidFill>
              <a:ln w="9525">
                <a:solidFill>
                  <a:schemeClr val="tx1"/>
                </a:solidFill>
              </a:ln>
              <a:effectLst/>
            </c:spPr>
          </c:marker>
          <c:dPt>
            <c:idx val="43"/>
            <c:marker>
              <c:symbol val="circle"/>
              <c:size val="7"/>
              <c:spPr>
                <a:solidFill>
                  <a:srgbClr val="5D803B"/>
                </a:solidFill>
                <a:ln w="9525">
                  <a:solidFill>
                    <a:schemeClr val="tx1"/>
                  </a:solidFill>
                </a:ln>
                <a:effectLst/>
              </c:spPr>
            </c:marker>
            <c:bubble3D val="0"/>
            <c:spPr>
              <a:ln w="28575" cap="rnd">
                <a:solidFill>
                  <a:srgbClr val="5D803B"/>
                </a:solidFill>
                <a:prstDash val="solid"/>
                <a:round/>
              </a:ln>
              <a:effectLst/>
            </c:spPr>
            <c:extLst>
              <c:ext xmlns:c16="http://schemas.microsoft.com/office/drawing/2014/chart" uri="{C3380CC4-5D6E-409C-BE32-E72D297353CC}">
                <c16:uniqueId val="{00000001-7104-4EBD-B4D4-259170A9BE20}"/>
              </c:ext>
            </c:extLst>
          </c:dPt>
          <c:dPt>
            <c:idx val="44"/>
            <c:marker>
              <c:symbol val="circle"/>
              <c:size val="7"/>
              <c:spPr>
                <a:solidFill>
                  <a:srgbClr val="5D803B"/>
                </a:solidFill>
                <a:ln w="9525">
                  <a:solidFill>
                    <a:schemeClr val="tx1"/>
                  </a:solidFill>
                </a:ln>
                <a:effectLst/>
              </c:spPr>
            </c:marker>
            <c:bubble3D val="0"/>
            <c:spPr>
              <a:ln w="28575" cap="rnd">
                <a:solidFill>
                  <a:srgbClr val="5D803B"/>
                </a:solidFill>
                <a:prstDash val="solid"/>
                <a:round/>
              </a:ln>
              <a:effectLst/>
            </c:spPr>
            <c:extLst>
              <c:ext xmlns:c16="http://schemas.microsoft.com/office/drawing/2014/chart" uri="{C3380CC4-5D6E-409C-BE32-E72D297353CC}">
                <c16:uniqueId val="{00000003-7104-4EBD-B4D4-259170A9BE20}"/>
              </c:ext>
            </c:extLst>
          </c:dPt>
          <c:dPt>
            <c:idx val="45"/>
            <c:marker>
              <c:symbol val="circle"/>
              <c:size val="7"/>
              <c:spPr>
                <a:solidFill>
                  <a:srgbClr val="5D803B"/>
                </a:solidFill>
                <a:ln w="9525">
                  <a:solidFill>
                    <a:schemeClr val="tx1"/>
                  </a:solidFill>
                </a:ln>
                <a:effectLst/>
              </c:spPr>
            </c:marker>
            <c:bubble3D val="0"/>
            <c:spPr>
              <a:ln w="28575" cap="rnd">
                <a:solidFill>
                  <a:srgbClr val="5D803B"/>
                </a:solidFill>
                <a:prstDash val="solid"/>
                <a:round/>
              </a:ln>
              <a:effectLst/>
            </c:spPr>
            <c:extLst>
              <c:ext xmlns:c16="http://schemas.microsoft.com/office/drawing/2014/chart" uri="{C3380CC4-5D6E-409C-BE32-E72D297353CC}">
                <c16:uniqueId val="{00000005-7104-4EBD-B4D4-259170A9BE20}"/>
              </c:ext>
            </c:extLst>
          </c:dPt>
          <c:dPt>
            <c:idx val="46"/>
            <c:marker>
              <c:symbol val="circle"/>
              <c:size val="7"/>
              <c:spPr>
                <a:solidFill>
                  <a:srgbClr val="5D803B"/>
                </a:solidFill>
                <a:ln w="9525">
                  <a:solidFill>
                    <a:schemeClr val="tx1"/>
                  </a:solidFill>
                </a:ln>
                <a:effectLst/>
              </c:spPr>
            </c:marker>
            <c:bubble3D val="0"/>
            <c:spPr>
              <a:ln w="28575" cap="rnd">
                <a:solidFill>
                  <a:srgbClr val="5D803B"/>
                </a:solidFill>
                <a:prstDash val="solid"/>
                <a:round/>
              </a:ln>
              <a:effectLst/>
            </c:spPr>
            <c:extLst>
              <c:ext xmlns:c16="http://schemas.microsoft.com/office/drawing/2014/chart" uri="{C3380CC4-5D6E-409C-BE32-E72D297353CC}">
                <c16:uniqueId val="{00000007-7104-4EBD-B4D4-259170A9BE20}"/>
              </c:ext>
            </c:extLst>
          </c:dPt>
          <c:dPt>
            <c:idx val="47"/>
            <c:marker>
              <c:symbol val="circle"/>
              <c:size val="7"/>
              <c:spPr>
                <a:solidFill>
                  <a:srgbClr val="5D803B"/>
                </a:solidFill>
                <a:ln w="9525">
                  <a:solidFill>
                    <a:schemeClr val="tx1"/>
                  </a:solidFill>
                </a:ln>
                <a:effectLst/>
              </c:spPr>
            </c:marker>
            <c:bubble3D val="0"/>
            <c:spPr>
              <a:ln w="28575" cap="rnd">
                <a:solidFill>
                  <a:srgbClr val="5D803B"/>
                </a:solidFill>
                <a:prstDash val="solid"/>
                <a:round/>
              </a:ln>
              <a:effectLst/>
            </c:spPr>
            <c:extLst>
              <c:ext xmlns:c16="http://schemas.microsoft.com/office/drawing/2014/chart" uri="{C3380CC4-5D6E-409C-BE32-E72D297353CC}">
                <c16:uniqueId val="{00000009-7104-4EBD-B4D4-259170A9BE20}"/>
              </c:ext>
            </c:extLst>
          </c:dPt>
          <c:dPt>
            <c:idx val="48"/>
            <c:marker>
              <c:symbol val="circle"/>
              <c:size val="7"/>
              <c:spPr>
                <a:solidFill>
                  <a:srgbClr val="5D803B"/>
                </a:solidFill>
                <a:ln w="9525">
                  <a:solidFill>
                    <a:schemeClr val="tx1"/>
                  </a:solidFill>
                </a:ln>
                <a:effectLst/>
              </c:spPr>
            </c:marker>
            <c:bubble3D val="0"/>
            <c:spPr>
              <a:ln w="28575" cap="rnd">
                <a:solidFill>
                  <a:srgbClr val="5D803B"/>
                </a:solidFill>
                <a:prstDash val="solid"/>
                <a:round/>
              </a:ln>
              <a:effectLst/>
            </c:spPr>
            <c:extLst>
              <c:ext xmlns:c16="http://schemas.microsoft.com/office/drawing/2014/chart" uri="{C3380CC4-5D6E-409C-BE32-E72D297353CC}">
                <c16:uniqueId val="{0000000B-7104-4EBD-B4D4-259170A9BE20}"/>
              </c:ext>
            </c:extLst>
          </c:dPt>
          <c:dPt>
            <c:idx val="49"/>
            <c:marker>
              <c:symbol val="circle"/>
              <c:size val="7"/>
              <c:spPr>
                <a:solidFill>
                  <a:srgbClr val="5D803B"/>
                </a:solidFill>
                <a:ln w="9525">
                  <a:solidFill>
                    <a:schemeClr val="tx1"/>
                  </a:solidFill>
                </a:ln>
                <a:effectLst/>
              </c:spPr>
            </c:marker>
            <c:bubble3D val="0"/>
            <c:spPr>
              <a:ln w="28575" cap="rnd">
                <a:solidFill>
                  <a:srgbClr val="5D803B"/>
                </a:solidFill>
                <a:prstDash val="solid"/>
                <a:round/>
              </a:ln>
              <a:effectLst/>
            </c:spPr>
            <c:extLst>
              <c:ext xmlns:c16="http://schemas.microsoft.com/office/drawing/2014/chart" uri="{C3380CC4-5D6E-409C-BE32-E72D297353CC}">
                <c16:uniqueId val="{0000000D-7104-4EBD-B4D4-259170A9BE20}"/>
              </c:ext>
            </c:extLst>
          </c:dPt>
          <c:dPt>
            <c:idx val="50"/>
            <c:marker>
              <c:symbol val="circle"/>
              <c:size val="7"/>
              <c:spPr>
                <a:solidFill>
                  <a:srgbClr val="5D803B"/>
                </a:solidFill>
                <a:ln w="9525">
                  <a:solidFill>
                    <a:schemeClr val="tx1"/>
                  </a:solidFill>
                </a:ln>
                <a:effectLst/>
              </c:spPr>
            </c:marker>
            <c:bubble3D val="0"/>
            <c:spPr>
              <a:ln w="28575" cap="rnd">
                <a:solidFill>
                  <a:srgbClr val="5D803B"/>
                </a:solidFill>
                <a:prstDash val="solid"/>
                <a:round/>
              </a:ln>
              <a:effectLst/>
            </c:spPr>
            <c:extLst>
              <c:ext xmlns:c16="http://schemas.microsoft.com/office/drawing/2014/chart" uri="{C3380CC4-5D6E-409C-BE32-E72D297353CC}">
                <c16:uniqueId val="{0000000F-7104-4EBD-B4D4-259170A9BE20}"/>
              </c:ext>
            </c:extLst>
          </c:dPt>
          <c:dPt>
            <c:idx val="51"/>
            <c:marker>
              <c:symbol val="circle"/>
              <c:size val="7"/>
              <c:spPr>
                <a:solidFill>
                  <a:srgbClr val="5D803B"/>
                </a:solidFill>
                <a:ln w="9525">
                  <a:solidFill>
                    <a:schemeClr val="tx1"/>
                  </a:solidFill>
                </a:ln>
                <a:effectLst/>
              </c:spPr>
            </c:marker>
            <c:bubble3D val="0"/>
            <c:spPr>
              <a:ln w="28575" cap="rnd">
                <a:solidFill>
                  <a:srgbClr val="5D803B"/>
                </a:solidFill>
                <a:prstDash val="solid"/>
                <a:round/>
              </a:ln>
              <a:effectLst/>
            </c:spPr>
            <c:extLst>
              <c:ext xmlns:c16="http://schemas.microsoft.com/office/drawing/2014/chart" uri="{C3380CC4-5D6E-409C-BE32-E72D297353CC}">
                <c16:uniqueId val="{00000011-7104-4EBD-B4D4-259170A9BE20}"/>
              </c:ext>
            </c:extLst>
          </c:dPt>
          <c:cat>
            <c:strRef>
              <c:f>'Qrtly Credit-Deficit Generation'!$C$110:$BD$110</c:f>
              <c:strCache>
                <c:ptCount val="54"/>
                <c:pt idx="0">
                  <c:v>2011 Q1</c:v>
                </c:pt>
                <c:pt idx="1">
                  <c:v>Q2</c:v>
                </c:pt>
                <c:pt idx="2">
                  <c:v>Q3</c:v>
                </c:pt>
                <c:pt idx="3">
                  <c:v>Q4</c:v>
                </c:pt>
                <c:pt idx="4">
                  <c:v>2012 Q1</c:v>
                </c:pt>
                <c:pt idx="5">
                  <c:v>Q2</c:v>
                </c:pt>
                <c:pt idx="6">
                  <c:v>Q3</c:v>
                </c:pt>
                <c:pt idx="7">
                  <c:v>Q4</c:v>
                </c:pt>
                <c:pt idx="8">
                  <c:v>2013 Q1</c:v>
                </c:pt>
                <c:pt idx="9">
                  <c:v>Q2</c:v>
                </c:pt>
                <c:pt idx="10">
                  <c:v>Q3</c:v>
                </c:pt>
                <c:pt idx="11">
                  <c:v>Q4</c:v>
                </c:pt>
                <c:pt idx="12">
                  <c:v>2014 Q1</c:v>
                </c:pt>
                <c:pt idx="13">
                  <c:v>Q2</c:v>
                </c:pt>
                <c:pt idx="14">
                  <c:v>Q3</c:v>
                </c:pt>
                <c:pt idx="15">
                  <c:v>Q4</c:v>
                </c:pt>
                <c:pt idx="16">
                  <c:v>2015 Q1</c:v>
                </c:pt>
                <c:pt idx="17">
                  <c:v>Q2</c:v>
                </c:pt>
                <c:pt idx="18">
                  <c:v>Q3</c:v>
                </c:pt>
                <c:pt idx="19">
                  <c:v>Q4</c:v>
                </c:pt>
                <c:pt idx="20">
                  <c:v>2016 Q1</c:v>
                </c:pt>
                <c:pt idx="21">
                  <c:v>Q2</c:v>
                </c:pt>
                <c:pt idx="22">
                  <c:v>Q3</c:v>
                </c:pt>
                <c:pt idx="23">
                  <c:v>Q4</c:v>
                </c:pt>
                <c:pt idx="24">
                  <c:v>2017 Q1</c:v>
                </c:pt>
                <c:pt idx="25">
                  <c:v>Q2</c:v>
                </c:pt>
                <c:pt idx="26">
                  <c:v>Q3</c:v>
                </c:pt>
                <c:pt idx="27">
                  <c:v>Q4</c:v>
                </c:pt>
                <c:pt idx="28">
                  <c:v>2018 Q1</c:v>
                </c:pt>
                <c:pt idx="29">
                  <c:v>Q2</c:v>
                </c:pt>
                <c:pt idx="30">
                  <c:v>Q3</c:v>
                </c:pt>
                <c:pt idx="31">
                  <c:v>Q4</c:v>
                </c:pt>
                <c:pt idx="32">
                  <c:v>2019 Q1</c:v>
                </c:pt>
                <c:pt idx="33">
                  <c:v>Q2</c:v>
                </c:pt>
                <c:pt idx="34">
                  <c:v>Q3</c:v>
                </c:pt>
                <c:pt idx="35">
                  <c:v>Q4</c:v>
                </c:pt>
                <c:pt idx="36">
                  <c:v>2020 Q1</c:v>
                </c:pt>
                <c:pt idx="37">
                  <c:v>Q2</c:v>
                </c:pt>
                <c:pt idx="38">
                  <c:v>Q3</c:v>
                </c:pt>
                <c:pt idx="39">
                  <c:v>Q4</c:v>
                </c:pt>
                <c:pt idx="40">
                  <c:v>2021 Q1</c:v>
                </c:pt>
                <c:pt idx="41">
                  <c:v>Q2</c:v>
                </c:pt>
                <c:pt idx="42">
                  <c:v>Q3</c:v>
                </c:pt>
                <c:pt idx="43">
                  <c:v>Q4</c:v>
                </c:pt>
                <c:pt idx="44">
                  <c:v>2022 Q1</c:v>
                </c:pt>
                <c:pt idx="45">
                  <c:v>Q2</c:v>
                </c:pt>
                <c:pt idx="46">
                  <c:v>Q3</c:v>
                </c:pt>
                <c:pt idx="47">
                  <c:v>Q4</c:v>
                </c:pt>
                <c:pt idx="48">
                  <c:v>2023 Q1</c:v>
                </c:pt>
                <c:pt idx="49">
                  <c:v>Q2</c:v>
                </c:pt>
                <c:pt idx="50">
                  <c:v>Q3</c:v>
                </c:pt>
                <c:pt idx="51">
                  <c:v>Q4</c:v>
                </c:pt>
                <c:pt idx="52">
                  <c:v>2024Q1</c:v>
                </c:pt>
                <c:pt idx="53">
                  <c:v>Q2</c:v>
                </c:pt>
              </c:strCache>
            </c:strRef>
          </c:cat>
          <c:val>
            <c:numRef>
              <c:f>'Qrtly Credit-Deficit Generation'!$C$113:$BD$113</c:f>
              <c:numCache>
                <c:formatCode>0.00_);[Red]\(0.00\)</c:formatCode>
                <c:ptCount val="54"/>
                <c:pt idx="0">
                  <c:v>19.649999999999999</c:v>
                </c:pt>
                <c:pt idx="1">
                  <c:v>19.649999999999999</c:v>
                </c:pt>
                <c:pt idx="2">
                  <c:v>19.649999999999999</c:v>
                </c:pt>
                <c:pt idx="3">
                  <c:v>19.649999999999999</c:v>
                </c:pt>
                <c:pt idx="4">
                  <c:v>19.649999999999999</c:v>
                </c:pt>
                <c:pt idx="5">
                  <c:v>19.649999999999999</c:v>
                </c:pt>
                <c:pt idx="6">
                  <c:v>19.649999999999999</c:v>
                </c:pt>
                <c:pt idx="7">
                  <c:v>32.11</c:v>
                </c:pt>
                <c:pt idx="8">
                  <c:v>34.65</c:v>
                </c:pt>
                <c:pt idx="9">
                  <c:v>37.1</c:v>
                </c:pt>
                <c:pt idx="10">
                  <c:v>41.86</c:v>
                </c:pt>
                <c:pt idx="11">
                  <c:v>52.18</c:v>
                </c:pt>
                <c:pt idx="12">
                  <c:v>38.159999999999997</c:v>
                </c:pt>
                <c:pt idx="13">
                  <c:v>34.32</c:v>
                </c:pt>
                <c:pt idx="14">
                  <c:v>40.53</c:v>
                </c:pt>
                <c:pt idx="15">
                  <c:v>36.840000000000003</c:v>
                </c:pt>
                <c:pt idx="16">
                  <c:v>37.26</c:v>
                </c:pt>
                <c:pt idx="17">
                  <c:v>50.63</c:v>
                </c:pt>
                <c:pt idx="18">
                  <c:v>51.06</c:v>
                </c:pt>
                <c:pt idx="19">
                  <c:v>46.56</c:v>
                </c:pt>
                <c:pt idx="20">
                  <c:v>52.89</c:v>
                </c:pt>
                <c:pt idx="21">
                  <c:v>31.78</c:v>
                </c:pt>
                <c:pt idx="22">
                  <c:v>30.2</c:v>
                </c:pt>
                <c:pt idx="23">
                  <c:v>30.71</c:v>
                </c:pt>
                <c:pt idx="24">
                  <c:v>30.11</c:v>
                </c:pt>
                <c:pt idx="25">
                  <c:v>30.23</c:v>
                </c:pt>
                <c:pt idx="26">
                  <c:v>30.39</c:v>
                </c:pt>
                <c:pt idx="27">
                  <c:v>30.9</c:v>
                </c:pt>
                <c:pt idx="28">
                  <c:v>30.9</c:v>
                </c:pt>
                <c:pt idx="29">
                  <c:v>31.53</c:v>
                </c:pt>
                <c:pt idx="30">
                  <c:v>32.200000000000003</c:v>
                </c:pt>
                <c:pt idx="31">
                  <c:v>34.049999999999997</c:v>
                </c:pt>
                <c:pt idx="32">
                  <c:v>36.39</c:v>
                </c:pt>
                <c:pt idx="33">
                  <c:v>34.25</c:v>
                </c:pt>
                <c:pt idx="34">
                  <c:v>33.58</c:v>
                </c:pt>
                <c:pt idx="35">
                  <c:v>34.119999999999997</c:v>
                </c:pt>
                <c:pt idx="36">
                  <c:v>32.11</c:v>
                </c:pt>
                <c:pt idx="37">
                  <c:v>35.049999999999997</c:v>
                </c:pt>
                <c:pt idx="38">
                  <c:v>32.1</c:v>
                </c:pt>
                <c:pt idx="39">
                  <c:v>32.880000000000003</c:v>
                </c:pt>
                <c:pt idx="40">
                  <c:v>36.159999999999997</c:v>
                </c:pt>
                <c:pt idx="41">
                  <c:v>38.659999999999997</c:v>
                </c:pt>
                <c:pt idx="42">
                  <c:v>38.520000000000003</c:v>
                </c:pt>
                <c:pt idx="43">
                  <c:v>38.08</c:v>
                </c:pt>
                <c:pt idx="44">
                  <c:v>35.6</c:v>
                </c:pt>
                <c:pt idx="45">
                  <c:v>35.96</c:v>
                </c:pt>
                <c:pt idx="46">
                  <c:v>38.01</c:v>
                </c:pt>
                <c:pt idx="47">
                  <c:v>38.293093233450428</c:v>
                </c:pt>
                <c:pt idx="48" formatCode="General">
                  <c:v>41.51</c:v>
                </c:pt>
                <c:pt idx="49" formatCode="General">
                  <c:v>43.74</c:v>
                </c:pt>
                <c:pt idx="50" formatCode="General">
                  <c:v>43.01</c:v>
                </c:pt>
                <c:pt idx="51" formatCode="General">
                  <c:v>41.62</c:v>
                </c:pt>
                <c:pt idx="52" formatCode="General">
                  <c:v>41.27</c:v>
                </c:pt>
                <c:pt idx="53" formatCode="General">
                  <c:v>43.24</c:v>
                </c:pt>
              </c:numCache>
            </c:numRef>
          </c:val>
          <c:smooth val="0"/>
          <c:extLst>
            <c:ext xmlns:c16="http://schemas.microsoft.com/office/drawing/2014/chart" uri="{C3380CC4-5D6E-409C-BE32-E72D297353CC}">
              <c16:uniqueId val="{00000012-7104-4EBD-B4D4-259170A9BE20}"/>
            </c:ext>
          </c:extLst>
        </c:ser>
        <c:dLbls>
          <c:showLegendKey val="0"/>
          <c:showVal val="0"/>
          <c:showCatName val="0"/>
          <c:showSerName val="0"/>
          <c:showPercent val="0"/>
          <c:showBubbleSize val="0"/>
        </c:dLbls>
        <c:marker val="1"/>
        <c:smooth val="0"/>
        <c:axId val="79620736"/>
        <c:axId val="80548224"/>
      </c:lineChart>
      <c:catAx>
        <c:axId val="79620736"/>
        <c:scaling>
          <c:orientation val="minMax"/>
        </c:scaling>
        <c:delete val="0"/>
        <c:axPos val="b"/>
        <c:numFmt formatCode="General" sourceLinked="1"/>
        <c:majorTickMark val="none"/>
        <c:minorTickMark val="none"/>
        <c:tickLblPos val="nextTo"/>
        <c:spPr>
          <a:noFill/>
          <a:ln w="9525" cap="flat" cmpd="sng" algn="ctr">
            <a:solidFill>
              <a:srgbClr val="5D803B"/>
            </a:solidFill>
            <a:round/>
          </a:ln>
          <a:effectLst/>
        </c:spPr>
        <c:txPr>
          <a:bodyPr rot="-5400000" spcFirstLastPara="1" vertOverflow="ellipsis" wrap="square" anchor="ctr" anchorCtr="1"/>
          <a:lstStyle/>
          <a:p>
            <a:pPr>
              <a:defRPr sz="14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80548224"/>
        <c:crosses val="autoZero"/>
        <c:auto val="1"/>
        <c:lblAlgn val="ctr"/>
        <c:lblOffset val="100"/>
        <c:noMultiLvlLbl val="0"/>
      </c:catAx>
      <c:valAx>
        <c:axId val="80548224"/>
        <c:scaling>
          <c:orientation val="minMax"/>
        </c:scaling>
        <c:delete val="0"/>
        <c:axPos val="l"/>
        <c:majorGridlines>
          <c:spPr>
            <a:ln w="9525" cap="flat" cmpd="sng" algn="ctr">
              <a:solidFill>
                <a:schemeClr val="bg1">
                  <a:lumMod val="65000"/>
                </a:schemeClr>
              </a:solidFill>
              <a:round/>
            </a:ln>
            <a:effectLst/>
          </c:spPr>
        </c:majorGridlines>
        <c:title>
          <c:tx>
            <c:rich>
              <a:bodyPr rot="-5400000" spcFirstLastPara="1" vertOverflow="ellipsis" vert="horz" wrap="square" anchor="ctr" anchorCtr="1"/>
              <a:lstStyle/>
              <a:p>
                <a:pPr>
                  <a:defRPr sz="14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a:t>(average</a:t>
                </a:r>
                <a:r>
                  <a:rPr lang="en-US" baseline="0"/>
                  <a:t> CI score)</a:t>
                </a:r>
                <a:endParaRPr lang="en-US"/>
              </a:p>
            </c:rich>
          </c:tx>
          <c:overlay val="0"/>
          <c:spPr>
            <a:noFill/>
            <a:ln>
              <a:noFill/>
            </a:ln>
            <a:effectLst/>
          </c:spPr>
          <c:txPr>
            <a:bodyPr rot="-5400000" spcFirstLastPara="1" vertOverflow="ellipsis" vert="horz" wrap="square" anchor="ctr" anchorCtr="1"/>
            <a:lstStyle/>
            <a:p>
              <a:pPr>
                <a:defRPr sz="14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00_);[Red]\(0.00\)"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9620736"/>
        <c:crosses val="autoZero"/>
        <c:crossBetween val="between"/>
      </c:valAx>
      <c:spPr>
        <a:noFill/>
        <a:ln>
          <a:solidFill>
            <a:srgbClr val="5D803B"/>
          </a:solidFill>
        </a:ln>
        <a:effectLst/>
      </c:spPr>
    </c:plotArea>
    <c:plotVisOnly val="1"/>
    <c:dispBlanksAs val="gap"/>
    <c:showDLblsOverMax val="0"/>
  </c:chart>
  <c:spPr>
    <a:solidFill>
      <a:schemeClr val="bg1"/>
    </a:solidFill>
    <a:ln w="9525" cap="flat" cmpd="sng" algn="ctr">
      <a:noFill/>
      <a:round/>
    </a:ln>
    <a:effectLst/>
  </c:spPr>
  <c:txPr>
    <a:bodyPr/>
    <a:lstStyle/>
    <a:p>
      <a:pPr>
        <a:defRPr sz="1400" b="1">
          <a:solidFill>
            <a:sysClr val="windowText" lastClr="000000"/>
          </a:solidFill>
          <a:latin typeface="Arial" panose="020B0604020202020204" pitchFamily="34" charset="0"/>
          <a:cs typeface="Arial" panose="020B0604020202020204" pitchFamily="34" charset="0"/>
        </a:defRPr>
      </a:pPr>
      <a:endParaRPr lang="en-US"/>
    </a:p>
  </c:txPr>
  <c:userShapes r:id="rId3"/>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US" sz="2400"/>
              <a:t>Average Biodiesel Carbon Intensity</a:t>
            </a:r>
          </a:p>
        </c:rich>
      </c:tx>
      <c:overlay val="0"/>
      <c:spPr>
        <a:noFill/>
        <a:ln>
          <a:noFill/>
        </a:ln>
        <a:effectLst/>
      </c:spPr>
      <c:txPr>
        <a:bodyPr rot="0" spcFirstLastPara="1" vertOverflow="ellipsis" vert="horz" wrap="square" anchor="ctr" anchorCtr="1"/>
        <a:lstStyle/>
        <a:p>
          <a:pPr>
            <a:defRPr sz="24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00296427339762"/>
          <c:y val="9.966058887900954E-2"/>
          <c:w val="0.88387282582656101"/>
          <c:h val="0.68505755640576149"/>
        </c:manualLayout>
      </c:layout>
      <c:lineChart>
        <c:grouping val="standard"/>
        <c:varyColors val="0"/>
        <c:ser>
          <c:idx val="0"/>
          <c:order val="0"/>
          <c:tx>
            <c:strRef>
              <c:f>'Qrtly Credit-Deficit Generation'!$A$113</c:f>
              <c:strCache>
                <c:ptCount val="1"/>
                <c:pt idx="0">
                  <c:v>Renewable Diesel</c:v>
                </c:pt>
              </c:strCache>
            </c:strRef>
          </c:tx>
          <c:spPr>
            <a:ln w="28575" cap="rnd">
              <a:solidFill>
                <a:srgbClr val="5D803B"/>
              </a:solidFill>
              <a:round/>
            </a:ln>
            <a:effectLst/>
          </c:spPr>
          <c:marker>
            <c:symbol val="circle"/>
            <c:size val="7"/>
            <c:spPr>
              <a:solidFill>
                <a:srgbClr val="5D803B"/>
              </a:solidFill>
              <a:ln w="9525">
                <a:solidFill>
                  <a:schemeClr val="tx1"/>
                </a:solidFill>
              </a:ln>
              <a:effectLst/>
            </c:spPr>
          </c:marker>
          <c:dPt>
            <c:idx val="43"/>
            <c:marker>
              <c:symbol val="circle"/>
              <c:size val="7"/>
              <c:spPr>
                <a:solidFill>
                  <a:srgbClr val="5D803B"/>
                </a:solidFill>
                <a:ln w="9525">
                  <a:solidFill>
                    <a:schemeClr val="tx1"/>
                  </a:solidFill>
                </a:ln>
                <a:effectLst/>
              </c:spPr>
            </c:marker>
            <c:bubble3D val="0"/>
            <c:spPr>
              <a:ln w="28575" cap="rnd">
                <a:solidFill>
                  <a:srgbClr val="5D803B"/>
                </a:solidFill>
                <a:prstDash val="solid"/>
                <a:round/>
              </a:ln>
              <a:effectLst/>
            </c:spPr>
            <c:extLst>
              <c:ext xmlns:c16="http://schemas.microsoft.com/office/drawing/2014/chart" uri="{C3380CC4-5D6E-409C-BE32-E72D297353CC}">
                <c16:uniqueId val="{00000001-FCC9-4444-9B1B-CE457BA397E5}"/>
              </c:ext>
            </c:extLst>
          </c:dPt>
          <c:dPt>
            <c:idx val="44"/>
            <c:marker>
              <c:symbol val="circle"/>
              <c:size val="7"/>
              <c:spPr>
                <a:solidFill>
                  <a:srgbClr val="5D803B"/>
                </a:solidFill>
                <a:ln w="9525">
                  <a:solidFill>
                    <a:schemeClr val="tx1"/>
                  </a:solidFill>
                </a:ln>
                <a:effectLst/>
              </c:spPr>
            </c:marker>
            <c:bubble3D val="0"/>
            <c:spPr>
              <a:ln w="28575" cap="rnd">
                <a:solidFill>
                  <a:srgbClr val="5D803B"/>
                </a:solidFill>
                <a:prstDash val="solid"/>
                <a:round/>
              </a:ln>
              <a:effectLst/>
            </c:spPr>
            <c:extLst>
              <c:ext xmlns:c16="http://schemas.microsoft.com/office/drawing/2014/chart" uri="{C3380CC4-5D6E-409C-BE32-E72D297353CC}">
                <c16:uniqueId val="{00000003-FCC9-4444-9B1B-CE457BA397E5}"/>
              </c:ext>
            </c:extLst>
          </c:dPt>
          <c:dPt>
            <c:idx val="45"/>
            <c:marker>
              <c:symbol val="circle"/>
              <c:size val="7"/>
              <c:spPr>
                <a:solidFill>
                  <a:srgbClr val="5D803B"/>
                </a:solidFill>
                <a:ln w="9525">
                  <a:solidFill>
                    <a:schemeClr val="tx1"/>
                  </a:solidFill>
                </a:ln>
                <a:effectLst/>
              </c:spPr>
            </c:marker>
            <c:bubble3D val="0"/>
            <c:spPr>
              <a:ln w="28575" cap="rnd">
                <a:solidFill>
                  <a:srgbClr val="5D803B"/>
                </a:solidFill>
                <a:prstDash val="solid"/>
                <a:round/>
              </a:ln>
              <a:effectLst/>
            </c:spPr>
            <c:extLst>
              <c:ext xmlns:c16="http://schemas.microsoft.com/office/drawing/2014/chart" uri="{C3380CC4-5D6E-409C-BE32-E72D297353CC}">
                <c16:uniqueId val="{00000005-FCC9-4444-9B1B-CE457BA397E5}"/>
              </c:ext>
            </c:extLst>
          </c:dPt>
          <c:dPt>
            <c:idx val="46"/>
            <c:marker>
              <c:symbol val="circle"/>
              <c:size val="7"/>
              <c:spPr>
                <a:solidFill>
                  <a:srgbClr val="5D803B"/>
                </a:solidFill>
                <a:ln w="9525">
                  <a:solidFill>
                    <a:schemeClr val="tx1"/>
                  </a:solidFill>
                </a:ln>
                <a:effectLst/>
              </c:spPr>
            </c:marker>
            <c:bubble3D val="0"/>
            <c:spPr>
              <a:ln w="28575" cap="rnd">
                <a:solidFill>
                  <a:srgbClr val="5D803B"/>
                </a:solidFill>
                <a:prstDash val="solid"/>
                <a:round/>
              </a:ln>
              <a:effectLst/>
            </c:spPr>
            <c:extLst>
              <c:ext xmlns:c16="http://schemas.microsoft.com/office/drawing/2014/chart" uri="{C3380CC4-5D6E-409C-BE32-E72D297353CC}">
                <c16:uniqueId val="{00000007-FCC9-4444-9B1B-CE457BA397E5}"/>
              </c:ext>
            </c:extLst>
          </c:dPt>
          <c:dPt>
            <c:idx val="47"/>
            <c:marker>
              <c:symbol val="circle"/>
              <c:size val="7"/>
              <c:spPr>
                <a:solidFill>
                  <a:srgbClr val="5D803B"/>
                </a:solidFill>
                <a:ln w="9525">
                  <a:solidFill>
                    <a:schemeClr val="tx1"/>
                  </a:solidFill>
                </a:ln>
                <a:effectLst/>
              </c:spPr>
            </c:marker>
            <c:bubble3D val="0"/>
            <c:spPr>
              <a:ln w="28575" cap="rnd">
                <a:solidFill>
                  <a:srgbClr val="5D803B"/>
                </a:solidFill>
                <a:prstDash val="solid"/>
                <a:round/>
              </a:ln>
              <a:effectLst/>
            </c:spPr>
            <c:extLst>
              <c:ext xmlns:c16="http://schemas.microsoft.com/office/drawing/2014/chart" uri="{C3380CC4-5D6E-409C-BE32-E72D297353CC}">
                <c16:uniqueId val="{00000009-FCC9-4444-9B1B-CE457BA397E5}"/>
              </c:ext>
            </c:extLst>
          </c:dPt>
          <c:dPt>
            <c:idx val="48"/>
            <c:marker>
              <c:symbol val="circle"/>
              <c:size val="7"/>
              <c:spPr>
                <a:solidFill>
                  <a:srgbClr val="5D803B"/>
                </a:solidFill>
                <a:ln w="9525">
                  <a:solidFill>
                    <a:schemeClr val="tx1"/>
                  </a:solidFill>
                </a:ln>
                <a:effectLst/>
              </c:spPr>
            </c:marker>
            <c:bubble3D val="0"/>
            <c:spPr>
              <a:ln w="28575" cap="rnd">
                <a:solidFill>
                  <a:srgbClr val="5D803B"/>
                </a:solidFill>
                <a:prstDash val="solid"/>
                <a:round/>
              </a:ln>
              <a:effectLst/>
            </c:spPr>
            <c:extLst>
              <c:ext xmlns:c16="http://schemas.microsoft.com/office/drawing/2014/chart" uri="{C3380CC4-5D6E-409C-BE32-E72D297353CC}">
                <c16:uniqueId val="{0000000B-FCC9-4444-9B1B-CE457BA397E5}"/>
              </c:ext>
            </c:extLst>
          </c:dPt>
          <c:dPt>
            <c:idx val="49"/>
            <c:marker>
              <c:symbol val="circle"/>
              <c:size val="7"/>
              <c:spPr>
                <a:solidFill>
                  <a:srgbClr val="5D803B"/>
                </a:solidFill>
                <a:ln w="9525">
                  <a:solidFill>
                    <a:schemeClr val="tx1"/>
                  </a:solidFill>
                </a:ln>
                <a:effectLst/>
              </c:spPr>
            </c:marker>
            <c:bubble3D val="0"/>
            <c:spPr>
              <a:ln w="28575" cap="rnd">
                <a:solidFill>
                  <a:srgbClr val="5D803B"/>
                </a:solidFill>
                <a:prstDash val="solid"/>
                <a:round/>
              </a:ln>
              <a:effectLst/>
            </c:spPr>
            <c:extLst>
              <c:ext xmlns:c16="http://schemas.microsoft.com/office/drawing/2014/chart" uri="{C3380CC4-5D6E-409C-BE32-E72D297353CC}">
                <c16:uniqueId val="{0000000D-FCC9-4444-9B1B-CE457BA397E5}"/>
              </c:ext>
            </c:extLst>
          </c:dPt>
          <c:dPt>
            <c:idx val="50"/>
            <c:marker>
              <c:symbol val="circle"/>
              <c:size val="7"/>
              <c:spPr>
                <a:solidFill>
                  <a:srgbClr val="5D803B"/>
                </a:solidFill>
                <a:ln w="9525">
                  <a:solidFill>
                    <a:schemeClr val="tx1"/>
                  </a:solidFill>
                </a:ln>
                <a:effectLst/>
              </c:spPr>
            </c:marker>
            <c:bubble3D val="0"/>
            <c:spPr>
              <a:ln w="28575" cap="rnd">
                <a:solidFill>
                  <a:srgbClr val="5D803B"/>
                </a:solidFill>
                <a:prstDash val="solid"/>
                <a:round/>
              </a:ln>
              <a:effectLst/>
            </c:spPr>
            <c:extLst>
              <c:ext xmlns:c16="http://schemas.microsoft.com/office/drawing/2014/chart" uri="{C3380CC4-5D6E-409C-BE32-E72D297353CC}">
                <c16:uniqueId val="{0000000F-FCC9-4444-9B1B-CE457BA397E5}"/>
              </c:ext>
            </c:extLst>
          </c:dPt>
          <c:dPt>
            <c:idx val="51"/>
            <c:marker>
              <c:symbol val="circle"/>
              <c:size val="7"/>
              <c:spPr>
                <a:solidFill>
                  <a:srgbClr val="5D803B"/>
                </a:solidFill>
                <a:ln w="9525">
                  <a:solidFill>
                    <a:schemeClr val="tx1"/>
                  </a:solidFill>
                </a:ln>
                <a:effectLst/>
              </c:spPr>
            </c:marker>
            <c:bubble3D val="0"/>
            <c:spPr>
              <a:ln w="28575" cap="rnd">
                <a:solidFill>
                  <a:srgbClr val="5D803B"/>
                </a:solidFill>
                <a:prstDash val="solid"/>
                <a:round/>
              </a:ln>
              <a:effectLst/>
            </c:spPr>
            <c:extLst>
              <c:ext xmlns:c16="http://schemas.microsoft.com/office/drawing/2014/chart" uri="{C3380CC4-5D6E-409C-BE32-E72D297353CC}">
                <c16:uniqueId val="{00000011-FCC9-4444-9B1B-CE457BA397E5}"/>
              </c:ext>
            </c:extLst>
          </c:dPt>
          <c:cat>
            <c:strRef>
              <c:f>'Qrtly Credit-Deficit Generation'!$C$110:$BD$110</c:f>
              <c:strCache>
                <c:ptCount val="54"/>
                <c:pt idx="0">
                  <c:v>2011 Q1</c:v>
                </c:pt>
                <c:pt idx="1">
                  <c:v>Q2</c:v>
                </c:pt>
                <c:pt idx="2">
                  <c:v>Q3</c:v>
                </c:pt>
                <c:pt idx="3">
                  <c:v>Q4</c:v>
                </c:pt>
                <c:pt idx="4">
                  <c:v>2012 Q1</c:v>
                </c:pt>
                <c:pt idx="5">
                  <c:v>Q2</c:v>
                </c:pt>
                <c:pt idx="6">
                  <c:v>Q3</c:v>
                </c:pt>
                <c:pt idx="7">
                  <c:v>Q4</c:v>
                </c:pt>
                <c:pt idx="8">
                  <c:v>2013 Q1</c:v>
                </c:pt>
                <c:pt idx="9">
                  <c:v>Q2</c:v>
                </c:pt>
                <c:pt idx="10">
                  <c:v>Q3</c:v>
                </c:pt>
                <c:pt idx="11">
                  <c:v>Q4</c:v>
                </c:pt>
                <c:pt idx="12">
                  <c:v>2014 Q1</c:v>
                </c:pt>
                <c:pt idx="13">
                  <c:v>Q2</c:v>
                </c:pt>
                <c:pt idx="14">
                  <c:v>Q3</c:v>
                </c:pt>
                <c:pt idx="15">
                  <c:v>Q4</c:v>
                </c:pt>
                <c:pt idx="16">
                  <c:v>2015 Q1</c:v>
                </c:pt>
                <c:pt idx="17">
                  <c:v>Q2</c:v>
                </c:pt>
                <c:pt idx="18">
                  <c:v>Q3</c:v>
                </c:pt>
                <c:pt idx="19">
                  <c:v>Q4</c:v>
                </c:pt>
                <c:pt idx="20">
                  <c:v>2016 Q1</c:v>
                </c:pt>
                <c:pt idx="21">
                  <c:v>Q2</c:v>
                </c:pt>
                <c:pt idx="22">
                  <c:v>Q3</c:v>
                </c:pt>
                <c:pt idx="23">
                  <c:v>Q4</c:v>
                </c:pt>
                <c:pt idx="24">
                  <c:v>2017 Q1</c:v>
                </c:pt>
                <c:pt idx="25">
                  <c:v>Q2</c:v>
                </c:pt>
                <c:pt idx="26">
                  <c:v>Q3</c:v>
                </c:pt>
                <c:pt idx="27">
                  <c:v>Q4</c:v>
                </c:pt>
                <c:pt idx="28">
                  <c:v>2018 Q1</c:v>
                </c:pt>
                <c:pt idx="29">
                  <c:v>Q2</c:v>
                </c:pt>
                <c:pt idx="30">
                  <c:v>Q3</c:v>
                </c:pt>
                <c:pt idx="31">
                  <c:v>Q4</c:v>
                </c:pt>
                <c:pt idx="32">
                  <c:v>2019 Q1</c:v>
                </c:pt>
                <c:pt idx="33">
                  <c:v>Q2</c:v>
                </c:pt>
                <c:pt idx="34">
                  <c:v>Q3</c:v>
                </c:pt>
                <c:pt idx="35">
                  <c:v>Q4</c:v>
                </c:pt>
                <c:pt idx="36">
                  <c:v>2020 Q1</c:v>
                </c:pt>
                <c:pt idx="37">
                  <c:v>Q2</c:v>
                </c:pt>
                <c:pt idx="38">
                  <c:v>Q3</c:v>
                </c:pt>
                <c:pt idx="39">
                  <c:v>Q4</c:v>
                </c:pt>
                <c:pt idx="40">
                  <c:v>2021 Q1</c:v>
                </c:pt>
                <c:pt idx="41">
                  <c:v>Q2</c:v>
                </c:pt>
                <c:pt idx="42">
                  <c:v>Q3</c:v>
                </c:pt>
                <c:pt idx="43">
                  <c:v>Q4</c:v>
                </c:pt>
                <c:pt idx="44">
                  <c:v>2022 Q1</c:v>
                </c:pt>
                <c:pt idx="45">
                  <c:v>Q2</c:v>
                </c:pt>
                <c:pt idx="46">
                  <c:v>Q3</c:v>
                </c:pt>
                <c:pt idx="47">
                  <c:v>Q4</c:v>
                </c:pt>
                <c:pt idx="48">
                  <c:v>2023 Q1</c:v>
                </c:pt>
                <c:pt idx="49">
                  <c:v>Q2</c:v>
                </c:pt>
                <c:pt idx="50">
                  <c:v>Q3</c:v>
                </c:pt>
                <c:pt idx="51">
                  <c:v>Q4</c:v>
                </c:pt>
                <c:pt idx="52">
                  <c:v>2024Q1</c:v>
                </c:pt>
                <c:pt idx="53">
                  <c:v>Q2</c:v>
                </c:pt>
              </c:strCache>
            </c:strRef>
          </c:cat>
          <c:val>
            <c:numRef>
              <c:f>'Qrtly Credit-Deficit Generation'!$C$112:$BD$112</c:f>
              <c:numCache>
                <c:formatCode>0.00_);[Red]\(0.00\)</c:formatCode>
                <c:ptCount val="54"/>
                <c:pt idx="0">
                  <c:v>44.57</c:v>
                </c:pt>
                <c:pt idx="1">
                  <c:v>30.14</c:v>
                </c:pt>
                <c:pt idx="2">
                  <c:v>44.16</c:v>
                </c:pt>
                <c:pt idx="3">
                  <c:v>45.45</c:v>
                </c:pt>
                <c:pt idx="4">
                  <c:v>39.68</c:v>
                </c:pt>
                <c:pt idx="5">
                  <c:v>43.15</c:v>
                </c:pt>
                <c:pt idx="6">
                  <c:v>30.58</c:v>
                </c:pt>
                <c:pt idx="7">
                  <c:v>23.16</c:v>
                </c:pt>
                <c:pt idx="8">
                  <c:v>29.14</c:v>
                </c:pt>
                <c:pt idx="9">
                  <c:v>27.78</c:v>
                </c:pt>
                <c:pt idx="10">
                  <c:v>26.97</c:v>
                </c:pt>
                <c:pt idx="11">
                  <c:v>21.59</c:v>
                </c:pt>
                <c:pt idx="12">
                  <c:v>18.52</c:v>
                </c:pt>
                <c:pt idx="13">
                  <c:v>19.91</c:v>
                </c:pt>
                <c:pt idx="14">
                  <c:v>15.16</c:v>
                </c:pt>
                <c:pt idx="15">
                  <c:v>19.04</c:v>
                </c:pt>
                <c:pt idx="16">
                  <c:v>24.88</c:v>
                </c:pt>
                <c:pt idx="17">
                  <c:v>21.9</c:v>
                </c:pt>
                <c:pt idx="18">
                  <c:v>33.51</c:v>
                </c:pt>
                <c:pt idx="19">
                  <c:v>20.7</c:v>
                </c:pt>
                <c:pt idx="20">
                  <c:v>17.25</c:v>
                </c:pt>
                <c:pt idx="21">
                  <c:v>13.83</c:v>
                </c:pt>
                <c:pt idx="22">
                  <c:v>17.53</c:v>
                </c:pt>
                <c:pt idx="23">
                  <c:v>18.309999999999999</c:v>
                </c:pt>
                <c:pt idx="24">
                  <c:v>34.76</c:v>
                </c:pt>
                <c:pt idx="25">
                  <c:v>30.84</c:v>
                </c:pt>
                <c:pt idx="26">
                  <c:v>36.82</c:v>
                </c:pt>
                <c:pt idx="27">
                  <c:v>34.22</c:v>
                </c:pt>
                <c:pt idx="28">
                  <c:v>33.97</c:v>
                </c:pt>
                <c:pt idx="29">
                  <c:v>29.93</c:v>
                </c:pt>
                <c:pt idx="30">
                  <c:v>29.61</c:v>
                </c:pt>
                <c:pt idx="31">
                  <c:v>30.69</c:v>
                </c:pt>
                <c:pt idx="32">
                  <c:v>28.46</c:v>
                </c:pt>
                <c:pt idx="33">
                  <c:v>26.98</c:v>
                </c:pt>
                <c:pt idx="34">
                  <c:v>26.15</c:v>
                </c:pt>
                <c:pt idx="35">
                  <c:v>26.35</c:v>
                </c:pt>
                <c:pt idx="36">
                  <c:v>25.93</c:v>
                </c:pt>
                <c:pt idx="37">
                  <c:v>27.25</c:v>
                </c:pt>
                <c:pt idx="38">
                  <c:v>27.08</c:v>
                </c:pt>
                <c:pt idx="39">
                  <c:v>29.92</c:v>
                </c:pt>
                <c:pt idx="40">
                  <c:v>29.77</c:v>
                </c:pt>
                <c:pt idx="41">
                  <c:v>28.49</c:v>
                </c:pt>
                <c:pt idx="42">
                  <c:v>28.03</c:v>
                </c:pt>
                <c:pt idx="43">
                  <c:v>27.97</c:v>
                </c:pt>
                <c:pt idx="44">
                  <c:v>27.17</c:v>
                </c:pt>
                <c:pt idx="45">
                  <c:v>27.51</c:v>
                </c:pt>
                <c:pt idx="46">
                  <c:v>29.04</c:v>
                </c:pt>
                <c:pt idx="47">
                  <c:v>28.882976472976342</c:v>
                </c:pt>
                <c:pt idx="48" formatCode="General">
                  <c:v>32.409999999999997</c:v>
                </c:pt>
                <c:pt idx="49" formatCode="General">
                  <c:v>28.42</c:v>
                </c:pt>
                <c:pt idx="50" formatCode="General">
                  <c:v>30.5</c:v>
                </c:pt>
                <c:pt idx="51" formatCode="General">
                  <c:v>33.78</c:v>
                </c:pt>
                <c:pt idx="52" formatCode="General">
                  <c:v>32.26</c:v>
                </c:pt>
                <c:pt idx="53" formatCode="General">
                  <c:v>27.45</c:v>
                </c:pt>
              </c:numCache>
            </c:numRef>
          </c:val>
          <c:smooth val="0"/>
          <c:extLst>
            <c:ext xmlns:c16="http://schemas.microsoft.com/office/drawing/2014/chart" uri="{C3380CC4-5D6E-409C-BE32-E72D297353CC}">
              <c16:uniqueId val="{00000012-FCC9-4444-9B1B-CE457BA397E5}"/>
            </c:ext>
          </c:extLst>
        </c:ser>
        <c:dLbls>
          <c:showLegendKey val="0"/>
          <c:showVal val="0"/>
          <c:showCatName val="0"/>
          <c:showSerName val="0"/>
          <c:showPercent val="0"/>
          <c:showBubbleSize val="0"/>
        </c:dLbls>
        <c:marker val="1"/>
        <c:smooth val="0"/>
        <c:axId val="79620736"/>
        <c:axId val="80548224"/>
      </c:lineChart>
      <c:catAx>
        <c:axId val="79620736"/>
        <c:scaling>
          <c:orientation val="minMax"/>
        </c:scaling>
        <c:delete val="0"/>
        <c:axPos val="b"/>
        <c:numFmt formatCode="General" sourceLinked="1"/>
        <c:majorTickMark val="none"/>
        <c:minorTickMark val="none"/>
        <c:tickLblPos val="nextTo"/>
        <c:spPr>
          <a:noFill/>
          <a:ln w="9525" cap="flat" cmpd="sng" algn="ctr">
            <a:solidFill>
              <a:srgbClr val="5D803B"/>
            </a:solidFill>
            <a:round/>
          </a:ln>
          <a:effectLst/>
        </c:spPr>
        <c:txPr>
          <a:bodyPr rot="-5400000" spcFirstLastPara="1" vertOverflow="ellipsis" wrap="square" anchor="ctr" anchorCtr="1"/>
          <a:lstStyle/>
          <a:p>
            <a:pPr>
              <a:defRPr sz="14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80548224"/>
        <c:crosses val="autoZero"/>
        <c:auto val="1"/>
        <c:lblAlgn val="ctr"/>
        <c:lblOffset val="100"/>
        <c:noMultiLvlLbl val="0"/>
      </c:catAx>
      <c:valAx>
        <c:axId val="80548224"/>
        <c:scaling>
          <c:orientation val="minMax"/>
        </c:scaling>
        <c:delete val="0"/>
        <c:axPos val="l"/>
        <c:majorGridlines>
          <c:spPr>
            <a:ln w="9525" cap="flat" cmpd="sng" algn="ctr">
              <a:solidFill>
                <a:schemeClr val="bg1">
                  <a:lumMod val="65000"/>
                </a:schemeClr>
              </a:solidFill>
              <a:round/>
            </a:ln>
            <a:effectLst/>
          </c:spPr>
        </c:majorGridlines>
        <c:title>
          <c:tx>
            <c:rich>
              <a:bodyPr rot="-5400000" spcFirstLastPara="1" vertOverflow="ellipsis" vert="horz" wrap="square" anchor="ctr" anchorCtr="1"/>
              <a:lstStyle/>
              <a:p>
                <a:pPr>
                  <a:defRPr sz="14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a:t>(average</a:t>
                </a:r>
                <a:r>
                  <a:rPr lang="en-US" baseline="0"/>
                  <a:t> CI score)</a:t>
                </a:r>
                <a:endParaRPr lang="en-US"/>
              </a:p>
            </c:rich>
          </c:tx>
          <c:overlay val="0"/>
          <c:spPr>
            <a:noFill/>
            <a:ln>
              <a:noFill/>
            </a:ln>
            <a:effectLst/>
          </c:spPr>
          <c:txPr>
            <a:bodyPr rot="-5400000" spcFirstLastPara="1" vertOverflow="ellipsis" vert="horz" wrap="square" anchor="ctr" anchorCtr="1"/>
            <a:lstStyle/>
            <a:p>
              <a:pPr>
                <a:defRPr sz="14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00_);[Red]\(0.00\)"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9620736"/>
        <c:crosses val="autoZero"/>
        <c:crossBetween val="between"/>
      </c:valAx>
      <c:spPr>
        <a:noFill/>
        <a:ln>
          <a:solidFill>
            <a:srgbClr val="5D803B"/>
          </a:solidFill>
        </a:ln>
        <a:effectLst/>
      </c:spPr>
    </c:plotArea>
    <c:plotVisOnly val="1"/>
    <c:dispBlanksAs val="gap"/>
    <c:showDLblsOverMax val="0"/>
  </c:chart>
  <c:spPr>
    <a:solidFill>
      <a:schemeClr val="bg1"/>
    </a:solidFill>
    <a:ln w="9525" cap="flat" cmpd="sng" algn="ctr">
      <a:noFill/>
      <a:round/>
    </a:ln>
    <a:effectLst/>
  </c:spPr>
  <c:txPr>
    <a:bodyPr/>
    <a:lstStyle/>
    <a:p>
      <a:pPr>
        <a:defRPr sz="1400" b="1">
          <a:solidFill>
            <a:sysClr val="windowText" lastClr="000000"/>
          </a:solidFill>
          <a:latin typeface="Arial" panose="020B0604020202020204" pitchFamily="34" charset="0"/>
          <a:cs typeface="Arial" panose="020B0604020202020204" pitchFamily="34" charset="0"/>
        </a:defRPr>
      </a:pPr>
      <a:endParaRPr lang="en-US"/>
    </a:p>
  </c:txPr>
  <c:userShapes r:id="rId3"/>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8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US" sz="2800"/>
              <a:t>Average Bio-CNG Carbon Inensity</a:t>
            </a:r>
          </a:p>
        </c:rich>
      </c:tx>
      <c:overlay val="0"/>
      <c:spPr>
        <a:noFill/>
        <a:ln>
          <a:noFill/>
        </a:ln>
        <a:effectLst/>
      </c:spPr>
      <c:txPr>
        <a:bodyPr rot="0" spcFirstLastPara="1" vertOverflow="ellipsis" vert="horz" wrap="square" anchor="ctr" anchorCtr="1"/>
        <a:lstStyle/>
        <a:p>
          <a:pPr>
            <a:defRPr sz="28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417267550683548"/>
          <c:y val="0.12768363453566736"/>
          <c:w val="0.88525218700721586"/>
          <c:h val="0.68640427077445554"/>
        </c:manualLayout>
      </c:layout>
      <c:lineChart>
        <c:grouping val="standard"/>
        <c:varyColors val="0"/>
        <c:ser>
          <c:idx val="0"/>
          <c:order val="0"/>
          <c:tx>
            <c:strRef>
              <c:f>'Qrtly Credit-Deficit Generation'!$A$114</c:f>
              <c:strCache>
                <c:ptCount val="1"/>
                <c:pt idx="0">
                  <c:v>Bio-CNG</c:v>
                </c:pt>
              </c:strCache>
            </c:strRef>
          </c:tx>
          <c:spPr>
            <a:ln w="28575" cap="rnd">
              <a:solidFill>
                <a:srgbClr val="5D803B"/>
              </a:solidFill>
              <a:round/>
            </a:ln>
            <a:effectLst/>
          </c:spPr>
          <c:marker>
            <c:symbol val="circle"/>
            <c:size val="7"/>
            <c:spPr>
              <a:solidFill>
                <a:srgbClr val="5D803B"/>
              </a:solidFill>
              <a:ln w="9525">
                <a:solidFill>
                  <a:schemeClr val="tx1"/>
                </a:solidFill>
              </a:ln>
              <a:effectLst/>
            </c:spPr>
          </c:marker>
          <c:dPt>
            <c:idx val="35"/>
            <c:marker>
              <c:symbol val="circle"/>
              <c:size val="7"/>
              <c:spPr>
                <a:solidFill>
                  <a:srgbClr val="5D803B"/>
                </a:solidFill>
                <a:ln w="9525">
                  <a:solidFill>
                    <a:schemeClr val="tx1"/>
                  </a:solidFill>
                </a:ln>
                <a:effectLst/>
              </c:spPr>
            </c:marker>
            <c:bubble3D val="0"/>
            <c:spPr>
              <a:ln w="28575" cap="rnd">
                <a:solidFill>
                  <a:srgbClr val="5D803B"/>
                </a:solidFill>
                <a:prstDash val="solid"/>
                <a:round/>
              </a:ln>
              <a:effectLst/>
            </c:spPr>
            <c:extLst>
              <c:ext xmlns:c16="http://schemas.microsoft.com/office/drawing/2014/chart" uri="{C3380CC4-5D6E-409C-BE32-E72D297353CC}">
                <c16:uniqueId val="{00000001-0244-491B-95E4-F6B024C75B3A}"/>
              </c:ext>
            </c:extLst>
          </c:dPt>
          <c:dPt>
            <c:idx val="36"/>
            <c:marker>
              <c:symbol val="circle"/>
              <c:size val="7"/>
              <c:spPr>
                <a:solidFill>
                  <a:srgbClr val="5D803B"/>
                </a:solidFill>
                <a:ln w="9525">
                  <a:solidFill>
                    <a:schemeClr val="tx1"/>
                  </a:solidFill>
                </a:ln>
                <a:effectLst/>
              </c:spPr>
            </c:marker>
            <c:bubble3D val="0"/>
            <c:spPr>
              <a:ln w="28575" cap="rnd">
                <a:solidFill>
                  <a:srgbClr val="5D803B"/>
                </a:solidFill>
                <a:prstDash val="solid"/>
                <a:round/>
              </a:ln>
              <a:effectLst/>
            </c:spPr>
            <c:extLst>
              <c:ext xmlns:c16="http://schemas.microsoft.com/office/drawing/2014/chart" uri="{C3380CC4-5D6E-409C-BE32-E72D297353CC}">
                <c16:uniqueId val="{00000003-0244-491B-95E4-F6B024C75B3A}"/>
              </c:ext>
            </c:extLst>
          </c:dPt>
          <c:dPt>
            <c:idx val="37"/>
            <c:marker>
              <c:symbol val="circle"/>
              <c:size val="7"/>
              <c:spPr>
                <a:solidFill>
                  <a:srgbClr val="5D803B"/>
                </a:solidFill>
                <a:ln w="9525">
                  <a:solidFill>
                    <a:schemeClr val="tx1"/>
                  </a:solidFill>
                </a:ln>
                <a:effectLst/>
              </c:spPr>
            </c:marker>
            <c:bubble3D val="0"/>
            <c:spPr>
              <a:ln w="28575" cap="rnd">
                <a:solidFill>
                  <a:srgbClr val="5D803B"/>
                </a:solidFill>
                <a:prstDash val="solid"/>
                <a:round/>
              </a:ln>
              <a:effectLst/>
            </c:spPr>
            <c:extLst>
              <c:ext xmlns:c16="http://schemas.microsoft.com/office/drawing/2014/chart" uri="{C3380CC4-5D6E-409C-BE32-E72D297353CC}">
                <c16:uniqueId val="{00000005-0244-491B-95E4-F6B024C75B3A}"/>
              </c:ext>
            </c:extLst>
          </c:dPt>
          <c:dPt>
            <c:idx val="38"/>
            <c:marker>
              <c:symbol val="circle"/>
              <c:size val="7"/>
              <c:spPr>
                <a:solidFill>
                  <a:srgbClr val="5D803B"/>
                </a:solidFill>
                <a:ln w="9525">
                  <a:solidFill>
                    <a:schemeClr val="tx1"/>
                  </a:solidFill>
                </a:ln>
                <a:effectLst/>
              </c:spPr>
            </c:marker>
            <c:bubble3D val="0"/>
            <c:spPr>
              <a:ln w="28575" cap="rnd">
                <a:solidFill>
                  <a:srgbClr val="5D803B"/>
                </a:solidFill>
                <a:prstDash val="solid"/>
                <a:round/>
              </a:ln>
              <a:effectLst/>
            </c:spPr>
            <c:extLst>
              <c:ext xmlns:c16="http://schemas.microsoft.com/office/drawing/2014/chart" uri="{C3380CC4-5D6E-409C-BE32-E72D297353CC}">
                <c16:uniqueId val="{00000007-0244-491B-95E4-F6B024C75B3A}"/>
              </c:ext>
            </c:extLst>
          </c:dPt>
          <c:dPt>
            <c:idx val="39"/>
            <c:marker>
              <c:symbol val="circle"/>
              <c:size val="7"/>
              <c:spPr>
                <a:solidFill>
                  <a:srgbClr val="5D803B"/>
                </a:solidFill>
                <a:ln w="9525">
                  <a:solidFill>
                    <a:schemeClr val="tx1"/>
                  </a:solidFill>
                </a:ln>
                <a:effectLst/>
              </c:spPr>
            </c:marker>
            <c:bubble3D val="0"/>
            <c:spPr>
              <a:ln w="28575" cap="rnd">
                <a:solidFill>
                  <a:srgbClr val="5D803B"/>
                </a:solidFill>
                <a:prstDash val="solid"/>
                <a:round/>
              </a:ln>
              <a:effectLst/>
            </c:spPr>
            <c:extLst>
              <c:ext xmlns:c16="http://schemas.microsoft.com/office/drawing/2014/chart" uri="{C3380CC4-5D6E-409C-BE32-E72D297353CC}">
                <c16:uniqueId val="{00000009-0244-491B-95E4-F6B024C75B3A}"/>
              </c:ext>
            </c:extLst>
          </c:dPt>
          <c:dPt>
            <c:idx val="40"/>
            <c:marker>
              <c:symbol val="circle"/>
              <c:size val="7"/>
              <c:spPr>
                <a:solidFill>
                  <a:srgbClr val="5D803B"/>
                </a:solidFill>
                <a:ln w="9525">
                  <a:solidFill>
                    <a:schemeClr val="tx1"/>
                  </a:solidFill>
                </a:ln>
                <a:effectLst/>
              </c:spPr>
            </c:marker>
            <c:bubble3D val="0"/>
            <c:spPr>
              <a:ln w="28575" cap="rnd">
                <a:solidFill>
                  <a:srgbClr val="5D803B"/>
                </a:solidFill>
                <a:prstDash val="solid"/>
                <a:round/>
              </a:ln>
              <a:effectLst/>
            </c:spPr>
            <c:extLst>
              <c:ext xmlns:c16="http://schemas.microsoft.com/office/drawing/2014/chart" uri="{C3380CC4-5D6E-409C-BE32-E72D297353CC}">
                <c16:uniqueId val="{0000000B-0244-491B-95E4-F6B024C75B3A}"/>
              </c:ext>
            </c:extLst>
          </c:dPt>
          <c:dPt>
            <c:idx val="41"/>
            <c:marker>
              <c:symbol val="circle"/>
              <c:size val="7"/>
              <c:spPr>
                <a:solidFill>
                  <a:srgbClr val="5D803B"/>
                </a:solidFill>
                <a:ln w="9525">
                  <a:solidFill>
                    <a:schemeClr val="tx1"/>
                  </a:solidFill>
                </a:ln>
                <a:effectLst/>
              </c:spPr>
            </c:marker>
            <c:bubble3D val="0"/>
            <c:spPr>
              <a:ln w="28575" cap="rnd">
                <a:solidFill>
                  <a:srgbClr val="5D803B"/>
                </a:solidFill>
                <a:prstDash val="solid"/>
                <a:round/>
              </a:ln>
              <a:effectLst/>
            </c:spPr>
            <c:extLst>
              <c:ext xmlns:c16="http://schemas.microsoft.com/office/drawing/2014/chart" uri="{C3380CC4-5D6E-409C-BE32-E72D297353CC}">
                <c16:uniqueId val="{0000000D-0244-491B-95E4-F6B024C75B3A}"/>
              </c:ext>
            </c:extLst>
          </c:dPt>
          <c:dPt>
            <c:idx val="42"/>
            <c:marker>
              <c:symbol val="circle"/>
              <c:size val="7"/>
              <c:spPr>
                <a:solidFill>
                  <a:srgbClr val="5D803B"/>
                </a:solidFill>
                <a:ln w="9525">
                  <a:solidFill>
                    <a:schemeClr val="tx1"/>
                  </a:solidFill>
                </a:ln>
                <a:effectLst/>
              </c:spPr>
            </c:marker>
            <c:bubble3D val="0"/>
            <c:spPr>
              <a:ln w="28575" cap="rnd">
                <a:solidFill>
                  <a:srgbClr val="5D803B"/>
                </a:solidFill>
                <a:prstDash val="solid"/>
                <a:round/>
              </a:ln>
              <a:effectLst/>
            </c:spPr>
            <c:extLst>
              <c:ext xmlns:c16="http://schemas.microsoft.com/office/drawing/2014/chart" uri="{C3380CC4-5D6E-409C-BE32-E72D297353CC}">
                <c16:uniqueId val="{0000000F-0244-491B-95E4-F6B024C75B3A}"/>
              </c:ext>
            </c:extLst>
          </c:dPt>
          <c:dPt>
            <c:idx val="43"/>
            <c:marker>
              <c:symbol val="circle"/>
              <c:size val="7"/>
              <c:spPr>
                <a:solidFill>
                  <a:srgbClr val="5D803B"/>
                </a:solidFill>
                <a:ln w="9525">
                  <a:solidFill>
                    <a:schemeClr val="tx1"/>
                  </a:solidFill>
                </a:ln>
                <a:effectLst/>
              </c:spPr>
            </c:marker>
            <c:bubble3D val="0"/>
            <c:spPr>
              <a:ln w="28575" cap="rnd">
                <a:solidFill>
                  <a:srgbClr val="5D803B"/>
                </a:solidFill>
                <a:prstDash val="solid"/>
                <a:round/>
              </a:ln>
              <a:effectLst/>
            </c:spPr>
            <c:extLst>
              <c:ext xmlns:c16="http://schemas.microsoft.com/office/drawing/2014/chart" uri="{C3380CC4-5D6E-409C-BE32-E72D297353CC}">
                <c16:uniqueId val="{00000011-0244-491B-95E4-F6B024C75B3A}"/>
              </c:ext>
            </c:extLst>
          </c:dPt>
          <c:cat>
            <c:strRef>
              <c:f>'Qrtly Credit-Deficit Generation'!$K$110:$BD$110</c:f>
              <c:strCache>
                <c:ptCount val="46"/>
                <c:pt idx="0">
                  <c:v>2013 Q1</c:v>
                </c:pt>
                <c:pt idx="1">
                  <c:v>Q2</c:v>
                </c:pt>
                <c:pt idx="2">
                  <c:v>Q3</c:v>
                </c:pt>
                <c:pt idx="3">
                  <c:v>Q4</c:v>
                </c:pt>
                <c:pt idx="4">
                  <c:v>2014 Q1</c:v>
                </c:pt>
                <c:pt idx="5">
                  <c:v>Q2</c:v>
                </c:pt>
                <c:pt idx="6">
                  <c:v>Q3</c:v>
                </c:pt>
                <c:pt idx="7">
                  <c:v>Q4</c:v>
                </c:pt>
                <c:pt idx="8">
                  <c:v>2015 Q1</c:v>
                </c:pt>
                <c:pt idx="9">
                  <c:v>Q2</c:v>
                </c:pt>
                <c:pt idx="10">
                  <c:v>Q3</c:v>
                </c:pt>
                <c:pt idx="11">
                  <c:v>Q4</c:v>
                </c:pt>
                <c:pt idx="12">
                  <c:v>2016 Q1</c:v>
                </c:pt>
                <c:pt idx="13">
                  <c:v>Q2</c:v>
                </c:pt>
                <c:pt idx="14">
                  <c:v>Q3</c:v>
                </c:pt>
                <c:pt idx="15">
                  <c:v>Q4</c:v>
                </c:pt>
                <c:pt idx="16">
                  <c:v>2017 Q1</c:v>
                </c:pt>
                <c:pt idx="17">
                  <c:v>Q2</c:v>
                </c:pt>
                <c:pt idx="18">
                  <c:v>Q3</c:v>
                </c:pt>
                <c:pt idx="19">
                  <c:v>Q4</c:v>
                </c:pt>
                <c:pt idx="20">
                  <c:v>2018 Q1</c:v>
                </c:pt>
                <c:pt idx="21">
                  <c:v>Q2</c:v>
                </c:pt>
                <c:pt idx="22">
                  <c:v>Q3</c:v>
                </c:pt>
                <c:pt idx="23">
                  <c:v>Q4</c:v>
                </c:pt>
                <c:pt idx="24">
                  <c:v>2019 Q1</c:v>
                </c:pt>
                <c:pt idx="25">
                  <c:v>Q2</c:v>
                </c:pt>
                <c:pt idx="26">
                  <c:v>Q3</c:v>
                </c:pt>
                <c:pt idx="27">
                  <c:v>Q4</c:v>
                </c:pt>
                <c:pt idx="28">
                  <c:v>2020 Q1</c:v>
                </c:pt>
                <c:pt idx="29">
                  <c:v>Q2</c:v>
                </c:pt>
                <c:pt idx="30">
                  <c:v>Q3</c:v>
                </c:pt>
                <c:pt idx="31">
                  <c:v>Q4</c:v>
                </c:pt>
                <c:pt idx="32">
                  <c:v>2021 Q1</c:v>
                </c:pt>
                <c:pt idx="33">
                  <c:v>Q2</c:v>
                </c:pt>
                <c:pt idx="34">
                  <c:v>Q3</c:v>
                </c:pt>
                <c:pt idx="35">
                  <c:v>Q4</c:v>
                </c:pt>
                <c:pt idx="36">
                  <c:v>2022 Q1</c:v>
                </c:pt>
                <c:pt idx="37">
                  <c:v>Q2</c:v>
                </c:pt>
                <c:pt idx="38">
                  <c:v>Q3</c:v>
                </c:pt>
                <c:pt idx="39">
                  <c:v>Q4</c:v>
                </c:pt>
                <c:pt idx="40">
                  <c:v>2023 Q1</c:v>
                </c:pt>
                <c:pt idx="41">
                  <c:v>Q2</c:v>
                </c:pt>
                <c:pt idx="42">
                  <c:v>Q3</c:v>
                </c:pt>
                <c:pt idx="43">
                  <c:v>Q4</c:v>
                </c:pt>
                <c:pt idx="44">
                  <c:v>2024Q1</c:v>
                </c:pt>
                <c:pt idx="45">
                  <c:v>Q2</c:v>
                </c:pt>
              </c:strCache>
            </c:strRef>
          </c:cat>
          <c:val>
            <c:numRef>
              <c:f>'Qrtly Credit-Deficit Generation'!$K$114:$BD$114</c:f>
              <c:numCache>
                <c:formatCode>0.00_);[Red]\(0.00\)</c:formatCode>
                <c:ptCount val="46"/>
                <c:pt idx="0">
                  <c:v>0</c:v>
                </c:pt>
                <c:pt idx="1">
                  <c:v>32.21</c:v>
                </c:pt>
                <c:pt idx="2">
                  <c:v>14.83</c:v>
                </c:pt>
                <c:pt idx="3">
                  <c:v>15.88</c:v>
                </c:pt>
                <c:pt idx="4">
                  <c:v>16.02</c:v>
                </c:pt>
                <c:pt idx="5">
                  <c:v>16.62</c:v>
                </c:pt>
                <c:pt idx="6">
                  <c:v>22.11</c:v>
                </c:pt>
                <c:pt idx="7">
                  <c:v>24.76</c:v>
                </c:pt>
                <c:pt idx="8">
                  <c:v>25.92</c:v>
                </c:pt>
                <c:pt idx="9">
                  <c:v>21.27</c:v>
                </c:pt>
                <c:pt idx="10">
                  <c:v>19.3</c:v>
                </c:pt>
                <c:pt idx="11">
                  <c:v>22.06</c:v>
                </c:pt>
                <c:pt idx="12">
                  <c:v>23.84</c:v>
                </c:pt>
                <c:pt idx="13">
                  <c:v>26.3</c:v>
                </c:pt>
                <c:pt idx="14">
                  <c:v>39.659999999999997</c:v>
                </c:pt>
                <c:pt idx="15">
                  <c:v>41.26</c:v>
                </c:pt>
                <c:pt idx="16">
                  <c:v>44.65</c:v>
                </c:pt>
                <c:pt idx="17">
                  <c:v>40.270000000000003</c:v>
                </c:pt>
                <c:pt idx="18">
                  <c:v>38.22</c:v>
                </c:pt>
                <c:pt idx="19">
                  <c:v>37.549999999999997</c:v>
                </c:pt>
                <c:pt idx="20">
                  <c:v>38.880000000000003</c:v>
                </c:pt>
                <c:pt idx="21">
                  <c:v>43.04</c:v>
                </c:pt>
                <c:pt idx="22">
                  <c:v>40.39</c:v>
                </c:pt>
                <c:pt idx="23">
                  <c:v>41.44</c:v>
                </c:pt>
                <c:pt idx="24">
                  <c:v>41.33</c:v>
                </c:pt>
                <c:pt idx="25">
                  <c:v>41.77</c:v>
                </c:pt>
                <c:pt idx="26">
                  <c:v>30.99</c:v>
                </c:pt>
                <c:pt idx="27">
                  <c:v>16.84</c:v>
                </c:pt>
                <c:pt idx="28">
                  <c:v>20.73</c:v>
                </c:pt>
                <c:pt idx="29">
                  <c:v>5.42</c:v>
                </c:pt>
                <c:pt idx="30">
                  <c:v>-14.28</c:v>
                </c:pt>
                <c:pt idx="31">
                  <c:v>-25.92</c:v>
                </c:pt>
                <c:pt idx="32">
                  <c:v>-16.43</c:v>
                </c:pt>
                <c:pt idx="33">
                  <c:v>-35.93</c:v>
                </c:pt>
                <c:pt idx="34">
                  <c:v>-61.46</c:v>
                </c:pt>
                <c:pt idx="35">
                  <c:v>-63.34</c:v>
                </c:pt>
                <c:pt idx="36">
                  <c:v>-61.4</c:v>
                </c:pt>
                <c:pt idx="37">
                  <c:v>-103.67</c:v>
                </c:pt>
                <c:pt idx="38">
                  <c:v>-111.7</c:v>
                </c:pt>
                <c:pt idx="39">
                  <c:v>-125.63414944331217</c:v>
                </c:pt>
                <c:pt idx="40" formatCode="General">
                  <c:v>-93.03</c:v>
                </c:pt>
                <c:pt idx="41" formatCode="General">
                  <c:v>-131.36000000000001</c:v>
                </c:pt>
                <c:pt idx="42" formatCode="General">
                  <c:v>-132.15</c:v>
                </c:pt>
                <c:pt idx="43" formatCode="General">
                  <c:v>-147.59</c:v>
                </c:pt>
                <c:pt idx="44" formatCode="General">
                  <c:v>-155.71</c:v>
                </c:pt>
                <c:pt idx="45" formatCode="General">
                  <c:v>-190.51</c:v>
                </c:pt>
              </c:numCache>
            </c:numRef>
          </c:val>
          <c:smooth val="0"/>
          <c:extLst>
            <c:ext xmlns:c16="http://schemas.microsoft.com/office/drawing/2014/chart" uri="{C3380CC4-5D6E-409C-BE32-E72D297353CC}">
              <c16:uniqueId val="{00000012-0244-491B-95E4-F6B024C75B3A}"/>
            </c:ext>
          </c:extLst>
        </c:ser>
        <c:dLbls>
          <c:showLegendKey val="0"/>
          <c:showVal val="0"/>
          <c:showCatName val="0"/>
          <c:showSerName val="0"/>
          <c:showPercent val="0"/>
          <c:showBubbleSize val="0"/>
        </c:dLbls>
        <c:marker val="1"/>
        <c:smooth val="0"/>
        <c:axId val="79620736"/>
        <c:axId val="80548224"/>
      </c:lineChart>
      <c:catAx>
        <c:axId val="79620736"/>
        <c:scaling>
          <c:orientation val="minMax"/>
        </c:scaling>
        <c:delete val="0"/>
        <c:axPos val="b"/>
        <c:numFmt formatCode="General" sourceLinked="1"/>
        <c:majorTickMark val="none"/>
        <c:minorTickMark val="none"/>
        <c:tickLblPos val="low"/>
        <c:spPr>
          <a:noFill/>
          <a:ln w="22225" cap="flat" cmpd="sng" algn="ctr">
            <a:solidFill>
              <a:schemeClr val="tx1"/>
            </a:solidFill>
            <a:round/>
          </a:ln>
          <a:effectLst/>
        </c:spPr>
        <c:txPr>
          <a:bodyPr rot="-5400000" spcFirstLastPara="1" vertOverflow="ellipsis" wrap="square" anchor="ctr" anchorCtr="1"/>
          <a:lstStyle/>
          <a:p>
            <a:pPr>
              <a:defRPr sz="14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80548224"/>
        <c:crosses val="autoZero"/>
        <c:auto val="1"/>
        <c:lblAlgn val="ctr"/>
        <c:lblOffset val="100"/>
        <c:noMultiLvlLbl val="0"/>
      </c:catAx>
      <c:valAx>
        <c:axId val="805482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200"/>
                  <a:t>(average</a:t>
                </a:r>
                <a:r>
                  <a:rPr lang="en-US" sz="1200" baseline="0"/>
                  <a:t> CI score)</a:t>
                </a:r>
                <a:endParaRPr lang="en-US" sz="1200"/>
              </a:p>
            </c:rich>
          </c:tx>
          <c:overlay val="0"/>
          <c:spPr>
            <a:noFill/>
            <a:ln>
              <a:noFill/>
            </a:ln>
            <a:effectLst/>
          </c:spPr>
          <c:txPr>
            <a:bodyPr rot="-5400000" spcFirstLastPara="1" vertOverflow="ellipsis" vert="horz" wrap="square" anchor="ctr" anchorCtr="1"/>
            <a:lstStyle/>
            <a:p>
              <a:pPr>
                <a:defRPr sz="12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00_);[Red]\(0.00\)" sourceLinked="1"/>
        <c:majorTickMark val="none"/>
        <c:minorTickMark val="none"/>
        <c:tickLblPos val="nextTo"/>
        <c:spPr>
          <a:noFill/>
          <a:ln w="9525">
            <a:solidFill>
              <a:srgbClr val="5D803B"/>
            </a:solidFill>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9620736"/>
        <c:crosses val="autoZero"/>
        <c:crossBetween val="between"/>
      </c:valAx>
      <c:spPr>
        <a:noFill/>
        <a:ln>
          <a:solidFill>
            <a:srgbClr val="5D803B"/>
          </a:solidFill>
        </a:ln>
        <a:effectLst/>
      </c:spPr>
    </c:plotArea>
    <c:plotVisOnly val="1"/>
    <c:dispBlanksAs val="gap"/>
    <c:showDLblsOverMax val="0"/>
  </c:chart>
  <c:spPr>
    <a:solidFill>
      <a:schemeClr val="bg1"/>
    </a:solidFill>
    <a:ln w="9525" cap="flat" cmpd="sng" algn="ctr">
      <a:noFill/>
      <a:round/>
    </a:ln>
    <a:effectLst/>
  </c:spPr>
  <c:txPr>
    <a:bodyPr/>
    <a:lstStyle/>
    <a:p>
      <a:pPr>
        <a:defRPr sz="1400" b="1">
          <a:solidFill>
            <a:sysClr val="windowText" lastClr="000000"/>
          </a:solidFill>
          <a:latin typeface="Arial" panose="020B0604020202020204" pitchFamily="34" charset="0"/>
          <a:cs typeface="Arial" panose="020B0604020202020204" pitchFamily="34" charset="0"/>
        </a:defRPr>
      </a:pPr>
      <a:endParaRPr lang="en-US"/>
    </a:p>
  </c:txPr>
  <c:userShapes r:id="rId3"/>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8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US" sz="2800"/>
              <a:t>Average Bio-LNG Carbon Intensity</a:t>
            </a:r>
          </a:p>
        </c:rich>
      </c:tx>
      <c:overlay val="0"/>
      <c:spPr>
        <a:noFill/>
        <a:ln>
          <a:noFill/>
        </a:ln>
        <a:effectLst/>
      </c:spPr>
      <c:txPr>
        <a:bodyPr rot="0" spcFirstLastPara="1" vertOverflow="ellipsis" vert="horz" wrap="square" anchor="ctr" anchorCtr="1"/>
        <a:lstStyle/>
        <a:p>
          <a:pPr>
            <a:defRPr sz="28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59761699797555"/>
          <c:y val="0.10905818025686213"/>
          <c:w val="0.88747597122074884"/>
          <c:h val="0.68139336175528475"/>
        </c:manualLayout>
      </c:layout>
      <c:lineChart>
        <c:grouping val="standard"/>
        <c:varyColors val="0"/>
        <c:ser>
          <c:idx val="0"/>
          <c:order val="0"/>
          <c:tx>
            <c:strRef>
              <c:f>'Qrtly Credit-Deficit Generation'!$A$115</c:f>
              <c:strCache>
                <c:ptCount val="1"/>
                <c:pt idx="0">
                  <c:v>Bio-LNG</c:v>
                </c:pt>
              </c:strCache>
            </c:strRef>
          </c:tx>
          <c:spPr>
            <a:ln w="28575" cap="rnd">
              <a:solidFill>
                <a:srgbClr val="5D803B"/>
              </a:solidFill>
              <a:round/>
            </a:ln>
            <a:effectLst/>
          </c:spPr>
          <c:marker>
            <c:symbol val="circle"/>
            <c:size val="7"/>
            <c:spPr>
              <a:solidFill>
                <a:srgbClr val="5D803B"/>
              </a:solidFill>
              <a:ln w="9525">
                <a:solidFill>
                  <a:schemeClr val="tx1"/>
                </a:solidFill>
              </a:ln>
              <a:effectLst/>
            </c:spPr>
          </c:marker>
          <c:dPt>
            <c:idx val="43"/>
            <c:marker>
              <c:symbol val="circle"/>
              <c:size val="7"/>
              <c:spPr>
                <a:solidFill>
                  <a:srgbClr val="5D803B"/>
                </a:solidFill>
                <a:ln w="9525">
                  <a:solidFill>
                    <a:schemeClr val="tx1"/>
                  </a:solidFill>
                </a:ln>
                <a:effectLst/>
              </c:spPr>
            </c:marker>
            <c:bubble3D val="0"/>
            <c:spPr>
              <a:ln w="28575" cap="rnd">
                <a:solidFill>
                  <a:srgbClr val="5D803B"/>
                </a:solidFill>
                <a:prstDash val="solid"/>
                <a:round/>
              </a:ln>
              <a:effectLst/>
            </c:spPr>
            <c:extLst>
              <c:ext xmlns:c16="http://schemas.microsoft.com/office/drawing/2014/chart" uri="{C3380CC4-5D6E-409C-BE32-E72D297353CC}">
                <c16:uniqueId val="{00000001-6B66-4A56-A2DA-9749805B203D}"/>
              </c:ext>
            </c:extLst>
          </c:dPt>
          <c:dPt>
            <c:idx val="44"/>
            <c:marker>
              <c:symbol val="circle"/>
              <c:size val="7"/>
              <c:spPr>
                <a:solidFill>
                  <a:srgbClr val="5D803B"/>
                </a:solidFill>
                <a:ln w="9525">
                  <a:solidFill>
                    <a:schemeClr val="tx1"/>
                  </a:solidFill>
                </a:ln>
                <a:effectLst/>
              </c:spPr>
            </c:marker>
            <c:bubble3D val="0"/>
            <c:spPr>
              <a:ln w="28575" cap="rnd">
                <a:solidFill>
                  <a:srgbClr val="5D803B"/>
                </a:solidFill>
                <a:prstDash val="solid"/>
                <a:round/>
              </a:ln>
              <a:effectLst/>
            </c:spPr>
            <c:extLst>
              <c:ext xmlns:c16="http://schemas.microsoft.com/office/drawing/2014/chart" uri="{C3380CC4-5D6E-409C-BE32-E72D297353CC}">
                <c16:uniqueId val="{00000003-6B66-4A56-A2DA-9749805B203D}"/>
              </c:ext>
            </c:extLst>
          </c:dPt>
          <c:dPt>
            <c:idx val="45"/>
            <c:marker>
              <c:symbol val="circle"/>
              <c:size val="7"/>
              <c:spPr>
                <a:solidFill>
                  <a:srgbClr val="5D803B"/>
                </a:solidFill>
                <a:ln w="9525">
                  <a:solidFill>
                    <a:schemeClr val="tx1"/>
                  </a:solidFill>
                </a:ln>
                <a:effectLst/>
              </c:spPr>
            </c:marker>
            <c:bubble3D val="0"/>
            <c:spPr>
              <a:ln w="28575" cap="rnd">
                <a:solidFill>
                  <a:srgbClr val="5D803B"/>
                </a:solidFill>
                <a:prstDash val="solid"/>
                <a:round/>
              </a:ln>
              <a:effectLst/>
            </c:spPr>
            <c:extLst>
              <c:ext xmlns:c16="http://schemas.microsoft.com/office/drawing/2014/chart" uri="{C3380CC4-5D6E-409C-BE32-E72D297353CC}">
                <c16:uniqueId val="{00000005-6B66-4A56-A2DA-9749805B203D}"/>
              </c:ext>
            </c:extLst>
          </c:dPt>
          <c:dPt>
            <c:idx val="46"/>
            <c:marker>
              <c:symbol val="circle"/>
              <c:size val="7"/>
              <c:spPr>
                <a:solidFill>
                  <a:srgbClr val="5D803B"/>
                </a:solidFill>
                <a:ln w="9525">
                  <a:solidFill>
                    <a:schemeClr val="tx1"/>
                  </a:solidFill>
                </a:ln>
                <a:effectLst/>
              </c:spPr>
            </c:marker>
            <c:bubble3D val="0"/>
            <c:spPr>
              <a:ln w="28575" cap="rnd">
                <a:solidFill>
                  <a:srgbClr val="5D803B"/>
                </a:solidFill>
                <a:prstDash val="solid"/>
                <a:round/>
              </a:ln>
              <a:effectLst/>
            </c:spPr>
            <c:extLst>
              <c:ext xmlns:c16="http://schemas.microsoft.com/office/drawing/2014/chart" uri="{C3380CC4-5D6E-409C-BE32-E72D297353CC}">
                <c16:uniqueId val="{00000007-6B66-4A56-A2DA-9749805B203D}"/>
              </c:ext>
            </c:extLst>
          </c:dPt>
          <c:dPt>
            <c:idx val="47"/>
            <c:marker>
              <c:symbol val="circle"/>
              <c:size val="7"/>
              <c:spPr>
                <a:solidFill>
                  <a:srgbClr val="5D803B"/>
                </a:solidFill>
                <a:ln w="9525">
                  <a:solidFill>
                    <a:schemeClr val="tx1"/>
                  </a:solidFill>
                </a:ln>
                <a:effectLst/>
              </c:spPr>
            </c:marker>
            <c:bubble3D val="0"/>
            <c:spPr>
              <a:ln w="28575" cap="rnd">
                <a:solidFill>
                  <a:srgbClr val="5D803B"/>
                </a:solidFill>
                <a:prstDash val="solid"/>
                <a:round/>
              </a:ln>
              <a:effectLst/>
            </c:spPr>
            <c:extLst>
              <c:ext xmlns:c16="http://schemas.microsoft.com/office/drawing/2014/chart" uri="{C3380CC4-5D6E-409C-BE32-E72D297353CC}">
                <c16:uniqueId val="{00000009-6B66-4A56-A2DA-9749805B203D}"/>
              </c:ext>
            </c:extLst>
          </c:dPt>
          <c:dPt>
            <c:idx val="48"/>
            <c:marker>
              <c:symbol val="circle"/>
              <c:size val="7"/>
              <c:spPr>
                <a:solidFill>
                  <a:srgbClr val="5D803B"/>
                </a:solidFill>
                <a:ln w="9525">
                  <a:solidFill>
                    <a:schemeClr val="tx1"/>
                  </a:solidFill>
                </a:ln>
                <a:effectLst/>
              </c:spPr>
            </c:marker>
            <c:bubble3D val="0"/>
            <c:spPr>
              <a:ln w="28575" cap="rnd">
                <a:solidFill>
                  <a:srgbClr val="5D803B"/>
                </a:solidFill>
                <a:prstDash val="solid"/>
                <a:round/>
              </a:ln>
              <a:effectLst/>
            </c:spPr>
            <c:extLst>
              <c:ext xmlns:c16="http://schemas.microsoft.com/office/drawing/2014/chart" uri="{C3380CC4-5D6E-409C-BE32-E72D297353CC}">
                <c16:uniqueId val="{0000000B-6B66-4A56-A2DA-9749805B203D}"/>
              </c:ext>
            </c:extLst>
          </c:dPt>
          <c:dPt>
            <c:idx val="49"/>
            <c:marker>
              <c:symbol val="circle"/>
              <c:size val="7"/>
              <c:spPr>
                <a:solidFill>
                  <a:srgbClr val="5D803B"/>
                </a:solidFill>
                <a:ln w="9525">
                  <a:solidFill>
                    <a:schemeClr val="tx1"/>
                  </a:solidFill>
                </a:ln>
                <a:effectLst/>
              </c:spPr>
            </c:marker>
            <c:bubble3D val="0"/>
            <c:spPr>
              <a:ln w="28575" cap="rnd">
                <a:solidFill>
                  <a:srgbClr val="5D803B"/>
                </a:solidFill>
                <a:prstDash val="solid"/>
                <a:round/>
              </a:ln>
              <a:effectLst/>
            </c:spPr>
            <c:extLst>
              <c:ext xmlns:c16="http://schemas.microsoft.com/office/drawing/2014/chart" uri="{C3380CC4-5D6E-409C-BE32-E72D297353CC}">
                <c16:uniqueId val="{0000000D-6B66-4A56-A2DA-9749805B203D}"/>
              </c:ext>
            </c:extLst>
          </c:dPt>
          <c:dPt>
            <c:idx val="50"/>
            <c:marker>
              <c:symbol val="circle"/>
              <c:size val="7"/>
              <c:spPr>
                <a:solidFill>
                  <a:srgbClr val="5D803B"/>
                </a:solidFill>
                <a:ln w="9525">
                  <a:solidFill>
                    <a:schemeClr val="tx1"/>
                  </a:solidFill>
                </a:ln>
                <a:effectLst/>
              </c:spPr>
            </c:marker>
            <c:bubble3D val="0"/>
            <c:spPr>
              <a:ln w="28575" cap="rnd">
                <a:solidFill>
                  <a:srgbClr val="5D803B"/>
                </a:solidFill>
                <a:prstDash val="solid"/>
                <a:round/>
              </a:ln>
              <a:effectLst/>
            </c:spPr>
            <c:extLst>
              <c:ext xmlns:c16="http://schemas.microsoft.com/office/drawing/2014/chart" uri="{C3380CC4-5D6E-409C-BE32-E72D297353CC}">
                <c16:uniqueId val="{0000000F-6B66-4A56-A2DA-9749805B203D}"/>
              </c:ext>
            </c:extLst>
          </c:dPt>
          <c:dPt>
            <c:idx val="51"/>
            <c:marker>
              <c:symbol val="circle"/>
              <c:size val="7"/>
              <c:spPr>
                <a:solidFill>
                  <a:srgbClr val="5D803B"/>
                </a:solidFill>
                <a:ln w="9525">
                  <a:solidFill>
                    <a:schemeClr val="tx1"/>
                  </a:solidFill>
                </a:ln>
                <a:effectLst/>
              </c:spPr>
            </c:marker>
            <c:bubble3D val="0"/>
            <c:spPr>
              <a:ln w="28575" cap="rnd">
                <a:solidFill>
                  <a:srgbClr val="5D803B"/>
                </a:solidFill>
                <a:prstDash val="solid"/>
                <a:round/>
              </a:ln>
              <a:effectLst/>
            </c:spPr>
            <c:extLst>
              <c:ext xmlns:c16="http://schemas.microsoft.com/office/drawing/2014/chart" uri="{C3380CC4-5D6E-409C-BE32-E72D297353CC}">
                <c16:uniqueId val="{00000011-6B66-4A56-A2DA-9749805B203D}"/>
              </c:ext>
            </c:extLst>
          </c:dPt>
          <c:cat>
            <c:strRef>
              <c:f>'Qrtly Credit-Deficit Generation'!$C$110:$BD$110</c:f>
              <c:strCache>
                <c:ptCount val="54"/>
                <c:pt idx="0">
                  <c:v>2011 Q1</c:v>
                </c:pt>
                <c:pt idx="1">
                  <c:v>Q2</c:v>
                </c:pt>
                <c:pt idx="2">
                  <c:v>Q3</c:v>
                </c:pt>
                <c:pt idx="3">
                  <c:v>Q4</c:v>
                </c:pt>
                <c:pt idx="4">
                  <c:v>2012 Q1</c:v>
                </c:pt>
                <c:pt idx="5">
                  <c:v>Q2</c:v>
                </c:pt>
                <c:pt idx="6">
                  <c:v>Q3</c:v>
                </c:pt>
                <c:pt idx="7">
                  <c:v>Q4</c:v>
                </c:pt>
                <c:pt idx="8">
                  <c:v>2013 Q1</c:v>
                </c:pt>
                <c:pt idx="9">
                  <c:v>Q2</c:v>
                </c:pt>
                <c:pt idx="10">
                  <c:v>Q3</c:v>
                </c:pt>
                <c:pt idx="11">
                  <c:v>Q4</c:v>
                </c:pt>
                <c:pt idx="12">
                  <c:v>2014 Q1</c:v>
                </c:pt>
                <c:pt idx="13">
                  <c:v>Q2</c:v>
                </c:pt>
                <c:pt idx="14">
                  <c:v>Q3</c:v>
                </c:pt>
                <c:pt idx="15">
                  <c:v>Q4</c:v>
                </c:pt>
                <c:pt idx="16">
                  <c:v>2015 Q1</c:v>
                </c:pt>
                <c:pt idx="17">
                  <c:v>Q2</c:v>
                </c:pt>
                <c:pt idx="18">
                  <c:v>Q3</c:v>
                </c:pt>
                <c:pt idx="19">
                  <c:v>Q4</c:v>
                </c:pt>
                <c:pt idx="20">
                  <c:v>2016 Q1</c:v>
                </c:pt>
                <c:pt idx="21">
                  <c:v>Q2</c:v>
                </c:pt>
                <c:pt idx="22">
                  <c:v>Q3</c:v>
                </c:pt>
                <c:pt idx="23">
                  <c:v>Q4</c:v>
                </c:pt>
                <c:pt idx="24">
                  <c:v>2017 Q1</c:v>
                </c:pt>
                <c:pt idx="25">
                  <c:v>Q2</c:v>
                </c:pt>
                <c:pt idx="26">
                  <c:v>Q3</c:v>
                </c:pt>
                <c:pt idx="27">
                  <c:v>Q4</c:v>
                </c:pt>
                <c:pt idx="28">
                  <c:v>2018 Q1</c:v>
                </c:pt>
                <c:pt idx="29">
                  <c:v>Q2</c:v>
                </c:pt>
                <c:pt idx="30">
                  <c:v>Q3</c:v>
                </c:pt>
                <c:pt idx="31">
                  <c:v>Q4</c:v>
                </c:pt>
                <c:pt idx="32">
                  <c:v>2019 Q1</c:v>
                </c:pt>
                <c:pt idx="33">
                  <c:v>Q2</c:v>
                </c:pt>
                <c:pt idx="34">
                  <c:v>Q3</c:v>
                </c:pt>
                <c:pt idx="35">
                  <c:v>Q4</c:v>
                </c:pt>
                <c:pt idx="36">
                  <c:v>2020 Q1</c:v>
                </c:pt>
                <c:pt idx="37">
                  <c:v>Q2</c:v>
                </c:pt>
                <c:pt idx="38">
                  <c:v>Q3</c:v>
                </c:pt>
                <c:pt idx="39">
                  <c:v>Q4</c:v>
                </c:pt>
                <c:pt idx="40">
                  <c:v>2021 Q1</c:v>
                </c:pt>
                <c:pt idx="41">
                  <c:v>Q2</c:v>
                </c:pt>
                <c:pt idx="42">
                  <c:v>Q3</c:v>
                </c:pt>
                <c:pt idx="43">
                  <c:v>Q4</c:v>
                </c:pt>
                <c:pt idx="44">
                  <c:v>2022 Q1</c:v>
                </c:pt>
                <c:pt idx="45">
                  <c:v>Q2</c:v>
                </c:pt>
                <c:pt idx="46">
                  <c:v>Q3</c:v>
                </c:pt>
                <c:pt idx="47">
                  <c:v>Q4</c:v>
                </c:pt>
                <c:pt idx="48">
                  <c:v>2023 Q1</c:v>
                </c:pt>
                <c:pt idx="49">
                  <c:v>Q2</c:v>
                </c:pt>
                <c:pt idx="50">
                  <c:v>Q3</c:v>
                </c:pt>
                <c:pt idx="51">
                  <c:v>Q4</c:v>
                </c:pt>
                <c:pt idx="52">
                  <c:v>2024Q1</c:v>
                </c:pt>
                <c:pt idx="53">
                  <c:v>Q2</c:v>
                </c:pt>
              </c:strCache>
            </c:strRef>
          </c:cat>
          <c:val>
            <c:numRef>
              <c:f>'Qrtly Credit-Deficit Generation'!$C$115:$BD$115</c:f>
              <c:numCache>
                <c:formatCode>0.00_);[Red]\(0.00\)</c:formatCode>
                <c:ptCount val="54"/>
                <c:pt idx="0">
                  <c:v>15.56</c:v>
                </c:pt>
                <c:pt idx="1">
                  <c:v>15.56</c:v>
                </c:pt>
                <c:pt idx="2">
                  <c:v>15.56</c:v>
                </c:pt>
                <c:pt idx="3">
                  <c:v>15.56</c:v>
                </c:pt>
                <c:pt idx="4">
                  <c:v>15.56</c:v>
                </c:pt>
                <c:pt idx="5">
                  <c:v>15.56</c:v>
                </c:pt>
                <c:pt idx="6">
                  <c:v>15.56</c:v>
                </c:pt>
                <c:pt idx="7">
                  <c:v>15.56</c:v>
                </c:pt>
                <c:pt idx="8">
                  <c:v>15.56</c:v>
                </c:pt>
                <c:pt idx="9">
                  <c:v>25.06</c:v>
                </c:pt>
                <c:pt idx="10">
                  <c:v>20.32</c:v>
                </c:pt>
                <c:pt idx="11">
                  <c:v>23.42</c:v>
                </c:pt>
                <c:pt idx="12">
                  <c:v>24.31</c:v>
                </c:pt>
                <c:pt idx="13">
                  <c:v>26</c:v>
                </c:pt>
                <c:pt idx="14">
                  <c:v>39.65</c:v>
                </c:pt>
                <c:pt idx="15">
                  <c:v>34.76</c:v>
                </c:pt>
                <c:pt idx="16">
                  <c:v>33.17</c:v>
                </c:pt>
                <c:pt idx="17">
                  <c:v>25.96</c:v>
                </c:pt>
                <c:pt idx="18">
                  <c:v>24.2</c:v>
                </c:pt>
                <c:pt idx="19">
                  <c:v>26.86</c:v>
                </c:pt>
                <c:pt idx="20">
                  <c:v>26.17</c:v>
                </c:pt>
                <c:pt idx="21">
                  <c:v>26.78</c:v>
                </c:pt>
                <c:pt idx="22">
                  <c:v>42.66</c:v>
                </c:pt>
                <c:pt idx="23">
                  <c:v>43.55</c:v>
                </c:pt>
                <c:pt idx="24">
                  <c:v>49.59</c:v>
                </c:pt>
                <c:pt idx="25">
                  <c:v>47.97</c:v>
                </c:pt>
                <c:pt idx="26">
                  <c:v>51.38</c:v>
                </c:pt>
                <c:pt idx="27">
                  <c:v>49.57</c:v>
                </c:pt>
                <c:pt idx="28">
                  <c:v>52.59</c:v>
                </c:pt>
                <c:pt idx="29">
                  <c:v>51.78</c:v>
                </c:pt>
                <c:pt idx="30">
                  <c:v>52.1</c:v>
                </c:pt>
                <c:pt idx="31">
                  <c:v>52.25</c:v>
                </c:pt>
                <c:pt idx="32">
                  <c:v>58.14</c:v>
                </c:pt>
                <c:pt idx="33">
                  <c:v>52.69</c:v>
                </c:pt>
                <c:pt idx="34">
                  <c:v>57.83</c:v>
                </c:pt>
                <c:pt idx="35">
                  <c:v>55.92</c:v>
                </c:pt>
                <c:pt idx="36">
                  <c:v>52.31</c:v>
                </c:pt>
                <c:pt idx="37">
                  <c:v>54.07</c:v>
                </c:pt>
                <c:pt idx="38">
                  <c:v>57.42</c:v>
                </c:pt>
                <c:pt idx="39">
                  <c:v>55.96</c:v>
                </c:pt>
                <c:pt idx="40">
                  <c:v>61.71</c:v>
                </c:pt>
                <c:pt idx="41">
                  <c:v>60.84</c:v>
                </c:pt>
                <c:pt idx="42">
                  <c:v>61.28</c:v>
                </c:pt>
                <c:pt idx="43">
                  <c:v>57.21</c:v>
                </c:pt>
                <c:pt idx="44">
                  <c:v>53.96</c:v>
                </c:pt>
                <c:pt idx="45">
                  <c:v>54.4</c:v>
                </c:pt>
                <c:pt idx="46">
                  <c:v>55.04</c:v>
                </c:pt>
                <c:pt idx="47">
                  <c:v>54.739725648411302</c:v>
                </c:pt>
                <c:pt idx="48" formatCode="General">
                  <c:v>49.82</c:v>
                </c:pt>
                <c:pt idx="49" formatCode="General">
                  <c:v>49.5</c:v>
                </c:pt>
                <c:pt idx="50" formatCode="General">
                  <c:v>48.59</c:v>
                </c:pt>
                <c:pt idx="51" formatCode="General">
                  <c:v>49.03</c:v>
                </c:pt>
                <c:pt idx="52" formatCode="General">
                  <c:v>48.81</c:v>
                </c:pt>
                <c:pt idx="53" formatCode="General">
                  <c:v>45.68</c:v>
                </c:pt>
              </c:numCache>
            </c:numRef>
          </c:val>
          <c:smooth val="0"/>
          <c:extLst>
            <c:ext xmlns:c16="http://schemas.microsoft.com/office/drawing/2014/chart" uri="{C3380CC4-5D6E-409C-BE32-E72D297353CC}">
              <c16:uniqueId val="{00000012-6B66-4A56-A2DA-9749805B203D}"/>
            </c:ext>
          </c:extLst>
        </c:ser>
        <c:dLbls>
          <c:showLegendKey val="0"/>
          <c:showVal val="0"/>
          <c:showCatName val="0"/>
          <c:showSerName val="0"/>
          <c:showPercent val="0"/>
          <c:showBubbleSize val="0"/>
        </c:dLbls>
        <c:marker val="1"/>
        <c:smooth val="0"/>
        <c:axId val="79620736"/>
        <c:axId val="80548224"/>
      </c:lineChart>
      <c:catAx>
        <c:axId val="79620736"/>
        <c:scaling>
          <c:orientation val="minMax"/>
        </c:scaling>
        <c:delete val="0"/>
        <c:axPos val="b"/>
        <c:numFmt formatCode="General" sourceLinked="1"/>
        <c:majorTickMark val="none"/>
        <c:minorTickMark val="none"/>
        <c:tickLblPos val="nextTo"/>
        <c:spPr>
          <a:noFill/>
          <a:ln w="9525" cap="flat" cmpd="sng" algn="ctr">
            <a:solidFill>
              <a:srgbClr val="5D803B"/>
            </a:solidFill>
            <a:round/>
          </a:ln>
          <a:effectLst/>
        </c:spPr>
        <c:txPr>
          <a:bodyPr rot="-5400000" spcFirstLastPara="1" vertOverflow="ellipsis" wrap="square" anchor="ctr" anchorCtr="1"/>
          <a:lstStyle/>
          <a:p>
            <a:pPr>
              <a:defRPr sz="14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80548224"/>
        <c:crosses val="autoZero"/>
        <c:auto val="1"/>
        <c:lblAlgn val="ctr"/>
        <c:lblOffset val="100"/>
        <c:noMultiLvlLbl val="0"/>
      </c:catAx>
      <c:valAx>
        <c:axId val="805482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a:t>(average</a:t>
                </a:r>
                <a:r>
                  <a:rPr lang="en-US" baseline="0"/>
                  <a:t> CI score)</a:t>
                </a:r>
                <a:endParaRPr lang="en-US"/>
              </a:p>
            </c:rich>
          </c:tx>
          <c:overlay val="0"/>
          <c:spPr>
            <a:noFill/>
            <a:ln>
              <a:noFill/>
            </a:ln>
            <a:effectLst/>
          </c:spPr>
          <c:txPr>
            <a:bodyPr rot="-5400000" spcFirstLastPara="1" vertOverflow="ellipsis" vert="horz" wrap="square" anchor="ctr" anchorCtr="1"/>
            <a:lstStyle/>
            <a:p>
              <a:pPr>
                <a:defRPr sz="14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00_);[Red]\(0.00\)"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9620736"/>
        <c:crosses val="autoZero"/>
        <c:crossBetween val="between"/>
      </c:valAx>
      <c:spPr>
        <a:noFill/>
        <a:ln>
          <a:solidFill>
            <a:srgbClr val="5D803B"/>
          </a:solidFill>
        </a:ln>
        <a:effectLst/>
      </c:spPr>
    </c:plotArea>
    <c:plotVisOnly val="1"/>
    <c:dispBlanksAs val="gap"/>
    <c:showDLblsOverMax val="0"/>
  </c:chart>
  <c:spPr>
    <a:solidFill>
      <a:schemeClr val="bg1"/>
    </a:solidFill>
    <a:ln w="9525" cap="flat" cmpd="sng" algn="ctr">
      <a:noFill/>
      <a:round/>
    </a:ln>
    <a:effectLst/>
  </c:spPr>
  <c:txPr>
    <a:bodyPr/>
    <a:lstStyle/>
    <a:p>
      <a:pPr>
        <a:defRPr sz="1400" b="1">
          <a:solidFill>
            <a:sysClr val="windowText" lastClr="000000"/>
          </a:solidFill>
          <a:latin typeface="Arial" panose="020B0604020202020204" pitchFamily="34" charset="0"/>
          <a:cs typeface="Arial" panose="020B0604020202020204" pitchFamily="34" charset="0"/>
        </a:defRPr>
      </a:pPr>
      <a:endParaRPr lang="en-US"/>
    </a:p>
  </c:txPr>
  <c:userShapes r:id="rId3"/>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US" sz="2000"/>
              <a:t>Average Alternative Jet Fuel Carbon Intensity</a:t>
            </a:r>
            <a:r>
              <a:rPr lang="en-US" sz="2000" baseline="0"/>
              <a:t> Score</a:t>
            </a:r>
            <a:endParaRPr lang="en-US" sz="2000"/>
          </a:p>
        </c:rich>
      </c:tx>
      <c:overlay val="0"/>
      <c:spPr>
        <a:noFill/>
        <a:ln>
          <a:noFill/>
        </a:ln>
        <a:effectLst/>
      </c:spPr>
      <c:txPr>
        <a:bodyPr rot="0" spcFirstLastPara="1" vertOverflow="ellipsis" vert="horz" wrap="square" anchor="ctr" anchorCtr="1"/>
        <a:lstStyle/>
        <a:p>
          <a:pPr>
            <a:defRPr sz="20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9.5573544781325598E-2"/>
          <c:y val="0.12746292022062355"/>
          <c:w val="0.8927104673600853"/>
          <c:h val="0.66781039840917999"/>
        </c:manualLayout>
      </c:layout>
      <c:lineChart>
        <c:grouping val="standard"/>
        <c:varyColors val="0"/>
        <c:ser>
          <c:idx val="0"/>
          <c:order val="0"/>
          <c:tx>
            <c:strRef>
              <c:f>'Qrtly Credit-Deficit Generation'!$A$117</c:f>
              <c:strCache>
                <c:ptCount val="1"/>
                <c:pt idx="0">
                  <c:v>Alternative Jet Fuel</c:v>
                </c:pt>
              </c:strCache>
            </c:strRef>
          </c:tx>
          <c:spPr>
            <a:ln w="28575" cap="rnd">
              <a:solidFill>
                <a:srgbClr val="5D803B"/>
              </a:solidFill>
              <a:round/>
            </a:ln>
            <a:effectLst/>
          </c:spPr>
          <c:marker>
            <c:symbol val="circle"/>
            <c:size val="7"/>
            <c:spPr>
              <a:solidFill>
                <a:srgbClr val="5D803B"/>
              </a:solidFill>
              <a:ln w="9525">
                <a:solidFill>
                  <a:schemeClr val="tx1"/>
                </a:solidFill>
              </a:ln>
              <a:effectLst/>
            </c:spPr>
          </c:marker>
          <c:dPt>
            <c:idx val="10"/>
            <c:marker>
              <c:symbol val="circle"/>
              <c:size val="7"/>
              <c:spPr>
                <a:solidFill>
                  <a:srgbClr val="5D803B"/>
                </a:solidFill>
                <a:ln w="9525">
                  <a:solidFill>
                    <a:schemeClr val="tx1"/>
                  </a:solidFill>
                </a:ln>
                <a:effectLst/>
              </c:spPr>
            </c:marker>
            <c:bubble3D val="0"/>
            <c:spPr>
              <a:ln w="28575" cap="rnd">
                <a:solidFill>
                  <a:srgbClr val="5D803B"/>
                </a:solidFill>
                <a:prstDash val="solid"/>
                <a:round/>
              </a:ln>
              <a:effectLst/>
            </c:spPr>
            <c:extLst>
              <c:ext xmlns:c16="http://schemas.microsoft.com/office/drawing/2014/chart" uri="{C3380CC4-5D6E-409C-BE32-E72D297353CC}">
                <c16:uniqueId val="{00000001-D8C0-419C-A61B-388790A5864D}"/>
              </c:ext>
            </c:extLst>
          </c:dPt>
          <c:dPt>
            <c:idx val="11"/>
            <c:marker>
              <c:symbol val="circle"/>
              <c:size val="7"/>
              <c:spPr>
                <a:solidFill>
                  <a:srgbClr val="5D803B"/>
                </a:solidFill>
                <a:ln w="9525">
                  <a:solidFill>
                    <a:schemeClr val="tx1"/>
                  </a:solidFill>
                </a:ln>
                <a:effectLst/>
              </c:spPr>
            </c:marker>
            <c:bubble3D val="0"/>
            <c:spPr>
              <a:ln w="28575" cap="rnd">
                <a:solidFill>
                  <a:srgbClr val="5D803B"/>
                </a:solidFill>
                <a:prstDash val="solid"/>
                <a:round/>
              </a:ln>
              <a:effectLst/>
            </c:spPr>
            <c:extLst>
              <c:ext xmlns:c16="http://schemas.microsoft.com/office/drawing/2014/chart" uri="{C3380CC4-5D6E-409C-BE32-E72D297353CC}">
                <c16:uniqueId val="{00000003-D8C0-419C-A61B-388790A5864D}"/>
              </c:ext>
            </c:extLst>
          </c:dPt>
          <c:dPt>
            <c:idx val="12"/>
            <c:marker>
              <c:symbol val="circle"/>
              <c:size val="7"/>
              <c:spPr>
                <a:solidFill>
                  <a:srgbClr val="5D803B"/>
                </a:solidFill>
                <a:ln w="9525">
                  <a:solidFill>
                    <a:schemeClr val="tx1"/>
                  </a:solidFill>
                </a:ln>
                <a:effectLst/>
              </c:spPr>
            </c:marker>
            <c:bubble3D val="0"/>
            <c:spPr>
              <a:ln w="28575" cap="rnd">
                <a:solidFill>
                  <a:srgbClr val="5D803B"/>
                </a:solidFill>
                <a:prstDash val="solid"/>
                <a:round/>
              </a:ln>
              <a:effectLst/>
            </c:spPr>
            <c:extLst>
              <c:ext xmlns:c16="http://schemas.microsoft.com/office/drawing/2014/chart" uri="{C3380CC4-5D6E-409C-BE32-E72D297353CC}">
                <c16:uniqueId val="{00000005-D8C0-419C-A61B-388790A5864D}"/>
              </c:ext>
            </c:extLst>
          </c:dPt>
          <c:dPt>
            <c:idx val="13"/>
            <c:marker>
              <c:symbol val="circle"/>
              <c:size val="7"/>
              <c:spPr>
                <a:solidFill>
                  <a:srgbClr val="5D803B"/>
                </a:solidFill>
                <a:ln w="9525">
                  <a:solidFill>
                    <a:schemeClr val="tx1"/>
                  </a:solidFill>
                </a:ln>
                <a:effectLst/>
              </c:spPr>
            </c:marker>
            <c:bubble3D val="0"/>
            <c:spPr>
              <a:ln w="28575" cap="rnd">
                <a:solidFill>
                  <a:srgbClr val="5D803B"/>
                </a:solidFill>
                <a:prstDash val="solid"/>
                <a:round/>
              </a:ln>
              <a:effectLst/>
            </c:spPr>
            <c:extLst>
              <c:ext xmlns:c16="http://schemas.microsoft.com/office/drawing/2014/chart" uri="{C3380CC4-5D6E-409C-BE32-E72D297353CC}">
                <c16:uniqueId val="{00000007-D8C0-419C-A61B-388790A5864D}"/>
              </c:ext>
            </c:extLst>
          </c:dPt>
          <c:dPt>
            <c:idx val="14"/>
            <c:marker>
              <c:symbol val="circle"/>
              <c:size val="7"/>
              <c:spPr>
                <a:solidFill>
                  <a:srgbClr val="5D803B"/>
                </a:solidFill>
                <a:ln w="9525">
                  <a:solidFill>
                    <a:schemeClr val="tx1"/>
                  </a:solidFill>
                </a:ln>
                <a:effectLst/>
              </c:spPr>
            </c:marker>
            <c:bubble3D val="0"/>
            <c:spPr>
              <a:ln w="28575" cap="rnd">
                <a:solidFill>
                  <a:srgbClr val="5D803B"/>
                </a:solidFill>
                <a:prstDash val="solid"/>
                <a:round/>
              </a:ln>
              <a:effectLst/>
            </c:spPr>
            <c:extLst>
              <c:ext xmlns:c16="http://schemas.microsoft.com/office/drawing/2014/chart" uri="{C3380CC4-5D6E-409C-BE32-E72D297353CC}">
                <c16:uniqueId val="{00000009-D8C0-419C-A61B-388790A5864D}"/>
              </c:ext>
            </c:extLst>
          </c:dPt>
          <c:dPt>
            <c:idx val="15"/>
            <c:marker>
              <c:symbol val="circle"/>
              <c:size val="7"/>
              <c:spPr>
                <a:solidFill>
                  <a:srgbClr val="5D803B"/>
                </a:solidFill>
                <a:ln w="9525">
                  <a:solidFill>
                    <a:schemeClr val="tx1"/>
                  </a:solidFill>
                </a:ln>
                <a:effectLst/>
              </c:spPr>
            </c:marker>
            <c:bubble3D val="0"/>
            <c:spPr>
              <a:ln w="28575" cap="rnd">
                <a:solidFill>
                  <a:srgbClr val="5D803B"/>
                </a:solidFill>
                <a:prstDash val="solid"/>
                <a:round/>
              </a:ln>
              <a:effectLst/>
            </c:spPr>
            <c:extLst>
              <c:ext xmlns:c16="http://schemas.microsoft.com/office/drawing/2014/chart" uri="{C3380CC4-5D6E-409C-BE32-E72D297353CC}">
                <c16:uniqueId val="{0000000B-D8C0-419C-A61B-388790A5864D}"/>
              </c:ext>
            </c:extLst>
          </c:dPt>
          <c:dPt>
            <c:idx val="16"/>
            <c:marker>
              <c:symbol val="circle"/>
              <c:size val="7"/>
              <c:spPr>
                <a:solidFill>
                  <a:srgbClr val="5D803B"/>
                </a:solidFill>
                <a:ln w="9525">
                  <a:solidFill>
                    <a:schemeClr val="tx1"/>
                  </a:solidFill>
                </a:ln>
                <a:effectLst/>
              </c:spPr>
            </c:marker>
            <c:bubble3D val="0"/>
            <c:spPr>
              <a:ln w="28575" cap="rnd">
                <a:solidFill>
                  <a:srgbClr val="5D803B"/>
                </a:solidFill>
                <a:prstDash val="solid"/>
                <a:round/>
              </a:ln>
              <a:effectLst/>
            </c:spPr>
            <c:extLst>
              <c:ext xmlns:c16="http://schemas.microsoft.com/office/drawing/2014/chart" uri="{C3380CC4-5D6E-409C-BE32-E72D297353CC}">
                <c16:uniqueId val="{0000000D-D8C0-419C-A61B-388790A5864D}"/>
              </c:ext>
            </c:extLst>
          </c:dPt>
          <c:dPt>
            <c:idx val="17"/>
            <c:marker>
              <c:symbol val="circle"/>
              <c:size val="7"/>
              <c:spPr>
                <a:solidFill>
                  <a:srgbClr val="5D803B"/>
                </a:solidFill>
                <a:ln w="9525">
                  <a:solidFill>
                    <a:schemeClr val="tx1"/>
                  </a:solidFill>
                </a:ln>
                <a:effectLst/>
              </c:spPr>
            </c:marker>
            <c:bubble3D val="0"/>
            <c:spPr>
              <a:ln w="28575" cap="rnd">
                <a:solidFill>
                  <a:srgbClr val="5D803B"/>
                </a:solidFill>
                <a:prstDash val="solid"/>
                <a:round/>
              </a:ln>
              <a:effectLst/>
            </c:spPr>
            <c:extLst>
              <c:ext xmlns:c16="http://schemas.microsoft.com/office/drawing/2014/chart" uri="{C3380CC4-5D6E-409C-BE32-E72D297353CC}">
                <c16:uniqueId val="{0000000F-D8C0-419C-A61B-388790A5864D}"/>
              </c:ext>
            </c:extLst>
          </c:dPt>
          <c:dPt>
            <c:idx val="18"/>
            <c:marker>
              <c:symbol val="circle"/>
              <c:size val="7"/>
              <c:spPr>
                <a:solidFill>
                  <a:srgbClr val="5D803B"/>
                </a:solidFill>
                <a:ln w="9525">
                  <a:solidFill>
                    <a:schemeClr val="tx1"/>
                  </a:solidFill>
                </a:ln>
                <a:effectLst/>
              </c:spPr>
            </c:marker>
            <c:bubble3D val="0"/>
            <c:spPr>
              <a:ln w="28575" cap="rnd">
                <a:solidFill>
                  <a:srgbClr val="5D803B"/>
                </a:solidFill>
                <a:prstDash val="solid"/>
                <a:round/>
              </a:ln>
              <a:effectLst/>
            </c:spPr>
            <c:extLst>
              <c:ext xmlns:c16="http://schemas.microsoft.com/office/drawing/2014/chart" uri="{C3380CC4-5D6E-409C-BE32-E72D297353CC}">
                <c16:uniqueId val="{00000011-D8C0-419C-A61B-388790A5864D}"/>
              </c:ext>
            </c:extLst>
          </c:dPt>
          <c:dPt>
            <c:idx val="19"/>
            <c:marker>
              <c:symbol val="circle"/>
              <c:size val="7"/>
              <c:spPr>
                <a:solidFill>
                  <a:srgbClr val="5D803B"/>
                </a:solidFill>
                <a:ln w="9525">
                  <a:solidFill>
                    <a:schemeClr val="tx1"/>
                  </a:solidFill>
                </a:ln>
                <a:effectLst/>
              </c:spPr>
            </c:marker>
            <c:bubble3D val="0"/>
            <c:spPr>
              <a:ln w="28575" cap="rnd">
                <a:solidFill>
                  <a:srgbClr val="5D803B"/>
                </a:solidFill>
                <a:prstDash val="solid"/>
                <a:round/>
              </a:ln>
              <a:effectLst/>
            </c:spPr>
            <c:extLst>
              <c:ext xmlns:c16="http://schemas.microsoft.com/office/drawing/2014/chart" uri="{C3380CC4-5D6E-409C-BE32-E72D297353CC}">
                <c16:uniqueId val="{00000013-D8C0-419C-A61B-388790A5864D}"/>
              </c:ext>
            </c:extLst>
          </c:dPt>
          <c:cat>
            <c:strRef>
              <c:f>'Qrtly Credit-Deficit Generation'!$AI$110:$BD$110</c:f>
              <c:strCache>
                <c:ptCount val="22"/>
                <c:pt idx="0">
                  <c:v>2019 Q1</c:v>
                </c:pt>
                <c:pt idx="1">
                  <c:v>Q2</c:v>
                </c:pt>
                <c:pt idx="2">
                  <c:v>Q3</c:v>
                </c:pt>
                <c:pt idx="3">
                  <c:v>Q4</c:v>
                </c:pt>
                <c:pt idx="4">
                  <c:v>2020 Q1</c:v>
                </c:pt>
                <c:pt idx="5">
                  <c:v>Q2</c:v>
                </c:pt>
                <c:pt idx="6">
                  <c:v>Q3</c:v>
                </c:pt>
                <c:pt idx="7">
                  <c:v>Q4</c:v>
                </c:pt>
                <c:pt idx="8">
                  <c:v>2021 Q1</c:v>
                </c:pt>
                <c:pt idx="9">
                  <c:v>Q2</c:v>
                </c:pt>
                <c:pt idx="10">
                  <c:v>Q3</c:v>
                </c:pt>
                <c:pt idx="11">
                  <c:v>Q4</c:v>
                </c:pt>
                <c:pt idx="12">
                  <c:v>2022 Q1</c:v>
                </c:pt>
                <c:pt idx="13">
                  <c:v>Q2</c:v>
                </c:pt>
                <c:pt idx="14">
                  <c:v>Q3</c:v>
                </c:pt>
                <c:pt idx="15">
                  <c:v>Q4</c:v>
                </c:pt>
                <c:pt idx="16">
                  <c:v>2023 Q1</c:v>
                </c:pt>
                <c:pt idx="17">
                  <c:v>Q2</c:v>
                </c:pt>
                <c:pt idx="18">
                  <c:v>Q3</c:v>
                </c:pt>
                <c:pt idx="19">
                  <c:v>Q4</c:v>
                </c:pt>
                <c:pt idx="20">
                  <c:v>2024Q1</c:v>
                </c:pt>
                <c:pt idx="21">
                  <c:v>Q2</c:v>
                </c:pt>
              </c:strCache>
            </c:strRef>
          </c:cat>
          <c:val>
            <c:numRef>
              <c:f>'Qrtly Credit-Deficit Generation'!$AI$117:$BD$117</c:f>
              <c:numCache>
                <c:formatCode>0.00_);[Red]\(0.00\)</c:formatCode>
                <c:ptCount val="22"/>
                <c:pt idx="0">
                  <c:v>0</c:v>
                </c:pt>
                <c:pt idx="1">
                  <c:v>50</c:v>
                </c:pt>
                <c:pt idx="2">
                  <c:v>37.130000000000003</c:v>
                </c:pt>
                <c:pt idx="3">
                  <c:v>37.380000000000003</c:v>
                </c:pt>
                <c:pt idx="4">
                  <c:v>31.41</c:v>
                </c:pt>
                <c:pt idx="5">
                  <c:v>47.03</c:v>
                </c:pt>
                <c:pt idx="6">
                  <c:v>42.98</c:v>
                </c:pt>
                <c:pt idx="7">
                  <c:v>25.41</c:v>
                </c:pt>
                <c:pt idx="8">
                  <c:v>22.96</c:v>
                </c:pt>
                <c:pt idx="9">
                  <c:v>40.36</c:v>
                </c:pt>
                <c:pt idx="10">
                  <c:v>41.31</c:v>
                </c:pt>
                <c:pt idx="11">
                  <c:v>40.299999999999997</c:v>
                </c:pt>
                <c:pt idx="12">
                  <c:v>22.67</c:v>
                </c:pt>
                <c:pt idx="13">
                  <c:v>45.46</c:v>
                </c:pt>
                <c:pt idx="14">
                  <c:v>42.36</c:v>
                </c:pt>
                <c:pt idx="15">
                  <c:v>38.885830383647011</c:v>
                </c:pt>
                <c:pt idx="16" formatCode="General">
                  <c:v>47.16</c:v>
                </c:pt>
                <c:pt idx="17" formatCode="General">
                  <c:v>36.67</c:v>
                </c:pt>
                <c:pt idx="18" formatCode="General">
                  <c:v>48.75</c:v>
                </c:pt>
                <c:pt idx="19" formatCode="General">
                  <c:v>48.3</c:v>
                </c:pt>
                <c:pt idx="20" formatCode="General">
                  <c:v>44.03</c:v>
                </c:pt>
                <c:pt idx="21" formatCode="General">
                  <c:v>46.89</c:v>
                </c:pt>
              </c:numCache>
            </c:numRef>
          </c:val>
          <c:smooth val="0"/>
          <c:extLst>
            <c:ext xmlns:c16="http://schemas.microsoft.com/office/drawing/2014/chart" uri="{C3380CC4-5D6E-409C-BE32-E72D297353CC}">
              <c16:uniqueId val="{00000014-D8C0-419C-A61B-388790A5864D}"/>
            </c:ext>
          </c:extLst>
        </c:ser>
        <c:dLbls>
          <c:showLegendKey val="0"/>
          <c:showVal val="0"/>
          <c:showCatName val="0"/>
          <c:showSerName val="0"/>
          <c:showPercent val="0"/>
          <c:showBubbleSize val="0"/>
        </c:dLbls>
        <c:marker val="1"/>
        <c:smooth val="0"/>
        <c:axId val="79620736"/>
        <c:axId val="80548224"/>
      </c:lineChart>
      <c:catAx>
        <c:axId val="79620736"/>
        <c:scaling>
          <c:orientation val="minMax"/>
        </c:scaling>
        <c:delete val="0"/>
        <c:axPos val="b"/>
        <c:numFmt formatCode="General" sourceLinked="1"/>
        <c:majorTickMark val="none"/>
        <c:minorTickMark val="none"/>
        <c:tickLblPos val="nextTo"/>
        <c:spPr>
          <a:noFill/>
          <a:ln w="9525" cap="flat" cmpd="sng" algn="ctr">
            <a:solidFill>
              <a:srgbClr val="5D803B"/>
            </a:solidFill>
            <a:round/>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80548224"/>
        <c:crosses val="autoZero"/>
        <c:auto val="1"/>
        <c:lblAlgn val="ctr"/>
        <c:lblOffset val="100"/>
        <c:noMultiLvlLbl val="0"/>
      </c:catAx>
      <c:valAx>
        <c:axId val="80548224"/>
        <c:scaling>
          <c:orientation val="minMax"/>
        </c:scaling>
        <c:delete val="0"/>
        <c:axPos val="l"/>
        <c:majorGridlines>
          <c:spPr>
            <a:ln w="9525" cap="flat" cmpd="sng" algn="ctr">
              <a:solidFill>
                <a:schemeClr val="bg1">
                  <a:lumMod val="65000"/>
                </a:schemeClr>
              </a:solidFill>
              <a:round/>
            </a:ln>
            <a:effectLst/>
          </c:spPr>
        </c:majorGridlines>
        <c:title>
          <c:tx>
            <c:rich>
              <a:bodyPr rot="-5400000" spcFirstLastPara="1" vertOverflow="ellipsis" vert="horz" wrap="square" anchor="ctr" anchorCtr="1"/>
              <a:lstStyle/>
              <a:p>
                <a:pPr>
                  <a:defRPr sz="14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a:t>(average</a:t>
                </a:r>
                <a:r>
                  <a:rPr lang="en-US" baseline="0"/>
                  <a:t> CI score)</a:t>
                </a:r>
                <a:endParaRPr lang="en-US"/>
              </a:p>
            </c:rich>
          </c:tx>
          <c:overlay val="0"/>
          <c:spPr>
            <a:noFill/>
            <a:ln>
              <a:noFill/>
            </a:ln>
            <a:effectLst/>
          </c:spPr>
          <c:txPr>
            <a:bodyPr rot="-5400000" spcFirstLastPara="1" vertOverflow="ellipsis" vert="horz" wrap="square" anchor="ctr" anchorCtr="1"/>
            <a:lstStyle/>
            <a:p>
              <a:pPr>
                <a:defRPr sz="14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00_);[Red]\(0.00\)"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9620736"/>
        <c:crosses val="autoZero"/>
        <c:crossBetween val="between"/>
      </c:valAx>
      <c:spPr>
        <a:noFill/>
        <a:ln>
          <a:solidFill>
            <a:srgbClr val="5D803B"/>
          </a:solidFill>
        </a:ln>
        <a:effectLst/>
      </c:spPr>
    </c:plotArea>
    <c:plotVisOnly val="1"/>
    <c:dispBlanksAs val="gap"/>
    <c:showDLblsOverMax val="0"/>
  </c:chart>
  <c:spPr>
    <a:solidFill>
      <a:schemeClr val="bg1"/>
    </a:solidFill>
    <a:ln w="9525" cap="flat" cmpd="sng" algn="ctr">
      <a:noFill/>
      <a:round/>
    </a:ln>
    <a:effectLst/>
  </c:spPr>
  <c:txPr>
    <a:bodyPr/>
    <a:lstStyle/>
    <a:p>
      <a:pPr>
        <a:defRPr sz="1400" b="1">
          <a:solidFill>
            <a:sysClr val="windowText" lastClr="000000"/>
          </a:solidFill>
          <a:latin typeface="Arial" panose="020B0604020202020204" pitchFamily="34" charset="0"/>
          <a:cs typeface="Arial" panose="020B0604020202020204" pitchFamily="34" charset="0"/>
        </a:defRPr>
      </a:pPr>
      <a:endParaRPr lang="en-US"/>
    </a:p>
  </c:txPr>
  <c:userShapes r:id="rId3"/>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8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US" sz="2800"/>
              <a:t>LCFS Deficit Generation</a:t>
            </a:r>
          </a:p>
        </c:rich>
      </c:tx>
      <c:overlay val="0"/>
      <c:spPr>
        <a:noFill/>
        <a:ln>
          <a:noFill/>
        </a:ln>
        <a:effectLst/>
      </c:spPr>
      <c:txPr>
        <a:bodyPr rot="0" spcFirstLastPara="1" vertOverflow="ellipsis" vert="horz" wrap="square" anchor="ctr" anchorCtr="1"/>
        <a:lstStyle/>
        <a:p>
          <a:pPr>
            <a:defRPr sz="28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952072539656521"/>
          <c:y val="0.11831768431166366"/>
          <c:w val="0.87330079710840847"/>
          <c:h val="0.70695973692390757"/>
        </c:manualLayout>
      </c:layout>
      <c:barChart>
        <c:barDir val="col"/>
        <c:grouping val="stacked"/>
        <c:varyColors val="0"/>
        <c:ser>
          <c:idx val="0"/>
          <c:order val="0"/>
          <c:tx>
            <c:strRef>
              <c:f>'Qrtly Credit-Deficit Generation'!$A$60</c:f>
              <c:strCache>
                <c:ptCount val="1"/>
                <c:pt idx="0">
                  <c:v>Ethanol</c:v>
                </c:pt>
              </c:strCache>
            </c:strRef>
          </c:tx>
          <c:spPr>
            <a:solidFill>
              <a:srgbClr val="8C8C8C"/>
            </a:solidFill>
            <a:ln>
              <a:solidFill>
                <a:schemeClr val="tx1"/>
              </a:solidFill>
            </a:ln>
            <a:effectLst/>
          </c:spPr>
          <c:invertIfNegative val="0"/>
          <c:cat>
            <c:strRef>
              <c:f>'Qrtly Credit-Deficit Generation'!$AE$54:$CL$54</c:f>
              <c:strCache>
                <c:ptCount val="60"/>
                <c:pt idx="0">
                  <c:v>2018 Q1</c:v>
                </c:pt>
                <c:pt idx="1">
                  <c:v>Q2</c:v>
                </c:pt>
                <c:pt idx="2">
                  <c:v>Q3</c:v>
                </c:pt>
                <c:pt idx="3">
                  <c:v>Q4</c:v>
                </c:pt>
                <c:pt idx="4">
                  <c:v>2019 Q1</c:v>
                </c:pt>
                <c:pt idx="5">
                  <c:v>Q2</c:v>
                </c:pt>
                <c:pt idx="6">
                  <c:v>Q3</c:v>
                </c:pt>
                <c:pt idx="7">
                  <c:v>Q4</c:v>
                </c:pt>
                <c:pt idx="8">
                  <c:v>2020 Q1</c:v>
                </c:pt>
                <c:pt idx="9">
                  <c:v>Q2</c:v>
                </c:pt>
                <c:pt idx="10">
                  <c:v>Q3</c:v>
                </c:pt>
                <c:pt idx="11">
                  <c:v>Q4</c:v>
                </c:pt>
                <c:pt idx="12">
                  <c:v>2021 Q1</c:v>
                </c:pt>
                <c:pt idx="13">
                  <c:v>Q2</c:v>
                </c:pt>
                <c:pt idx="14">
                  <c:v>Q3</c:v>
                </c:pt>
                <c:pt idx="15">
                  <c:v>Q4</c:v>
                </c:pt>
                <c:pt idx="16">
                  <c:v>2022 Q1</c:v>
                </c:pt>
                <c:pt idx="17">
                  <c:v>Q2</c:v>
                </c:pt>
                <c:pt idx="18">
                  <c:v>Q3</c:v>
                </c:pt>
                <c:pt idx="19">
                  <c:v>Q4</c:v>
                </c:pt>
                <c:pt idx="20">
                  <c:v>2023 Q1</c:v>
                </c:pt>
                <c:pt idx="21">
                  <c:v>Q2</c:v>
                </c:pt>
                <c:pt idx="22">
                  <c:v>Q3</c:v>
                </c:pt>
                <c:pt idx="23">
                  <c:v>Q4</c:v>
                </c:pt>
                <c:pt idx="24">
                  <c:v>2024Q1</c:v>
                </c:pt>
                <c:pt idx="25">
                  <c:v>Q2</c:v>
                </c:pt>
                <c:pt idx="26">
                  <c:v>Q3</c:v>
                </c:pt>
                <c:pt idx="27">
                  <c:v>Q4</c:v>
                </c:pt>
                <c:pt idx="28">
                  <c:v>2025Q1</c:v>
                </c:pt>
                <c:pt idx="29">
                  <c:v>Q2</c:v>
                </c:pt>
                <c:pt idx="30">
                  <c:v>Q3</c:v>
                </c:pt>
                <c:pt idx="31">
                  <c:v>Q4</c:v>
                </c:pt>
                <c:pt idx="32">
                  <c:v>2026Q1</c:v>
                </c:pt>
                <c:pt idx="33">
                  <c:v>Q2</c:v>
                </c:pt>
                <c:pt idx="34">
                  <c:v>Q3</c:v>
                </c:pt>
                <c:pt idx="35">
                  <c:v>Q4</c:v>
                </c:pt>
                <c:pt idx="36">
                  <c:v>2027Q1</c:v>
                </c:pt>
                <c:pt idx="37">
                  <c:v>Q2</c:v>
                </c:pt>
                <c:pt idx="38">
                  <c:v>Q3</c:v>
                </c:pt>
                <c:pt idx="39">
                  <c:v>Q4</c:v>
                </c:pt>
                <c:pt idx="40">
                  <c:v>2028Q1</c:v>
                </c:pt>
                <c:pt idx="41">
                  <c:v>Q2</c:v>
                </c:pt>
                <c:pt idx="42">
                  <c:v>Q3</c:v>
                </c:pt>
                <c:pt idx="43">
                  <c:v>Q4</c:v>
                </c:pt>
                <c:pt idx="44">
                  <c:v>2029Q1</c:v>
                </c:pt>
                <c:pt idx="45">
                  <c:v>Q2</c:v>
                </c:pt>
                <c:pt idx="46">
                  <c:v>Q3</c:v>
                </c:pt>
                <c:pt idx="47">
                  <c:v>Q4</c:v>
                </c:pt>
                <c:pt idx="48">
                  <c:v>2030Q1</c:v>
                </c:pt>
                <c:pt idx="49">
                  <c:v>Q2</c:v>
                </c:pt>
                <c:pt idx="50">
                  <c:v>Q3</c:v>
                </c:pt>
                <c:pt idx="51">
                  <c:v>Q4</c:v>
                </c:pt>
                <c:pt idx="52">
                  <c:v>2031Q1</c:v>
                </c:pt>
                <c:pt idx="53">
                  <c:v>Q2</c:v>
                </c:pt>
                <c:pt idx="54">
                  <c:v>Q3</c:v>
                </c:pt>
                <c:pt idx="55">
                  <c:v>Q4</c:v>
                </c:pt>
                <c:pt idx="56">
                  <c:v>2032Q1</c:v>
                </c:pt>
                <c:pt idx="57">
                  <c:v>Q2</c:v>
                </c:pt>
                <c:pt idx="58">
                  <c:v>Q3</c:v>
                </c:pt>
                <c:pt idx="59">
                  <c:v>Q4</c:v>
                </c:pt>
              </c:strCache>
            </c:strRef>
          </c:cat>
          <c:val>
            <c:numRef>
              <c:f>'Qrtly Credit-Deficit Generation'!$AE$60:$CL$60</c:f>
              <c:numCache>
                <c:formatCode>_(* #,##0_);_(* \(#,##0\);_(* "-"??_);_(@_)</c:formatCode>
                <c:ptCount val="60"/>
                <c:pt idx="0">
                  <c:v>48175</c:v>
                </c:pt>
                <c:pt idx="1">
                  <c:v>35502</c:v>
                </c:pt>
                <c:pt idx="2">
                  <c:v>62455</c:v>
                </c:pt>
                <c:pt idx="3">
                  <c:v>52912</c:v>
                </c:pt>
                <c:pt idx="4">
                  <c:v>158549</c:v>
                </c:pt>
                <c:pt idx="5">
                  <c:v>83850</c:v>
                </c:pt>
                <c:pt idx="6">
                  <c:v>83738</c:v>
                </c:pt>
                <c:pt idx="7">
                  <c:v>57767</c:v>
                </c:pt>
                <c:pt idx="8">
                  <c:v>78437</c:v>
                </c:pt>
                <c:pt idx="9">
                  <c:v>92364</c:v>
                </c:pt>
                <c:pt idx="10">
                  <c:v>33201</c:v>
                </c:pt>
                <c:pt idx="11">
                  <c:v>68269</c:v>
                </c:pt>
                <c:pt idx="12">
                  <c:v>46722</c:v>
                </c:pt>
                <c:pt idx="13">
                  <c:v>28024</c:v>
                </c:pt>
                <c:pt idx="14">
                  <c:v>147000</c:v>
                </c:pt>
                <c:pt idx="15">
                  <c:v>35919</c:v>
                </c:pt>
                <c:pt idx="16">
                  <c:v>30612</c:v>
                </c:pt>
                <c:pt idx="17">
                  <c:v>30224</c:v>
                </c:pt>
                <c:pt idx="18">
                  <c:v>33742</c:v>
                </c:pt>
                <c:pt idx="19">
                  <c:v>51873</c:v>
                </c:pt>
                <c:pt idx="20">
                  <c:v>28936</c:v>
                </c:pt>
                <c:pt idx="21">
                  <c:v>64809</c:v>
                </c:pt>
                <c:pt idx="22">
                  <c:v>42767</c:v>
                </c:pt>
                <c:pt idx="23">
                  <c:v>51231</c:v>
                </c:pt>
                <c:pt idx="24">
                  <c:v>29210</c:v>
                </c:pt>
                <c:pt idx="25">
                  <c:v>30899</c:v>
                </c:pt>
                <c:pt idx="26">
                  <c:v>35126</c:v>
                </c:pt>
                <c:pt idx="27">
                  <c:v>50583.709253613517</c:v>
                </c:pt>
                <c:pt idx="28">
                  <c:v>26549.506312762926</c:v>
                </c:pt>
                <c:pt idx="29">
                  <c:v>43758.879607576579</c:v>
                </c:pt>
                <c:pt idx="30">
                  <c:v>24723.188740679667</c:v>
                </c:pt>
                <c:pt idx="31">
                  <c:v>35048.971832053176</c:v>
                </c:pt>
                <c:pt idx="32">
                  <c:v>25242.04180658863</c:v>
                </c:pt>
                <c:pt idx="33">
                  <c:v>38080.314156843408</c:v>
                </c:pt>
                <c:pt idx="34">
                  <c:v>24585.672545414378</c:v>
                </c:pt>
                <c:pt idx="35">
                  <c:v>36342.572393867391</c:v>
                </c:pt>
                <c:pt idx="36">
                  <c:v>19697.745785064737</c:v>
                </c:pt>
                <c:pt idx="37">
                  <c:v>34487.911146907849</c:v>
                </c:pt>
                <c:pt idx="38">
                  <c:v>19396.993508323365</c:v>
                </c:pt>
                <c:pt idx="39">
                  <c:v>32087.401816127265</c:v>
                </c:pt>
                <c:pt idx="40">
                  <c:v>19041.971945052152</c:v>
                </c:pt>
                <c:pt idx="41">
                  <c:v>31015.822633150172</c:v>
                </c:pt>
                <c:pt idx="42">
                  <c:v>16136.381700050979</c:v>
                </c:pt>
                <c:pt idx="43">
                  <c:v>29147.176879872761</c:v>
                </c:pt>
                <c:pt idx="44">
                  <c:v>14449.0033825215</c:v>
                </c:pt>
                <c:pt idx="45">
                  <c:v>27973.926017136437</c:v>
                </c:pt>
                <c:pt idx="46">
                  <c:v>13242.636695362668</c:v>
                </c:pt>
                <c:pt idx="47">
                  <c:v>26006.490631210701</c:v>
                </c:pt>
                <c:pt idx="48">
                  <c:v>11656.333190599114</c:v>
                </c:pt>
                <c:pt idx="49">
                  <c:v>24261.649974117332</c:v>
                </c:pt>
                <c:pt idx="50">
                  <c:v>9752.8888050943933</c:v>
                </c:pt>
                <c:pt idx="51">
                  <c:v>22924.626987977757</c:v>
                </c:pt>
                <c:pt idx="52">
                  <c:v>8235.3140151251864</c:v>
                </c:pt>
                <c:pt idx="53">
                  <c:v>21204.649568332126</c:v>
                </c:pt>
                <c:pt idx="54">
                  <c:v>6619.7572073717638</c:v>
                </c:pt>
                <c:pt idx="55">
                  <c:v>19495.657340348349</c:v>
                </c:pt>
                <c:pt idx="56">
                  <c:v>5012.5936110531929</c:v>
                </c:pt>
                <c:pt idx="57">
                  <c:v>17903.201610788266</c:v>
                </c:pt>
                <c:pt idx="58">
                  <c:v>3368.3826466918454</c:v>
                </c:pt>
                <c:pt idx="59">
                  <c:v>16336.974173996674</c:v>
                </c:pt>
              </c:numCache>
            </c:numRef>
          </c:val>
          <c:extLst>
            <c:ext xmlns:c16="http://schemas.microsoft.com/office/drawing/2014/chart" uri="{C3380CC4-5D6E-409C-BE32-E72D297353CC}">
              <c16:uniqueId val="{00000000-809C-4F1A-AFE9-A666954F4136}"/>
            </c:ext>
          </c:extLst>
        </c:ser>
        <c:ser>
          <c:idx val="1"/>
          <c:order val="1"/>
          <c:tx>
            <c:strRef>
              <c:f>'Qrtly Credit-Deficit Generation'!$A$66</c:f>
              <c:strCache>
                <c:ptCount val="1"/>
                <c:pt idx="0">
                  <c:v>CARBOB</c:v>
                </c:pt>
              </c:strCache>
            </c:strRef>
          </c:tx>
          <c:spPr>
            <a:solidFill>
              <a:srgbClr val="5D803B"/>
            </a:solidFill>
            <a:ln>
              <a:solidFill>
                <a:schemeClr val="tx1"/>
              </a:solidFill>
            </a:ln>
            <a:effectLst/>
          </c:spPr>
          <c:invertIfNegative val="0"/>
          <c:cat>
            <c:strRef>
              <c:f>'Qrtly Credit-Deficit Generation'!$AE$54:$CL$54</c:f>
              <c:strCache>
                <c:ptCount val="60"/>
                <c:pt idx="0">
                  <c:v>2018 Q1</c:v>
                </c:pt>
                <c:pt idx="1">
                  <c:v>Q2</c:v>
                </c:pt>
                <c:pt idx="2">
                  <c:v>Q3</c:v>
                </c:pt>
                <c:pt idx="3">
                  <c:v>Q4</c:v>
                </c:pt>
                <c:pt idx="4">
                  <c:v>2019 Q1</c:v>
                </c:pt>
                <c:pt idx="5">
                  <c:v>Q2</c:v>
                </c:pt>
                <c:pt idx="6">
                  <c:v>Q3</c:v>
                </c:pt>
                <c:pt idx="7">
                  <c:v>Q4</c:v>
                </c:pt>
                <c:pt idx="8">
                  <c:v>2020 Q1</c:v>
                </c:pt>
                <c:pt idx="9">
                  <c:v>Q2</c:v>
                </c:pt>
                <c:pt idx="10">
                  <c:v>Q3</c:v>
                </c:pt>
                <c:pt idx="11">
                  <c:v>Q4</c:v>
                </c:pt>
                <c:pt idx="12">
                  <c:v>2021 Q1</c:v>
                </c:pt>
                <c:pt idx="13">
                  <c:v>Q2</c:v>
                </c:pt>
                <c:pt idx="14">
                  <c:v>Q3</c:v>
                </c:pt>
                <c:pt idx="15">
                  <c:v>Q4</c:v>
                </c:pt>
                <c:pt idx="16">
                  <c:v>2022 Q1</c:v>
                </c:pt>
                <c:pt idx="17">
                  <c:v>Q2</c:v>
                </c:pt>
                <c:pt idx="18">
                  <c:v>Q3</c:v>
                </c:pt>
                <c:pt idx="19">
                  <c:v>Q4</c:v>
                </c:pt>
                <c:pt idx="20">
                  <c:v>2023 Q1</c:v>
                </c:pt>
                <c:pt idx="21">
                  <c:v>Q2</c:v>
                </c:pt>
                <c:pt idx="22">
                  <c:v>Q3</c:v>
                </c:pt>
                <c:pt idx="23">
                  <c:v>Q4</c:v>
                </c:pt>
                <c:pt idx="24">
                  <c:v>2024Q1</c:v>
                </c:pt>
                <c:pt idx="25">
                  <c:v>Q2</c:v>
                </c:pt>
                <c:pt idx="26">
                  <c:v>Q3</c:v>
                </c:pt>
                <c:pt idx="27">
                  <c:v>Q4</c:v>
                </c:pt>
                <c:pt idx="28">
                  <c:v>2025Q1</c:v>
                </c:pt>
                <c:pt idx="29">
                  <c:v>Q2</c:v>
                </c:pt>
                <c:pt idx="30">
                  <c:v>Q3</c:v>
                </c:pt>
                <c:pt idx="31">
                  <c:v>Q4</c:v>
                </c:pt>
                <c:pt idx="32">
                  <c:v>2026Q1</c:v>
                </c:pt>
                <c:pt idx="33">
                  <c:v>Q2</c:v>
                </c:pt>
                <c:pt idx="34">
                  <c:v>Q3</c:v>
                </c:pt>
                <c:pt idx="35">
                  <c:v>Q4</c:v>
                </c:pt>
                <c:pt idx="36">
                  <c:v>2027Q1</c:v>
                </c:pt>
                <c:pt idx="37">
                  <c:v>Q2</c:v>
                </c:pt>
                <c:pt idx="38">
                  <c:v>Q3</c:v>
                </c:pt>
                <c:pt idx="39">
                  <c:v>Q4</c:v>
                </c:pt>
                <c:pt idx="40">
                  <c:v>2028Q1</c:v>
                </c:pt>
                <c:pt idx="41">
                  <c:v>Q2</c:v>
                </c:pt>
                <c:pt idx="42">
                  <c:v>Q3</c:v>
                </c:pt>
                <c:pt idx="43">
                  <c:v>Q4</c:v>
                </c:pt>
                <c:pt idx="44">
                  <c:v>2029Q1</c:v>
                </c:pt>
                <c:pt idx="45">
                  <c:v>Q2</c:v>
                </c:pt>
                <c:pt idx="46">
                  <c:v>Q3</c:v>
                </c:pt>
                <c:pt idx="47">
                  <c:v>Q4</c:v>
                </c:pt>
                <c:pt idx="48">
                  <c:v>2030Q1</c:v>
                </c:pt>
                <c:pt idx="49">
                  <c:v>Q2</c:v>
                </c:pt>
                <c:pt idx="50">
                  <c:v>Q3</c:v>
                </c:pt>
                <c:pt idx="51">
                  <c:v>Q4</c:v>
                </c:pt>
                <c:pt idx="52">
                  <c:v>2031Q1</c:v>
                </c:pt>
                <c:pt idx="53">
                  <c:v>Q2</c:v>
                </c:pt>
                <c:pt idx="54">
                  <c:v>Q3</c:v>
                </c:pt>
                <c:pt idx="55">
                  <c:v>Q4</c:v>
                </c:pt>
                <c:pt idx="56">
                  <c:v>2032Q1</c:v>
                </c:pt>
                <c:pt idx="57">
                  <c:v>Q2</c:v>
                </c:pt>
                <c:pt idx="58">
                  <c:v>Q3</c:v>
                </c:pt>
                <c:pt idx="59">
                  <c:v>Q4</c:v>
                </c:pt>
              </c:strCache>
            </c:strRef>
          </c:cat>
          <c:val>
            <c:numRef>
              <c:f>'Qrtly Credit-Deficit Generation'!$AE$66:$CL$66</c:f>
              <c:numCache>
                <c:formatCode>_(* #,##0_);_(* \(#,##0\);_(* "-"??_);_(@_)</c:formatCode>
                <c:ptCount val="60"/>
                <c:pt idx="0">
                  <c:v>2469411</c:v>
                </c:pt>
                <c:pt idx="1">
                  <c:v>2644561</c:v>
                </c:pt>
                <c:pt idx="2">
                  <c:v>2639633</c:v>
                </c:pt>
                <c:pt idx="3">
                  <c:v>2580230</c:v>
                </c:pt>
                <c:pt idx="4">
                  <c:v>3004271</c:v>
                </c:pt>
                <c:pt idx="5">
                  <c:v>3179635</c:v>
                </c:pt>
                <c:pt idx="6">
                  <c:v>3148565</c:v>
                </c:pt>
                <c:pt idx="7">
                  <c:v>3182791</c:v>
                </c:pt>
                <c:pt idx="8">
                  <c:v>3331845</c:v>
                </c:pt>
                <c:pt idx="9">
                  <c:v>2519031</c:v>
                </c:pt>
                <c:pt idx="10">
                  <c:v>3116361</c:v>
                </c:pt>
                <c:pt idx="11">
                  <c:v>3060571</c:v>
                </c:pt>
                <c:pt idx="12">
                  <c:v>3388538</c:v>
                </c:pt>
                <c:pt idx="13">
                  <c:v>3811647</c:v>
                </c:pt>
                <c:pt idx="14">
                  <c:v>3998145</c:v>
                </c:pt>
                <c:pt idx="15">
                  <c:v>3783348</c:v>
                </c:pt>
                <c:pt idx="16">
                  <c:v>4051022</c:v>
                </c:pt>
                <c:pt idx="17">
                  <c:v>4244453</c:v>
                </c:pt>
                <c:pt idx="18">
                  <c:v>4107504</c:v>
                </c:pt>
                <c:pt idx="19">
                  <c:v>4300565</c:v>
                </c:pt>
                <c:pt idx="20">
                  <c:v>4325283</c:v>
                </c:pt>
                <c:pt idx="21">
                  <c:v>4681729</c:v>
                </c:pt>
                <c:pt idx="22">
                  <c:v>4684492</c:v>
                </c:pt>
                <c:pt idx="23">
                  <c:v>4531806</c:v>
                </c:pt>
                <c:pt idx="24">
                  <c:v>4825036</c:v>
                </c:pt>
                <c:pt idx="25">
                  <c:v>5161198</c:v>
                </c:pt>
                <c:pt idx="26">
                  <c:v>4845687</c:v>
                </c:pt>
                <c:pt idx="27">
                  <c:v>5130845.2847887175</c:v>
                </c:pt>
                <c:pt idx="28">
                  <c:v>5237654.6331182625</c:v>
                </c:pt>
                <c:pt idx="29">
                  <c:v>5126179.8273468455</c:v>
                </c:pt>
                <c:pt idx="30">
                  <c:v>5438078.1821996886</c:v>
                </c:pt>
                <c:pt idx="31">
                  <c:v>5590624.973929828</c:v>
                </c:pt>
                <c:pt idx="32">
                  <c:v>5632999.6231248342</c:v>
                </c:pt>
                <c:pt idx="33">
                  <c:v>5733887.0996642718</c:v>
                </c:pt>
                <c:pt idx="34">
                  <c:v>5796524.3082680479</c:v>
                </c:pt>
                <c:pt idx="35">
                  <c:v>5906522.6972829597</c:v>
                </c:pt>
                <c:pt idx="36">
                  <c:v>6045246.4582514213</c:v>
                </c:pt>
                <c:pt idx="37">
                  <c:v>6148390.6624924336</c:v>
                </c:pt>
                <c:pt idx="38">
                  <c:v>6267744.1449108152</c:v>
                </c:pt>
                <c:pt idx="39">
                  <c:v>6378716.7663034126</c:v>
                </c:pt>
                <c:pt idx="40">
                  <c:v>6457637.3068807442</c:v>
                </c:pt>
                <c:pt idx="41">
                  <c:v>6562158.7827555686</c:v>
                </c:pt>
                <c:pt idx="42">
                  <c:v>6668784.9947059574</c:v>
                </c:pt>
                <c:pt idx="43">
                  <c:v>7075799.582961278</c:v>
                </c:pt>
                <c:pt idx="44">
                  <c:v>7035499.0263642846</c:v>
                </c:pt>
                <c:pt idx="45">
                  <c:v>7173839.9879198037</c:v>
                </c:pt>
                <c:pt idx="46">
                  <c:v>7306397.268177202</c:v>
                </c:pt>
                <c:pt idx="47">
                  <c:v>7454636.9958679499</c:v>
                </c:pt>
                <c:pt idx="48">
                  <c:v>7601838.7258187803</c:v>
                </c:pt>
                <c:pt idx="49">
                  <c:v>7756777.6879489394</c:v>
                </c:pt>
                <c:pt idx="50">
                  <c:v>7896122.7748023458</c:v>
                </c:pt>
                <c:pt idx="51">
                  <c:v>8029961.2766787764</c:v>
                </c:pt>
                <c:pt idx="52">
                  <c:v>8163692.4871220598</c:v>
                </c:pt>
                <c:pt idx="53">
                  <c:v>8295915.5459966008</c:v>
                </c:pt>
                <c:pt idx="54">
                  <c:v>8436108.1757186037</c:v>
                </c:pt>
                <c:pt idx="55">
                  <c:v>8576140.8863124344</c:v>
                </c:pt>
                <c:pt idx="56">
                  <c:v>8716122.5180883296</c:v>
                </c:pt>
                <c:pt idx="57">
                  <c:v>8855323.8498505894</c:v>
                </c:pt>
                <c:pt idx="58">
                  <c:v>8993045.5983920768</c:v>
                </c:pt>
                <c:pt idx="59">
                  <c:v>9130582.0908494219</c:v>
                </c:pt>
              </c:numCache>
            </c:numRef>
          </c:val>
          <c:extLst>
            <c:ext xmlns:c16="http://schemas.microsoft.com/office/drawing/2014/chart" uri="{C3380CC4-5D6E-409C-BE32-E72D297353CC}">
              <c16:uniqueId val="{00000001-809C-4F1A-AFE9-A666954F4136}"/>
            </c:ext>
          </c:extLst>
        </c:ser>
        <c:ser>
          <c:idx val="2"/>
          <c:order val="2"/>
          <c:tx>
            <c:strRef>
              <c:f>'Qrtly Credit-Deficit Generation'!$A$67</c:f>
              <c:strCache>
                <c:ptCount val="1"/>
                <c:pt idx="0">
                  <c:v>Diesel</c:v>
                </c:pt>
              </c:strCache>
            </c:strRef>
          </c:tx>
          <c:spPr>
            <a:solidFill>
              <a:srgbClr val="206486"/>
            </a:solidFill>
            <a:ln>
              <a:solidFill>
                <a:schemeClr val="tx1"/>
              </a:solidFill>
            </a:ln>
            <a:effectLst/>
          </c:spPr>
          <c:invertIfNegative val="0"/>
          <c:cat>
            <c:strRef>
              <c:f>'Qrtly Credit-Deficit Generation'!$AE$54:$CL$54</c:f>
              <c:strCache>
                <c:ptCount val="60"/>
                <c:pt idx="0">
                  <c:v>2018 Q1</c:v>
                </c:pt>
                <c:pt idx="1">
                  <c:v>Q2</c:v>
                </c:pt>
                <c:pt idx="2">
                  <c:v>Q3</c:v>
                </c:pt>
                <c:pt idx="3">
                  <c:v>Q4</c:v>
                </c:pt>
                <c:pt idx="4">
                  <c:v>2019 Q1</c:v>
                </c:pt>
                <c:pt idx="5">
                  <c:v>Q2</c:v>
                </c:pt>
                <c:pt idx="6">
                  <c:v>Q3</c:v>
                </c:pt>
                <c:pt idx="7">
                  <c:v>Q4</c:v>
                </c:pt>
                <c:pt idx="8">
                  <c:v>2020 Q1</c:v>
                </c:pt>
                <c:pt idx="9">
                  <c:v>Q2</c:v>
                </c:pt>
                <c:pt idx="10">
                  <c:v>Q3</c:v>
                </c:pt>
                <c:pt idx="11">
                  <c:v>Q4</c:v>
                </c:pt>
                <c:pt idx="12">
                  <c:v>2021 Q1</c:v>
                </c:pt>
                <c:pt idx="13">
                  <c:v>Q2</c:v>
                </c:pt>
                <c:pt idx="14">
                  <c:v>Q3</c:v>
                </c:pt>
                <c:pt idx="15">
                  <c:v>Q4</c:v>
                </c:pt>
                <c:pt idx="16">
                  <c:v>2022 Q1</c:v>
                </c:pt>
                <c:pt idx="17">
                  <c:v>Q2</c:v>
                </c:pt>
                <c:pt idx="18">
                  <c:v>Q3</c:v>
                </c:pt>
                <c:pt idx="19">
                  <c:v>Q4</c:v>
                </c:pt>
                <c:pt idx="20">
                  <c:v>2023 Q1</c:v>
                </c:pt>
                <c:pt idx="21">
                  <c:v>Q2</c:v>
                </c:pt>
                <c:pt idx="22">
                  <c:v>Q3</c:v>
                </c:pt>
                <c:pt idx="23">
                  <c:v>Q4</c:v>
                </c:pt>
                <c:pt idx="24">
                  <c:v>2024Q1</c:v>
                </c:pt>
                <c:pt idx="25">
                  <c:v>Q2</c:v>
                </c:pt>
                <c:pt idx="26">
                  <c:v>Q3</c:v>
                </c:pt>
                <c:pt idx="27">
                  <c:v>Q4</c:v>
                </c:pt>
                <c:pt idx="28">
                  <c:v>2025Q1</c:v>
                </c:pt>
                <c:pt idx="29">
                  <c:v>Q2</c:v>
                </c:pt>
                <c:pt idx="30">
                  <c:v>Q3</c:v>
                </c:pt>
                <c:pt idx="31">
                  <c:v>Q4</c:v>
                </c:pt>
                <c:pt idx="32">
                  <c:v>2026Q1</c:v>
                </c:pt>
                <c:pt idx="33">
                  <c:v>Q2</c:v>
                </c:pt>
                <c:pt idx="34">
                  <c:v>Q3</c:v>
                </c:pt>
                <c:pt idx="35">
                  <c:v>Q4</c:v>
                </c:pt>
                <c:pt idx="36">
                  <c:v>2027Q1</c:v>
                </c:pt>
                <c:pt idx="37">
                  <c:v>Q2</c:v>
                </c:pt>
                <c:pt idx="38">
                  <c:v>Q3</c:v>
                </c:pt>
                <c:pt idx="39">
                  <c:v>Q4</c:v>
                </c:pt>
                <c:pt idx="40">
                  <c:v>2028Q1</c:v>
                </c:pt>
                <c:pt idx="41">
                  <c:v>Q2</c:v>
                </c:pt>
                <c:pt idx="42">
                  <c:v>Q3</c:v>
                </c:pt>
                <c:pt idx="43">
                  <c:v>Q4</c:v>
                </c:pt>
                <c:pt idx="44">
                  <c:v>2029Q1</c:v>
                </c:pt>
                <c:pt idx="45">
                  <c:v>Q2</c:v>
                </c:pt>
                <c:pt idx="46">
                  <c:v>Q3</c:v>
                </c:pt>
                <c:pt idx="47">
                  <c:v>Q4</c:v>
                </c:pt>
                <c:pt idx="48">
                  <c:v>2030Q1</c:v>
                </c:pt>
                <c:pt idx="49">
                  <c:v>Q2</c:v>
                </c:pt>
                <c:pt idx="50">
                  <c:v>Q3</c:v>
                </c:pt>
                <c:pt idx="51">
                  <c:v>Q4</c:v>
                </c:pt>
                <c:pt idx="52">
                  <c:v>2031Q1</c:v>
                </c:pt>
                <c:pt idx="53">
                  <c:v>Q2</c:v>
                </c:pt>
                <c:pt idx="54">
                  <c:v>Q3</c:v>
                </c:pt>
                <c:pt idx="55">
                  <c:v>Q4</c:v>
                </c:pt>
                <c:pt idx="56">
                  <c:v>2032Q1</c:v>
                </c:pt>
                <c:pt idx="57">
                  <c:v>Q2</c:v>
                </c:pt>
                <c:pt idx="58">
                  <c:v>Q3</c:v>
                </c:pt>
                <c:pt idx="59">
                  <c:v>Q4</c:v>
                </c:pt>
              </c:strCache>
            </c:strRef>
          </c:cat>
          <c:val>
            <c:numRef>
              <c:f>'Qrtly Credit-Deficit Generation'!$AE$67:$CL$67</c:f>
              <c:numCache>
                <c:formatCode>_(* #,##0_);_(* \(#,##0\);_(* "-"??_);_(@_)</c:formatCode>
                <c:ptCount val="60"/>
                <c:pt idx="0">
                  <c:v>352764</c:v>
                </c:pt>
                <c:pt idx="1">
                  <c:v>423300</c:v>
                </c:pt>
                <c:pt idx="2">
                  <c:v>429907</c:v>
                </c:pt>
                <c:pt idx="3">
                  <c:v>399355</c:v>
                </c:pt>
                <c:pt idx="4">
                  <c:v>583502</c:v>
                </c:pt>
                <c:pt idx="5">
                  <c:v>650567</c:v>
                </c:pt>
                <c:pt idx="6">
                  <c:v>668865</c:v>
                </c:pt>
                <c:pt idx="7">
                  <c:v>636748</c:v>
                </c:pt>
                <c:pt idx="8">
                  <c:v>629505</c:v>
                </c:pt>
                <c:pt idx="9">
                  <c:v>688077</c:v>
                </c:pt>
                <c:pt idx="10">
                  <c:v>734698</c:v>
                </c:pt>
                <c:pt idx="11">
                  <c:v>713330</c:v>
                </c:pt>
                <c:pt idx="12">
                  <c:v>681122</c:v>
                </c:pt>
                <c:pt idx="13">
                  <c:v>794393</c:v>
                </c:pt>
                <c:pt idx="14">
                  <c:v>818647</c:v>
                </c:pt>
                <c:pt idx="15">
                  <c:v>686782</c:v>
                </c:pt>
                <c:pt idx="16">
                  <c:v>675366</c:v>
                </c:pt>
                <c:pt idx="17">
                  <c:v>707044</c:v>
                </c:pt>
                <c:pt idx="18">
                  <c:v>665389</c:v>
                </c:pt>
                <c:pt idx="19">
                  <c:v>670727</c:v>
                </c:pt>
                <c:pt idx="20">
                  <c:v>535167</c:v>
                </c:pt>
                <c:pt idx="21">
                  <c:v>526564</c:v>
                </c:pt>
                <c:pt idx="22">
                  <c:v>597732</c:v>
                </c:pt>
                <c:pt idx="23">
                  <c:v>487657</c:v>
                </c:pt>
                <c:pt idx="24">
                  <c:v>367196</c:v>
                </c:pt>
                <c:pt idx="25">
                  <c:v>362833</c:v>
                </c:pt>
                <c:pt idx="26">
                  <c:v>519244</c:v>
                </c:pt>
                <c:pt idx="27">
                  <c:v>378768.57952962437</c:v>
                </c:pt>
                <c:pt idx="28">
                  <c:v>414745.34841332264</c:v>
                </c:pt>
                <c:pt idx="29">
                  <c:v>388842.82753373566</c:v>
                </c:pt>
                <c:pt idx="30">
                  <c:v>347579.74394308869</c:v>
                </c:pt>
                <c:pt idx="31">
                  <c:v>329880.73208022193</c:v>
                </c:pt>
                <c:pt idx="32">
                  <c:v>312797.60853651218</c:v>
                </c:pt>
                <c:pt idx="33">
                  <c:v>323064.49541496212</c:v>
                </c:pt>
                <c:pt idx="34">
                  <c:v>307907.87859921675</c:v>
                </c:pt>
                <c:pt idx="35">
                  <c:v>287909.05139145243</c:v>
                </c:pt>
                <c:pt idx="36">
                  <c:v>263020.95546429249</c:v>
                </c:pt>
                <c:pt idx="37">
                  <c:v>253609.67337993899</c:v>
                </c:pt>
                <c:pt idx="38">
                  <c:v>236721.24637386511</c:v>
                </c:pt>
                <c:pt idx="39">
                  <c:v>222003.92425733188</c:v>
                </c:pt>
                <c:pt idx="40">
                  <c:v>272635.84096478956</c:v>
                </c:pt>
                <c:pt idx="41">
                  <c:v>289305.77258430514</c:v>
                </c:pt>
                <c:pt idx="42">
                  <c:v>286869.03857882059</c:v>
                </c:pt>
                <c:pt idx="43">
                  <c:v>284953.53507165925</c:v>
                </c:pt>
                <c:pt idx="44">
                  <c:v>284853.1423737366</c:v>
                </c:pt>
                <c:pt idx="45">
                  <c:v>288218.21508730663</c:v>
                </c:pt>
                <c:pt idx="46">
                  <c:v>293902.74261974258</c:v>
                </c:pt>
                <c:pt idx="47">
                  <c:v>309543.2613116267</c:v>
                </c:pt>
                <c:pt idx="48">
                  <c:v>315273.9575976468</c:v>
                </c:pt>
                <c:pt idx="49">
                  <c:v>322151.28478654585</c:v>
                </c:pt>
                <c:pt idx="50">
                  <c:v>326590.52664837148</c:v>
                </c:pt>
                <c:pt idx="51">
                  <c:v>331523.22669083643</c:v>
                </c:pt>
                <c:pt idx="52">
                  <c:v>337544.43436667765</c:v>
                </c:pt>
                <c:pt idx="53">
                  <c:v>344168.60610020295</c:v>
                </c:pt>
                <c:pt idx="54">
                  <c:v>353038.15825085348</c:v>
                </c:pt>
                <c:pt idx="55">
                  <c:v>359680.80652868218</c:v>
                </c:pt>
                <c:pt idx="56">
                  <c:v>366281.97197026428</c:v>
                </c:pt>
                <c:pt idx="57">
                  <c:v>372513.70089319296</c:v>
                </c:pt>
                <c:pt idx="58">
                  <c:v>378958.92091094644</c:v>
                </c:pt>
                <c:pt idx="59">
                  <c:v>385443.36877029587</c:v>
                </c:pt>
              </c:numCache>
            </c:numRef>
          </c:val>
          <c:extLst>
            <c:ext xmlns:c16="http://schemas.microsoft.com/office/drawing/2014/chart" uri="{C3380CC4-5D6E-409C-BE32-E72D297353CC}">
              <c16:uniqueId val="{00000002-809C-4F1A-AFE9-A666954F4136}"/>
            </c:ext>
          </c:extLst>
        </c:ser>
        <c:ser>
          <c:idx val="3"/>
          <c:order val="3"/>
          <c:tx>
            <c:strRef>
              <c:f>'Qrtly Credit-Deficit Generation'!$A$68</c:f>
              <c:strCache>
                <c:ptCount val="1"/>
                <c:pt idx="0">
                  <c:v>CARBOB Incremental Deficits</c:v>
                </c:pt>
              </c:strCache>
            </c:strRef>
          </c:tx>
          <c:spPr>
            <a:solidFill>
              <a:srgbClr val="C4722E"/>
            </a:solidFill>
            <a:ln>
              <a:solidFill>
                <a:schemeClr val="tx1"/>
              </a:solidFill>
            </a:ln>
            <a:effectLst/>
          </c:spPr>
          <c:invertIfNegative val="0"/>
          <c:cat>
            <c:strRef>
              <c:f>'Qrtly Credit-Deficit Generation'!$AE$54:$CL$54</c:f>
              <c:strCache>
                <c:ptCount val="60"/>
                <c:pt idx="0">
                  <c:v>2018 Q1</c:v>
                </c:pt>
                <c:pt idx="1">
                  <c:v>Q2</c:v>
                </c:pt>
                <c:pt idx="2">
                  <c:v>Q3</c:v>
                </c:pt>
                <c:pt idx="3">
                  <c:v>Q4</c:v>
                </c:pt>
                <c:pt idx="4">
                  <c:v>2019 Q1</c:v>
                </c:pt>
                <c:pt idx="5">
                  <c:v>Q2</c:v>
                </c:pt>
                <c:pt idx="6">
                  <c:v>Q3</c:v>
                </c:pt>
                <c:pt idx="7">
                  <c:v>Q4</c:v>
                </c:pt>
                <c:pt idx="8">
                  <c:v>2020 Q1</c:v>
                </c:pt>
                <c:pt idx="9">
                  <c:v>Q2</c:v>
                </c:pt>
                <c:pt idx="10">
                  <c:v>Q3</c:v>
                </c:pt>
                <c:pt idx="11">
                  <c:v>Q4</c:v>
                </c:pt>
                <c:pt idx="12">
                  <c:v>2021 Q1</c:v>
                </c:pt>
                <c:pt idx="13">
                  <c:v>Q2</c:v>
                </c:pt>
                <c:pt idx="14">
                  <c:v>Q3</c:v>
                </c:pt>
                <c:pt idx="15">
                  <c:v>Q4</c:v>
                </c:pt>
                <c:pt idx="16">
                  <c:v>2022 Q1</c:v>
                </c:pt>
                <c:pt idx="17">
                  <c:v>Q2</c:v>
                </c:pt>
                <c:pt idx="18">
                  <c:v>Q3</c:v>
                </c:pt>
                <c:pt idx="19">
                  <c:v>Q4</c:v>
                </c:pt>
                <c:pt idx="20">
                  <c:v>2023 Q1</c:v>
                </c:pt>
                <c:pt idx="21">
                  <c:v>Q2</c:v>
                </c:pt>
                <c:pt idx="22">
                  <c:v>Q3</c:v>
                </c:pt>
                <c:pt idx="23">
                  <c:v>Q4</c:v>
                </c:pt>
                <c:pt idx="24">
                  <c:v>2024Q1</c:v>
                </c:pt>
                <c:pt idx="25">
                  <c:v>Q2</c:v>
                </c:pt>
                <c:pt idx="26">
                  <c:v>Q3</c:v>
                </c:pt>
                <c:pt idx="27">
                  <c:v>Q4</c:v>
                </c:pt>
                <c:pt idx="28">
                  <c:v>2025Q1</c:v>
                </c:pt>
                <c:pt idx="29">
                  <c:v>Q2</c:v>
                </c:pt>
                <c:pt idx="30">
                  <c:v>Q3</c:v>
                </c:pt>
                <c:pt idx="31">
                  <c:v>Q4</c:v>
                </c:pt>
                <c:pt idx="32">
                  <c:v>2026Q1</c:v>
                </c:pt>
                <c:pt idx="33">
                  <c:v>Q2</c:v>
                </c:pt>
                <c:pt idx="34">
                  <c:v>Q3</c:v>
                </c:pt>
                <c:pt idx="35">
                  <c:v>Q4</c:v>
                </c:pt>
                <c:pt idx="36">
                  <c:v>2027Q1</c:v>
                </c:pt>
                <c:pt idx="37">
                  <c:v>Q2</c:v>
                </c:pt>
                <c:pt idx="38">
                  <c:v>Q3</c:v>
                </c:pt>
                <c:pt idx="39">
                  <c:v>Q4</c:v>
                </c:pt>
                <c:pt idx="40">
                  <c:v>2028Q1</c:v>
                </c:pt>
                <c:pt idx="41">
                  <c:v>Q2</c:v>
                </c:pt>
                <c:pt idx="42">
                  <c:v>Q3</c:v>
                </c:pt>
                <c:pt idx="43">
                  <c:v>Q4</c:v>
                </c:pt>
                <c:pt idx="44">
                  <c:v>2029Q1</c:v>
                </c:pt>
                <c:pt idx="45">
                  <c:v>Q2</c:v>
                </c:pt>
                <c:pt idx="46">
                  <c:v>Q3</c:v>
                </c:pt>
                <c:pt idx="47">
                  <c:v>Q4</c:v>
                </c:pt>
                <c:pt idx="48">
                  <c:v>2030Q1</c:v>
                </c:pt>
                <c:pt idx="49">
                  <c:v>Q2</c:v>
                </c:pt>
                <c:pt idx="50">
                  <c:v>Q3</c:v>
                </c:pt>
                <c:pt idx="51">
                  <c:v>Q4</c:v>
                </c:pt>
                <c:pt idx="52">
                  <c:v>2031Q1</c:v>
                </c:pt>
                <c:pt idx="53">
                  <c:v>Q2</c:v>
                </c:pt>
                <c:pt idx="54">
                  <c:v>Q3</c:v>
                </c:pt>
                <c:pt idx="55">
                  <c:v>Q4</c:v>
                </c:pt>
                <c:pt idx="56">
                  <c:v>2032Q1</c:v>
                </c:pt>
                <c:pt idx="57">
                  <c:v>Q2</c:v>
                </c:pt>
                <c:pt idx="58">
                  <c:v>Q3</c:v>
                </c:pt>
                <c:pt idx="59">
                  <c:v>Q4</c:v>
                </c:pt>
              </c:strCache>
            </c:strRef>
          </c:cat>
          <c:val>
            <c:numRef>
              <c:f>'Qrtly Credit-Deficit Generation'!$AE$68:$CL$68</c:f>
              <c:numCache>
                <c:formatCode>_(* #,##0_);_(* \(#,##0\);_(* "-"??_);_(@_)</c:formatCode>
                <c:ptCount val="60"/>
                <c:pt idx="8">
                  <c:v>86607</c:v>
                </c:pt>
                <c:pt idx="9">
                  <c:v>65377</c:v>
                </c:pt>
                <c:pt idx="10">
                  <c:v>81086</c:v>
                </c:pt>
                <c:pt idx="11">
                  <c:v>79632</c:v>
                </c:pt>
                <c:pt idx="12">
                  <c:v>137831</c:v>
                </c:pt>
                <c:pt idx="13">
                  <c:v>155037</c:v>
                </c:pt>
                <c:pt idx="14">
                  <c:v>162626</c:v>
                </c:pt>
                <c:pt idx="15">
                  <c:v>153889</c:v>
                </c:pt>
                <c:pt idx="16">
                  <c:v>329235</c:v>
                </c:pt>
                <c:pt idx="17">
                  <c:v>344955</c:v>
                </c:pt>
                <c:pt idx="18">
                  <c:v>333825</c:v>
                </c:pt>
                <c:pt idx="19">
                  <c:v>349516</c:v>
                </c:pt>
                <c:pt idx="20">
                  <c:v>378507</c:v>
                </c:pt>
                <c:pt idx="21">
                  <c:v>409700</c:v>
                </c:pt>
                <c:pt idx="22">
                  <c:v>409940</c:v>
                </c:pt>
                <c:pt idx="23">
                  <c:v>396551</c:v>
                </c:pt>
                <c:pt idx="24">
                  <c:v>412276</c:v>
                </c:pt>
                <c:pt idx="25">
                  <c:v>441002</c:v>
                </c:pt>
                <c:pt idx="26">
                  <c:v>414040</c:v>
                </c:pt>
                <c:pt idx="27">
                  <c:v>8152350.1091767251</c:v>
                </c:pt>
                <c:pt idx="28">
                  <c:v>6901608.0528110713</c:v>
                </c:pt>
                <c:pt idx="29">
                  <c:v>7241868.8067965237</c:v>
                </c:pt>
                <c:pt idx="30">
                  <c:v>8642394.0345274545</c:v>
                </c:pt>
                <c:pt idx="31">
                  <c:v>8853426.510668559</c:v>
                </c:pt>
                <c:pt idx="32">
                  <c:v>9165720.2661329824</c:v>
                </c:pt>
                <c:pt idx="33">
                  <c:v>7544569.7464895453</c:v>
                </c:pt>
                <c:pt idx="34">
                  <c:v>10058902.474207327</c:v>
                </c:pt>
                <c:pt idx="35">
                  <c:v>9587124.1745914705</c:v>
                </c:pt>
                <c:pt idx="36">
                  <c:v>11016036.798122823</c:v>
                </c:pt>
                <c:pt idx="37">
                  <c:v>10678451.938028032</c:v>
                </c:pt>
                <c:pt idx="38">
                  <c:v>13502967.913715627</c:v>
                </c:pt>
                <c:pt idx="39">
                  <c:v>9814529.1609865576</c:v>
                </c:pt>
                <c:pt idx="40">
                  <c:v>12685295.689491574</c:v>
                </c:pt>
                <c:pt idx="41">
                  <c:v>9783385.5673630722</c:v>
                </c:pt>
                <c:pt idx="42">
                  <c:v>14620358.132195471</c:v>
                </c:pt>
                <c:pt idx="43">
                  <c:v>10552573.462254794</c:v>
                </c:pt>
                <c:pt idx="44">
                  <c:v>12845847.643364141</c:v>
                </c:pt>
                <c:pt idx="45">
                  <c:v>10393855.647919761</c:v>
                </c:pt>
                <c:pt idx="46">
                  <c:v>15138550.232520368</c:v>
                </c:pt>
                <c:pt idx="47">
                  <c:v>11474415.895540005</c:v>
                </c:pt>
                <c:pt idx="48">
                  <c:v>14096355.807738125</c:v>
                </c:pt>
                <c:pt idx="49">
                  <c:v>5886007.7992528398</c:v>
                </c:pt>
                <c:pt idx="50">
                  <c:v>7551720.7342531281</c:v>
                </c:pt>
                <c:pt idx="51">
                  <c:v>10025793.027600158</c:v>
                </c:pt>
                <c:pt idx="52">
                  <c:v>14577557.223462606</c:v>
                </c:pt>
                <c:pt idx="53">
                  <c:v>6214708.792009064</c:v>
                </c:pt>
                <c:pt idx="54" formatCode="_(* #,##0.0_);_(* \(#,##0.0\);_(* &quot;-&quot;?_);_(@_)">
                  <c:v>7798982.0885555362</c:v>
                </c:pt>
                <c:pt idx="55">
                  <c:v>13238943.825726543</c:v>
                </c:pt>
                <c:pt idx="56">
                  <c:v>19050420.554015603</c:v>
                </c:pt>
                <c:pt idx="57">
                  <c:v>7403827.8798346268</c:v>
                </c:pt>
                <c:pt idx="58">
                  <c:v>8800683.0351031348</c:v>
                </c:pt>
                <c:pt idx="59">
                  <c:v>14648795.29985808</c:v>
                </c:pt>
              </c:numCache>
            </c:numRef>
          </c:val>
          <c:extLst>
            <c:ext xmlns:c16="http://schemas.microsoft.com/office/drawing/2014/chart" uri="{C3380CC4-5D6E-409C-BE32-E72D297353CC}">
              <c16:uniqueId val="{00000003-809C-4F1A-AFE9-A666954F4136}"/>
            </c:ext>
          </c:extLst>
        </c:ser>
        <c:ser>
          <c:idx val="4"/>
          <c:order val="4"/>
          <c:tx>
            <c:strRef>
              <c:f>'Qrtly Credit-Deficit Generation'!$A$69</c:f>
              <c:strCache>
                <c:ptCount val="1"/>
                <c:pt idx="0">
                  <c:v>Diesel Incremental Deficits</c:v>
                </c:pt>
              </c:strCache>
            </c:strRef>
          </c:tx>
          <c:spPr>
            <a:solidFill>
              <a:srgbClr val="ECECEC"/>
            </a:solidFill>
            <a:ln>
              <a:solidFill>
                <a:schemeClr val="tx1"/>
              </a:solidFill>
            </a:ln>
            <a:effectLst/>
          </c:spPr>
          <c:invertIfNegative val="0"/>
          <c:cat>
            <c:strRef>
              <c:f>'Qrtly Credit-Deficit Generation'!$AE$54:$CL$54</c:f>
              <c:strCache>
                <c:ptCount val="60"/>
                <c:pt idx="0">
                  <c:v>2018 Q1</c:v>
                </c:pt>
                <c:pt idx="1">
                  <c:v>Q2</c:v>
                </c:pt>
                <c:pt idx="2">
                  <c:v>Q3</c:v>
                </c:pt>
                <c:pt idx="3">
                  <c:v>Q4</c:v>
                </c:pt>
                <c:pt idx="4">
                  <c:v>2019 Q1</c:v>
                </c:pt>
                <c:pt idx="5">
                  <c:v>Q2</c:v>
                </c:pt>
                <c:pt idx="6">
                  <c:v>Q3</c:v>
                </c:pt>
                <c:pt idx="7">
                  <c:v>Q4</c:v>
                </c:pt>
                <c:pt idx="8">
                  <c:v>2020 Q1</c:v>
                </c:pt>
                <c:pt idx="9">
                  <c:v>Q2</c:v>
                </c:pt>
                <c:pt idx="10">
                  <c:v>Q3</c:v>
                </c:pt>
                <c:pt idx="11">
                  <c:v>Q4</c:v>
                </c:pt>
                <c:pt idx="12">
                  <c:v>2021 Q1</c:v>
                </c:pt>
                <c:pt idx="13">
                  <c:v>Q2</c:v>
                </c:pt>
                <c:pt idx="14">
                  <c:v>Q3</c:v>
                </c:pt>
                <c:pt idx="15">
                  <c:v>Q4</c:v>
                </c:pt>
                <c:pt idx="16">
                  <c:v>2022 Q1</c:v>
                </c:pt>
                <c:pt idx="17">
                  <c:v>Q2</c:v>
                </c:pt>
                <c:pt idx="18">
                  <c:v>Q3</c:v>
                </c:pt>
                <c:pt idx="19">
                  <c:v>Q4</c:v>
                </c:pt>
                <c:pt idx="20">
                  <c:v>2023 Q1</c:v>
                </c:pt>
                <c:pt idx="21">
                  <c:v>Q2</c:v>
                </c:pt>
                <c:pt idx="22">
                  <c:v>Q3</c:v>
                </c:pt>
                <c:pt idx="23">
                  <c:v>Q4</c:v>
                </c:pt>
                <c:pt idx="24">
                  <c:v>2024Q1</c:v>
                </c:pt>
                <c:pt idx="25">
                  <c:v>Q2</c:v>
                </c:pt>
                <c:pt idx="26">
                  <c:v>Q3</c:v>
                </c:pt>
                <c:pt idx="27">
                  <c:v>Q4</c:v>
                </c:pt>
                <c:pt idx="28">
                  <c:v>2025Q1</c:v>
                </c:pt>
                <c:pt idx="29">
                  <c:v>Q2</c:v>
                </c:pt>
                <c:pt idx="30">
                  <c:v>Q3</c:v>
                </c:pt>
                <c:pt idx="31">
                  <c:v>Q4</c:v>
                </c:pt>
                <c:pt idx="32">
                  <c:v>2026Q1</c:v>
                </c:pt>
                <c:pt idx="33">
                  <c:v>Q2</c:v>
                </c:pt>
                <c:pt idx="34">
                  <c:v>Q3</c:v>
                </c:pt>
                <c:pt idx="35">
                  <c:v>Q4</c:v>
                </c:pt>
                <c:pt idx="36">
                  <c:v>2027Q1</c:v>
                </c:pt>
                <c:pt idx="37">
                  <c:v>Q2</c:v>
                </c:pt>
                <c:pt idx="38">
                  <c:v>Q3</c:v>
                </c:pt>
                <c:pt idx="39">
                  <c:v>Q4</c:v>
                </c:pt>
                <c:pt idx="40">
                  <c:v>2028Q1</c:v>
                </c:pt>
                <c:pt idx="41">
                  <c:v>Q2</c:v>
                </c:pt>
                <c:pt idx="42">
                  <c:v>Q3</c:v>
                </c:pt>
                <c:pt idx="43">
                  <c:v>Q4</c:v>
                </c:pt>
                <c:pt idx="44">
                  <c:v>2029Q1</c:v>
                </c:pt>
                <c:pt idx="45">
                  <c:v>Q2</c:v>
                </c:pt>
                <c:pt idx="46">
                  <c:v>Q3</c:v>
                </c:pt>
                <c:pt idx="47">
                  <c:v>Q4</c:v>
                </c:pt>
                <c:pt idx="48">
                  <c:v>2030Q1</c:v>
                </c:pt>
                <c:pt idx="49">
                  <c:v>Q2</c:v>
                </c:pt>
                <c:pt idx="50">
                  <c:v>Q3</c:v>
                </c:pt>
                <c:pt idx="51">
                  <c:v>Q4</c:v>
                </c:pt>
                <c:pt idx="52">
                  <c:v>2031Q1</c:v>
                </c:pt>
                <c:pt idx="53">
                  <c:v>Q2</c:v>
                </c:pt>
                <c:pt idx="54">
                  <c:v>Q3</c:v>
                </c:pt>
                <c:pt idx="55">
                  <c:v>Q4</c:v>
                </c:pt>
                <c:pt idx="56">
                  <c:v>2032Q1</c:v>
                </c:pt>
                <c:pt idx="57">
                  <c:v>Q2</c:v>
                </c:pt>
                <c:pt idx="58">
                  <c:v>Q3</c:v>
                </c:pt>
                <c:pt idx="59">
                  <c:v>Q4</c:v>
                </c:pt>
              </c:strCache>
            </c:strRef>
          </c:cat>
          <c:val>
            <c:numRef>
              <c:f>'Qrtly Credit-Deficit Generation'!$AE$69:$CL$69</c:f>
              <c:numCache>
                <c:formatCode>_(* #,##0_);_(* \(#,##0\);_(* "-"??_);_(@_)</c:formatCode>
                <c:ptCount val="60"/>
                <c:pt idx="8">
                  <c:v>19933</c:v>
                </c:pt>
                <c:pt idx="9">
                  <c:v>21023</c:v>
                </c:pt>
                <c:pt idx="10">
                  <c:v>22444</c:v>
                </c:pt>
                <c:pt idx="11">
                  <c:v>21789</c:v>
                </c:pt>
                <c:pt idx="12">
                  <c:v>31771</c:v>
                </c:pt>
                <c:pt idx="13">
                  <c:v>37053</c:v>
                </c:pt>
                <c:pt idx="14">
                  <c:v>38185</c:v>
                </c:pt>
                <c:pt idx="15">
                  <c:v>32038</c:v>
                </c:pt>
                <c:pt idx="16">
                  <c:v>61886</c:v>
                </c:pt>
                <c:pt idx="17">
                  <c:v>64787</c:v>
                </c:pt>
                <c:pt idx="18">
                  <c:v>60971</c:v>
                </c:pt>
                <c:pt idx="19">
                  <c:v>61459</c:v>
                </c:pt>
                <c:pt idx="20">
                  <c:v>52013</c:v>
                </c:pt>
                <c:pt idx="21">
                  <c:v>51255</c:v>
                </c:pt>
                <c:pt idx="22">
                  <c:v>58180</c:v>
                </c:pt>
                <c:pt idx="23">
                  <c:v>47468</c:v>
                </c:pt>
                <c:pt idx="24">
                  <c:v>34495</c:v>
                </c:pt>
                <c:pt idx="25">
                  <c:v>34086</c:v>
                </c:pt>
                <c:pt idx="26">
                  <c:v>48779</c:v>
                </c:pt>
                <c:pt idx="27">
                  <c:v>94226.980588685139</c:v>
                </c:pt>
                <c:pt idx="28">
                  <c:v>49408.369061580757</c:v>
                </c:pt>
                <c:pt idx="29">
                  <c:v>50542.112964588821</c:v>
                </c:pt>
                <c:pt idx="30">
                  <c:v>65396.390512203507</c:v>
                </c:pt>
                <c:pt idx="31">
                  <c:v>141932.01972046404</c:v>
                </c:pt>
                <c:pt idx="32">
                  <c:v>56500</c:v>
                </c:pt>
                <c:pt idx="33">
                  <c:v>56000</c:v>
                </c:pt>
                <c:pt idx="34">
                  <c:v>70000</c:v>
                </c:pt>
                <c:pt idx="35">
                  <c:v>92500</c:v>
                </c:pt>
                <c:pt idx="36">
                  <c:v>44000</c:v>
                </c:pt>
                <c:pt idx="37">
                  <c:v>44400</c:v>
                </c:pt>
                <c:pt idx="38">
                  <c:v>59600</c:v>
                </c:pt>
                <c:pt idx="39">
                  <c:v>123600</c:v>
                </c:pt>
                <c:pt idx="40">
                  <c:v>55600</c:v>
                </c:pt>
                <c:pt idx="41">
                  <c:v>55600</c:v>
                </c:pt>
                <c:pt idx="42">
                  <c:v>70800</c:v>
                </c:pt>
                <c:pt idx="43">
                  <c:v>122800</c:v>
                </c:pt>
                <c:pt idx="44">
                  <c:v>52800</c:v>
                </c:pt>
                <c:pt idx="45">
                  <c:v>52400</c:v>
                </c:pt>
                <c:pt idx="46">
                  <c:v>68000</c:v>
                </c:pt>
                <c:pt idx="47">
                  <c:v>113200</c:v>
                </c:pt>
                <c:pt idx="48">
                  <c:v>52000</c:v>
                </c:pt>
                <c:pt idx="49">
                  <c:v>52400</c:v>
                </c:pt>
                <c:pt idx="50">
                  <c:v>68400</c:v>
                </c:pt>
                <c:pt idx="51">
                  <c:v>128800</c:v>
                </c:pt>
                <c:pt idx="52">
                  <c:v>56800</c:v>
                </c:pt>
                <c:pt idx="53">
                  <c:v>56400</c:v>
                </c:pt>
                <c:pt idx="54">
                  <c:v>72800</c:v>
                </c:pt>
                <c:pt idx="55">
                  <c:v>123600</c:v>
                </c:pt>
                <c:pt idx="56">
                  <c:v>54800</c:v>
                </c:pt>
                <c:pt idx="57">
                  <c:v>54800</c:v>
                </c:pt>
                <c:pt idx="58">
                  <c:v>71200</c:v>
                </c:pt>
                <c:pt idx="59">
                  <c:v>126800</c:v>
                </c:pt>
              </c:numCache>
            </c:numRef>
          </c:val>
          <c:extLst>
            <c:ext xmlns:c16="http://schemas.microsoft.com/office/drawing/2014/chart" uri="{C3380CC4-5D6E-409C-BE32-E72D297353CC}">
              <c16:uniqueId val="{00000004-809C-4F1A-AFE9-A666954F4136}"/>
            </c:ext>
          </c:extLst>
        </c:ser>
        <c:dLbls>
          <c:showLegendKey val="0"/>
          <c:showVal val="0"/>
          <c:showCatName val="0"/>
          <c:showSerName val="0"/>
          <c:showPercent val="0"/>
          <c:showBubbleSize val="0"/>
        </c:dLbls>
        <c:gapWidth val="15"/>
        <c:overlap val="100"/>
        <c:axId val="1353452512"/>
        <c:axId val="1353453168"/>
      </c:barChart>
      <c:catAx>
        <c:axId val="1353452512"/>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2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353453168"/>
        <c:crosses val="autoZero"/>
        <c:auto val="1"/>
        <c:lblAlgn val="ctr"/>
        <c:lblOffset val="100"/>
        <c:noMultiLvlLbl val="0"/>
      </c:catAx>
      <c:valAx>
        <c:axId val="1353453168"/>
        <c:scaling>
          <c:orientation val="minMax"/>
          <c:min val="0"/>
        </c:scaling>
        <c:delete val="0"/>
        <c:axPos val="l"/>
        <c:majorGridlines>
          <c:spPr>
            <a:ln w="9525" cap="flat" cmpd="sng" algn="ctr">
              <a:solidFill>
                <a:schemeClr val="bg1">
                  <a:lumMod val="6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353452512"/>
        <c:crosses val="autoZero"/>
        <c:crossBetween val="between"/>
        <c:dispUnits>
          <c:builtInUnit val="millions"/>
          <c:dispUnitsLbl>
            <c:layout>
              <c:manualLayout>
                <c:xMode val="edge"/>
                <c:yMode val="edge"/>
                <c:x val="1.2041166250686335E-2"/>
                <c:y val="0.38787272171978926"/>
              </c:manualLayout>
            </c:layout>
            <c:tx>
              <c:rich>
                <a:bodyPr rot="-5400000" spcFirstLastPara="1" vertOverflow="ellipsis" vert="horz" wrap="square" anchor="ctr" anchorCtr="1"/>
                <a:lstStyle/>
                <a:p>
                  <a:pPr>
                    <a:defRPr sz="12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200"/>
                    <a:t>(million</a:t>
                  </a:r>
                  <a:r>
                    <a:rPr lang="en-US" sz="1200" baseline="0"/>
                    <a:t> tonnes)</a:t>
                  </a:r>
                  <a:endParaRPr lang="en-US" sz="1200"/>
                </a:p>
              </c:rich>
            </c:tx>
            <c:spPr>
              <a:noFill/>
              <a:ln>
                <a:noFill/>
              </a:ln>
              <a:effectLst/>
            </c:spPr>
            <c:txPr>
              <a:bodyPr rot="-5400000" spcFirstLastPara="1" vertOverflow="ellipsis" vert="horz" wrap="square" anchor="ctr" anchorCtr="1"/>
              <a:lstStyle/>
              <a:p>
                <a:pPr>
                  <a:defRPr sz="12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ispUnitsLbl>
        </c:dispUnits>
      </c:valAx>
      <c:spPr>
        <a:noFill/>
        <a:ln>
          <a:solidFill>
            <a:srgbClr val="5D803B"/>
          </a:solidFill>
        </a:ln>
        <a:effectLst/>
      </c:spPr>
    </c:plotArea>
    <c:legend>
      <c:legendPos val="b"/>
      <c:layout>
        <c:manualLayout>
          <c:xMode val="edge"/>
          <c:yMode val="edge"/>
          <c:x val="0.11919794902188749"/>
          <c:y val="0.13571498156474354"/>
          <c:w val="0.34851653044412745"/>
          <c:h val="0.23584795625211641"/>
        </c:manualLayout>
      </c:layout>
      <c:overlay val="0"/>
      <c:spPr>
        <a:solidFill>
          <a:schemeClr val="bg1"/>
        </a:solidFill>
        <a:ln>
          <a:solidFill>
            <a:srgbClr val="5D803B"/>
          </a:solidFill>
        </a:ln>
        <a:effectLst/>
      </c:spPr>
      <c:txPr>
        <a:bodyPr rot="0" spcFirstLastPara="1" vertOverflow="ellipsis" vert="horz" wrap="square" anchor="ctr" anchorCtr="1"/>
        <a:lstStyle/>
        <a:p>
          <a:pPr>
            <a:defRPr sz="14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b="1">
          <a:solidFill>
            <a:sysClr val="windowText" lastClr="000000"/>
          </a:solidFill>
          <a:latin typeface="Arial" panose="020B0604020202020204" pitchFamily="34" charset="0"/>
          <a:cs typeface="Arial" panose="020B0604020202020204" pitchFamily="34" charset="0"/>
        </a:defRPr>
      </a:pPr>
      <a:endParaRPr lang="en-US"/>
    </a:p>
  </c:txPr>
  <c:userShapes r:id="rId3"/>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8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US" sz="2800"/>
              <a:t>Biodiesel Credits vs CARB Forecast</a:t>
            </a:r>
          </a:p>
        </c:rich>
      </c:tx>
      <c:overlay val="0"/>
      <c:spPr>
        <a:noFill/>
        <a:ln>
          <a:noFill/>
        </a:ln>
        <a:effectLst/>
      </c:spPr>
      <c:txPr>
        <a:bodyPr rot="0" spcFirstLastPara="1" vertOverflow="ellipsis" vert="horz" wrap="square" anchor="ctr" anchorCtr="1"/>
        <a:lstStyle/>
        <a:p>
          <a:pPr>
            <a:defRPr sz="28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8.1940162297123989E-2"/>
          <c:y val="8.0523478730337564E-2"/>
          <c:w val="0.90651645612601983"/>
          <c:h val="0.70439848089535095"/>
        </c:manualLayout>
      </c:layout>
      <c:lineChart>
        <c:grouping val="standard"/>
        <c:varyColors val="0"/>
        <c:ser>
          <c:idx val="0"/>
          <c:order val="0"/>
          <c:tx>
            <c:v>Actual/Fastmarkets Forecast</c:v>
          </c:tx>
          <c:spPr>
            <a:ln w="28575" cap="rnd">
              <a:solidFill>
                <a:srgbClr val="5D803B"/>
              </a:solidFill>
              <a:round/>
            </a:ln>
            <a:effectLst/>
          </c:spPr>
          <c:marker>
            <c:symbol val="circle"/>
            <c:size val="7"/>
            <c:spPr>
              <a:solidFill>
                <a:srgbClr val="5D803B"/>
              </a:solidFill>
              <a:ln w="9525">
                <a:solidFill>
                  <a:schemeClr val="tx1"/>
                </a:solidFill>
              </a:ln>
              <a:effectLst/>
            </c:spPr>
          </c:marker>
          <c:cat>
            <c:strRef>
              <c:f>'Fuel Vol and Credit Gen'!$N$95:$BC$95</c:f>
              <c:strCache>
                <c:ptCount val="42"/>
                <c:pt idx="0">
                  <c:v>2014 Q1</c:v>
                </c:pt>
                <c:pt idx="1">
                  <c:v>Q2</c:v>
                </c:pt>
                <c:pt idx="2">
                  <c:v>Q3</c:v>
                </c:pt>
                <c:pt idx="3">
                  <c:v>Q4</c:v>
                </c:pt>
                <c:pt idx="4">
                  <c:v>2015 Q1</c:v>
                </c:pt>
                <c:pt idx="5">
                  <c:v>Q2</c:v>
                </c:pt>
                <c:pt idx="6">
                  <c:v>Q3</c:v>
                </c:pt>
                <c:pt idx="7">
                  <c:v>Q4</c:v>
                </c:pt>
                <c:pt idx="8">
                  <c:v>2016 Q1</c:v>
                </c:pt>
                <c:pt idx="9">
                  <c:v>Q2</c:v>
                </c:pt>
                <c:pt idx="10">
                  <c:v>Q3</c:v>
                </c:pt>
                <c:pt idx="11">
                  <c:v>Q4</c:v>
                </c:pt>
                <c:pt idx="12">
                  <c:v>2017 Q1</c:v>
                </c:pt>
                <c:pt idx="13">
                  <c:v>Q2</c:v>
                </c:pt>
                <c:pt idx="14">
                  <c:v>Q3</c:v>
                </c:pt>
                <c:pt idx="15">
                  <c:v>Q4</c:v>
                </c:pt>
                <c:pt idx="16">
                  <c:v>2018 Q1</c:v>
                </c:pt>
                <c:pt idx="17">
                  <c:v>Q2</c:v>
                </c:pt>
                <c:pt idx="18">
                  <c:v>Q3</c:v>
                </c:pt>
                <c:pt idx="19">
                  <c:v>Q4</c:v>
                </c:pt>
                <c:pt idx="20">
                  <c:v>2019 Q1</c:v>
                </c:pt>
                <c:pt idx="21">
                  <c:v>Q2</c:v>
                </c:pt>
                <c:pt idx="22">
                  <c:v>Q3</c:v>
                </c:pt>
                <c:pt idx="23">
                  <c:v>Q4</c:v>
                </c:pt>
                <c:pt idx="24">
                  <c:v>2020 Q1</c:v>
                </c:pt>
                <c:pt idx="25">
                  <c:v>Q2</c:v>
                </c:pt>
                <c:pt idx="26">
                  <c:v>Q3</c:v>
                </c:pt>
                <c:pt idx="27">
                  <c:v>Q4</c:v>
                </c:pt>
                <c:pt idx="28">
                  <c:v>2021 Q1</c:v>
                </c:pt>
                <c:pt idx="29">
                  <c:v>Q2</c:v>
                </c:pt>
                <c:pt idx="30">
                  <c:v>Q3</c:v>
                </c:pt>
                <c:pt idx="31">
                  <c:v>Q4</c:v>
                </c:pt>
                <c:pt idx="32">
                  <c:v>2022 Q1</c:v>
                </c:pt>
                <c:pt idx="33">
                  <c:v>Q2</c:v>
                </c:pt>
                <c:pt idx="34">
                  <c:v>Q3</c:v>
                </c:pt>
                <c:pt idx="35">
                  <c:v>Q4</c:v>
                </c:pt>
                <c:pt idx="36">
                  <c:v>2023 Q1</c:v>
                </c:pt>
                <c:pt idx="37">
                  <c:v>Q2</c:v>
                </c:pt>
                <c:pt idx="38">
                  <c:v>Q3</c:v>
                </c:pt>
                <c:pt idx="39">
                  <c:v>Q4</c:v>
                </c:pt>
                <c:pt idx="40">
                  <c:v>2024Q1</c:v>
                </c:pt>
                <c:pt idx="41">
                  <c:v>Q2</c:v>
                </c:pt>
              </c:strCache>
            </c:strRef>
          </c:cat>
          <c:val>
            <c:numRef>
              <c:f>'Fuel Vol and Credit Gen'!$N$96:$BC$96</c:f>
              <c:numCache>
                <c:formatCode>#,##0.0_);[Red]\(#,##0.0\)</c:formatCode>
                <c:ptCount val="42"/>
                <c:pt idx="0">
                  <c:v>169.21799999999999</c:v>
                </c:pt>
                <c:pt idx="1">
                  <c:v>183.30799999999999</c:v>
                </c:pt>
                <c:pt idx="2">
                  <c:v>154.934</c:v>
                </c:pt>
                <c:pt idx="3">
                  <c:v>210.54</c:v>
                </c:pt>
                <c:pt idx="4">
                  <c:v>195.61500000000001</c:v>
                </c:pt>
                <c:pt idx="5">
                  <c:v>287.97300000000001</c:v>
                </c:pt>
                <c:pt idx="6">
                  <c:v>364.50099999999998</c:v>
                </c:pt>
                <c:pt idx="7">
                  <c:v>365.82100000000003</c:v>
                </c:pt>
                <c:pt idx="8">
                  <c:v>322.60700000000003</c:v>
                </c:pt>
                <c:pt idx="9">
                  <c:v>392.31799999999998</c:v>
                </c:pt>
                <c:pt idx="10">
                  <c:v>470.92200000000003</c:v>
                </c:pt>
                <c:pt idx="11">
                  <c:v>550.93600000000004</c:v>
                </c:pt>
                <c:pt idx="12">
                  <c:v>306.64</c:v>
                </c:pt>
                <c:pt idx="13">
                  <c:v>321.90899999999999</c:v>
                </c:pt>
                <c:pt idx="14">
                  <c:v>393.58699999999999</c:v>
                </c:pt>
                <c:pt idx="15">
                  <c:v>357.60300000000001</c:v>
                </c:pt>
                <c:pt idx="16">
                  <c:v>306.33699999999999</c:v>
                </c:pt>
                <c:pt idx="17">
                  <c:v>357.50799999999998</c:v>
                </c:pt>
                <c:pt idx="18">
                  <c:v>442.00700000000001</c:v>
                </c:pt>
                <c:pt idx="19">
                  <c:v>500.702</c:v>
                </c:pt>
                <c:pt idx="20">
                  <c:v>347.14</c:v>
                </c:pt>
                <c:pt idx="21">
                  <c:v>490.16300000000001</c:v>
                </c:pt>
                <c:pt idx="22">
                  <c:v>506.35</c:v>
                </c:pt>
                <c:pt idx="23">
                  <c:v>487.43700000000001</c:v>
                </c:pt>
                <c:pt idx="24">
                  <c:v>477.79700000000003</c:v>
                </c:pt>
                <c:pt idx="25">
                  <c:v>492.495</c:v>
                </c:pt>
                <c:pt idx="26">
                  <c:v>592.29600000000005</c:v>
                </c:pt>
                <c:pt idx="27">
                  <c:v>650.73900000000003</c:v>
                </c:pt>
                <c:pt idx="28">
                  <c:v>479.642</c:v>
                </c:pt>
                <c:pt idx="29">
                  <c:v>622.76700000000005</c:v>
                </c:pt>
                <c:pt idx="30">
                  <c:v>622.94899999999996</c:v>
                </c:pt>
                <c:pt idx="31">
                  <c:v>585.24099999999999</c:v>
                </c:pt>
                <c:pt idx="32">
                  <c:v>565.02099999999996</c:v>
                </c:pt>
                <c:pt idx="33">
                  <c:v>533.22</c:v>
                </c:pt>
                <c:pt idx="34">
                  <c:v>563.91600000000005</c:v>
                </c:pt>
                <c:pt idx="35">
                  <c:v>542.39099999999996</c:v>
                </c:pt>
                <c:pt idx="36">
                  <c:v>493.42399999999998</c:v>
                </c:pt>
                <c:pt idx="37">
                  <c:v>468.03100000000001</c:v>
                </c:pt>
                <c:pt idx="38">
                  <c:v>497.04700000000003</c:v>
                </c:pt>
                <c:pt idx="39">
                  <c:v>511.69799999999998</c:v>
                </c:pt>
                <c:pt idx="40">
                  <c:v>460.82900000000001</c:v>
                </c:pt>
                <c:pt idx="41">
                  <c:v>440.43099999999998</c:v>
                </c:pt>
              </c:numCache>
            </c:numRef>
          </c:val>
          <c:smooth val="0"/>
          <c:extLst>
            <c:ext xmlns:c16="http://schemas.microsoft.com/office/drawing/2014/chart" uri="{C3380CC4-5D6E-409C-BE32-E72D297353CC}">
              <c16:uniqueId val="{00000000-1E7C-49EC-95D5-B5AB1E1EF196}"/>
            </c:ext>
          </c:extLst>
        </c:ser>
        <c:ser>
          <c:idx val="1"/>
          <c:order val="1"/>
          <c:tx>
            <c:v>CARB Forecast</c:v>
          </c:tx>
          <c:spPr>
            <a:ln w="28575" cap="rnd">
              <a:solidFill>
                <a:srgbClr val="C4722E"/>
              </a:solidFill>
              <a:round/>
            </a:ln>
            <a:effectLst/>
          </c:spPr>
          <c:marker>
            <c:symbol val="circle"/>
            <c:size val="7"/>
            <c:spPr>
              <a:solidFill>
                <a:srgbClr val="C4722E"/>
              </a:solidFill>
              <a:ln w="9525">
                <a:solidFill>
                  <a:schemeClr val="tx1"/>
                </a:solidFill>
              </a:ln>
              <a:effectLst/>
            </c:spPr>
          </c:marker>
          <c:cat>
            <c:strRef>
              <c:f>'Fuel Vol and Credit Gen'!$N$95:$BC$95</c:f>
              <c:strCache>
                <c:ptCount val="42"/>
                <c:pt idx="0">
                  <c:v>2014 Q1</c:v>
                </c:pt>
                <c:pt idx="1">
                  <c:v>Q2</c:v>
                </c:pt>
                <c:pt idx="2">
                  <c:v>Q3</c:v>
                </c:pt>
                <c:pt idx="3">
                  <c:v>Q4</c:v>
                </c:pt>
                <c:pt idx="4">
                  <c:v>2015 Q1</c:v>
                </c:pt>
                <c:pt idx="5">
                  <c:v>Q2</c:v>
                </c:pt>
                <c:pt idx="6">
                  <c:v>Q3</c:v>
                </c:pt>
                <c:pt idx="7">
                  <c:v>Q4</c:v>
                </c:pt>
                <c:pt idx="8">
                  <c:v>2016 Q1</c:v>
                </c:pt>
                <c:pt idx="9">
                  <c:v>Q2</c:v>
                </c:pt>
                <c:pt idx="10">
                  <c:v>Q3</c:v>
                </c:pt>
                <c:pt idx="11">
                  <c:v>Q4</c:v>
                </c:pt>
                <c:pt idx="12">
                  <c:v>2017 Q1</c:v>
                </c:pt>
                <c:pt idx="13">
                  <c:v>Q2</c:v>
                </c:pt>
                <c:pt idx="14">
                  <c:v>Q3</c:v>
                </c:pt>
                <c:pt idx="15">
                  <c:v>Q4</c:v>
                </c:pt>
                <c:pt idx="16">
                  <c:v>2018 Q1</c:v>
                </c:pt>
                <c:pt idx="17">
                  <c:v>Q2</c:v>
                </c:pt>
                <c:pt idx="18">
                  <c:v>Q3</c:v>
                </c:pt>
                <c:pt idx="19">
                  <c:v>Q4</c:v>
                </c:pt>
                <c:pt idx="20">
                  <c:v>2019 Q1</c:v>
                </c:pt>
                <c:pt idx="21">
                  <c:v>Q2</c:v>
                </c:pt>
                <c:pt idx="22">
                  <c:v>Q3</c:v>
                </c:pt>
                <c:pt idx="23">
                  <c:v>Q4</c:v>
                </c:pt>
                <c:pt idx="24">
                  <c:v>2020 Q1</c:v>
                </c:pt>
                <c:pt idx="25">
                  <c:v>Q2</c:v>
                </c:pt>
                <c:pt idx="26">
                  <c:v>Q3</c:v>
                </c:pt>
                <c:pt idx="27">
                  <c:v>Q4</c:v>
                </c:pt>
                <c:pt idx="28">
                  <c:v>2021 Q1</c:v>
                </c:pt>
                <c:pt idx="29">
                  <c:v>Q2</c:v>
                </c:pt>
                <c:pt idx="30">
                  <c:v>Q3</c:v>
                </c:pt>
                <c:pt idx="31">
                  <c:v>Q4</c:v>
                </c:pt>
                <c:pt idx="32">
                  <c:v>2022 Q1</c:v>
                </c:pt>
                <c:pt idx="33">
                  <c:v>Q2</c:v>
                </c:pt>
                <c:pt idx="34">
                  <c:v>Q3</c:v>
                </c:pt>
                <c:pt idx="35">
                  <c:v>Q4</c:v>
                </c:pt>
                <c:pt idx="36">
                  <c:v>2023 Q1</c:v>
                </c:pt>
                <c:pt idx="37">
                  <c:v>Q2</c:v>
                </c:pt>
                <c:pt idx="38">
                  <c:v>Q3</c:v>
                </c:pt>
                <c:pt idx="39">
                  <c:v>Q4</c:v>
                </c:pt>
                <c:pt idx="40">
                  <c:v>2024Q1</c:v>
                </c:pt>
                <c:pt idx="41">
                  <c:v>Q2</c:v>
                </c:pt>
              </c:strCache>
            </c:strRef>
          </c:cat>
          <c:val>
            <c:numRef>
              <c:f>'Fuel Vol and Credit Gen'!$N$106:$BC$106</c:f>
              <c:numCache>
                <c:formatCode>#,##0_);[Red]\(#,##0\)</c:formatCode>
                <c:ptCount val="42"/>
                <c:pt idx="0">
                  <c:v>165</c:v>
                </c:pt>
                <c:pt idx="1">
                  <c:v>165</c:v>
                </c:pt>
                <c:pt idx="2">
                  <c:v>165</c:v>
                </c:pt>
                <c:pt idx="3">
                  <c:v>165</c:v>
                </c:pt>
                <c:pt idx="4">
                  <c:v>282.5</c:v>
                </c:pt>
                <c:pt idx="5">
                  <c:v>282.5</c:v>
                </c:pt>
                <c:pt idx="6">
                  <c:v>282.5</c:v>
                </c:pt>
                <c:pt idx="7">
                  <c:v>282.5</c:v>
                </c:pt>
                <c:pt idx="8">
                  <c:v>427.74725000000001</c:v>
                </c:pt>
                <c:pt idx="9">
                  <c:v>427.74725000000001</c:v>
                </c:pt>
                <c:pt idx="10">
                  <c:v>427.74725000000001</c:v>
                </c:pt>
                <c:pt idx="11">
                  <c:v>427.74725000000001</c:v>
                </c:pt>
                <c:pt idx="12">
                  <c:v>346.13225</c:v>
                </c:pt>
                <c:pt idx="13">
                  <c:v>346.13225</c:v>
                </c:pt>
                <c:pt idx="14">
                  <c:v>346.13225</c:v>
                </c:pt>
                <c:pt idx="15">
                  <c:v>346.13225</c:v>
                </c:pt>
                <c:pt idx="16">
                  <c:v>403.69641606897756</c:v>
                </c:pt>
                <c:pt idx="17">
                  <c:v>403.69641606897756</c:v>
                </c:pt>
                <c:pt idx="18">
                  <c:v>403.69641606897756</c:v>
                </c:pt>
                <c:pt idx="19">
                  <c:v>403.69641606897756</c:v>
                </c:pt>
                <c:pt idx="20">
                  <c:v>518.07122271747221</c:v>
                </c:pt>
                <c:pt idx="21">
                  <c:v>518.07122271747221</c:v>
                </c:pt>
                <c:pt idx="22">
                  <c:v>518.07122271747221</c:v>
                </c:pt>
                <c:pt idx="23">
                  <c:v>518.07122271747221</c:v>
                </c:pt>
                <c:pt idx="24">
                  <c:v>645.50561251532486</c:v>
                </c:pt>
                <c:pt idx="25">
                  <c:v>645.50561251532486</c:v>
                </c:pt>
                <c:pt idx="26">
                  <c:v>645.50561251532486</c:v>
                </c:pt>
                <c:pt idx="27">
                  <c:v>645.50561251532486</c:v>
                </c:pt>
                <c:pt idx="28">
                  <c:v>767.00096151930575</c:v>
                </c:pt>
                <c:pt idx="29">
                  <c:v>767.00096151930575</c:v>
                </c:pt>
                <c:pt idx="30">
                  <c:v>767.00096151930575</c:v>
                </c:pt>
                <c:pt idx="31">
                  <c:v>767.00096151930575</c:v>
                </c:pt>
                <c:pt idx="32">
                  <c:v>882.55726972941534</c:v>
                </c:pt>
                <c:pt idx="33">
                  <c:v>882.55726972941534</c:v>
                </c:pt>
                <c:pt idx="34">
                  <c:v>882.55726972941534</c:v>
                </c:pt>
                <c:pt idx="35">
                  <c:v>882.55726972941534</c:v>
                </c:pt>
                <c:pt idx="36">
                  <c:v>988.46414209694524</c:v>
                </c:pt>
                <c:pt idx="37">
                  <c:v>988.46414209694524</c:v>
                </c:pt>
                <c:pt idx="38">
                  <c:v>988.46414209694524</c:v>
                </c:pt>
                <c:pt idx="39">
                  <c:v>988.46414209694524</c:v>
                </c:pt>
                <c:pt idx="40">
                  <c:v>988.46414209694524</c:v>
                </c:pt>
                <c:pt idx="41">
                  <c:v>988.46414209694524</c:v>
                </c:pt>
              </c:numCache>
            </c:numRef>
          </c:val>
          <c:smooth val="0"/>
          <c:extLst>
            <c:ext xmlns:c16="http://schemas.microsoft.com/office/drawing/2014/chart" uri="{C3380CC4-5D6E-409C-BE32-E72D297353CC}">
              <c16:uniqueId val="{00000001-1E7C-49EC-95D5-B5AB1E1EF196}"/>
            </c:ext>
          </c:extLst>
        </c:ser>
        <c:dLbls>
          <c:showLegendKey val="0"/>
          <c:showVal val="0"/>
          <c:showCatName val="0"/>
          <c:showSerName val="0"/>
          <c:showPercent val="0"/>
          <c:showBubbleSize val="0"/>
        </c:dLbls>
        <c:marker val="1"/>
        <c:smooth val="0"/>
        <c:axId val="1238676640"/>
        <c:axId val="1238675000"/>
      </c:lineChart>
      <c:catAx>
        <c:axId val="1238676640"/>
        <c:scaling>
          <c:orientation val="minMax"/>
        </c:scaling>
        <c:delete val="0"/>
        <c:axPos val="b"/>
        <c:numFmt formatCode="General" sourceLinked="1"/>
        <c:majorTickMark val="none"/>
        <c:minorTickMark val="none"/>
        <c:tickLblPos val="nextTo"/>
        <c:spPr>
          <a:noFill/>
          <a:ln w="9525" cap="flat" cmpd="sng" algn="ctr">
            <a:solidFill>
              <a:srgbClr val="5D803B"/>
            </a:solidFill>
            <a:round/>
          </a:ln>
          <a:effectLst/>
        </c:spPr>
        <c:txPr>
          <a:bodyPr rot="-5400000" spcFirstLastPara="1" vertOverflow="ellipsis" wrap="square" anchor="ctr" anchorCtr="1"/>
          <a:lstStyle/>
          <a:p>
            <a:pPr>
              <a:defRPr sz="14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238675000"/>
        <c:crosses val="autoZero"/>
        <c:auto val="1"/>
        <c:lblAlgn val="ctr"/>
        <c:lblOffset val="100"/>
        <c:noMultiLvlLbl val="0"/>
      </c:catAx>
      <c:valAx>
        <c:axId val="1238675000"/>
        <c:scaling>
          <c:orientation val="minMax"/>
        </c:scaling>
        <c:delete val="0"/>
        <c:axPos val="l"/>
        <c:majorGridlines>
          <c:spPr>
            <a:ln w="9525" cap="flat" cmpd="sng" algn="ctr">
              <a:solidFill>
                <a:schemeClr val="bg1">
                  <a:lumMod val="65000"/>
                </a:schemeClr>
              </a:solidFill>
              <a:round/>
            </a:ln>
            <a:effectLst/>
          </c:spPr>
        </c:majorGridlines>
        <c:title>
          <c:tx>
            <c:rich>
              <a:bodyPr rot="-5400000" spcFirstLastPara="1" vertOverflow="ellipsis" vert="horz" wrap="square" anchor="ctr" anchorCtr="1"/>
              <a:lstStyle/>
              <a:p>
                <a:pPr>
                  <a:defRPr sz="14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a:t>(thousand</a:t>
                </a:r>
                <a:r>
                  <a:rPr lang="en-US" baseline="0"/>
                  <a:t> tonnes)</a:t>
                </a:r>
                <a:endParaRPr lang="en-US"/>
              </a:p>
            </c:rich>
          </c:tx>
          <c:overlay val="0"/>
          <c:spPr>
            <a:noFill/>
            <a:ln>
              <a:noFill/>
            </a:ln>
            <a:effectLst/>
          </c:spPr>
          <c:txPr>
            <a:bodyPr rot="-5400000" spcFirstLastPara="1" vertOverflow="ellipsis" vert="horz" wrap="square" anchor="ctr" anchorCtr="1"/>
            <a:lstStyle/>
            <a:p>
              <a:pPr>
                <a:defRPr sz="14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238676640"/>
        <c:crosses val="autoZero"/>
        <c:crossBetween val="between"/>
      </c:valAx>
      <c:spPr>
        <a:noFill/>
        <a:ln>
          <a:solidFill>
            <a:srgbClr val="5D803B"/>
          </a:solidFill>
        </a:ln>
        <a:effectLst/>
      </c:spPr>
    </c:plotArea>
    <c:legend>
      <c:legendPos val="b"/>
      <c:layout>
        <c:manualLayout>
          <c:xMode val="edge"/>
          <c:yMode val="edge"/>
          <c:x val="0.15824925364111286"/>
          <c:y val="0.14942067460478925"/>
          <c:w val="0.52031667565758888"/>
          <c:h val="8.8444500677302473E-2"/>
        </c:manualLayout>
      </c:layout>
      <c:overlay val="0"/>
      <c:spPr>
        <a:solidFill>
          <a:schemeClr val="bg1"/>
        </a:solidFill>
        <a:ln>
          <a:solidFill>
            <a:srgbClr val="5D803B"/>
          </a:solidFill>
        </a:ln>
        <a:effectLst/>
      </c:spPr>
      <c:txPr>
        <a:bodyPr rot="0" spcFirstLastPara="1" vertOverflow="ellipsis" vert="horz" wrap="square" anchor="ctr" anchorCtr="1"/>
        <a:lstStyle/>
        <a:p>
          <a:pPr>
            <a:defRPr sz="14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400" b="1">
          <a:solidFill>
            <a:sysClr val="windowText" lastClr="000000"/>
          </a:solidFill>
          <a:latin typeface="Arial" panose="020B0604020202020204" pitchFamily="34" charset="0"/>
          <a:cs typeface="Arial" panose="020B0604020202020204" pitchFamily="34" charset="0"/>
        </a:defRPr>
      </a:pPr>
      <a:endParaRPr lang="en-US"/>
    </a:p>
  </c:txPr>
  <c:userShapes r:id="rId3"/>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US" sz="2400"/>
              <a:t>Renewable Diesel Credits vs CARB Forecast</a:t>
            </a:r>
          </a:p>
        </c:rich>
      </c:tx>
      <c:overlay val="0"/>
      <c:spPr>
        <a:noFill/>
        <a:ln>
          <a:noFill/>
        </a:ln>
        <a:effectLst/>
      </c:spPr>
      <c:txPr>
        <a:bodyPr rot="0" spcFirstLastPara="1" vertOverflow="ellipsis" vert="horz" wrap="square" anchor="ctr" anchorCtr="1"/>
        <a:lstStyle/>
        <a:p>
          <a:pPr>
            <a:defRPr sz="24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9.7496282687233232E-2"/>
          <c:y val="9.7071909253544114E-2"/>
          <c:w val="0.88779034166417226"/>
          <c:h val="0.71147713251811795"/>
        </c:manualLayout>
      </c:layout>
      <c:lineChart>
        <c:grouping val="standard"/>
        <c:varyColors val="0"/>
        <c:ser>
          <c:idx val="0"/>
          <c:order val="0"/>
          <c:tx>
            <c:v>Actual/Fastmarkets Forecast</c:v>
          </c:tx>
          <c:spPr>
            <a:ln w="28575" cap="rnd">
              <a:solidFill>
                <a:srgbClr val="5D803B"/>
              </a:solidFill>
              <a:round/>
            </a:ln>
            <a:effectLst/>
          </c:spPr>
          <c:marker>
            <c:symbol val="circle"/>
            <c:size val="7"/>
            <c:spPr>
              <a:solidFill>
                <a:srgbClr val="5D803B"/>
              </a:solidFill>
              <a:ln w="9525">
                <a:solidFill>
                  <a:schemeClr val="tx1"/>
                </a:solidFill>
              </a:ln>
              <a:effectLst/>
            </c:spPr>
          </c:marker>
          <c:cat>
            <c:strRef>
              <c:f>'Fuel Vol and Credit Gen'!$N$95:$BC$95</c:f>
              <c:strCache>
                <c:ptCount val="42"/>
                <c:pt idx="0">
                  <c:v>2014 Q1</c:v>
                </c:pt>
                <c:pt idx="1">
                  <c:v>Q2</c:v>
                </c:pt>
                <c:pt idx="2">
                  <c:v>Q3</c:v>
                </c:pt>
                <c:pt idx="3">
                  <c:v>Q4</c:v>
                </c:pt>
                <c:pt idx="4">
                  <c:v>2015 Q1</c:v>
                </c:pt>
                <c:pt idx="5">
                  <c:v>Q2</c:v>
                </c:pt>
                <c:pt idx="6">
                  <c:v>Q3</c:v>
                </c:pt>
                <c:pt idx="7">
                  <c:v>Q4</c:v>
                </c:pt>
                <c:pt idx="8">
                  <c:v>2016 Q1</c:v>
                </c:pt>
                <c:pt idx="9">
                  <c:v>Q2</c:v>
                </c:pt>
                <c:pt idx="10">
                  <c:v>Q3</c:v>
                </c:pt>
                <c:pt idx="11">
                  <c:v>Q4</c:v>
                </c:pt>
                <c:pt idx="12">
                  <c:v>2017 Q1</c:v>
                </c:pt>
                <c:pt idx="13">
                  <c:v>Q2</c:v>
                </c:pt>
                <c:pt idx="14">
                  <c:v>Q3</c:v>
                </c:pt>
                <c:pt idx="15">
                  <c:v>Q4</c:v>
                </c:pt>
                <c:pt idx="16">
                  <c:v>2018 Q1</c:v>
                </c:pt>
                <c:pt idx="17">
                  <c:v>Q2</c:v>
                </c:pt>
                <c:pt idx="18">
                  <c:v>Q3</c:v>
                </c:pt>
                <c:pt idx="19">
                  <c:v>Q4</c:v>
                </c:pt>
                <c:pt idx="20">
                  <c:v>2019 Q1</c:v>
                </c:pt>
                <c:pt idx="21">
                  <c:v>Q2</c:v>
                </c:pt>
                <c:pt idx="22">
                  <c:v>Q3</c:v>
                </c:pt>
                <c:pt idx="23">
                  <c:v>Q4</c:v>
                </c:pt>
                <c:pt idx="24">
                  <c:v>2020 Q1</c:v>
                </c:pt>
                <c:pt idx="25">
                  <c:v>Q2</c:v>
                </c:pt>
                <c:pt idx="26">
                  <c:v>Q3</c:v>
                </c:pt>
                <c:pt idx="27">
                  <c:v>Q4</c:v>
                </c:pt>
                <c:pt idx="28">
                  <c:v>2021 Q1</c:v>
                </c:pt>
                <c:pt idx="29">
                  <c:v>Q2</c:v>
                </c:pt>
                <c:pt idx="30">
                  <c:v>Q3</c:v>
                </c:pt>
                <c:pt idx="31">
                  <c:v>Q4</c:v>
                </c:pt>
                <c:pt idx="32">
                  <c:v>2022 Q1</c:v>
                </c:pt>
                <c:pt idx="33">
                  <c:v>Q2</c:v>
                </c:pt>
                <c:pt idx="34">
                  <c:v>Q3</c:v>
                </c:pt>
                <c:pt idx="35">
                  <c:v>Q4</c:v>
                </c:pt>
                <c:pt idx="36">
                  <c:v>2023 Q1</c:v>
                </c:pt>
                <c:pt idx="37">
                  <c:v>Q2</c:v>
                </c:pt>
                <c:pt idx="38">
                  <c:v>Q3</c:v>
                </c:pt>
                <c:pt idx="39">
                  <c:v>Q4</c:v>
                </c:pt>
                <c:pt idx="40">
                  <c:v>2024Q1</c:v>
                </c:pt>
                <c:pt idx="41">
                  <c:v>Q2</c:v>
                </c:pt>
              </c:strCache>
            </c:strRef>
          </c:cat>
          <c:val>
            <c:numRef>
              <c:f>'Fuel Vol and Credit Gen'!$N$101:$BC$101</c:f>
              <c:numCache>
                <c:formatCode>#,##0.0_);[Red]\(#,##0.0\)</c:formatCode>
                <c:ptCount val="42"/>
                <c:pt idx="0">
                  <c:v>192.40700000000001</c:v>
                </c:pt>
                <c:pt idx="1">
                  <c:v>211.00399999999999</c:v>
                </c:pt>
                <c:pt idx="2">
                  <c:v>260.52199999999999</c:v>
                </c:pt>
                <c:pt idx="3">
                  <c:v>181.04599999999999</c:v>
                </c:pt>
                <c:pt idx="4">
                  <c:v>204.352</c:v>
                </c:pt>
                <c:pt idx="5">
                  <c:v>240.167</c:v>
                </c:pt>
                <c:pt idx="6">
                  <c:v>298.59100000000001</c:v>
                </c:pt>
                <c:pt idx="7">
                  <c:v>295.06099999999998</c:v>
                </c:pt>
                <c:pt idx="8">
                  <c:v>274.56799999999998</c:v>
                </c:pt>
                <c:pt idx="9">
                  <c:v>670.55899999999997</c:v>
                </c:pt>
                <c:pt idx="10">
                  <c:v>577.58600000000001</c:v>
                </c:pt>
                <c:pt idx="11">
                  <c:v>718.50400000000002</c:v>
                </c:pt>
                <c:pt idx="12">
                  <c:v>610.65200000000004</c:v>
                </c:pt>
                <c:pt idx="13">
                  <c:v>835.625</c:v>
                </c:pt>
                <c:pt idx="14">
                  <c:v>844.15899999999999</c:v>
                </c:pt>
                <c:pt idx="15">
                  <c:v>676.29399999999998</c:v>
                </c:pt>
                <c:pt idx="16">
                  <c:v>822.71100000000001</c:v>
                </c:pt>
                <c:pt idx="17">
                  <c:v>904.125</c:v>
                </c:pt>
                <c:pt idx="18">
                  <c:v>684.77300000000002</c:v>
                </c:pt>
                <c:pt idx="19">
                  <c:v>1073.7819999999999</c:v>
                </c:pt>
                <c:pt idx="20">
                  <c:v>1195.556</c:v>
                </c:pt>
                <c:pt idx="21">
                  <c:v>1245.7460000000001</c:v>
                </c:pt>
                <c:pt idx="22">
                  <c:v>1056.3050000000001</c:v>
                </c:pt>
                <c:pt idx="23">
                  <c:v>1282.92</c:v>
                </c:pt>
                <c:pt idx="24">
                  <c:v>1033.279</c:v>
                </c:pt>
                <c:pt idx="25">
                  <c:v>1141.0740000000001</c:v>
                </c:pt>
                <c:pt idx="26">
                  <c:v>1104.97</c:v>
                </c:pt>
                <c:pt idx="27">
                  <c:v>1291.9770000000001</c:v>
                </c:pt>
                <c:pt idx="28">
                  <c:v>1432.6469999999999</c:v>
                </c:pt>
                <c:pt idx="29">
                  <c:v>1503.7339999999999</c:v>
                </c:pt>
                <c:pt idx="30">
                  <c:v>1724.2360000000001</c:v>
                </c:pt>
                <c:pt idx="31">
                  <c:v>1895.846</c:v>
                </c:pt>
                <c:pt idx="32">
                  <c:v>2222.87</c:v>
                </c:pt>
                <c:pt idx="33">
                  <c:v>2447.0509999999999</c:v>
                </c:pt>
                <c:pt idx="34">
                  <c:v>2389.8029999999999</c:v>
                </c:pt>
                <c:pt idx="35">
                  <c:v>2557.2109999999998</c:v>
                </c:pt>
                <c:pt idx="36">
                  <c:v>2504.078</c:v>
                </c:pt>
                <c:pt idx="37">
                  <c:v>2847.1610000000001</c:v>
                </c:pt>
                <c:pt idx="38">
                  <c:v>3182.5010000000002</c:v>
                </c:pt>
                <c:pt idx="39">
                  <c:v>3395.1120000000001</c:v>
                </c:pt>
                <c:pt idx="40">
                  <c:v>3149.54</c:v>
                </c:pt>
                <c:pt idx="41">
                  <c:v>3492.9340000000002</c:v>
                </c:pt>
              </c:numCache>
            </c:numRef>
          </c:val>
          <c:smooth val="0"/>
          <c:extLst>
            <c:ext xmlns:c16="http://schemas.microsoft.com/office/drawing/2014/chart" uri="{C3380CC4-5D6E-409C-BE32-E72D297353CC}">
              <c16:uniqueId val="{00000000-8AF0-41D0-8004-E53AF3D75F06}"/>
            </c:ext>
          </c:extLst>
        </c:ser>
        <c:ser>
          <c:idx val="1"/>
          <c:order val="1"/>
          <c:tx>
            <c:v>CARB Forecast</c:v>
          </c:tx>
          <c:spPr>
            <a:ln w="28575" cap="rnd">
              <a:solidFill>
                <a:srgbClr val="C4722E"/>
              </a:solidFill>
              <a:round/>
            </a:ln>
            <a:effectLst/>
          </c:spPr>
          <c:marker>
            <c:symbol val="circle"/>
            <c:size val="7"/>
            <c:spPr>
              <a:solidFill>
                <a:srgbClr val="C4722E"/>
              </a:solidFill>
              <a:ln w="9525">
                <a:solidFill>
                  <a:schemeClr val="tx1"/>
                </a:solidFill>
              </a:ln>
              <a:effectLst/>
            </c:spPr>
          </c:marker>
          <c:cat>
            <c:strRef>
              <c:f>'Fuel Vol and Credit Gen'!$N$95:$BC$95</c:f>
              <c:strCache>
                <c:ptCount val="42"/>
                <c:pt idx="0">
                  <c:v>2014 Q1</c:v>
                </c:pt>
                <c:pt idx="1">
                  <c:v>Q2</c:v>
                </c:pt>
                <c:pt idx="2">
                  <c:v>Q3</c:v>
                </c:pt>
                <c:pt idx="3">
                  <c:v>Q4</c:v>
                </c:pt>
                <c:pt idx="4">
                  <c:v>2015 Q1</c:v>
                </c:pt>
                <c:pt idx="5">
                  <c:v>Q2</c:v>
                </c:pt>
                <c:pt idx="6">
                  <c:v>Q3</c:v>
                </c:pt>
                <c:pt idx="7">
                  <c:v>Q4</c:v>
                </c:pt>
                <c:pt idx="8">
                  <c:v>2016 Q1</c:v>
                </c:pt>
                <c:pt idx="9">
                  <c:v>Q2</c:v>
                </c:pt>
                <c:pt idx="10">
                  <c:v>Q3</c:v>
                </c:pt>
                <c:pt idx="11">
                  <c:v>Q4</c:v>
                </c:pt>
                <c:pt idx="12">
                  <c:v>2017 Q1</c:v>
                </c:pt>
                <c:pt idx="13">
                  <c:v>Q2</c:v>
                </c:pt>
                <c:pt idx="14">
                  <c:v>Q3</c:v>
                </c:pt>
                <c:pt idx="15">
                  <c:v>Q4</c:v>
                </c:pt>
                <c:pt idx="16">
                  <c:v>2018 Q1</c:v>
                </c:pt>
                <c:pt idx="17">
                  <c:v>Q2</c:v>
                </c:pt>
                <c:pt idx="18">
                  <c:v>Q3</c:v>
                </c:pt>
                <c:pt idx="19">
                  <c:v>Q4</c:v>
                </c:pt>
                <c:pt idx="20">
                  <c:v>2019 Q1</c:v>
                </c:pt>
                <c:pt idx="21">
                  <c:v>Q2</c:v>
                </c:pt>
                <c:pt idx="22">
                  <c:v>Q3</c:v>
                </c:pt>
                <c:pt idx="23">
                  <c:v>Q4</c:v>
                </c:pt>
                <c:pt idx="24">
                  <c:v>2020 Q1</c:v>
                </c:pt>
                <c:pt idx="25">
                  <c:v>Q2</c:v>
                </c:pt>
                <c:pt idx="26">
                  <c:v>Q3</c:v>
                </c:pt>
                <c:pt idx="27">
                  <c:v>Q4</c:v>
                </c:pt>
                <c:pt idx="28">
                  <c:v>2021 Q1</c:v>
                </c:pt>
                <c:pt idx="29">
                  <c:v>Q2</c:v>
                </c:pt>
                <c:pt idx="30">
                  <c:v>Q3</c:v>
                </c:pt>
                <c:pt idx="31">
                  <c:v>Q4</c:v>
                </c:pt>
                <c:pt idx="32">
                  <c:v>2022 Q1</c:v>
                </c:pt>
                <c:pt idx="33">
                  <c:v>Q2</c:v>
                </c:pt>
                <c:pt idx="34">
                  <c:v>Q3</c:v>
                </c:pt>
                <c:pt idx="35">
                  <c:v>Q4</c:v>
                </c:pt>
                <c:pt idx="36">
                  <c:v>2023 Q1</c:v>
                </c:pt>
                <c:pt idx="37">
                  <c:v>Q2</c:v>
                </c:pt>
                <c:pt idx="38">
                  <c:v>Q3</c:v>
                </c:pt>
                <c:pt idx="39">
                  <c:v>Q4</c:v>
                </c:pt>
                <c:pt idx="40">
                  <c:v>2024Q1</c:v>
                </c:pt>
                <c:pt idx="41">
                  <c:v>Q2</c:v>
                </c:pt>
              </c:strCache>
            </c:strRef>
          </c:cat>
          <c:val>
            <c:numRef>
              <c:f>'Fuel Vol and Credit Gen'!$N$107:$BC$107</c:f>
              <c:numCache>
                <c:formatCode>#,##0_);[Red]\(#,##0\)</c:formatCode>
                <c:ptCount val="42"/>
                <c:pt idx="0">
                  <c:v>210</c:v>
                </c:pt>
                <c:pt idx="1">
                  <c:v>210</c:v>
                </c:pt>
                <c:pt idx="2">
                  <c:v>210</c:v>
                </c:pt>
                <c:pt idx="3">
                  <c:v>210</c:v>
                </c:pt>
                <c:pt idx="4">
                  <c:v>257.5</c:v>
                </c:pt>
                <c:pt idx="5">
                  <c:v>257.5</c:v>
                </c:pt>
                <c:pt idx="6">
                  <c:v>257.5</c:v>
                </c:pt>
                <c:pt idx="7">
                  <c:v>257.5</c:v>
                </c:pt>
                <c:pt idx="8">
                  <c:v>540.98749999999995</c:v>
                </c:pt>
                <c:pt idx="9">
                  <c:v>540.98749999999995</c:v>
                </c:pt>
                <c:pt idx="10">
                  <c:v>540.98749999999995</c:v>
                </c:pt>
                <c:pt idx="11">
                  <c:v>540.98749999999995</c:v>
                </c:pt>
                <c:pt idx="12">
                  <c:v>739.76075000000003</c:v>
                </c:pt>
                <c:pt idx="13">
                  <c:v>739.76075000000003</c:v>
                </c:pt>
                <c:pt idx="14">
                  <c:v>739.76075000000003</c:v>
                </c:pt>
                <c:pt idx="15">
                  <c:v>739.76075000000003</c:v>
                </c:pt>
                <c:pt idx="16">
                  <c:v>992.33316493532141</c:v>
                </c:pt>
                <c:pt idx="17">
                  <c:v>992.33316493532141</c:v>
                </c:pt>
                <c:pt idx="18">
                  <c:v>992.33316493532141</c:v>
                </c:pt>
                <c:pt idx="19">
                  <c:v>992.33316493532141</c:v>
                </c:pt>
                <c:pt idx="20">
                  <c:v>1136.7643151726845</c:v>
                </c:pt>
                <c:pt idx="21">
                  <c:v>1136.7643151726845</c:v>
                </c:pt>
                <c:pt idx="22">
                  <c:v>1136.7643151726845</c:v>
                </c:pt>
                <c:pt idx="23">
                  <c:v>1136.7643151726845</c:v>
                </c:pt>
                <c:pt idx="24">
                  <c:v>1316.9950716600479</c:v>
                </c:pt>
                <c:pt idx="25">
                  <c:v>1316.9950716600479</c:v>
                </c:pt>
                <c:pt idx="26">
                  <c:v>1316.9950716600479</c:v>
                </c:pt>
                <c:pt idx="27">
                  <c:v>1316.9950716600479</c:v>
                </c:pt>
                <c:pt idx="28">
                  <c:v>1489.0862390849106</c:v>
                </c:pt>
                <c:pt idx="29">
                  <c:v>1489.0862390849106</c:v>
                </c:pt>
                <c:pt idx="30">
                  <c:v>1489.0862390849106</c:v>
                </c:pt>
                <c:pt idx="31">
                  <c:v>1489.0862390849106</c:v>
                </c:pt>
                <c:pt idx="32">
                  <c:v>1653.0378174472739</c:v>
                </c:pt>
                <c:pt idx="33">
                  <c:v>1653.0378174472739</c:v>
                </c:pt>
                <c:pt idx="34">
                  <c:v>1653.0378174472739</c:v>
                </c:pt>
                <c:pt idx="35">
                  <c:v>1653.0378174472739</c:v>
                </c:pt>
                <c:pt idx="36">
                  <c:v>1818.3415991920015</c:v>
                </c:pt>
                <c:pt idx="37">
                  <c:v>1818.3415991920015</c:v>
                </c:pt>
                <c:pt idx="38">
                  <c:v>1818.3415991920015</c:v>
                </c:pt>
                <c:pt idx="39">
                  <c:v>1818.3415991920015</c:v>
                </c:pt>
                <c:pt idx="40">
                  <c:v>1818.3415991920015</c:v>
                </c:pt>
                <c:pt idx="41">
                  <c:v>1818.3415991920015</c:v>
                </c:pt>
              </c:numCache>
            </c:numRef>
          </c:val>
          <c:smooth val="0"/>
          <c:extLst>
            <c:ext xmlns:c16="http://schemas.microsoft.com/office/drawing/2014/chart" uri="{C3380CC4-5D6E-409C-BE32-E72D297353CC}">
              <c16:uniqueId val="{00000001-8AF0-41D0-8004-E53AF3D75F06}"/>
            </c:ext>
          </c:extLst>
        </c:ser>
        <c:dLbls>
          <c:showLegendKey val="0"/>
          <c:showVal val="0"/>
          <c:showCatName val="0"/>
          <c:showSerName val="0"/>
          <c:showPercent val="0"/>
          <c:showBubbleSize val="0"/>
        </c:dLbls>
        <c:marker val="1"/>
        <c:smooth val="0"/>
        <c:axId val="1238676640"/>
        <c:axId val="1238675000"/>
      </c:lineChart>
      <c:catAx>
        <c:axId val="1238676640"/>
        <c:scaling>
          <c:orientation val="minMax"/>
        </c:scaling>
        <c:delete val="0"/>
        <c:axPos val="b"/>
        <c:numFmt formatCode="General" sourceLinked="1"/>
        <c:majorTickMark val="none"/>
        <c:minorTickMark val="none"/>
        <c:tickLblPos val="nextTo"/>
        <c:spPr>
          <a:noFill/>
          <a:ln w="9525" cap="flat" cmpd="sng" algn="ctr">
            <a:solidFill>
              <a:srgbClr val="5D803B"/>
            </a:solidFill>
            <a:round/>
          </a:ln>
          <a:effectLst/>
        </c:spPr>
        <c:txPr>
          <a:bodyPr rot="-5400000" spcFirstLastPara="1" vertOverflow="ellipsis" wrap="square" anchor="ctr" anchorCtr="1"/>
          <a:lstStyle/>
          <a:p>
            <a:pPr>
              <a:defRPr sz="14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238675000"/>
        <c:crosses val="autoZero"/>
        <c:auto val="1"/>
        <c:lblAlgn val="ctr"/>
        <c:lblOffset val="100"/>
        <c:noMultiLvlLbl val="0"/>
      </c:catAx>
      <c:valAx>
        <c:axId val="1238675000"/>
        <c:scaling>
          <c:orientation val="minMax"/>
        </c:scaling>
        <c:delete val="0"/>
        <c:axPos val="l"/>
        <c:majorGridlines>
          <c:spPr>
            <a:ln w="9525" cap="flat" cmpd="sng" algn="ctr">
              <a:solidFill>
                <a:schemeClr val="bg1">
                  <a:lumMod val="65000"/>
                </a:schemeClr>
              </a:solidFill>
              <a:round/>
            </a:ln>
            <a:effectLst/>
          </c:spPr>
        </c:majorGridlines>
        <c:title>
          <c:tx>
            <c:rich>
              <a:bodyPr rot="-5400000" spcFirstLastPara="1" vertOverflow="ellipsis" vert="horz" wrap="square" anchor="ctr" anchorCtr="1"/>
              <a:lstStyle/>
              <a:p>
                <a:pPr>
                  <a:defRPr sz="14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a:t>(thousand</a:t>
                </a:r>
                <a:r>
                  <a:rPr lang="en-US" baseline="0"/>
                  <a:t> tonnes)</a:t>
                </a:r>
                <a:endParaRPr lang="en-US"/>
              </a:p>
            </c:rich>
          </c:tx>
          <c:overlay val="0"/>
          <c:spPr>
            <a:noFill/>
            <a:ln>
              <a:noFill/>
            </a:ln>
            <a:effectLst/>
          </c:spPr>
          <c:txPr>
            <a:bodyPr rot="-5400000" spcFirstLastPara="1" vertOverflow="ellipsis" vert="horz" wrap="square" anchor="ctr" anchorCtr="1"/>
            <a:lstStyle/>
            <a:p>
              <a:pPr>
                <a:defRPr sz="14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238676640"/>
        <c:crosses val="autoZero"/>
        <c:crossBetween val="between"/>
      </c:valAx>
      <c:spPr>
        <a:noFill/>
        <a:ln>
          <a:solidFill>
            <a:srgbClr val="5D803B"/>
          </a:solidFill>
        </a:ln>
        <a:effectLst/>
      </c:spPr>
    </c:plotArea>
    <c:legend>
      <c:legendPos val="b"/>
      <c:layout>
        <c:manualLayout>
          <c:xMode val="edge"/>
          <c:yMode val="edge"/>
          <c:x val="0.15824925364111286"/>
          <c:y val="0.14942067460478925"/>
          <c:w val="0.52031667565758888"/>
          <c:h val="8.8444500677302473E-2"/>
        </c:manualLayout>
      </c:layout>
      <c:overlay val="0"/>
      <c:spPr>
        <a:solidFill>
          <a:schemeClr val="bg1"/>
        </a:solidFill>
        <a:ln>
          <a:solidFill>
            <a:srgbClr val="5D803B"/>
          </a:solidFill>
        </a:ln>
        <a:effectLst/>
      </c:spPr>
      <c:txPr>
        <a:bodyPr rot="0" spcFirstLastPara="1" vertOverflow="ellipsis" vert="horz" wrap="square" anchor="ctr" anchorCtr="1"/>
        <a:lstStyle/>
        <a:p>
          <a:pPr>
            <a:defRPr sz="14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400" b="1">
          <a:solidFill>
            <a:sysClr val="windowText" lastClr="000000"/>
          </a:solidFill>
          <a:latin typeface="Arial" panose="020B0604020202020204" pitchFamily="34" charset="0"/>
          <a:cs typeface="Arial" panose="020B0604020202020204" pitchFamily="34" charset="0"/>
        </a:defRPr>
      </a:pPr>
      <a:endParaRPr lang="en-US"/>
    </a:p>
  </c:txPr>
  <c:userShapes r:id="rId3"/>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8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US" sz="2800"/>
              <a:t>Ethanol Credits vs CARB Forecast</a:t>
            </a:r>
          </a:p>
        </c:rich>
      </c:tx>
      <c:overlay val="0"/>
      <c:spPr>
        <a:noFill/>
        <a:ln>
          <a:noFill/>
        </a:ln>
        <a:effectLst/>
      </c:spPr>
      <c:txPr>
        <a:bodyPr rot="0" spcFirstLastPara="1" vertOverflow="ellipsis" vert="horz" wrap="square" anchor="ctr" anchorCtr="1"/>
        <a:lstStyle/>
        <a:p>
          <a:pPr>
            <a:defRPr sz="28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9.0808384665144848E-2"/>
          <c:y val="9.7071909253544114E-2"/>
          <c:w val="0.89447823968626072"/>
          <c:h val="0.70439848089535095"/>
        </c:manualLayout>
      </c:layout>
      <c:lineChart>
        <c:grouping val="standard"/>
        <c:varyColors val="0"/>
        <c:ser>
          <c:idx val="0"/>
          <c:order val="0"/>
          <c:tx>
            <c:v>Actual/Fastmarkets Forecast</c:v>
          </c:tx>
          <c:spPr>
            <a:ln w="28575" cap="rnd">
              <a:solidFill>
                <a:srgbClr val="5D803B"/>
              </a:solidFill>
              <a:round/>
            </a:ln>
            <a:effectLst/>
          </c:spPr>
          <c:marker>
            <c:symbol val="circle"/>
            <c:size val="7"/>
            <c:spPr>
              <a:solidFill>
                <a:srgbClr val="5D803B"/>
              </a:solidFill>
              <a:ln w="9525">
                <a:solidFill>
                  <a:schemeClr val="tx1"/>
                </a:solidFill>
              </a:ln>
              <a:effectLst/>
            </c:spPr>
          </c:marker>
          <c:cat>
            <c:strRef>
              <c:f>'Fuel Vol and Credit Gen'!$N$95:$BC$95</c:f>
              <c:strCache>
                <c:ptCount val="42"/>
                <c:pt idx="0">
                  <c:v>2014 Q1</c:v>
                </c:pt>
                <c:pt idx="1">
                  <c:v>Q2</c:v>
                </c:pt>
                <c:pt idx="2">
                  <c:v>Q3</c:v>
                </c:pt>
                <c:pt idx="3">
                  <c:v>Q4</c:v>
                </c:pt>
                <c:pt idx="4">
                  <c:v>2015 Q1</c:v>
                </c:pt>
                <c:pt idx="5">
                  <c:v>Q2</c:v>
                </c:pt>
                <c:pt idx="6">
                  <c:v>Q3</c:v>
                </c:pt>
                <c:pt idx="7">
                  <c:v>Q4</c:v>
                </c:pt>
                <c:pt idx="8">
                  <c:v>2016 Q1</c:v>
                </c:pt>
                <c:pt idx="9">
                  <c:v>Q2</c:v>
                </c:pt>
                <c:pt idx="10">
                  <c:v>Q3</c:v>
                </c:pt>
                <c:pt idx="11">
                  <c:v>Q4</c:v>
                </c:pt>
                <c:pt idx="12">
                  <c:v>2017 Q1</c:v>
                </c:pt>
                <c:pt idx="13">
                  <c:v>Q2</c:v>
                </c:pt>
                <c:pt idx="14">
                  <c:v>Q3</c:v>
                </c:pt>
                <c:pt idx="15">
                  <c:v>Q4</c:v>
                </c:pt>
                <c:pt idx="16">
                  <c:v>2018 Q1</c:v>
                </c:pt>
                <c:pt idx="17">
                  <c:v>Q2</c:v>
                </c:pt>
                <c:pt idx="18">
                  <c:v>Q3</c:v>
                </c:pt>
                <c:pt idx="19">
                  <c:v>Q4</c:v>
                </c:pt>
                <c:pt idx="20">
                  <c:v>2019 Q1</c:v>
                </c:pt>
                <c:pt idx="21">
                  <c:v>Q2</c:v>
                </c:pt>
                <c:pt idx="22">
                  <c:v>Q3</c:v>
                </c:pt>
                <c:pt idx="23">
                  <c:v>Q4</c:v>
                </c:pt>
                <c:pt idx="24">
                  <c:v>2020 Q1</c:v>
                </c:pt>
                <c:pt idx="25">
                  <c:v>Q2</c:v>
                </c:pt>
                <c:pt idx="26">
                  <c:v>Q3</c:v>
                </c:pt>
                <c:pt idx="27">
                  <c:v>Q4</c:v>
                </c:pt>
                <c:pt idx="28">
                  <c:v>2021 Q1</c:v>
                </c:pt>
                <c:pt idx="29">
                  <c:v>Q2</c:v>
                </c:pt>
                <c:pt idx="30">
                  <c:v>Q3</c:v>
                </c:pt>
                <c:pt idx="31">
                  <c:v>Q4</c:v>
                </c:pt>
                <c:pt idx="32">
                  <c:v>2022 Q1</c:v>
                </c:pt>
                <c:pt idx="33">
                  <c:v>Q2</c:v>
                </c:pt>
                <c:pt idx="34">
                  <c:v>Q3</c:v>
                </c:pt>
                <c:pt idx="35">
                  <c:v>Q4</c:v>
                </c:pt>
                <c:pt idx="36">
                  <c:v>2023 Q1</c:v>
                </c:pt>
                <c:pt idx="37">
                  <c:v>Q2</c:v>
                </c:pt>
                <c:pt idx="38">
                  <c:v>Q3</c:v>
                </c:pt>
                <c:pt idx="39">
                  <c:v>Q4</c:v>
                </c:pt>
                <c:pt idx="40">
                  <c:v>2024Q1</c:v>
                </c:pt>
                <c:pt idx="41">
                  <c:v>Q2</c:v>
                </c:pt>
              </c:strCache>
            </c:strRef>
          </c:cat>
          <c:val>
            <c:numRef>
              <c:f>'Fuel Vol and Credit Gen'!$N$100:$BC$100</c:f>
              <c:numCache>
                <c:formatCode>#,##0.0_);[Red]\(#,##0.0\)</c:formatCode>
                <c:ptCount val="42"/>
                <c:pt idx="0">
                  <c:v>459.238</c:v>
                </c:pt>
                <c:pt idx="1">
                  <c:v>551.33199999999999</c:v>
                </c:pt>
                <c:pt idx="2">
                  <c:v>528.43299999999999</c:v>
                </c:pt>
                <c:pt idx="3">
                  <c:v>491.88</c:v>
                </c:pt>
                <c:pt idx="4">
                  <c:v>473.209</c:v>
                </c:pt>
                <c:pt idx="5">
                  <c:v>504.54199999999997</c:v>
                </c:pt>
                <c:pt idx="6">
                  <c:v>538.51900000000001</c:v>
                </c:pt>
                <c:pt idx="7">
                  <c:v>608.48400000000004</c:v>
                </c:pt>
                <c:pt idx="8">
                  <c:v>836.62900000000002</c:v>
                </c:pt>
                <c:pt idx="9">
                  <c:v>857.16800000000001</c:v>
                </c:pt>
                <c:pt idx="10">
                  <c:v>919.75</c:v>
                </c:pt>
                <c:pt idx="11">
                  <c:v>905.83900000000006</c:v>
                </c:pt>
                <c:pt idx="12">
                  <c:v>783.03899999999999</c:v>
                </c:pt>
                <c:pt idx="13">
                  <c:v>856.95</c:v>
                </c:pt>
                <c:pt idx="14">
                  <c:v>931.601</c:v>
                </c:pt>
                <c:pt idx="15">
                  <c:v>916.63400000000001</c:v>
                </c:pt>
                <c:pt idx="16">
                  <c:v>776.33600000000001</c:v>
                </c:pt>
                <c:pt idx="17">
                  <c:v>775.94200000000001</c:v>
                </c:pt>
                <c:pt idx="18">
                  <c:v>949.94100000000003</c:v>
                </c:pt>
                <c:pt idx="19">
                  <c:v>956.31</c:v>
                </c:pt>
                <c:pt idx="20">
                  <c:v>946.61599999999999</c:v>
                </c:pt>
                <c:pt idx="21">
                  <c:v>1086.4449999999999</c:v>
                </c:pt>
                <c:pt idx="22">
                  <c:v>1169.325</c:v>
                </c:pt>
                <c:pt idx="23">
                  <c:v>1139.7460000000001</c:v>
                </c:pt>
                <c:pt idx="24">
                  <c:v>1045.797</c:v>
                </c:pt>
                <c:pt idx="25">
                  <c:v>648.93499999999995</c:v>
                </c:pt>
                <c:pt idx="26">
                  <c:v>1052.9079999999999</c:v>
                </c:pt>
                <c:pt idx="27">
                  <c:v>989.01499999999999</c:v>
                </c:pt>
                <c:pt idx="28">
                  <c:v>747.15</c:v>
                </c:pt>
                <c:pt idx="29">
                  <c:v>1006.898</c:v>
                </c:pt>
                <c:pt idx="30">
                  <c:v>1113.796</c:v>
                </c:pt>
                <c:pt idx="31">
                  <c:v>957.70799999999997</c:v>
                </c:pt>
                <c:pt idx="32">
                  <c:v>917.95</c:v>
                </c:pt>
                <c:pt idx="33">
                  <c:v>919.76700000000005</c:v>
                </c:pt>
                <c:pt idx="34">
                  <c:v>975.74599999999998</c:v>
                </c:pt>
                <c:pt idx="35">
                  <c:v>927.17700000000002</c:v>
                </c:pt>
                <c:pt idx="36">
                  <c:v>827.47199999999998</c:v>
                </c:pt>
                <c:pt idx="37">
                  <c:v>736.43600000000004</c:v>
                </c:pt>
                <c:pt idx="38">
                  <c:v>882.06200000000001</c:v>
                </c:pt>
                <c:pt idx="39">
                  <c:v>916.92600000000004</c:v>
                </c:pt>
                <c:pt idx="40">
                  <c:v>810.58100000000002</c:v>
                </c:pt>
                <c:pt idx="41">
                  <c:v>910.85299999999995</c:v>
                </c:pt>
              </c:numCache>
            </c:numRef>
          </c:val>
          <c:smooth val="0"/>
          <c:extLst>
            <c:ext xmlns:c16="http://schemas.microsoft.com/office/drawing/2014/chart" uri="{C3380CC4-5D6E-409C-BE32-E72D297353CC}">
              <c16:uniqueId val="{00000000-9EA3-4176-8B8C-C797262BCADB}"/>
            </c:ext>
          </c:extLst>
        </c:ser>
        <c:ser>
          <c:idx val="1"/>
          <c:order val="1"/>
          <c:tx>
            <c:v>CARB Forecast</c:v>
          </c:tx>
          <c:spPr>
            <a:ln w="28575" cap="rnd">
              <a:solidFill>
                <a:srgbClr val="C4722E"/>
              </a:solidFill>
              <a:round/>
            </a:ln>
            <a:effectLst/>
          </c:spPr>
          <c:marker>
            <c:symbol val="circle"/>
            <c:size val="7"/>
            <c:spPr>
              <a:solidFill>
                <a:srgbClr val="C4722E"/>
              </a:solidFill>
              <a:ln w="9525">
                <a:solidFill>
                  <a:schemeClr val="tx1"/>
                </a:solidFill>
              </a:ln>
              <a:effectLst/>
            </c:spPr>
          </c:marker>
          <c:cat>
            <c:strRef>
              <c:f>'Fuel Vol and Credit Gen'!$N$95:$BC$95</c:f>
              <c:strCache>
                <c:ptCount val="42"/>
                <c:pt idx="0">
                  <c:v>2014 Q1</c:v>
                </c:pt>
                <c:pt idx="1">
                  <c:v>Q2</c:v>
                </c:pt>
                <c:pt idx="2">
                  <c:v>Q3</c:v>
                </c:pt>
                <c:pt idx="3">
                  <c:v>Q4</c:v>
                </c:pt>
                <c:pt idx="4">
                  <c:v>2015 Q1</c:v>
                </c:pt>
                <c:pt idx="5">
                  <c:v>Q2</c:v>
                </c:pt>
                <c:pt idx="6">
                  <c:v>Q3</c:v>
                </c:pt>
                <c:pt idx="7">
                  <c:v>Q4</c:v>
                </c:pt>
                <c:pt idx="8">
                  <c:v>2016 Q1</c:v>
                </c:pt>
                <c:pt idx="9">
                  <c:v>Q2</c:v>
                </c:pt>
                <c:pt idx="10">
                  <c:v>Q3</c:v>
                </c:pt>
                <c:pt idx="11">
                  <c:v>Q4</c:v>
                </c:pt>
                <c:pt idx="12">
                  <c:v>2017 Q1</c:v>
                </c:pt>
                <c:pt idx="13">
                  <c:v>Q2</c:v>
                </c:pt>
                <c:pt idx="14">
                  <c:v>Q3</c:v>
                </c:pt>
                <c:pt idx="15">
                  <c:v>Q4</c:v>
                </c:pt>
                <c:pt idx="16">
                  <c:v>2018 Q1</c:v>
                </c:pt>
                <c:pt idx="17">
                  <c:v>Q2</c:v>
                </c:pt>
                <c:pt idx="18">
                  <c:v>Q3</c:v>
                </c:pt>
                <c:pt idx="19">
                  <c:v>Q4</c:v>
                </c:pt>
                <c:pt idx="20">
                  <c:v>2019 Q1</c:v>
                </c:pt>
                <c:pt idx="21">
                  <c:v>Q2</c:v>
                </c:pt>
                <c:pt idx="22">
                  <c:v>Q3</c:v>
                </c:pt>
                <c:pt idx="23">
                  <c:v>Q4</c:v>
                </c:pt>
                <c:pt idx="24">
                  <c:v>2020 Q1</c:v>
                </c:pt>
                <c:pt idx="25">
                  <c:v>Q2</c:v>
                </c:pt>
                <c:pt idx="26">
                  <c:v>Q3</c:v>
                </c:pt>
                <c:pt idx="27">
                  <c:v>Q4</c:v>
                </c:pt>
                <c:pt idx="28">
                  <c:v>2021 Q1</c:v>
                </c:pt>
                <c:pt idx="29">
                  <c:v>Q2</c:v>
                </c:pt>
                <c:pt idx="30">
                  <c:v>Q3</c:v>
                </c:pt>
                <c:pt idx="31">
                  <c:v>Q4</c:v>
                </c:pt>
                <c:pt idx="32">
                  <c:v>2022 Q1</c:v>
                </c:pt>
                <c:pt idx="33">
                  <c:v>Q2</c:v>
                </c:pt>
                <c:pt idx="34">
                  <c:v>Q3</c:v>
                </c:pt>
                <c:pt idx="35">
                  <c:v>Q4</c:v>
                </c:pt>
                <c:pt idx="36">
                  <c:v>2023 Q1</c:v>
                </c:pt>
                <c:pt idx="37">
                  <c:v>Q2</c:v>
                </c:pt>
                <c:pt idx="38">
                  <c:v>Q3</c:v>
                </c:pt>
                <c:pt idx="39">
                  <c:v>Q4</c:v>
                </c:pt>
                <c:pt idx="40">
                  <c:v>2024Q1</c:v>
                </c:pt>
                <c:pt idx="41">
                  <c:v>Q2</c:v>
                </c:pt>
              </c:strCache>
            </c:strRef>
          </c:cat>
          <c:val>
            <c:numRef>
              <c:f>'Fuel Vol and Credit Gen'!$N$108:$BC$108</c:f>
              <c:numCache>
                <c:formatCode>#,##0_);[Red]\(#,##0\)</c:formatCode>
                <c:ptCount val="42"/>
                <c:pt idx="0">
                  <c:v>485</c:v>
                </c:pt>
                <c:pt idx="1">
                  <c:v>485</c:v>
                </c:pt>
                <c:pt idx="2">
                  <c:v>485</c:v>
                </c:pt>
                <c:pt idx="3">
                  <c:v>485</c:v>
                </c:pt>
                <c:pt idx="4">
                  <c:v>507.49999999999994</c:v>
                </c:pt>
                <c:pt idx="5">
                  <c:v>507.49999999999994</c:v>
                </c:pt>
                <c:pt idx="6">
                  <c:v>507.49999999999994</c:v>
                </c:pt>
                <c:pt idx="7">
                  <c:v>507.49999999999994</c:v>
                </c:pt>
                <c:pt idx="8">
                  <c:v>829.399</c:v>
                </c:pt>
                <c:pt idx="9">
                  <c:v>829.399</c:v>
                </c:pt>
                <c:pt idx="10">
                  <c:v>829.399</c:v>
                </c:pt>
                <c:pt idx="11">
                  <c:v>829.399</c:v>
                </c:pt>
                <c:pt idx="12">
                  <c:v>801.03049999999996</c:v>
                </c:pt>
                <c:pt idx="13">
                  <c:v>801.03049999999996</c:v>
                </c:pt>
                <c:pt idx="14">
                  <c:v>801.03049999999996</c:v>
                </c:pt>
                <c:pt idx="15">
                  <c:v>801.03049999999996</c:v>
                </c:pt>
                <c:pt idx="16">
                  <c:v>789.56565720271453</c:v>
                </c:pt>
                <c:pt idx="17">
                  <c:v>789.56565720271453</c:v>
                </c:pt>
                <c:pt idx="18">
                  <c:v>789.56565720271453</c:v>
                </c:pt>
                <c:pt idx="19">
                  <c:v>789.56565720271453</c:v>
                </c:pt>
                <c:pt idx="20">
                  <c:v>813.51731081225057</c:v>
                </c:pt>
                <c:pt idx="21">
                  <c:v>813.51731081225057</c:v>
                </c:pt>
                <c:pt idx="22">
                  <c:v>813.51731081225057</c:v>
                </c:pt>
                <c:pt idx="23">
                  <c:v>813.51731081225057</c:v>
                </c:pt>
                <c:pt idx="24">
                  <c:v>769.89125821273115</c:v>
                </c:pt>
                <c:pt idx="25">
                  <c:v>769.89125821273115</c:v>
                </c:pt>
                <c:pt idx="26">
                  <c:v>769.89125821273115</c:v>
                </c:pt>
                <c:pt idx="27">
                  <c:v>769.89125821273115</c:v>
                </c:pt>
                <c:pt idx="28">
                  <c:v>879.01748270258213</c:v>
                </c:pt>
                <c:pt idx="29">
                  <c:v>879.01748270258213</c:v>
                </c:pt>
                <c:pt idx="30">
                  <c:v>879.01748270258213</c:v>
                </c:pt>
                <c:pt idx="31">
                  <c:v>879.01748270258213</c:v>
                </c:pt>
                <c:pt idx="32">
                  <c:v>949.87477758919829</c:v>
                </c:pt>
                <c:pt idx="33">
                  <c:v>949.87477758919829</c:v>
                </c:pt>
                <c:pt idx="34">
                  <c:v>949.87477758919829</c:v>
                </c:pt>
                <c:pt idx="35">
                  <c:v>949.87477758919829</c:v>
                </c:pt>
                <c:pt idx="36">
                  <c:v>997.3685164686583</c:v>
                </c:pt>
                <c:pt idx="37">
                  <c:v>997.3685164686583</c:v>
                </c:pt>
                <c:pt idx="38">
                  <c:v>997.3685164686583</c:v>
                </c:pt>
                <c:pt idx="39">
                  <c:v>997.3685164686583</c:v>
                </c:pt>
                <c:pt idx="40">
                  <c:v>997.3685164686583</c:v>
                </c:pt>
                <c:pt idx="41">
                  <c:v>997.3685164686583</c:v>
                </c:pt>
              </c:numCache>
            </c:numRef>
          </c:val>
          <c:smooth val="0"/>
          <c:extLst>
            <c:ext xmlns:c16="http://schemas.microsoft.com/office/drawing/2014/chart" uri="{C3380CC4-5D6E-409C-BE32-E72D297353CC}">
              <c16:uniqueId val="{00000001-9EA3-4176-8B8C-C797262BCADB}"/>
            </c:ext>
          </c:extLst>
        </c:ser>
        <c:dLbls>
          <c:showLegendKey val="0"/>
          <c:showVal val="0"/>
          <c:showCatName val="0"/>
          <c:showSerName val="0"/>
          <c:showPercent val="0"/>
          <c:showBubbleSize val="0"/>
        </c:dLbls>
        <c:marker val="1"/>
        <c:smooth val="0"/>
        <c:axId val="1238676640"/>
        <c:axId val="1238675000"/>
      </c:lineChart>
      <c:catAx>
        <c:axId val="1238676640"/>
        <c:scaling>
          <c:orientation val="minMax"/>
        </c:scaling>
        <c:delete val="0"/>
        <c:axPos val="b"/>
        <c:numFmt formatCode="General" sourceLinked="1"/>
        <c:majorTickMark val="none"/>
        <c:minorTickMark val="none"/>
        <c:tickLblPos val="nextTo"/>
        <c:spPr>
          <a:noFill/>
          <a:ln w="9525" cap="flat" cmpd="sng" algn="ctr">
            <a:solidFill>
              <a:srgbClr val="5D803B"/>
            </a:solidFill>
            <a:round/>
          </a:ln>
          <a:effectLst/>
        </c:spPr>
        <c:txPr>
          <a:bodyPr rot="-5400000" spcFirstLastPara="1" vertOverflow="ellipsis" wrap="square" anchor="ctr" anchorCtr="1"/>
          <a:lstStyle/>
          <a:p>
            <a:pPr>
              <a:defRPr sz="14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238675000"/>
        <c:crosses val="autoZero"/>
        <c:auto val="1"/>
        <c:lblAlgn val="ctr"/>
        <c:lblOffset val="100"/>
        <c:noMultiLvlLbl val="0"/>
      </c:catAx>
      <c:valAx>
        <c:axId val="1238675000"/>
        <c:scaling>
          <c:orientation val="minMax"/>
        </c:scaling>
        <c:delete val="0"/>
        <c:axPos val="l"/>
        <c:majorGridlines>
          <c:spPr>
            <a:ln w="9525" cap="flat" cmpd="sng" algn="ctr">
              <a:solidFill>
                <a:schemeClr val="bg1">
                  <a:lumMod val="65000"/>
                </a:schemeClr>
              </a:solidFill>
              <a:round/>
            </a:ln>
            <a:effectLst/>
          </c:spPr>
        </c:majorGridlines>
        <c:title>
          <c:tx>
            <c:rich>
              <a:bodyPr rot="-5400000" spcFirstLastPara="1" vertOverflow="ellipsis" vert="horz" wrap="square" anchor="ctr" anchorCtr="1"/>
              <a:lstStyle/>
              <a:p>
                <a:pPr>
                  <a:defRPr sz="14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a:t>(thousand</a:t>
                </a:r>
                <a:r>
                  <a:rPr lang="en-US" baseline="0"/>
                  <a:t> tonnes)</a:t>
                </a:r>
                <a:endParaRPr lang="en-US"/>
              </a:p>
            </c:rich>
          </c:tx>
          <c:overlay val="0"/>
          <c:spPr>
            <a:noFill/>
            <a:ln>
              <a:noFill/>
            </a:ln>
            <a:effectLst/>
          </c:spPr>
          <c:txPr>
            <a:bodyPr rot="-5400000" spcFirstLastPara="1" vertOverflow="ellipsis" vert="horz" wrap="square" anchor="ctr" anchorCtr="1"/>
            <a:lstStyle/>
            <a:p>
              <a:pPr>
                <a:defRPr sz="14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238676640"/>
        <c:crosses val="autoZero"/>
        <c:crossBetween val="between"/>
      </c:valAx>
      <c:spPr>
        <a:noFill/>
        <a:ln>
          <a:solidFill>
            <a:srgbClr val="5D803B"/>
          </a:solidFill>
        </a:ln>
        <a:effectLst/>
      </c:spPr>
    </c:plotArea>
    <c:legend>
      <c:legendPos val="b"/>
      <c:layout>
        <c:manualLayout>
          <c:xMode val="edge"/>
          <c:yMode val="edge"/>
          <c:x val="0.44984160740416662"/>
          <c:y val="0.67324089468954351"/>
          <c:w val="0.52031667565758888"/>
          <c:h val="8.8444500677302473E-2"/>
        </c:manualLayout>
      </c:layout>
      <c:overlay val="0"/>
      <c:spPr>
        <a:solidFill>
          <a:schemeClr val="bg1"/>
        </a:solidFill>
        <a:ln>
          <a:solidFill>
            <a:srgbClr val="5D803B"/>
          </a:solidFill>
        </a:ln>
        <a:effectLst/>
      </c:spPr>
      <c:txPr>
        <a:bodyPr rot="0" spcFirstLastPara="1" vertOverflow="ellipsis" vert="horz" wrap="square" anchor="ctr" anchorCtr="1"/>
        <a:lstStyle/>
        <a:p>
          <a:pPr>
            <a:defRPr sz="14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400" b="1">
          <a:solidFill>
            <a:sysClr val="windowText" lastClr="000000"/>
          </a:solidFill>
          <a:latin typeface="Arial" panose="020B0604020202020204" pitchFamily="34" charset="0"/>
          <a:cs typeface="Arial" panose="020B0604020202020204" pitchFamily="34" charset="0"/>
        </a:defRPr>
      </a:pPr>
      <a:endParaRPr lang="en-US"/>
    </a:p>
  </c:txPr>
  <c:userShapes r:id="rId3"/>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8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US" sz="2800"/>
              <a:t>Biomethane Credits vs CARB Forecast</a:t>
            </a:r>
          </a:p>
        </c:rich>
      </c:tx>
      <c:overlay val="0"/>
      <c:spPr>
        <a:noFill/>
        <a:ln>
          <a:noFill/>
        </a:ln>
        <a:effectLst/>
      </c:spPr>
      <c:txPr>
        <a:bodyPr rot="0" spcFirstLastPara="1" vertOverflow="ellipsis" vert="horz" wrap="square" anchor="ctr" anchorCtr="1"/>
        <a:lstStyle/>
        <a:p>
          <a:pPr>
            <a:defRPr sz="28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8.947080506072716E-2"/>
          <c:y val="9.7071909253544114E-2"/>
          <c:w val="0.89581581929067833"/>
          <c:h val="0.70439848089535095"/>
        </c:manualLayout>
      </c:layout>
      <c:lineChart>
        <c:grouping val="standard"/>
        <c:varyColors val="0"/>
        <c:ser>
          <c:idx val="0"/>
          <c:order val="0"/>
          <c:tx>
            <c:v>Actual/Fastmarkets Forecast</c:v>
          </c:tx>
          <c:spPr>
            <a:ln w="28575" cap="rnd">
              <a:solidFill>
                <a:srgbClr val="5D803B"/>
              </a:solidFill>
              <a:round/>
            </a:ln>
            <a:effectLst/>
          </c:spPr>
          <c:marker>
            <c:symbol val="circle"/>
            <c:size val="7"/>
            <c:spPr>
              <a:solidFill>
                <a:srgbClr val="5D803B"/>
              </a:solidFill>
              <a:ln w="9525">
                <a:solidFill>
                  <a:schemeClr val="tx1"/>
                </a:solidFill>
              </a:ln>
              <a:effectLst/>
            </c:spPr>
          </c:marker>
          <c:cat>
            <c:strRef>
              <c:f>'Fuel Vol and Credit Gen'!$N$95:$BC$95</c:f>
              <c:strCache>
                <c:ptCount val="42"/>
                <c:pt idx="0">
                  <c:v>2014 Q1</c:v>
                </c:pt>
                <c:pt idx="1">
                  <c:v>Q2</c:v>
                </c:pt>
                <c:pt idx="2">
                  <c:v>Q3</c:v>
                </c:pt>
                <c:pt idx="3">
                  <c:v>Q4</c:v>
                </c:pt>
                <c:pt idx="4">
                  <c:v>2015 Q1</c:v>
                </c:pt>
                <c:pt idx="5">
                  <c:v>Q2</c:v>
                </c:pt>
                <c:pt idx="6">
                  <c:v>Q3</c:v>
                </c:pt>
                <c:pt idx="7">
                  <c:v>Q4</c:v>
                </c:pt>
                <c:pt idx="8">
                  <c:v>2016 Q1</c:v>
                </c:pt>
                <c:pt idx="9">
                  <c:v>Q2</c:v>
                </c:pt>
                <c:pt idx="10">
                  <c:v>Q3</c:v>
                </c:pt>
                <c:pt idx="11">
                  <c:v>Q4</c:v>
                </c:pt>
                <c:pt idx="12">
                  <c:v>2017 Q1</c:v>
                </c:pt>
                <c:pt idx="13">
                  <c:v>Q2</c:v>
                </c:pt>
                <c:pt idx="14">
                  <c:v>Q3</c:v>
                </c:pt>
                <c:pt idx="15">
                  <c:v>Q4</c:v>
                </c:pt>
                <c:pt idx="16">
                  <c:v>2018 Q1</c:v>
                </c:pt>
                <c:pt idx="17">
                  <c:v>Q2</c:v>
                </c:pt>
                <c:pt idx="18">
                  <c:v>Q3</c:v>
                </c:pt>
                <c:pt idx="19">
                  <c:v>Q4</c:v>
                </c:pt>
                <c:pt idx="20">
                  <c:v>2019 Q1</c:v>
                </c:pt>
                <c:pt idx="21">
                  <c:v>Q2</c:v>
                </c:pt>
                <c:pt idx="22">
                  <c:v>Q3</c:v>
                </c:pt>
                <c:pt idx="23">
                  <c:v>Q4</c:v>
                </c:pt>
                <c:pt idx="24">
                  <c:v>2020 Q1</c:v>
                </c:pt>
                <c:pt idx="25">
                  <c:v>Q2</c:v>
                </c:pt>
                <c:pt idx="26">
                  <c:v>Q3</c:v>
                </c:pt>
                <c:pt idx="27">
                  <c:v>Q4</c:v>
                </c:pt>
                <c:pt idx="28">
                  <c:v>2021 Q1</c:v>
                </c:pt>
                <c:pt idx="29">
                  <c:v>Q2</c:v>
                </c:pt>
                <c:pt idx="30">
                  <c:v>Q3</c:v>
                </c:pt>
                <c:pt idx="31">
                  <c:v>Q4</c:v>
                </c:pt>
                <c:pt idx="32">
                  <c:v>2022 Q1</c:v>
                </c:pt>
                <c:pt idx="33">
                  <c:v>Q2</c:v>
                </c:pt>
                <c:pt idx="34">
                  <c:v>Q3</c:v>
                </c:pt>
                <c:pt idx="35">
                  <c:v>Q4</c:v>
                </c:pt>
                <c:pt idx="36">
                  <c:v>2023 Q1</c:v>
                </c:pt>
                <c:pt idx="37">
                  <c:v>Q2</c:v>
                </c:pt>
                <c:pt idx="38">
                  <c:v>Q3</c:v>
                </c:pt>
                <c:pt idx="39">
                  <c:v>Q4</c:v>
                </c:pt>
                <c:pt idx="40">
                  <c:v>2024Q1</c:v>
                </c:pt>
                <c:pt idx="41">
                  <c:v>Q2</c:v>
                </c:pt>
              </c:strCache>
            </c:strRef>
          </c:cat>
          <c:val>
            <c:numRef>
              <c:f>'Fuel Vol and Credit Gen'!$N$97:$BC$97</c:f>
              <c:numCache>
                <c:formatCode>#,##0.0_);[Red]\(#,##0.0\)</c:formatCode>
                <c:ptCount val="42"/>
                <c:pt idx="0">
                  <c:v>41.738999999999997</c:v>
                </c:pt>
                <c:pt idx="1">
                  <c:v>37.893999999999998</c:v>
                </c:pt>
                <c:pt idx="2">
                  <c:v>72.585999999999999</c:v>
                </c:pt>
                <c:pt idx="3">
                  <c:v>87.338999999999999</c:v>
                </c:pt>
                <c:pt idx="4">
                  <c:v>96.046999999999997</c:v>
                </c:pt>
                <c:pt idx="5">
                  <c:v>143.83099999999999</c:v>
                </c:pt>
                <c:pt idx="6">
                  <c:v>165.38800000000001</c:v>
                </c:pt>
                <c:pt idx="7">
                  <c:v>170.68600000000001</c:v>
                </c:pt>
                <c:pt idx="8">
                  <c:v>186.80799999999999</c:v>
                </c:pt>
                <c:pt idx="9">
                  <c:v>191.624</c:v>
                </c:pt>
                <c:pt idx="10">
                  <c:v>154.49100000000001</c:v>
                </c:pt>
                <c:pt idx="11">
                  <c:v>149.732</c:v>
                </c:pt>
                <c:pt idx="12">
                  <c:v>136.721</c:v>
                </c:pt>
                <c:pt idx="13">
                  <c:v>173.49700000000001</c:v>
                </c:pt>
                <c:pt idx="14">
                  <c:v>185.321</c:v>
                </c:pt>
                <c:pt idx="15">
                  <c:v>185.446</c:v>
                </c:pt>
                <c:pt idx="16">
                  <c:v>179.50700000000001</c:v>
                </c:pt>
                <c:pt idx="17">
                  <c:v>170.495</c:v>
                </c:pt>
                <c:pt idx="18">
                  <c:v>197.971</c:v>
                </c:pt>
                <c:pt idx="19">
                  <c:v>203.315</c:v>
                </c:pt>
                <c:pt idx="20">
                  <c:v>181.92500000000001</c:v>
                </c:pt>
                <c:pt idx="21">
                  <c:v>199.91499999999999</c:v>
                </c:pt>
                <c:pt idx="22">
                  <c:v>251.06700000000001</c:v>
                </c:pt>
                <c:pt idx="23">
                  <c:v>303.88499999999999</c:v>
                </c:pt>
                <c:pt idx="24">
                  <c:v>299.36500000000001</c:v>
                </c:pt>
                <c:pt idx="25">
                  <c:v>322.69299999999998</c:v>
                </c:pt>
                <c:pt idx="26">
                  <c:v>489.19900000000001</c:v>
                </c:pt>
                <c:pt idx="27">
                  <c:v>553.45000000000005</c:v>
                </c:pt>
                <c:pt idx="28">
                  <c:v>469.75099999999998</c:v>
                </c:pt>
                <c:pt idx="29">
                  <c:v>645.55899999999997</c:v>
                </c:pt>
                <c:pt idx="30">
                  <c:v>843.17899999999997</c:v>
                </c:pt>
                <c:pt idx="31">
                  <c:v>828.59500000000003</c:v>
                </c:pt>
                <c:pt idx="32">
                  <c:v>820.91700000000003</c:v>
                </c:pt>
                <c:pt idx="33">
                  <c:v>1099.239</c:v>
                </c:pt>
                <c:pt idx="34">
                  <c:v>1204.337</c:v>
                </c:pt>
                <c:pt idx="35">
                  <c:v>1220.586</c:v>
                </c:pt>
                <c:pt idx="36">
                  <c:v>1066.9110000000001</c:v>
                </c:pt>
                <c:pt idx="37">
                  <c:v>1356.7750000000001</c:v>
                </c:pt>
                <c:pt idx="38">
                  <c:v>1408.826</c:v>
                </c:pt>
                <c:pt idx="39">
                  <c:v>1493.01</c:v>
                </c:pt>
                <c:pt idx="40">
                  <c:v>1540.0640000000001</c:v>
                </c:pt>
                <c:pt idx="41">
                  <c:v>1863.182</c:v>
                </c:pt>
              </c:numCache>
            </c:numRef>
          </c:val>
          <c:smooth val="0"/>
          <c:extLst>
            <c:ext xmlns:c16="http://schemas.microsoft.com/office/drawing/2014/chart" uri="{C3380CC4-5D6E-409C-BE32-E72D297353CC}">
              <c16:uniqueId val="{00000000-0BCD-441E-ABB9-2368E3B8C796}"/>
            </c:ext>
          </c:extLst>
        </c:ser>
        <c:ser>
          <c:idx val="1"/>
          <c:order val="1"/>
          <c:tx>
            <c:v>CARB Forecast</c:v>
          </c:tx>
          <c:spPr>
            <a:ln w="28575" cap="rnd">
              <a:solidFill>
                <a:srgbClr val="C4722E"/>
              </a:solidFill>
              <a:round/>
            </a:ln>
            <a:effectLst/>
          </c:spPr>
          <c:marker>
            <c:symbol val="circle"/>
            <c:size val="7"/>
            <c:spPr>
              <a:solidFill>
                <a:srgbClr val="C4722E"/>
              </a:solidFill>
              <a:ln w="9525">
                <a:solidFill>
                  <a:schemeClr val="tx1"/>
                </a:solidFill>
              </a:ln>
              <a:effectLst/>
            </c:spPr>
          </c:marker>
          <c:cat>
            <c:strRef>
              <c:f>'Fuel Vol and Credit Gen'!$N$95:$BC$95</c:f>
              <c:strCache>
                <c:ptCount val="42"/>
                <c:pt idx="0">
                  <c:v>2014 Q1</c:v>
                </c:pt>
                <c:pt idx="1">
                  <c:v>Q2</c:v>
                </c:pt>
                <c:pt idx="2">
                  <c:v>Q3</c:v>
                </c:pt>
                <c:pt idx="3">
                  <c:v>Q4</c:v>
                </c:pt>
                <c:pt idx="4">
                  <c:v>2015 Q1</c:v>
                </c:pt>
                <c:pt idx="5">
                  <c:v>Q2</c:v>
                </c:pt>
                <c:pt idx="6">
                  <c:v>Q3</c:v>
                </c:pt>
                <c:pt idx="7">
                  <c:v>Q4</c:v>
                </c:pt>
                <c:pt idx="8">
                  <c:v>2016 Q1</c:v>
                </c:pt>
                <c:pt idx="9">
                  <c:v>Q2</c:v>
                </c:pt>
                <c:pt idx="10">
                  <c:v>Q3</c:v>
                </c:pt>
                <c:pt idx="11">
                  <c:v>Q4</c:v>
                </c:pt>
                <c:pt idx="12">
                  <c:v>2017 Q1</c:v>
                </c:pt>
                <c:pt idx="13">
                  <c:v>Q2</c:v>
                </c:pt>
                <c:pt idx="14">
                  <c:v>Q3</c:v>
                </c:pt>
                <c:pt idx="15">
                  <c:v>Q4</c:v>
                </c:pt>
                <c:pt idx="16">
                  <c:v>2018 Q1</c:v>
                </c:pt>
                <c:pt idx="17">
                  <c:v>Q2</c:v>
                </c:pt>
                <c:pt idx="18">
                  <c:v>Q3</c:v>
                </c:pt>
                <c:pt idx="19">
                  <c:v>Q4</c:v>
                </c:pt>
                <c:pt idx="20">
                  <c:v>2019 Q1</c:v>
                </c:pt>
                <c:pt idx="21">
                  <c:v>Q2</c:v>
                </c:pt>
                <c:pt idx="22">
                  <c:v>Q3</c:v>
                </c:pt>
                <c:pt idx="23">
                  <c:v>Q4</c:v>
                </c:pt>
                <c:pt idx="24">
                  <c:v>2020 Q1</c:v>
                </c:pt>
                <c:pt idx="25">
                  <c:v>Q2</c:v>
                </c:pt>
                <c:pt idx="26">
                  <c:v>Q3</c:v>
                </c:pt>
                <c:pt idx="27">
                  <c:v>Q4</c:v>
                </c:pt>
                <c:pt idx="28">
                  <c:v>2021 Q1</c:v>
                </c:pt>
                <c:pt idx="29">
                  <c:v>Q2</c:v>
                </c:pt>
                <c:pt idx="30">
                  <c:v>Q3</c:v>
                </c:pt>
                <c:pt idx="31">
                  <c:v>Q4</c:v>
                </c:pt>
                <c:pt idx="32">
                  <c:v>2022 Q1</c:v>
                </c:pt>
                <c:pt idx="33">
                  <c:v>Q2</c:v>
                </c:pt>
                <c:pt idx="34">
                  <c:v>Q3</c:v>
                </c:pt>
                <c:pt idx="35">
                  <c:v>Q4</c:v>
                </c:pt>
                <c:pt idx="36">
                  <c:v>2023 Q1</c:v>
                </c:pt>
                <c:pt idx="37">
                  <c:v>Q2</c:v>
                </c:pt>
                <c:pt idx="38">
                  <c:v>Q3</c:v>
                </c:pt>
                <c:pt idx="39">
                  <c:v>Q4</c:v>
                </c:pt>
                <c:pt idx="40">
                  <c:v>2024Q1</c:v>
                </c:pt>
                <c:pt idx="41">
                  <c:v>Q2</c:v>
                </c:pt>
              </c:strCache>
            </c:strRef>
          </c:cat>
          <c:val>
            <c:numRef>
              <c:f>'Fuel Vol and Credit Gen'!$N$109:$BC$109</c:f>
              <c:numCache>
                <c:formatCode>#,##0_);[Red]\(#,##0\)</c:formatCode>
                <c:ptCount val="42"/>
                <c:pt idx="0">
                  <c:v>60</c:v>
                </c:pt>
                <c:pt idx="1">
                  <c:v>60</c:v>
                </c:pt>
                <c:pt idx="2">
                  <c:v>60</c:v>
                </c:pt>
                <c:pt idx="3">
                  <c:v>60</c:v>
                </c:pt>
                <c:pt idx="4">
                  <c:v>150</c:v>
                </c:pt>
                <c:pt idx="5">
                  <c:v>150</c:v>
                </c:pt>
                <c:pt idx="6">
                  <c:v>150</c:v>
                </c:pt>
                <c:pt idx="7">
                  <c:v>150</c:v>
                </c:pt>
                <c:pt idx="8">
                  <c:v>173.3485</c:v>
                </c:pt>
                <c:pt idx="9">
                  <c:v>173.3485</c:v>
                </c:pt>
                <c:pt idx="10">
                  <c:v>173.3485</c:v>
                </c:pt>
                <c:pt idx="11">
                  <c:v>173.3485</c:v>
                </c:pt>
                <c:pt idx="12">
                  <c:v>170.20025000000001</c:v>
                </c:pt>
                <c:pt idx="13">
                  <c:v>170.20025000000001</c:v>
                </c:pt>
                <c:pt idx="14">
                  <c:v>170.20025000000001</c:v>
                </c:pt>
                <c:pt idx="15">
                  <c:v>170.20025000000001</c:v>
                </c:pt>
                <c:pt idx="16">
                  <c:v>234.1838155625</c:v>
                </c:pt>
                <c:pt idx="17">
                  <c:v>234.1838155625</c:v>
                </c:pt>
                <c:pt idx="18">
                  <c:v>234.1838155625</c:v>
                </c:pt>
                <c:pt idx="19">
                  <c:v>234.1838155625</c:v>
                </c:pt>
                <c:pt idx="20">
                  <c:v>299.01259492187501</c:v>
                </c:pt>
                <c:pt idx="21">
                  <c:v>299.01259492187501</c:v>
                </c:pt>
                <c:pt idx="22">
                  <c:v>299.01259492187501</c:v>
                </c:pt>
                <c:pt idx="23">
                  <c:v>299.01259492187501</c:v>
                </c:pt>
                <c:pt idx="24">
                  <c:v>339.73384090625007</c:v>
                </c:pt>
                <c:pt idx="25">
                  <c:v>339.73384090625007</c:v>
                </c:pt>
                <c:pt idx="26">
                  <c:v>339.73384090625007</c:v>
                </c:pt>
                <c:pt idx="27">
                  <c:v>339.73384090625007</c:v>
                </c:pt>
                <c:pt idx="28">
                  <c:v>388.19254823437501</c:v>
                </c:pt>
                <c:pt idx="29">
                  <c:v>388.19254823437501</c:v>
                </c:pt>
                <c:pt idx="30">
                  <c:v>388.19254823437501</c:v>
                </c:pt>
                <c:pt idx="31">
                  <c:v>388.19254823437501</c:v>
                </c:pt>
                <c:pt idx="32">
                  <c:v>465.04434075000006</c:v>
                </c:pt>
                <c:pt idx="33">
                  <c:v>465.04434075000006</c:v>
                </c:pt>
                <c:pt idx="34">
                  <c:v>465.04434075000006</c:v>
                </c:pt>
                <c:pt idx="35">
                  <c:v>465.04434075000006</c:v>
                </c:pt>
                <c:pt idx="36">
                  <c:v>546.42710038125006</c:v>
                </c:pt>
                <c:pt idx="37">
                  <c:v>546.42710038125006</c:v>
                </c:pt>
                <c:pt idx="38">
                  <c:v>546.42710038125006</c:v>
                </c:pt>
                <c:pt idx="39">
                  <c:v>546.42710038125006</c:v>
                </c:pt>
                <c:pt idx="40">
                  <c:v>546.42710038125006</c:v>
                </c:pt>
                <c:pt idx="41">
                  <c:v>546.42710038125006</c:v>
                </c:pt>
              </c:numCache>
            </c:numRef>
          </c:val>
          <c:smooth val="0"/>
          <c:extLst>
            <c:ext xmlns:c16="http://schemas.microsoft.com/office/drawing/2014/chart" uri="{C3380CC4-5D6E-409C-BE32-E72D297353CC}">
              <c16:uniqueId val="{00000001-0BCD-441E-ABB9-2368E3B8C796}"/>
            </c:ext>
          </c:extLst>
        </c:ser>
        <c:dLbls>
          <c:showLegendKey val="0"/>
          <c:showVal val="0"/>
          <c:showCatName val="0"/>
          <c:showSerName val="0"/>
          <c:showPercent val="0"/>
          <c:showBubbleSize val="0"/>
        </c:dLbls>
        <c:marker val="1"/>
        <c:smooth val="0"/>
        <c:axId val="1238676640"/>
        <c:axId val="1238675000"/>
      </c:lineChart>
      <c:catAx>
        <c:axId val="1238676640"/>
        <c:scaling>
          <c:orientation val="minMax"/>
        </c:scaling>
        <c:delete val="0"/>
        <c:axPos val="b"/>
        <c:numFmt formatCode="General" sourceLinked="1"/>
        <c:majorTickMark val="none"/>
        <c:minorTickMark val="none"/>
        <c:tickLblPos val="nextTo"/>
        <c:spPr>
          <a:noFill/>
          <a:ln w="9525" cap="flat" cmpd="sng" algn="ctr">
            <a:solidFill>
              <a:srgbClr val="5D803B"/>
            </a:solidFill>
            <a:round/>
          </a:ln>
          <a:effectLst/>
        </c:spPr>
        <c:txPr>
          <a:bodyPr rot="-5400000" spcFirstLastPara="1" vertOverflow="ellipsis" wrap="square" anchor="ctr" anchorCtr="1"/>
          <a:lstStyle/>
          <a:p>
            <a:pPr>
              <a:defRPr sz="14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238675000"/>
        <c:crosses val="autoZero"/>
        <c:auto val="1"/>
        <c:lblAlgn val="ctr"/>
        <c:lblOffset val="100"/>
        <c:noMultiLvlLbl val="0"/>
      </c:catAx>
      <c:valAx>
        <c:axId val="1238675000"/>
        <c:scaling>
          <c:orientation val="minMax"/>
        </c:scaling>
        <c:delete val="0"/>
        <c:axPos val="l"/>
        <c:majorGridlines>
          <c:spPr>
            <a:ln w="9525" cap="flat" cmpd="sng" algn="ctr">
              <a:solidFill>
                <a:schemeClr val="bg1">
                  <a:lumMod val="65000"/>
                </a:schemeClr>
              </a:solidFill>
              <a:round/>
            </a:ln>
            <a:effectLst/>
          </c:spPr>
        </c:majorGridlines>
        <c:title>
          <c:tx>
            <c:rich>
              <a:bodyPr rot="-5400000" spcFirstLastPara="1" vertOverflow="ellipsis" vert="horz" wrap="square" anchor="ctr" anchorCtr="1"/>
              <a:lstStyle/>
              <a:p>
                <a:pPr>
                  <a:defRPr sz="14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a:t>(thousand</a:t>
                </a:r>
                <a:r>
                  <a:rPr lang="en-US" baseline="0"/>
                  <a:t> tonnes)</a:t>
                </a:r>
                <a:endParaRPr lang="en-US"/>
              </a:p>
            </c:rich>
          </c:tx>
          <c:overlay val="0"/>
          <c:spPr>
            <a:noFill/>
            <a:ln>
              <a:noFill/>
            </a:ln>
            <a:effectLst/>
          </c:spPr>
          <c:txPr>
            <a:bodyPr rot="-5400000" spcFirstLastPara="1" vertOverflow="ellipsis" vert="horz" wrap="square" anchor="ctr" anchorCtr="1"/>
            <a:lstStyle/>
            <a:p>
              <a:pPr>
                <a:defRPr sz="14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238676640"/>
        <c:crosses val="autoZero"/>
        <c:crossBetween val="between"/>
      </c:valAx>
      <c:spPr>
        <a:noFill/>
        <a:ln>
          <a:solidFill>
            <a:srgbClr val="5D803B"/>
          </a:solidFill>
        </a:ln>
        <a:effectLst/>
      </c:spPr>
    </c:plotArea>
    <c:legend>
      <c:legendPos val="b"/>
      <c:layout>
        <c:manualLayout>
          <c:xMode val="edge"/>
          <c:yMode val="edge"/>
          <c:x val="0.12085463740302269"/>
          <c:y val="0.19418484193900543"/>
          <c:w val="0.52031667565758888"/>
          <c:h val="8.8444500677302473E-2"/>
        </c:manualLayout>
      </c:layout>
      <c:overlay val="0"/>
      <c:spPr>
        <a:solidFill>
          <a:schemeClr val="bg1"/>
        </a:solidFill>
        <a:ln>
          <a:solidFill>
            <a:srgbClr val="5D803B"/>
          </a:solidFill>
        </a:ln>
        <a:effectLst/>
      </c:spPr>
      <c:txPr>
        <a:bodyPr rot="0" spcFirstLastPara="1" vertOverflow="ellipsis" vert="horz" wrap="square" anchor="ctr" anchorCtr="1"/>
        <a:lstStyle/>
        <a:p>
          <a:pPr>
            <a:defRPr sz="14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400" b="1">
          <a:solidFill>
            <a:sysClr val="windowText" lastClr="000000"/>
          </a:solidFill>
          <a:latin typeface="Arial" panose="020B0604020202020204" pitchFamily="34" charset="0"/>
          <a:cs typeface="Arial" panose="020B0604020202020204" pitchFamily="34" charset="0"/>
        </a:defRPr>
      </a:pPr>
      <a:endParaRPr lang="en-US"/>
    </a:p>
  </c:txPr>
  <c:userShapes r:id="rId3"/>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8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US" sz="2800"/>
              <a:t>Electricity Credits vs CARB Forecast</a:t>
            </a:r>
          </a:p>
        </c:rich>
      </c:tx>
      <c:overlay val="0"/>
      <c:spPr>
        <a:noFill/>
        <a:ln>
          <a:noFill/>
        </a:ln>
        <a:effectLst/>
      </c:spPr>
      <c:txPr>
        <a:bodyPr rot="0" spcFirstLastPara="1" vertOverflow="ellipsis" vert="horz" wrap="square" anchor="ctr" anchorCtr="1"/>
        <a:lstStyle/>
        <a:p>
          <a:pPr>
            <a:defRPr sz="28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8.947080506072716E-2"/>
          <c:y val="9.7071909253544114E-2"/>
          <c:w val="0.89581581929067833"/>
          <c:h val="0.70439848089535095"/>
        </c:manualLayout>
      </c:layout>
      <c:lineChart>
        <c:grouping val="standard"/>
        <c:varyColors val="0"/>
        <c:ser>
          <c:idx val="0"/>
          <c:order val="0"/>
          <c:tx>
            <c:v>Actual/Fastmarkets Forecast</c:v>
          </c:tx>
          <c:spPr>
            <a:ln w="28575" cap="rnd">
              <a:solidFill>
                <a:srgbClr val="5D803B"/>
              </a:solidFill>
              <a:round/>
            </a:ln>
            <a:effectLst/>
          </c:spPr>
          <c:marker>
            <c:symbol val="circle"/>
            <c:size val="7"/>
            <c:spPr>
              <a:solidFill>
                <a:srgbClr val="5D803B"/>
              </a:solidFill>
              <a:ln w="9525">
                <a:solidFill>
                  <a:schemeClr val="tx1"/>
                </a:solidFill>
              </a:ln>
              <a:effectLst/>
            </c:spPr>
          </c:marker>
          <c:cat>
            <c:strRef>
              <c:f>'Fuel Vol and Credit Gen'!$N$95:$BC$95</c:f>
              <c:strCache>
                <c:ptCount val="42"/>
                <c:pt idx="0">
                  <c:v>2014 Q1</c:v>
                </c:pt>
                <c:pt idx="1">
                  <c:v>Q2</c:v>
                </c:pt>
                <c:pt idx="2">
                  <c:v>Q3</c:v>
                </c:pt>
                <c:pt idx="3">
                  <c:v>Q4</c:v>
                </c:pt>
                <c:pt idx="4">
                  <c:v>2015 Q1</c:v>
                </c:pt>
                <c:pt idx="5">
                  <c:v>Q2</c:v>
                </c:pt>
                <c:pt idx="6">
                  <c:v>Q3</c:v>
                </c:pt>
                <c:pt idx="7">
                  <c:v>Q4</c:v>
                </c:pt>
                <c:pt idx="8">
                  <c:v>2016 Q1</c:v>
                </c:pt>
                <c:pt idx="9">
                  <c:v>Q2</c:v>
                </c:pt>
                <c:pt idx="10">
                  <c:v>Q3</c:v>
                </c:pt>
                <c:pt idx="11">
                  <c:v>Q4</c:v>
                </c:pt>
                <c:pt idx="12">
                  <c:v>2017 Q1</c:v>
                </c:pt>
                <c:pt idx="13">
                  <c:v>Q2</c:v>
                </c:pt>
                <c:pt idx="14">
                  <c:v>Q3</c:v>
                </c:pt>
                <c:pt idx="15">
                  <c:v>Q4</c:v>
                </c:pt>
                <c:pt idx="16">
                  <c:v>2018 Q1</c:v>
                </c:pt>
                <c:pt idx="17">
                  <c:v>Q2</c:v>
                </c:pt>
                <c:pt idx="18">
                  <c:v>Q3</c:v>
                </c:pt>
                <c:pt idx="19">
                  <c:v>Q4</c:v>
                </c:pt>
                <c:pt idx="20">
                  <c:v>2019 Q1</c:v>
                </c:pt>
                <c:pt idx="21">
                  <c:v>Q2</c:v>
                </c:pt>
                <c:pt idx="22">
                  <c:v>Q3</c:v>
                </c:pt>
                <c:pt idx="23">
                  <c:v>Q4</c:v>
                </c:pt>
                <c:pt idx="24">
                  <c:v>2020 Q1</c:v>
                </c:pt>
                <c:pt idx="25">
                  <c:v>Q2</c:v>
                </c:pt>
                <c:pt idx="26">
                  <c:v>Q3</c:v>
                </c:pt>
                <c:pt idx="27">
                  <c:v>Q4</c:v>
                </c:pt>
                <c:pt idx="28">
                  <c:v>2021 Q1</c:v>
                </c:pt>
                <c:pt idx="29">
                  <c:v>Q2</c:v>
                </c:pt>
                <c:pt idx="30">
                  <c:v>Q3</c:v>
                </c:pt>
                <c:pt idx="31">
                  <c:v>Q4</c:v>
                </c:pt>
                <c:pt idx="32">
                  <c:v>2022 Q1</c:v>
                </c:pt>
                <c:pt idx="33">
                  <c:v>Q2</c:v>
                </c:pt>
                <c:pt idx="34">
                  <c:v>Q3</c:v>
                </c:pt>
                <c:pt idx="35">
                  <c:v>Q4</c:v>
                </c:pt>
                <c:pt idx="36">
                  <c:v>2023 Q1</c:v>
                </c:pt>
                <c:pt idx="37">
                  <c:v>Q2</c:v>
                </c:pt>
                <c:pt idx="38">
                  <c:v>Q3</c:v>
                </c:pt>
                <c:pt idx="39">
                  <c:v>Q4</c:v>
                </c:pt>
                <c:pt idx="40">
                  <c:v>2024Q1</c:v>
                </c:pt>
                <c:pt idx="41">
                  <c:v>Q2</c:v>
                </c:pt>
              </c:strCache>
            </c:strRef>
          </c:cat>
          <c:val>
            <c:numRef>
              <c:f>'Fuel Vol and Credit Gen'!$N$99:$BC$99</c:f>
              <c:numCache>
                <c:formatCode>#,##0.0_);[Red]\(#,##0.0\)</c:formatCode>
                <c:ptCount val="42"/>
                <c:pt idx="0">
                  <c:v>41.753</c:v>
                </c:pt>
                <c:pt idx="1">
                  <c:v>51.091999999999999</c:v>
                </c:pt>
                <c:pt idx="2">
                  <c:v>59.366</c:v>
                </c:pt>
                <c:pt idx="3">
                  <c:v>69.119</c:v>
                </c:pt>
                <c:pt idx="4">
                  <c:v>73.707999999999998</c:v>
                </c:pt>
                <c:pt idx="5">
                  <c:v>78.072000000000003</c:v>
                </c:pt>
                <c:pt idx="6">
                  <c:v>91.036000000000001</c:v>
                </c:pt>
                <c:pt idx="7">
                  <c:v>94.924000000000007</c:v>
                </c:pt>
                <c:pt idx="8">
                  <c:v>206.464</c:v>
                </c:pt>
                <c:pt idx="9">
                  <c:v>216.149</c:v>
                </c:pt>
                <c:pt idx="10">
                  <c:v>225.64</c:v>
                </c:pt>
                <c:pt idx="11">
                  <c:v>256.45</c:v>
                </c:pt>
                <c:pt idx="12">
                  <c:v>278.44200000000001</c:v>
                </c:pt>
                <c:pt idx="13">
                  <c:v>294.20100000000002</c:v>
                </c:pt>
                <c:pt idx="14">
                  <c:v>302.45600000000002</c:v>
                </c:pt>
                <c:pt idx="15">
                  <c:v>323.01299999999998</c:v>
                </c:pt>
                <c:pt idx="16">
                  <c:v>394.52499999999998</c:v>
                </c:pt>
                <c:pt idx="17">
                  <c:v>424.03699999999998</c:v>
                </c:pt>
                <c:pt idx="18">
                  <c:v>469.81299999999999</c:v>
                </c:pt>
                <c:pt idx="19">
                  <c:v>503.08199999999999</c:v>
                </c:pt>
                <c:pt idx="20">
                  <c:v>627.13499999999999</c:v>
                </c:pt>
                <c:pt idx="21">
                  <c:v>620.98699999999997</c:v>
                </c:pt>
                <c:pt idx="22">
                  <c:v>734.99199999999996</c:v>
                </c:pt>
                <c:pt idx="23">
                  <c:v>809.70600000000002</c:v>
                </c:pt>
                <c:pt idx="24">
                  <c:v>800.71799999999996</c:v>
                </c:pt>
                <c:pt idx="25">
                  <c:v>597.60500000000002</c:v>
                </c:pt>
                <c:pt idx="26">
                  <c:v>738.93499999999995</c:v>
                </c:pt>
                <c:pt idx="27">
                  <c:v>805.72500000000002</c:v>
                </c:pt>
                <c:pt idx="28">
                  <c:v>902.04300000000001</c:v>
                </c:pt>
                <c:pt idx="29">
                  <c:v>1118.9390000000001</c:v>
                </c:pt>
                <c:pt idx="30">
                  <c:v>1192.806</c:v>
                </c:pt>
                <c:pt idx="31">
                  <c:v>1253.46</c:v>
                </c:pt>
                <c:pt idx="32">
                  <c:v>1396.82</c:v>
                </c:pt>
                <c:pt idx="33">
                  <c:v>1578.9349999999999</c:v>
                </c:pt>
                <c:pt idx="34">
                  <c:v>1671.348</c:v>
                </c:pt>
                <c:pt idx="35">
                  <c:v>1762.547</c:v>
                </c:pt>
                <c:pt idx="36">
                  <c:v>1644.097</c:v>
                </c:pt>
                <c:pt idx="37">
                  <c:v>1753.2819999999999</c:v>
                </c:pt>
                <c:pt idx="38">
                  <c:v>1920.92</c:v>
                </c:pt>
                <c:pt idx="39">
                  <c:v>2025.2470000000001</c:v>
                </c:pt>
                <c:pt idx="40">
                  <c:v>2007.097</c:v>
                </c:pt>
                <c:pt idx="41">
                  <c:v>2223.712</c:v>
                </c:pt>
              </c:numCache>
            </c:numRef>
          </c:val>
          <c:smooth val="0"/>
          <c:extLst>
            <c:ext xmlns:c16="http://schemas.microsoft.com/office/drawing/2014/chart" uri="{C3380CC4-5D6E-409C-BE32-E72D297353CC}">
              <c16:uniqueId val="{00000000-1DFB-4D24-904F-CCF9FBC05AAE}"/>
            </c:ext>
          </c:extLst>
        </c:ser>
        <c:ser>
          <c:idx val="1"/>
          <c:order val="1"/>
          <c:tx>
            <c:v>CARB Forecast</c:v>
          </c:tx>
          <c:spPr>
            <a:ln w="28575" cap="rnd">
              <a:solidFill>
                <a:srgbClr val="C4722E"/>
              </a:solidFill>
              <a:round/>
            </a:ln>
            <a:effectLst/>
          </c:spPr>
          <c:marker>
            <c:symbol val="circle"/>
            <c:size val="7"/>
            <c:spPr>
              <a:solidFill>
                <a:srgbClr val="C4722E"/>
              </a:solidFill>
              <a:ln w="9525">
                <a:solidFill>
                  <a:schemeClr val="tx1"/>
                </a:solidFill>
              </a:ln>
              <a:effectLst/>
            </c:spPr>
          </c:marker>
          <c:cat>
            <c:strRef>
              <c:f>'Fuel Vol and Credit Gen'!$N$95:$BC$95</c:f>
              <c:strCache>
                <c:ptCount val="42"/>
                <c:pt idx="0">
                  <c:v>2014 Q1</c:v>
                </c:pt>
                <c:pt idx="1">
                  <c:v>Q2</c:v>
                </c:pt>
                <c:pt idx="2">
                  <c:v>Q3</c:v>
                </c:pt>
                <c:pt idx="3">
                  <c:v>Q4</c:v>
                </c:pt>
                <c:pt idx="4">
                  <c:v>2015 Q1</c:v>
                </c:pt>
                <c:pt idx="5">
                  <c:v>Q2</c:v>
                </c:pt>
                <c:pt idx="6">
                  <c:v>Q3</c:v>
                </c:pt>
                <c:pt idx="7">
                  <c:v>Q4</c:v>
                </c:pt>
                <c:pt idx="8">
                  <c:v>2016 Q1</c:v>
                </c:pt>
                <c:pt idx="9">
                  <c:v>Q2</c:v>
                </c:pt>
                <c:pt idx="10">
                  <c:v>Q3</c:v>
                </c:pt>
                <c:pt idx="11">
                  <c:v>Q4</c:v>
                </c:pt>
                <c:pt idx="12">
                  <c:v>2017 Q1</c:v>
                </c:pt>
                <c:pt idx="13">
                  <c:v>Q2</c:v>
                </c:pt>
                <c:pt idx="14">
                  <c:v>Q3</c:v>
                </c:pt>
                <c:pt idx="15">
                  <c:v>Q4</c:v>
                </c:pt>
                <c:pt idx="16">
                  <c:v>2018 Q1</c:v>
                </c:pt>
                <c:pt idx="17">
                  <c:v>Q2</c:v>
                </c:pt>
                <c:pt idx="18">
                  <c:v>Q3</c:v>
                </c:pt>
                <c:pt idx="19">
                  <c:v>Q4</c:v>
                </c:pt>
                <c:pt idx="20">
                  <c:v>2019 Q1</c:v>
                </c:pt>
                <c:pt idx="21">
                  <c:v>Q2</c:v>
                </c:pt>
                <c:pt idx="22">
                  <c:v>Q3</c:v>
                </c:pt>
                <c:pt idx="23">
                  <c:v>Q4</c:v>
                </c:pt>
                <c:pt idx="24">
                  <c:v>2020 Q1</c:v>
                </c:pt>
                <c:pt idx="25">
                  <c:v>Q2</c:v>
                </c:pt>
                <c:pt idx="26">
                  <c:v>Q3</c:v>
                </c:pt>
                <c:pt idx="27">
                  <c:v>Q4</c:v>
                </c:pt>
                <c:pt idx="28">
                  <c:v>2021 Q1</c:v>
                </c:pt>
                <c:pt idx="29">
                  <c:v>Q2</c:v>
                </c:pt>
                <c:pt idx="30">
                  <c:v>Q3</c:v>
                </c:pt>
                <c:pt idx="31">
                  <c:v>Q4</c:v>
                </c:pt>
                <c:pt idx="32">
                  <c:v>2022 Q1</c:v>
                </c:pt>
                <c:pt idx="33">
                  <c:v>Q2</c:v>
                </c:pt>
                <c:pt idx="34">
                  <c:v>Q3</c:v>
                </c:pt>
                <c:pt idx="35">
                  <c:v>Q4</c:v>
                </c:pt>
                <c:pt idx="36">
                  <c:v>2023 Q1</c:v>
                </c:pt>
                <c:pt idx="37">
                  <c:v>Q2</c:v>
                </c:pt>
                <c:pt idx="38">
                  <c:v>Q3</c:v>
                </c:pt>
                <c:pt idx="39">
                  <c:v>Q4</c:v>
                </c:pt>
                <c:pt idx="40">
                  <c:v>2024Q1</c:v>
                </c:pt>
                <c:pt idx="41">
                  <c:v>Q2</c:v>
                </c:pt>
              </c:strCache>
            </c:strRef>
          </c:cat>
          <c:val>
            <c:numRef>
              <c:f>'Fuel Vol and Credit Gen'!$N$110:$BC$110</c:f>
              <c:numCache>
                <c:formatCode>#,##0_);[Red]\(#,##0\)</c:formatCode>
                <c:ptCount val="42"/>
                <c:pt idx="0">
                  <c:v>55</c:v>
                </c:pt>
                <c:pt idx="1">
                  <c:v>55</c:v>
                </c:pt>
                <c:pt idx="2">
                  <c:v>55</c:v>
                </c:pt>
                <c:pt idx="3">
                  <c:v>55</c:v>
                </c:pt>
                <c:pt idx="4">
                  <c:v>85</c:v>
                </c:pt>
                <c:pt idx="5">
                  <c:v>85</c:v>
                </c:pt>
                <c:pt idx="6">
                  <c:v>85</c:v>
                </c:pt>
                <c:pt idx="7">
                  <c:v>85</c:v>
                </c:pt>
                <c:pt idx="8">
                  <c:v>227.45149999999998</c:v>
                </c:pt>
                <c:pt idx="9">
                  <c:v>227.45149999999998</c:v>
                </c:pt>
                <c:pt idx="10">
                  <c:v>227.45149999999998</c:v>
                </c:pt>
                <c:pt idx="11">
                  <c:v>227.45149999999998</c:v>
                </c:pt>
                <c:pt idx="12">
                  <c:v>303.98947902673825</c:v>
                </c:pt>
                <c:pt idx="13">
                  <c:v>303.98947902673825</c:v>
                </c:pt>
                <c:pt idx="14">
                  <c:v>303.98947902673825</c:v>
                </c:pt>
                <c:pt idx="15">
                  <c:v>303.98947902673825</c:v>
                </c:pt>
                <c:pt idx="16">
                  <c:v>360.60844188161099</c:v>
                </c:pt>
                <c:pt idx="17">
                  <c:v>360.60844188161099</c:v>
                </c:pt>
                <c:pt idx="18">
                  <c:v>360.60844188161099</c:v>
                </c:pt>
                <c:pt idx="19">
                  <c:v>360.60844188161099</c:v>
                </c:pt>
                <c:pt idx="20">
                  <c:v>421.78653244520132</c:v>
                </c:pt>
                <c:pt idx="21">
                  <c:v>421.78653244520132</c:v>
                </c:pt>
                <c:pt idx="22">
                  <c:v>421.78653244520132</c:v>
                </c:pt>
                <c:pt idx="23">
                  <c:v>421.78653244520132</c:v>
                </c:pt>
                <c:pt idx="24">
                  <c:v>495.76205448580498</c:v>
                </c:pt>
                <c:pt idx="25">
                  <c:v>495.76205448580498</c:v>
                </c:pt>
                <c:pt idx="26">
                  <c:v>495.76205448580498</c:v>
                </c:pt>
                <c:pt idx="27">
                  <c:v>495.76205448580498</c:v>
                </c:pt>
                <c:pt idx="28">
                  <c:v>588.37628805158158</c:v>
                </c:pt>
                <c:pt idx="29">
                  <c:v>588.37628805158158</c:v>
                </c:pt>
                <c:pt idx="30">
                  <c:v>588.37628805158158</c:v>
                </c:pt>
                <c:pt idx="31">
                  <c:v>588.37628805158158</c:v>
                </c:pt>
                <c:pt idx="32">
                  <c:v>702.34935732790859</c:v>
                </c:pt>
                <c:pt idx="33">
                  <c:v>702.34935732790859</c:v>
                </c:pt>
                <c:pt idx="34">
                  <c:v>702.34935732790859</c:v>
                </c:pt>
                <c:pt idx="35">
                  <c:v>702.34935732790859</c:v>
                </c:pt>
                <c:pt idx="36">
                  <c:v>842.81922879349031</c:v>
                </c:pt>
                <c:pt idx="37">
                  <c:v>842.81922879349031</c:v>
                </c:pt>
                <c:pt idx="38">
                  <c:v>842.81922879349031</c:v>
                </c:pt>
                <c:pt idx="39">
                  <c:v>842.81922879349031</c:v>
                </c:pt>
                <c:pt idx="40">
                  <c:v>842.81922879349031</c:v>
                </c:pt>
                <c:pt idx="41">
                  <c:v>842.81922879349031</c:v>
                </c:pt>
              </c:numCache>
            </c:numRef>
          </c:val>
          <c:smooth val="0"/>
          <c:extLst>
            <c:ext xmlns:c16="http://schemas.microsoft.com/office/drawing/2014/chart" uri="{C3380CC4-5D6E-409C-BE32-E72D297353CC}">
              <c16:uniqueId val="{00000001-1DFB-4D24-904F-CCF9FBC05AAE}"/>
            </c:ext>
          </c:extLst>
        </c:ser>
        <c:dLbls>
          <c:showLegendKey val="0"/>
          <c:showVal val="0"/>
          <c:showCatName val="0"/>
          <c:showSerName val="0"/>
          <c:showPercent val="0"/>
          <c:showBubbleSize val="0"/>
        </c:dLbls>
        <c:marker val="1"/>
        <c:smooth val="0"/>
        <c:axId val="1238676640"/>
        <c:axId val="1238675000"/>
      </c:lineChart>
      <c:catAx>
        <c:axId val="1238676640"/>
        <c:scaling>
          <c:orientation val="minMax"/>
        </c:scaling>
        <c:delete val="0"/>
        <c:axPos val="b"/>
        <c:numFmt formatCode="General" sourceLinked="1"/>
        <c:majorTickMark val="none"/>
        <c:minorTickMark val="none"/>
        <c:tickLblPos val="nextTo"/>
        <c:spPr>
          <a:noFill/>
          <a:ln w="9525" cap="flat" cmpd="sng" algn="ctr">
            <a:solidFill>
              <a:srgbClr val="5D803B"/>
            </a:solidFill>
            <a:round/>
          </a:ln>
          <a:effectLst/>
        </c:spPr>
        <c:txPr>
          <a:bodyPr rot="-5400000" spcFirstLastPara="1" vertOverflow="ellipsis" wrap="square" anchor="ctr" anchorCtr="1"/>
          <a:lstStyle/>
          <a:p>
            <a:pPr>
              <a:defRPr sz="14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238675000"/>
        <c:crosses val="autoZero"/>
        <c:auto val="1"/>
        <c:lblAlgn val="ctr"/>
        <c:lblOffset val="100"/>
        <c:noMultiLvlLbl val="0"/>
      </c:catAx>
      <c:valAx>
        <c:axId val="1238675000"/>
        <c:scaling>
          <c:orientation val="minMax"/>
        </c:scaling>
        <c:delete val="0"/>
        <c:axPos val="l"/>
        <c:majorGridlines>
          <c:spPr>
            <a:ln w="9525" cap="flat" cmpd="sng" algn="ctr">
              <a:solidFill>
                <a:schemeClr val="bg1">
                  <a:lumMod val="65000"/>
                </a:schemeClr>
              </a:solidFill>
              <a:round/>
            </a:ln>
            <a:effectLst/>
          </c:spPr>
        </c:majorGridlines>
        <c:title>
          <c:tx>
            <c:rich>
              <a:bodyPr rot="-5400000" spcFirstLastPara="1" vertOverflow="ellipsis" vert="horz" wrap="square" anchor="ctr" anchorCtr="1"/>
              <a:lstStyle/>
              <a:p>
                <a:pPr>
                  <a:defRPr sz="12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200"/>
                  <a:t>(thousand</a:t>
                </a:r>
                <a:r>
                  <a:rPr lang="en-US" sz="1200" baseline="0"/>
                  <a:t> tonnes)</a:t>
                </a:r>
                <a:endParaRPr lang="en-US" sz="1200"/>
              </a:p>
            </c:rich>
          </c:tx>
          <c:overlay val="0"/>
          <c:spPr>
            <a:noFill/>
            <a:ln>
              <a:noFill/>
            </a:ln>
            <a:effectLst/>
          </c:spPr>
          <c:txPr>
            <a:bodyPr rot="-5400000" spcFirstLastPara="1" vertOverflow="ellipsis" vert="horz" wrap="square" anchor="ctr" anchorCtr="1"/>
            <a:lstStyle/>
            <a:p>
              <a:pPr>
                <a:defRPr sz="12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238676640"/>
        <c:crosses val="autoZero"/>
        <c:crossBetween val="between"/>
      </c:valAx>
      <c:spPr>
        <a:noFill/>
        <a:ln>
          <a:solidFill>
            <a:srgbClr val="5D803B"/>
          </a:solidFill>
        </a:ln>
        <a:effectLst/>
      </c:spPr>
    </c:plotArea>
    <c:legend>
      <c:legendPos val="b"/>
      <c:layout>
        <c:manualLayout>
          <c:xMode val="edge"/>
          <c:yMode val="edge"/>
          <c:x val="0.11684260129469771"/>
          <c:y val="0.19182495993310572"/>
          <c:w val="0.52031667565758888"/>
          <c:h val="8.8444500677302473E-2"/>
        </c:manualLayout>
      </c:layout>
      <c:overlay val="0"/>
      <c:spPr>
        <a:solidFill>
          <a:schemeClr val="bg1"/>
        </a:solidFill>
        <a:ln>
          <a:solidFill>
            <a:srgbClr val="5D803B"/>
          </a:solidFill>
        </a:ln>
        <a:effectLst/>
      </c:spPr>
      <c:txPr>
        <a:bodyPr rot="0" spcFirstLastPara="1" vertOverflow="ellipsis" vert="horz" wrap="square" anchor="ctr" anchorCtr="1"/>
        <a:lstStyle/>
        <a:p>
          <a:pPr>
            <a:defRPr sz="14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400" b="1">
          <a:solidFill>
            <a:sysClr val="windowText" lastClr="000000"/>
          </a:solidFill>
          <a:latin typeface="Arial" panose="020B0604020202020204" pitchFamily="34" charset="0"/>
          <a:cs typeface="Arial" panose="020B0604020202020204" pitchFamily="34" charset="0"/>
        </a:defRPr>
      </a:pPr>
      <a:endParaRPr lang="en-US"/>
    </a:p>
  </c:txPr>
  <c:userShapes r:id="rId3"/>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8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US" sz="2800"/>
              <a:t>Hydrogen Credits vs CARB Forecast</a:t>
            </a:r>
          </a:p>
        </c:rich>
      </c:tx>
      <c:overlay val="0"/>
      <c:spPr>
        <a:noFill/>
        <a:ln>
          <a:noFill/>
        </a:ln>
        <a:effectLst/>
      </c:spPr>
      <c:txPr>
        <a:bodyPr rot="0" spcFirstLastPara="1" vertOverflow="ellipsis" vert="horz" wrap="square" anchor="ctr" anchorCtr="1"/>
        <a:lstStyle/>
        <a:p>
          <a:pPr>
            <a:defRPr sz="28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8.947080506072716E-2"/>
          <c:y val="9.7071909253544114E-2"/>
          <c:w val="0.89581581929067833"/>
          <c:h val="0.70439848089535095"/>
        </c:manualLayout>
      </c:layout>
      <c:lineChart>
        <c:grouping val="standard"/>
        <c:varyColors val="0"/>
        <c:ser>
          <c:idx val="0"/>
          <c:order val="0"/>
          <c:tx>
            <c:v>Actual/Fastmarkets Forecast</c:v>
          </c:tx>
          <c:spPr>
            <a:ln w="28575" cap="rnd">
              <a:solidFill>
                <a:srgbClr val="5D803B"/>
              </a:solidFill>
              <a:round/>
            </a:ln>
            <a:effectLst/>
          </c:spPr>
          <c:marker>
            <c:symbol val="circle"/>
            <c:size val="7"/>
            <c:spPr>
              <a:solidFill>
                <a:srgbClr val="5D803B"/>
              </a:solidFill>
              <a:ln w="9525">
                <a:solidFill>
                  <a:schemeClr val="tx1"/>
                </a:solidFill>
              </a:ln>
              <a:effectLst/>
            </c:spPr>
          </c:marker>
          <c:cat>
            <c:strRef>
              <c:f>'Fuel Vol and Credit Gen'!$N$95:$BC$95</c:f>
              <c:strCache>
                <c:ptCount val="42"/>
                <c:pt idx="0">
                  <c:v>2014 Q1</c:v>
                </c:pt>
                <c:pt idx="1">
                  <c:v>Q2</c:v>
                </c:pt>
                <c:pt idx="2">
                  <c:v>Q3</c:v>
                </c:pt>
                <c:pt idx="3">
                  <c:v>Q4</c:v>
                </c:pt>
                <c:pt idx="4">
                  <c:v>2015 Q1</c:v>
                </c:pt>
                <c:pt idx="5">
                  <c:v>Q2</c:v>
                </c:pt>
                <c:pt idx="6">
                  <c:v>Q3</c:v>
                </c:pt>
                <c:pt idx="7">
                  <c:v>Q4</c:v>
                </c:pt>
                <c:pt idx="8">
                  <c:v>2016 Q1</c:v>
                </c:pt>
                <c:pt idx="9">
                  <c:v>Q2</c:v>
                </c:pt>
                <c:pt idx="10">
                  <c:v>Q3</c:v>
                </c:pt>
                <c:pt idx="11">
                  <c:v>Q4</c:v>
                </c:pt>
                <c:pt idx="12">
                  <c:v>2017 Q1</c:v>
                </c:pt>
                <c:pt idx="13">
                  <c:v>Q2</c:v>
                </c:pt>
                <c:pt idx="14">
                  <c:v>Q3</c:v>
                </c:pt>
                <c:pt idx="15">
                  <c:v>Q4</c:v>
                </c:pt>
                <c:pt idx="16">
                  <c:v>2018 Q1</c:v>
                </c:pt>
                <c:pt idx="17">
                  <c:v>Q2</c:v>
                </c:pt>
                <c:pt idx="18">
                  <c:v>Q3</c:v>
                </c:pt>
                <c:pt idx="19">
                  <c:v>Q4</c:v>
                </c:pt>
                <c:pt idx="20">
                  <c:v>2019 Q1</c:v>
                </c:pt>
                <c:pt idx="21">
                  <c:v>Q2</c:v>
                </c:pt>
                <c:pt idx="22">
                  <c:v>Q3</c:v>
                </c:pt>
                <c:pt idx="23">
                  <c:v>Q4</c:v>
                </c:pt>
                <c:pt idx="24">
                  <c:v>2020 Q1</c:v>
                </c:pt>
                <c:pt idx="25">
                  <c:v>Q2</c:v>
                </c:pt>
                <c:pt idx="26">
                  <c:v>Q3</c:v>
                </c:pt>
                <c:pt idx="27">
                  <c:v>Q4</c:v>
                </c:pt>
                <c:pt idx="28">
                  <c:v>2021 Q1</c:v>
                </c:pt>
                <c:pt idx="29">
                  <c:v>Q2</c:v>
                </c:pt>
                <c:pt idx="30">
                  <c:v>Q3</c:v>
                </c:pt>
                <c:pt idx="31">
                  <c:v>Q4</c:v>
                </c:pt>
                <c:pt idx="32">
                  <c:v>2022 Q1</c:v>
                </c:pt>
                <c:pt idx="33">
                  <c:v>Q2</c:v>
                </c:pt>
                <c:pt idx="34">
                  <c:v>Q3</c:v>
                </c:pt>
                <c:pt idx="35">
                  <c:v>Q4</c:v>
                </c:pt>
                <c:pt idx="36">
                  <c:v>2023 Q1</c:v>
                </c:pt>
                <c:pt idx="37">
                  <c:v>Q2</c:v>
                </c:pt>
                <c:pt idx="38">
                  <c:v>Q3</c:v>
                </c:pt>
                <c:pt idx="39">
                  <c:v>Q4</c:v>
                </c:pt>
                <c:pt idx="40">
                  <c:v>2024Q1</c:v>
                </c:pt>
                <c:pt idx="41">
                  <c:v>Q2</c:v>
                </c:pt>
              </c:strCache>
            </c:strRef>
          </c:cat>
          <c:val>
            <c:numRef>
              <c:f>'Fuel Vol and Credit Gen'!$N$103:$BC$103</c:f>
              <c:numCache>
                <c:formatCode>#,##0.0_);[Red]\(#,##0.0\)</c:formatCode>
                <c:ptCount val="42"/>
                <c:pt idx="0">
                  <c:v>0</c:v>
                </c:pt>
                <c:pt idx="1">
                  <c:v>0</c:v>
                </c:pt>
                <c:pt idx="2">
                  <c:v>0</c:v>
                </c:pt>
                <c:pt idx="3">
                  <c:v>0</c:v>
                </c:pt>
                <c:pt idx="4">
                  <c:v>0</c:v>
                </c:pt>
                <c:pt idx="5">
                  <c:v>0</c:v>
                </c:pt>
                <c:pt idx="6">
                  <c:v>0.05</c:v>
                </c:pt>
                <c:pt idx="7">
                  <c:v>2.4E-2</c:v>
                </c:pt>
                <c:pt idx="8">
                  <c:v>3.3000000000000002E-2</c:v>
                </c:pt>
                <c:pt idx="9">
                  <c:v>2.8000000000000001E-2</c:v>
                </c:pt>
                <c:pt idx="10">
                  <c:v>1E-3</c:v>
                </c:pt>
                <c:pt idx="11">
                  <c:v>2E-3</c:v>
                </c:pt>
                <c:pt idx="12">
                  <c:v>0.56200000000000006</c:v>
                </c:pt>
                <c:pt idx="13">
                  <c:v>0.82</c:v>
                </c:pt>
                <c:pt idx="14">
                  <c:v>0.97</c:v>
                </c:pt>
                <c:pt idx="15">
                  <c:v>1.0840000000000001</c:v>
                </c:pt>
                <c:pt idx="16">
                  <c:v>1.4079999999999999</c:v>
                </c:pt>
                <c:pt idx="17">
                  <c:v>1.6639999999999999</c:v>
                </c:pt>
                <c:pt idx="18">
                  <c:v>1.7789999999999999</c:v>
                </c:pt>
                <c:pt idx="19">
                  <c:v>2.133</c:v>
                </c:pt>
                <c:pt idx="20">
                  <c:v>2.5350000000000001</c:v>
                </c:pt>
                <c:pt idx="21">
                  <c:v>3.048</c:v>
                </c:pt>
                <c:pt idx="22">
                  <c:v>3.8860000000000001</c:v>
                </c:pt>
                <c:pt idx="23">
                  <c:v>4.3529999999999998</c:v>
                </c:pt>
                <c:pt idx="24">
                  <c:v>3.9009999999999998</c:v>
                </c:pt>
                <c:pt idx="25">
                  <c:v>3.0259999999999998</c:v>
                </c:pt>
                <c:pt idx="26">
                  <c:v>4.22</c:v>
                </c:pt>
                <c:pt idx="27">
                  <c:v>6.867</c:v>
                </c:pt>
                <c:pt idx="28">
                  <c:v>6.2679999999999998</c:v>
                </c:pt>
                <c:pt idx="29">
                  <c:v>9.2669999999999995</c:v>
                </c:pt>
                <c:pt idx="30">
                  <c:v>9.6199999999999992</c:v>
                </c:pt>
                <c:pt idx="31">
                  <c:v>11.731999999999999</c:v>
                </c:pt>
                <c:pt idx="32">
                  <c:v>12.653</c:v>
                </c:pt>
                <c:pt idx="33">
                  <c:v>16.882999999999999</c:v>
                </c:pt>
                <c:pt idx="34">
                  <c:v>16.745999999999999</c:v>
                </c:pt>
                <c:pt idx="35">
                  <c:v>16.067</c:v>
                </c:pt>
                <c:pt idx="36">
                  <c:v>15.098000000000001</c:v>
                </c:pt>
                <c:pt idx="37">
                  <c:v>15.827999999999999</c:v>
                </c:pt>
                <c:pt idx="38">
                  <c:v>15.555999999999999</c:v>
                </c:pt>
                <c:pt idx="39">
                  <c:v>14.298</c:v>
                </c:pt>
                <c:pt idx="40">
                  <c:v>13.327</c:v>
                </c:pt>
                <c:pt idx="41">
                  <c:v>12.287000000000001</c:v>
                </c:pt>
              </c:numCache>
            </c:numRef>
          </c:val>
          <c:smooth val="0"/>
          <c:extLst>
            <c:ext xmlns:c16="http://schemas.microsoft.com/office/drawing/2014/chart" uri="{C3380CC4-5D6E-409C-BE32-E72D297353CC}">
              <c16:uniqueId val="{00000000-07CD-41C0-9EAC-8BC956DF96D7}"/>
            </c:ext>
          </c:extLst>
        </c:ser>
        <c:ser>
          <c:idx val="1"/>
          <c:order val="1"/>
          <c:tx>
            <c:v>CARB Forecast</c:v>
          </c:tx>
          <c:spPr>
            <a:ln w="28575" cap="rnd">
              <a:solidFill>
                <a:srgbClr val="C4722E"/>
              </a:solidFill>
              <a:round/>
            </a:ln>
            <a:effectLst/>
          </c:spPr>
          <c:marker>
            <c:symbol val="circle"/>
            <c:size val="7"/>
            <c:spPr>
              <a:solidFill>
                <a:srgbClr val="C4722E"/>
              </a:solidFill>
              <a:ln w="9525">
                <a:solidFill>
                  <a:schemeClr val="tx1"/>
                </a:solidFill>
              </a:ln>
              <a:effectLst/>
            </c:spPr>
          </c:marker>
          <c:cat>
            <c:strRef>
              <c:f>'Fuel Vol and Credit Gen'!$N$95:$BC$95</c:f>
              <c:strCache>
                <c:ptCount val="42"/>
                <c:pt idx="0">
                  <c:v>2014 Q1</c:v>
                </c:pt>
                <c:pt idx="1">
                  <c:v>Q2</c:v>
                </c:pt>
                <c:pt idx="2">
                  <c:v>Q3</c:v>
                </c:pt>
                <c:pt idx="3">
                  <c:v>Q4</c:v>
                </c:pt>
                <c:pt idx="4">
                  <c:v>2015 Q1</c:v>
                </c:pt>
                <c:pt idx="5">
                  <c:v>Q2</c:v>
                </c:pt>
                <c:pt idx="6">
                  <c:v>Q3</c:v>
                </c:pt>
                <c:pt idx="7">
                  <c:v>Q4</c:v>
                </c:pt>
                <c:pt idx="8">
                  <c:v>2016 Q1</c:v>
                </c:pt>
                <c:pt idx="9">
                  <c:v>Q2</c:v>
                </c:pt>
                <c:pt idx="10">
                  <c:v>Q3</c:v>
                </c:pt>
                <c:pt idx="11">
                  <c:v>Q4</c:v>
                </c:pt>
                <c:pt idx="12">
                  <c:v>2017 Q1</c:v>
                </c:pt>
                <c:pt idx="13">
                  <c:v>Q2</c:v>
                </c:pt>
                <c:pt idx="14">
                  <c:v>Q3</c:v>
                </c:pt>
                <c:pt idx="15">
                  <c:v>Q4</c:v>
                </c:pt>
                <c:pt idx="16">
                  <c:v>2018 Q1</c:v>
                </c:pt>
                <c:pt idx="17">
                  <c:v>Q2</c:v>
                </c:pt>
                <c:pt idx="18">
                  <c:v>Q3</c:v>
                </c:pt>
                <c:pt idx="19">
                  <c:v>Q4</c:v>
                </c:pt>
                <c:pt idx="20">
                  <c:v>2019 Q1</c:v>
                </c:pt>
                <c:pt idx="21">
                  <c:v>Q2</c:v>
                </c:pt>
                <c:pt idx="22">
                  <c:v>Q3</c:v>
                </c:pt>
                <c:pt idx="23">
                  <c:v>Q4</c:v>
                </c:pt>
                <c:pt idx="24">
                  <c:v>2020 Q1</c:v>
                </c:pt>
                <c:pt idx="25">
                  <c:v>Q2</c:v>
                </c:pt>
                <c:pt idx="26">
                  <c:v>Q3</c:v>
                </c:pt>
                <c:pt idx="27">
                  <c:v>Q4</c:v>
                </c:pt>
                <c:pt idx="28">
                  <c:v>2021 Q1</c:v>
                </c:pt>
                <c:pt idx="29">
                  <c:v>Q2</c:v>
                </c:pt>
                <c:pt idx="30">
                  <c:v>Q3</c:v>
                </c:pt>
                <c:pt idx="31">
                  <c:v>Q4</c:v>
                </c:pt>
                <c:pt idx="32">
                  <c:v>2022 Q1</c:v>
                </c:pt>
                <c:pt idx="33">
                  <c:v>Q2</c:v>
                </c:pt>
                <c:pt idx="34">
                  <c:v>Q3</c:v>
                </c:pt>
                <c:pt idx="35">
                  <c:v>Q4</c:v>
                </c:pt>
                <c:pt idx="36">
                  <c:v>2023 Q1</c:v>
                </c:pt>
                <c:pt idx="37">
                  <c:v>Q2</c:v>
                </c:pt>
                <c:pt idx="38">
                  <c:v>Q3</c:v>
                </c:pt>
                <c:pt idx="39">
                  <c:v>Q4</c:v>
                </c:pt>
                <c:pt idx="40">
                  <c:v>2024Q1</c:v>
                </c:pt>
                <c:pt idx="41">
                  <c:v>Q2</c:v>
                </c:pt>
              </c:strCache>
            </c:strRef>
          </c:cat>
          <c:val>
            <c:numRef>
              <c:f>'Fuel Vol and Credit Gen'!$N$111:$BC$111</c:f>
              <c:numCache>
                <c:formatCode>#,##0_);[Red]\(#,##0\)</c:formatCode>
                <c:ptCount val="42"/>
                <c:pt idx="0">
                  <c:v>0</c:v>
                </c:pt>
                <c:pt idx="1">
                  <c:v>0</c:v>
                </c:pt>
                <c:pt idx="2">
                  <c:v>0</c:v>
                </c:pt>
                <c:pt idx="3">
                  <c:v>0</c:v>
                </c:pt>
                <c:pt idx="4">
                  <c:v>0</c:v>
                </c:pt>
                <c:pt idx="5">
                  <c:v>0</c:v>
                </c:pt>
                <c:pt idx="6">
                  <c:v>0</c:v>
                </c:pt>
                <c:pt idx="7">
                  <c:v>0</c:v>
                </c:pt>
                <c:pt idx="8">
                  <c:v>1.6E-2</c:v>
                </c:pt>
                <c:pt idx="9">
                  <c:v>1.6E-2</c:v>
                </c:pt>
                <c:pt idx="10">
                  <c:v>1.6E-2</c:v>
                </c:pt>
                <c:pt idx="11">
                  <c:v>1.6E-2</c:v>
                </c:pt>
                <c:pt idx="12">
                  <c:v>1.718</c:v>
                </c:pt>
                <c:pt idx="13">
                  <c:v>1.718</c:v>
                </c:pt>
                <c:pt idx="14">
                  <c:v>1.718</c:v>
                </c:pt>
                <c:pt idx="15">
                  <c:v>1.718</c:v>
                </c:pt>
                <c:pt idx="16">
                  <c:v>3.0115061327261969</c:v>
                </c:pt>
                <c:pt idx="17">
                  <c:v>3.0115061327261969</c:v>
                </c:pt>
                <c:pt idx="18">
                  <c:v>3.0115061327261969</c:v>
                </c:pt>
                <c:pt idx="19">
                  <c:v>3.0115061327261969</c:v>
                </c:pt>
                <c:pt idx="20">
                  <c:v>5.5476544283141926</c:v>
                </c:pt>
                <c:pt idx="21">
                  <c:v>5.5476544283141926</c:v>
                </c:pt>
                <c:pt idx="22">
                  <c:v>5.5476544283141926</c:v>
                </c:pt>
                <c:pt idx="23">
                  <c:v>5.5476544283141926</c:v>
                </c:pt>
                <c:pt idx="24">
                  <c:v>9.5940925515666837</c:v>
                </c:pt>
                <c:pt idx="25">
                  <c:v>9.5940925515666837</c:v>
                </c:pt>
                <c:pt idx="26">
                  <c:v>9.5940925515666837</c:v>
                </c:pt>
                <c:pt idx="27">
                  <c:v>9.5940925515666837</c:v>
                </c:pt>
                <c:pt idx="28">
                  <c:v>15.132720472625278</c:v>
                </c:pt>
                <c:pt idx="29">
                  <c:v>15.132720472625278</c:v>
                </c:pt>
                <c:pt idx="30">
                  <c:v>15.132720472625278</c:v>
                </c:pt>
                <c:pt idx="31">
                  <c:v>15.132720472625278</c:v>
                </c:pt>
                <c:pt idx="32">
                  <c:v>23.38070643083287</c:v>
                </c:pt>
                <c:pt idx="33">
                  <c:v>23.38070643083287</c:v>
                </c:pt>
                <c:pt idx="34">
                  <c:v>23.38070643083287</c:v>
                </c:pt>
                <c:pt idx="35">
                  <c:v>23.38070643083287</c:v>
                </c:pt>
                <c:pt idx="36">
                  <c:v>35.538673774865963</c:v>
                </c:pt>
                <c:pt idx="37">
                  <c:v>35.538673774865963</c:v>
                </c:pt>
                <c:pt idx="38">
                  <c:v>35.538673774865963</c:v>
                </c:pt>
                <c:pt idx="39">
                  <c:v>35.538673774865963</c:v>
                </c:pt>
                <c:pt idx="40">
                  <c:v>35.538673774865963</c:v>
                </c:pt>
                <c:pt idx="41">
                  <c:v>35.538673774865963</c:v>
                </c:pt>
              </c:numCache>
            </c:numRef>
          </c:val>
          <c:smooth val="0"/>
          <c:extLst>
            <c:ext xmlns:c16="http://schemas.microsoft.com/office/drawing/2014/chart" uri="{C3380CC4-5D6E-409C-BE32-E72D297353CC}">
              <c16:uniqueId val="{00000001-07CD-41C0-9EAC-8BC956DF96D7}"/>
            </c:ext>
          </c:extLst>
        </c:ser>
        <c:dLbls>
          <c:showLegendKey val="0"/>
          <c:showVal val="0"/>
          <c:showCatName val="0"/>
          <c:showSerName val="0"/>
          <c:showPercent val="0"/>
          <c:showBubbleSize val="0"/>
        </c:dLbls>
        <c:marker val="1"/>
        <c:smooth val="0"/>
        <c:axId val="1238676640"/>
        <c:axId val="1238675000"/>
      </c:lineChart>
      <c:catAx>
        <c:axId val="1238676640"/>
        <c:scaling>
          <c:orientation val="minMax"/>
        </c:scaling>
        <c:delete val="0"/>
        <c:axPos val="b"/>
        <c:numFmt formatCode="General" sourceLinked="1"/>
        <c:majorTickMark val="none"/>
        <c:minorTickMark val="none"/>
        <c:tickLblPos val="nextTo"/>
        <c:spPr>
          <a:noFill/>
          <a:ln w="9525" cap="flat" cmpd="sng" algn="ctr">
            <a:solidFill>
              <a:srgbClr val="5D803B"/>
            </a:solidFill>
            <a:round/>
          </a:ln>
          <a:effectLst/>
        </c:spPr>
        <c:txPr>
          <a:bodyPr rot="-5400000" spcFirstLastPara="1" vertOverflow="ellipsis" wrap="square" anchor="ctr" anchorCtr="1"/>
          <a:lstStyle/>
          <a:p>
            <a:pPr>
              <a:defRPr sz="14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238675000"/>
        <c:crosses val="autoZero"/>
        <c:auto val="1"/>
        <c:lblAlgn val="ctr"/>
        <c:lblOffset val="100"/>
        <c:noMultiLvlLbl val="0"/>
      </c:catAx>
      <c:valAx>
        <c:axId val="1238675000"/>
        <c:scaling>
          <c:orientation val="minMax"/>
        </c:scaling>
        <c:delete val="0"/>
        <c:axPos val="l"/>
        <c:majorGridlines>
          <c:spPr>
            <a:ln w="9525" cap="flat" cmpd="sng" algn="ctr">
              <a:solidFill>
                <a:schemeClr val="bg1">
                  <a:lumMod val="65000"/>
                </a:schemeClr>
              </a:solidFill>
              <a:round/>
            </a:ln>
            <a:effectLst/>
          </c:spPr>
        </c:majorGridlines>
        <c:title>
          <c:tx>
            <c:rich>
              <a:bodyPr rot="-5400000" spcFirstLastPara="1" vertOverflow="ellipsis" vert="horz" wrap="square" anchor="ctr" anchorCtr="1"/>
              <a:lstStyle/>
              <a:p>
                <a:pPr>
                  <a:defRPr sz="14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a:t>(thousand</a:t>
                </a:r>
                <a:r>
                  <a:rPr lang="en-US" baseline="0"/>
                  <a:t> tonnes)</a:t>
                </a:r>
                <a:endParaRPr lang="en-US"/>
              </a:p>
            </c:rich>
          </c:tx>
          <c:overlay val="0"/>
          <c:spPr>
            <a:noFill/>
            <a:ln>
              <a:noFill/>
            </a:ln>
            <a:effectLst/>
          </c:spPr>
          <c:txPr>
            <a:bodyPr rot="-5400000" spcFirstLastPara="1" vertOverflow="ellipsis" vert="horz" wrap="square" anchor="ctr" anchorCtr="1"/>
            <a:lstStyle/>
            <a:p>
              <a:pPr>
                <a:defRPr sz="14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238676640"/>
        <c:crosses val="autoZero"/>
        <c:crossBetween val="between"/>
      </c:valAx>
      <c:spPr>
        <a:noFill/>
        <a:ln>
          <a:solidFill>
            <a:srgbClr val="5D803B"/>
          </a:solidFill>
        </a:ln>
        <a:effectLst/>
      </c:spPr>
    </c:plotArea>
    <c:legend>
      <c:legendPos val="b"/>
      <c:layout>
        <c:manualLayout>
          <c:xMode val="edge"/>
          <c:yMode val="edge"/>
          <c:x val="0.11277154709091181"/>
          <c:y val="0.18481393271862395"/>
          <c:w val="0.52031667565758888"/>
          <c:h val="8.8444500677302473E-2"/>
        </c:manualLayout>
      </c:layout>
      <c:overlay val="0"/>
      <c:spPr>
        <a:solidFill>
          <a:schemeClr val="bg1"/>
        </a:solidFill>
        <a:ln>
          <a:solidFill>
            <a:srgbClr val="5D803B"/>
          </a:solidFill>
        </a:ln>
        <a:effectLst/>
      </c:spPr>
      <c:txPr>
        <a:bodyPr rot="0" spcFirstLastPara="1" vertOverflow="ellipsis" vert="horz" wrap="square" anchor="ctr" anchorCtr="1"/>
        <a:lstStyle/>
        <a:p>
          <a:pPr>
            <a:defRPr sz="14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400" b="1">
          <a:solidFill>
            <a:sysClr val="windowText" lastClr="000000"/>
          </a:solidFill>
          <a:latin typeface="Arial" panose="020B0604020202020204" pitchFamily="34" charset="0"/>
          <a:cs typeface="Arial" panose="020B0604020202020204" pitchFamily="34" charset="0"/>
        </a:defRPr>
      </a:pPr>
      <a:endParaRPr lang="en-US"/>
    </a:p>
  </c:txPr>
  <c:userShapes r:id="rId3"/>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8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US" sz="2800"/>
              <a:t>Renewable Diesel Volume</a:t>
            </a:r>
          </a:p>
        </c:rich>
      </c:tx>
      <c:overlay val="0"/>
      <c:spPr>
        <a:noFill/>
        <a:ln>
          <a:noFill/>
        </a:ln>
        <a:effectLst/>
      </c:spPr>
      <c:txPr>
        <a:bodyPr rot="0" spcFirstLastPara="1" vertOverflow="ellipsis" vert="horz" wrap="square" anchor="ctr" anchorCtr="1"/>
        <a:lstStyle/>
        <a:p>
          <a:pPr>
            <a:defRPr sz="28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073329861507008"/>
          <c:y val="0.12760630712420529"/>
          <c:w val="0.81621895773132236"/>
          <c:h val="0.76862314890093308"/>
        </c:manualLayout>
      </c:layout>
      <c:barChart>
        <c:barDir val="col"/>
        <c:grouping val="clustered"/>
        <c:varyColors val="0"/>
        <c:ser>
          <c:idx val="0"/>
          <c:order val="0"/>
          <c:tx>
            <c:strRef>
              <c:f>'EMTS-CARB Forecast'!$A$63</c:f>
              <c:strCache>
                <c:ptCount val="1"/>
                <c:pt idx="0">
                  <c:v>EMTS</c:v>
                </c:pt>
              </c:strCache>
            </c:strRef>
          </c:tx>
          <c:spPr>
            <a:solidFill>
              <a:srgbClr val="ECECEC"/>
            </a:solidFill>
            <a:ln>
              <a:solidFill>
                <a:schemeClr val="tx1"/>
              </a:solidFill>
            </a:ln>
            <a:effectLst/>
          </c:spPr>
          <c:invertIfNegative val="0"/>
          <c:cat>
            <c:numRef>
              <c:f>'EMTS-CARB Forecast'!$B$70:$O$70</c:f>
              <c:numCache>
                <c:formatCode>General</c:formatCode>
                <c:ptCount val="14"/>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pt idx="13">
                  <c:v>2024</c:v>
                </c:pt>
              </c:numCache>
            </c:numRef>
          </c:cat>
          <c:val>
            <c:numRef>
              <c:f>'EMTS-CARB Forecast'!$B$68:$O$68</c:f>
              <c:numCache>
                <c:formatCode>#,##0_);[Red]\(#,##0\)</c:formatCode>
                <c:ptCount val="14"/>
                <c:pt idx="0">
                  <c:v>62043301</c:v>
                </c:pt>
                <c:pt idx="1">
                  <c:v>102676036</c:v>
                </c:pt>
                <c:pt idx="2">
                  <c:v>293027202</c:v>
                </c:pt>
                <c:pt idx="3">
                  <c:v>401610779</c:v>
                </c:pt>
                <c:pt idx="4">
                  <c:v>396081367</c:v>
                </c:pt>
                <c:pt idx="5">
                  <c:v>501484770</c:v>
                </c:pt>
                <c:pt idx="6">
                  <c:v>517697504</c:v>
                </c:pt>
                <c:pt idx="7">
                  <c:v>572897241</c:v>
                </c:pt>
                <c:pt idx="8">
                  <c:v>851499663</c:v>
                </c:pt>
                <c:pt idx="9">
                  <c:v>941161208</c:v>
                </c:pt>
                <c:pt idx="10">
                  <c:v>1269554561</c:v>
                </c:pt>
                <c:pt idx="11">
                  <c:v>1851298511</c:v>
                </c:pt>
                <c:pt idx="12">
                  <c:v>2895939989</c:v>
                </c:pt>
                <c:pt idx="13">
                  <c:v>3451449793</c:v>
                </c:pt>
              </c:numCache>
            </c:numRef>
          </c:val>
          <c:extLst>
            <c:ext xmlns:c16="http://schemas.microsoft.com/office/drawing/2014/chart" uri="{C3380CC4-5D6E-409C-BE32-E72D297353CC}">
              <c16:uniqueId val="{00000000-EB2B-4040-B4E3-7F1A9AEA9FF0}"/>
            </c:ext>
          </c:extLst>
        </c:ser>
        <c:ser>
          <c:idx val="1"/>
          <c:order val="1"/>
          <c:tx>
            <c:strRef>
              <c:f>'EMTS-CARB Forecast'!$A$70</c:f>
              <c:strCache>
                <c:ptCount val="1"/>
                <c:pt idx="0">
                  <c:v>CARB</c:v>
                </c:pt>
              </c:strCache>
            </c:strRef>
          </c:tx>
          <c:spPr>
            <a:solidFill>
              <a:srgbClr val="8C8C8C"/>
            </a:solidFill>
            <a:ln>
              <a:solidFill>
                <a:schemeClr val="tx1"/>
              </a:solidFill>
            </a:ln>
            <a:effectLst/>
          </c:spPr>
          <c:invertIfNegative val="0"/>
          <c:cat>
            <c:numRef>
              <c:f>'EMTS-CARB Forecast'!$B$70:$O$70</c:f>
              <c:numCache>
                <c:formatCode>General</c:formatCode>
                <c:ptCount val="14"/>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pt idx="13">
                  <c:v>2024</c:v>
                </c:pt>
              </c:numCache>
            </c:numRef>
          </c:cat>
          <c:val>
            <c:numRef>
              <c:f>'EMTS-CARB Forecast'!$B$75:$O$75</c:f>
              <c:numCache>
                <c:formatCode>#,##0_);[Red]\(#,##0\)</c:formatCode>
                <c:ptCount val="14"/>
                <c:pt idx="0">
                  <c:v>1803488</c:v>
                </c:pt>
                <c:pt idx="1">
                  <c:v>8814907</c:v>
                </c:pt>
                <c:pt idx="2">
                  <c:v>116939022</c:v>
                </c:pt>
                <c:pt idx="3">
                  <c:v>112844869</c:v>
                </c:pt>
                <c:pt idx="4">
                  <c:v>165155935</c:v>
                </c:pt>
                <c:pt idx="5">
                  <c:v>255671157</c:v>
                </c:pt>
                <c:pt idx="6">
                  <c:v>335464394</c:v>
                </c:pt>
                <c:pt idx="7">
                  <c:v>383566053</c:v>
                </c:pt>
                <c:pt idx="8">
                  <c:v>617890190</c:v>
                </c:pt>
                <c:pt idx="9">
                  <c:v>588991231</c:v>
                </c:pt>
                <c:pt idx="10">
                  <c:v>941006840</c:v>
                </c:pt>
                <c:pt idx="11">
                  <c:v>1394045310</c:v>
                </c:pt>
                <c:pt idx="12">
                  <c:v>1965165357</c:v>
                </c:pt>
                <c:pt idx="13">
                  <c:v>2219005235.0473104</c:v>
                </c:pt>
              </c:numCache>
            </c:numRef>
          </c:val>
          <c:extLst>
            <c:ext xmlns:c16="http://schemas.microsoft.com/office/drawing/2014/chart" uri="{C3380CC4-5D6E-409C-BE32-E72D297353CC}">
              <c16:uniqueId val="{00000001-EB2B-4040-B4E3-7F1A9AEA9FF0}"/>
            </c:ext>
          </c:extLst>
        </c:ser>
        <c:dLbls>
          <c:showLegendKey val="0"/>
          <c:showVal val="0"/>
          <c:showCatName val="0"/>
          <c:showSerName val="0"/>
          <c:showPercent val="0"/>
          <c:showBubbleSize val="0"/>
        </c:dLbls>
        <c:gapWidth val="219"/>
        <c:overlap val="-27"/>
        <c:axId val="1260515800"/>
        <c:axId val="1260512848"/>
      </c:barChart>
      <c:lineChart>
        <c:grouping val="standard"/>
        <c:varyColors val="0"/>
        <c:ser>
          <c:idx val="2"/>
          <c:order val="2"/>
          <c:tx>
            <c:v>EMTS Production Shipped to California</c:v>
          </c:tx>
          <c:spPr>
            <a:ln w="28575" cap="rnd">
              <a:solidFill>
                <a:schemeClr val="accent3"/>
              </a:solidFill>
              <a:round/>
            </a:ln>
            <a:effectLst/>
          </c:spPr>
          <c:marker>
            <c:symbol val="none"/>
          </c:marker>
          <c:val>
            <c:numRef>
              <c:f>'EMTS-CARB Forecast'!$B$76:$O$76</c:f>
              <c:numCache>
                <c:formatCode>0.0%</c:formatCode>
                <c:ptCount val="14"/>
                <c:pt idx="0">
                  <c:v>2.9068214794051656E-2</c:v>
                </c:pt>
                <c:pt idx="1">
                  <c:v>8.5851648967048166E-2</c:v>
                </c:pt>
                <c:pt idx="2">
                  <c:v>0.399072240399033</c:v>
                </c:pt>
                <c:pt idx="3">
                  <c:v>0.28098067806093424</c:v>
                </c:pt>
                <c:pt idx="4">
                  <c:v>0.41697476518757826</c:v>
                </c:pt>
                <c:pt idx="5">
                  <c:v>0.50982835829690298</c:v>
                </c:pt>
                <c:pt idx="6">
                  <c:v>0.67824110761774192</c:v>
                </c:pt>
                <c:pt idx="7">
                  <c:v>0.53579882004714352</c:v>
                </c:pt>
                <c:pt idx="8">
                  <c:v>0.61317091247434385</c:v>
                </c:pt>
                <c:pt idx="9">
                  <c:v>0.5471423882174089</c:v>
                </c:pt>
                <c:pt idx="10">
                  <c:v>0.86063897214841312</c:v>
                </c:pt>
                <c:pt idx="11">
                  <c:v>0.82085389198981829</c:v>
                </c:pt>
                <c:pt idx="12">
                  <c:v>0.63105134145416109</c:v>
                </c:pt>
                <c:pt idx="13">
                  <c:v>0.6429197491291192</c:v>
                </c:pt>
              </c:numCache>
            </c:numRef>
          </c:val>
          <c:smooth val="0"/>
          <c:extLst>
            <c:ext xmlns:c16="http://schemas.microsoft.com/office/drawing/2014/chart" uri="{C3380CC4-5D6E-409C-BE32-E72D297353CC}">
              <c16:uniqueId val="{00000002-EB2B-4040-B4E3-7F1A9AEA9FF0}"/>
            </c:ext>
          </c:extLst>
        </c:ser>
        <c:dLbls>
          <c:showLegendKey val="0"/>
          <c:showVal val="0"/>
          <c:showCatName val="0"/>
          <c:showSerName val="0"/>
          <c:showPercent val="0"/>
          <c:showBubbleSize val="0"/>
        </c:dLbls>
        <c:marker val="1"/>
        <c:smooth val="0"/>
        <c:axId val="1236576872"/>
        <c:axId val="1236573920"/>
      </c:lineChart>
      <c:catAx>
        <c:axId val="1260515800"/>
        <c:scaling>
          <c:orientation val="minMax"/>
        </c:scaling>
        <c:delete val="0"/>
        <c:axPos val="b"/>
        <c:numFmt formatCode="General" sourceLinked="1"/>
        <c:majorTickMark val="none"/>
        <c:minorTickMark val="none"/>
        <c:tickLblPos val="nextTo"/>
        <c:spPr>
          <a:noFill/>
          <a:ln w="9525" cap="flat" cmpd="sng" algn="ctr">
            <a:solidFill>
              <a:srgbClr val="6F0791"/>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260512848"/>
        <c:crosses val="autoZero"/>
        <c:auto val="1"/>
        <c:lblAlgn val="ctr"/>
        <c:lblOffset val="100"/>
        <c:noMultiLvlLbl val="0"/>
      </c:catAx>
      <c:valAx>
        <c:axId val="1260512848"/>
        <c:scaling>
          <c:orientation val="minMax"/>
        </c:scaling>
        <c:delete val="0"/>
        <c:axPos val="l"/>
        <c:majorGridlines>
          <c:spPr>
            <a:ln w="9525" cap="flat" cmpd="sng" algn="ctr">
              <a:solidFill>
                <a:schemeClr val="tx1">
                  <a:lumMod val="15000"/>
                  <a:lumOff val="85000"/>
                </a:schemeClr>
              </a:solidFill>
              <a:round/>
            </a:ln>
            <a:effectLst/>
          </c:spPr>
        </c:majorGridlines>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260515800"/>
        <c:crosses val="autoZero"/>
        <c:crossBetween val="between"/>
        <c:dispUnits>
          <c:builtInUnit val="millions"/>
          <c:dispUnitsLbl>
            <c:layout>
              <c:manualLayout>
                <c:xMode val="edge"/>
                <c:yMode val="edge"/>
                <c:x val="5.9863713605098241E-3"/>
                <c:y val="0.21513883161627079"/>
              </c:manualLayout>
            </c:layout>
            <c:tx>
              <c:rich>
                <a:bodyPr rot="-5400000" spcFirstLastPara="1" vertOverflow="ellipsis" vert="horz" wrap="square" anchor="ctr" anchorCtr="1"/>
                <a:lstStyle/>
                <a:p>
                  <a:pPr>
                    <a:defRPr sz="12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200"/>
                    <a:t>CARB and</a:t>
                  </a:r>
                  <a:r>
                    <a:rPr lang="en-US" sz="1200" baseline="0"/>
                    <a:t> EMTS Volume (m</a:t>
                  </a:r>
                  <a:r>
                    <a:rPr lang="en-US" sz="1200"/>
                    <a:t>illion</a:t>
                  </a:r>
                  <a:r>
                    <a:rPr lang="en-US" sz="1200" baseline="0"/>
                    <a:t> gallons)</a:t>
                  </a:r>
                  <a:endParaRPr lang="en-US" sz="1200"/>
                </a:p>
              </c:rich>
            </c:tx>
            <c:spPr>
              <a:noFill/>
              <a:ln>
                <a:noFill/>
              </a:ln>
              <a:effectLst/>
            </c:spPr>
            <c:txPr>
              <a:bodyPr rot="-5400000" spcFirstLastPara="1" vertOverflow="ellipsis" vert="horz" wrap="square" anchor="ctr" anchorCtr="1"/>
              <a:lstStyle/>
              <a:p>
                <a:pPr>
                  <a:defRPr sz="12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ispUnitsLbl>
        </c:dispUnits>
      </c:valAx>
      <c:valAx>
        <c:axId val="1236573920"/>
        <c:scaling>
          <c:orientation val="minMax"/>
        </c:scaling>
        <c:delete val="0"/>
        <c:axPos val="r"/>
        <c:title>
          <c:tx>
            <c:rich>
              <a:bodyPr rot="-5400000" spcFirstLastPara="1" vertOverflow="ellipsis" vert="horz" wrap="square" anchor="ctr" anchorCtr="1"/>
              <a:lstStyle/>
              <a:p>
                <a:pPr>
                  <a:defRPr sz="12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200"/>
                  <a:t>Perecent</a:t>
                </a:r>
                <a:r>
                  <a:rPr lang="en-US" sz="1200" baseline="0"/>
                  <a:t> of EMTS Production Shipped to California</a:t>
                </a:r>
                <a:endParaRPr lang="en-US" sz="1200"/>
              </a:p>
            </c:rich>
          </c:tx>
          <c:overlay val="0"/>
          <c:spPr>
            <a:noFill/>
            <a:ln>
              <a:noFill/>
            </a:ln>
            <a:effectLst/>
          </c:spPr>
          <c:txPr>
            <a:bodyPr rot="-5400000" spcFirstLastPara="1" vertOverflow="ellipsis" vert="horz" wrap="square" anchor="ctr" anchorCtr="1"/>
            <a:lstStyle/>
            <a:p>
              <a:pPr>
                <a:defRPr sz="12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236576872"/>
        <c:crosses val="max"/>
        <c:crossBetween val="between"/>
      </c:valAx>
      <c:catAx>
        <c:axId val="1236576872"/>
        <c:scaling>
          <c:orientation val="minMax"/>
        </c:scaling>
        <c:delete val="1"/>
        <c:axPos val="b"/>
        <c:majorTickMark val="out"/>
        <c:minorTickMark val="none"/>
        <c:tickLblPos val="nextTo"/>
        <c:crossAx val="1236573920"/>
        <c:crosses val="autoZero"/>
        <c:auto val="1"/>
        <c:lblAlgn val="ctr"/>
        <c:lblOffset val="100"/>
        <c:noMultiLvlLbl val="0"/>
      </c:catAx>
      <c:spPr>
        <a:noFill/>
        <a:ln>
          <a:solidFill>
            <a:srgbClr val="6F0791"/>
          </a:solidFill>
        </a:ln>
        <a:effectLst/>
      </c:spPr>
    </c:plotArea>
    <c:legend>
      <c:legendPos val="b"/>
      <c:layout>
        <c:manualLayout>
          <c:xMode val="edge"/>
          <c:yMode val="edge"/>
          <c:x val="0.10495323256044803"/>
          <c:y val="0.14739451592749181"/>
          <c:w val="0.38864236486590437"/>
          <c:h val="0.15105872348308783"/>
        </c:manualLayout>
      </c:layout>
      <c:overlay val="0"/>
      <c:spPr>
        <a:solidFill>
          <a:schemeClr val="bg1"/>
        </a:solidFill>
        <a:ln>
          <a:solidFill>
            <a:srgbClr val="6F0791"/>
          </a:solidFill>
        </a:ln>
        <a:effectLst/>
      </c:spPr>
      <c:txPr>
        <a:bodyPr rot="0" spcFirstLastPara="1" vertOverflow="ellipsis" vert="horz" wrap="square" anchor="ctr" anchorCtr="1"/>
        <a:lstStyle/>
        <a:p>
          <a:pPr>
            <a:defRPr sz="14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lt1"/>
    </a:solidFill>
    <a:ln w="9525" cap="flat" cmpd="sng" algn="ctr">
      <a:noFill/>
      <a:round/>
    </a:ln>
    <a:effectLst/>
  </c:spPr>
  <c:txPr>
    <a:bodyPr/>
    <a:lstStyle/>
    <a:p>
      <a:pPr>
        <a:defRPr b="1">
          <a:solidFill>
            <a:sysClr val="windowText" lastClr="000000"/>
          </a:solidFill>
          <a:latin typeface="Arial" panose="020B0604020202020204" pitchFamily="34" charset="0"/>
          <a:cs typeface="Arial" panose="020B0604020202020204" pitchFamily="34" charset="0"/>
        </a:defRPr>
      </a:pPr>
      <a:endParaRPr lang="en-US"/>
    </a:p>
  </c:txPr>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US" sz="2400"/>
              <a:t>Total Credits/Deficits and Cumulative Credit Bank</a:t>
            </a:r>
          </a:p>
        </c:rich>
      </c:tx>
      <c:overlay val="0"/>
      <c:spPr>
        <a:noFill/>
        <a:ln>
          <a:noFill/>
        </a:ln>
        <a:effectLst/>
      </c:spPr>
      <c:txPr>
        <a:bodyPr rot="0" spcFirstLastPara="1" vertOverflow="ellipsis" vert="horz" wrap="square" anchor="ctr" anchorCtr="1"/>
        <a:lstStyle/>
        <a:p>
          <a:pPr>
            <a:defRPr sz="24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9.3482638624341086E-2"/>
          <c:y val="8.6956554072042516E-2"/>
          <c:w val="0.83713026388179723"/>
          <c:h val="0.71788554524185966"/>
        </c:manualLayout>
      </c:layout>
      <c:barChart>
        <c:barDir val="col"/>
        <c:grouping val="clustered"/>
        <c:varyColors val="0"/>
        <c:ser>
          <c:idx val="0"/>
          <c:order val="0"/>
          <c:tx>
            <c:strRef>
              <c:f>'Qrtly Credit-Deficit Generation'!$A$70</c:f>
              <c:strCache>
                <c:ptCount val="1"/>
                <c:pt idx="0">
                  <c:v>Total Deficits</c:v>
                </c:pt>
              </c:strCache>
            </c:strRef>
          </c:tx>
          <c:spPr>
            <a:solidFill>
              <a:srgbClr val="206486"/>
            </a:solidFill>
            <a:ln>
              <a:solidFill>
                <a:schemeClr val="tx1"/>
              </a:solidFill>
            </a:ln>
            <a:effectLst/>
          </c:spPr>
          <c:invertIfNegative val="0"/>
          <c:cat>
            <c:strRef>
              <c:f>'Qrtly Credit-Deficit Generation'!$C$54:$CP$54</c:f>
              <c:strCache>
                <c:ptCount val="92"/>
                <c:pt idx="0">
                  <c:v>2011 Q1</c:v>
                </c:pt>
                <c:pt idx="1">
                  <c:v>Q2</c:v>
                </c:pt>
                <c:pt idx="2">
                  <c:v>Q3</c:v>
                </c:pt>
                <c:pt idx="3">
                  <c:v>Q4</c:v>
                </c:pt>
                <c:pt idx="4">
                  <c:v>2012 Q1</c:v>
                </c:pt>
                <c:pt idx="5">
                  <c:v>Q2</c:v>
                </c:pt>
                <c:pt idx="6">
                  <c:v>Q3</c:v>
                </c:pt>
                <c:pt idx="7">
                  <c:v>Q4</c:v>
                </c:pt>
                <c:pt idx="8">
                  <c:v>2013 Q1</c:v>
                </c:pt>
                <c:pt idx="9">
                  <c:v>Q2</c:v>
                </c:pt>
                <c:pt idx="10">
                  <c:v>Q3</c:v>
                </c:pt>
                <c:pt idx="11">
                  <c:v>Q4</c:v>
                </c:pt>
                <c:pt idx="12">
                  <c:v>2014 Q1</c:v>
                </c:pt>
                <c:pt idx="13">
                  <c:v>Q2</c:v>
                </c:pt>
                <c:pt idx="14">
                  <c:v>Q3</c:v>
                </c:pt>
                <c:pt idx="15">
                  <c:v>Q4</c:v>
                </c:pt>
                <c:pt idx="16">
                  <c:v>2015 Q1</c:v>
                </c:pt>
                <c:pt idx="17">
                  <c:v>Q2</c:v>
                </c:pt>
                <c:pt idx="18">
                  <c:v>Q3</c:v>
                </c:pt>
                <c:pt idx="19">
                  <c:v>Q4</c:v>
                </c:pt>
                <c:pt idx="20">
                  <c:v>2016 Q1</c:v>
                </c:pt>
                <c:pt idx="21">
                  <c:v>Q2</c:v>
                </c:pt>
                <c:pt idx="22">
                  <c:v>Q3</c:v>
                </c:pt>
                <c:pt idx="23">
                  <c:v>Q4</c:v>
                </c:pt>
                <c:pt idx="24">
                  <c:v>2017 Q1</c:v>
                </c:pt>
                <c:pt idx="25">
                  <c:v>Q2</c:v>
                </c:pt>
                <c:pt idx="26">
                  <c:v>Q3</c:v>
                </c:pt>
                <c:pt idx="27">
                  <c:v>Q4</c:v>
                </c:pt>
                <c:pt idx="28">
                  <c:v>2018 Q1</c:v>
                </c:pt>
                <c:pt idx="29">
                  <c:v>Q2</c:v>
                </c:pt>
                <c:pt idx="30">
                  <c:v>Q3</c:v>
                </c:pt>
                <c:pt idx="31">
                  <c:v>Q4</c:v>
                </c:pt>
                <c:pt idx="32">
                  <c:v>2019 Q1</c:v>
                </c:pt>
                <c:pt idx="33">
                  <c:v>Q2</c:v>
                </c:pt>
                <c:pt idx="34">
                  <c:v>Q3</c:v>
                </c:pt>
                <c:pt idx="35">
                  <c:v>Q4</c:v>
                </c:pt>
                <c:pt idx="36">
                  <c:v>2020 Q1</c:v>
                </c:pt>
                <c:pt idx="37">
                  <c:v>Q2</c:v>
                </c:pt>
                <c:pt idx="38">
                  <c:v>Q3</c:v>
                </c:pt>
                <c:pt idx="39">
                  <c:v>Q4</c:v>
                </c:pt>
                <c:pt idx="40">
                  <c:v>2021 Q1</c:v>
                </c:pt>
                <c:pt idx="41">
                  <c:v>Q2</c:v>
                </c:pt>
                <c:pt idx="42">
                  <c:v>Q3</c:v>
                </c:pt>
                <c:pt idx="43">
                  <c:v>Q4</c:v>
                </c:pt>
                <c:pt idx="44">
                  <c:v>2022 Q1</c:v>
                </c:pt>
                <c:pt idx="45">
                  <c:v>Q2</c:v>
                </c:pt>
                <c:pt idx="46">
                  <c:v>Q3</c:v>
                </c:pt>
                <c:pt idx="47">
                  <c:v>Q4</c:v>
                </c:pt>
                <c:pt idx="48">
                  <c:v>2023 Q1</c:v>
                </c:pt>
                <c:pt idx="49">
                  <c:v>Q2</c:v>
                </c:pt>
                <c:pt idx="50">
                  <c:v>Q3</c:v>
                </c:pt>
                <c:pt idx="51">
                  <c:v>Q4</c:v>
                </c:pt>
                <c:pt idx="52">
                  <c:v>2024Q1</c:v>
                </c:pt>
                <c:pt idx="53">
                  <c:v>Q2</c:v>
                </c:pt>
                <c:pt idx="54">
                  <c:v>Q3</c:v>
                </c:pt>
                <c:pt idx="55">
                  <c:v>Q4</c:v>
                </c:pt>
                <c:pt idx="56">
                  <c:v>2025Q1</c:v>
                </c:pt>
                <c:pt idx="57">
                  <c:v>Q2</c:v>
                </c:pt>
                <c:pt idx="58">
                  <c:v>Q3</c:v>
                </c:pt>
                <c:pt idx="59">
                  <c:v>Q4</c:v>
                </c:pt>
                <c:pt idx="60">
                  <c:v>2026Q1</c:v>
                </c:pt>
                <c:pt idx="61">
                  <c:v>Q2</c:v>
                </c:pt>
                <c:pt idx="62">
                  <c:v>Q3</c:v>
                </c:pt>
                <c:pt idx="63">
                  <c:v>Q4</c:v>
                </c:pt>
                <c:pt idx="64">
                  <c:v>2027Q1</c:v>
                </c:pt>
                <c:pt idx="65">
                  <c:v>Q2</c:v>
                </c:pt>
                <c:pt idx="66">
                  <c:v>Q3</c:v>
                </c:pt>
                <c:pt idx="67">
                  <c:v>Q4</c:v>
                </c:pt>
                <c:pt idx="68">
                  <c:v>2028Q1</c:v>
                </c:pt>
                <c:pt idx="69">
                  <c:v>Q2</c:v>
                </c:pt>
                <c:pt idx="70">
                  <c:v>Q3</c:v>
                </c:pt>
                <c:pt idx="71">
                  <c:v>Q4</c:v>
                </c:pt>
                <c:pt idx="72">
                  <c:v>2029Q1</c:v>
                </c:pt>
                <c:pt idx="73">
                  <c:v>Q2</c:v>
                </c:pt>
                <c:pt idx="74">
                  <c:v>Q3</c:v>
                </c:pt>
                <c:pt idx="75">
                  <c:v>Q4</c:v>
                </c:pt>
                <c:pt idx="76">
                  <c:v>2030Q1</c:v>
                </c:pt>
                <c:pt idx="77">
                  <c:v>Q2</c:v>
                </c:pt>
                <c:pt idx="78">
                  <c:v>Q3</c:v>
                </c:pt>
                <c:pt idx="79">
                  <c:v>Q4</c:v>
                </c:pt>
                <c:pt idx="80">
                  <c:v>2031Q1</c:v>
                </c:pt>
                <c:pt idx="81">
                  <c:v>Q2</c:v>
                </c:pt>
                <c:pt idx="82">
                  <c:v>Q3</c:v>
                </c:pt>
                <c:pt idx="83">
                  <c:v>Q4</c:v>
                </c:pt>
                <c:pt idx="84">
                  <c:v>2032Q1</c:v>
                </c:pt>
                <c:pt idx="85">
                  <c:v>Q2</c:v>
                </c:pt>
                <c:pt idx="86">
                  <c:v>Q3</c:v>
                </c:pt>
                <c:pt idx="87">
                  <c:v>Q4</c:v>
                </c:pt>
                <c:pt idx="88">
                  <c:v>2033Q1</c:v>
                </c:pt>
                <c:pt idx="89">
                  <c:v>Q2</c:v>
                </c:pt>
                <c:pt idx="90">
                  <c:v>Q3</c:v>
                </c:pt>
                <c:pt idx="91">
                  <c:v>Q4</c:v>
                </c:pt>
              </c:strCache>
            </c:strRef>
          </c:cat>
          <c:val>
            <c:numRef>
              <c:f>'Qrtly Credit-Deficit Generation'!$C$70:$CP$70</c:f>
              <c:numCache>
                <c:formatCode>_(* #,##0_);_(* \(#,##0\);_(* "-"??_);_(@_)</c:formatCode>
                <c:ptCount val="92"/>
                <c:pt idx="0">
                  <c:v>132283</c:v>
                </c:pt>
                <c:pt idx="1">
                  <c:v>134760</c:v>
                </c:pt>
                <c:pt idx="2">
                  <c:v>141381</c:v>
                </c:pt>
                <c:pt idx="3">
                  <c:v>137396</c:v>
                </c:pt>
                <c:pt idx="4">
                  <c:v>240260</c:v>
                </c:pt>
                <c:pt idx="5">
                  <c:v>252750</c:v>
                </c:pt>
                <c:pt idx="6">
                  <c:v>259582</c:v>
                </c:pt>
                <c:pt idx="7">
                  <c:v>266666</c:v>
                </c:pt>
                <c:pt idx="8">
                  <c:v>558804</c:v>
                </c:pt>
                <c:pt idx="9">
                  <c:v>636140</c:v>
                </c:pt>
                <c:pt idx="10">
                  <c:v>646613</c:v>
                </c:pt>
                <c:pt idx="11">
                  <c:v>653565</c:v>
                </c:pt>
                <c:pt idx="12">
                  <c:v>596240</c:v>
                </c:pt>
                <c:pt idx="13">
                  <c:v>653122</c:v>
                </c:pt>
                <c:pt idx="14">
                  <c:v>660254</c:v>
                </c:pt>
                <c:pt idx="15">
                  <c:v>657732</c:v>
                </c:pt>
                <c:pt idx="16">
                  <c:v>600144</c:v>
                </c:pt>
                <c:pt idx="17">
                  <c:v>660642</c:v>
                </c:pt>
                <c:pt idx="18">
                  <c:v>696772</c:v>
                </c:pt>
                <c:pt idx="19">
                  <c:v>686210</c:v>
                </c:pt>
                <c:pt idx="20">
                  <c:v>1627195</c:v>
                </c:pt>
                <c:pt idx="21">
                  <c:v>1641557</c:v>
                </c:pt>
                <c:pt idx="22">
                  <c:v>1736480</c:v>
                </c:pt>
                <c:pt idx="23">
                  <c:v>1775489</c:v>
                </c:pt>
                <c:pt idx="24">
                  <c:v>2356219</c:v>
                </c:pt>
                <c:pt idx="25">
                  <c:v>2497824</c:v>
                </c:pt>
                <c:pt idx="26">
                  <c:v>2566865</c:v>
                </c:pt>
                <c:pt idx="27">
                  <c:v>2595941</c:v>
                </c:pt>
                <c:pt idx="28">
                  <c:v>2879229</c:v>
                </c:pt>
                <c:pt idx="29">
                  <c:v>3141737</c:v>
                </c:pt>
                <c:pt idx="30">
                  <c:v>3140905</c:v>
                </c:pt>
                <c:pt idx="31">
                  <c:v>3204695</c:v>
                </c:pt>
                <c:pt idx="32">
                  <c:v>3747363</c:v>
                </c:pt>
                <c:pt idx="33">
                  <c:v>3918948</c:v>
                </c:pt>
                <c:pt idx="34">
                  <c:v>3930131</c:v>
                </c:pt>
                <c:pt idx="35">
                  <c:v>3890973</c:v>
                </c:pt>
                <c:pt idx="36">
                  <c:v>4148685</c:v>
                </c:pt>
                <c:pt idx="37">
                  <c:v>3388059</c:v>
                </c:pt>
                <c:pt idx="38">
                  <c:v>4001573</c:v>
                </c:pt>
                <c:pt idx="39">
                  <c:v>3949915</c:v>
                </c:pt>
                <c:pt idx="40">
                  <c:v>4286270</c:v>
                </c:pt>
                <c:pt idx="41">
                  <c:v>4826990</c:v>
                </c:pt>
                <c:pt idx="42">
                  <c:v>5165375</c:v>
                </c:pt>
                <c:pt idx="43">
                  <c:v>4692610</c:v>
                </c:pt>
                <c:pt idx="44">
                  <c:v>5150501</c:v>
                </c:pt>
                <c:pt idx="45">
                  <c:v>5392896</c:v>
                </c:pt>
                <c:pt idx="46">
                  <c:v>5206472</c:v>
                </c:pt>
                <c:pt idx="47">
                  <c:v>5475801</c:v>
                </c:pt>
                <c:pt idx="48">
                  <c:v>5327468</c:v>
                </c:pt>
                <c:pt idx="49">
                  <c:v>5754900</c:v>
                </c:pt>
                <c:pt idx="50">
                  <c:v>5797109</c:v>
                </c:pt>
                <c:pt idx="51">
                  <c:v>5539309</c:v>
                </c:pt>
                <c:pt idx="52">
                  <c:v>5695049</c:v>
                </c:pt>
                <c:pt idx="53">
                  <c:v>6046763</c:v>
                </c:pt>
                <c:pt idx="54">
                  <c:v>5879356</c:v>
                </c:pt>
                <c:pt idx="55">
                  <c:v>13828319.806050131</c:v>
                </c:pt>
                <c:pt idx="56">
                  <c:v>12658562.742947409</c:v>
                </c:pt>
                <c:pt idx="57">
                  <c:v>12889962.243284496</c:v>
                </c:pt>
                <c:pt idx="58">
                  <c:v>14559936.517079381</c:v>
                </c:pt>
                <c:pt idx="59">
                  <c:v>14988889.043475959</c:v>
                </c:pt>
                <c:pt idx="60">
                  <c:v>15239389.072737966</c:v>
                </c:pt>
                <c:pt idx="61">
                  <c:v>13759300.541846842</c:v>
                </c:pt>
                <c:pt idx="62">
                  <c:v>16324694.580425404</c:v>
                </c:pt>
                <c:pt idx="63">
                  <c:v>15983103.639363401</c:v>
                </c:pt>
                <c:pt idx="64">
                  <c:v>17468405.253653046</c:v>
                </c:pt>
                <c:pt idx="65">
                  <c:v>17259655.655150421</c:v>
                </c:pt>
                <c:pt idx="66">
                  <c:v>20186269.479521859</c:v>
                </c:pt>
                <c:pt idx="67">
                  <c:v>16678051.375444567</c:v>
                </c:pt>
                <c:pt idx="68">
                  <c:v>19610446.540559914</c:v>
                </c:pt>
                <c:pt idx="69">
                  <c:v>16864107.531695999</c:v>
                </c:pt>
                <c:pt idx="70">
                  <c:v>21801808.692975916</c:v>
                </c:pt>
                <c:pt idx="71">
                  <c:v>18215691.559366122</c:v>
                </c:pt>
                <c:pt idx="72">
                  <c:v>20397939.41234206</c:v>
                </c:pt>
                <c:pt idx="73">
                  <c:v>18123735.984063145</c:v>
                </c:pt>
                <c:pt idx="74">
                  <c:v>23005147.061616961</c:v>
                </c:pt>
                <c:pt idx="75">
                  <c:v>19581730.140977934</c:v>
                </c:pt>
                <c:pt idx="76">
                  <c:v>22293996.323422506</c:v>
                </c:pt>
                <c:pt idx="77">
                  <c:v>14282313.395058444</c:v>
                </c:pt>
                <c:pt idx="78">
                  <c:v>16092734.334829751</c:v>
                </c:pt>
                <c:pt idx="79">
                  <c:v>18801987.539126404</c:v>
                </c:pt>
                <c:pt idx="80">
                  <c:v>23416641.254227247</c:v>
                </c:pt>
                <c:pt idx="81">
                  <c:v>15238627.600152552</c:v>
                </c:pt>
                <c:pt idx="82">
                  <c:v>16976842.3382973</c:v>
                </c:pt>
                <c:pt idx="83">
                  <c:v>22653255.143367</c:v>
                </c:pt>
                <c:pt idx="84">
                  <c:v>28536673.704423055</c:v>
                </c:pt>
                <c:pt idx="85">
                  <c:v>17087118.241138645</c:v>
                </c:pt>
                <c:pt idx="86">
                  <c:v>18635456.017676637</c:v>
                </c:pt>
                <c:pt idx="87">
                  <c:v>24727152.756960064</c:v>
                </c:pt>
                <c:pt idx="88">
                  <c:v>30862058.167324878</c:v>
                </c:pt>
                <c:pt idx="89">
                  <c:v>28909146.832354948</c:v>
                </c:pt>
                <c:pt idx="90">
                  <c:v>33211318.949235782</c:v>
                </c:pt>
                <c:pt idx="91">
                  <c:v>33784751.351497278</c:v>
                </c:pt>
              </c:numCache>
            </c:numRef>
          </c:val>
          <c:extLst>
            <c:ext xmlns:c16="http://schemas.microsoft.com/office/drawing/2014/chart" uri="{C3380CC4-5D6E-409C-BE32-E72D297353CC}">
              <c16:uniqueId val="{00000000-606A-42EA-AAF0-836548FF00FB}"/>
            </c:ext>
          </c:extLst>
        </c:ser>
        <c:ser>
          <c:idx val="2"/>
          <c:order val="2"/>
          <c:tx>
            <c:strRef>
              <c:f>'Qrtly Credit-Deficit Generation'!$A$48</c:f>
              <c:strCache>
                <c:ptCount val="1"/>
                <c:pt idx="0">
                  <c:v>Total Credits</c:v>
                </c:pt>
              </c:strCache>
            </c:strRef>
          </c:tx>
          <c:spPr>
            <a:solidFill>
              <a:srgbClr val="C4722E"/>
            </a:solidFill>
            <a:ln>
              <a:solidFill>
                <a:schemeClr val="tx1"/>
              </a:solidFill>
            </a:ln>
            <a:effectLst/>
          </c:spPr>
          <c:invertIfNegative val="0"/>
          <c:cat>
            <c:strRef>
              <c:f>'Qrtly Credit-Deficit Generation'!$C$54:$CP$54</c:f>
              <c:strCache>
                <c:ptCount val="92"/>
                <c:pt idx="0">
                  <c:v>2011 Q1</c:v>
                </c:pt>
                <c:pt idx="1">
                  <c:v>Q2</c:v>
                </c:pt>
                <c:pt idx="2">
                  <c:v>Q3</c:v>
                </c:pt>
                <c:pt idx="3">
                  <c:v>Q4</c:v>
                </c:pt>
                <c:pt idx="4">
                  <c:v>2012 Q1</c:v>
                </c:pt>
                <c:pt idx="5">
                  <c:v>Q2</c:v>
                </c:pt>
                <c:pt idx="6">
                  <c:v>Q3</c:v>
                </c:pt>
                <c:pt idx="7">
                  <c:v>Q4</c:v>
                </c:pt>
                <c:pt idx="8">
                  <c:v>2013 Q1</c:v>
                </c:pt>
                <c:pt idx="9">
                  <c:v>Q2</c:v>
                </c:pt>
                <c:pt idx="10">
                  <c:v>Q3</c:v>
                </c:pt>
                <c:pt idx="11">
                  <c:v>Q4</c:v>
                </c:pt>
                <c:pt idx="12">
                  <c:v>2014 Q1</c:v>
                </c:pt>
                <c:pt idx="13">
                  <c:v>Q2</c:v>
                </c:pt>
                <c:pt idx="14">
                  <c:v>Q3</c:v>
                </c:pt>
                <c:pt idx="15">
                  <c:v>Q4</c:v>
                </c:pt>
                <c:pt idx="16">
                  <c:v>2015 Q1</c:v>
                </c:pt>
                <c:pt idx="17">
                  <c:v>Q2</c:v>
                </c:pt>
                <c:pt idx="18">
                  <c:v>Q3</c:v>
                </c:pt>
                <c:pt idx="19">
                  <c:v>Q4</c:v>
                </c:pt>
                <c:pt idx="20">
                  <c:v>2016 Q1</c:v>
                </c:pt>
                <c:pt idx="21">
                  <c:v>Q2</c:v>
                </c:pt>
                <c:pt idx="22">
                  <c:v>Q3</c:v>
                </c:pt>
                <c:pt idx="23">
                  <c:v>Q4</c:v>
                </c:pt>
                <c:pt idx="24">
                  <c:v>2017 Q1</c:v>
                </c:pt>
                <c:pt idx="25">
                  <c:v>Q2</c:v>
                </c:pt>
                <c:pt idx="26">
                  <c:v>Q3</c:v>
                </c:pt>
                <c:pt idx="27">
                  <c:v>Q4</c:v>
                </c:pt>
                <c:pt idx="28">
                  <c:v>2018 Q1</c:v>
                </c:pt>
                <c:pt idx="29">
                  <c:v>Q2</c:v>
                </c:pt>
                <c:pt idx="30">
                  <c:v>Q3</c:v>
                </c:pt>
                <c:pt idx="31">
                  <c:v>Q4</c:v>
                </c:pt>
                <c:pt idx="32">
                  <c:v>2019 Q1</c:v>
                </c:pt>
                <c:pt idx="33">
                  <c:v>Q2</c:v>
                </c:pt>
                <c:pt idx="34">
                  <c:v>Q3</c:v>
                </c:pt>
                <c:pt idx="35">
                  <c:v>Q4</c:v>
                </c:pt>
                <c:pt idx="36">
                  <c:v>2020 Q1</c:v>
                </c:pt>
                <c:pt idx="37">
                  <c:v>Q2</c:v>
                </c:pt>
                <c:pt idx="38">
                  <c:v>Q3</c:v>
                </c:pt>
                <c:pt idx="39">
                  <c:v>Q4</c:v>
                </c:pt>
                <c:pt idx="40">
                  <c:v>2021 Q1</c:v>
                </c:pt>
                <c:pt idx="41">
                  <c:v>Q2</c:v>
                </c:pt>
                <c:pt idx="42">
                  <c:v>Q3</c:v>
                </c:pt>
                <c:pt idx="43">
                  <c:v>Q4</c:v>
                </c:pt>
                <c:pt idx="44">
                  <c:v>2022 Q1</c:v>
                </c:pt>
                <c:pt idx="45">
                  <c:v>Q2</c:v>
                </c:pt>
                <c:pt idx="46">
                  <c:v>Q3</c:v>
                </c:pt>
                <c:pt idx="47">
                  <c:v>Q4</c:v>
                </c:pt>
                <c:pt idx="48">
                  <c:v>2023 Q1</c:v>
                </c:pt>
                <c:pt idx="49">
                  <c:v>Q2</c:v>
                </c:pt>
                <c:pt idx="50">
                  <c:v>Q3</c:v>
                </c:pt>
                <c:pt idx="51">
                  <c:v>Q4</c:v>
                </c:pt>
                <c:pt idx="52">
                  <c:v>2024Q1</c:v>
                </c:pt>
                <c:pt idx="53">
                  <c:v>Q2</c:v>
                </c:pt>
                <c:pt idx="54">
                  <c:v>Q3</c:v>
                </c:pt>
                <c:pt idx="55">
                  <c:v>Q4</c:v>
                </c:pt>
                <c:pt idx="56">
                  <c:v>2025Q1</c:v>
                </c:pt>
                <c:pt idx="57">
                  <c:v>Q2</c:v>
                </c:pt>
                <c:pt idx="58">
                  <c:v>Q3</c:v>
                </c:pt>
                <c:pt idx="59">
                  <c:v>Q4</c:v>
                </c:pt>
                <c:pt idx="60">
                  <c:v>2026Q1</c:v>
                </c:pt>
                <c:pt idx="61">
                  <c:v>Q2</c:v>
                </c:pt>
                <c:pt idx="62">
                  <c:v>Q3</c:v>
                </c:pt>
                <c:pt idx="63">
                  <c:v>Q4</c:v>
                </c:pt>
                <c:pt idx="64">
                  <c:v>2027Q1</c:v>
                </c:pt>
                <c:pt idx="65">
                  <c:v>Q2</c:v>
                </c:pt>
                <c:pt idx="66">
                  <c:v>Q3</c:v>
                </c:pt>
                <c:pt idx="67">
                  <c:v>Q4</c:v>
                </c:pt>
                <c:pt idx="68">
                  <c:v>2028Q1</c:v>
                </c:pt>
                <c:pt idx="69">
                  <c:v>Q2</c:v>
                </c:pt>
                <c:pt idx="70">
                  <c:v>Q3</c:v>
                </c:pt>
                <c:pt idx="71">
                  <c:v>Q4</c:v>
                </c:pt>
                <c:pt idx="72">
                  <c:v>2029Q1</c:v>
                </c:pt>
                <c:pt idx="73">
                  <c:v>Q2</c:v>
                </c:pt>
                <c:pt idx="74">
                  <c:v>Q3</c:v>
                </c:pt>
                <c:pt idx="75">
                  <c:v>Q4</c:v>
                </c:pt>
                <c:pt idx="76">
                  <c:v>2030Q1</c:v>
                </c:pt>
                <c:pt idx="77">
                  <c:v>Q2</c:v>
                </c:pt>
                <c:pt idx="78">
                  <c:v>Q3</c:v>
                </c:pt>
                <c:pt idx="79">
                  <c:v>Q4</c:v>
                </c:pt>
                <c:pt idx="80">
                  <c:v>2031Q1</c:v>
                </c:pt>
                <c:pt idx="81">
                  <c:v>Q2</c:v>
                </c:pt>
                <c:pt idx="82">
                  <c:v>Q3</c:v>
                </c:pt>
                <c:pt idx="83">
                  <c:v>Q4</c:v>
                </c:pt>
                <c:pt idx="84">
                  <c:v>2032Q1</c:v>
                </c:pt>
                <c:pt idx="85">
                  <c:v>Q2</c:v>
                </c:pt>
                <c:pt idx="86">
                  <c:v>Q3</c:v>
                </c:pt>
                <c:pt idx="87">
                  <c:v>Q4</c:v>
                </c:pt>
                <c:pt idx="88">
                  <c:v>2033Q1</c:v>
                </c:pt>
                <c:pt idx="89">
                  <c:v>Q2</c:v>
                </c:pt>
                <c:pt idx="90">
                  <c:v>Q3</c:v>
                </c:pt>
                <c:pt idx="91">
                  <c:v>Q4</c:v>
                </c:pt>
              </c:strCache>
            </c:strRef>
          </c:cat>
          <c:val>
            <c:numRef>
              <c:f>'Qrtly Credit-Deficit Generation'!$C$48:$CP$48</c:f>
              <c:numCache>
                <c:formatCode>_(* #,##0_);_(* \(#,##0\);_(* "-"??_);_(@_)</c:formatCode>
                <c:ptCount val="92"/>
                <c:pt idx="0">
                  <c:v>275639</c:v>
                </c:pt>
                <c:pt idx="1">
                  <c:v>325071</c:v>
                </c:pt>
                <c:pt idx="2">
                  <c:v>358817</c:v>
                </c:pt>
                <c:pt idx="3">
                  <c:v>334451</c:v>
                </c:pt>
                <c:pt idx="4">
                  <c:v>366391</c:v>
                </c:pt>
                <c:pt idx="5">
                  <c:v>380783</c:v>
                </c:pt>
                <c:pt idx="6">
                  <c:v>471290</c:v>
                </c:pt>
                <c:pt idx="7">
                  <c:v>473045</c:v>
                </c:pt>
                <c:pt idx="8">
                  <c:v>652535</c:v>
                </c:pt>
                <c:pt idx="9">
                  <c:v>832199</c:v>
                </c:pt>
                <c:pt idx="10">
                  <c:v>1132141</c:v>
                </c:pt>
                <c:pt idx="11">
                  <c:v>1137322</c:v>
                </c:pt>
                <c:pt idx="12">
                  <c:v>961263</c:v>
                </c:pt>
                <c:pt idx="13">
                  <c:v>1111616</c:v>
                </c:pt>
                <c:pt idx="14">
                  <c:v>1148264</c:v>
                </c:pt>
                <c:pt idx="15">
                  <c:v>1079148</c:v>
                </c:pt>
                <c:pt idx="16">
                  <c:v>1102924</c:v>
                </c:pt>
                <c:pt idx="17">
                  <c:v>1307672</c:v>
                </c:pt>
                <c:pt idx="18">
                  <c:v>1510754</c:v>
                </c:pt>
                <c:pt idx="19">
                  <c:v>1566898</c:v>
                </c:pt>
                <c:pt idx="20">
                  <c:v>1907907</c:v>
                </c:pt>
                <c:pt idx="21">
                  <c:v>2416121</c:v>
                </c:pt>
                <c:pt idx="22">
                  <c:v>2428897</c:v>
                </c:pt>
                <c:pt idx="23">
                  <c:v>2631117</c:v>
                </c:pt>
                <c:pt idx="24">
                  <c:v>2195244</c:v>
                </c:pt>
                <c:pt idx="25">
                  <c:v>2582576</c:v>
                </c:pt>
                <c:pt idx="26">
                  <c:v>2727781</c:v>
                </c:pt>
                <c:pt idx="27">
                  <c:v>2515832</c:v>
                </c:pt>
                <c:pt idx="28">
                  <c:v>2510702</c:v>
                </c:pt>
                <c:pt idx="29">
                  <c:v>2698411</c:v>
                </c:pt>
                <c:pt idx="30">
                  <c:v>2801496</c:v>
                </c:pt>
                <c:pt idx="31">
                  <c:v>3299857</c:v>
                </c:pt>
                <c:pt idx="32">
                  <c:v>3327537</c:v>
                </c:pt>
                <c:pt idx="33">
                  <c:v>3707200</c:v>
                </c:pt>
                <c:pt idx="34">
                  <c:v>3812949</c:v>
                </c:pt>
                <c:pt idx="35">
                  <c:v>4087212</c:v>
                </c:pt>
                <c:pt idx="36">
                  <c:v>3701393</c:v>
                </c:pt>
                <c:pt idx="37">
                  <c:v>3252944</c:v>
                </c:pt>
                <c:pt idx="38">
                  <c:v>4068893</c:v>
                </c:pt>
                <c:pt idx="39">
                  <c:v>4355579</c:v>
                </c:pt>
                <c:pt idx="40">
                  <c:v>4006166</c:v>
                </c:pt>
                <c:pt idx="41">
                  <c:v>4972250</c:v>
                </c:pt>
                <c:pt idx="42">
                  <c:v>5532734</c:v>
                </c:pt>
                <c:pt idx="43">
                  <c:v>5606738</c:v>
                </c:pt>
                <c:pt idx="44">
                  <c:v>5841761</c:v>
                </c:pt>
                <c:pt idx="45">
                  <c:v>6741371</c:v>
                </c:pt>
                <c:pt idx="46">
                  <c:v>6949382</c:v>
                </c:pt>
                <c:pt idx="47">
                  <c:v>7130158</c:v>
                </c:pt>
                <c:pt idx="48">
                  <c:v>6667060</c:v>
                </c:pt>
                <c:pt idx="49" formatCode="#,##0_);[Red]\(#,##0\)">
                  <c:v>7351709</c:v>
                </c:pt>
                <c:pt idx="50" formatCode="#,##0_);[Red]\(#,##0\)">
                  <c:v>8046345</c:v>
                </c:pt>
                <c:pt idx="51" formatCode="#,##0_);[Red]\(#,##0\)">
                  <c:v>10536179.190635171</c:v>
                </c:pt>
                <c:pt idx="52" formatCode="#,##0_);[Red]\(#,##0\)">
                  <c:v>8152862</c:v>
                </c:pt>
                <c:pt idx="53" formatCode="#,##0_);[Red]\(#,##0\)">
                  <c:v>9164835</c:v>
                </c:pt>
                <c:pt idx="54" formatCode="#,##0_);[Red]\(#,##0\)">
                  <c:v>17458244.129310068</c:v>
                </c:pt>
                <c:pt idx="55" formatCode="#,##0_);[Red]\(#,##0\)">
                  <c:v>14482446.806050129</c:v>
                </c:pt>
                <c:pt idx="56" formatCode="#,##0_);[Red]\(#,##0\)">
                  <c:v>13492877.589134432</c:v>
                </c:pt>
                <c:pt idx="57" formatCode="#,##0_);[Red]\(#,##0\)">
                  <c:v>13614904.47195364</c:v>
                </c:pt>
                <c:pt idx="58" formatCode="#,##0_);[Red]\(#,##0\)">
                  <c:v>15738791.303887829</c:v>
                </c:pt>
                <c:pt idx="59" formatCode="#,##0_);[Red]\(#,##0\)">
                  <c:v>14664572.783354038</c:v>
                </c:pt>
                <c:pt idx="60" formatCode="#,##0_);[Red]\(#,##0\)">
                  <c:v>15420592.42325509</c:v>
                </c:pt>
                <c:pt idx="61" formatCode="#,##0_);[Red]\(#,##0\)">
                  <c:v>14911935.293680625</c:v>
                </c:pt>
                <c:pt idx="62" formatCode="#,##0_);[Red]\(#,##0\)">
                  <c:v>16790237.976702042</c:v>
                </c:pt>
                <c:pt idx="63" formatCode="#,##0_);[Red]\(#,##0\)">
                  <c:v>15932395.392820017</c:v>
                </c:pt>
                <c:pt idx="64" formatCode="#,##0_);[Red]\(#,##0\)">
                  <c:v>17715969.233963463</c:v>
                </c:pt>
                <c:pt idx="65" formatCode="#,##0_);[Red]\(#,##0\)">
                  <c:v>18980008.394770842</c:v>
                </c:pt>
                <c:pt idx="66" formatCode="#,##0_);[Red]\(#,##0\)">
                  <c:v>21339705.584943186</c:v>
                </c:pt>
                <c:pt idx="67" formatCode="#,##0_);[Red]\(#,##0\)">
                  <c:v>17384454.257026643</c:v>
                </c:pt>
                <c:pt idx="68" formatCode="#,##0_);[Red]\(#,##0\)">
                  <c:v>18410446.540559914</c:v>
                </c:pt>
                <c:pt idx="69" formatCode="#,##0_);[Red]\(#,##0\)">
                  <c:v>19417776.273360573</c:v>
                </c:pt>
                <c:pt idx="70" formatCode="#,##0_);[Red]\(#,##0\)">
                  <c:v>22684278.053298995</c:v>
                </c:pt>
                <c:pt idx="71" formatCode="#,##0_);[Red]\(#,##0\)">
                  <c:v>17460781.604285676</c:v>
                </c:pt>
                <c:pt idx="72" formatCode="#,##0_);[Red]\(#,##0\)">
                  <c:v>19397939.41234206</c:v>
                </c:pt>
                <c:pt idx="73" formatCode="#,##0_);[Red]\(#,##0\)">
                  <c:v>20909435.80829769</c:v>
                </c:pt>
                <c:pt idx="74" formatCode="#,##0_);[Red]\(#,##0\)">
                  <c:v>24616113.373526674</c:v>
                </c:pt>
                <c:pt idx="75" formatCode="#,##0_);[Red]\(#,##0\)">
                  <c:v>17648684.579399936</c:v>
                </c:pt>
                <c:pt idx="76" formatCode="#,##0_);[Red]\(#,##0\)">
                  <c:v>21293996.323422506</c:v>
                </c:pt>
                <c:pt idx="77" formatCode="#,##0_);[Red]\(#,##0\)">
                  <c:v>23111325.093937702</c:v>
                </c:pt>
                <c:pt idx="78" formatCode="#,##0_);[Red]\(#,##0\)">
                  <c:v>27420315.436209444</c:v>
                </c:pt>
                <c:pt idx="79" formatCode="#,##0_);[Red]\(#,##0\)">
                  <c:v>18831399.467082608</c:v>
                </c:pt>
                <c:pt idx="80" formatCode="#,##0_);[Red]\(#,##0\)">
                  <c:v>22416641.254227247</c:v>
                </c:pt>
                <c:pt idx="81" formatCode="#,##0_);[Red]\(#,##0\)">
                  <c:v>24560690.788166147</c:v>
                </c:pt>
                <c:pt idx="82" formatCode="#,##0_);[Red]\(#,##0\)">
                  <c:v>28675315.471130602</c:v>
                </c:pt>
                <c:pt idx="83" formatCode="#,##0_);[Red]\(#,##0\)">
                  <c:v>19653255.143367</c:v>
                </c:pt>
                <c:pt idx="84" formatCode="#,##0_);[Red]\(#,##0\)">
                  <c:v>25536673.704423055</c:v>
                </c:pt>
                <c:pt idx="85" formatCode="#,##0_);[Red]\(#,##0\)">
                  <c:v>28192860.060890585</c:v>
                </c:pt>
                <c:pt idx="86" formatCode="#,##0_);[Red]\(#,##0\)">
                  <c:v>31836480.570331339</c:v>
                </c:pt>
                <c:pt idx="87" formatCode="#,##0_);[Red]\(#,##0\)">
                  <c:v>21727152.756960064</c:v>
                </c:pt>
                <c:pt idx="88" formatCode="#,##0_);[Red]\(#,##0\)">
                  <c:v>26362058.167324878</c:v>
                </c:pt>
                <c:pt idx="89" formatCode="#,##0_);[Red]\(#,##0\)">
                  <c:v>31544520.129888501</c:v>
                </c:pt>
                <c:pt idx="90" formatCode="#,##0_);[Red]\(#,##0\)">
                  <c:v>35873660.292519115</c:v>
                </c:pt>
                <c:pt idx="91" formatCode="#,##0_);[Red]\(#,##0\)">
                  <c:v>24784751.351497281</c:v>
                </c:pt>
              </c:numCache>
            </c:numRef>
          </c:val>
          <c:extLst>
            <c:ext xmlns:c16="http://schemas.microsoft.com/office/drawing/2014/chart" uri="{C3380CC4-5D6E-409C-BE32-E72D297353CC}">
              <c16:uniqueId val="{00000001-606A-42EA-AAF0-836548FF00FB}"/>
            </c:ext>
          </c:extLst>
        </c:ser>
        <c:dLbls>
          <c:showLegendKey val="0"/>
          <c:showVal val="0"/>
          <c:showCatName val="0"/>
          <c:showSerName val="0"/>
          <c:showPercent val="0"/>
          <c:showBubbleSize val="0"/>
        </c:dLbls>
        <c:gapWidth val="50"/>
        <c:overlap val="-27"/>
        <c:axId val="295883375"/>
        <c:axId val="295886983"/>
      </c:barChart>
      <c:lineChart>
        <c:grouping val="standard"/>
        <c:varyColors val="0"/>
        <c:ser>
          <c:idx val="1"/>
          <c:order val="1"/>
          <c:tx>
            <c:strRef>
              <c:f>'Qrtly Credit-Deficit Generation'!$A$49</c:f>
              <c:strCache>
                <c:ptCount val="1"/>
                <c:pt idx="0">
                  <c:v>Cummulative Bank</c:v>
                </c:pt>
              </c:strCache>
            </c:strRef>
          </c:tx>
          <c:spPr>
            <a:ln w="15875" cap="rnd">
              <a:solidFill>
                <a:srgbClr val="5D803B"/>
              </a:solidFill>
              <a:round/>
            </a:ln>
            <a:effectLst/>
          </c:spPr>
          <c:marker>
            <c:symbol val="none"/>
          </c:marker>
          <c:dPt>
            <c:idx val="47"/>
            <c:marker>
              <c:symbol val="none"/>
            </c:marker>
            <c:bubble3D val="0"/>
            <c:spPr>
              <a:ln w="15875" cap="rnd">
                <a:solidFill>
                  <a:srgbClr val="5D803B"/>
                </a:solidFill>
                <a:prstDash val="solid"/>
                <a:round/>
              </a:ln>
              <a:effectLst/>
            </c:spPr>
            <c:extLst>
              <c:ext xmlns:c16="http://schemas.microsoft.com/office/drawing/2014/chart" uri="{C3380CC4-5D6E-409C-BE32-E72D297353CC}">
                <c16:uniqueId val="{00000003-606A-42EA-AAF0-836548FF00FB}"/>
              </c:ext>
            </c:extLst>
          </c:dPt>
          <c:dPt>
            <c:idx val="48"/>
            <c:marker>
              <c:symbol val="none"/>
            </c:marker>
            <c:bubble3D val="0"/>
            <c:spPr>
              <a:ln w="15875" cap="rnd">
                <a:solidFill>
                  <a:srgbClr val="5D803B"/>
                </a:solidFill>
                <a:prstDash val="solid"/>
                <a:round/>
              </a:ln>
              <a:effectLst/>
            </c:spPr>
            <c:extLst>
              <c:ext xmlns:c16="http://schemas.microsoft.com/office/drawing/2014/chart" uri="{C3380CC4-5D6E-409C-BE32-E72D297353CC}">
                <c16:uniqueId val="{00000005-606A-42EA-AAF0-836548FF00FB}"/>
              </c:ext>
            </c:extLst>
          </c:dPt>
          <c:dPt>
            <c:idx val="49"/>
            <c:marker>
              <c:symbol val="none"/>
            </c:marker>
            <c:bubble3D val="0"/>
            <c:spPr>
              <a:ln w="15875" cap="rnd">
                <a:solidFill>
                  <a:srgbClr val="5D803B"/>
                </a:solidFill>
                <a:prstDash val="solid"/>
                <a:round/>
              </a:ln>
              <a:effectLst/>
            </c:spPr>
            <c:extLst>
              <c:ext xmlns:c16="http://schemas.microsoft.com/office/drawing/2014/chart" uri="{C3380CC4-5D6E-409C-BE32-E72D297353CC}">
                <c16:uniqueId val="{00000007-606A-42EA-AAF0-836548FF00FB}"/>
              </c:ext>
            </c:extLst>
          </c:dPt>
          <c:dPt>
            <c:idx val="50"/>
            <c:marker>
              <c:symbol val="none"/>
            </c:marker>
            <c:bubble3D val="0"/>
            <c:spPr>
              <a:ln w="15875" cap="rnd">
                <a:solidFill>
                  <a:srgbClr val="5D803B"/>
                </a:solidFill>
                <a:prstDash val="solid"/>
                <a:round/>
              </a:ln>
              <a:effectLst/>
            </c:spPr>
            <c:extLst>
              <c:ext xmlns:c16="http://schemas.microsoft.com/office/drawing/2014/chart" uri="{C3380CC4-5D6E-409C-BE32-E72D297353CC}">
                <c16:uniqueId val="{00000009-606A-42EA-AAF0-836548FF00FB}"/>
              </c:ext>
            </c:extLst>
          </c:dPt>
          <c:dPt>
            <c:idx val="51"/>
            <c:marker>
              <c:symbol val="none"/>
            </c:marker>
            <c:bubble3D val="0"/>
            <c:spPr>
              <a:ln w="15875" cap="rnd">
                <a:solidFill>
                  <a:srgbClr val="5D803B"/>
                </a:solidFill>
                <a:prstDash val="solid"/>
                <a:round/>
              </a:ln>
              <a:effectLst/>
            </c:spPr>
            <c:extLst>
              <c:ext xmlns:c16="http://schemas.microsoft.com/office/drawing/2014/chart" uri="{C3380CC4-5D6E-409C-BE32-E72D297353CC}">
                <c16:uniqueId val="{0000000B-606A-42EA-AAF0-836548FF00FB}"/>
              </c:ext>
            </c:extLst>
          </c:dPt>
          <c:dPt>
            <c:idx val="52"/>
            <c:marker>
              <c:symbol val="none"/>
            </c:marker>
            <c:bubble3D val="0"/>
            <c:spPr>
              <a:ln w="15875" cap="rnd">
                <a:solidFill>
                  <a:srgbClr val="5D803B"/>
                </a:solidFill>
                <a:prstDash val="solid"/>
                <a:round/>
              </a:ln>
              <a:effectLst/>
            </c:spPr>
            <c:extLst>
              <c:ext xmlns:c16="http://schemas.microsoft.com/office/drawing/2014/chart" uri="{C3380CC4-5D6E-409C-BE32-E72D297353CC}">
                <c16:uniqueId val="{0000000D-606A-42EA-AAF0-836548FF00FB}"/>
              </c:ext>
            </c:extLst>
          </c:dPt>
          <c:dPt>
            <c:idx val="53"/>
            <c:marker>
              <c:symbol val="none"/>
            </c:marker>
            <c:bubble3D val="0"/>
            <c:spPr>
              <a:ln w="15875" cap="rnd">
                <a:solidFill>
                  <a:srgbClr val="5D803B"/>
                </a:solidFill>
                <a:prstDash val="solid"/>
                <a:round/>
              </a:ln>
              <a:effectLst/>
            </c:spPr>
            <c:extLst>
              <c:ext xmlns:c16="http://schemas.microsoft.com/office/drawing/2014/chart" uri="{C3380CC4-5D6E-409C-BE32-E72D297353CC}">
                <c16:uniqueId val="{0000000F-606A-42EA-AAF0-836548FF00FB}"/>
              </c:ext>
            </c:extLst>
          </c:dPt>
          <c:dPt>
            <c:idx val="54"/>
            <c:marker>
              <c:symbol val="none"/>
            </c:marker>
            <c:bubble3D val="0"/>
            <c:spPr>
              <a:ln w="15875" cap="rnd">
                <a:solidFill>
                  <a:srgbClr val="5D803B"/>
                </a:solidFill>
                <a:prstDash val="solid"/>
                <a:round/>
              </a:ln>
              <a:effectLst/>
            </c:spPr>
            <c:extLst>
              <c:ext xmlns:c16="http://schemas.microsoft.com/office/drawing/2014/chart" uri="{C3380CC4-5D6E-409C-BE32-E72D297353CC}">
                <c16:uniqueId val="{00000011-606A-42EA-AAF0-836548FF00FB}"/>
              </c:ext>
            </c:extLst>
          </c:dPt>
          <c:dPt>
            <c:idx val="55"/>
            <c:marker>
              <c:symbol val="none"/>
            </c:marker>
            <c:bubble3D val="0"/>
            <c:spPr>
              <a:ln w="15875" cap="rnd">
                <a:solidFill>
                  <a:srgbClr val="5D803B"/>
                </a:solidFill>
                <a:prstDash val="solid"/>
                <a:round/>
              </a:ln>
              <a:effectLst/>
            </c:spPr>
            <c:extLst>
              <c:ext xmlns:c16="http://schemas.microsoft.com/office/drawing/2014/chart" uri="{C3380CC4-5D6E-409C-BE32-E72D297353CC}">
                <c16:uniqueId val="{00000013-606A-42EA-AAF0-836548FF00FB}"/>
              </c:ext>
            </c:extLst>
          </c:dPt>
          <c:dPt>
            <c:idx val="56"/>
            <c:marker>
              <c:symbol val="none"/>
            </c:marker>
            <c:bubble3D val="0"/>
            <c:spPr>
              <a:ln w="15875" cap="rnd">
                <a:solidFill>
                  <a:srgbClr val="5D803B"/>
                </a:solidFill>
                <a:prstDash val="solid"/>
                <a:round/>
              </a:ln>
              <a:effectLst/>
            </c:spPr>
            <c:extLst>
              <c:ext xmlns:c16="http://schemas.microsoft.com/office/drawing/2014/chart" uri="{C3380CC4-5D6E-409C-BE32-E72D297353CC}">
                <c16:uniqueId val="{00000015-606A-42EA-AAF0-836548FF00FB}"/>
              </c:ext>
            </c:extLst>
          </c:dPt>
          <c:dPt>
            <c:idx val="57"/>
            <c:marker>
              <c:symbol val="none"/>
            </c:marker>
            <c:bubble3D val="0"/>
            <c:spPr>
              <a:ln w="15875" cap="rnd">
                <a:solidFill>
                  <a:srgbClr val="5D803B"/>
                </a:solidFill>
                <a:prstDash val="solid"/>
                <a:round/>
              </a:ln>
              <a:effectLst/>
            </c:spPr>
            <c:extLst>
              <c:ext xmlns:c16="http://schemas.microsoft.com/office/drawing/2014/chart" uri="{C3380CC4-5D6E-409C-BE32-E72D297353CC}">
                <c16:uniqueId val="{00000017-606A-42EA-AAF0-836548FF00FB}"/>
              </c:ext>
            </c:extLst>
          </c:dPt>
          <c:dPt>
            <c:idx val="58"/>
            <c:marker>
              <c:symbol val="none"/>
            </c:marker>
            <c:bubble3D val="0"/>
            <c:spPr>
              <a:ln w="15875" cap="rnd">
                <a:solidFill>
                  <a:srgbClr val="5D803B"/>
                </a:solidFill>
                <a:prstDash val="solid"/>
                <a:round/>
              </a:ln>
              <a:effectLst/>
            </c:spPr>
            <c:extLst>
              <c:ext xmlns:c16="http://schemas.microsoft.com/office/drawing/2014/chart" uri="{C3380CC4-5D6E-409C-BE32-E72D297353CC}">
                <c16:uniqueId val="{00000019-606A-42EA-AAF0-836548FF00FB}"/>
              </c:ext>
            </c:extLst>
          </c:dPt>
          <c:dPt>
            <c:idx val="59"/>
            <c:marker>
              <c:symbol val="none"/>
            </c:marker>
            <c:bubble3D val="0"/>
            <c:spPr>
              <a:ln w="15875" cap="rnd">
                <a:solidFill>
                  <a:srgbClr val="5D803B"/>
                </a:solidFill>
                <a:prstDash val="solid"/>
                <a:round/>
              </a:ln>
              <a:effectLst/>
            </c:spPr>
            <c:extLst>
              <c:ext xmlns:c16="http://schemas.microsoft.com/office/drawing/2014/chart" uri="{C3380CC4-5D6E-409C-BE32-E72D297353CC}">
                <c16:uniqueId val="{0000001B-606A-42EA-AAF0-836548FF00FB}"/>
              </c:ext>
            </c:extLst>
          </c:dPt>
          <c:cat>
            <c:strRef>
              <c:f>'Qrtly Credit-Deficit Generation'!$C$54:$CP$54</c:f>
              <c:strCache>
                <c:ptCount val="92"/>
                <c:pt idx="0">
                  <c:v>2011 Q1</c:v>
                </c:pt>
                <c:pt idx="1">
                  <c:v>Q2</c:v>
                </c:pt>
                <c:pt idx="2">
                  <c:v>Q3</c:v>
                </c:pt>
                <c:pt idx="3">
                  <c:v>Q4</c:v>
                </c:pt>
                <c:pt idx="4">
                  <c:v>2012 Q1</c:v>
                </c:pt>
                <c:pt idx="5">
                  <c:v>Q2</c:v>
                </c:pt>
                <c:pt idx="6">
                  <c:v>Q3</c:v>
                </c:pt>
                <c:pt idx="7">
                  <c:v>Q4</c:v>
                </c:pt>
                <c:pt idx="8">
                  <c:v>2013 Q1</c:v>
                </c:pt>
                <c:pt idx="9">
                  <c:v>Q2</c:v>
                </c:pt>
                <c:pt idx="10">
                  <c:v>Q3</c:v>
                </c:pt>
                <c:pt idx="11">
                  <c:v>Q4</c:v>
                </c:pt>
                <c:pt idx="12">
                  <c:v>2014 Q1</c:v>
                </c:pt>
                <c:pt idx="13">
                  <c:v>Q2</c:v>
                </c:pt>
                <c:pt idx="14">
                  <c:v>Q3</c:v>
                </c:pt>
                <c:pt idx="15">
                  <c:v>Q4</c:v>
                </c:pt>
                <c:pt idx="16">
                  <c:v>2015 Q1</c:v>
                </c:pt>
                <c:pt idx="17">
                  <c:v>Q2</c:v>
                </c:pt>
                <c:pt idx="18">
                  <c:v>Q3</c:v>
                </c:pt>
                <c:pt idx="19">
                  <c:v>Q4</c:v>
                </c:pt>
                <c:pt idx="20">
                  <c:v>2016 Q1</c:v>
                </c:pt>
                <c:pt idx="21">
                  <c:v>Q2</c:v>
                </c:pt>
                <c:pt idx="22">
                  <c:v>Q3</c:v>
                </c:pt>
                <c:pt idx="23">
                  <c:v>Q4</c:v>
                </c:pt>
                <c:pt idx="24">
                  <c:v>2017 Q1</c:v>
                </c:pt>
                <c:pt idx="25">
                  <c:v>Q2</c:v>
                </c:pt>
                <c:pt idx="26">
                  <c:v>Q3</c:v>
                </c:pt>
                <c:pt idx="27">
                  <c:v>Q4</c:v>
                </c:pt>
                <c:pt idx="28">
                  <c:v>2018 Q1</c:v>
                </c:pt>
                <c:pt idx="29">
                  <c:v>Q2</c:v>
                </c:pt>
                <c:pt idx="30">
                  <c:v>Q3</c:v>
                </c:pt>
                <c:pt idx="31">
                  <c:v>Q4</c:v>
                </c:pt>
                <c:pt idx="32">
                  <c:v>2019 Q1</c:v>
                </c:pt>
                <c:pt idx="33">
                  <c:v>Q2</c:v>
                </c:pt>
                <c:pt idx="34">
                  <c:v>Q3</c:v>
                </c:pt>
                <c:pt idx="35">
                  <c:v>Q4</c:v>
                </c:pt>
                <c:pt idx="36">
                  <c:v>2020 Q1</c:v>
                </c:pt>
                <c:pt idx="37">
                  <c:v>Q2</c:v>
                </c:pt>
                <c:pt idx="38">
                  <c:v>Q3</c:v>
                </c:pt>
                <c:pt idx="39">
                  <c:v>Q4</c:v>
                </c:pt>
                <c:pt idx="40">
                  <c:v>2021 Q1</c:v>
                </c:pt>
                <c:pt idx="41">
                  <c:v>Q2</c:v>
                </c:pt>
                <c:pt idx="42">
                  <c:v>Q3</c:v>
                </c:pt>
                <c:pt idx="43">
                  <c:v>Q4</c:v>
                </c:pt>
                <c:pt idx="44">
                  <c:v>2022 Q1</c:v>
                </c:pt>
                <c:pt idx="45">
                  <c:v>Q2</c:v>
                </c:pt>
                <c:pt idx="46">
                  <c:v>Q3</c:v>
                </c:pt>
                <c:pt idx="47">
                  <c:v>Q4</c:v>
                </c:pt>
                <c:pt idx="48">
                  <c:v>2023 Q1</c:v>
                </c:pt>
                <c:pt idx="49">
                  <c:v>Q2</c:v>
                </c:pt>
                <c:pt idx="50">
                  <c:v>Q3</c:v>
                </c:pt>
                <c:pt idx="51">
                  <c:v>Q4</c:v>
                </c:pt>
                <c:pt idx="52">
                  <c:v>2024Q1</c:v>
                </c:pt>
                <c:pt idx="53">
                  <c:v>Q2</c:v>
                </c:pt>
                <c:pt idx="54">
                  <c:v>Q3</c:v>
                </c:pt>
                <c:pt idx="55">
                  <c:v>Q4</c:v>
                </c:pt>
                <c:pt idx="56">
                  <c:v>2025Q1</c:v>
                </c:pt>
                <c:pt idx="57">
                  <c:v>Q2</c:v>
                </c:pt>
                <c:pt idx="58">
                  <c:v>Q3</c:v>
                </c:pt>
                <c:pt idx="59">
                  <c:v>Q4</c:v>
                </c:pt>
                <c:pt idx="60">
                  <c:v>2026Q1</c:v>
                </c:pt>
                <c:pt idx="61">
                  <c:v>Q2</c:v>
                </c:pt>
                <c:pt idx="62">
                  <c:v>Q3</c:v>
                </c:pt>
                <c:pt idx="63">
                  <c:v>Q4</c:v>
                </c:pt>
                <c:pt idx="64">
                  <c:v>2027Q1</c:v>
                </c:pt>
                <c:pt idx="65">
                  <c:v>Q2</c:v>
                </c:pt>
                <c:pt idx="66">
                  <c:v>Q3</c:v>
                </c:pt>
                <c:pt idx="67">
                  <c:v>Q4</c:v>
                </c:pt>
                <c:pt idx="68">
                  <c:v>2028Q1</c:v>
                </c:pt>
                <c:pt idx="69">
                  <c:v>Q2</c:v>
                </c:pt>
                <c:pt idx="70">
                  <c:v>Q3</c:v>
                </c:pt>
                <c:pt idx="71">
                  <c:v>Q4</c:v>
                </c:pt>
                <c:pt idx="72">
                  <c:v>2029Q1</c:v>
                </c:pt>
                <c:pt idx="73">
                  <c:v>Q2</c:v>
                </c:pt>
                <c:pt idx="74">
                  <c:v>Q3</c:v>
                </c:pt>
                <c:pt idx="75">
                  <c:v>Q4</c:v>
                </c:pt>
                <c:pt idx="76">
                  <c:v>2030Q1</c:v>
                </c:pt>
                <c:pt idx="77">
                  <c:v>Q2</c:v>
                </c:pt>
                <c:pt idx="78">
                  <c:v>Q3</c:v>
                </c:pt>
                <c:pt idx="79">
                  <c:v>Q4</c:v>
                </c:pt>
                <c:pt idx="80">
                  <c:v>2031Q1</c:v>
                </c:pt>
                <c:pt idx="81">
                  <c:v>Q2</c:v>
                </c:pt>
                <c:pt idx="82">
                  <c:v>Q3</c:v>
                </c:pt>
                <c:pt idx="83">
                  <c:v>Q4</c:v>
                </c:pt>
                <c:pt idx="84">
                  <c:v>2032Q1</c:v>
                </c:pt>
                <c:pt idx="85">
                  <c:v>Q2</c:v>
                </c:pt>
                <c:pt idx="86">
                  <c:v>Q3</c:v>
                </c:pt>
                <c:pt idx="87">
                  <c:v>Q4</c:v>
                </c:pt>
                <c:pt idx="88">
                  <c:v>2033Q1</c:v>
                </c:pt>
                <c:pt idx="89">
                  <c:v>Q2</c:v>
                </c:pt>
                <c:pt idx="90">
                  <c:v>Q3</c:v>
                </c:pt>
                <c:pt idx="91">
                  <c:v>Q4</c:v>
                </c:pt>
              </c:strCache>
            </c:strRef>
          </c:cat>
          <c:val>
            <c:numRef>
              <c:f>'Qrtly Credit-Deficit Generation'!$C$49:$CP$49</c:f>
              <c:numCache>
                <c:formatCode>_(* #,##0_);_(* \(#,##0\);_(* "-"??_);_(@_)</c:formatCode>
                <c:ptCount val="92"/>
                <c:pt idx="0">
                  <c:v>143356</c:v>
                </c:pt>
                <c:pt idx="1">
                  <c:v>333667</c:v>
                </c:pt>
                <c:pt idx="2">
                  <c:v>551103</c:v>
                </c:pt>
                <c:pt idx="3">
                  <c:v>748158</c:v>
                </c:pt>
                <c:pt idx="4">
                  <c:v>874289</c:v>
                </c:pt>
                <c:pt idx="5">
                  <c:v>1002322</c:v>
                </c:pt>
                <c:pt idx="6">
                  <c:v>1214030</c:v>
                </c:pt>
                <c:pt idx="7">
                  <c:v>1420409</c:v>
                </c:pt>
                <c:pt idx="8">
                  <c:v>1514140</c:v>
                </c:pt>
                <c:pt idx="9">
                  <c:v>1710199</c:v>
                </c:pt>
                <c:pt idx="10">
                  <c:v>2195727</c:v>
                </c:pt>
                <c:pt idx="11">
                  <c:v>2679484</c:v>
                </c:pt>
                <c:pt idx="12">
                  <c:v>3044507</c:v>
                </c:pt>
                <c:pt idx="13">
                  <c:v>3503001</c:v>
                </c:pt>
                <c:pt idx="14">
                  <c:v>3991011</c:v>
                </c:pt>
                <c:pt idx="15">
                  <c:v>4412427</c:v>
                </c:pt>
                <c:pt idx="16">
                  <c:v>4915207</c:v>
                </c:pt>
                <c:pt idx="17">
                  <c:v>5562237</c:v>
                </c:pt>
                <c:pt idx="18">
                  <c:v>6376219</c:v>
                </c:pt>
                <c:pt idx="19">
                  <c:v>7256907</c:v>
                </c:pt>
                <c:pt idx="20">
                  <c:v>7537619</c:v>
                </c:pt>
                <c:pt idx="21">
                  <c:v>8312183</c:v>
                </c:pt>
                <c:pt idx="22">
                  <c:v>9004600</c:v>
                </c:pt>
                <c:pt idx="23">
                  <c:v>9860228</c:v>
                </c:pt>
                <c:pt idx="24">
                  <c:v>9699253</c:v>
                </c:pt>
                <c:pt idx="25">
                  <c:v>9784005</c:v>
                </c:pt>
                <c:pt idx="26">
                  <c:v>9944921</c:v>
                </c:pt>
                <c:pt idx="27">
                  <c:v>9864812</c:v>
                </c:pt>
                <c:pt idx="28">
                  <c:v>9526971</c:v>
                </c:pt>
                <c:pt idx="29">
                  <c:v>9111975</c:v>
                </c:pt>
                <c:pt idx="30">
                  <c:v>8798591</c:v>
                </c:pt>
                <c:pt idx="31">
                  <c:v>8918202</c:v>
                </c:pt>
                <c:pt idx="32">
                  <c:v>8523082</c:v>
                </c:pt>
                <c:pt idx="33">
                  <c:v>8333578</c:v>
                </c:pt>
                <c:pt idx="34">
                  <c:v>8231775</c:v>
                </c:pt>
                <c:pt idx="35">
                  <c:v>8439052</c:v>
                </c:pt>
                <c:pt idx="36">
                  <c:v>8004136</c:v>
                </c:pt>
                <c:pt idx="37">
                  <c:v>7870851</c:v>
                </c:pt>
                <c:pt idx="38">
                  <c:v>7937912</c:v>
                </c:pt>
                <c:pt idx="39">
                  <c:v>8343187</c:v>
                </c:pt>
                <c:pt idx="40">
                  <c:v>8083108</c:v>
                </c:pt>
                <c:pt idx="41">
                  <c:v>8268007</c:v>
                </c:pt>
                <c:pt idx="42">
                  <c:v>8650567</c:v>
                </c:pt>
                <c:pt idx="43">
                  <c:v>9568451</c:v>
                </c:pt>
                <c:pt idx="44">
                  <c:v>10259696</c:v>
                </c:pt>
                <c:pt idx="45">
                  <c:v>11622730</c:v>
                </c:pt>
                <c:pt idx="46">
                  <c:v>13355770</c:v>
                </c:pt>
                <c:pt idx="47">
                  <c:v>15010127</c:v>
                </c:pt>
                <c:pt idx="48">
                  <c:v>16349719</c:v>
                </c:pt>
                <c:pt idx="49">
                  <c:v>17946528</c:v>
                </c:pt>
                <c:pt idx="50" formatCode="#,##0_);[Red]\(#,##0\)">
                  <c:v>20582314</c:v>
                </c:pt>
                <c:pt idx="51" formatCode="#,##0_);[Red]\(#,##0\)">
                  <c:v>25579184.190635171</c:v>
                </c:pt>
                <c:pt idx="52" formatCode="#,##0_);[Red]\(#,##0\)">
                  <c:v>28036997.190635175</c:v>
                </c:pt>
                <c:pt idx="53" formatCode="#,##0_);[Red]\(#,##0\)">
                  <c:v>31155069.190635175</c:v>
                </c:pt>
                <c:pt idx="54" formatCode="#,##0_);[Red]\(#,##0\)">
                  <c:v>42733957.319945246</c:v>
                </c:pt>
                <c:pt idx="55" formatCode="#,##0_);[Red]\(#,##0\)">
                  <c:v>43388084.319945246</c:v>
                </c:pt>
                <c:pt idx="56" formatCode="#,##0_);[Red]\(#,##0\)">
                  <c:v>44222399.166132271</c:v>
                </c:pt>
                <c:pt idx="57" formatCode="#,##0_);[Red]\(#,##0\)">
                  <c:v>44947341.394801416</c:v>
                </c:pt>
                <c:pt idx="58" formatCode="#,##0_);[Red]\(#,##0\)">
                  <c:v>46126196.181609862</c:v>
                </c:pt>
                <c:pt idx="59" formatCode="#,##0_);[Red]\(#,##0\)">
                  <c:v>45801879.921487942</c:v>
                </c:pt>
                <c:pt idx="60" formatCode="#,##0_);[Red]\(#,##0\)">
                  <c:v>45983083.272005066</c:v>
                </c:pt>
                <c:pt idx="61" formatCode="#,##0_);[Red]\(#,##0\)">
                  <c:v>47135718.023838848</c:v>
                </c:pt>
                <c:pt idx="62" formatCode="#,##0_);[Red]\(#,##0\)">
                  <c:v>47601261.420115486</c:v>
                </c:pt>
                <c:pt idx="63" formatCode="#,##0_);[Red]\(#,##0\)">
                  <c:v>47550553.173572101</c:v>
                </c:pt>
                <c:pt idx="64" formatCode="#,##0_);[Red]\(#,##0\)">
                  <c:v>47798117.153882518</c:v>
                </c:pt>
                <c:pt idx="65" formatCode="#,##0_);[Red]\(#,##0\)">
                  <c:v>49518469.893502943</c:v>
                </c:pt>
                <c:pt idx="66" formatCode="#,##0_);[Red]\(#,##0\)">
                  <c:v>50671905.99892427</c:v>
                </c:pt>
                <c:pt idx="67" formatCode="#,##0_);[Red]\(#,##0\)">
                  <c:v>51378308.880506344</c:v>
                </c:pt>
                <c:pt idx="68" formatCode="#,##0_);[Red]\(#,##0\)">
                  <c:v>50178308.880506337</c:v>
                </c:pt>
                <c:pt idx="69" formatCode="#,##0_);[Red]\(#,##0\)">
                  <c:v>52731977.622170918</c:v>
                </c:pt>
                <c:pt idx="70" formatCode="#,##0_);[Red]\(#,##0\)">
                  <c:v>53614446.982493989</c:v>
                </c:pt>
                <c:pt idx="71" formatCode="#,##0_);[Red]\(#,##0\)">
                  <c:v>52859537.027413547</c:v>
                </c:pt>
                <c:pt idx="72" formatCode="#,##0_);[Red]\(#,##0\)">
                  <c:v>51859537.027413547</c:v>
                </c:pt>
                <c:pt idx="73" formatCode="#,##0_);[Red]\(#,##0\)">
                  <c:v>54645236.851648092</c:v>
                </c:pt>
                <c:pt idx="74" formatCode="#,##0_);[Red]\(#,##0\)">
                  <c:v>56256203.163557813</c:v>
                </c:pt>
                <c:pt idx="75" formatCode="#,##0_);[Red]\(#,##0\)">
                  <c:v>54323157.601979807</c:v>
                </c:pt>
                <c:pt idx="76" formatCode="#,##0_);[Red]\(#,##0\)">
                  <c:v>53323157.601979807</c:v>
                </c:pt>
                <c:pt idx="77" formatCode="#,##0_);[Red]\(#,##0\)">
                  <c:v>62152169.300859071</c:v>
                </c:pt>
                <c:pt idx="78" formatCode="#,##0_);[Red]\(#,##0\)">
                  <c:v>73479750.402238771</c:v>
                </c:pt>
                <c:pt idx="79" formatCode="#,##0_);[Red]\(#,##0\)">
                  <c:v>73509162.33019498</c:v>
                </c:pt>
                <c:pt idx="80" formatCode="#,##0_);[Red]\(#,##0\)">
                  <c:v>72509162.33019498</c:v>
                </c:pt>
                <c:pt idx="81" formatCode="#,##0_);[Red]\(#,##0\)">
                  <c:v>81831225.518208578</c:v>
                </c:pt>
                <c:pt idx="82" formatCode="#,##0_);[Red]\(#,##0\)">
                  <c:v>93529698.651041865</c:v>
                </c:pt>
                <c:pt idx="83" formatCode="#,##0_);[Red]\(#,##0\)">
                  <c:v>90529698.651041865</c:v>
                </c:pt>
                <c:pt idx="84" formatCode="#,##0_);[Red]\(#,##0\)">
                  <c:v>87529698.651041865</c:v>
                </c:pt>
                <c:pt idx="85" formatCode="#,##0_);[Red]\(#,##0\)">
                  <c:v>98635440.470793813</c:v>
                </c:pt>
                <c:pt idx="86" formatCode="#,##0_);[Red]\(#,##0\)">
                  <c:v>111836465.02344851</c:v>
                </c:pt>
                <c:pt idx="87" formatCode="#,##0_);[Red]\(#,##0\)">
                  <c:v>108836465.02344851</c:v>
                </c:pt>
                <c:pt idx="88" formatCode="#,##0_);[Red]\(#,##0\)">
                  <c:v>104336465.02344853</c:v>
                </c:pt>
                <c:pt idx="89" formatCode="#,##0_);[Red]\(#,##0\)">
                  <c:v>106971838.32098208</c:v>
                </c:pt>
                <c:pt idx="90" formatCode="#,##0_);[Red]\(#,##0\)">
                  <c:v>109634179.66426541</c:v>
                </c:pt>
                <c:pt idx="91" formatCode="#,##0_);[Red]\(#,##0\)">
                  <c:v>100634179.66426541</c:v>
                </c:pt>
              </c:numCache>
            </c:numRef>
          </c:val>
          <c:smooth val="0"/>
          <c:extLst>
            <c:ext xmlns:c16="http://schemas.microsoft.com/office/drawing/2014/chart" uri="{C3380CC4-5D6E-409C-BE32-E72D297353CC}">
              <c16:uniqueId val="{0000001C-606A-42EA-AAF0-836548FF00FB}"/>
            </c:ext>
          </c:extLst>
        </c:ser>
        <c:dLbls>
          <c:showLegendKey val="0"/>
          <c:showVal val="0"/>
          <c:showCatName val="0"/>
          <c:showSerName val="0"/>
          <c:showPercent val="0"/>
          <c:showBubbleSize val="0"/>
        </c:dLbls>
        <c:marker val="1"/>
        <c:smooth val="0"/>
        <c:axId val="1196027488"/>
        <c:axId val="1196027072"/>
      </c:lineChart>
      <c:catAx>
        <c:axId val="295883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295886983"/>
        <c:crosses val="autoZero"/>
        <c:auto val="1"/>
        <c:lblAlgn val="ctr"/>
        <c:lblOffset val="100"/>
        <c:tickLblSkip val="2"/>
        <c:noMultiLvlLbl val="0"/>
      </c:catAx>
      <c:valAx>
        <c:axId val="295886983"/>
        <c:scaling>
          <c:orientation val="minMax"/>
        </c:scaling>
        <c:delete val="0"/>
        <c:axPos val="l"/>
        <c:majorGridlines>
          <c:spPr>
            <a:ln w="9525" cap="flat" cmpd="sng" algn="ctr">
              <a:solidFill>
                <a:schemeClr val="bg1">
                  <a:lumMod val="6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295883375"/>
        <c:crosses val="autoZero"/>
        <c:crossBetween val="between"/>
        <c:dispUnits>
          <c:builtInUnit val="millions"/>
          <c:dispUnitsLbl>
            <c:layout>
              <c:manualLayout>
                <c:xMode val="edge"/>
                <c:yMode val="edge"/>
                <c:x val="1.1152044648090137E-2"/>
                <c:y val="0.39898950345096185"/>
              </c:manualLayout>
            </c:layout>
            <c:tx>
              <c:rich>
                <a:bodyPr rot="-5400000" spcFirstLastPara="1" vertOverflow="ellipsis" vert="horz" wrap="square" anchor="ctr" anchorCtr="1"/>
                <a:lstStyle/>
                <a:p>
                  <a:pPr>
                    <a:defRPr sz="12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200"/>
                    <a:t>(million</a:t>
                  </a:r>
                  <a:r>
                    <a:rPr lang="en-US" sz="1200" baseline="0"/>
                    <a:t> tonnes)</a:t>
                  </a:r>
                  <a:endParaRPr lang="en-US" sz="1200"/>
                </a:p>
              </c:rich>
            </c:tx>
            <c:spPr>
              <a:noFill/>
              <a:ln>
                <a:noFill/>
              </a:ln>
              <a:effectLst/>
            </c:spPr>
            <c:txPr>
              <a:bodyPr rot="-5400000" spcFirstLastPara="1" vertOverflow="ellipsis" vert="horz" wrap="square" anchor="ctr" anchorCtr="1"/>
              <a:lstStyle/>
              <a:p>
                <a:pPr>
                  <a:defRPr sz="12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ispUnitsLbl>
        </c:dispUnits>
      </c:valAx>
      <c:valAx>
        <c:axId val="1196027072"/>
        <c:scaling>
          <c:orientation val="minMax"/>
        </c:scaling>
        <c:delete val="0"/>
        <c:axPos val="r"/>
        <c:title>
          <c:tx>
            <c:rich>
              <a:bodyPr rot="-5400000" spcFirstLastPara="1" vertOverflow="ellipsis" vert="horz" wrap="square" anchor="ctr" anchorCtr="1"/>
              <a:lstStyle/>
              <a:p>
                <a:pPr>
                  <a:defRPr sz="12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200"/>
                  <a:t>(million tonnes) </a:t>
                </a:r>
              </a:p>
            </c:rich>
          </c:tx>
          <c:overlay val="0"/>
          <c:spPr>
            <a:noFill/>
            <a:ln>
              <a:noFill/>
            </a:ln>
            <a:effectLst/>
          </c:spPr>
          <c:txPr>
            <a:bodyPr rot="-5400000" spcFirstLastPara="1" vertOverflow="ellipsis" vert="horz" wrap="square" anchor="ctr" anchorCtr="1"/>
            <a:lstStyle/>
            <a:p>
              <a:pPr>
                <a:defRPr sz="12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196027488"/>
        <c:crosses val="max"/>
        <c:crossBetween val="between"/>
        <c:dispUnits>
          <c:builtInUnit val="millions"/>
        </c:dispUnits>
      </c:valAx>
      <c:catAx>
        <c:axId val="1196027488"/>
        <c:scaling>
          <c:orientation val="minMax"/>
        </c:scaling>
        <c:delete val="1"/>
        <c:axPos val="b"/>
        <c:numFmt formatCode="General" sourceLinked="1"/>
        <c:majorTickMark val="out"/>
        <c:minorTickMark val="none"/>
        <c:tickLblPos val="nextTo"/>
        <c:crossAx val="1196027072"/>
        <c:crosses val="autoZero"/>
        <c:auto val="1"/>
        <c:lblAlgn val="ctr"/>
        <c:lblOffset val="100"/>
        <c:noMultiLvlLbl val="0"/>
      </c:catAx>
      <c:spPr>
        <a:noFill/>
        <a:ln>
          <a:solidFill>
            <a:srgbClr val="5D803B"/>
          </a:solidFill>
        </a:ln>
        <a:effectLst/>
      </c:spPr>
    </c:plotArea>
    <c:legend>
      <c:legendPos val="b"/>
      <c:layout>
        <c:manualLayout>
          <c:xMode val="edge"/>
          <c:yMode val="edge"/>
          <c:x val="0.11024280964301514"/>
          <c:y val="9.9496098031837441E-2"/>
          <c:w val="0.55197532285343109"/>
          <c:h val="6.2562027095743392E-2"/>
        </c:manualLayout>
      </c:layout>
      <c:overlay val="0"/>
      <c:spPr>
        <a:solidFill>
          <a:schemeClr val="bg1"/>
        </a:solidFill>
        <a:ln>
          <a:solidFill>
            <a:srgbClr val="5D803B"/>
          </a:solidFill>
        </a:ln>
        <a:effectLst/>
      </c:spPr>
      <c:txPr>
        <a:bodyPr rot="0" spcFirstLastPara="1" vertOverflow="ellipsis" vert="horz" wrap="square" anchor="ctr" anchorCtr="1"/>
        <a:lstStyle/>
        <a:p>
          <a:pPr>
            <a:defRPr sz="14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b="1">
          <a:solidFill>
            <a:sysClr val="windowText" lastClr="000000"/>
          </a:solidFill>
          <a:latin typeface="Arial" panose="020B0604020202020204" pitchFamily="34" charset="0"/>
          <a:cs typeface="Arial" panose="020B0604020202020204" pitchFamily="34" charset="0"/>
        </a:defRPr>
      </a:pPr>
      <a:endParaRPr lang="en-US"/>
    </a:p>
  </c:txPr>
  <c:userShapes r:id="rId3"/>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8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US" sz="2800"/>
              <a:t>Alternative Fuel Volumes</a:t>
            </a:r>
          </a:p>
        </c:rich>
      </c:tx>
      <c:overlay val="0"/>
      <c:spPr>
        <a:noFill/>
        <a:ln>
          <a:noFill/>
        </a:ln>
        <a:effectLst/>
      </c:spPr>
      <c:txPr>
        <a:bodyPr rot="0" spcFirstLastPara="1" vertOverflow="ellipsis" vert="horz" wrap="square" anchor="ctr" anchorCtr="1"/>
        <a:lstStyle/>
        <a:p>
          <a:pPr>
            <a:defRPr sz="28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9.9239775737583191E-2"/>
          <c:y val="0.10633736504269367"/>
          <c:w val="0.88604022406010907"/>
          <c:h val="0.80605040299166142"/>
        </c:manualLayout>
      </c:layout>
      <c:barChart>
        <c:barDir val="col"/>
        <c:grouping val="stacked"/>
        <c:varyColors val="0"/>
        <c:ser>
          <c:idx val="1"/>
          <c:order val="0"/>
          <c:tx>
            <c:strRef>
              <c:f>'Fuel Vol and Credit Gen'!$A$78</c:f>
              <c:strCache>
                <c:ptCount val="1"/>
                <c:pt idx="0">
                  <c:v>Biodiesel</c:v>
                </c:pt>
              </c:strCache>
            </c:strRef>
          </c:tx>
          <c:spPr>
            <a:solidFill>
              <a:schemeClr val="accent2"/>
            </a:solidFill>
            <a:ln>
              <a:solidFill>
                <a:schemeClr val="tx1"/>
              </a:solidFill>
            </a:ln>
            <a:effectLst/>
          </c:spPr>
          <c:invertIfNegative val="0"/>
          <c:cat>
            <c:numRef>
              <c:f>'Fuel Vol and Credit Gen'!$I$77:$X$77</c:f>
              <c:numCache>
                <c:formatCode>General</c:formatCode>
                <c:ptCount val="16"/>
                <c:pt idx="0">
                  <c:v>2018</c:v>
                </c:pt>
                <c:pt idx="1">
                  <c:v>2019</c:v>
                </c:pt>
                <c:pt idx="2">
                  <c:v>2020</c:v>
                </c:pt>
                <c:pt idx="3">
                  <c:v>2021</c:v>
                </c:pt>
                <c:pt idx="4">
                  <c:v>2022</c:v>
                </c:pt>
                <c:pt idx="5">
                  <c:v>2023</c:v>
                </c:pt>
                <c:pt idx="6">
                  <c:v>2024</c:v>
                </c:pt>
                <c:pt idx="7">
                  <c:v>2025</c:v>
                </c:pt>
                <c:pt idx="8">
                  <c:v>2026</c:v>
                </c:pt>
                <c:pt idx="9">
                  <c:v>2027</c:v>
                </c:pt>
                <c:pt idx="10">
                  <c:v>2028</c:v>
                </c:pt>
                <c:pt idx="11">
                  <c:v>2029</c:v>
                </c:pt>
                <c:pt idx="12">
                  <c:v>2030</c:v>
                </c:pt>
                <c:pt idx="13">
                  <c:v>2031</c:v>
                </c:pt>
                <c:pt idx="14">
                  <c:v>2032</c:v>
                </c:pt>
                <c:pt idx="15">
                  <c:v>2033</c:v>
                </c:pt>
              </c:numCache>
            </c:numRef>
          </c:cat>
          <c:val>
            <c:numRef>
              <c:f>'Fuel Vol and Credit Gen'!$I$78:$X$78</c:f>
              <c:numCache>
                <c:formatCode>_(* #,##0_);_(* \(#,##0\);_(* "-"??_);_(@_)</c:formatCode>
                <c:ptCount val="16"/>
                <c:pt idx="0">
                  <c:v>200.82479688603991</c:v>
                </c:pt>
                <c:pt idx="1">
                  <c:v>230.37974117119921</c:v>
                </c:pt>
                <c:pt idx="2">
                  <c:v>290.13778418553056</c:v>
                </c:pt>
                <c:pt idx="3">
                  <c:v>315.86584648536655</c:v>
                </c:pt>
                <c:pt idx="4">
                  <c:v>306.16602916092552</c:v>
                </c:pt>
                <c:pt idx="5">
                  <c:v>1315.422931817405</c:v>
                </c:pt>
                <c:pt idx="6">
                  <c:v>253.73777165049083</c:v>
                </c:pt>
                <c:pt idx="7">
                  <c:v>258.62018828673968</c:v>
                </c:pt>
                <c:pt idx="8">
                  <c:v>260.45728772759406</c:v>
                </c:pt>
                <c:pt idx="9">
                  <c:v>263.5381477679241</c:v>
                </c:pt>
                <c:pt idx="10">
                  <c:v>225.60916326172142</c:v>
                </c:pt>
                <c:pt idx="11">
                  <c:v>242.05394084495907</c:v>
                </c:pt>
                <c:pt idx="12">
                  <c:v>260.03235574805933</c:v>
                </c:pt>
                <c:pt idx="13">
                  <c:v>255.9182865475542</c:v>
                </c:pt>
                <c:pt idx="14">
                  <c:v>258.81329062901267</c:v>
                </c:pt>
                <c:pt idx="15">
                  <c:v>257.13085742344612</c:v>
                </c:pt>
              </c:numCache>
            </c:numRef>
          </c:val>
          <c:extLst>
            <c:ext xmlns:c16="http://schemas.microsoft.com/office/drawing/2014/chart" uri="{C3380CC4-5D6E-409C-BE32-E72D297353CC}">
              <c16:uniqueId val="{00000000-2014-4D20-A50C-0CDA0AEBF5D6}"/>
            </c:ext>
          </c:extLst>
        </c:ser>
        <c:ser>
          <c:idx val="2"/>
          <c:order val="1"/>
          <c:tx>
            <c:strRef>
              <c:f>'Fuel Vol and Credit Gen'!$A$79</c:f>
              <c:strCache>
                <c:ptCount val="1"/>
                <c:pt idx="0">
                  <c:v>Biomethane</c:v>
                </c:pt>
              </c:strCache>
            </c:strRef>
          </c:tx>
          <c:spPr>
            <a:solidFill>
              <a:schemeClr val="accent3"/>
            </a:solidFill>
            <a:ln>
              <a:solidFill>
                <a:schemeClr val="tx1"/>
              </a:solidFill>
            </a:ln>
            <a:effectLst/>
          </c:spPr>
          <c:invertIfNegative val="0"/>
          <c:cat>
            <c:numRef>
              <c:f>'Fuel Vol and Credit Gen'!$I$77:$X$77</c:f>
              <c:numCache>
                <c:formatCode>General</c:formatCode>
                <c:ptCount val="16"/>
                <c:pt idx="0">
                  <c:v>2018</c:v>
                </c:pt>
                <c:pt idx="1">
                  <c:v>2019</c:v>
                </c:pt>
                <c:pt idx="2">
                  <c:v>2020</c:v>
                </c:pt>
                <c:pt idx="3">
                  <c:v>2021</c:v>
                </c:pt>
                <c:pt idx="4">
                  <c:v>2022</c:v>
                </c:pt>
                <c:pt idx="5">
                  <c:v>2023</c:v>
                </c:pt>
                <c:pt idx="6">
                  <c:v>2024</c:v>
                </c:pt>
                <c:pt idx="7">
                  <c:v>2025</c:v>
                </c:pt>
                <c:pt idx="8">
                  <c:v>2026</c:v>
                </c:pt>
                <c:pt idx="9">
                  <c:v>2027</c:v>
                </c:pt>
                <c:pt idx="10">
                  <c:v>2028</c:v>
                </c:pt>
                <c:pt idx="11">
                  <c:v>2029</c:v>
                </c:pt>
                <c:pt idx="12">
                  <c:v>2030</c:v>
                </c:pt>
                <c:pt idx="13">
                  <c:v>2031</c:v>
                </c:pt>
                <c:pt idx="14">
                  <c:v>2032</c:v>
                </c:pt>
                <c:pt idx="15">
                  <c:v>2033</c:v>
                </c:pt>
              </c:numCache>
            </c:numRef>
          </c:cat>
          <c:val>
            <c:numRef>
              <c:f>'Fuel Vol and Credit Gen'!$I$79:$X$79</c:f>
              <c:numCache>
                <c:formatCode>_(* #,##0_);_(* \(#,##0\);_(* "-"??_);_(@_)</c:formatCode>
                <c:ptCount val="16"/>
                <c:pt idx="0">
                  <c:v>139.17853502218767</c:v>
                </c:pt>
                <c:pt idx="1">
                  <c:v>161.69648557877926</c:v>
                </c:pt>
                <c:pt idx="2">
                  <c:v>175.98392830294398</c:v>
                </c:pt>
                <c:pt idx="3">
                  <c:v>202.64662550746786</c:v>
                </c:pt>
                <c:pt idx="4">
                  <c:v>221.10873657325391</c:v>
                </c:pt>
                <c:pt idx="5">
                  <c:v>235.78701763524134</c:v>
                </c:pt>
                <c:pt idx="6">
                  <c:v>244.64923610981612</c:v>
                </c:pt>
                <c:pt idx="7">
                  <c:v>221.10873657325391</c:v>
                </c:pt>
                <c:pt idx="8">
                  <c:v>221.10873657325391</c:v>
                </c:pt>
                <c:pt idx="9">
                  <c:v>221.10873657325391</c:v>
                </c:pt>
                <c:pt idx="10">
                  <c:v>221.10873657325391</c:v>
                </c:pt>
                <c:pt idx="11">
                  <c:v>221.10873657325391</c:v>
                </c:pt>
                <c:pt idx="12">
                  <c:v>221.10873657325391</c:v>
                </c:pt>
                <c:pt idx="13">
                  <c:v>221.10873657325391</c:v>
                </c:pt>
                <c:pt idx="14">
                  <c:v>221.10873657325391</c:v>
                </c:pt>
                <c:pt idx="15">
                  <c:v>221.10873657325391</c:v>
                </c:pt>
              </c:numCache>
            </c:numRef>
          </c:val>
          <c:extLst>
            <c:ext xmlns:c16="http://schemas.microsoft.com/office/drawing/2014/chart" uri="{C3380CC4-5D6E-409C-BE32-E72D297353CC}">
              <c16:uniqueId val="{00000001-2014-4D20-A50C-0CDA0AEBF5D6}"/>
            </c:ext>
          </c:extLst>
        </c:ser>
        <c:ser>
          <c:idx val="3"/>
          <c:order val="2"/>
          <c:tx>
            <c:strRef>
              <c:f>'Fuel Vol and Credit Gen'!$A$80</c:f>
              <c:strCache>
                <c:ptCount val="1"/>
                <c:pt idx="0">
                  <c:v>Fossil Natural Gas</c:v>
                </c:pt>
              </c:strCache>
            </c:strRef>
          </c:tx>
          <c:spPr>
            <a:solidFill>
              <a:schemeClr val="accent4"/>
            </a:solidFill>
            <a:ln>
              <a:solidFill>
                <a:schemeClr val="tx1"/>
              </a:solidFill>
            </a:ln>
            <a:effectLst/>
          </c:spPr>
          <c:invertIfNegative val="0"/>
          <c:cat>
            <c:numRef>
              <c:f>'Fuel Vol and Credit Gen'!$I$77:$X$77</c:f>
              <c:numCache>
                <c:formatCode>General</c:formatCode>
                <c:ptCount val="16"/>
                <c:pt idx="0">
                  <c:v>2018</c:v>
                </c:pt>
                <c:pt idx="1">
                  <c:v>2019</c:v>
                </c:pt>
                <c:pt idx="2">
                  <c:v>2020</c:v>
                </c:pt>
                <c:pt idx="3">
                  <c:v>2021</c:v>
                </c:pt>
                <c:pt idx="4">
                  <c:v>2022</c:v>
                </c:pt>
                <c:pt idx="5">
                  <c:v>2023</c:v>
                </c:pt>
                <c:pt idx="6">
                  <c:v>2024</c:v>
                </c:pt>
                <c:pt idx="7">
                  <c:v>2025</c:v>
                </c:pt>
                <c:pt idx="8">
                  <c:v>2026</c:v>
                </c:pt>
                <c:pt idx="9">
                  <c:v>2027</c:v>
                </c:pt>
                <c:pt idx="10">
                  <c:v>2028</c:v>
                </c:pt>
                <c:pt idx="11">
                  <c:v>2029</c:v>
                </c:pt>
                <c:pt idx="12">
                  <c:v>2030</c:v>
                </c:pt>
                <c:pt idx="13">
                  <c:v>2031</c:v>
                </c:pt>
                <c:pt idx="14">
                  <c:v>2032</c:v>
                </c:pt>
                <c:pt idx="15">
                  <c:v>2033</c:v>
                </c:pt>
              </c:numCache>
            </c:numRef>
          </c:cat>
          <c:val>
            <c:numRef>
              <c:f>'Fuel Vol and Credit Gen'!$I$80:$X$80</c:f>
              <c:numCache>
                <c:formatCode>_(* #,##0_);_(* \(#,##0\);_(* "-"??_);_(@_)</c:formatCode>
                <c:ptCount val="16"/>
                <c:pt idx="0">
                  <c:v>55.915202093671766</c:v>
                </c:pt>
                <c:pt idx="1">
                  <c:v>47.213652224725898</c:v>
                </c:pt>
                <c:pt idx="2">
                  <c:v>14.674661296296295</c:v>
                </c:pt>
                <c:pt idx="3">
                  <c:v>4.787474473020807</c:v>
                </c:pt>
                <c:pt idx="4">
                  <c:v>8.1161984645601315</c:v>
                </c:pt>
                <c:pt idx="5">
                  <c:v>7.887650545281879</c:v>
                </c:pt>
                <c:pt idx="6">
                  <c:v>2.6103097969568214</c:v>
                </c:pt>
                <c:pt idx="7">
                  <c:v>2.3155159257378637</c:v>
                </c:pt>
                <c:pt idx="8">
                  <c:v>4.2548261693183944</c:v>
                </c:pt>
                <c:pt idx="9">
                  <c:v>5.3364321184282728</c:v>
                </c:pt>
                <c:pt idx="10">
                  <c:v>6.7551368353202967</c:v>
                </c:pt>
                <c:pt idx="11">
                  <c:v>8.0545416181308447</c:v>
                </c:pt>
                <c:pt idx="12">
                  <c:v>7.3355786028577246</c:v>
                </c:pt>
                <c:pt idx="13">
                  <c:v>7.293636070494907</c:v>
                </c:pt>
                <c:pt idx="14">
                  <c:v>7.4702432063887061</c:v>
                </c:pt>
                <c:pt idx="15">
                  <c:v>7.8229934314018683</c:v>
                </c:pt>
              </c:numCache>
            </c:numRef>
          </c:val>
          <c:extLst>
            <c:ext xmlns:c16="http://schemas.microsoft.com/office/drawing/2014/chart" uri="{C3380CC4-5D6E-409C-BE32-E72D297353CC}">
              <c16:uniqueId val="{00000002-2014-4D20-A50C-0CDA0AEBF5D6}"/>
            </c:ext>
          </c:extLst>
        </c:ser>
        <c:ser>
          <c:idx val="4"/>
          <c:order val="3"/>
          <c:tx>
            <c:strRef>
              <c:f>'Fuel Vol and Credit Gen'!$A$81</c:f>
              <c:strCache>
                <c:ptCount val="1"/>
                <c:pt idx="0">
                  <c:v>Electricity</c:v>
                </c:pt>
              </c:strCache>
            </c:strRef>
          </c:tx>
          <c:spPr>
            <a:solidFill>
              <a:schemeClr val="accent5"/>
            </a:solidFill>
            <a:ln>
              <a:solidFill>
                <a:schemeClr val="tx1"/>
              </a:solidFill>
            </a:ln>
            <a:effectLst/>
          </c:spPr>
          <c:invertIfNegative val="0"/>
          <c:cat>
            <c:numRef>
              <c:f>'Fuel Vol and Credit Gen'!$I$77:$X$77</c:f>
              <c:numCache>
                <c:formatCode>General</c:formatCode>
                <c:ptCount val="16"/>
                <c:pt idx="0">
                  <c:v>2018</c:v>
                </c:pt>
                <c:pt idx="1">
                  <c:v>2019</c:v>
                </c:pt>
                <c:pt idx="2">
                  <c:v>2020</c:v>
                </c:pt>
                <c:pt idx="3">
                  <c:v>2021</c:v>
                </c:pt>
                <c:pt idx="4">
                  <c:v>2022</c:v>
                </c:pt>
                <c:pt idx="5">
                  <c:v>2023</c:v>
                </c:pt>
                <c:pt idx="6">
                  <c:v>2024</c:v>
                </c:pt>
                <c:pt idx="7">
                  <c:v>2025</c:v>
                </c:pt>
                <c:pt idx="8">
                  <c:v>2026</c:v>
                </c:pt>
                <c:pt idx="9">
                  <c:v>2027</c:v>
                </c:pt>
                <c:pt idx="10">
                  <c:v>2028</c:v>
                </c:pt>
                <c:pt idx="11">
                  <c:v>2029</c:v>
                </c:pt>
                <c:pt idx="12">
                  <c:v>2030</c:v>
                </c:pt>
                <c:pt idx="13">
                  <c:v>2031</c:v>
                </c:pt>
                <c:pt idx="14">
                  <c:v>2032</c:v>
                </c:pt>
                <c:pt idx="15">
                  <c:v>2033</c:v>
                </c:pt>
              </c:numCache>
            </c:numRef>
          </c:cat>
          <c:val>
            <c:numRef>
              <c:f>'Fuel Vol and Credit Gen'!$I$81:$X$81</c:f>
              <c:numCache>
                <c:formatCode>_(* #,##0_);_(* \(#,##0\);_(* "-"??_);_(@_)</c:formatCode>
                <c:ptCount val="16"/>
                <c:pt idx="0">
                  <c:v>109.004857</c:v>
                </c:pt>
                <c:pt idx="1">
                  <c:v>122.832708</c:v>
                </c:pt>
                <c:pt idx="2">
                  <c:v>105.35299500000001</c:v>
                </c:pt>
                <c:pt idx="3">
                  <c:v>153.4648</c:v>
                </c:pt>
                <c:pt idx="4">
                  <c:v>218.94503749742196</c:v>
                </c:pt>
                <c:pt idx="5">
                  <c:v>860.37804300000005</c:v>
                </c:pt>
                <c:pt idx="6">
                  <c:v>316.15991802849067</c:v>
                </c:pt>
                <c:pt idx="7">
                  <c:v>342.83778126627567</c:v>
                </c:pt>
                <c:pt idx="8">
                  <c:v>411.47688405280803</c:v>
                </c:pt>
                <c:pt idx="9">
                  <c:v>479.03212374492801</c:v>
                </c:pt>
                <c:pt idx="10">
                  <c:v>546.59412898555161</c:v>
                </c:pt>
                <c:pt idx="11">
                  <c:v>615.49479312440633</c:v>
                </c:pt>
                <c:pt idx="12">
                  <c:v>684.10158279269569</c:v>
                </c:pt>
                <c:pt idx="13">
                  <c:v>752.15778985888323</c:v>
                </c:pt>
                <c:pt idx="14">
                  <c:v>819.862537206762</c:v>
                </c:pt>
                <c:pt idx="15">
                  <c:v>888.50041526579287</c:v>
                </c:pt>
              </c:numCache>
            </c:numRef>
          </c:val>
          <c:extLst>
            <c:ext xmlns:c16="http://schemas.microsoft.com/office/drawing/2014/chart" uri="{C3380CC4-5D6E-409C-BE32-E72D297353CC}">
              <c16:uniqueId val="{00000003-2014-4D20-A50C-0CDA0AEBF5D6}"/>
            </c:ext>
          </c:extLst>
        </c:ser>
        <c:ser>
          <c:idx val="5"/>
          <c:order val="4"/>
          <c:tx>
            <c:strRef>
              <c:f>'Fuel Vol and Credit Gen'!$A$82</c:f>
              <c:strCache>
                <c:ptCount val="1"/>
                <c:pt idx="0">
                  <c:v>Ethanol</c:v>
                </c:pt>
              </c:strCache>
            </c:strRef>
          </c:tx>
          <c:spPr>
            <a:solidFill>
              <a:schemeClr val="accent6"/>
            </a:solidFill>
            <a:ln>
              <a:solidFill>
                <a:schemeClr val="tx1"/>
              </a:solidFill>
            </a:ln>
            <a:effectLst/>
          </c:spPr>
          <c:invertIfNegative val="0"/>
          <c:cat>
            <c:numRef>
              <c:f>'Fuel Vol and Credit Gen'!$I$77:$X$77</c:f>
              <c:numCache>
                <c:formatCode>General</c:formatCode>
                <c:ptCount val="16"/>
                <c:pt idx="0">
                  <c:v>2018</c:v>
                </c:pt>
                <c:pt idx="1">
                  <c:v>2019</c:v>
                </c:pt>
                <c:pt idx="2">
                  <c:v>2020</c:v>
                </c:pt>
                <c:pt idx="3">
                  <c:v>2021</c:v>
                </c:pt>
                <c:pt idx="4">
                  <c:v>2022</c:v>
                </c:pt>
                <c:pt idx="5">
                  <c:v>2023</c:v>
                </c:pt>
                <c:pt idx="6">
                  <c:v>2024</c:v>
                </c:pt>
                <c:pt idx="7">
                  <c:v>2025</c:v>
                </c:pt>
                <c:pt idx="8">
                  <c:v>2026</c:v>
                </c:pt>
                <c:pt idx="9">
                  <c:v>2027</c:v>
                </c:pt>
                <c:pt idx="10">
                  <c:v>2028</c:v>
                </c:pt>
                <c:pt idx="11">
                  <c:v>2029</c:v>
                </c:pt>
                <c:pt idx="12">
                  <c:v>2030</c:v>
                </c:pt>
                <c:pt idx="13">
                  <c:v>2031</c:v>
                </c:pt>
                <c:pt idx="14">
                  <c:v>2032</c:v>
                </c:pt>
                <c:pt idx="15">
                  <c:v>2033</c:v>
                </c:pt>
              </c:numCache>
            </c:numRef>
          </c:cat>
          <c:val>
            <c:numRef>
              <c:f>'Fuel Vol and Credit Gen'!$I$82:$X$82</c:f>
              <c:numCache>
                <c:formatCode>_(* #,##0_);_(* \(#,##0\);_(* "-"??_);_(@_)</c:formatCode>
                <c:ptCount val="16"/>
                <c:pt idx="0">
                  <c:v>1126.529636851852</c:v>
                </c:pt>
                <c:pt idx="1">
                  <c:v>1095.9478990370371</c:v>
                </c:pt>
                <c:pt idx="2">
                  <c:v>914.15321581481476</c:v>
                </c:pt>
                <c:pt idx="3">
                  <c:v>999.85651651851845</c:v>
                </c:pt>
                <c:pt idx="4">
                  <c:v>1025.0633985185186</c:v>
                </c:pt>
                <c:pt idx="5">
                  <c:v>552.04893933333324</c:v>
                </c:pt>
                <c:pt idx="6">
                  <c:v>1009.2241259259258</c:v>
                </c:pt>
                <c:pt idx="7">
                  <c:v>1025.0633985185186</c:v>
                </c:pt>
                <c:pt idx="8">
                  <c:v>1025.0633985185186</c:v>
                </c:pt>
                <c:pt idx="9">
                  <c:v>1025.0633985185186</c:v>
                </c:pt>
                <c:pt idx="10">
                  <c:v>1025.0633985185186</c:v>
                </c:pt>
                <c:pt idx="11">
                  <c:v>1025.0633985185186</c:v>
                </c:pt>
                <c:pt idx="12">
                  <c:v>1025.0633985185186</c:v>
                </c:pt>
                <c:pt idx="13">
                  <c:v>1025.0633985185186</c:v>
                </c:pt>
                <c:pt idx="14">
                  <c:v>1025.0633985185186</c:v>
                </c:pt>
                <c:pt idx="15">
                  <c:v>1025.0633985185186</c:v>
                </c:pt>
              </c:numCache>
            </c:numRef>
          </c:val>
          <c:extLst>
            <c:ext xmlns:c16="http://schemas.microsoft.com/office/drawing/2014/chart" uri="{C3380CC4-5D6E-409C-BE32-E72D297353CC}">
              <c16:uniqueId val="{00000004-2014-4D20-A50C-0CDA0AEBF5D6}"/>
            </c:ext>
          </c:extLst>
        </c:ser>
        <c:ser>
          <c:idx val="6"/>
          <c:order val="5"/>
          <c:tx>
            <c:strRef>
              <c:f>'Fuel Vol and Credit Gen'!$A$83</c:f>
              <c:strCache>
                <c:ptCount val="1"/>
                <c:pt idx="0">
                  <c:v>Renewable Diesel</c:v>
                </c:pt>
              </c:strCache>
            </c:strRef>
          </c:tx>
          <c:spPr>
            <a:solidFill>
              <a:schemeClr val="accent1">
                <a:lumMod val="60000"/>
              </a:schemeClr>
            </a:solidFill>
            <a:ln>
              <a:solidFill>
                <a:schemeClr val="tx1"/>
              </a:solidFill>
            </a:ln>
            <a:effectLst/>
          </c:spPr>
          <c:invertIfNegative val="0"/>
          <c:cat>
            <c:numRef>
              <c:f>'Fuel Vol and Credit Gen'!$I$77:$X$77</c:f>
              <c:numCache>
                <c:formatCode>General</c:formatCode>
                <c:ptCount val="16"/>
                <c:pt idx="0">
                  <c:v>2018</c:v>
                </c:pt>
                <c:pt idx="1">
                  <c:v>2019</c:v>
                </c:pt>
                <c:pt idx="2">
                  <c:v>2020</c:v>
                </c:pt>
                <c:pt idx="3">
                  <c:v>2021</c:v>
                </c:pt>
                <c:pt idx="4">
                  <c:v>2022</c:v>
                </c:pt>
                <c:pt idx="5">
                  <c:v>2023</c:v>
                </c:pt>
                <c:pt idx="6">
                  <c:v>2024</c:v>
                </c:pt>
                <c:pt idx="7">
                  <c:v>2025</c:v>
                </c:pt>
                <c:pt idx="8">
                  <c:v>2026</c:v>
                </c:pt>
                <c:pt idx="9">
                  <c:v>2027</c:v>
                </c:pt>
                <c:pt idx="10">
                  <c:v>2028</c:v>
                </c:pt>
                <c:pt idx="11">
                  <c:v>2029</c:v>
                </c:pt>
                <c:pt idx="12">
                  <c:v>2030</c:v>
                </c:pt>
                <c:pt idx="13">
                  <c:v>2031</c:v>
                </c:pt>
                <c:pt idx="14">
                  <c:v>2032</c:v>
                </c:pt>
                <c:pt idx="15">
                  <c:v>2033</c:v>
                </c:pt>
              </c:numCache>
            </c:numRef>
          </c:cat>
          <c:val>
            <c:numRef>
              <c:f>'Fuel Vol and Credit Gen'!$I$83:$X$83</c:f>
              <c:numCache>
                <c:formatCode>_(* #,##0_);_(* \(#,##0\);_(* "-"??_);_(@_)</c:formatCode>
                <c:ptCount val="16"/>
                <c:pt idx="0">
                  <c:v>429.33038739057235</c:v>
                </c:pt>
                <c:pt idx="1">
                  <c:v>691.61238999827333</c:v>
                </c:pt>
                <c:pt idx="2">
                  <c:v>659.2654156880775</c:v>
                </c:pt>
                <c:pt idx="3">
                  <c:v>1053.2809877061211</c:v>
                </c:pt>
                <c:pt idx="4">
                  <c:v>1560.3727397176899</c:v>
                </c:pt>
                <c:pt idx="5">
                  <c:v>1004.4969387132006</c:v>
                </c:pt>
                <c:pt idx="6">
                  <c:v>2626.5293760949994</c:v>
                </c:pt>
                <c:pt idx="7">
                  <c:v>2240.952273389044</c:v>
                </c:pt>
                <c:pt idx="8">
                  <c:v>2252.0355945375509</c:v>
                </c:pt>
                <c:pt idx="9">
                  <c:v>2433.9102825824848</c:v>
                </c:pt>
                <c:pt idx="10">
                  <c:v>2293.3005289553771</c:v>
                </c:pt>
                <c:pt idx="11">
                  <c:v>2308.308482301692</c:v>
                </c:pt>
                <c:pt idx="12">
                  <c:v>2388.5918589296657</c:v>
                </c:pt>
                <c:pt idx="13">
                  <c:v>2518.1699067217942</c:v>
                </c:pt>
                <c:pt idx="14">
                  <c:v>2808.7498172862147</c:v>
                </c:pt>
                <c:pt idx="15">
                  <c:v>2811.0590682493093</c:v>
                </c:pt>
              </c:numCache>
            </c:numRef>
          </c:val>
          <c:extLst>
            <c:ext xmlns:c16="http://schemas.microsoft.com/office/drawing/2014/chart" uri="{C3380CC4-5D6E-409C-BE32-E72D297353CC}">
              <c16:uniqueId val="{00000005-2014-4D20-A50C-0CDA0AEBF5D6}"/>
            </c:ext>
          </c:extLst>
        </c:ser>
        <c:dLbls>
          <c:showLegendKey val="0"/>
          <c:showVal val="0"/>
          <c:showCatName val="0"/>
          <c:showSerName val="0"/>
          <c:showPercent val="0"/>
          <c:showBubbleSize val="0"/>
        </c:dLbls>
        <c:gapWidth val="50"/>
        <c:overlap val="100"/>
        <c:axId val="1255309184"/>
        <c:axId val="1255305904"/>
      </c:barChart>
      <c:catAx>
        <c:axId val="1255309184"/>
        <c:scaling>
          <c:orientation val="minMax"/>
        </c:scaling>
        <c:delete val="0"/>
        <c:axPos val="b"/>
        <c:numFmt formatCode="General" sourceLinked="1"/>
        <c:majorTickMark val="none"/>
        <c:minorTickMark val="none"/>
        <c:tickLblPos val="nextTo"/>
        <c:spPr>
          <a:noFill/>
          <a:ln w="9525" cap="flat" cmpd="sng" algn="ctr">
            <a:solidFill>
              <a:srgbClr val="5D803B"/>
            </a:solidFill>
            <a:round/>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255305904"/>
        <c:crosses val="autoZero"/>
        <c:auto val="1"/>
        <c:lblAlgn val="ctr"/>
        <c:lblOffset val="100"/>
        <c:noMultiLvlLbl val="0"/>
      </c:catAx>
      <c:valAx>
        <c:axId val="1255305904"/>
        <c:scaling>
          <c:orientation val="minMax"/>
        </c:scaling>
        <c:delete val="0"/>
        <c:axPos val="l"/>
        <c:majorGridlines>
          <c:spPr>
            <a:ln w="9525" cap="flat" cmpd="sng" algn="ctr">
              <a:solidFill>
                <a:schemeClr val="bg1">
                  <a:lumMod val="50000"/>
                </a:schemeClr>
              </a:solidFill>
              <a:round/>
            </a:ln>
            <a:effectLst/>
          </c:spPr>
        </c:majorGridlines>
        <c:title>
          <c:tx>
            <c:rich>
              <a:bodyPr rot="-5400000" spcFirstLastPara="1" vertOverflow="ellipsis" vert="horz" wrap="square" anchor="ctr" anchorCtr="1"/>
              <a:lstStyle/>
              <a:p>
                <a:pPr>
                  <a:defRPr sz="12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200"/>
                  <a:t>(million gallons)</a:t>
                </a:r>
              </a:p>
            </c:rich>
          </c:tx>
          <c:overlay val="0"/>
          <c:spPr>
            <a:noFill/>
            <a:ln>
              <a:noFill/>
            </a:ln>
            <a:effectLst/>
          </c:spPr>
          <c:txPr>
            <a:bodyPr rot="-5400000" spcFirstLastPara="1" vertOverflow="ellipsis" vert="horz" wrap="square" anchor="ctr" anchorCtr="1"/>
            <a:lstStyle/>
            <a:p>
              <a:pPr>
                <a:defRPr sz="12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255309184"/>
        <c:crosses val="autoZero"/>
        <c:crossBetween val="between"/>
      </c:valAx>
      <c:spPr>
        <a:noFill/>
        <a:ln>
          <a:solidFill>
            <a:srgbClr val="5D803B"/>
          </a:solidFill>
        </a:ln>
        <a:effectLst/>
      </c:spPr>
    </c:plotArea>
    <c:legend>
      <c:legendPos val="b"/>
      <c:layout>
        <c:manualLayout>
          <c:xMode val="edge"/>
          <c:yMode val="edge"/>
          <c:x val="9.8881615701651757E-2"/>
          <c:y val="0.10961523426592952"/>
          <c:w val="0.40168758243233638"/>
          <c:h val="0.1250669311613819"/>
        </c:manualLayout>
      </c:layout>
      <c:overlay val="0"/>
      <c:spPr>
        <a:solidFill>
          <a:schemeClr val="bg1"/>
        </a:solidFill>
        <a:ln>
          <a:solidFill>
            <a:srgbClr val="5D803B"/>
          </a:solidFill>
        </a:ln>
        <a:effectLst/>
      </c:spPr>
      <c:txPr>
        <a:bodyPr rot="0" spcFirstLastPara="1" vertOverflow="ellipsis" vert="horz" wrap="square" anchor="ctr" anchorCtr="1"/>
        <a:lstStyle/>
        <a:p>
          <a:pPr>
            <a:defRPr sz="12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b="1">
          <a:solidFill>
            <a:sysClr val="windowText" lastClr="000000"/>
          </a:solidFill>
          <a:latin typeface="Arial" panose="020B0604020202020204" pitchFamily="34" charset="0"/>
          <a:cs typeface="Arial" panose="020B0604020202020204" pitchFamily="34" charset="0"/>
        </a:defRPr>
      </a:pPr>
      <a:endParaRPr lang="en-US"/>
    </a:p>
  </c:txPr>
  <c:userShapes r:id="rId3"/>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8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US" sz="2800"/>
              <a:t>Alternative Fuel Credit Generation</a:t>
            </a:r>
          </a:p>
        </c:rich>
      </c:tx>
      <c:overlay val="0"/>
      <c:spPr>
        <a:noFill/>
        <a:ln>
          <a:noFill/>
        </a:ln>
        <a:effectLst/>
      </c:spPr>
      <c:txPr>
        <a:bodyPr rot="0" spcFirstLastPara="1" vertOverflow="ellipsis" vert="horz" wrap="square" anchor="ctr" anchorCtr="1"/>
        <a:lstStyle/>
        <a:p>
          <a:pPr>
            <a:defRPr sz="28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8.3763650113287097E-2"/>
          <c:y val="8.9567145322499861E-2"/>
          <c:w val="0.90151634968440508"/>
          <c:h val="0.7909239717952834"/>
        </c:manualLayout>
      </c:layout>
      <c:barChart>
        <c:barDir val="col"/>
        <c:grouping val="stacked"/>
        <c:varyColors val="0"/>
        <c:ser>
          <c:idx val="1"/>
          <c:order val="0"/>
          <c:tx>
            <c:strRef>
              <c:f>'Fuel Vol and Credit Gen'!$A$86</c:f>
              <c:strCache>
                <c:ptCount val="1"/>
                <c:pt idx="0">
                  <c:v>Biodiesel</c:v>
                </c:pt>
              </c:strCache>
            </c:strRef>
          </c:tx>
          <c:spPr>
            <a:solidFill>
              <a:schemeClr val="accent2"/>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'Fuel Vol and Credit Gen'!$I$85:$X$85</c:f>
              <c:numCache>
                <c:formatCode>General</c:formatCode>
                <c:ptCount val="16"/>
                <c:pt idx="0">
                  <c:v>2018</c:v>
                </c:pt>
                <c:pt idx="1">
                  <c:v>2019</c:v>
                </c:pt>
                <c:pt idx="2">
                  <c:v>2020</c:v>
                </c:pt>
                <c:pt idx="3">
                  <c:v>2021</c:v>
                </c:pt>
                <c:pt idx="4">
                  <c:v>2022</c:v>
                </c:pt>
                <c:pt idx="5">
                  <c:v>2023</c:v>
                </c:pt>
                <c:pt idx="6">
                  <c:v>2024</c:v>
                </c:pt>
                <c:pt idx="7">
                  <c:v>2025</c:v>
                </c:pt>
                <c:pt idx="8">
                  <c:v>2026</c:v>
                </c:pt>
                <c:pt idx="9">
                  <c:v>2027</c:v>
                </c:pt>
                <c:pt idx="10">
                  <c:v>2028</c:v>
                </c:pt>
                <c:pt idx="11">
                  <c:v>2029</c:v>
                </c:pt>
                <c:pt idx="12">
                  <c:v>2030</c:v>
                </c:pt>
                <c:pt idx="13">
                  <c:v>2031</c:v>
                </c:pt>
                <c:pt idx="14">
                  <c:v>2032</c:v>
                </c:pt>
                <c:pt idx="15">
                  <c:v>2033</c:v>
                </c:pt>
              </c:numCache>
            </c:numRef>
          </c:cat>
          <c:val>
            <c:numRef>
              <c:f>'Fuel Vol and Credit Gen'!$I$86:$X$86</c:f>
              <c:numCache>
                <c:formatCode>0.0</c:formatCode>
                <c:ptCount val="16"/>
                <c:pt idx="0">
                  <c:v>1.606554</c:v>
                </c:pt>
                <c:pt idx="1">
                  <c:v>1.8310900000000001</c:v>
                </c:pt>
                <c:pt idx="2">
                  <c:v>2.213327</c:v>
                </c:pt>
                <c:pt idx="3">
                  <c:v>2.3105989999999998</c:v>
                </c:pt>
                <c:pt idx="4">
                  <c:v>2.204548</c:v>
                </c:pt>
                <c:pt idx="5">
                  <c:v>1.9702</c:v>
                </c:pt>
                <c:pt idx="6">
                  <c:v>1.786713890653161</c:v>
                </c:pt>
                <c:pt idx="7">
                  <c:v>1.9196466842864395</c:v>
                </c:pt>
                <c:pt idx="8">
                  <c:v>1.9278661479589423</c:v>
                </c:pt>
                <c:pt idx="9">
                  <c:v>1.9311317244823833</c:v>
                </c:pt>
                <c:pt idx="10">
                  <c:v>1.6678756840976174</c:v>
                </c:pt>
                <c:pt idx="11">
                  <c:v>1.769834440810311</c:v>
                </c:pt>
                <c:pt idx="12">
                  <c:v>1.8772203228203568</c:v>
                </c:pt>
                <c:pt idx="13">
                  <c:v>1.8639262672604537</c:v>
                </c:pt>
                <c:pt idx="14">
                  <c:v>1.8912449791386534</c:v>
                </c:pt>
                <c:pt idx="15">
                  <c:v>1.8779479629540694</c:v>
                </c:pt>
              </c:numCache>
            </c:numRef>
          </c:val>
          <c:extLst>
            <c:ext xmlns:c16="http://schemas.microsoft.com/office/drawing/2014/chart" uri="{C3380CC4-5D6E-409C-BE32-E72D297353CC}">
              <c16:uniqueId val="{00000000-6F3B-44E1-96F4-2AD96F811438}"/>
            </c:ext>
          </c:extLst>
        </c:ser>
        <c:ser>
          <c:idx val="2"/>
          <c:order val="1"/>
          <c:tx>
            <c:strRef>
              <c:f>'Fuel Vol and Credit Gen'!$A$87</c:f>
              <c:strCache>
                <c:ptCount val="1"/>
                <c:pt idx="0">
                  <c:v>Biomethane</c:v>
                </c:pt>
              </c:strCache>
            </c:strRef>
          </c:tx>
          <c:spPr>
            <a:solidFill>
              <a:schemeClr val="accent3"/>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'Fuel Vol and Credit Gen'!$I$85:$X$85</c:f>
              <c:numCache>
                <c:formatCode>General</c:formatCode>
                <c:ptCount val="16"/>
                <c:pt idx="0">
                  <c:v>2018</c:v>
                </c:pt>
                <c:pt idx="1">
                  <c:v>2019</c:v>
                </c:pt>
                <c:pt idx="2">
                  <c:v>2020</c:v>
                </c:pt>
                <c:pt idx="3">
                  <c:v>2021</c:v>
                </c:pt>
                <c:pt idx="4">
                  <c:v>2022</c:v>
                </c:pt>
                <c:pt idx="5">
                  <c:v>2023</c:v>
                </c:pt>
                <c:pt idx="6">
                  <c:v>2024</c:v>
                </c:pt>
                <c:pt idx="7">
                  <c:v>2025</c:v>
                </c:pt>
                <c:pt idx="8">
                  <c:v>2026</c:v>
                </c:pt>
                <c:pt idx="9">
                  <c:v>2027</c:v>
                </c:pt>
                <c:pt idx="10">
                  <c:v>2028</c:v>
                </c:pt>
                <c:pt idx="11">
                  <c:v>2029</c:v>
                </c:pt>
                <c:pt idx="12">
                  <c:v>2030</c:v>
                </c:pt>
                <c:pt idx="13">
                  <c:v>2031</c:v>
                </c:pt>
                <c:pt idx="14">
                  <c:v>2032</c:v>
                </c:pt>
                <c:pt idx="15">
                  <c:v>2033</c:v>
                </c:pt>
              </c:numCache>
            </c:numRef>
          </c:cat>
          <c:val>
            <c:numRef>
              <c:f>'Fuel Vol and Credit Gen'!$I$87:$X$87</c:f>
              <c:numCache>
                <c:formatCode>0.0</c:formatCode>
                <c:ptCount val="16"/>
                <c:pt idx="0">
                  <c:v>0.75128799999999996</c:v>
                </c:pt>
                <c:pt idx="1">
                  <c:v>0.93679199999999996</c:v>
                </c:pt>
                <c:pt idx="2">
                  <c:v>1.6647069999999999</c:v>
                </c:pt>
                <c:pt idx="3">
                  <c:v>2.7870840000000001</c:v>
                </c:pt>
                <c:pt idx="4">
                  <c:v>4.3450790000000001</c:v>
                </c:pt>
                <c:pt idx="5">
                  <c:v>5.3255220000000003</c:v>
                </c:pt>
                <c:pt idx="6">
                  <c:v>6.6981704057172688</c:v>
                </c:pt>
                <c:pt idx="7">
                  <c:v>4.5696412767719368</c:v>
                </c:pt>
                <c:pt idx="8">
                  <c:v>4.5661805153712587</c:v>
                </c:pt>
                <c:pt idx="9">
                  <c:v>4.5518462119462022</c:v>
                </c:pt>
                <c:pt idx="10">
                  <c:v>4.4837077201998481</c:v>
                </c:pt>
                <c:pt idx="11">
                  <c:v>4.4544884026180673</c:v>
                </c:pt>
                <c:pt idx="12">
                  <c:v>4.4963987581570617</c:v>
                </c:pt>
                <c:pt idx="13">
                  <c:v>4.5378183733099942</c:v>
                </c:pt>
                <c:pt idx="14">
                  <c:v>4.4975923883026008</c:v>
                </c:pt>
                <c:pt idx="15">
                  <c:v>4.51285732749795</c:v>
                </c:pt>
              </c:numCache>
            </c:numRef>
          </c:val>
          <c:extLst>
            <c:ext xmlns:c16="http://schemas.microsoft.com/office/drawing/2014/chart" uri="{C3380CC4-5D6E-409C-BE32-E72D297353CC}">
              <c16:uniqueId val="{00000001-6F3B-44E1-96F4-2AD96F811438}"/>
            </c:ext>
          </c:extLst>
        </c:ser>
        <c:ser>
          <c:idx val="3"/>
          <c:order val="2"/>
          <c:tx>
            <c:strRef>
              <c:f>'Fuel Vol and Credit Gen'!$A$88</c:f>
              <c:strCache>
                <c:ptCount val="1"/>
                <c:pt idx="0">
                  <c:v>Fossil Natural Gas</c:v>
                </c:pt>
              </c:strCache>
            </c:strRef>
          </c:tx>
          <c:spPr>
            <a:solidFill>
              <a:schemeClr val="accent4"/>
            </a:solidFill>
            <a:ln>
              <a:solidFill>
                <a:schemeClr val="tx1"/>
              </a:solidFill>
            </a:ln>
            <a:effectLst/>
          </c:spPr>
          <c:invertIfNegative val="0"/>
          <c:cat>
            <c:numRef>
              <c:f>'Fuel Vol and Credit Gen'!$I$85:$X$85</c:f>
              <c:numCache>
                <c:formatCode>General</c:formatCode>
                <c:ptCount val="16"/>
                <c:pt idx="0">
                  <c:v>2018</c:v>
                </c:pt>
                <c:pt idx="1">
                  <c:v>2019</c:v>
                </c:pt>
                <c:pt idx="2">
                  <c:v>2020</c:v>
                </c:pt>
                <c:pt idx="3">
                  <c:v>2021</c:v>
                </c:pt>
                <c:pt idx="4">
                  <c:v>2022</c:v>
                </c:pt>
                <c:pt idx="5">
                  <c:v>2023</c:v>
                </c:pt>
                <c:pt idx="6">
                  <c:v>2024</c:v>
                </c:pt>
                <c:pt idx="7">
                  <c:v>2025</c:v>
                </c:pt>
                <c:pt idx="8">
                  <c:v>2026</c:v>
                </c:pt>
                <c:pt idx="9">
                  <c:v>2027</c:v>
                </c:pt>
                <c:pt idx="10">
                  <c:v>2028</c:v>
                </c:pt>
                <c:pt idx="11">
                  <c:v>2029</c:v>
                </c:pt>
                <c:pt idx="12">
                  <c:v>2030</c:v>
                </c:pt>
                <c:pt idx="13">
                  <c:v>2031</c:v>
                </c:pt>
                <c:pt idx="14">
                  <c:v>2032</c:v>
                </c:pt>
                <c:pt idx="15">
                  <c:v>2033</c:v>
                </c:pt>
              </c:numCache>
            </c:numRef>
          </c:cat>
          <c:val>
            <c:numRef>
              <c:f>'Fuel Vol and Credit Gen'!$I$88:$X$88</c:f>
              <c:numCache>
                <c:formatCode>0.0</c:formatCode>
                <c:ptCount val="16"/>
                <c:pt idx="0">
                  <c:v>5.8775000000000001E-2</c:v>
                </c:pt>
                <c:pt idx="1">
                  <c:v>3.0851E-2</c:v>
                </c:pt>
                <c:pt idx="2">
                  <c:v>8.1930000000000006E-3</c:v>
                </c:pt>
                <c:pt idx="3">
                  <c:v>2.447E-3</c:v>
                </c:pt>
                <c:pt idx="4">
                  <c:v>2.542E-3</c:v>
                </c:pt>
                <c:pt idx="5">
                  <c:v>1.6360000000000001E-3</c:v>
                </c:pt>
                <c:pt idx="6">
                  <c:v>4.46E-4</c:v>
                </c:pt>
                <c:pt idx="7">
                  <c:v>0</c:v>
                </c:pt>
                <c:pt idx="8">
                  <c:v>9.5145180376718244E-4</c:v>
                </c:pt>
                <c:pt idx="9">
                  <c:v>1.7822624302666827E-3</c:v>
                </c:pt>
                <c:pt idx="10">
                  <c:v>2.0845569861629738E-3</c:v>
                </c:pt>
                <c:pt idx="11">
                  <c:v>2.1381733395403617E-3</c:v>
                </c:pt>
                <c:pt idx="12">
                  <c:v>1.9049874051198022E-3</c:v>
                </c:pt>
                <c:pt idx="13">
                  <c:v>2.0554166939706201E-3</c:v>
                </c:pt>
                <c:pt idx="14">
                  <c:v>2.1826509445217307E-3</c:v>
                </c:pt>
                <c:pt idx="15">
                  <c:v>2.2482596060847903E-3</c:v>
                </c:pt>
              </c:numCache>
            </c:numRef>
          </c:val>
          <c:extLst>
            <c:ext xmlns:c16="http://schemas.microsoft.com/office/drawing/2014/chart" uri="{C3380CC4-5D6E-409C-BE32-E72D297353CC}">
              <c16:uniqueId val="{00000002-6F3B-44E1-96F4-2AD96F811438}"/>
            </c:ext>
          </c:extLst>
        </c:ser>
        <c:ser>
          <c:idx val="4"/>
          <c:order val="3"/>
          <c:tx>
            <c:strRef>
              <c:f>'Fuel Vol and Credit Gen'!$A$89</c:f>
              <c:strCache>
                <c:ptCount val="1"/>
                <c:pt idx="0">
                  <c:v>Electricity</c:v>
                </c:pt>
              </c:strCache>
            </c:strRef>
          </c:tx>
          <c:spPr>
            <a:solidFill>
              <a:schemeClr val="accent5"/>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'Fuel Vol and Credit Gen'!$I$85:$X$85</c:f>
              <c:numCache>
                <c:formatCode>General</c:formatCode>
                <c:ptCount val="16"/>
                <c:pt idx="0">
                  <c:v>2018</c:v>
                </c:pt>
                <c:pt idx="1">
                  <c:v>2019</c:v>
                </c:pt>
                <c:pt idx="2">
                  <c:v>2020</c:v>
                </c:pt>
                <c:pt idx="3">
                  <c:v>2021</c:v>
                </c:pt>
                <c:pt idx="4">
                  <c:v>2022</c:v>
                </c:pt>
                <c:pt idx="5">
                  <c:v>2023</c:v>
                </c:pt>
                <c:pt idx="6">
                  <c:v>2024</c:v>
                </c:pt>
                <c:pt idx="7">
                  <c:v>2025</c:v>
                </c:pt>
                <c:pt idx="8">
                  <c:v>2026</c:v>
                </c:pt>
                <c:pt idx="9">
                  <c:v>2027</c:v>
                </c:pt>
                <c:pt idx="10">
                  <c:v>2028</c:v>
                </c:pt>
                <c:pt idx="11">
                  <c:v>2029</c:v>
                </c:pt>
                <c:pt idx="12">
                  <c:v>2030</c:v>
                </c:pt>
                <c:pt idx="13">
                  <c:v>2031</c:v>
                </c:pt>
                <c:pt idx="14">
                  <c:v>2032</c:v>
                </c:pt>
                <c:pt idx="15">
                  <c:v>2033</c:v>
                </c:pt>
              </c:numCache>
            </c:numRef>
          </c:cat>
          <c:val>
            <c:numRef>
              <c:f>'Fuel Vol and Credit Gen'!$I$89:$X$89</c:f>
              <c:numCache>
                <c:formatCode>0.0</c:formatCode>
                <c:ptCount val="16"/>
                <c:pt idx="0">
                  <c:v>1.7914570000000001</c:v>
                </c:pt>
                <c:pt idx="1">
                  <c:v>2.7928199999999999</c:v>
                </c:pt>
                <c:pt idx="2">
                  <c:v>2.9429829999999999</c:v>
                </c:pt>
                <c:pt idx="3">
                  <c:v>4.4672479999999997</c:v>
                </c:pt>
                <c:pt idx="4">
                  <c:v>6.4096500000000001</c:v>
                </c:pt>
                <c:pt idx="5">
                  <c:v>7.3435459999999999</c:v>
                </c:pt>
                <c:pt idx="6">
                  <c:v>8.7501808090924964</c:v>
                </c:pt>
                <c:pt idx="7">
                  <c:v>9.8025282710743777</c:v>
                </c:pt>
                <c:pt idx="8">
                  <c:v>11.748167511502963</c:v>
                </c:pt>
                <c:pt idx="9">
                  <c:v>13.578133308364439</c:v>
                </c:pt>
                <c:pt idx="10">
                  <c:v>15.440755776968242</c:v>
                </c:pt>
                <c:pt idx="11">
                  <c:v>17.388170474257016</c:v>
                </c:pt>
                <c:pt idx="12">
                  <c:v>19.396790562866347</c:v>
                </c:pt>
                <c:pt idx="13">
                  <c:v>21.316929452004089</c:v>
                </c:pt>
                <c:pt idx="14">
                  <c:v>23.187585587776866</c:v>
                </c:pt>
                <c:pt idx="15">
                  <c:v>25.119312484543997</c:v>
                </c:pt>
              </c:numCache>
            </c:numRef>
          </c:val>
          <c:extLst>
            <c:ext xmlns:c16="http://schemas.microsoft.com/office/drawing/2014/chart" uri="{C3380CC4-5D6E-409C-BE32-E72D297353CC}">
              <c16:uniqueId val="{00000003-6F3B-44E1-96F4-2AD96F811438}"/>
            </c:ext>
          </c:extLst>
        </c:ser>
        <c:ser>
          <c:idx val="5"/>
          <c:order val="4"/>
          <c:tx>
            <c:strRef>
              <c:f>'Fuel Vol and Credit Gen'!$A$90</c:f>
              <c:strCache>
                <c:ptCount val="1"/>
                <c:pt idx="0">
                  <c:v>Ethanol</c:v>
                </c:pt>
              </c:strCache>
            </c:strRef>
          </c:tx>
          <c:spPr>
            <a:solidFill>
              <a:schemeClr val="accent6"/>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'Fuel Vol and Credit Gen'!$I$85:$X$85</c:f>
              <c:numCache>
                <c:formatCode>General</c:formatCode>
                <c:ptCount val="16"/>
                <c:pt idx="0">
                  <c:v>2018</c:v>
                </c:pt>
                <c:pt idx="1">
                  <c:v>2019</c:v>
                </c:pt>
                <c:pt idx="2">
                  <c:v>2020</c:v>
                </c:pt>
                <c:pt idx="3">
                  <c:v>2021</c:v>
                </c:pt>
                <c:pt idx="4">
                  <c:v>2022</c:v>
                </c:pt>
                <c:pt idx="5">
                  <c:v>2023</c:v>
                </c:pt>
                <c:pt idx="6">
                  <c:v>2024</c:v>
                </c:pt>
                <c:pt idx="7">
                  <c:v>2025</c:v>
                </c:pt>
                <c:pt idx="8">
                  <c:v>2026</c:v>
                </c:pt>
                <c:pt idx="9">
                  <c:v>2027</c:v>
                </c:pt>
                <c:pt idx="10">
                  <c:v>2028</c:v>
                </c:pt>
                <c:pt idx="11">
                  <c:v>2029</c:v>
                </c:pt>
                <c:pt idx="12">
                  <c:v>2030</c:v>
                </c:pt>
                <c:pt idx="13">
                  <c:v>2031</c:v>
                </c:pt>
                <c:pt idx="14">
                  <c:v>2032</c:v>
                </c:pt>
                <c:pt idx="15">
                  <c:v>2033</c:v>
                </c:pt>
              </c:numCache>
            </c:numRef>
          </c:cat>
          <c:val>
            <c:numRef>
              <c:f>'Fuel Vol and Credit Gen'!$I$90:$X$90</c:f>
              <c:numCache>
                <c:formatCode>0.0</c:formatCode>
                <c:ptCount val="16"/>
                <c:pt idx="0">
                  <c:v>3.458529</c:v>
                </c:pt>
                <c:pt idx="1">
                  <c:v>4.3421320000000003</c:v>
                </c:pt>
                <c:pt idx="2">
                  <c:v>3.7366549999999998</c:v>
                </c:pt>
                <c:pt idx="3">
                  <c:v>3.8255520000000001</c:v>
                </c:pt>
                <c:pt idx="4">
                  <c:v>3.74064</c:v>
                </c:pt>
                <c:pt idx="5">
                  <c:v>3.3628960000000001</c:v>
                </c:pt>
                <c:pt idx="6">
                  <c:v>3.4939330523557555</c:v>
                </c:pt>
                <c:pt idx="7">
                  <c:v>3.7227612189416019</c:v>
                </c:pt>
                <c:pt idx="8">
                  <c:v>3.8064635850368096</c:v>
                </c:pt>
                <c:pt idx="9">
                  <c:v>3.777996703232978</c:v>
                </c:pt>
                <c:pt idx="10">
                  <c:v>3.7376787492903767</c:v>
                </c:pt>
                <c:pt idx="11">
                  <c:v>3.7041699140234483</c:v>
                </c:pt>
                <c:pt idx="12">
                  <c:v>3.6983522196878078</c:v>
                </c:pt>
                <c:pt idx="13">
                  <c:v>3.7220679946264079</c:v>
                </c:pt>
                <c:pt idx="14">
                  <c:v>3.7361251401292801</c:v>
                </c:pt>
                <c:pt idx="15">
                  <c:v>3.7403999638048733</c:v>
                </c:pt>
              </c:numCache>
            </c:numRef>
          </c:val>
          <c:extLst>
            <c:ext xmlns:c16="http://schemas.microsoft.com/office/drawing/2014/chart" uri="{C3380CC4-5D6E-409C-BE32-E72D297353CC}">
              <c16:uniqueId val="{00000004-6F3B-44E1-96F4-2AD96F811438}"/>
            </c:ext>
          </c:extLst>
        </c:ser>
        <c:ser>
          <c:idx val="6"/>
          <c:order val="5"/>
          <c:tx>
            <c:strRef>
              <c:f>'Fuel Vol and Credit Gen'!$A$91</c:f>
              <c:strCache>
                <c:ptCount val="1"/>
                <c:pt idx="0">
                  <c:v>Renewable Diesel</c:v>
                </c:pt>
              </c:strCache>
            </c:strRef>
          </c:tx>
          <c:spPr>
            <a:solidFill>
              <a:schemeClr val="accent1">
                <a:lumMod val="60000"/>
              </a:scheme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'Fuel Vol and Credit Gen'!$I$85:$X$85</c:f>
              <c:numCache>
                <c:formatCode>General</c:formatCode>
                <c:ptCount val="16"/>
                <c:pt idx="0">
                  <c:v>2018</c:v>
                </c:pt>
                <c:pt idx="1">
                  <c:v>2019</c:v>
                </c:pt>
                <c:pt idx="2">
                  <c:v>2020</c:v>
                </c:pt>
                <c:pt idx="3">
                  <c:v>2021</c:v>
                </c:pt>
                <c:pt idx="4">
                  <c:v>2022</c:v>
                </c:pt>
                <c:pt idx="5">
                  <c:v>2023</c:v>
                </c:pt>
                <c:pt idx="6">
                  <c:v>2024</c:v>
                </c:pt>
                <c:pt idx="7">
                  <c:v>2025</c:v>
                </c:pt>
                <c:pt idx="8">
                  <c:v>2026</c:v>
                </c:pt>
                <c:pt idx="9">
                  <c:v>2027</c:v>
                </c:pt>
                <c:pt idx="10">
                  <c:v>2028</c:v>
                </c:pt>
                <c:pt idx="11">
                  <c:v>2029</c:v>
                </c:pt>
                <c:pt idx="12">
                  <c:v>2030</c:v>
                </c:pt>
                <c:pt idx="13">
                  <c:v>2031</c:v>
                </c:pt>
                <c:pt idx="14">
                  <c:v>2032</c:v>
                </c:pt>
                <c:pt idx="15">
                  <c:v>2033</c:v>
                </c:pt>
              </c:numCache>
            </c:numRef>
          </c:cat>
          <c:val>
            <c:numRef>
              <c:f>'Fuel Vol and Credit Gen'!$I$91:$X$91</c:f>
              <c:numCache>
                <c:formatCode>0.0</c:formatCode>
                <c:ptCount val="16"/>
                <c:pt idx="0">
                  <c:v>3.4853909999999999</c:v>
                </c:pt>
                <c:pt idx="1">
                  <c:v>4.7805270000000002</c:v>
                </c:pt>
                <c:pt idx="2">
                  <c:v>4.5712999999999999</c:v>
                </c:pt>
                <c:pt idx="3">
                  <c:v>6.5564629999999999</c:v>
                </c:pt>
                <c:pt idx="4">
                  <c:v>9.6169349999999998</c:v>
                </c:pt>
                <c:pt idx="5">
                  <c:v>11.928851999999999</c:v>
                </c:pt>
                <c:pt idx="6">
                  <c:v>13.991902007660478</c:v>
                </c:pt>
                <c:pt idx="7">
                  <c:v>12.304335070630399</c:v>
                </c:pt>
                <c:pt idx="8">
                  <c:v>12.350472143637194</c:v>
                </c:pt>
                <c:pt idx="9">
                  <c:v>13.213347139931985</c:v>
                </c:pt>
                <c:pt idx="10">
                  <c:v>12.532724156106692</c:v>
                </c:pt>
                <c:pt idx="11">
                  <c:v>12.609546349225083</c:v>
                </c:pt>
                <c:pt idx="12">
                  <c:v>12.978143846124512</c:v>
                </c:pt>
                <c:pt idx="13">
                  <c:v>13.574085215623272</c:v>
                </c:pt>
                <c:pt idx="14">
                  <c:v>14.94287483336147</c:v>
                </c:pt>
                <c:pt idx="15">
                  <c:v>14.94706525963028</c:v>
                </c:pt>
              </c:numCache>
            </c:numRef>
          </c:val>
          <c:extLst>
            <c:ext xmlns:c16="http://schemas.microsoft.com/office/drawing/2014/chart" uri="{C3380CC4-5D6E-409C-BE32-E72D297353CC}">
              <c16:uniqueId val="{00000005-6F3B-44E1-96F4-2AD96F811438}"/>
            </c:ext>
          </c:extLst>
        </c:ser>
        <c:dLbls>
          <c:showLegendKey val="0"/>
          <c:showVal val="0"/>
          <c:showCatName val="0"/>
          <c:showSerName val="0"/>
          <c:showPercent val="0"/>
          <c:showBubbleSize val="0"/>
        </c:dLbls>
        <c:gapWidth val="50"/>
        <c:overlap val="100"/>
        <c:axId val="1301425144"/>
        <c:axId val="1301423504"/>
      </c:barChart>
      <c:catAx>
        <c:axId val="1301425144"/>
        <c:scaling>
          <c:orientation val="minMax"/>
        </c:scaling>
        <c:delete val="0"/>
        <c:axPos val="b"/>
        <c:numFmt formatCode="General" sourceLinked="1"/>
        <c:majorTickMark val="none"/>
        <c:minorTickMark val="none"/>
        <c:tickLblPos val="nextTo"/>
        <c:spPr>
          <a:noFill/>
          <a:ln w="9525" cap="flat" cmpd="sng" algn="ctr">
            <a:solidFill>
              <a:srgbClr val="5D803B"/>
            </a:solidFill>
            <a:round/>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301423504"/>
        <c:crosses val="autoZero"/>
        <c:auto val="1"/>
        <c:lblAlgn val="ctr"/>
        <c:lblOffset val="100"/>
        <c:noMultiLvlLbl val="0"/>
      </c:catAx>
      <c:valAx>
        <c:axId val="1301423504"/>
        <c:scaling>
          <c:orientation val="minMax"/>
        </c:scaling>
        <c:delete val="0"/>
        <c:axPos val="l"/>
        <c:majorGridlines>
          <c:spPr>
            <a:ln w="9525" cap="flat" cmpd="sng" algn="ctr">
              <a:solidFill>
                <a:schemeClr val="bg1">
                  <a:lumMod val="50000"/>
                </a:schemeClr>
              </a:solidFill>
              <a:round/>
            </a:ln>
            <a:effectLst/>
          </c:spPr>
        </c:majorGridlines>
        <c:title>
          <c:tx>
            <c:rich>
              <a:bodyPr rot="-5400000" spcFirstLastPara="1" vertOverflow="ellipsis" vert="horz" wrap="square" anchor="ctr" anchorCtr="1"/>
              <a:lstStyle/>
              <a:p>
                <a:pPr>
                  <a:defRPr sz="12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200"/>
                  <a:t>(million tonnes)</a:t>
                </a:r>
              </a:p>
            </c:rich>
          </c:tx>
          <c:overlay val="0"/>
          <c:spPr>
            <a:noFill/>
            <a:ln>
              <a:noFill/>
            </a:ln>
            <a:effectLst/>
          </c:spPr>
          <c:txPr>
            <a:bodyPr rot="-5400000" spcFirstLastPara="1" vertOverflow="ellipsis" vert="horz" wrap="square" anchor="ctr" anchorCtr="1"/>
            <a:lstStyle/>
            <a:p>
              <a:pPr>
                <a:defRPr sz="12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301425144"/>
        <c:crosses val="autoZero"/>
        <c:crossBetween val="between"/>
      </c:valAx>
      <c:spPr>
        <a:noFill/>
        <a:ln>
          <a:solidFill>
            <a:srgbClr val="5D803B"/>
          </a:solidFill>
        </a:ln>
        <a:effectLst/>
      </c:spPr>
    </c:plotArea>
    <c:legend>
      <c:legendPos val="b"/>
      <c:layout>
        <c:manualLayout>
          <c:xMode val="edge"/>
          <c:yMode val="edge"/>
          <c:x val="0.10077815721929788"/>
          <c:y val="0.10498203681986561"/>
          <c:w val="0.60519505370060489"/>
          <c:h val="0.1227049283838898"/>
        </c:manualLayout>
      </c:layout>
      <c:overlay val="0"/>
      <c:spPr>
        <a:solidFill>
          <a:schemeClr val="bg1"/>
        </a:solidFill>
        <a:ln>
          <a:solidFill>
            <a:srgbClr val="5D803B"/>
          </a:solidFill>
        </a:ln>
        <a:effectLst/>
      </c:spPr>
      <c:txPr>
        <a:bodyPr rot="0" spcFirstLastPara="1" vertOverflow="ellipsis" vert="horz" wrap="square" anchor="ctr" anchorCtr="1"/>
        <a:lstStyle/>
        <a:p>
          <a:pPr>
            <a:defRPr sz="12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b="1">
          <a:solidFill>
            <a:sysClr val="windowText" lastClr="000000"/>
          </a:solidFill>
          <a:latin typeface="Arial" panose="020B0604020202020204" pitchFamily="34" charset="0"/>
          <a:cs typeface="Arial" panose="020B0604020202020204" pitchFamily="34" charset="0"/>
        </a:defRPr>
      </a:pPr>
      <a:endParaRPr lang="en-US"/>
    </a:p>
  </c:txPr>
  <c:userShapes r:id="rId3"/>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8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US" sz="2800"/>
              <a:t>Credit Generation Percentage by Fuel Type</a:t>
            </a:r>
          </a:p>
        </c:rich>
      </c:tx>
      <c:overlay val="0"/>
      <c:spPr>
        <a:noFill/>
        <a:ln>
          <a:noFill/>
        </a:ln>
        <a:effectLst/>
      </c:spPr>
      <c:txPr>
        <a:bodyPr rot="0" spcFirstLastPara="1" vertOverflow="ellipsis" vert="horz" wrap="square" anchor="ctr" anchorCtr="1"/>
        <a:lstStyle/>
        <a:p>
          <a:pPr>
            <a:defRPr sz="28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7.2730288186414846E-2"/>
          <c:y val="0.12759539004012244"/>
          <c:w val="0.69663396691150481"/>
          <c:h val="0.76510049763864807"/>
        </c:manualLayout>
      </c:layout>
      <c:areaChart>
        <c:grouping val="percentStacked"/>
        <c:varyColors val="0"/>
        <c:ser>
          <c:idx val="3"/>
          <c:order val="0"/>
          <c:tx>
            <c:strRef>
              <c:f>'Fuel Vol and Credit Gen'!$A$89</c:f>
              <c:strCache>
                <c:ptCount val="1"/>
                <c:pt idx="0">
                  <c:v>Electricity</c:v>
                </c:pt>
              </c:strCache>
            </c:strRef>
          </c:tx>
          <c:spPr>
            <a:solidFill>
              <a:schemeClr val="accent4"/>
            </a:solidFill>
            <a:ln>
              <a:solidFill>
                <a:schemeClr val="tx1"/>
              </a:solidFill>
            </a:ln>
            <a:effectLst/>
          </c:spPr>
          <c:cat>
            <c:numRef>
              <c:f>'Fuel Vol and Credit Gen'!$B$85:$X$85</c:f>
              <c:numCache>
                <c:formatCode>General</c:formatCode>
                <c:ptCount val="23"/>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pt idx="13">
                  <c:v>2024</c:v>
                </c:pt>
                <c:pt idx="14">
                  <c:v>2025</c:v>
                </c:pt>
                <c:pt idx="15">
                  <c:v>2026</c:v>
                </c:pt>
                <c:pt idx="16">
                  <c:v>2027</c:v>
                </c:pt>
                <c:pt idx="17">
                  <c:v>2028</c:v>
                </c:pt>
                <c:pt idx="18">
                  <c:v>2029</c:v>
                </c:pt>
                <c:pt idx="19">
                  <c:v>2030</c:v>
                </c:pt>
                <c:pt idx="20">
                  <c:v>2031</c:v>
                </c:pt>
                <c:pt idx="21">
                  <c:v>2032</c:v>
                </c:pt>
                <c:pt idx="22">
                  <c:v>2033</c:v>
                </c:pt>
              </c:numCache>
            </c:numRef>
          </c:cat>
          <c:val>
            <c:numRef>
              <c:f>'Fuel Vol and Credit Gen'!$B$89:$X$89</c:f>
              <c:numCache>
                <c:formatCode>0.0</c:formatCode>
                <c:ptCount val="23"/>
                <c:pt idx="0">
                  <c:v>7.7429999999999999E-3</c:v>
                </c:pt>
                <c:pt idx="1">
                  <c:v>2.6984000000000001E-2</c:v>
                </c:pt>
                <c:pt idx="2">
                  <c:v>9.3952999999999995E-2</c:v>
                </c:pt>
                <c:pt idx="3">
                  <c:v>0.22133</c:v>
                </c:pt>
                <c:pt idx="4">
                  <c:v>0.33773999999999998</c:v>
                </c:pt>
                <c:pt idx="5">
                  <c:v>0.90470300000000003</c:v>
                </c:pt>
                <c:pt idx="6">
                  <c:v>1.1981120000000001</c:v>
                </c:pt>
                <c:pt idx="7">
                  <c:v>1.7914570000000001</c:v>
                </c:pt>
                <c:pt idx="8">
                  <c:v>2.7928199999999999</c:v>
                </c:pt>
                <c:pt idx="9">
                  <c:v>2.9429829999999999</c:v>
                </c:pt>
                <c:pt idx="10">
                  <c:v>4.4672479999999997</c:v>
                </c:pt>
                <c:pt idx="11">
                  <c:v>6.4096500000000001</c:v>
                </c:pt>
                <c:pt idx="12">
                  <c:v>7.3435459999999999</c:v>
                </c:pt>
                <c:pt idx="13">
                  <c:v>8.7501808090924964</c:v>
                </c:pt>
                <c:pt idx="14">
                  <c:v>9.8025282710743777</c:v>
                </c:pt>
                <c:pt idx="15">
                  <c:v>11.748167511502963</c:v>
                </c:pt>
                <c:pt idx="16">
                  <c:v>13.578133308364439</c:v>
                </c:pt>
                <c:pt idx="17">
                  <c:v>15.440755776968242</c:v>
                </c:pt>
                <c:pt idx="18">
                  <c:v>17.388170474257016</c:v>
                </c:pt>
                <c:pt idx="19">
                  <c:v>19.396790562866347</c:v>
                </c:pt>
                <c:pt idx="20">
                  <c:v>21.316929452004089</c:v>
                </c:pt>
                <c:pt idx="21">
                  <c:v>23.187585587776866</c:v>
                </c:pt>
                <c:pt idx="22">
                  <c:v>25.119312484543997</c:v>
                </c:pt>
              </c:numCache>
            </c:numRef>
          </c:val>
          <c:extLst>
            <c:ext xmlns:c16="http://schemas.microsoft.com/office/drawing/2014/chart" uri="{C3380CC4-5D6E-409C-BE32-E72D297353CC}">
              <c16:uniqueId val="{00000000-2453-42CE-B045-85E18EC63D0B}"/>
            </c:ext>
          </c:extLst>
        </c:ser>
        <c:ser>
          <c:idx val="0"/>
          <c:order val="1"/>
          <c:tx>
            <c:strRef>
              <c:f>'Fuel Vol and Credit Gen'!$A$86</c:f>
              <c:strCache>
                <c:ptCount val="1"/>
                <c:pt idx="0">
                  <c:v>Biodiesel</c:v>
                </c:pt>
              </c:strCache>
            </c:strRef>
          </c:tx>
          <c:spPr>
            <a:solidFill>
              <a:schemeClr val="accent1"/>
            </a:solidFill>
            <a:ln>
              <a:solidFill>
                <a:schemeClr val="tx1"/>
              </a:solidFill>
            </a:ln>
            <a:effectLst/>
          </c:spPr>
          <c:cat>
            <c:numRef>
              <c:f>'Fuel Vol and Credit Gen'!$B$85:$X$85</c:f>
              <c:numCache>
                <c:formatCode>General</c:formatCode>
                <c:ptCount val="23"/>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pt idx="13">
                  <c:v>2024</c:v>
                </c:pt>
                <c:pt idx="14">
                  <c:v>2025</c:v>
                </c:pt>
                <c:pt idx="15">
                  <c:v>2026</c:v>
                </c:pt>
                <c:pt idx="16">
                  <c:v>2027</c:v>
                </c:pt>
                <c:pt idx="17">
                  <c:v>2028</c:v>
                </c:pt>
                <c:pt idx="18">
                  <c:v>2029</c:v>
                </c:pt>
                <c:pt idx="19">
                  <c:v>2030</c:v>
                </c:pt>
                <c:pt idx="20">
                  <c:v>2031</c:v>
                </c:pt>
                <c:pt idx="21">
                  <c:v>2032</c:v>
                </c:pt>
                <c:pt idx="22">
                  <c:v>2033</c:v>
                </c:pt>
              </c:numCache>
            </c:numRef>
          </c:cat>
          <c:val>
            <c:numRef>
              <c:f>'Fuel Vol and Credit Gen'!$B$86:$X$86</c:f>
              <c:numCache>
                <c:formatCode>0.0</c:formatCode>
                <c:ptCount val="23"/>
                <c:pt idx="0">
                  <c:v>8.4266999999999995E-2</c:v>
                </c:pt>
                <c:pt idx="1">
                  <c:v>0.14934700000000001</c:v>
                </c:pt>
                <c:pt idx="2">
                  <c:v>0.56667000000000001</c:v>
                </c:pt>
                <c:pt idx="3">
                  <c:v>0.71799999999999997</c:v>
                </c:pt>
                <c:pt idx="4">
                  <c:v>1.21391</c:v>
                </c:pt>
                <c:pt idx="5">
                  <c:v>1.736783</c:v>
                </c:pt>
                <c:pt idx="6">
                  <c:v>1.379739</c:v>
                </c:pt>
                <c:pt idx="7">
                  <c:v>1.606554</c:v>
                </c:pt>
                <c:pt idx="8">
                  <c:v>1.8310900000000001</c:v>
                </c:pt>
                <c:pt idx="9">
                  <c:v>2.213327</c:v>
                </c:pt>
                <c:pt idx="10">
                  <c:v>2.3105989999999998</c:v>
                </c:pt>
                <c:pt idx="11">
                  <c:v>2.204548</c:v>
                </c:pt>
                <c:pt idx="12">
                  <c:v>1.9702</c:v>
                </c:pt>
                <c:pt idx="13">
                  <c:v>1.786713890653161</c:v>
                </c:pt>
                <c:pt idx="14">
                  <c:v>1.9196466842864395</c:v>
                </c:pt>
                <c:pt idx="15">
                  <c:v>1.9278661479589423</c:v>
                </c:pt>
                <c:pt idx="16">
                  <c:v>1.9311317244823833</c:v>
                </c:pt>
                <c:pt idx="17">
                  <c:v>1.6678756840976174</c:v>
                </c:pt>
                <c:pt idx="18">
                  <c:v>1.769834440810311</c:v>
                </c:pt>
                <c:pt idx="19">
                  <c:v>1.8772203228203568</c:v>
                </c:pt>
                <c:pt idx="20">
                  <c:v>1.8639262672604537</c:v>
                </c:pt>
                <c:pt idx="21">
                  <c:v>1.8912449791386534</c:v>
                </c:pt>
                <c:pt idx="22">
                  <c:v>1.8779479629540694</c:v>
                </c:pt>
              </c:numCache>
            </c:numRef>
          </c:val>
          <c:extLst>
            <c:ext xmlns:c16="http://schemas.microsoft.com/office/drawing/2014/chart" uri="{C3380CC4-5D6E-409C-BE32-E72D297353CC}">
              <c16:uniqueId val="{00000001-2453-42CE-B045-85E18EC63D0B}"/>
            </c:ext>
          </c:extLst>
        </c:ser>
        <c:ser>
          <c:idx val="5"/>
          <c:order val="2"/>
          <c:tx>
            <c:strRef>
              <c:f>'Fuel Vol and Credit Gen'!$A$91</c:f>
              <c:strCache>
                <c:ptCount val="1"/>
                <c:pt idx="0">
                  <c:v>Renewable Diesel</c:v>
                </c:pt>
              </c:strCache>
            </c:strRef>
          </c:tx>
          <c:spPr>
            <a:solidFill>
              <a:schemeClr val="accent6"/>
            </a:solidFill>
            <a:ln>
              <a:solidFill>
                <a:schemeClr val="tx1"/>
              </a:solidFill>
            </a:ln>
            <a:effectLst/>
          </c:spPr>
          <c:cat>
            <c:numRef>
              <c:f>'Fuel Vol and Credit Gen'!$B$85:$X$85</c:f>
              <c:numCache>
                <c:formatCode>General</c:formatCode>
                <c:ptCount val="23"/>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pt idx="13">
                  <c:v>2024</c:v>
                </c:pt>
                <c:pt idx="14">
                  <c:v>2025</c:v>
                </c:pt>
                <c:pt idx="15">
                  <c:v>2026</c:v>
                </c:pt>
                <c:pt idx="16">
                  <c:v>2027</c:v>
                </c:pt>
                <c:pt idx="17">
                  <c:v>2028</c:v>
                </c:pt>
                <c:pt idx="18">
                  <c:v>2029</c:v>
                </c:pt>
                <c:pt idx="19">
                  <c:v>2030</c:v>
                </c:pt>
                <c:pt idx="20">
                  <c:v>2031</c:v>
                </c:pt>
                <c:pt idx="21">
                  <c:v>2032</c:v>
                </c:pt>
                <c:pt idx="22">
                  <c:v>2033</c:v>
                </c:pt>
              </c:numCache>
            </c:numRef>
          </c:cat>
          <c:val>
            <c:numRef>
              <c:f>'Fuel Vol and Credit Gen'!$B$91:$X$91</c:f>
              <c:numCache>
                <c:formatCode>0.0</c:formatCode>
                <c:ptCount val="23"/>
                <c:pt idx="0">
                  <c:v>1.702E-2</c:v>
                </c:pt>
                <c:pt idx="1">
                  <c:v>7.2659000000000001E-2</c:v>
                </c:pt>
                <c:pt idx="2">
                  <c:v>0.78992899999999999</c:v>
                </c:pt>
                <c:pt idx="3">
                  <c:v>0.84497900000000004</c:v>
                </c:pt>
                <c:pt idx="4">
                  <c:v>1.038171</c:v>
                </c:pt>
                <c:pt idx="5">
                  <c:v>2.2412169999999998</c:v>
                </c:pt>
                <c:pt idx="6">
                  <c:v>2.9667300000000001</c:v>
                </c:pt>
                <c:pt idx="7">
                  <c:v>3.4853909999999999</c:v>
                </c:pt>
                <c:pt idx="8">
                  <c:v>4.7805270000000002</c:v>
                </c:pt>
                <c:pt idx="9">
                  <c:v>4.5712999999999999</c:v>
                </c:pt>
                <c:pt idx="10">
                  <c:v>6.5564629999999999</c:v>
                </c:pt>
                <c:pt idx="11">
                  <c:v>9.6169349999999998</c:v>
                </c:pt>
                <c:pt idx="12">
                  <c:v>11.928851999999999</c:v>
                </c:pt>
                <c:pt idx="13">
                  <c:v>13.991902007660478</c:v>
                </c:pt>
                <c:pt idx="14">
                  <c:v>12.304335070630399</c:v>
                </c:pt>
                <c:pt idx="15">
                  <c:v>12.350472143637194</c:v>
                </c:pt>
                <c:pt idx="16">
                  <c:v>13.213347139931985</c:v>
                </c:pt>
                <c:pt idx="17">
                  <c:v>12.532724156106692</c:v>
                </c:pt>
                <c:pt idx="18">
                  <c:v>12.609546349225083</c:v>
                </c:pt>
                <c:pt idx="19">
                  <c:v>12.978143846124512</c:v>
                </c:pt>
                <c:pt idx="20">
                  <c:v>13.574085215623272</c:v>
                </c:pt>
                <c:pt idx="21">
                  <c:v>14.94287483336147</c:v>
                </c:pt>
                <c:pt idx="22">
                  <c:v>14.94706525963028</c:v>
                </c:pt>
              </c:numCache>
            </c:numRef>
          </c:val>
          <c:extLst>
            <c:ext xmlns:c16="http://schemas.microsoft.com/office/drawing/2014/chart" uri="{C3380CC4-5D6E-409C-BE32-E72D297353CC}">
              <c16:uniqueId val="{00000002-2453-42CE-B045-85E18EC63D0B}"/>
            </c:ext>
          </c:extLst>
        </c:ser>
        <c:ser>
          <c:idx val="1"/>
          <c:order val="3"/>
          <c:tx>
            <c:strRef>
              <c:f>'Fuel Vol and Credit Gen'!$A$87</c:f>
              <c:strCache>
                <c:ptCount val="1"/>
                <c:pt idx="0">
                  <c:v>Biomethane</c:v>
                </c:pt>
              </c:strCache>
            </c:strRef>
          </c:tx>
          <c:spPr>
            <a:solidFill>
              <a:schemeClr val="accent2"/>
            </a:solidFill>
            <a:ln>
              <a:solidFill>
                <a:schemeClr val="tx1"/>
              </a:solidFill>
            </a:ln>
            <a:effectLst/>
          </c:spPr>
          <c:cat>
            <c:numRef>
              <c:f>'Fuel Vol and Credit Gen'!$B$85:$X$85</c:f>
              <c:numCache>
                <c:formatCode>General</c:formatCode>
                <c:ptCount val="23"/>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pt idx="13">
                  <c:v>2024</c:v>
                </c:pt>
                <c:pt idx="14">
                  <c:v>2025</c:v>
                </c:pt>
                <c:pt idx="15">
                  <c:v>2026</c:v>
                </c:pt>
                <c:pt idx="16">
                  <c:v>2027</c:v>
                </c:pt>
                <c:pt idx="17">
                  <c:v>2028</c:v>
                </c:pt>
                <c:pt idx="18">
                  <c:v>2029</c:v>
                </c:pt>
                <c:pt idx="19">
                  <c:v>2030</c:v>
                </c:pt>
                <c:pt idx="20">
                  <c:v>2031</c:v>
                </c:pt>
                <c:pt idx="21">
                  <c:v>2032</c:v>
                </c:pt>
                <c:pt idx="22">
                  <c:v>2033</c:v>
                </c:pt>
              </c:numCache>
            </c:numRef>
          </c:cat>
          <c:val>
            <c:numRef>
              <c:f>'Fuel Vol and Credit Gen'!$B$87:$X$87</c:f>
              <c:numCache>
                <c:formatCode>0.0</c:formatCode>
                <c:ptCount val="23"/>
                <c:pt idx="0">
                  <c:v>1.4715000000000001E-2</c:v>
                </c:pt>
                <c:pt idx="1">
                  <c:v>1.4845000000000001E-2</c:v>
                </c:pt>
                <c:pt idx="2">
                  <c:v>9.8117999999999997E-2</c:v>
                </c:pt>
                <c:pt idx="3">
                  <c:v>0.23955799999999999</c:v>
                </c:pt>
                <c:pt idx="4">
                  <c:v>0.57595200000000002</c:v>
                </c:pt>
                <c:pt idx="5">
                  <c:v>0.68265500000000001</c:v>
                </c:pt>
                <c:pt idx="6">
                  <c:v>0.68098499999999995</c:v>
                </c:pt>
                <c:pt idx="7">
                  <c:v>0.75128799999999996</c:v>
                </c:pt>
                <c:pt idx="8">
                  <c:v>0.93679199999999996</c:v>
                </c:pt>
                <c:pt idx="9">
                  <c:v>1.6647069999999999</c:v>
                </c:pt>
                <c:pt idx="10">
                  <c:v>2.7870840000000001</c:v>
                </c:pt>
                <c:pt idx="11">
                  <c:v>4.3450790000000001</c:v>
                </c:pt>
                <c:pt idx="12">
                  <c:v>5.3255220000000003</c:v>
                </c:pt>
                <c:pt idx="13">
                  <c:v>6.6981704057172688</c:v>
                </c:pt>
                <c:pt idx="14">
                  <c:v>4.5696412767719368</c:v>
                </c:pt>
                <c:pt idx="15">
                  <c:v>4.5661805153712587</c:v>
                </c:pt>
                <c:pt idx="16">
                  <c:v>4.5518462119462022</c:v>
                </c:pt>
                <c:pt idx="17">
                  <c:v>4.4837077201998481</c:v>
                </c:pt>
                <c:pt idx="18">
                  <c:v>4.4544884026180673</c:v>
                </c:pt>
                <c:pt idx="19">
                  <c:v>4.4963987581570617</c:v>
                </c:pt>
                <c:pt idx="20">
                  <c:v>4.5378183733099942</c:v>
                </c:pt>
                <c:pt idx="21">
                  <c:v>4.4975923883026008</c:v>
                </c:pt>
                <c:pt idx="22">
                  <c:v>4.51285732749795</c:v>
                </c:pt>
              </c:numCache>
            </c:numRef>
          </c:val>
          <c:extLst>
            <c:ext xmlns:c16="http://schemas.microsoft.com/office/drawing/2014/chart" uri="{C3380CC4-5D6E-409C-BE32-E72D297353CC}">
              <c16:uniqueId val="{00000003-2453-42CE-B045-85E18EC63D0B}"/>
            </c:ext>
          </c:extLst>
        </c:ser>
        <c:ser>
          <c:idx val="2"/>
          <c:order val="4"/>
          <c:tx>
            <c:strRef>
              <c:f>'Fuel Vol and Credit Gen'!$A$88</c:f>
              <c:strCache>
                <c:ptCount val="1"/>
                <c:pt idx="0">
                  <c:v>Fossil Natural Gas</c:v>
                </c:pt>
              </c:strCache>
            </c:strRef>
          </c:tx>
          <c:spPr>
            <a:solidFill>
              <a:schemeClr val="accent3"/>
            </a:solidFill>
            <a:ln>
              <a:solidFill>
                <a:schemeClr val="tx1"/>
              </a:solidFill>
            </a:ln>
            <a:effectLst/>
          </c:spPr>
          <c:cat>
            <c:numRef>
              <c:f>'Fuel Vol and Credit Gen'!$B$85:$X$85</c:f>
              <c:numCache>
                <c:formatCode>General</c:formatCode>
                <c:ptCount val="23"/>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pt idx="13">
                  <c:v>2024</c:v>
                </c:pt>
                <c:pt idx="14">
                  <c:v>2025</c:v>
                </c:pt>
                <c:pt idx="15">
                  <c:v>2026</c:v>
                </c:pt>
                <c:pt idx="16">
                  <c:v>2027</c:v>
                </c:pt>
                <c:pt idx="17">
                  <c:v>2028</c:v>
                </c:pt>
                <c:pt idx="18">
                  <c:v>2029</c:v>
                </c:pt>
                <c:pt idx="19">
                  <c:v>2030</c:v>
                </c:pt>
                <c:pt idx="20">
                  <c:v>2031</c:v>
                </c:pt>
                <c:pt idx="21">
                  <c:v>2032</c:v>
                </c:pt>
                <c:pt idx="22">
                  <c:v>2033</c:v>
                </c:pt>
              </c:numCache>
            </c:numRef>
          </c:cat>
          <c:val>
            <c:numRef>
              <c:f>'Fuel Vol and Credit Gen'!$B$88:$X$88</c:f>
              <c:numCache>
                <c:formatCode>0.0</c:formatCode>
                <c:ptCount val="23"/>
                <c:pt idx="0">
                  <c:v>0.16439000000000001</c:v>
                </c:pt>
                <c:pt idx="1">
                  <c:v>0.18317</c:v>
                </c:pt>
                <c:pt idx="2">
                  <c:v>0.221855</c:v>
                </c:pt>
                <c:pt idx="3">
                  <c:v>0.24701600000000001</c:v>
                </c:pt>
                <c:pt idx="4">
                  <c:v>0.205591</c:v>
                </c:pt>
                <c:pt idx="5">
                  <c:v>0.17019100000000001</c:v>
                </c:pt>
                <c:pt idx="6">
                  <c:v>5.8493999999999997E-2</c:v>
                </c:pt>
                <c:pt idx="7">
                  <c:v>5.8775000000000001E-2</c:v>
                </c:pt>
                <c:pt idx="8">
                  <c:v>3.0851E-2</c:v>
                </c:pt>
                <c:pt idx="9">
                  <c:v>8.1930000000000006E-3</c:v>
                </c:pt>
                <c:pt idx="10">
                  <c:v>2.447E-3</c:v>
                </c:pt>
                <c:pt idx="11">
                  <c:v>2.542E-3</c:v>
                </c:pt>
                <c:pt idx="12">
                  <c:v>1.6360000000000001E-3</c:v>
                </c:pt>
                <c:pt idx="13">
                  <c:v>4.46E-4</c:v>
                </c:pt>
                <c:pt idx="14">
                  <c:v>0</c:v>
                </c:pt>
                <c:pt idx="15">
                  <c:v>9.5145180376718244E-4</c:v>
                </c:pt>
                <c:pt idx="16">
                  <c:v>1.7822624302666827E-3</c:v>
                </c:pt>
                <c:pt idx="17">
                  <c:v>2.0845569861629738E-3</c:v>
                </c:pt>
                <c:pt idx="18">
                  <c:v>2.1381733395403617E-3</c:v>
                </c:pt>
                <c:pt idx="19">
                  <c:v>1.9049874051198022E-3</c:v>
                </c:pt>
                <c:pt idx="20">
                  <c:v>2.0554166939706201E-3</c:v>
                </c:pt>
                <c:pt idx="21">
                  <c:v>2.1826509445217307E-3</c:v>
                </c:pt>
                <c:pt idx="22">
                  <c:v>2.2482596060847903E-3</c:v>
                </c:pt>
              </c:numCache>
            </c:numRef>
          </c:val>
          <c:extLst>
            <c:ext xmlns:c16="http://schemas.microsoft.com/office/drawing/2014/chart" uri="{C3380CC4-5D6E-409C-BE32-E72D297353CC}">
              <c16:uniqueId val="{00000004-2453-42CE-B045-85E18EC63D0B}"/>
            </c:ext>
          </c:extLst>
        </c:ser>
        <c:ser>
          <c:idx val="4"/>
          <c:order val="5"/>
          <c:tx>
            <c:strRef>
              <c:f>'Fuel Vol and Credit Gen'!$A$90</c:f>
              <c:strCache>
                <c:ptCount val="1"/>
                <c:pt idx="0">
                  <c:v>Ethanol</c:v>
                </c:pt>
              </c:strCache>
            </c:strRef>
          </c:tx>
          <c:spPr>
            <a:solidFill>
              <a:schemeClr val="accent5"/>
            </a:solidFill>
            <a:ln>
              <a:solidFill>
                <a:schemeClr val="tx1"/>
              </a:solidFill>
            </a:ln>
            <a:effectLst/>
          </c:spPr>
          <c:cat>
            <c:numRef>
              <c:f>'Fuel Vol and Credit Gen'!$B$85:$X$85</c:f>
              <c:numCache>
                <c:formatCode>General</c:formatCode>
                <c:ptCount val="23"/>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pt idx="13">
                  <c:v>2024</c:v>
                </c:pt>
                <c:pt idx="14">
                  <c:v>2025</c:v>
                </c:pt>
                <c:pt idx="15">
                  <c:v>2026</c:v>
                </c:pt>
                <c:pt idx="16">
                  <c:v>2027</c:v>
                </c:pt>
                <c:pt idx="17">
                  <c:v>2028</c:v>
                </c:pt>
                <c:pt idx="18">
                  <c:v>2029</c:v>
                </c:pt>
                <c:pt idx="19">
                  <c:v>2030</c:v>
                </c:pt>
                <c:pt idx="20">
                  <c:v>2031</c:v>
                </c:pt>
                <c:pt idx="21">
                  <c:v>2032</c:v>
                </c:pt>
                <c:pt idx="22">
                  <c:v>2033</c:v>
                </c:pt>
              </c:numCache>
            </c:numRef>
          </c:cat>
          <c:val>
            <c:numRef>
              <c:f>'Fuel Vol and Credit Gen'!$B$90:$X$90</c:f>
              <c:numCache>
                <c:formatCode>0.0</c:formatCode>
                <c:ptCount val="23"/>
                <c:pt idx="0">
                  <c:v>1.0235529999999999</c:v>
                </c:pt>
                <c:pt idx="1">
                  <c:v>1.2190939999999999</c:v>
                </c:pt>
                <c:pt idx="2">
                  <c:v>1.983878</c:v>
                </c:pt>
                <c:pt idx="3">
                  <c:v>2.0308830000000002</c:v>
                </c:pt>
                <c:pt idx="4">
                  <c:v>2.1247539999999998</c:v>
                </c:pt>
                <c:pt idx="5">
                  <c:v>3.5193859999999999</c:v>
                </c:pt>
                <c:pt idx="6">
                  <c:v>3.4882240000000002</c:v>
                </c:pt>
                <c:pt idx="7">
                  <c:v>3.458529</c:v>
                </c:pt>
                <c:pt idx="8">
                  <c:v>4.3421320000000003</c:v>
                </c:pt>
                <c:pt idx="9">
                  <c:v>3.7366549999999998</c:v>
                </c:pt>
                <c:pt idx="10">
                  <c:v>3.8255520000000001</c:v>
                </c:pt>
                <c:pt idx="11">
                  <c:v>3.74064</c:v>
                </c:pt>
                <c:pt idx="12">
                  <c:v>3.3628960000000001</c:v>
                </c:pt>
                <c:pt idx="13">
                  <c:v>3.4939330523557555</c:v>
                </c:pt>
                <c:pt idx="14">
                  <c:v>3.7227612189416019</c:v>
                </c:pt>
                <c:pt idx="15">
                  <c:v>3.8064635850368096</c:v>
                </c:pt>
                <c:pt idx="16">
                  <c:v>3.777996703232978</c:v>
                </c:pt>
                <c:pt idx="17">
                  <c:v>3.7376787492903767</c:v>
                </c:pt>
                <c:pt idx="18">
                  <c:v>3.7041699140234483</c:v>
                </c:pt>
                <c:pt idx="19">
                  <c:v>3.6983522196878078</c:v>
                </c:pt>
                <c:pt idx="20">
                  <c:v>3.7220679946264079</c:v>
                </c:pt>
                <c:pt idx="21">
                  <c:v>3.7361251401292801</c:v>
                </c:pt>
                <c:pt idx="22">
                  <c:v>3.7403999638048733</c:v>
                </c:pt>
              </c:numCache>
            </c:numRef>
          </c:val>
          <c:extLst>
            <c:ext xmlns:c16="http://schemas.microsoft.com/office/drawing/2014/chart" uri="{C3380CC4-5D6E-409C-BE32-E72D297353CC}">
              <c16:uniqueId val="{00000005-2453-42CE-B045-85E18EC63D0B}"/>
            </c:ext>
          </c:extLst>
        </c:ser>
        <c:ser>
          <c:idx val="6"/>
          <c:order val="6"/>
          <c:tx>
            <c:strRef>
              <c:f>'Fuel Vol and Credit Gen'!$A$92</c:f>
              <c:strCache>
                <c:ptCount val="1"/>
                <c:pt idx="0">
                  <c:v>Other (Hydrogen, SAF, Renewable Naphtha, Propane)</c:v>
                </c:pt>
              </c:strCache>
            </c:strRef>
          </c:tx>
          <c:spPr>
            <a:solidFill>
              <a:schemeClr val="accent1">
                <a:lumMod val="60000"/>
              </a:schemeClr>
            </a:solidFill>
            <a:ln>
              <a:solidFill>
                <a:schemeClr val="tx1"/>
              </a:solidFill>
            </a:ln>
            <a:effectLst/>
          </c:spPr>
          <c:cat>
            <c:numRef>
              <c:f>'Fuel Vol and Credit Gen'!$B$85:$X$85</c:f>
              <c:numCache>
                <c:formatCode>General</c:formatCode>
                <c:ptCount val="23"/>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pt idx="13">
                  <c:v>2024</c:v>
                </c:pt>
                <c:pt idx="14">
                  <c:v>2025</c:v>
                </c:pt>
                <c:pt idx="15">
                  <c:v>2026</c:v>
                </c:pt>
                <c:pt idx="16">
                  <c:v>2027</c:v>
                </c:pt>
                <c:pt idx="17">
                  <c:v>2028</c:v>
                </c:pt>
                <c:pt idx="18">
                  <c:v>2029</c:v>
                </c:pt>
                <c:pt idx="19">
                  <c:v>2030</c:v>
                </c:pt>
                <c:pt idx="20">
                  <c:v>2031</c:v>
                </c:pt>
                <c:pt idx="21">
                  <c:v>2032</c:v>
                </c:pt>
                <c:pt idx="22">
                  <c:v>2033</c:v>
                </c:pt>
              </c:numCache>
            </c:numRef>
          </c:cat>
          <c:val>
            <c:numRef>
              <c:f>'Fuel Vol and Credit Gen'!$B$92:$X$92</c:f>
              <c:numCache>
                <c:formatCode>_(* #,##0.0_);_(* \(#,##0.0\);_(* "-"??_);_(@_)</c:formatCode>
                <c:ptCount val="23"/>
                <c:pt idx="0">
                  <c:v>0</c:v>
                </c:pt>
                <c:pt idx="1">
                  <c:v>0</c:v>
                </c:pt>
                <c:pt idx="2">
                  <c:v>0</c:v>
                </c:pt>
                <c:pt idx="3">
                  <c:v>0</c:v>
                </c:pt>
                <c:pt idx="4">
                  <c:v>7.3999999999999996E-5</c:v>
                </c:pt>
                <c:pt idx="5">
                  <c:v>6.3999999999999997E-5</c:v>
                </c:pt>
                <c:pt idx="6">
                  <c:v>3.4359999999999998E-3</c:v>
                </c:pt>
                <c:pt idx="7">
                  <c:v>8.0660000000000003E-3</c:v>
                </c:pt>
                <c:pt idx="8">
                  <c:v>3.6637000000000003E-2</c:v>
                </c:pt>
                <c:pt idx="9">
                  <c:v>8.2883999999999999E-2</c:v>
                </c:pt>
                <c:pt idx="10">
                  <c:v>0.17826400000000001</c:v>
                </c:pt>
                <c:pt idx="11">
                  <c:v>0.24149599999999999</c:v>
                </c:pt>
                <c:pt idx="12">
                  <c:v>0.32577600000000001</c:v>
                </c:pt>
                <c:pt idx="13">
                  <c:v>0.51922618449796865</c:v>
                </c:pt>
                <c:pt idx="14">
                  <c:v>0.81726903494797876</c:v>
                </c:pt>
                <c:pt idx="15">
                  <c:v>2.4402852427321675</c:v>
                </c:pt>
                <c:pt idx="16">
                  <c:v>5.909109715580894</c:v>
                </c:pt>
                <c:pt idx="17">
                  <c:v>7.6586418650436041</c:v>
                </c:pt>
                <c:pt idx="18">
                  <c:v>9.1267507660538225</c:v>
                </c:pt>
                <c:pt idx="19">
                  <c:v>11.545515070439672</c:v>
                </c:pt>
                <c:pt idx="20">
                  <c:v>12.705617057360122</c:v>
                </c:pt>
                <c:pt idx="21">
                  <c:v>15.82571096905723</c:v>
                </c:pt>
                <c:pt idx="22">
                  <c:v>16.937979300848554</c:v>
                </c:pt>
              </c:numCache>
            </c:numRef>
          </c:val>
          <c:extLst>
            <c:ext xmlns:c16="http://schemas.microsoft.com/office/drawing/2014/chart" uri="{C3380CC4-5D6E-409C-BE32-E72D297353CC}">
              <c16:uniqueId val="{00000006-2453-42CE-B045-85E18EC63D0B}"/>
            </c:ext>
          </c:extLst>
        </c:ser>
        <c:dLbls>
          <c:showLegendKey val="0"/>
          <c:showVal val="0"/>
          <c:showCatName val="0"/>
          <c:showSerName val="0"/>
          <c:showPercent val="0"/>
          <c:showBubbleSize val="0"/>
        </c:dLbls>
        <c:axId val="402476039"/>
        <c:axId val="402471447"/>
      </c:areaChart>
      <c:catAx>
        <c:axId val="4024760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402471447"/>
        <c:crosses val="autoZero"/>
        <c:auto val="1"/>
        <c:lblAlgn val="ctr"/>
        <c:lblOffset val="100"/>
        <c:noMultiLvlLbl val="0"/>
      </c:catAx>
      <c:valAx>
        <c:axId val="40247144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402476039"/>
        <c:crosses val="autoZero"/>
        <c:crossBetween val="midCat"/>
      </c:valAx>
      <c:spPr>
        <a:noFill/>
        <a:ln>
          <a:noFill/>
        </a:ln>
        <a:effectLst/>
      </c:spPr>
    </c:plotArea>
    <c:legend>
      <c:legendPos val="b"/>
      <c:layout>
        <c:manualLayout>
          <c:xMode val="edge"/>
          <c:yMode val="edge"/>
          <c:x val="0.77717175584946152"/>
          <c:y val="0.12545545272060868"/>
          <c:w val="0.20275551660193694"/>
          <c:h val="0.72628609656350918"/>
        </c:manualLayout>
      </c:layout>
      <c:overlay val="0"/>
      <c:spPr>
        <a:solidFill>
          <a:schemeClr val="bg1"/>
        </a:solid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200" b="1">
          <a:solidFill>
            <a:sysClr val="windowText" lastClr="000000"/>
          </a:solidFill>
          <a:latin typeface="Arial" panose="020B0604020202020204" pitchFamily="34" charset="0"/>
          <a:cs typeface="Arial" panose="020B0604020202020204" pitchFamily="34" charset="0"/>
        </a:defRPr>
      </a:pPr>
      <a:endParaRPr lang="en-US"/>
    </a:p>
  </c:txPr>
  <c:userShapes r:id="rId3"/>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8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US" sz="2800"/>
              <a:t>Credit Generation</a:t>
            </a:r>
            <a:r>
              <a:rPr lang="en-US" sz="2800" baseline="0"/>
              <a:t> by Fuel Type</a:t>
            </a:r>
            <a:endParaRPr lang="en-US" sz="2800"/>
          </a:p>
        </c:rich>
      </c:tx>
      <c:overlay val="0"/>
      <c:spPr>
        <a:noFill/>
        <a:ln>
          <a:noFill/>
        </a:ln>
        <a:effectLst/>
      </c:spPr>
      <c:txPr>
        <a:bodyPr rot="0" spcFirstLastPara="1" vertOverflow="ellipsis" vert="horz" wrap="square" anchor="ctr" anchorCtr="1"/>
        <a:lstStyle/>
        <a:p>
          <a:pPr>
            <a:defRPr sz="28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7.1066343505705842E-2"/>
          <c:y val="0.11393006180721878"/>
          <c:w val="0.83263301716172133"/>
          <c:h val="0.62804673309641612"/>
        </c:manualLayout>
      </c:layout>
      <c:lineChart>
        <c:grouping val="standard"/>
        <c:varyColors val="0"/>
        <c:ser>
          <c:idx val="1"/>
          <c:order val="0"/>
          <c:tx>
            <c:strRef>
              <c:f>'Fuel Vol and Credit Gen'!$A$86</c:f>
              <c:strCache>
                <c:ptCount val="1"/>
                <c:pt idx="0">
                  <c:v>Biodiesel</c:v>
                </c:pt>
              </c:strCache>
            </c:strRef>
          </c:tx>
          <c:spPr>
            <a:ln w="22225" cap="rnd">
              <a:solidFill>
                <a:schemeClr val="accent2"/>
              </a:solidFill>
              <a:round/>
            </a:ln>
            <a:effectLst/>
          </c:spPr>
          <c:marker>
            <c:symbol val="none"/>
          </c:marker>
          <c:cat>
            <c:numRef>
              <c:extLst>
                <c:ext xmlns:c15="http://schemas.microsoft.com/office/drawing/2012/chart" uri="{02D57815-91ED-43cb-92C2-25804820EDAC}">
                  <c15:fullRef>
                    <c15:sqref>'Fuel Vol and Credit Gen'!$B$85:$Y$85</c15:sqref>
                  </c15:fullRef>
                </c:ext>
              </c:extLst>
              <c:f>'Fuel Vol and Credit Gen'!$G$85:$Y$85</c:f>
              <c:numCache>
                <c:formatCode>General</c:formatCode>
                <c:ptCount val="19"/>
                <c:pt idx="0">
                  <c:v>2016</c:v>
                </c:pt>
                <c:pt idx="1">
                  <c:v>2017</c:v>
                </c:pt>
                <c:pt idx="2">
                  <c:v>2018</c:v>
                </c:pt>
                <c:pt idx="3">
                  <c:v>2019</c:v>
                </c:pt>
                <c:pt idx="4">
                  <c:v>2020</c:v>
                </c:pt>
                <c:pt idx="5">
                  <c:v>2021</c:v>
                </c:pt>
                <c:pt idx="6">
                  <c:v>2022</c:v>
                </c:pt>
                <c:pt idx="7">
                  <c:v>2023</c:v>
                </c:pt>
                <c:pt idx="8">
                  <c:v>2024</c:v>
                </c:pt>
                <c:pt idx="9">
                  <c:v>2025</c:v>
                </c:pt>
                <c:pt idx="10">
                  <c:v>2026</c:v>
                </c:pt>
                <c:pt idx="11">
                  <c:v>2027</c:v>
                </c:pt>
                <c:pt idx="12">
                  <c:v>2028</c:v>
                </c:pt>
                <c:pt idx="13">
                  <c:v>2029</c:v>
                </c:pt>
                <c:pt idx="14">
                  <c:v>2030</c:v>
                </c:pt>
                <c:pt idx="15">
                  <c:v>2031</c:v>
                </c:pt>
                <c:pt idx="16">
                  <c:v>2032</c:v>
                </c:pt>
                <c:pt idx="17">
                  <c:v>2033</c:v>
                </c:pt>
                <c:pt idx="18">
                  <c:v>2034</c:v>
                </c:pt>
              </c:numCache>
            </c:numRef>
          </c:cat>
          <c:val>
            <c:numRef>
              <c:extLst>
                <c:ext xmlns:c15="http://schemas.microsoft.com/office/drawing/2012/chart" uri="{02D57815-91ED-43cb-92C2-25804820EDAC}">
                  <c15:fullRef>
                    <c15:sqref>'Fuel Vol and Credit Gen'!$B$86:$Y$86</c15:sqref>
                  </c15:fullRef>
                </c:ext>
              </c:extLst>
              <c:f>'Fuel Vol and Credit Gen'!$G$86:$Y$86</c:f>
              <c:numCache>
                <c:formatCode>0.0</c:formatCode>
                <c:ptCount val="19"/>
                <c:pt idx="0">
                  <c:v>1.736783</c:v>
                </c:pt>
                <c:pt idx="1">
                  <c:v>1.379739</c:v>
                </c:pt>
                <c:pt idx="2">
                  <c:v>1.606554</c:v>
                </c:pt>
                <c:pt idx="3">
                  <c:v>1.8310900000000001</c:v>
                </c:pt>
                <c:pt idx="4">
                  <c:v>2.213327</c:v>
                </c:pt>
                <c:pt idx="5">
                  <c:v>2.3105989999999998</c:v>
                </c:pt>
                <c:pt idx="6">
                  <c:v>2.204548</c:v>
                </c:pt>
                <c:pt idx="7">
                  <c:v>1.9702</c:v>
                </c:pt>
                <c:pt idx="8">
                  <c:v>1.786713890653161</c:v>
                </c:pt>
                <c:pt idx="9">
                  <c:v>1.9196466842864395</c:v>
                </c:pt>
                <c:pt idx="10">
                  <c:v>1.9278661479589423</c:v>
                </c:pt>
                <c:pt idx="11">
                  <c:v>1.9311317244823833</c:v>
                </c:pt>
                <c:pt idx="12">
                  <c:v>1.6678756840976174</c:v>
                </c:pt>
                <c:pt idx="13">
                  <c:v>1.769834440810311</c:v>
                </c:pt>
                <c:pt idx="14">
                  <c:v>1.8772203228203568</c:v>
                </c:pt>
                <c:pt idx="15">
                  <c:v>1.8639262672604537</c:v>
                </c:pt>
                <c:pt idx="16">
                  <c:v>1.8912449791386534</c:v>
                </c:pt>
                <c:pt idx="17">
                  <c:v>1.8779479629540694</c:v>
                </c:pt>
                <c:pt idx="18">
                  <c:v>1.8711436838098388</c:v>
                </c:pt>
              </c:numCache>
            </c:numRef>
          </c:val>
          <c:smooth val="0"/>
          <c:extLst>
            <c:ext xmlns:c16="http://schemas.microsoft.com/office/drawing/2014/chart" uri="{C3380CC4-5D6E-409C-BE32-E72D297353CC}">
              <c16:uniqueId val="{00000000-3393-4FF8-8CEB-40A591BEB033}"/>
            </c:ext>
          </c:extLst>
        </c:ser>
        <c:ser>
          <c:idx val="2"/>
          <c:order val="1"/>
          <c:tx>
            <c:strRef>
              <c:f>'Fuel Vol and Credit Gen'!$A$87</c:f>
              <c:strCache>
                <c:ptCount val="1"/>
                <c:pt idx="0">
                  <c:v>Biomethane</c:v>
                </c:pt>
              </c:strCache>
            </c:strRef>
          </c:tx>
          <c:spPr>
            <a:ln w="22225" cap="rnd">
              <a:solidFill>
                <a:schemeClr val="accent3"/>
              </a:solidFill>
              <a:round/>
            </a:ln>
            <a:effectLst/>
          </c:spPr>
          <c:marker>
            <c:symbol val="none"/>
          </c:marker>
          <c:cat>
            <c:numRef>
              <c:extLst>
                <c:ext xmlns:c15="http://schemas.microsoft.com/office/drawing/2012/chart" uri="{02D57815-91ED-43cb-92C2-25804820EDAC}">
                  <c15:fullRef>
                    <c15:sqref>'Fuel Vol and Credit Gen'!$B$85:$Y$85</c15:sqref>
                  </c15:fullRef>
                </c:ext>
              </c:extLst>
              <c:f>'Fuel Vol and Credit Gen'!$G$85:$Y$85</c:f>
              <c:numCache>
                <c:formatCode>General</c:formatCode>
                <c:ptCount val="19"/>
                <c:pt idx="0">
                  <c:v>2016</c:v>
                </c:pt>
                <c:pt idx="1">
                  <c:v>2017</c:v>
                </c:pt>
                <c:pt idx="2">
                  <c:v>2018</c:v>
                </c:pt>
                <c:pt idx="3">
                  <c:v>2019</c:v>
                </c:pt>
                <c:pt idx="4">
                  <c:v>2020</c:v>
                </c:pt>
                <c:pt idx="5">
                  <c:v>2021</c:v>
                </c:pt>
                <c:pt idx="6">
                  <c:v>2022</c:v>
                </c:pt>
                <c:pt idx="7">
                  <c:v>2023</c:v>
                </c:pt>
                <c:pt idx="8">
                  <c:v>2024</c:v>
                </c:pt>
                <c:pt idx="9">
                  <c:v>2025</c:v>
                </c:pt>
                <c:pt idx="10">
                  <c:v>2026</c:v>
                </c:pt>
                <c:pt idx="11">
                  <c:v>2027</c:v>
                </c:pt>
                <c:pt idx="12">
                  <c:v>2028</c:v>
                </c:pt>
                <c:pt idx="13">
                  <c:v>2029</c:v>
                </c:pt>
                <c:pt idx="14">
                  <c:v>2030</c:v>
                </c:pt>
                <c:pt idx="15">
                  <c:v>2031</c:v>
                </c:pt>
                <c:pt idx="16">
                  <c:v>2032</c:v>
                </c:pt>
                <c:pt idx="17">
                  <c:v>2033</c:v>
                </c:pt>
                <c:pt idx="18">
                  <c:v>2034</c:v>
                </c:pt>
              </c:numCache>
            </c:numRef>
          </c:cat>
          <c:val>
            <c:numRef>
              <c:extLst>
                <c:ext xmlns:c15="http://schemas.microsoft.com/office/drawing/2012/chart" uri="{02D57815-91ED-43cb-92C2-25804820EDAC}">
                  <c15:fullRef>
                    <c15:sqref>'Fuel Vol and Credit Gen'!$B$87:$Y$87</c15:sqref>
                  </c15:fullRef>
                </c:ext>
              </c:extLst>
              <c:f>'Fuel Vol and Credit Gen'!$G$87:$Y$87</c:f>
              <c:numCache>
                <c:formatCode>0.0</c:formatCode>
                <c:ptCount val="19"/>
                <c:pt idx="0">
                  <c:v>0.68265500000000001</c:v>
                </c:pt>
                <c:pt idx="1">
                  <c:v>0.68098499999999995</c:v>
                </c:pt>
                <c:pt idx="2">
                  <c:v>0.75128799999999996</c:v>
                </c:pt>
                <c:pt idx="3">
                  <c:v>0.93679199999999996</c:v>
                </c:pt>
                <c:pt idx="4">
                  <c:v>1.6647069999999999</c:v>
                </c:pt>
                <c:pt idx="5">
                  <c:v>2.7870840000000001</c:v>
                </c:pt>
                <c:pt idx="6">
                  <c:v>4.3450790000000001</c:v>
                </c:pt>
                <c:pt idx="7">
                  <c:v>5.3255220000000003</c:v>
                </c:pt>
                <c:pt idx="8">
                  <c:v>6.6981704057172688</c:v>
                </c:pt>
                <c:pt idx="9">
                  <c:v>4.5696412767719368</c:v>
                </c:pt>
                <c:pt idx="10">
                  <c:v>4.5661805153712587</c:v>
                </c:pt>
                <c:pt idx="11">
                  <c:v>4.5518462119462022</c:v>
                </c:pt>
                <c:pt idx="12">
                  <c:v>4.4837077201998481</c:v>
                </c:pt>
                <c:pt idx="13">
                  <c:v>4.4544884026180673</c:v>
                </c:pt>
                <c:pt idx="14">
                  <c:v>4.4963987581570617</c:v>
                </c:pt>
                <c:pt idx="15">
                  <c:v>4.5378183733099942</c:v>
                </c:pt>
                <c:pt idx="16">
                  <c:v>4.4975923883026008</c:v>
                </c:pt>
                <c:pt idx="17">
                  <c:v>4.51285732749795</c:v>
                </c:pt>
                <c:pt idx="18">
                  <c:v>4.5050515662195698</c:v>
                </c:pt>
              </c:numCache>
            </c:numRef>
          </c:val>
          <c:smooth val="0"/>
          <c:extLst>
            <c:ext xmlns:c16="http://schemas.microsoft.com/office/drawing/2014/chart" uri="{C3380CC4-5D6E-409C-BE32-E72D297353CC}">
              <c16:uniqueId val="{00000001-3393-4FF8-8CEB-40A591BEB033}"/>
            </c:ext>
          </c:extLst>
        </c:ser>
        <c:ser>
          <c:idx val="3"/>
          <c:order val="2"/>
          <c:tx>
            <c:strRef>
              <c:f>'Fuel Vol and Credit Gen'!$A$88</c:f>
              <c:strCache>
                <c:ptCount val="1"/>
                <c:pt idx="0">
                  <c:v>Fossil Natural Gas</c:v>
                </c:pt>
              </c:strCache>
            </c:strRef>
          </c:tx>
          <c:spPr>
            <a:ln w="22225" cap="rnd">
              <a:solidFill>
                <a:schemeClr val="accent4"/>
              </a:solidFill>
              <a:round/>
            </a:ln>
            <a:effectLst/>
          </c:spPr>
          <c:marker>
            <c:symbol val="none"/>
          </c:marker>
          <c:cat>
            <c:numRef>
              <c:extLst>
                <c:ext xmlns:c15="http://schemas.microsoft.com/office/drawing/2012/chart" uri="{02D57815-91ED-43cb-92C2-25804820EDAC}">
                  <c15:fullRef>
                    <c15:sqref>'Fuel Vol and Credit Gen'!$B$85:$Y$85</c15:sqref>
                  </c15:fullRef>
                </c:ext>
              </c:extLst>
              <c:f>'Fuel Vol and Credit Gen'!$G$85:$Y$85</c:f>
              <c:numCache>
                <c:formatCode>General</c:formatCode>
                <c:ptCount val="19"/>
                <c:pt idx="0">
                  <c:v>2016</c:v>
                </c:pt>
                <c:pt idx="1">
                  <c:v>2017</c:v>
                </c:pt>
                <c:pt idx="2">
                  <c:v>2018</c:v>
                </c:pt>
                <c:pt idx="3">
                  <c:v>2019</c:v>
                </c:pt>
                <c:pt idx="4">
                  <c:v>2020</c:v>
                </c:pt>
                <c:pt idx="5">
                  <c:v>2021</c:v>
                </c:pt>
                <c:pt idx="6">
                  <c:v>2022</c:v>
                </c:pt>
                <c:pt idx="7">
                  <c:v>2023</c:v>
                </c:pt>
                <c:pt idx="8">
                  <c:v>2024</c:v>
                </c:pt>
                <c:pt idx="9">
                  <c:v>2025</c:v>
                </c:pt>
                <c:pt idx="10">
                  <c:v>2026</c:v>
                </c:pt>
                <c:pt idx="11">
                  <c:v>2027</c:v>
                </c:pt>
                <c:pt idx="12">
                  <c:v>2028</c:v>
                </c:pt>
                <c:pt idx="13">
                  <c:v>2029</c:v>
                </c:pt>
                <c:pt idx="14">
                  <c:v>2030</c:v>
                </c:pt>
                <c:pt idx="15">
                  <c:v>2031</c:v>
                </c:pt>
                <c:pt idx="16">
                  <c:v>2032</c:v>
                </c:pt>
                <c:pt idx="17">
                  <c:v>2033</c:v>
                </c:pt>
                <c:pt idx="18">
                  <c:v>2034</c:v>
                </c:pt>
              </c:numCache>
            </c:numRef>
          </c:cat>
          <c:val>
            <c:numRef>
              <c:extLst>
                <c:ext xmlns:c15="http://schemas.microsoft.com/office/drawing/2012/chart" uri="{02D57815-91ED-43cb-92C2-25804820EDAC}">
                  <c15:fullRef>
                    <c15:sqref>'Fuel Vol and Credit Gen'!$B$88:$Y$88</c15:sqref>
                  </c15:fullRef>
                </c:ext>
              </c:extLst>
              <c:f>'Fuel Vol and Credit Gen'!$G$88:$Y$88</c:f>
              <c:numCache>
                <c:formatCode>0.0</c:formatCode>
                <c:ptCount val="19"/>
                <c:pt idx="0">
                  <c:v>0.17019100000000001</c:v>
                </c:pt>
                <c:pt idx="1">
                  <c:v>5.8493999999999997E-2</c:v>
                </c:pt>
                <c:pt idx="2">
                  <c:v>5.8775000000000001E-2</c:v>
                </c:pt>
                <c:pt idx="3">
                  <c:v>3.0851E-2</c:v>
                </c:pt>
                <c:pt idx="4">
                  <c:v>8.1930000000000006E-3</c:v>
                </c:pt>
                <c:pt idx="5">
                  <c:v>2.447E-3</c:v>
                </c:pt>
                <c:pt idx="6">
                  <c:v>2.542E-3</c:v>
                </c:pt>
                <c:pt idx="7">
                  <c:v>1.6360000000000001E-3</c:v>
                </c:pt>
                <c:pt idx="8">
                  <c:v>4.46E-4</c:v>
                </c:pt>
                <c:pt idx="9">
                  <c:v>0</c:v>
                </c:pt>
                <c:pt idx="10">
                  <c:v>9.5145180376718244E-4</c:v>
                </c:pt>
                <c:pt idx="11">
                  <c:v>1.7822624302666827E-3</c:v>
                </c:pt>
                <c:pt idx="12">
                  <c:v>2.0845569861629738E-3</c:v>
                </c:pt>
                <c:pt idx="13">
                  <c:v>2.1381733395403617E-3</c:v>
                </c:pt>
                <c:pt idx="14">
                  <c:v>1.9049874051198022E-3</c:v>
                </c:pt>
                <c:pt idx="15">
                  <c:v>2.0554166939706201E-3</c:v>
                </c:pt>
                <c:pt idx="16">
                  <c:v>2.1826509445217307E-3</c:v>
                </c:pt>
                <c:pt idx="17">
                  <c:v>2.2482596060847903E-3</c:v>
                </c:pt>
                <c:pt idx="18">
                  <c:v>2.2457785435948444E-3</c:v>
                </c:pt>
              </c:numCache>
            </c:numRef>
          </c:val>
          <c:smooth val="0"/>
          <c:extLst>
            <c:ext xmlns:c16="http://schemas.microsoft.com/office/drawing/2014/chart" uri="{C3380CC4-5D6E-409C-BE32-E72D297353CC}">
              <c16:uniqueId val="{00000002-3393-4FF8-8CEB-40A591BEB033}"/>
            </c:ext>
          </c:extLst>
        </c:ser>
        <c:ser>
          <c:idx val="4"/>
          <c:order val="3"/>
          <c:tx>
            <c:strRef>
              <c:f>'Fuel Vol and Credit Gen'!$A$89</c:f>
              <c:strCache>
                <c:ptCount val="1"/>
                <c:pt idx="0">
                  <c:v>Electricity</c:v>
                </c:pt>
              </c:strCache>
            </c:strRef>
          </c:tx>
          <c:spPr>
            <a:ln w="22225" cap="rnd">
              <a:solidFill>
                <a:schemeClr val="accent5"/>
              </a:solidFill>
              <a:round/>
            </a:ln>
            <a:effectLst/>
          </c:spPr>
          <c:marker>
            <c:symbol val="none"/>
          </c:marker>
          <c:cat>
            <c:numRef>
              <c:extLst>
                <c:ext xmlns:c15="http://schemas.microsoft.com/office/drawing/2012/chart" uri="{02D57815-91ED-43cb-92C2-25804820EDAC}">
                  <c15:fullRef>
                    <c15:sqref>'Fuel Vol and Credit Gen'!$B$85:$Y$85</c15:sqref>
                  </c15:fullRef>
                </c:ext>
              </c:extLst>
              <c:f>'Fuel Vol and Credit Gen'!$G$85:$Y$85</c:f>
              <c:numCache>
                <c:formatCode>General</c:formatCode>
                <c:ptCount val="19"/>
                <c:pt idx="0">
                  <c:v>2016</c:v>
                </c:pt>
                <c:pt idx="1">
                  <c:v>2017</c:v>
                </c:pt>
                <c:pt idx="2">
                  <c:v>2018</c:v>
                </c:pt>
                <c:pt idx="3">
                  <c:v>2019</c:v>
                </c:pt>
                <c:pt idx="4">
                  <c:v>2020</c:v>
                </c:pt>
                <c:pt idx="5">
                  <c:v>2021</c:v>
                </c:pt>
                <c:pt idx="6">
                  <c:v>2022</c:v>
                </c:pt>
                <c:pt idx="7">
                  <c:v>2023</c:v>
                </c:pt>
                <c:pt idx="8">
                  <c:v>2024</c:v>
                </c:pt>
                <c:pt idx="9">
                  <c:v>2025</c:v>
                </c:pt>
                <c:pt idx="10">
                  <c:v>2026</c:v>
                </c:pt>
                <c:pt idx="11">
                  <c:v>2027</c:v>
                </c:pt>
                <c:pt idx="12">
                  <c:v>2028</c:v>
                </c:pt>
                <c:pt idx="13">
                  <c:v>2029</c:v>
                </c:pt>
                <c:pt idx="14">
                  <c:v>2030</c:v>
                </c:pt>
                <c:pt idx="15">
                  <c:v>2031</c:v>
                </c:pt>
                <c:pt idx="16">
                  <c:v>2032</c:v>
                </c:pt>
                <c:pt idx="17">
                  <c:v>2033</c:v>
                </c:pt>
                <c:pt idx="18">
                  <c:v>2034</c:v>
                </c:pt>
              </c:numCache>
            </c:numRef>
          </c:cat>
          <c:val>
            <c:numRef>
              <c:extLst>
                <c:ext xmlns:c15="http://schemas.microsoft.com/office/drawing/2012/chart" uri="{02D57815-91ED-43cb-92C2-25804820EDAC}">
                  <c15:fullRef>
                    <c15:sqref>'Fuel Vol and Credit Gen'!$B$89:$Y$89</c15:sqref>
                  </c15:fullRef>
                </c:ext>
              </c:extLst>
              <c:f>'Fuel Vol and Credit Gen'!$G$89:$Y$89</c:f>
              <c:numCache>
                <c:formatCode>0.0</c:formatCode>
                <c:ptCount val="19"/>
                <c:pt idx="0">
                  <c:v>0.90470300000000003</c:v>
                </c:pt>
                <c:pt idx="1">
                  <c:v>1.1981120000000001</c:v>
                </c:pt>
                <c:pt idx="2">
                  <c:v>1.7914570000000001</c:v>
                </c:pt>
                <c:pt idx="3">
                  <c:v>2.7928199999999999</c:v>
                </c:pt>
                <c:pt idx="4">
                  <c:v>2.9429829999999999</c:v>
                </c:pt>
                <c:pt idx="5">
                  <c:v>4.4672479999999997</c:v>
                </c:pt>
                <c:pt idx="6">
                  <c:v>6.4096500000000001</c:v>
                </c:pt>
                <c:pt idx="7">
                  <c:v>7.3435459999999999</c:v>
                </c:pt>
                <c:pt idx="8">
                  <c:v>8.7501808090924964</c:v>
                </c:pt>
                <c:pt idx="9">
                  <c:v>9.8025282710743777</c:v>
                </c:pt>
                <c:pt idx="10">
                  <c:v>11.748167511502963</c:v>
                </c:pt>
                <c:pt idx="11">
                  <c:v>13.578133308364439</c:v>
                </c:pt>
                <c:pt idx="12">
                  <c:v>15.440755776968242</c:v>
                </c:pt>
                <c:pt idx="13">
                  <c:v>17.388170474257016</c:v>
                </c:pt>
                <c:pt idx="14">
                  <c:v>19.396790562866347</c:v>
                </c:pt>
                <c:pt idx="15">
                  <c:v>21.316929452004089</c:v>
                </c:pt>
                <c:pt idx="16">
                  <c:v>23.187585587776866</c:v>
                </c:pt>
                <c:pt idx="17">
                  <c:v>25.119312484543997</c:v>
                </c:pt>
                <c:pt idx="18">
                  <c:v>27.047047098030017</c:v>
                </c:pt>
              </c:numCache>
            </c:numRef>
          </c:val>
          <c:smooth val="0"/>
          <c:extLst>
            <c:ext xmlns:c16="http://schemas.microsoft.com/office/drawing/2014/chart" uri="{C3380CC4-5D6E-409C-BE32-E72D297353CC}">
              <c16:uniqueId val="{00000003-3393-4FF8-8CEB-40A591BEB033}"/>
            </c:ext>
          </c:extLst>
        </c:ser>
        <c:ser>
          <c:idx val="5"/>
          <c:order val="4"/>
          <c:tx>
            <c:strRef>
              <c:f>'Fuel Vol and Credit Gen'!$A$90</c:f>
              <c:strCache>
                <c:ptCount val="1"/>
                <c:pt idx="0">
                  <c:v>Ethanol</c:v>
                </c:pt>
              </c:strCache>
            </c:strRef>
          </c:tx>
          <c:spPr>
            <a:ln w="22225" cap="rnd">
              <a:solidFill>
                <a:schemeClr val="accent6"/>
              </a:solidFill>
              <a:round/>
            </a:ln>
            <a:effectLst/>
          </c:spPr>
          <c:marker>
            <c:symbol val="none"/>
          </c:marker>
          <c:cat>
            <c:numRef>
              <c:extLst>
                <c:ext xmlns:c15="http://schemas.microsoft.com/office/drawing/2012/chart" uri="{02D57815-91ED-43cb-92C2-25804820EDAC}">
                  <c15:fullRef>
                    <c15:sqref>'Fuel Vol and Credit Gen'!$B$85:$Y$85</c15:sqref>
                  </c15:fullRef>
                </c:ext>
              </c:extLst>
              <c:f>'Fuel Vol and Credit Gen'!$G$85:$Y$85</c:f>
              <c:numCache>
                <c:formatCode>General</c:formatCode>
                <c:ptCount val="19"/>
                <c:pt idx="0">
                  <c:v>2016</c:v>
                </c:pt>
                <c:pt idx="1">
                  <c:v>2017</c:v>
                </c:pt>
                <c:pt idx="2">
                  <c:v>2018</c:v>
                </c:pt>
                <c:pt idx="3">
                  <c:v>2019</c:v>
                </c:pt>
                <c:pt idx="4">
                  <c:v>2020</c:v>
                </c:pt>
                <c:pt idx="5">
                  <c:v>2021</c:v>
                </c:pt>
                <c:pt idx="6">
                  <c:v>2022</c:v>
                </c:pt>
                <c:pt idx="7">
                  <c:v>2023</c:v>
                </c:pt>
                <c:pt idx="8">
                  <c:v>2024</c:v>
                </c:pt>
                <c:pt idx="9">
                  <c:v>2025</c:v>
                </c:pt>
                <c:pt idx="10">
                  <c:v>2026</c:v>
                </c:pt>
                <c:pt idx="11">
                  <c:v>2027</c:v>
                </c:pt>
                <c:pt idx="12">
                  <c:v>2028</c:v>
                </c:pt>
                <c:pt idx="13">
                  <c:v>2029</c:v>
                </c:pt>
                <c:pt idx="14">
                  <c:v>2030</c:v>
                </c:pt>
                <c:pt idx="15">
                  <c:v>2031</c:v>
                </c:pt>
                <c:pt idx="16">
                  <c:v>2032</c:v>
                </c:pt>
                <c:pt idx="17">
                  <c:v>2033</c:v>
                </c:pt>
                <c:pt idx="18">
                  <c:v>2034</c:v>
                </c:pt>
              </c:numCache>
            </c:numRef>
          </c:cat>
          <c:val>
            <c:numRef>
              <c:extLst>
                <c:ext xmlns:c15="http://schemas.microsoft.com/office/drawing/2012/chart" uri="{02D57815-91ED-43cb-92C2-25804820EDAC}">
                  <c15:fullRef>
                    <c15:sqref>'Fuel Vol and Credit Gen'!$B$90:$Y$90</c15:sqref>
                  </c15:fullRef>
                </c:ext>
              </c:extLst>
              <c:f>'Fuel Vol and Credit Gen'!$G$90:$Y$90</c:f>
              <c:numCache>
                <c:formatCode>0.0</c:formatCode>
                <c:ptCount val="19"/>
                <c:pt idx="0">
                  <c:v>3.5193859999999999</c:v>
                </c:pt>
                <c:pt idx="1">
                  <c:v>3.4882240000000002</c:v>
                </c:pt>
                <c:pt idx="2">
                  <c:v>3.458529</c:v>
                </c:pt>
                <c:pt idx="3">
                  <c:v>4.3421320000000003</c:v>
                </c:pt>
                <c:pt idx="4">
                  <c:v>3.7366549999999998</c:v>
                </c:pt>
                <c:pt idx="5">
                  <c:v>3.8255520000000001</c:v>
                </c:pt>
                <c:pt idx="6">
                  <c:v>3.74064</c:v>
                </c:pt>
                <c:pt idx="7">
                  <c:v>3.3628960000000001</c:v>
                </c:pt>
                <c:pt idx="8">
                  <c:v>3.4939330523557555</c:v>
                </c:pt>
                <c:pt idx="9">
                  <c:v>3.7227612189416019</c:v>
                </c:pt>
                <c:pt idx="10">
                  <c:v>3.8064635850368096</c:v>
                </c:pt>
                <c:pt idx="11">
                  <c:v>3.777996703232978</c:v>
                </c:pt>
                <c:pt idx="12">
                  <c:v>3.7376787492903767</c:v>
                </c:pt>
                <c:pt idx="13">
                  <c:v>3.7041699140234483</c:v>
                </c:pt>
                <c:pt idx="14">
                  <c:v>3.6983522196878078</c:v>
                </c:pt>
                <c:pt idx="15">
                  <c:v>3.7220679946264079</c:v>
                </c:pt>
                <c:pt idx="16">
                  <c:v>3.7361251401292801</c:v>
                </c:pt>
                <c:pt idx="17">
                  <c:v>3.7403999638048733</c:v>
                </c:pt>
                <c:pt idx="18">
                  <c:v>3.7311169417836916</c:v>
                </c:pt>
              </c:numCache>
            </c:numRef>
          </c:val>
          <c:smooth val="0"/>
          <c:extLst>
            <c:ext xmlns:c16="http://schemas.microsoft.com/office/drawing/2014/chart" uri="{C3380CC4-5D6E-409C-BE32-E72D297353CC}">
              <c16:uniqueId val="{00000004-3393-4FF8-8CEB-40A591BEB033}"/>
            </c:ext>
          </c:extLst>
        </c:ser>
        <c:ser>
          <c:idx val="7"/>
          <c:order val="6"/>
          <c:tx>
            <c:strRef>
              <c:f>'Fuel Vol and Credit Gen'!$A$92</c:f>
              <c:strCache>
                <c:ptCount val="1"/>
                <c:pt idx="0">
                  <c:v>Other (Hydrogen, SAF, Renewable Naphtha, Propane)</c:v>
                </c:pt>
              </c:strCache>
            </c:strRef>
          </c:tx>
          <c:spPr>
            <a:ln w="22225" cap="rnd">
              <a:solidFill>
                <a:schemeClr val="accent2">
                  <a:lumMod val="60000"/>
                </a:schemeClr>
              </a:solidFill>
              <a:round/>
            </a:ln>
            <a:effectLst/>
          </c:spPr>
          <c:marker>
            <c:symbol val="none"/>
          </c:marker>
          <c:cat>
            <c:numRef>
              <c:extLst>
                <c:ext xmlns:c15="http://schemas.microsoft.com/office/drawing/2012/chart" uri="{02D57815-91ED-43cb-92C2-25804820EDAC}">
                  <c15:fullRef>
                    <c15:sqref>'Fuel Vol and Credit Gen'!$B$85:$Y$85</c15:sqref>
                  </c15:fullRef>
                </c:ext>
              </c:extLst>
              <c:f>'Fuel Vol and Credit Gen'!$G$85:$Y$85</c:f>
              <c:numCache>
                <c:formatCode>General</c:formatCode>
                <c:ptCount val="19"/>
                <c:pt idx="0">
                  <c:v>2016</c:v>
                </c:pt>
                <c:pt idx="1">
                  <c:v>2017</c:v>
                </c:pt>
                <c:pt idx="2">
                  <c:v>2018</c:v>
                </c:pt>
                <c:pt idx="3">
                  <c:v>2019</c:v>
                </c:pt>
                <c:pt idx="4">
                  <c:v>2020</c:v>
                </c:pt>
                <c:pt idx="5">
                  <c:v>2021</c:v>
                </c:pt>
                <c:pt idx="6">
                  <c:v>2022</c:v>
                </c:pt>
                <c:pt idx="7">
                  <c:v>2023</c:v>
                </c:pt>
                <c:pt idx="8">
                  <c:v>2024</c:v>
                </c:pt>
                <c:pt idx="9">
                  <c:v>2025</c:v>
                </c:pt>
                <c:pt idx="10">
                  <c:v>2026</c:v>
                </c:pt>
                <c:pt idx="11">
                  <c:v>2027</c:v>
                </c:pt>
                <c:pt idx="12">
                  <c:v>2028</c:v>
                </c:pt>
                <c:pt idx="13">
                  <c:v>2029</c:v>
                </c:pt>
                <c:pt idx="14">
                  <c:v>2030</c:v>
                </c:pt>
                <c:pt idx="15">
                  <c:v>2031</c:v>
                </c:pt>
                <c:pt idx="16">
                  <c:v>2032</c:v>
                </c:pt>
                <c:pt idx="17">
                  <c:v>2033</c:v>
                </c:pt>
                <c:pt idx="18">
                  <c:v>2034</c:v>
                </c:pt>
              </c:numCache>
            </c:numRef>
          </c:cat>
          <c:val>
            <c:numRef>
              <c:extLst>
                <c:ext xmlns:c15="http://schemas.microsoft.com/office/drawing/2012/chart" uri="{02D57815-91ED-43cb-92C2-25804820EDAC}">
                  <c15:fullRef>
                    <c15:sqref>'Fuel Vol and Credit Gen'!$B$92:$Y$92</c15:sqref>
                  </c15:fullRef>
                </c:ext>
              </c:extLst>
              <c:f>'Fuel Vol and Credit Gen'!$G$92:$Y$92</c:f>
              <c:numCache>
                <c:formatCode>_(* #,##0.0_);_(* \(#,##0.0\);_(* "-"??_);_(@_)</c:formatCode>
                <c:ptCount val="19"/>
                <c:pt idx="0">
                  <c:v>6.3999999999999997E-5</c:v>
                </c:pt>
                <c:pt idx="1">
                  <c:v>3.4359999999999998E-3</c:v>
                </c:pt>
                <c:pt idx="2">
                  <c:v>8.0660000000000003E-3</c:v>
                </c:pt>
                <c:pt idx="3">
                  <c:v>3.6637000000000003E-2</c:v>
                </c:pt>
                <c:pt idx="4">
                  <c:v>8.2883999999999999E-2</c:v>
                </c:pt>
                <c:pt idx="5">
                  <c:v>0.17826400000000001</c:v>
                </c:pt>
                <c:pt idx="6">
                  <c:v>0.24149599999999999</c:v>
                </c:pt>
                <c:pt idx="7">
                  <c:v>0.32577600000000001</c:v>
                </c:pt>
                <c:pt idx="8">
                  <c:v>0.51922618449796865</c:v>
                </c:pt>
                <c:pt idx="9">
                  <c:v>0.81726903494797876</c:v>
                </c:pt>
                <c:pt idx="10">
                  <c:v>2.4402852427321675</c:v>
                </c:pt>
                <c:pt idx="11">
                  <c:v>5.909109715580894</c:v>
                </c:pt>
                <c:pt idx="12">
                  <c:v>7.6586418650436041</c:v>
                </c:pt>
                <c:pt idx="13">
                  <c:v>9.1267507660538225</c:v>
                </c:pt>
                <c:pt idx="14">
                  <c:v>11.545515070439672</c:v>
                </c:pt>
                <c:pt idx="15">
                  <c:v>12.705617057360122</c:v>
                </c:pt>
                <c:pt idx="16">
                  <c:v>15.82571096905723</c:v>
                </c:pt>
                <c:pt idx="17">
                  <c:v>16.937979300848554</c:v>
                </c:pt>
                <c:pt idx="18">
                  <c:v>18.559651532270564</c:v>
                </c:pt>
              </c:numCache>
            </c:numRef>
          </c:val>
          <c:smooth val="0"/>
          <c:extLst>
            <c:ext xmlns:c16="http://schemas.microsoft.com/office/drawing/2014/chart" uri="{C3380CC4-5D6E-409C-BE32-E72D297353CC}">
              <c16:uniqueId val="{00000005-3393-4FF8-8CEB-40A591BEB033}"/>
            </c:ext>
          </c:extLst>
        </c:ser>
        <c:dLbls>
          <c:showLegendKey val="0"/>
          <c:showVal val="0"/>
          <c:showCatName val="0"/>
          <c:showSerName val="0"/>
          <c:showPercent val="0"/>
          <c:showBubbleSize val="0"/>
        </c:dLbls>
        <c:marker val="1"/>
        <c:smooth val="0"/>
        <c:axId val="1226162240"/>
        <c:axId val="1226164536"/>
      </c:lineChart>
      <c:lineChart>
        <c:grouping val="standard"/>
        <c:varyColors val="0"/>
        <c:ser>
          <c:idx val="6"/>
          <c:order val="5"/>
          <c:tx>
            <c:strRef>
              <c:f>'Fuel Vol and Credit Gen'!$A$91</c:f>
              <c:strCache>
                <c:ptCount val="1"/>
                <c:pt idx="0">
                  <c:v>Renewable Diesel</c:v>
                </c:pt>
              </c:strCache>
            </c:strRef>
          </c:tx>
          <c:spPr>
            <a:ln w="22225" cap="rnd">
              <a:solidFill>
                <a:schemeClr val="accent1">
                  <a:lumMod val="60000"/>
                </a:schemeClr>
              </a:solidFill>
              <a:round/>
            </a:ln>
            <a:effectLst/>
          </c:spPr>
          <c:marker>
            <c:symbol val="none"/>
          </c:marker>
          <c:cat>
            <c:numRef>
              <c:extLst>
                <c:ext xmlns:c15="http://schemas.microsoft.com/office/drawing/2012/chart" uri="{02D57815-91ED-43cb-92C2-25804820EDAC}">
                  <c15:fullRef>
                    <c15:sqref>'Fuel Vol and Credit Gen'!$B$85:$M$85</c15:sqref>
                  </c15:fullRef>
                </c:ext>
              </c:extLst>
              <c:f>'Fuel Vol and Credit Gen'!$G$85:$M$85</c:f>
              <c:numCache>
                <c:formatCode>General</c:formatCode>
                <c:ptCount val="7"/>
                <c:pt idx="0">
                  <c:v>2016</c:v>
                </c:pt>
                <c:pt idx="1">
                  <c:v>2017</c:v>
                </c:pt>
                <c:pt idx="2">
                  <c:v>2018</c:v>
                </c:pt>
                <c:pt idx="3">
                  <c:v>2019</c:v>
                </c:pt>
                <c:pt idx="4">
                  <c:v>2020</c:v>
                </c:pt>
                <c:pt idx="5">
                  <c:v>2021</c:v>
                </c:pt>
                <c:pt idx="6">
                  <c:v>2022</c:v>
                </c:pt>
              </c:numCache>
            </c:numRef>
          </c:cat>
          <c:val>
            <c:numRef>
              <c:extLst>
                <c:ext xmlns:c15="http://schemas.microsoft.com/office/drawing/2012/chart" uri="{02D57815-91ED-43cb-92C2-25804820EDAC}">
                  <c15:fullRef>
                    <c15:sqref>'Fuel Vol and Credit Gen'!$B$91:$Y$91</c15:sqref>
                  </c15:fullRef>
                </c:ext>
              </c:extLst>
              <c:f>'Fuel Vol and Credit Gen'!$G$91:$Y$91</c:f>
              <c:numCache>
                <c:formatCode>0.0</c:formatCode>
                <c:ptCount val="19"/>
                <c:pt idx="0">
                  <c:v>2.2412169999999998</c:v>
                </c:pt>
                <c:pt idx="1">
                  <c:v>2.9667300000000001</c:v>
                </c:pt>
                <c:pt idx="2">
                  <c:v>3.4853909999999999</c:v>
                </c:pt>
                <c:pt idx="3">
                  <c:v>4.7805270000000002</c:v>
                </c:pt>
                <c:pt idx="4">
                  <c:v>4.5712999999999999</c:v>
                </c:pt>
                <c:pt idx="5">
                  <c:v>6.5564629999999999</c:v>
                </c:pt>
                <c:pt idx="6">
                  <c:v>9.6169349999999998</c:v>
                </c:pt>
                <c:pt idx="7">
                  <c:v>11.928851999999999</c:v>
                </c:pt>
                <c:pt idx="8">
                  <c:v>13.991902007660478</c:v>
                </c:pt>
                <c:pt idx="9">
                  <c:v>12.304335070630399</c:v>
                </c:pt>
                <c:pt idx="10">
                  <c:v>12.350472143637194</c:v>
                </c:pt>
                <c:pt idx="11">
                  <c:v>13.213347139931985</c:v>
                </c:pt>
                <c:pt idx="12">
                  <c:v>12.532724156106692</c:v>
                </c:pt>
                <c:pt idx="13">
                  <c:v>12.609546349225083</c:v>
                </c:pt>
                <c:pt idx="14">
                  <c:v>12.978143846124512</c:v>
                </c:pt>
                <c:pt idx="15">
                  <c:v>13.574085215623272</c:v>
                </c:pt>
                <c:pt idx="16">
                  <c:v>14.94287483336147</c:v>
                </c:pt>
                <c:pt idx="17">
                  <c:v>14.94706525963028</c:v>
                </c:pt>
                <c:pt idx="18">
                  <c:v>14.678759313871071</c:v>
                </c:pt>
              </c:numCache>
            </c:numRef>
          </c:val>
          <c:smooth val="0"/>
          <c:extLst>
            <c:ext xmlns:c16="http://schemas.microsoft.com/office/drawing/2014/chart" uri="{C3380CC4-5D6E-409C-BE32-E72D297353CC}">
              <c16:uniqueId val="{00000006-3393-4FF8-8CEB-40A591BEB033}"/>
            </c:ext>
          </c:extLst>
        </c:ser>
        <c:dLbls>
          <c:showLegendKey val="0"/>
          <c:showVal val="0"/>
          <c:showCatName val="0"/>
          <c:showSerName val="0"/>
          <c:showPercent val="0"/>
          <c:showBubbleSize val="0"/>
        </c:dLbls>
        <c:marker val="1"/>
        <c:smooth val="0"/>
        <c:axId val="1226177328"/>
        <c:axId val="1226168144"/>
      </c:lineChart>
      <c:catAx>
        <c:axId val="1226162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12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226164536"/>
        <c:crosses val="autoZero"/>
        <c:auto val="1"/>
        <c:lblAlgn val="ctr"/>
        <c:lblOffset val="100"/>
        <c:noMultiLvlLbl val="0"/>
      </c:catAx>
      <c:valAx>
        <c:axId val="1226164536"/>
        <c:scaling>
          <c:orientation val="minMax"/>
        </c:scaling>
        <c:delete val="0"/>
        <c:axPos val="l"/>
        <c:majorGridlines>
          <c:spPr>
            <a:ln w="9525" cap="flat" cmpd="sng" algn="ctr">
              <a:solidFill>
                <a:schemeClr val="bg1">
                  <a:lumMod val="65000"/>
                </a:schemeClr>
              </a:solidFill>
              <a:round/>
            </a:ln>
            <a:effectLst/>
          </c:spPr>
        </c:majorGridlines>
        <c:title>
          <c:tx>
            <c:rich>
              <a:bodyPr rot="-5400000" spcFirstLastPara="1" vertOverflow="ellipsis" vert="horz" wrap="square" anchor="ctr" anchorCtr="1"/>
              <a:lstStyle/>
              <a:p>
                <a:pPr>
                  <a:defRPr sz="12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a:t>(million</a:t>
                </a:r>
                <a:r>
                  <a:rPr lang="en-US" baseline="0"/>
                  <a:t> tonnes)</a:t>
                </a:r>
                <a:endParaRPr lang="en-US"/>
              </a:p>
            </c:rich>
          </c:tx>
          <c:overlay val="0"/>
          <c:spPr>
            <a:noFill/>
            <a:ln>
              <a:noFill/>
            </a:ln>
            <a:effectLst/>
          </c:spPr>
          <c:txPr>
            <a:bodyPr rot="-5400000" spcFirstLastPara="1" vertOverflow="ellipsis" vert="horz" wrap="square" anchor="ctr" anchorCtr="1"/>
            <a:lstStyle/>
            <a:p>
              <a:pPr>
                <a:defRPr sz="12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226162240"/>
        <c:crosses val="autoZero"/>
        <c:crossBetween val="between"/>
      </c:valAx>
      <c:valAx>
        <c:axId val="1226168144"/>
        <c:scaling>
          <c:orientation val="minMax"/>
        </c:scaling>
        <c:delete val="0"/>
        <c:axPos val="r"/>
        <c:title>
          <c:tx>
            <c:rich>
              <a:bodyPr rot="-5400000" spcFirstLastPara="1" vertOverflow="ellipsis" vert="horz" wrap="square" anchor="ctr" anchorCtr="1"/>
              <a:lstStyle/>
              <a:p>
                <a:pPr>
                  <a:defRPr sz="12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a:t>Renewable</a:t>
                </a:r>
                <a:r>
                  <a:rPr lang="en-US" baseline="0"/>
                  <a:t> Diesel (million tonnes)</a:t>
                </a:r>
                <a:endParaRPr lang="en-US"/>
              </a:p>
            </c:rich>
          </c:tx>
          <c:overlay val="0"/>
          <c:spPr>
            <a:noFill/>
            <a:ln>
              <a:noFill/>
            </a:ln>
            <a:effectLst/>
          </c:spPr>
          <c:txPr>
            <a:bodyPr rot="-5400000" spcFirstLastPara="1" vertOverflow="ellipsis" vert="horz" wrap="square" anchor="ctr" anchorCtr="1"/>
            <a:lstStyle/>
            <a:p>
              <a:pPr>
                <a:defRPr sz="12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226177328"/>
        <c:crosses val="max"/>
        <c:crossBetween val="between"/>
      </c:valAx>
      <c:catAx>
        <c:axId val="1226177328"/>
        <c:scaling>
          <c:orientation val="minMax"/>
        </c:scaling>
        <c:delete val="1"/>
        <c:axPos val="b"/>
        <c:numFmt formatCode="General" sourceLinked="1"/>
        <c:majorTickMark val="out"/>
        <c:minorTickMark val="none"/>
        <c:tickLblPos val="nextTo"/>
        <c:crossAx val="1226168144"/>
        <c:crosses val="autoZero"/>
        <c:auto val="1"/>
        <c:lblAlgn val="ctr"/>
        <c:lblOffset val="100"/>
        <c:noMultiLvlLbl val="0"/>
      </c:catAx>
      <c:spPr>
        <a:noFill/>
        <a:ln>
          <a:solidFill>
            <a:srgbClr val="5D803B"/>
          </a:solidFill>
        </a:ln>
        <a:effectLst/>
      </c:spPr>
    </c:plotArea>
    <c:legend>
      <c:legendPos val="b"/>
      <c:layout>
        <c:manualLayout>
          <c:xMode val="edge"/>
          <c:yMode val="edge"/>
          <c:x val="5.9490071263659745E-2"/>
          <c:y val="0.84518319280886345"/>
          <c:w val="0.83822470034776242"/>
          <c:h val="0.14065751515573827"/>
        </c:manualLayout>
      </c:layout>
      <c:overlay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noFill/>
      <a:round/>
    </a:ln>
    <a:effectLst/>
  </c:spPr>
  <c:txPr>
    <a:bodyPr/>
    <a:lstStyle/>
    <a:p>
      <a:pPr>
        <a:defRPr sz="1200" b="1">
          <a:solidFill>
            <a:sysClr val="windowText" lastClr="000000"/>
          </a:solidFill>
          <a:latin typeface="Arial" panose="020B0604020202020204" pitchFamily="34" charset="0"/>
          <a:cs typeface="Arial" panose="020B0604020202020204" pitchFamily="34" charset="0"/>
        </a:defRPr>
      </a:pPr>
      <a:endParaRPr lang="en-US"/>
    </a:p>
  </c:txPr>
  <c:userShapes r:id="rId3"/>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8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US" sz="2800"/>
              <a:t>Credits Generation by Fuel Type</a:t>
            </a:r>
          </a:p>
        </c:rich>
      </c:tx>
      <c:overlay val="0"/>
      <c:spPr>
        <a:noFill/>
        <a:ln>
          <a:noFill/>
        </a:ln>
        <a:effectLst/>
      </c:spPr>
      <c:txPr>
        <a:bodyPr rot="0" spcFirstLastPara="1" vertOverflow="ellipsis" vert="horz" wrap="square" anchor="ctr" anchorCtr="1"/>
        <a:lstStyle/>
        <a:p>
          <a:pPr>
            <a:defRPr sz="28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8.9663901527263126E-2"/>
          <c:y val="0.12216289241403405"/>
          <c:w val="0.5379409608363428"/>
          <c:h val="0.74410208108660669"/>
        </c:manualLayout>
      </c:layout>
      <c:lineChart>
        <c:grouping val="standard"/>
        <c:varyColors val="0"/>
        <c:ser>
          <c:idx val="0"/>
          <c:order val="0"/>
          <c:tx>
            <c:strRef>
              <c:f>'Fuel Vol and Credit Gen'!$A$96</c:f>
              <c:strCache>
                <c:ptCount val="1"/>
                <c:pt idx="0">
                  <c:v>Biodiesel</c:v>
                </c:pt>
              </c:strCache>
            </c:strRef>
          </c:tx>
          <c:spPr>
            <a:ln w="22225" cap="rnd">
              <a:solidFill>
                <a:schemeClr val="accent1"/>
              </a:solidFill>
              <a:round/>
            </a:ln>
            <a:effectLst/>
          </c:spPr>
          <c:marker>
            <c:symbol val="none"/>
          </c:marker>
          <c:cat>
            <c:strRef>
              <c:f>'Fuel Vol and Credit Gen'!$B$95:$CO$95</c:f>
              <c:strCache>
                <c:ptCount val="92"/>
                <c:pt idx="0">
                  <c:v>2011 Q1</c:v>
                </c:pt>
                <c:pt idx="1">
                  <c:v>Q2</c:v>
                </c:pt>
                <c:pt idx="2">
                  <c:v>Q3</c:v>
                </c:pt>
                <c:pt idx="3">
                  <c:v>Q4</c:v>
                </c:pt>
                <c:pt idx="4">
                  <c:v>2012 Q1</c:v>
                </c:pt>
                <c:pt idx="5">
                  <c:v>Q2</c:v>
                </c:pt>
                <c:pt idx="6">
                  <c:v>Q3</c:v>
                </c:pt>
                <c:pt idx="7">
                  <c:v>Q4</c:v>
                </c:pt>
                <c:pt idx="8">
                  <c:v>2013 Q1</c:v>
                </c:pt>
                <c:pt idx="9">
                  <c:v>Q2</c:v>
                </c:pt>
                <c:pt idx="10">
                  <c:v>Q3</c:v>
                </c:pt>
                <c:pt idx="11">
                  <c:v>Q4</c:v>
                </c:pt>
                <c:pt idx="12">
                  <c:v>2014 Q1</c:v>
                </c:pt>
                <c:pt idx="13">
                  <c:v>Q2</c:v>
                </c:pt>
                <c:pt idx="14">
                  <c:v>Q3</c:v>
                </c:pt>
                <c:pt idx="15">
                  <c:v>Q4</c:v>
                </c:pt>
                <c:pt idx="16">
                  <c:v>2015 Q1</c:v>
                </c:pt>
                <c:pt idx="17">
                  <c:v>Q2</c:v>
                </c:pt>
                <c:pt idx="18">
                  <c:v>Q3</c:v>
                </c:pt>
                <c:pt idx="19">
                  <c:v>Q4</c:v>
                </c:pt>
                <c:pt idx="20">
                  <c:v>2016 Q1</c:v>
                </c:pt>
                <c:pt idx="21">
                  <c:v>Q2</c:v>
                </c:pt>
                <c:pt idx="22">
                  <c:v>Q3</c:v>
                </c:pt>
                <c:pt idx="23">
                  <c:v>Q4</c:v>
                </c:pt>
                <c:pt idx="24">
                  <c:v>2017 Q1</c:v>
                </c:pt>
                <c:pt idx="25">
                  <c:v>Q2</c:v>
                </c:pt>
                <c:pt idx="26">
                  <c:v>Q3</c:v>
                </c:pt>
                <c:pt idx="27">
                  <c:v>Q4</c:v>
                </c:pt>
                <c:pt idx="28">
                  <c:v>2018 Q1</c:v>
                </c:pt>
                <c:pt idx="29">
                  <c:v>Q2</c:v>
                </c:pt>
                <c:pt idx="30">
                  <c:v>Q3</c:v>
                </c:pt>
                <c:pt idx="31">
                  <c:v>Q4</c:v>
                </c:pt>
                <c:pt idx="32">
                  <c:v>2019 Q1</c:v>
                </c:pt>
                <c:pt idx="33">
                  <c:v>Q2</c:v>
                </c:pt>
                <c:pt idx="34">
                  <c:v>Q3</c:v>
                </c:pt>
                <c:pt idx="35">
                  <c:v>Q4</c:v>
                </c:pt>
                <c:pt idx="36">
                  <c:v>2020 Q1</c:v>
                </c:pt>
                <c:pt idx="37">
                  <c:v>Q2</c:v>
                </c:pt>
                <c:pt idx="38">
                  <c:v>Q3</c:v>
                </c:pt>
                <c:pt idx="39">
                  <c:v>Q4</c:v>
                </c:pt>
                <c:pt idx="40">
                  <c:v>2021 Q1</c:v>
                </c:pt>
                <c:pt idx="41">
                  <c:v>Q2</c:v>
                </c:pt>
                <c:pt idx="42">
                  <c:v>Q3</c:v>
                </c:pt>
                <c:pt idx="43">
                  <c:v>Q4</c:v>
                </c:pt>
                <c:pt idx="44">
                  <c:v>2022 Q1</c:v>
                </c:pt>
                <c:pt idx="45">
                  <c:v>Q2</c:v>
                </c:pt>
                <c:pt idx="46">
                  <c:v>Q3</c:v>
                </c:pt>
                <c:pt idx="47">
                  <c:v>Q4</c:v>
                </c:pt>
                <c:pt idx="48">
                  <c:v>2023 Q1</c:v>
                </c:pt>
                <c:pt idx="49">
                  <c:v>Q2</c:v>
                </c:pt>
                <c:pt idx="50">
                  <c:v>Q3</c:v>
                </c:pt>
                <c:pt idx="51">
                  <c:v>Q4</c:v>
                </c:pt>
                <c:pt idx="52">
                  <c:v>2024Q1</c:v>
                </c:pt>
                <c:pt idx="53">
                  <c:v>Q2</c:v>
                </c:pt>
                <c:pt idx="54">
                  <c:v>Q3</c:v>
                </c:pt>
                <c:pt idx="55">
                  <c:v>Q4</c:v>
                </c:pt>
                <c:pt idx="56">
                  <c:v>2025Q1</c:v>
                </c:pt>
                <c:pt idx="57">
                  <c:v>Q2</c:v>
                </c:pt>
                <c:pt idx="58">
                  <c:v>Q3</c:v>
                </c:pt>
                <c:pt idx="59">
                  <c:v>Q4</c:v>
                </c:pt>
                <c:pt idx="60">
                  <c:v>2026Q1</c:v>
                </c:pt>
                <c:pt idx="61">
                  <c:v>Q2</c:v>
                </c:pt>
                <c:pt idx="62">
                  <c:v>Q3</c:v>
                </c:pt>
                <c:pt idx="63">
                  <c:v>Q4</c:v>
                </c:pt>
                <c:pt idx="64">
                  <c:v>2027Q1</c:v>
                </c:pt>
                <c:pt idx="65">
                  <c:v>Q2</c:v>
                </c:pt>
                <c:pt idx="66">
                  <c:v>Q3</c:v>
                </c:pt>
                <c:pt idx="67">
                  <c:v>Q4</c:v>
                </c:pt>
                <c:pt idx="68">
                  <c:v>2028Q1</c:v>
                </c:pt>
                <c:pt idx="69">
                  <c:v>Q2</c:v>
                </c:pt>
                <c:pt idx="70">
                  <c:v>Q3</c:v>
                </c:pt>
                <c:pt idx="71">
                  <c:v>Q4</c:v>
                </c:pt>
                <c:pt idx="72">
                  <c:v>2029Q1</c:v>
                </c:pt>
                <c:pt idx="73">
                  <c:v>Q2</c:v>
                </c:pt>
                <c:pt idx="74">
                  <c:v>Q3</c:v>
                </c:pt>
                <c:pt idx="75">
                  <c:v>Q4</c:v>
                </c:pt>
                <c:pt idx="76">
                  <c:v>2030Q1</c:v>
                </c:pt>
                <c:pt idx="77">
                  <c:v>Q2</c:v>
                </c:pt>
                <c:pt idx="78">
                  <c:v>Q3</c:v>
                </c:pt>
                <c:pt idx="79">
                  <c:v>Q4</c:v>
                </c:pt>
                <c:pt idx="80">
                  <c:v>2031Q1</c:v>
                </c:pt>
                <c:pt idx="81">
                  <c:v>Q2</c:v>
                </c:pt>
                <c:pt idx="82">
                  <c:v>Q3</c:v>
                </c:pt>
                <c:pt idx="83">
                  <c:v>Q4</c:v>
                </c:pt>
                <c:pt idx="84">
                  <c:v>2032Q1</c:v>
                </c:pt>
                <c:pt idx="85">
                  <c:v>Q2</c:v>
                </c:pt>
                <c:pt idx="86">
                  <c:v>Q3</c:v>
                </c:pt>
                <c:pt idx="87">
                  <c:v>Q4</c:v>
                </c:pt>
                <c:pt idx="88">
                  <c:v>2033Q1</c:v>
                </c:pt>
                <c:pt idx="89">
                  <c:v>Q2</c:v>
                </c:pt>
                <c:pt idx="90">
                  <c:v>Q3</c:v>
                </c:pt>
                <c:pt idx="91">
                  <c:v>Q4</c:v>
                </c:pt>
              </c:strCache>
            </c:strRef>
          </c:cat>
          <c:val>
            <c:numRef>
              <c:f>'Fuel Vol and Credit Gen'!$B$96:$CO$96</c:f>
              <c:numCache>
                <c:formatCode>#,##0.0_);[Red]\(#,##0.0\)</c:formatCode>
                <c:ptCount val="92"/>
                <c:pt idx="0">
                  <c:v>12.3</c:v>
                </c:pt>
                <c:pt idx="1">
                  <c:v>21.555</c:v>
                </c:pt>
                <c:pt idx="2">
                  <c:v>22.423999999999999</c:v>
                </c:pt>
                <c:pt idx="3">
                  <c:v>27.988</c:v>
                </c:pt>
                <c:pt idx="4">
                  <c:v>35.381999999999998</c:v>
                </c:pt>
                <c:pt idx="5">
                  <c:v>41.918999999999997</c:v>
                </c:pt>
                <c:pt idx="6">
                  <c:v>34.052</c:v>
                </c:pt>
                <c:pt idx="7">
                  <c:v>37.994</c:v>
                </c:pt>
                <c:pt idx="8">
                  <c:v>47.386000000000003</c:v>
                </c:pt>
                <c:pt idx="9">
                  <c:v>123.072</c:v>
                </c:pt>
                <c:pt idx="10">
                  <c:v>130.47499999999999</c:v>
                </c:pt>
                <c:pt idx="11">
                  <c:v>265.73700000000002</c:v>
                </c:pt>
                <c:pt idx="12">
                  <c:v>169.21799999999999</c:v>
                </c:pt>
                <c:pt idx="13">
                  <c:v>183.30799999999999</c:v>
                </c:pt>
                <c:pt idx="14">
                  <c:v>154.934</c:v>
                </c:pt>
                <c:pt idx="15">
                  <c:v>210.54</c:v>
                </c:pt>
                <c:pt idx="16">
                  <c:v>195.61500000000001</c:v>
                </c:pt>
                <c:pt idx="17">
                  <c:v>287.97300000000001</c:v>
                </c:pt>
                <c:pt idx="18">
                  <c:v>364.50099999999998</c:v>
                </c:pt>
                <c:pt idx="19">
                  <c:v>365.82100000000003</c:v>
                </c:pt>
                <c:pt idx="20">
                  <c:v>322.60700000000003</c:v>
                </c:pt>
                <c:pt idx="21">
                  <c:v>392.31799999999998</c:v>
                </c:pt>
                <c:pt idx="22">
                  <c:v>470.92200000000003</c:v>
                </c:pt>
                <c:pt idx="23">
                  <c:v>550.93600000000004</c:v>
                </c:pt>
                <c:pt idx="24">
                  <c:v>306.64</c:v>
                </c:pt>
                <c:pt idx="25">
                  <c:v>321.90899999999999</c:v>
                </c:pt>
                <c:pt idx="26">
                  <c:v>393.58699999999999</c:v>
                </c:pt>
                <c:pt idx="27">
                  <c:v>357.60300000000001</c:v>
                </c:pt>
                <c:pt idx="28">
                  <c:v>306.33699999999999</c:v>
                </c:pt>
                <c:pt idx="29">
                  <c:v>357.50799999999998</c:v>
                </c:pt>
                <c:pt idx="30">
                  <c:v>442.00700000000001</c:v>
                </c:pt>
                <c:pt idx="31">
                  <c:v>500.702</c:v>
                </c:pt>
                <c:pt idx="32">
                  <c:v>347.14</c:v>
                </c:pt>
                <c:pt idx="33">
                  <c:v>490.16300000000001</c:v>
                </c:pt>
                <c:pt idx="34">
                  <c:v>506.35</c:v>
                </c:pt>
                <c:pt idx="35">
                  <c:v>487.43700000000001</c:v>
                </c:pt>
                <c:pt idx="36">
                  <c:v>477.79700000000003</c:v>
                </c:pt>
                <c:pt idx="37">
                  <c:v>492.495</c:v>
                </c:pt>
                <c:pt idx="38">
                  <c:v>592.29600000000005</c:v>
                </c:pt>
                <c:pt idx="39">
                  <c:v>650.73900000000003</c:v>
                </c:pt>
                <c:pt idx="40">
                  <c:v>479.642</c:v>
                </c:pt>
                <c:pt idx="41">
                  <c:v>622.76700000000005</c:v>
                </c:pt>
                <c:pt idx="42">
                  <c:v>622.94899999999996</c:v>
                </c:pt>
                <c:pt idx="43">
                  <c:v>585.24099999999999</c:v>
                </c:pt>
                <c:pt idx="44">
                  <c:v>565.02099999999996</c:v>
                </c:pt>
                <c:pt idx="45">
                  <c:v>533.22</c:v>
                </c:pt>
                <c:pt idx="46">
                  <c:v>563.91600000000005</c:v>
                </c:pt>
                <c:pt idx="47">
                  <c:v>542.39099999999996</c:v>
                </c:pt>
                <c:pt idx="48">
                  <c:v>493.42399999999998</c:v>
                </c:pt>
                <c:pt idx="49">
                  <c:v>468.03100000000001</c:v>
                </c:pt>
                <c:pt idx="50">
                  <c:v>497.04700000000003</c:v>
                </c:pt>
                <c:pt idx="51">
                  <c:v>511.69799999999998</c:v>
                </c:pt>
                <c:pt idx="52">
                  <c:v>460.82900000000001</c:v>
                </c:pt>
                <c:pt idx="53">
                  <c:v>440.43099999999998</c:v>
                </c:pt>
                <c:pt idx="54">
                  <c:v>441.762</c:v>
                </c:pt>
                <c:pt idx="55">
                  <c:v>443.69189065316107</c:v>
                </c:pt>
                <c:pt idx="56">
                  <c:v>612.29688153465349</c:v>
                </c:pt>
                <c:pt idx="57">
                  <c:v>408.21763764407922</c:v>
                </c:pt>
                <c:pt idx="58">
                  <c:v>433.61574335353066</c:v>
                </c:pt>
                <c:pt idx="59">
                  <c:v>465.51642175417606</c:v>
                </c:pt>
                <c:pt idx="60">
                  <c:v>492.30533007494557</c:v>
                </c:pt>
                <c:pt idx="61">
                  <c:v>429.77183010598719</c:v>
                </c:pt>
                <c:pt idx="62">
                  <c:v>463.93871811127946</c:v>
                </c:pt>
                <c:pt idx="63">
                  <c:v>541.85026966673001</c:v>
                </c:pt>
                <c:pt idx="64">
                  <c:v>517.09627564883976</c:v>
                </c:pt>
                <c:pt idx="65">
                  <c:v>410.21765285773267</c:v>
                </c:pt>
                <c:pt idx="66">
                  <c:v>446.28243154530844</c:v>
                </c:pt>
                <c:pt idx="67">
                  <c:v>557.53536443050234</c:v>
                </c:pt>
                <c:pt idx="68">
                  <c:v>541.85128925182039</c:v>
                </c:pt>
                <c:pt idx="69">
                  <c:v>238.3731491808993</c:v>
                </c:pt>
                <c:pt idx="70">
                  <c:v>279.79835308109017</c:v>
                </c:pt>
                <c:pt idx="71">
                  <c:v>607.85289258380749</c:v>
                </c:pt>
                <c:pt idx="72">
                  <c:v>507.83873722739719</c:v>
                </c:pt>
                <c:pt idx="73">
                  <c:v>342.52987073927562</c:v>
                </c:pt>
                <c:pt idx="74">
                  <c:v>377.56745681102973</c:v>
                </c:pt>
                <c:pt idx="75">
                  <c:v>541.89837603260855</c:v>
                </c:pt>
                <c:pt idx="76">
                  <c:v>496.82766429729941</c:v>
                </c:pt>
                <c:pt idx="77">
                  <c:v>359.13528545339653</c:v>
                </c:pt>
                <c:pt idx="78">
                  <c:v>394.11765570139767</c:v>
                </c:pt>
                <c:pt idx="79">
                  <c:v>627.13971736826306</c:v>
                </c:pt>
                <c:pt idx="80">
                  <c:v>482.58008386245655</c:v>
                </c:pt>
                <c:pt idx="81">
                  <c:v>384.2431698910051</c:v>
                </c:pt>
                <c:pt idx="82">
                  <c:v>393.73504380821061</c:v>
                </c:pt>
                <c:pt idx="83">
                  <c:v>603.36796969878139</c:v>
                </c:pt>
                <c:pt idx="84">
                  <c:v>493.77596481071163</c:v>
                </c:pt>
                <c:pt idx="85">
                  <c:v>397.36383344457283</c:v>
                </c:pt>
                <c:pt idx="86">
                  <c:v>431.00201063576691</c:v>
                </c:pt>
                <c:pt idx="87">
                  <c:v>569.10317024760207</c:v>
                </c:pt>
                <c:pt idx="88">
                  <c:v>511.07301517178672</c:v>
                </c:pt>
                <c:pt idx="89">
                  <c:v>350.87874015838275</c:v>
                </c:pt>
                <c:pt idx="90">
                  <c:v>418.95815898775442</c:v>
                </c:pt>
                <c:pt idx="91">
                  <c:v>597.03804863614573</c:v>
                </c:pt>
              </c:numCache>
            </c:numRef>
          </c:val>
          <c:smooth val="0"/>
          <c:extLst>
            <c:ext xmlns:c16="http://schemas.microsoft.com/office/drawing/2014/chart" uri="{C3380CC4-5D6E-409C-BE32-E72D297353CC}">
              <c16:uniqueId val="{00000000-03FD-4FCE-A0C5-E9FCA4D0C3DF}"/>
            </c:ext>
          </c:extLst>
        </c:ser>
        <c:ser>
          <c:idx val="1"/>
          <c:order val="1"/>
          <c:tx>
            <c:strRef>
              <c:f>'Fuel Vol and Credit Gen'!$A$97</c:f>
              <c:strCache>
                <c:ptCount val="1"/>
                <c:pt idx="0">
                  <c:v>Biomethane</c:v>
                </c:pt>
              </c:strCache>
            </c:strRef>
          </c:tx>
          <c:spPr>
            <a:ln w="22225" cap="rnd">
              <a:solidFill>
                <a:schemeClr val="accent2"/>
              </a:solidFill>
              <a:round/>
            </a:ln>
            <a:effectLst/>
          </c:spPr>
          <c:marker>
            <c:symbol val="none"/>
          </c:marker>
          <c:cat>
            <c:strRef>
              <c:f>'Fuel Vol and Credit Gen'!$B$95:$CO$95</c:f>
              <c:strCache>
                <c:ptCount val="92"/>
                <c:pt idx="0">
                  <c:v>2011 Q1</c:v>
                </c:pt>
                <c:pt idx="1">
                  <c:v>Q2</c:v>
                </c:pt>
                <c:pt idx="2">
                  <c:v>Q3</c:v>
                </c:pt>
                <c:pt idx="3">
                  <c:v>Q4</c:v>
                </c:pt>
                <c:pt idx="4">
                  <c:v>2012 Q1</c:v>
                </c:pt>
                <c:pt idx="5">
                  <c:v>Q2</c:v>
                </c:pt>
                <c:pt idx="6">
                  <c:v>Q3</c:v>
                </c:pt>
                <c:pt idx="7">
                  <c:v>Q4</c:v>
                </c:pt>
                <c:pt idx="8">
                  <c:v>2013 Q1</c:v>
                </c:pt>
                <c:pt idx="9">
                  <c:v>Q2</c:v>
                </c:pt>
                <c:pt idx="10">
                  <c:v>Q3</c:v>
                </c:pt>
                <c:pt idx="11">
                  <c:v>Q4</c:v>
                </c:pt>
                <c:pt idx="12">
                  <c:v>2014 Q1</c:v>
                </c:pt>
                <c:pt idx="13">
                  <c:v>Q2</c:v>
                </c:pt>
                <c:pt idx="14">
                  <c:v>Q3</c:v>
                </c:pt>
                <c:pt idx="15">
                  <c:v>Q4</c:v>
                </c:pt>
                <c:pt idx="16">
                  <c:v>2015 Q1</c:v>
                </c:pt>
                <c:pt idx="17">
                  <c:v>Q2</c:v>
                </c:pt>
                <c:pt idx="18">
                  <c:v>Q3</c:v>
                </c:pt>
                <c:pt idx="19">
                  <c:v>Q4</c:v>
                </c:pt>
                <c:pt idx="20">
                  <c:v>2016 Q1</c:v>
                </c:pt>
                <c:pt idx="21">
                  <c:v>Q2</c:v>
                </c:pt>
                <c:pt idx="22">
                  <c:v>Q3</c:v>
                </c:pt>
                <c:pt idx="23">
                  <c:v>Q4</c:v>
                </c:pt>
                <c:pt idx="24">
                  <c:v>2017 Q1</c:v>
                </c:pt>
                <c:pt idx="25">
                  <c:v>Q2</c:v>
                </c:pt>
                <c:pt idx="26">
                  <c:v>Q3</c:v>
                </c:pt>
                <c:pt idx="27">
                  <c:v>Q4</c:v>
                </c:pt>
                <c:pt idx="28">
                  <c:v>2018 Q1</c:v>
                </c:pt>
                <c:pt idx="29">
                  <c:v>Q2</c:v>
                </c:pt>
                <c:pt idx="30">
                  <c:v>Q3</c:v>
                </c:pt>
                <c:pt idx="31">
                  <c:v>Q4</c:v>
                </c:pt>
                <c:pt idx="32">
                  <c:v>2019 Q1</c:v>
                </c:pt>
                <c:pt idx="33">
                  <c:v>Q2</c:v>
                </c:pt>
                <c:pt idx="34">
                  <c:v>Q3</c:v>
                </c:pt>
                <c:pt idx="35">
                  <c:v>Q4</c:v>
                </c:pt>
                <c:pt idx="36">
                  <c:v>2020 Q1</c:v>
                </c:pt>
                <c:pt idx="37">
                  <c:v>Q2</c:v>
                </c:pt>
                <c:pt idx="38">
                  <c:v>Q3</c:v>
                </c:pt>
                <c:pt idx="39">
                  <c:v>Q4</c:v>
                </c:pt>
                <c:pt idx="40">
                  <c:v>2021 Q1</c:v>
                </c:pt>
                <c:pt idx="41">
                  <c:v>Q2</c:v>
                </c:pt>
                <c:pt idx="42">
                  <c:v>Q3</c:v>
                </c:pt>
                <c:pt idx="43">
                  <c:v>Q4</c:v>
                </c:pt>
                <c:pt idx="44">
                  <c:v>2022 Q1</c:v>
                </c:pt>
                <c:pt idx="45">
                  <c:v>Q2</c:v>
                </c:pt>
                <c:pt idx="46">
                  <c:v>Q3</c:v>
                </c:pt>
                <c:pt idx="47">
                  <c:v>Q4</c:v>
                </c:pt>
                <c:pt idx="48">
                  <c:v>2023 Q1</c:v>
                </c:pt>
                <c:pt idx="49">
                  <c:v>Q2</c:v>
                </c:pt>
                <c:pt idx="50">
                  <c:v>Q3</c:v>
                </c:pt>
                <c:pt idx="51">
                  <c:v>Q4</c:v>
                </c:pt>
                <c:pt idx="52">
                  <c:v>2024Q1</c:v>
                </c:pt>
                <c:pt idx="53">
                  <c:v>Q2</c:v>
                </c:pt>
                <c:pt idx="54">
                  <c:v>Q3</c:v>
                </c:pt>
                <c:pt idx="55">
                  <c:v>Q4</c:v>
                </c:pt>
                <c:pt idx="56">
                  <c:v>2025Q1</c:v>
                </c:pt>
                <c:pt idx="57">
                  <c:v>Q2</c:v>
                </c:pt>
                <c:pt idx="58">
                  <c:v>Q3</c:v>
                </c:pt>
                <c:pt idx="59">
                  <c:v>Q4</c:v>
                </c:pt>
                <c:pt idx="60">
                  <c:v>2026Q1</c:v>
                </c:pt>
                <c:pt idx="61">
                  <c:v>Q2</c:v>
                </c:pt>
                <c:pt idx="62">
                  <c:v>Q3</c:v>
                </c:pt>
                <c:pt idx="63">
                  <c:v>Q4</c:v>
                </c:pt>
                <c:pt idx="64">
                  <c:v>2027Q1</c:v>
                </c:pt>
                <c:pt idx="65">
                  <c:v>Q2</c:v>
                </c:pt>
                <c:pt idx="66">
                  <c:v>Q3</c:v>
                </c:pt>
                <c:pt idx="67">
                  <c:v>Q4</c:v>
                </c:pt>
                <c:pt idx="68">
                  <c:v>2028Q1</c:v>
                </c:pt>
                <c:pt idx="69">
                  <c:v>Q2</c:v>
                </c:pt>
                <c:pt idx="70">
                  <c:v>Q3</c:v>
                </c:pt>
                <c:pt idx="71">
                  <c:v>Q4</c:v>
                </c:pt>
                <c:pt idx="72">
                  <c:v>2029Q1</c:v>
                </c:pt>
                <c:pt idx="73">
                  <c:v>Q2</c:v>
                </c:pt>
                <c:pt idx="74">
                  <c:v>Q3</c:v>
                </c:pt>
                <c:pt idx="75">
                  <c:v>Q4</c:v>
                </c:pt>
                <c:pt idx="76">
                  <c:v>2030Q1</c:v>
                </c:pt>
                <c:pt idx="77">
                  <c:v>Q2</c:v>
                </c:pt>
                <c:pt idx="78">
                  <c:v>Q3</c:v>
                </c:pt>
                <c:pt idx="79">
                  <c:v>Q4</c:v>
                </c:pt>
                <c:pt idx="80">
                  <c:v>2031Q1</c:v>
                </c:pt>
                <c:pt idx="81">
                  <c:v>Q2</c:v>
                </c:pt>
                <c:pt idx="82">
                  <c:v>Q3</c:v>
                </c:pt>
                <c:pt idx="83">
                  <c:v>Q4</c:v>
                </c:pt>
                <c:pt idx="84">
                  <c:v>2032Q1</c:v>
                </c:pt>
                <c:pt idx="85">
                  <c:v>Q2</c:v>
                </c:pt>
                <c:pt idx="86">
                  <c:v>Q3</c:v>
                </c:pt>
                <c:pt idx="87">
                  <c:v>Q4</c:v>
                </c:pt>
                <c:pt idx="88">
                  <c:v>2033Q1</c:v>
                </c:pt>
                <c:pt idx="89">
                  <c:v>Q2</c:v>
                </c:pt>
                <c:pt idx="90">
                  <c:v>Q3</c:v>
                </c:pt>
                <c:pt idx="91">
                  <c:v>Q4</c:v>
                </c:pt>
              </c:strCache>
            </c:strRef>
          </c:cat>
          <c:val>
            <c:numRef>
              <c:f>'Fuel Vol and Credit Gen'!$B$97:$CO$97</c:f>
              <c:numCache>
                <c:formatCode>#,##0.0_);[Red]\(#,##0.0\)</c:formatCode>
                <c:ptCount val="92"/>
                <c:pt idx="0">
                  <c:v>2.2120000000000002</c:v>
                </c:pt>
                <c:pt idx="1">
                  <c:v>3.069</c:v>
                </c:pt>
                <c:pt idx="2">
                  <c:v>4.96</c:v>
                </c:pt>
                <c:pt idx="3">
                  <c:v>4.4740000000000002</c:v>
                </c:pt>
                <c:pt idx="4">
                  <c:v>4.367</c:v>
                </c:pt>
                <c:pt idx="5">
                  <c:v>4.2210000000000001</c:v>
                </c:pt>
                <c:pt idx="6">
                  <c:v>3.577</c:v>
                </c:pt>
                <c:pt idx="7">
                  <c:v>2.68</c:v>
                </c:pt>
                <c:pt idx="8">
                  <c:v>4.24</c:v>
                </c:pt>
                <c:pt idx="9">
                  <c:v>5.1829999999999998</c:v>
                </c:pt>
                <c:pt idx="10">
                  <c:v>49.133000000000003</c:v>
                </c:pt>
                <c:pt idx="11">
                  <c:v>39.561999999999998</c:v>
                </c:pt>
                <c:pt idx="12">
                  <c:v>41.738999999999997</c:v>
                </c:pt>
                <c:pt idx="13">
                  <c:v>37.893999999999998</c:v>
                </c:pt>
                <c:pt idx="14">
                  <c:v>72.585999999999999</c:v>
                </c:pt>
                <c:pt idx="15">
                  <c:v>87.338999999999999</c:v>
                </c:pt>
                <c:pt idx="16">
                  <c:v>96.046999999999997</c:v>
                </c:pt>
                <c:pt idx="17">
                  <c:v>143.83099999999999</c:v>
                </c:pt>
                <c:pt idx="18">
                  <c:v>165.38800000000001</c:v>
                </c:pt>
                <c:pt idx="19">
                  <c:v>170.68600000000001</c:v>
                </c:pt>
                <c:pt idx="20">
                  <c:v>186.80799999999999</c:v>
                </c:pt>
                <c:pt idx="21">
                  <c:v>191.624</c:v>
                </c:pt>
                <c:pt idx="22">
                  <c:v>154.49100000000001</c:v>
                </c:pt>
                <c:pt idx="23">
                  <c:v>149.732</c:v>
                </c:pt>
                <c:pt idx="24">
                  <c:v>136.721</c:v>
                </c:pt>
                <c:pt idx="25">
                  <c:v>173.49700000000001</c:v>
                </c:pt>
                <c:pt idx="26">
                  <c:v>185.321</c:v>
                </c:pt>
                <c:pt idx="27">
                  <c:v>185.446</c:v>
                </c:pt>
                <c:pt idx="28">
                  <c:v>179.50700000000001</c:v>
                </c:pt>
                <c:pt idx="29">
                  <c:v>170.495</c:v>
                </c:pt>
                <c:pt idx="30">
                  <c:v>197.971</c:v>
                </c:pt>
                <c:pt idx="31">
                  <c:v>203.315</c:v>
                </c:pt>
                <c:pt idx="32">
                  <c:v>181.92500000000001</c:v>
                </c:pt>
                <c:pt idx="33">
                  <c:v>199.91499999999999</c:v>
                </c:pt>
                <c:pt idx="34">
                  <c:v>251.06700000000001</c:v>
                </c:pt>
                <c:pt idx="35">
                  <c:v>303.88499999999999</c:v>
                </c:pt>
                <c:pt idx="36">
                  <c:v>299.36500000000001</c:v>
                </c:pt>
                <c:pt idx="37">
                  <c:v>322.69299999999998</c:v>
                </c:pt>
                <c:pt idx="38">
                  <c:v>489.19900000000001</c:v>
                </c:pt>
                <c:pt idx="39">
                  <c:v>553.45000000000005</c:v>
                </c:pt>
                <c:pt idx="40">
                  <c:v>469.75099999999998</c:v>
                </c:pt>
                <c:pt idx="41">
                  <c:v>645.55899999999997</c:v>
                </c:pt>
                <c:pt idx="42">
                  <c:v>843.17899999999997</c:v>
                </c:pt>
                <c:pt idx="43">
                  <c:v>828.59500000000003</c:v>
                </c:pt>
                <c:pt idx="44">
                  <c:v>820.91700000000003</c:v>
                </c:pt>
                <c:pt idx="45">
                  <c:v>1099.239</c:v>
                </c:pt>
                <c:pt idx="46">
                  <c:v>1204.337</c:v>
                </c:pt>
                <c:pt idx="47">
                  <c:v>1220.586</c:v>
                </c:pt>
                <c:pt idx="48">
                  <c:v>1066.9110000000001</c:v>
                </c:pt>
                <c:pt idx="49">
                  <c:v>1356.7750000000001</c:v>
                </c:pt>
                <c:pt idx="50">
                  <c:v>1408.826</c:v>
                </c:pt>
                <c:pt idx="51">
                  <c:v>1493.01</c:v>
                </c:pt>
                <c:pt idx="52">
                  <c:v>1540.0640000000001</c:v>
                </c:pt>
                <c:pt idx="53">
                  <c:v>1863.182</c:v>
                </c:pt>
                <c:pt idx="54">
                  <c:v>2115.1819999999998</c:v>
                </c:pt>
                <c:pt idx="55">
                  <c:v>1179.7424057172684</c:v>
                </c:pt>
                <c:pt idx="56">
                  <c:v>1007.3931509739988</c:v>
                </c:pt>
                <c:pt idx="57">
                  <c:v>1110.3994619661496</c:v>
                </c:pt>
                <c:pt idx="58">
                  <c:v>1258.8033541019704</c:v>
                </c:pt>
                <c:pt idx="59">
                  <c:v>1193.0453097298189</c:v>
                </c:pt>
                <c:pt idx="60">
                  <c:v>990.21803613069721</c:v>
                </c:pt>
                <c:pt idx="61">
                  <c:v>1106.9541722751071</c:v>
                </c:pt>
                <c:pt idx="62">
                  <c:v>1273.345630286605</c:v>
                </c:pt>
                <c:pt idx="63">
                  <c:v>1195.6626766788481</c:v>
                </c:pt>
                <c:pt idx="64">
                  <c:v>977.21807352842382</c:v>
                </c:pt>
                <c:pt idx="65">
                  <c:v>1103.6327701129419</c:v>
                </c:pt>
                <c:pt idx="66">
                  <c:v>1275.7267624505698</c:v>
                </c:pt>
                <c:pt idx="67">
                  <c:v>1195.268605854267</c:v>
                </c:pt>
                <c:pt idx="68">
                  <c:v>939.27049294395465</c:v>
                </c:pt>
                <c:pt idx="69">
                  <c:v>1081.5037393180187</c:v>
                </c:pt>
                <c:pt idx="70">
                  <c:v>1281.5706923027667</c:v>
                </c:pt>
                <c:pt idx="71">
                  <c:v>1181.3627956351077</c:v>
                </c:pt>
                <c:pt idx="72">
                  <c:v>900.36372974526523</c:v>
                </c:pt>
                <c:pt idx="73">
                  <c:v>1070.2244343074926</c:v>
                </c:pt>
                <c:pt idx="74">
                  <c:v>1289.5713052542262</c:v>
                </c:pt>
                <c:pt idx="75">
                  <c:v>1194.3289333110831</c:v>
                </c:pt>
                <c:pt idx="76">
                  <c:v>921.65982594840034</c:v>
                </c:pt>
                <c:pt idx="77">
                  <c:v>1080.5429420785379</c:v>
                </c:pt>
                <c:pt idx="78">
                  <c:v>1293.4656525233906</c:v>
                </c:pt>
                <c:pt idx="79">
                  <c:v>1200.730337606733</c:v>
                </c:pt>
                <c:pt idx="80">
                  <c:v>928.02612030751914</c:v>
                </c:pt>
                <c:pt idx="81">
                  <c:v>1087.5832794411999</c:v>
                </c:pt>
                <c:pt idx="82">
                  <c:v>1312.1398994121621</c:v>
                </c:pt>
                <c:pt idx="83">
                  <c:v>1210.0690741491123</c:v>
                </c:pt>
                <c:pt idx="84">
                  <c:v>928.03569477225346</c:v>
                </c:pt>
                <c:pt idx="85">
                  <c:v>1090.5623880015758</c:v>
                </c:pt>
                <c:pt idx="86">
                  <c:v>1283.9895190633242</c:v>
                </c:pt>
                <c:pt idx="87">
                  <c:v>1195.0047864654471</c:v>
                </c:pt>
                <c:pt idx="88">
                  <c:v>941.97924177027232</c:v>
                </c:pt>
                <c:pt idx="89">
                  <c:v>1087.7131545775953</c:v>
                </c:pt>
                <c:pt idx="90">
                  <c:v>1287.5090733771399</c:v>
                </c:pt>
                <c:pt idx="91">
                  <c:v>1195.6558577729425</c:v>
                </c:pt>
              </c:numCache>
            </c:numRef>
          </c:val>
          <c:smooth val="0"/>
          <c:extLst>
            <c:ext xmlns:c16="http://schemas.microsoft.com/office/drawing/2014/chart" uri="{C3380CC4-5D6E-409C-BE32-E72D297353CC}">
              <c16:uniqueId val="{00000001-03FD-4FCE-A0C5-E9FCA4D0C3DF}"/>
            </c:ext>
          </c:extLst>
        </c:ser>
        <c:ser>
          <c:idx val="2"/>
          <c:order val="2"/>
          <c:tx>
            <c:strRef>
              <c:f>'Fuel Vol and Credit Gen'!$A$98</c:f>
              <c:strCache>
                <c:ptCount val="1"/>
                <c:pt idx="0">
                  <c:v>Fossil Natural Gas</c:v>
                </c:pt>
              </c:strCache>
            </c:strRef>
          </c:tx>
          <c:spPr>
            <a:ln w="22225" cap="rnd">
              <a:solidFill>
                <a:schemeClr val="accent3"/>
              </a:solidFill>
              <a:round/>
            </a:ln>
            <a:effectLst/>
          </c:spPr>
          <c:marker>
            <c:symbol val="none"/>
          </c:marker>
          <c:cat>
            <c:strRef>
              <c:f>'Fuel Vol and Credit Gen'!$B$95:$CO$95</c:f>
              <c:strCache>
                <c:ptCount val="92"/>
                <c:pt idx="0">
                  <c:v>2011 Q1</c:v>
                </c:pt>
                <c:pt idx="1">
                  <c:v>Q2</c:v>
                </c:pt>
                <c:pt idx="2">
                  <c:v>Q3</c:v>
                </c:pt>
                <c:pt idx="3">
                  <c:v>Q4</c:v>
                </c:pt>
                <c:pt idx="4">
                  <c:v>2012 Q1</c:v>
                </c:pt>
                <c:pt idx="5">
                  <c:v>Q2</c:v>
                </c:pt>
                <c:pt idx="6">
                  <c:v>Q3</c:v>
                </c:pt>
                <c:pt idx="7">
                  <c:v>Q4</c:v>
                </c:pt>
                <c:pt idx="8">
                  <c:v>2013 Q1</c:v>
                </c:pt>
                <c:pt idx="9">
                  <c:v>Q2</c:v>
                </c:pt>
                <c:pt idx="10">
                  <c:v>Q3</c:v>
                </c:pt>
                <c:pt idx="11">
                  <c:v>Q4</c:v>
                </c:pt>
                <c:pt idx="12">
                  <c:v>2014 Q1</c:v>
                </c:pt>
                <c:pt idx="13">
                  <c:v>Q2</c:v>
                </c:pt>
                <c:pt idx="14">
                  <c:v>Q3</c:v>
                </c:pt>
                <c:pt idx="15">
                  <c:v>Q4</c:v>
                </c:pt>
                <c:pt idx="16">
                  <c:v>2015 Q1</c:v>
                </c:pt>
                <c:pt idx="17">
                  <c:v>Q2</c:v>
                </c:pt>
                <c:pt idx="18">
                  <c:v>Q3</c:v>
                </c:pt>
                <c:pt idx="19">
                  <c:v>Q4</c:v>
                </c:pt>
                <c:pt idx="20">
                  <c:v>2016 Q1</c:v>
                </c:pt>
                <c:pt idx="21">
                  <c:v>Q2</c:v>
                </c:pt>
                <c:pt idx="22">
                  <c:v>Q3</c:v>
                </c:pt>
                <c:pt idx="23">
                  <c:v>Q4</c:v>
                </c:pt>
                <c:pt idx="24">
                  <c:v>2017 Q1</c:v>
                </c:pt>
                <c:pt idx="25">
                  <c:v>Q2</c:v>
                </c:pt>
                <c:pt idx="26">
                  <c:v>Q3</c:v>
                </c:pt>
                <c:pt idx="27">
                  <c:v>Q4</c:v>
                </c:pt>
                <c:pt idx="28">
                  <c:v>2018 Q1</c:v>
                </c:pt>
                <c:pt idx="29">
                  <c:v>Q2</c:v>
                </c:pt>
                <c:pt idx="30">
                  <c:v>Q3</c:v>
                </c:pt>
                <c:pt idx="31">
                  <c:v>Q4</c:v>
                </c:pt>
                <c:pt idx="32">
                  <c:v>2019 Q1</c:v>
                </c:pt>
                <c:pt idx="33">
                  <c:v>Q2</c:v>
                </c:pt>
                <c:pt idx="34">
                  <c:v>Q3</c:v>
                </c:pt>
                <c:pt idx="35">
                  <c:v>Q4</c:v>
                </c:pt>
                <c:pt idx="36">
                  <c:v>2020 Q1</c:v>
                </c:pt>
                <c:pt idx="37">
                  <c:v>Q2</c:v>
                </c:pt>
                <c:pt idx="38">
                  <c:v>Q3</c:v>
                </c:pt>
                <c:pt idx="39">
                  <c:v>Q4</c:v>
                </c:pt>
                <c:pt idx="40">
                  <c:v>2021 Q1</c:v>
                </c:pt>
                <c:pt idx="41">
                  <c:v>Q2</c:v>
                </c:pt>
                <c:pt idx="42">
                  <c:v>Q3</c:v>
                </c:pt>
                <c:pt idx="43">
                  <c:v>Q4</c:v>
                </c:pt>
                <c:pt idx="44">
                  <c:v>2022 Q1</c:v>
                </c:pt>
                <c:pt idx="45">
                  <c:v>Q2</c:v>
                </c:pt>
                <c:pt idx="46">
                  <c:v>Q3</c:v>
                </c:pt>
                <c:pt idx="47">
                  <c:v>Q4</c:v>
                </c:pt>
                <c:pt idx="48">
                  <c:v>2023 Q1</c:v>
                </c:pt>
                <c:pt idx="49">
                  <c:v>Q2</c:v>
                </c:pt>
                <c:pt idx="50">
                  <c:v>Q3</c:v>
                </c:pt>
                <c:pt idx="51">
                  <c:v>Q4</c:v>
                </c:pt>
                <c:pt idx="52">
                  <c:v>2024Q1</c:v>
                </c:pt>
                <c:pt idx="53">
                  <c:v>Q2</c:v>
                </c:pt>
                <c:pt idx="54">
                  <c:v>Q3</c:v>
                </c:pt>
                <c:pt idx="55">
                  <c:v>Q4</c:v>
                </c:pt>
                <c:pt idx="56">
                  <c:v>2025Q1</c:v>
                </c:pt>
                <c:pt idx="57">
                  <c:v>Q2</c:v>
                </c:pt>
                <c:pt idx="58">
                  <c:v>Q3</c:v>
                </c:pt>
                <c:pt idx="59">
                  <c:v>Q4</c:v>
                </c:pt>
                <c:pt idx="60">
                  <c:v>2026Q1</c:v>
                </c:pt>
                <c:pt idx="61">
                  <c:v>Q2</c:v>
                </c:pt>
                <c:pt idx="62">
                  <c:v>Q3</c:v>
                </c:pt>
                <c:pt idx="63">
                  <c:v>Q4</c:v>
                </c:pt>
                <c:pt idx="64">
                  <c:v>2027Q1</c:v>
                </c:pt>
                <c:pt idx="65">
                  <c:v>Q2</c:v>
                </c:pt>
                <c:pt idx="66">
                  <c:v>Q3</c:v>
                </c:pt>
                <c:pt idx="67">
                  <c:v>Q4</c:v>
                </c:pt>
                <c:pt idx="68">
                  <c:v>2028Q1</c:v>
                </c:pt>
                <c:pt idx="69">
                  <c:v>Q2</c:v>
                </c:pt>
                <c:pt idx="70">
                  <c:v>Q3</c:v>
                </c:pt>
                <c:pt idx="71">
                  <c:v>Q4</c:v>
                </c:pt>
                <c:pt idx="72">
                  <c:v>2029Q1</c:v>
                </c:pt>
                <c:pt idx="73">
                  <c:v>Q2</c:v>
                </c:pt>
                <c:pt idx="74">
                  <c:v>Q3</c:v>
                </c:pt>
                <c:pt idx="75">
                  <c:v>Q4</c:v>
                </c:pt>
                <c:pt idx="76">
                  <c:v>2030Q1</c:v>
                </c:pt>
                <c:pt idx="77">
                  <c:v>Q2</c:v>
                </c:pt>
                <c:pt idx="78">
                  <c:v>Q3</c:v>
                </c:pt>
                <c:pt idx="79">
                  <c:v>Q4</c:v>
                </c:pt>
                <c:pt idx="80">
                  <c:v>2031Q1</c:v>
                </c:pt>
                <c:pt idx="81">
                  <c:v>Q2</c:v>
                </c:pt>
                <c:pt idx="82">
                  <c:v>Q3</c:v>
                </c:pt>
                <c:pt idx="83">
                  <c:v>Q4</c:v>
                </c:pt>
                <c:pt idx="84">
                  <c:v>2032Q1</c:v>
                </c:pt>
                <c:pt idx="85">
                  <c:v>Q2</c:v>
                </c:pt>
                <c:pt idx="86">
                  <c:v>Q3</c:v>
                </c:pt>
                <c:pt idx="87">
                  <c:v>Q4</c:v>
                </c:pt>
                <c:pt idx="88">
                  <c:v>2033Q1</c:v>
                </c:pt>
                <c:pt idx="89">
                  <c:v>Q2</c:v>
                </c:pt>
                <c:pt idx="90">
                  <c:v>Q3</c:v>
                </c:pt>
                <c:pt idx="91">
                  <c:v>Q4</c:v>
                </c:pt>
              </c:strCache>
            </c:strRef>
          </c:cat>
          <c:val>
            <c:numRef>
              <c:f>'Fuel Vol and Credit Gen'!$B$98:$CO$98</c:f>
              <c:numCache>
                <c:formatCode>#,##0.0_);[Red]\(#,##0.0\)</c:formatCode>
                <c:ptCount val="92"/>
                <c:pt idx="0">
                  <c:v>39.933999999999997</c:v>
                </c:pt>
                <c:pt idx="1">
                  <c:v>42.168999999999997</c:v>
                </c:pt>
                <c:pt idx="2">
                  <c:v>41.442999999999998</c:v>
                </c:pt>
                <c:pt idx="3">
                  <c:v>40.844000000000001</c:v>
                </c:pt>
                <c:pt idx="4">
                  <c:v>40.225999999999999</c:v>
                </c:pt>
                <c:pt idx="5">
                  <c:v>43.158000000000001</c:v>
                </c:pt>
                <c:pt idx="6">
                  <c:v>49.942</c:v>
                </c:pt>
                <c:pt idx="7">
                  <c:v>49.844000000000001</c:v>
                </c:pt>
                <c:pt idx="8">
                  <c:v>59.246000000000002</c:v>
                </c:pt>
                <c:pt idx="9">
                  <c:v>58.045000000000002</c:v>
                </c:pt>
                <c:pt idx="10">
                  <c:v>50.798999999999999</c:v>
                </c:pt>
                <c:pt idx="11">
                  <c:v>53.765000000000001</c:v>
                </c:pt>
                <c:pt idx="12">
                  <c:v>57.640999999999998</c:v>
                </c:pt>
                <c:pt idx="13">
                  <c:v>70.355000000000004</c:v>
                </c:pt>
                <c:pt idx="14">
                  <c:v>60.792999999999999</c:v>
                </c:pt>
                <c:pt idx="15">
                  <c:v>58.226999999999997</c:v>
                </c:pt>
                <c:pt idx="16">
                  <c:v>59.66</c:v>
                </c:pt>
                <c:pt idx="17">
                  <c:v>50.677999999999997</c:v>
                </c:pt>
                <c:pt idx="18">
                  <c:v>49.578000000000003</c:v>
                </c:pt>
                <c:pt idx="19">
                  <c:v>45.674999999999997</c:v>
                </c:pt>
                <c:pt idx="20">
                  <c:v>43.627000000000002</c:v>
                </c:pt>
                <c:pt idx="21">
                  <c:v>46.616</c:v>
                </c:pt>
                <c:pt idx="22">
                  <c:v>40.957000000000001</c:v>
                </c:pt>
                <c:pt idx="23">
                  <c:v>38.991</c:v>
                </c:pt>
                <c:pt idx="24">
                  <c:v>16.030999999999999</c:v>
                </c:pt>
                <c:pt idx="25">
                  <c:v>14.323</c:v>
                </c:pt>
                <c:pt idx="26">
                  <c:v>14.005000000000001</c:v>
                </c:pt>
                <c:pt idx="27">
                  <c:v>14.135</c:v>
                </c:pt>
                <c:pt idx="28">
                  <c:v>15.292</c:v>
                </c:pt>
                <c:pt idx="29">
                  <c:v>16.963999999999999</c:v>
                </c:pt>
                <c:pt idx="30">
                  <c:v>14.909000000000001</c:v>
                </c:pt>
                <c:pt idx="31">
                  <c:v>11.61</c:v>
                </c:pt>
                <c:pt idx="32">
                  <c:v>8.1329999999999991</c:v>
                </c:pt>
                <c:pt idx="33">
                  <c:v>7.22</c:v>
                </c:pt>
                <c:pt idx="34">
                  <c:v>8.1069999999999993</c:v>
                </c:pt>
                <c:pt idx="35">
                  <c:v>7.391</c:v>
                </c:pt>
                <c:pt idx="36">
                  <c:v>3.7</c:v>
                </c:pt>
                <c:pt idx="37">
                  <c:v>2.4510000000000001</c:v>
                </c:pt>
                <c:pt idx="38">
                  <c:v>1.4570000000000001</c:v>
                </c:pt>
                <c:pt idx="39">
                  <c:v>0.58499999999999996</c:v>
                </c:pt>
                <c:pt idx="40">
                  <c:v>0.48699999999999999</c:v>
                </c:pt>
                <c:pt idx="41">
                  <c:v>0.57899999999999996</c:v>
                </c:pt>
                <c:pt idx="42">
                  <c:v>0.54500000000000004</c:v>
                </c:pt>
                <c:pt idx="43">
                  <c:v>0.83599999999999997</c:v>
                </c:pt>
                <c:pt idx="44">
                  <c:v>0.50900000000000001</c:v>
                </c:pt>
                <c:pt idx="45">
                  <c:v>0.63400000000000001</c:v>
                </c:pt>
                <c:pt idx="46">
                  <c:v>0.65500000000000003</c:v>
                </c:pt>
                <c:pt idx="47">
                  <c:v>0.74399999999999999</c:v>
                </c:pt>
                <c:pt idx="48">
                  <c:v>0.38200000000000001</c:v>
                </c:pt>
                <c:pt idx="49">
                  <c:v>0.40500000000000003</c:v>
                </c:pt>
                <c:pt idx="50">
                  <c:v>0.52</c:v>
                </c:pt>
                <c:pt idx="51">
                  <c:v>0.32900000000000001</c:v>
                </c:pt>
                <c:pt idx="52">
                  <c:v>0.16800000000000001</c:v>
                </c:pt>
                <c:pt idx="53">
                  <c:v>0.17799999999999999</c:v>
                </c:pt>
                <c:pt idx="54">
                  <c:v>0.1</c:v>
                </c:pt>
                <c:pt idx="55">
                  <c:v>0</c:v>
                </c:pt>
                <c:pt idx="56">
                  <c:v>0</c:v>
                </c:pt>
                <c:pt idx="57">
                  <c:v>0</c:v>
                </c:pt>
                <c:pt idx="58">
                  <c:v>0</c:v>
                </c:pt>
                <c:pt idx="59">
                  <c:v>0</c:v>
                </c:pt>
                <c:pt idx="60">
                  <c:v>0</c:v>
                </c:pt>
                <c:pt idx="61">
                  <c:v>0.29992985503108127</c:v>
                </c:pt>
                <c:pt idx="62">
                  <c:v>0.31464759796000269</c:v>
                </c:pt>
                <c:pt idx="63">
                  <c:v>0.33687435077609851</c:v>
                </c:pt>
                <c:pt idx="64">
                  <c:v>0.36878367266907752</c:v>
                </c:pt>
                <c:pt idx="65">
                  <c:v>0.41506939980055629</c:v>
                </c:pt>
                <c:pt idx="66">
                  <c:v>0.47304414736292405</c:v>
                </c:pt>
                <c:pt idx="67">
                  <c:v>0.52536521043412499</c:v>
                </c:pt>
                <c:pt idx="68">
                  <c:v>0.54043323224505802</c:v>
                </c:pt>
                <c:pt idx="69">
                  <c:v>0.50430440197541537</c:v>
                </c:pt>
                <c:pt idx="70">
                  <c:v>0.52330395807781993</c:v>
                </c:pt>
                <c:pt idx="71">
                  <c:v>0.51651539386468048</c:v>
                </c:pt>
                <c:pt idx="72">
                  <c:v>0.51902939640927481</c:v>
                </c:pt>
                <c:pt idx="73">
                  <c:v>0.53469475852694903</c:v>
                </c:pt>
                <c:pt idx="74">
                  <c:v>0.5452861118236263</c:v>
                </c:pt>
                <c:pt idx="75">
                  <c:v>0.53916307278051157</c:v>
                </c:pt>
                <c:pt idx="76">
                  <c:v>0.50573807801641724</c:v>
                </c:pt>
                <c:pt idx="77">
                  <c:v>0.4798283346863686</c:v>
                </c:pt>
                <c:pt idx="78">
                  <c:v>0.45885371269824227</c:v>
                </c:pt>
                <c:pt idx="79">
                  <c:v>0.46056727971877404</c:v>
                </c:pt>
                <c:pt idx="80">
                  <c:v>0.47213123202945828</c:v>
                </c:pt>
                <c:pt idx="81">
                  <c:v>0.52260585535420412</c:v>
                </c:pt>
                <c:pt idx="82">
                  <c:v>0.52812173758117609</c:v>
                </c:pt>
                <c:pt idx="83">
                  <c:v>0.53255786900578184</c:v>
                </c:pt>
                <c:pt idx="84">
                  <c:v>0.53828931811386793</c:v>
                </c:pt>
                <c:pt idx="85">
                  <c:v>0.5432946472532344</c:v>
                </c:pt>
                <c:pt idx="86">
                  <c:v>0.54829274970224307</c:v>
                </c:pt>
                <c:pt idx="87">
                  <c:v>0.55277422945238508</c:v>
                </c:pt>
                <c:pt idx="88">
                  <c:v>0.55786159850432981</c:v>
                </c:pt>
                <c:pt idx="89">
                  <c:v>0.56317233389093113</c:v>
                </c:pt>
                <c:pt idx="90">
                  <c:v>0.5672109045896202</c:v>
                </c:pt>
                <c:pt idx="91">
                  <c:v>0.56001476909990944</c:v>
                </c:pt>
              </c:numCache>
            </c:numRef>
          </c:val>
          <c:smooth val="0"/>
          <c:extLst>
            <c:ext xmlns:c16="http://schemas.microsoft.com/office/drawing/2014/chart" uri="{C3380CC4-5D6E-409C-BE32-E72D297353CC}">
              <c16:uniqueId val="{00000002-03FD-4FCE-A0C5-E9FCA4D0C3DF}"/>
            </c:ext>
          </c:extLst>
        </c:ser>
        <c:ser>
          <c:idx val="3"/>
          <c:order val="3"/>
          <c:tx>
            <c:strRef>
              <c:f>'Fuel Vol and Credit Gen'!$A$99</c:f>
              <c:strCache>
                <c:ptCount val="1"/>
                <c:pt idx="0">
                  <c:v>Electricity</c:v>
                </c:pt>
              </c:strCache>
            </c:strRef>
          </c:tx>
          <c:spPr>
            <a:ln w="22225" cap="rnd">
              <a:solidFill>
                <a:schemeClr val="accent4"/>
              </a:solidFill>
              <a:round/>
            </a:ln>
            <a:effectLst/>
          </c:spPr>
          <c:marker>
            <c:symbol val="none"/>
          </c:marker>
          <c:cat>
            <c:strRef>
              <c:f>'Fuel Vol and Credit Gen'!$B$95:$CO$95</c:f>
              <c:strCache>
                <c:ptCount val="92"/>
                <c:pt idx="0">
                  <c:v>2011 Q1</c:v>
                </c:pt>
                <c:pt idx="1">
                  <c:v>Q2</c:v>
                </c:pt>
                <c:pt idx="2">
                  <c:v>Q3</c:v>
                </c:pt>
                <c:pt idx="3">
                  <c:v>Q4</c:v>
                </c:pt>
                <c:pt idx="4">
                  <c:v>2012 Q1</c:v>
                </c:pt>
                <c:pt idx="5">
                  <c:v>Q2</c:v>
                </c:pt>
                <c:pt idx="6">
                  <c:v>Q3</c:v>
                </c:pt>
                <c:pt idx="7">
                  <c:v>Q4</c:v>
                </c:pt>
                <c:pt idx="8">
                  <c:v>2013 Q1</c:v>
                </c:pt>
                <c:pt idx="9">
                  <c:v>Q2</c:v>
                </c:pt>
                <c:pt idx="10">
                  <c:v>Q3</c:v>
                </c:pt>
                <c:pt idx="11">
                  <c:v>Q4</c:v>
                </c:pt>
                <c:pt idx="12">
                  <c:v>2014 Q1</c:v>
                </c:pt>
                <c:pt idx="13">
                  <c:v>Q2</c:v>
                </c:pt>
                <c:pt idx="14">
                  <c:v>Q3</c:v>
                </c:pt>
                <c:pt idx="15">
                  <c:v>Q4</c:v>
                </c:pt>
                <c:pt idx="16">
                  <c:v>2015 Q1</c:v>
                </c:pt>
                <c:pt idx="17">
                  <c:v>Q2</c:v>
                </c:pt>
                <c:pt idx="18">
                  <c:v>Q3</c:v>
                </c:pt>
                <c:pt idx="19">
                  <c:v>Q4</c:v>
                </c:pt>
                <c:pt idx="20">
                  <c:v>2016 Q1</c:v>
                </c:pt>
                <c:pt idx="21">
                  <c:v>Q2</c:v>
                </c:pt>
                <c:pt idx="22">
                  <c:v>Q3</c:v>
                </c:pt>
                <c:pt idx="23">
                  <c:v>Q4</c:v>
                </c:pt>
                <c:pt idx="24">
                  <c:v>2017 Q1</c:v>
                </c:pt>
                <c:pt idx="25">
                  <c:v>Q2</c:v>
                </c:pt>
                <c:pt idx="26">
                  <c:v>Q3</c:v>
                </c:pt>
                <c:pt idx="27">
                  <c:v>Q4</c:v>
                </c:pt>
                <c:pt idx="28">
                  <c:v>2018 Q1</c:v>
                </c:pt>
                <c:pt idx="29">
                  <c:v>Q2</c:v>
                </c:pt>
                <c:pt idx="30">
                  <c:v>Q3</c:v>
                </c:pt>
                <c:pt idx="31">
                  <c:v>Q4</c:v>
                </c:pt>
                <c:pt idx="32">
                  <c:v>2019 Q1</c:v>
                </c:pt>
                <c:pt idx="33">
                  <c:v>Q2</c:v>
                </c:pt>
                <c:pt idx="34">
                  <c:v>Q3</c:v>
                </c:pt>
                <c:pt idx="35">
                  <c:v>Q4</c:v>
                </c:pt>
                <c:pt idx="36">
                  <c:v>2020 Q1</c:v>
                </c:pt>
                <c:pt idx="37">
                  <c:v>Q2</c:v>
                </c:pt>
                <c:pt idx="38">
                  <c:v>Q3</c:v>
                </c:pt>
                <c:pt idx="39">
                  <c:v>Q4</c:v>
                </c:pt>
                <c:pt idx="40">
                  <c:v>2021 Q1</c:v>
                </c:pt>
                <c:pt idx="41">
                  <c:v>Q2</c:v>
                </c:pt>
                <c:pt idx="42">
                  <c:v>Q3</c:v>
                </c:pt>
                <c:pt idx="43">
                  <c:v>Q4</c:v>
                </c:pt>
                <c:pt idx="44">
                  <c:v>2022 Q1</c:v>
                </c:pt>
                <c:pt idx="45">
                  <c:v>Q2</c:v>
                </c:pt>
                <c:pt idx="46">
                  <c:v>Q3</c:v>
                </c:pt>
                <c:pt idx="47">
                  <c:v>Q4</c:v>
                </c:pt>
                <c:pt idx="48">
                  <c:v>2023 Q1</c:v>
                </c:pt>
                <c:pt idx="49">
                  <c:v>Q2</c:v>
                </c:pt>
                <c:pt idx="50">
                  <c:v>Q3</c:v>
                </c:pt>
                <c:pt idx="51">
                  <c:v>Q4</c:v>
                </c:pt>
                <c:pt idx="52">
                  <c:v>2024Q1</c:v>
                </c:pt>
                <c:pt idx="53">
                  <c:v>Q2</c:v>
                </c:pt>
                <c:pt idx="54">
                  <c:v>Q3</c:v>
                </c:pt>
                <c:pt idx="55">
                  <c:v>Q4</c:v>
                </c:pt>
                <c:pt idx="56">
                  <c:v>2025Q1</c:v>
                </c:pt>
                <c:pt idx="57">
                  <c:v>Q2</c:v>
                </c:pt>
                <c:pt idx="58">
                  <c:v>Q3</c:v>
                </c:pt>
                <c:pt idx="59">
                  <c:v>Q4</c:v>
                </c:pt>
                <c:pt idx="60">
                  <c:v>2026Q1</c:v>
                </c:pt>
                <c:pt idx="61">
                  <c:v>Q2</c:v>
                </c:pt>
                <c:pt idx="62">
                  <c:v>Q3</c:v>
                </c:pt>
                <c:pt idx="63">
                  <c:v>Q4</c:v>
                </c:pt>
                <c:pt idx="64">
                  <c:v>2027Q1</c:v>
                </c:pt>
                <c:pt idx="65">
                  <c:v>Q2</c:v>
                </c:pt>
                <c:pt idx="66">
                  <c:v>Q3</c:v>
                </c:pt>
                <c:pt idx="67">
                  <c:v>Q4</c:v>
                </c:pt>
                <c:pt idx="68">
                  <c:v>2028Q1</c:v>
                </c:pt>
                <c:pt idx="69">
                  <c:v>Q2</c:v>
                </c:pt>
                <c:pt idx="70">
                  <c:v>Q3</c:v>
                </c:pt>
                <c:pt idx="71">
                  <c:v>Q4</c:v>
                </c:pt>
                <c:pt idx="72">
                  <c:v>2029Q1</c:v>
                </c:pt>
                <c:pt idx="73">
                  <c:v>Q2</c:v>
                </c:pt>
                <c:pt idx="74">
                  <c:v>Q3</c:v>
                </c:pt>
                <c:pt idx="75">
                  <c:v>Q4</c:v>
                </c:pt>
                <c:pt idx="76">
                  <c:v>2030Q1</c:v>
                </c:pt>
                <c:pt idx="77">
                  <c:v>Q2</c:v>
                </c:pt>
                <c:pt idx="78">
                  <c:v>Q3</c:v>
                </c:pt>
                <c:pt idx="79">
                  <c:v>Q4</c:v>
                </c:pt>
                <c:pt idx="80">
                  <c:v>2031Q1</c:v>
                </c:pt>
                <c:pt idx="81">
                  <c:v>Q2</c:v>
                </c:pt>
                <c:pt idx="82">
                  <c:v>Q3</c:v>
                </c:pt>
                <c:pt idx="83">
                  <c:v>Q4</c:v>
                </c:pt>
                <c:pt idx="84">
                  <c:v>2032Q1</c:v>
                </c:pt>
                <c:pt idx="85">
                  <c:v>Q2</c:v>
                </c:pt>
                <c:pt idx="86">
                  <c:v>Q3</c:v>
                </c:pt>
                <c:pt idx="87">
                  <c:v>Q4</c:v>
                </c:pt>
                <c:pt idx="88">
                  <c:v>2033Q1</c:v>
                </c:pt>
                <c:pt idx="89">
                  <c:v>Q2</c:v>
                </c:pt>
                <c:pt idx="90">
                  <c:v>Q3</c:v>
                </c:pt>
                <c:pt idx="91">
                  <c:v>Q4</c:v>
                </c:pt>
              </c:strCache>
            </c:strRef>
          </c:cat>
          <c:val>
            <c:numRef>
              <c:f>'Fuel Vol and Credit Gen'!$B$99:$CO$99</c:f>
              <c:numCache>
                <c:formatCode>#,##0.0_);[Red]\(#,##0.0\)</c:formatCode>
                <c:ptCount val="92"/>
                <c:pt idx="0">
                  <c:v>0.45900000000000002</c:v>
                </c:pt>
                <c:pt idx="1">
                  <c:v>1.2929999999999999</c:v>
                </c:pt>
                <c:pt idx="2">
                  <c:v>2.4550000000000001</c:v>
                </c:pt>
                <c:pt idx="3">
                  <c:v>3.536</c:v>
                </c:pt>
                <c:pt idx="4">
                  <c:v>4.5190000000000001</c:v>
                </c:pt>
                <c:pt idx="5">
                  <c:v>5.56</c:v>
                </c:pt>
                <c:pt idx="6">
                  <c:v>7.2939999999999996</c:v>
                </c:pt>
                <c:pt idx="7">
                  <c:v>9.6110000000000007</c:v>
                </c:pt>
                <c:pt idx="8">
                  <c:v>15.051</c:v>
                </c:pt>
                <c:pt idx="9">
                  <c:v>19.515999999999998</c:v>
                </c:pt>
                <c:pt idx="10">
                  <c:v>25.039000000000001</c:v>
                </c:pt>
                <c:pt idx="11">
                  <c:v>34.347000000000001</c:v>
                </c:pt>
                <c:pt idx="12">
                  <c:v>41.753</c:v>
                </c:pt>
                <c:pt idx="13">
                  <c:v>51.091999999999999</c:v>
                </c:pt>
                <c:pt idx="14">
                  <c:v>59.366</c:v>
                </c:pt>
                <c:pt idx="15">
                  <c:v>69.119</c:v>
                </c:pt>
                <c:pt idx="16">
                  <c:v>73.707999999999998</c:v>
                </c:pt>
                <c:pt idx="17">
                  <c:v>78.072000000000003</c:v>
                </c:pt>
                <c:pt idx="18">
                  <c:v>91.036000000000001</c:v>
                </c:pt>
                <c:pt idx="19">
                  <c:v>94.924000000000007</c:v>
                </c:pt>
                <c:pt idx="20">
                  <c:v>206.464</c:v>
                </c:pt>
                <c:pt idx="21">
                  <c:v>216.149</c:v>
                </c:pt>
                <c:pt idx="22">
                  <c:v>225.64</c:v>
                </c:pt>
                <c:pt idx="23">
                  <c:v>256.45</c:v>
                </c:pt>
                <c:pt idx="24">
                  <c:v>278.44200000000001</c:v>
                </c:pt>
                <c:pt idx="25">
                  <c:v>294.20100000000002</c:v>
                </c:pt>
                <c:pt idx="26">
                  <c:v>302.45600000000002</c:v>
                </c:pt>
                <c:pt idx="27">
                  <c:v>323.01299999999998</c:v>
                </c:pt>
                <c:pt idx="28">
                  <c:v>394.52499999999998</c:v>
                </c:pt>
                <c:pt idx="29">
                  <c:v>424.03699999999998</c:v>
                </c:pt>
                <c:pt idx="30">
                  <c:v>469.81299999999999</c:v>
                </c:pt>
                <c:pt idx="31">
                  <c:v>503.08199999999999</c:v>
                </c:pt>
                <c:pt idx="32">
                  <c:v>627.13499999999999</c:v>
                </c:pt>
                <c:pt idx="33">
                  <c:v>620.98699999999997</c:v>
                </c:pt>
                <c:pt idx="34">
                  <c:v>734.99199999999996</c:v>
                </c:pt>
                <c:pt idx="35">
                  <c:v>809.70600000000002</c:v>
                </c:pt>
                <c:pt idx="36">
                  <c:v>800.71799999999996</c:v>
                </c:pt>
                <c:pt idx="37">
                  <c:v>597.60500000000002</c:v>
                </c:pt>
                <c:pt idx="38">
                  <c:v>738.93499999999995</c:v>
                </c:pt>
                <c:pt idx="39">
                  <c:v>805.72500000000002</c:v>
                </c:pt>
                <c:pt idx="40">
                  <c:v>902.04300000000001</c:v>
                </c:pt>
                <c:pt idx="41">
                  <c:v>1118.9390000000001</c:v>
                </c:pt>
                <c:pt idx="42">
                  <c:v>1192.806</c:v>
                </c:pt>
                <c:pt idx="43">
                  <c:v>1253.46</c:v>
                </c:pt>
                <c:pt idx="44">
                  <c:v>1396.82</c:v>
                </c:pt>
                <c:pt idx="45">
                  <c:v>1578.9349999999999</c:v>
                </c:pt>
                <c:pt idx="46">
                  <c:v>1671.348</c:v>
                </c:pt>
                <c:pt idx="47">
                  <c:v>1762.547</c:v>
                </c:pt>
                <c:pt idx="48">
                  <c:v>1644.097</c:v>
                </c:pt>
                <c:pt idx="49">
                  <c:v>1753.2819999999999</c:v>
                </c:pt>
                <c:pt idx="50">
                  <c:v>1920.92</c:v>
                </c:pt>
                <c:pt idx="51">
                  <c:v>2025.2470000000001</c:v>
                </c:pt>
                <c:pt idx="52">
                  <c:v>2007.097</c:v>
                </c:pt>
                <c:pt idx="53">
                  <c:v>2223.712</c:v>
                </c:pt>
                <c:pt idx="54">
                  <c:v>2353.3773479779688</c:v>
                </c:pt>
                <c:pt idx="55">
                  <c:v>2165.9944611145256</c:v>
                </c:pt>
                <c:pt idx="56">
                  <c:v>2278.3832951375384</c:v>
                </c:pt>
                <c:pt idx="57">
                  <c:v>2394.459266883815</c:v>
                </c:pt>
                <c:pt idx="58">
                  <c:v>2505.9017279818831</c:v>
                </c:pt>
                <c:pt idx="59">
                  <c:v>2623.7839810711407</c:v>
                </c:pt>
                <c:pt idx="60">
                  <c:v>2759.082773174503</c:v>
                </c:pt>
                <c:pt idx="61">
                  <c:v>2877.7469428380173</c:v>
                </c:pt>
                <c:pt idx="62">
                  <c:v>2996.4156060940245</c:v>
                </c:pt>
                <c:pt idx="63">
                  <c:v>3114.9221893964177</c:v>
                </c:pt>
                <c:pt idx="64">
                  <c:v>3225.093405462238</c:v>
                </c:pt>
                <c:pt idx="65">
                  <c:v>3334.9479907929467</c:v>
                </c:pt>
                <c:pt idx="66">
                  <c:v>3451.9719864945068</c:v>
                </c:pt>
                <c:pt idx="67">
                  <c:v>3566.1199256147488</c:v>
                </c:pt>
                <c:pt idx="68">
                  <c:v>3682.2747046610825</c:v>
                </c:pt>
                <c:pt idx="69">
                  <c:v>3800.460777673467</c:v>
                </c:pt>
                <c:pt idx="70">
                  <c:v>3920.1881343641489</c:v>
                </c:pt>
                <c:pt idx="71">
                  <c:v>4037.8321602695432</c:v>
                </c:pt>
                <c:pt idx="72">
                  <c:v>4156.5153890785859</c:v>
                </c:pt>
                <c:pt idx="73">
                  <c:v>4277.8191320362876</c:v>
                </c:pt>
                <c:pt idx="74">
                  <c:v>4412.8136006154282</c:v>
                </c:pt>
                <c:pt idx="75">
                  <c:v>4541.0223525267147</c:v>
                </c:pt>
                <c:pt idx="76">
                  <c:v>4658.4069024348519</c:v>
                </c:pt>
                <c:pt idx="77">
                  <c:v>4795.3895946476814</c:v>
                </c:pt>
                <c:pt idx="78">
                  <c:v>4916.6530694932153</c:v>
                </c:pt>
                <c:pt idx="79">
                  <c:v>5026.3409962905962</c:v>
                </c:pt>
                <c:pt idx="80">
                  <c:v>5152.635263902951</c:v>
                </c:pt>
                <c:pt idx="81">
                  <c:v>5267.949043414591</c:v>
                </c:pt>
                <c:pt idx="82">
                  <c:v>5389.433980979361</c:v>
                </c:pt>
                <c:pt idx="83">
                  <c:v>5506.9111637071892</c:v>
                </c:pt>
                <c:pt idx="84">
                  <c:v>5624.0574374668577</c:v>
                </c:pt>
                <c:pt idx="85">
                  <c:v>5735.665077051287</c:v>
                </c:pt>
                <c:pt idx="86">
                  <c:v>5856.4163869881249</c:v>
                </c:pt>
                <c:pt idx="87">
                  <c:v>5971.4466862705949</c:v>
                </c:pt>
                <c:pt idx="88">
                  <c:v>6099.6849620589219</c:v>
                </c:pt>
                <c:pt idx="89">
                  <c:v>6221.3789072241671</c:v>
                </c:pt>
                <c:pt idx="90">
                  <c:v>6336.37012659219</c:v>
                </c:pt>
                <c:pt idx="91">
                  <c:v>6461.8784886687163</c:v>
                </c:pt>
              </c:numCache>
            </c:numRef>
          </c:val>
          <c:smooth val="0"/>
          <c:extLst>
            <c:ext xmlns:c16="http://schemas.microsoft.com/office/drawing/2014/chart" uri="{C3380CC4-5D6E-409C-BE32-E72D297353CC}">
              <c16:uniqueId val="{00000003-03FD-4FCE-A0C5-E9FCA4D0C3DF}"/>
            </c:ext>
          </c:extLst>
        </c:ser>
        <c:ser>
          <c:idx val="4"/>
          <c:order val="4"/>
          <c:tx>
            <c:strRef>
              <c:f>'Fuel Vol and Credit Gen'!$A$100</c:f>
              <c:strCache>
                <c:ptCount val="1"/>
                <c:pt idx="0">
                  <c:v>Ethanol</c:v>
                </c:pt>
              </c:strCache>
            </c:strRef>
          </c:tx>
          <c:spPr>
            <a:ln w="22225" cap="rnd">
              <a:solidFill>
                <a:schemeClr val="accent5"/>
              </a:solidFill>
              <a:round/>
            </a:ln>
            <a:effectLst/>
          </c:spPr>
          <c:marker>
            <c:symbol val="none"/>
          </c:marker>
          <c:cat>
            <c:strRef>
              <c:f>'Fuel Vol and Credit Gen'!$B$95:$CO$95</c:f>
              <c:strCache>
                <c:ptCount val="92"/>
                <c:pt idx="0">
                  <c:v>2011 Q1</c:v>
                </c:pt>
                <c:pt idx="1">
                  <c:v>Q2</c:v>
                </c:pt>
                <c:pt idx="2">
                  <c:v>Q3</c:v>
                </c:pt>
                <c:pt idx="3">
                  <c:v>Q4</c:v>
                </c:pt>
                <c:pt idx="4">
                  <c:v>2012 Q1</c:v>
                </c:pt>
                <c:pt idx="5">
                  <c:v>Q2</c:v>
                </c:pt>
                <c:pt idx="6">
                  <c:v>Q3</c:v>
                </c:pt>
                <c:pt idx="7">
                  <c:v>Q4</c:v>
                </c:pt>
                <c:pt idx="8">
                  <c:v>2013 Q1</c:v>
                </c:pt>
                <c:pt idx="9">
                  <c:v>Q2</c:v>
                </c:pt>
                <c:pt idx="10">
                  <c:v>Q3</c:v>
                </c:pt>
                <c:pt idx="11">
                  <c:v>Q4</c:v>
                </c:pt>
                <c:pt idx="12">
                  <c:v>2014 Q1</c:v>
                </c:pt>
                <c:pt idx="13">
                  <c:v>Q2</c:v>
                </c:pt>
                <c:pt idx="14">
                  <c:v>Q3</c:v>
                </c:pt>
                <c:pt idx="15">
                  <c:v>Q4</c:v>
                </c:pt>
                <c:pt idx="16">
                  <c:v>2015 Q1</c:v>
                </c:pt>
                <c:pt idx="17">
                  <c:v>Q2</c:v>
                </c:pt>
                <c:pt idx="18">
                  <c:v>Q3</c:v>
                </c:pt>
                <c:pt idx="19">
                  <c:v>Q4</c:v>
                </c:pt>
                <c:pt idx="20">
                  <c:v>2016 Q1</c:v>
                </c:pt>
                <c:pt idx="21">
                  <c:v>Q2</c:v>
                </c:pt>
                <c:pt idx="22">
                  <c:v>Q3</c:v>
                </c:pt>
                <c:pt idx="23">
                  <c:v>Q4</c:v>
                </c:pt>
                <c:pt idx="24">
                  <c:v>2017 Q1</c:v>
                </c:pt>
                <c:pt idx="25">
                  <c:v>Q2</c:v>
                </c:pt>
                <c:pt idx="26">
                  <c:v>Q3</c:v>
                </c:pt>
                <c:pt idx="27">
                  <c:v>Q4</c:v>
                </c:pt>
                <c:pt idx="28">
                  <c:v>2018 Q1</c:v>
                </c:pt>
                <c:pt idx="29">
                  <c:v>Q2</c:v>
                </c:pt>
                <c:pt idx="30">
                  <c:v>Q3</c:v>
                </c:pt>
                <c:pt idx="31">
                  <c:v>Q4</c:v>
                </c:pt>
                <c:pt idx="32">
                  <c:v>2019 Q1</c:v>
                </c:pt>
                <c:pt idx="33">
                  <c:v>Q2</c:v>
                </c:pt>
                <c:pt idx="34">
                  <c:v>Q3</c:v>
                </c:pt>
                <c:pt idx="35">
                  <c:v>Q4</c:v>
                </c:pt>
                <c:pt idx="36">
                  <c:v>2020 Q1</c:v>
                </c:pt>
                <c:pt idx="37">
                  <c:v>Q2</c:v>
                </c:pt>
                <c:pt idx="38">
                  <c:v>Q3</c:v>
                </c:pt>
                <c:pt idx="39">
                  <c:v>Q4</c:v>
                </c:pt>
                <c:pt idx="40">
                  <c:v>2021 Q1</c:v>
                </c:pt>
                <c:pt idx="41">
                  <c:v>Q2</c:v>
                </c:pt>
                <c:pt idx="42">
                  <c:v>Q3</c:v>
                </c:pt>
                <c:pt idx="43">
                  <c:v>Q4</c:v>
                </c:pt>
                <c:pt idx="44">
                  <c:v>2022 Q1</c:v>
                </c:pt>
                <c:pt idx="45">
                  <c:v>Q2</c:v>
                </c:pt>
                <c:pt idx="46">
                  <c:v>Q3</c:v>
                </c:pt>
                <c:pt idx="47">
                  <c:v>Q4</c:v>
                </c:pt>
                <c:pt idx="48">
                  <c:v>2023 Q1</c:v>
                </c:pt>
                <c:pt idx="49">
                  <c:v>Q2</c:v>
                </c:pt>
                <c:pt idx="50">
                  <c:v>Q3</c:v>
                </c:pt>
                <c:pt idx="51">
                  <c:v>Q4</c:v>
                </c:pt>
                <c:pt idx="52">
                  <c:v>2024Q1</c:v>
                </c:pt>
                <c:pt idx="53">
                  <c:v>Q2</c:v>
                </c:pt>
                <c:pt idx="54">
                  <c:v>Q3</c:v>
                </c:pt>
                <c:pt idx="55">
                  <c:v>Q4</c:v>
                </c:pt>
                <c:pt idx="56">
                  <c:v>2025Q1</c:v>
                </c:pt>
                <c:pt idx="57">
                  <c:v>Q2</c:v>
                </c:pt>
                <c:pt idx="58">
                  <c:v>Q3</c:v>
                </c:pt>
                <c:pt idx="59">
                  <c:v>Q4</c:v>
                </c:pt>
                <c:pt idx="60">
                  <c:v>2026Q1</c:v>
                </c:pt>
                <c:pt idx="61">
                  <c:v>Q2</c:v>
                </c:pt>
                <c:pt idx="62">
                  <c:v>Q3</c:v>
                </c:pt>
                <c:pt idx="63">
                  <c:v>Q4</c:v>
                </c:pt>
                <c:pt idx="64">
                  <c:v>2027Q1</c:v>
                </c:pt>
                <c:pt idx="65">
                  <c:v>Q2</c:v>
                </c:pt>
                <c:pt idx="66">
                  <c:v>Q3</c:v>
                </c:pt>
                <c:pt idx="67">
                  <c:v>Q4</c:v>
                </c:pt>
                <c:pt idx="68">
                  <c:v>2028Q1</c:v>
                </c:pt>
                <c:pt idx="69">
                  <c:v>Q2</c:v>
                </c:pt>
                <c:pt idx="70">
                  <c:v>Q3</c:v>
                </c:pt>
                <c:pt idx="71">
                  <c:v>Q4</c:v>
                </c:pt>
                <c:pt idx="72">
                  <c:v>2029Q1</c:v>
                </c:pt>
                <c:pt idx="73">
                  <c:v>Q2</c:v>
                </c:pt>
                <c:pt idx="74">
                  <c:v>Q3</c:v>
                </c:pt>
                <c:pt idx="75">
                  <c:v>Q4</c:v>
                </c:pt>
                <c:pt idx="76">
                  <c:v>2030Q1</c:v>
                </c:pt>
                <c:pt idx="77">
                  <c:v>Q2</c:v>
                </c:pt>
                <c:pt idx="78">
                  <c:v>Q3</c:v>
                </c:pt>
                <c:pt idx="79">
                  <c:v>Q4</c:v>
                </c:pt>
                <c:pt idx="80">
                  <c:v>2031Q1</c:v>
                </c:pt>
                <c:pt idx="81">
                  <c:v>Q2</c:v>
                </c:pt>
                <c:pt idx="82">
                  <c:v>Q3</c:v>
                </c:pt>
                <c:pt idx="83">
                  <c:v>Q4</c:v>
                </c:pt>
                <c:pt idx="84">
                  <c:v>2032Q1</c:v>
                </c:pt>
                <c:pt idx="85">
                  <c:v>Q2</c:v>
                </c:pt>
                <c:pt idx="86">
                  <c:v>Q3</c:v>
                </c:pt>
                <c:pt idx="87">
                  <c:v>Q4</c:v>
                </c:pt>
                <c:pt idx="88">
                  <c:v>2033Q1</c:v>
                </c:pt>
                <c:pt idx="89">
                  <c:v>Q2</c:v>
                </c:pt>
                <c:pt idx="90">
                  <c:v>Q3</c:v>
                </c:pt>
                <c:pt idx="91">
                  <c:v>Q4</c:v>
                </c:pt>
              </c:strCache>
            </c:strRef>
          </c:cat>
          <c:val>
            <c:numRef>
              <c:f>'Fuel Vol and Credit Gen'!$B$100:$CO$100</c:f>
              <c:numCache>
                <c:formatCode>#,##0.0_);[Red]\(#,##0.0\)</c:formatCode>
                <c:ptCount val="92"/>
                <c:pt idx="0">
                  <c:v>217.91300000000001</c:v>
                </c:pt>
                <c:pt idx="1">
                  <c:v>252.55</c:v>
                </c:pt>
                <c:pt idx="2">
                  <c:v>282.18900000000002</c:v>
                </c:pt>
                <c:pt idx="3">
                  <c:v>270.90100000000001</c:v>
                </c:pt>
                <c:pt idx="4">
                  <c:v>261.26900000000001</c:v>
                </c:pt>
                <c:pt idx="5">
                  <c:v>264.61500000000001</c:v>
                </c:pt>
                <c:pt idx="6">
                  <c:v>358.459</c:v>
                </c:pt>
                <c:pt idx="7">
                  <c:v>334.75099999999998</c:v>
                </c:pt>
                <c:pt idx="8">
                  <c:v>446.34399999999999</c:v>
                </c:pt>
                <c:pt idx="9">
                  <c:v>439.63299999999998</c:v>
                </c:pt>
                <c:pt idx="10">
                  <c:v>586.90200000000004</c:v>
                </c:pt>
                <c:pt idx="11">
                  <c:v>510.99900000000002</c:v>
                </c:pt>
                <c:pt idx="12">
                  <c:v>459.238</c:v>
                </c:pt>
                <c:pt idx="13">
                  <c:v>551.33199999999999</c:v>
                </c:pt>
                <c:pt idx="14">
                  <c:v>528.43299999999999</c:v>
                </c:pt>
                <c:pt idx="15">
                  <c:v>491.88</c:v>
                </c:pt>
                <c:pt idx="16">
                  <c:v>473.209</c:v>
                </c:pt>
                <c:pt idx="17">
                  <c:v>504.54199999999997</c:v>
                </c:pt>
                <c:pt idx="18">
                  <c:v>538.51900000000001</c:v>
                </c:pt>
                <c:pt idx="19">
                  <c:v>608.48400000000004</c:v>
                </c:pt>
                <c:pt idx="20">
                  <c:v>836.62900000000002</c:v>
                </c:pt>
                <c:pt idx="21">
                  <c:v>857.16800000000001</c:v>
                </c:pt>
                <c:pt idx="22">
                  <c:v>919.75</c:v>
                </c:pt>
                <c:pt idx="23">
                  <c:v>905.83900000000006</c:v>
                </c:pt>
                <c:pt idx="24">
                  <c:v>783.03899999999999</c:v>
                </c:pt>
                <c:pt idx="25">
                  <c:v>856.95</c:v>
                </c:pt>
                <c:pt idx="26">
                  <c:v>931.601</c:v>
                </c:pt>
                <c:pt idx="27">
                  <c:v>916.63400000000001</c:v>
                </c:pt>
                <c:pt idx="28">
                  <c:v>776.33600000000001</c:v>
                </c:pt>
                <c:pt idx="29">
                  <c:v>775.94200000000001</c:v>
                </c:pt>
                <c:pt idx="30">
                  <c:v>949.94100000000003</c:v>
                </c:pt>
                <c:pt idx="31">
                  <c:v>956.31</c:v>
                </c:pt>
                <c:pt idx="32">
                  <c:v>946.61599999999999</c:v>
                </c:pt>
                <c:pt idx="33">
                  <c:v>1086.4449999999999</c:v>
                </c:pt>
                <c:pt idx="34">
                  <c:v>1169.325</c:v>
                </c:pt>
                <c:pt idx="35">
                  <c:v>1139.7460000000001</c:v>
                </c:pt>
                <c:pt idx="36">
                  <c:v>1045.797</c:v>
                </c:pt>
                <c:pt idx="37">
                  <c:v>648.93499999999995</c:v>
                </c:pt>
                <c:pt idx="38">
                  <c:v>1052.9079999999999</c:v>
                </c:pt>
                <c:pt idx="39">
                  <c:v>989.01499999999999</c:v>
                </c:pt>
                <c:pt idx="40">
                  <c:v>747.15</c:v>
                </c:pt>
                <c:pt idx="41">
                  <c:v>1006.898</c:v>
                </c:pt>
                <c:pt idx="42">
                  <c:v>1113.796</c:v>
                </c:pt>
                <c:pt idx="43">
                  <c:v>957.70799999999997</c:v>
                </c:pt>
                <c:pt idx="44">
                  <c:v>917.95</c:v>
                </c:pt>
                <c:pt idx="45">
                  <c:v>919.76700000000005</c:v>
                </c:pt>
                <c:pt idx="46">
                  <c:v>975.74599999999998</c:v>
                </c:pt>
                <c:pt idx="47">
                  <c:v>927.17700000000002</c:v>
                </c:pt>
                <c:pt idx="48">
                  <c:v>827.47199999999998</c:v>
                </c:pt>
                <c:pt idx="49">
                  <c:v>736.43600000000004</c:v>
                </c:pt>
                <c:pt idx="50">
                  <c:v>882.06200000000001</c:v>
                </c:pt>
                <c:pt idx="51">
                  <c:v>916.92600000000004</c:v>
                </c:pt>
                <c:pt idx="52">
                  <c:v>810.58100000000002</c:v>
                </c:pt>
                <c:pt idx="53">
                  <c:v>910.85299999999995</c:v>
                </c:pt>
                <c:pt idx="54">
                  <c:v>866.40599999999995</c:v>
                </c:pt>
                <c:pt idx="55">
                  <c:v>906.09305235575562</c:v>
                </c:pt>
                <c:pt idx="56">
                  <c:v>900.35584559094877</c:v>
                </c:pt>
                <c:pt idx="57">
                  <c:v>933.21305483336232</c:v>
                </c:pt>
                <c:pt idx="58">
                  <c:v>970.20957344730971</c:v>
                </c:pt>
                <c:pt idx="59">
                  <c:v>918.98274506998109</c:v>
                </c:pt>
                <c:pt idx="60">
                  <c:v>914.4577431154687</c:v>
                </c:pt>
                <c:pt idx="61">
                  <c:v>955.64261710095423</c:v>
                </c:pt>
                <c:pt idx="62">
                  <c:v>1004.8722990071601</c:v>
                </c:pt>
                <c:pt idx="63">
                  <c:v>931.49092581322634</c:v>
                </c:pt>
                <c:pt idx="64">
                  <c:v>918.94021254059953</c:v>
                </c:pt>
                <c:pt idx="65">
                  <c:v>952.44700998822827</c:v>
                </c:pt>
                <c:pt idx="66">
                  <c:v>986.86210126249614</c:v>
                </c:pt>
                <c:pt idx="67">
                  <c:v>919.74737944165383</c:v>
                </c:pt>
                <c:pt idx="68">
                  <c:v>907.50695610542527</c:v>
                </c:pt>
                <c:pt idx="69">
                  <c:v>939.66947859426193</c:v>
                </c:pt>
                <c:pt idx="70">
                  <c:v>981.89792228836109</c:v>
                </c:pt>
                <c:pt idx="71">
                  <c:v>908.60439230232862</c:v>
                </c:pt>
                <c:pt idx="72">
                  <c:v>895.23366636269759</c:v>
                </c:pt>
                <c:pt idx="73">
                  <c:v>931.82433288568791</c:v>
                </c:pt>
                <c:pt idx="74">
                  <c:v>974.75697476904452</c:v>
                </c:pt>
                <c:pt idx="75">
                  <c:v>902.35494000601807</c:v>
                </c:pt>
                <c:pt idx="76">
                  <c:v>890.13166705836784</c:v>
                </c:pt>
                <c:pt idx="77">
                  <c:v>929.74707445015622</c:v>
                </c:pt>
                <c:pt idx="78">
                  <c:v>974.42697307896185</c:v>
                </c:pt>
                <c:pt idx="79">
                  <c:v>904.04650510032207</c:v>
                </c:pt>
                <c:pt idx="80">
                  <c:v>895.99254540165145</c:v>
                </c:pt>
                <c:pt idx="81">
                  <c:v>934.52900695348626</c:v>
                </c:pt>
                <c:pt idx="82">
                  <c:v>980.30628958909881</c:v>
                </c:pt>
                <c:pt idx="83">
                  <c:v>911.24015268217158</c:v>
                </c:pt>
                <c:pt idx="84">
                  <c:v>900.57899641627284</c:v>
                </c:pt>
                <c:pt idx="85">
                  <c:v>939.35743877861319</c:v>
                </c:pt>
                <c:pt idx="86">
                  <c:v>981.82171888086145</c:v>
                </c:pt>
                <c:pt idx="87">
                  <c:v>914.36698605353286</c:v>
                </c:pt>
                <c:pt idx="88">
                  <c:v>902.89015981721548</c:v>
                </c:pt>
                <c:pt idx="89">
                  <c:v>940.40438744142068</c:v>
                </c:pt>
                <c:pt idx="90">
                  <c:v>983.47651655146956</c:v>
                </c:pt>
                <c:pt idx="91">
                  <c:v>913.62889999476738</c:v>
                </c:pt>
              </c:numCache>
            </c:numRef>
          </c:val>
          <c:smooth val="0"/>
          <c:extLst>
            <c:ext xmlns:c16="http://schemas.microsoft.com/office/drawing/2014/chart" uri="{C3380CC4-5D6E-409C-BE32-E72D297353CC}">
              <c16:uniqueId val="{00000004-03FD-4FCE-A0C5-E9FCA4D0C3DF}"/>
            </c:ext>
          </c:extLst>
        </c:ser>
        <c:ser>
          <c:idx val="6"/>
          <c:order val="6"/>
          <c:tx>
            <c:strRef>
              <c:f>'Fuel Vol and Credit Gen'!$A$102</c:f>
              <c:strCache>
                <c:ptCount val="1"/>
                <c:pt idx="0">
                  <c:v>Other (Hydrogen, SAF, Renewable Naphtha, Propane)</c:v>
                </c:pt>
              </c:strCache>
            </c:strRef>
          </c:tx>
          <c:spPr>
            <a:ln w="22225" cap="rnd">
              <a:solidFill>
                <a:schemeClr val="accent1">
                  <a:lumMod val="60000"/>
                </a:schemeClr>
              </a:solidFill>
              <a:round/>
            </a:ln>
            <a:effectLst/>
          </c:spPr>
          <c:marker>
            <c:symbol val="none"/>
          </c:marker>
          <c:cat>
            <c:strRef>
              <c:f>'Fuel Vol and Credit Gen'!$B$95:$CO$95</c:f>
              <c:strCache>
                <c:ptCount val="92"/>
                <c:pt idx="0">
                  <c:v>2011 Q1</c:v>
                </c:pt>
                <c:pt idx="1">
                  <c:v>Q2</c:v>
                </c:pt>
                <c:pt idx="2">
                  <c:v>Q3</c:v>
                </c:pt>
                <c:pt idx="3">
                  <c:v>Q4</c:v>
                </c:pt>
                <c:pt idx="4">
                  <c:v>2012 Q1</c:v>
                </c:pt>
                <c:pt idx="5">
                  <c:v>Q2</c:v>
                </c:pt>
                <c:pt idx="6">
                  <c:v>Q3</c:v>
                </c:pt>
                <c:pt idx="7">
                  <c:v>Q4</c:v>
                </c:pt>
                <c:pt idx="8">
                  <c:v>2013 Q1</c:v>
                </c:pt>
                <c:pt idx="9">
                  <c:v>Q2</c:v>
                </c:pt>
                <c:pt idx="10">
                  <c:v>Q3</c:v>
                </c:pt>
                <c:pt idx="11">
                  <c:v>Q4</c:v>
                </c:pt>
                <c:pt idx="12">
                  <c:v>2014 Q1</c:v>
                </c:pt>
                <c:pt idx="13">
                  <c:v>Q2</c:v>
                </c:pt>
                <c:pt idx="14">
                  <c:v>Q3</c:v>
                </c:pt>
                <c:pt idx="15">
                  <c:v>Q4</c:v>
                </c:pt>
                <c:pt idx="16">
                  <c:v>2015 Q1</c:v>
                </c:pt>
                <c:pt idx="17">
                  <c:v>Q2</c:v>
                </c:pt>
                <c:pt idx="18">
                  <c:v>Q3</c:v>
                </c:pt>
                <c:pt idx="19">
                  <c:v>Q4</c:v>
                </c:pt>
                <c:pt idx="20">
                  <c:v>2016 Q1</c:v>
                </c:pt>
                <c:pt idx="21">
                  <c:v>Q2</c:v>
                </c:pt>
                <c:pt idx="22">
                  <c:v>Q3</c:v>
                </c:pt>
                <c:pt idx="23">
                  <c:v>Q4</c:v>
                </c:pt>
                <c:pt idx="24">
                  <c:v>2017 Q1</c:v>
                </c:pt>
                <c:pt idx="25">
                  <c:v>Q2</c:v>
                </c:pt>
                <c:pt idx="26">
                  <c:v>Q3</c:v>
                </c:pt>
                <c:pt idx="27">
                  <c:v>Q4</c:v>
                </c:pt>
                <c:pt idx="28">
                  <c:v>2018 Q1</c:v>
                </c:pt>
                <c:pt idx="29">
                  <c:v>Q2</c:v>
                </c:pt>
                <c:pt idx="30">
                  <c:v>Q3</c:v>
                </c:pt>
                <c:pt idx="31">
                  <c:v>Q4</c:v>
                </c:pt>
                <c:pt idx="32">
                  <c:v>2019 Q1</c:v>
                </c:pt>
                <c:pt idx="33">
                  <c:v>Q2</c:v>
                </c:pt>
                <c:pt idx="34">
                  <c:v>Q3</c:v>
                </c:pt>
                <c:pt idx="35">
                  <c:v>Q4</c:v>
                </c:pt>
                <c:pt idx="36">
                  <c:v>2020 Q1</c:v>
                </c:pt>
                <c:pt idx="37">
                  <c:v>Q2</c:v>
                </c:pt>
                <c:pt idx="38">
                  <c:v>Q3</c:v>
                </c:pt>
                <c:pt idx="39">
                  <c:v>Q4</c:v>
                </c:pt>
                <c:pt idx="40">
                  <c:v>2021 Q1</c:v>
                </c:pt>
                <c:pt idx="41">
                  <c:v>Q2</c:v>
                </c:pt>
                <c:pt idx="42">
                  <c:v>Q3</c:v>
                </c:pt>
                <c:pt idx="43">
                  <c:v>Q4</c:v>
                </c:pt>
                <c:pt idx="44">
                  <c:v>2022 Q1</c:v>
                </c:pt>
                <c:pt idx="45">
                  <c:v>Q2</c:v>
                </c:pt>
                <c:pt idx="46">
                  <c:v>Q3</c:v>
                </c:pt>
                <c:pt idx="47">
                  <c:v>Q4</c:v>
                </c:pt>
                <c:pt idx="48">
                  <c:v>2023 Q1</c:v>
                </c:pt>
                <c:pt idx="49">
                  <c:v>Q2</c:v>
                </c:pt>
                <c:pt idx="50">
                  <c:v>Q3</c:v>
                </c:pt>
                <c:pt idx="51">
                  <c:v>Q4</c:v>
                </c:pt>
                <c:pt idx="52">
                  <c:v>2024Q1</c:v>
                </c:pt>
                <c:pt idx="53">
                  <c:v>Q2</c:v>
                </c:pt>
                <c:pt idx="54">
                  <c:v>Q3</c:v>
                </c:pt>
                <c:pt idx="55">
                  <c:v>Q4</c:v>
                </c:pt>
                <c:pt idx="56">
                  <c:v>2025Q1</c:v>
                </c:pt>
                <c:pt idx="57">
                  <c:v>Q2</c:v>
                </c:pt>
                <c:pt idx="58">
                  <c:v>Q3</c:v>
                </c:pt>
                <c:pt idx="59">
                  <c:v>Q4</c:v>
                </c:pt>
                <c:pt idx="60">
                  <c:v>2026Q1</c:v>
                </c:pt>
                <c:pt idx="61">
                  <c:v>Q2</c:v>
                </c:pt>
                <c:pt idx="62">
                  <c:v>Q3</c:v>
                </c:pt>
                <c:pt idx="63">
                  <c:v>Q4</c:v>
                </c:pt>
                <c:pt idx="64">
                  <c:v>2027Q1</c:v>
                </c:pt>
                <c:pt idx="65">
                  <c:v>Q2</c:v>
                </c:pt>
                <c:pt idx="66">
                  <c:v>Q3</c:v>
                </c:pt>
                <c:pt idx="67">
                  <c:v>Q4</c:v>
                </c:pt>
                <c:pt idx="68">
                  <c:v>2028Q1</c:v>
                </c:pt>
                <c:pt idx="69">
                  <c:v>Q2</c:v>
                </c:pt>
                <c:pt idx="70">
                  <c:v>Q3</c:v>
                </c:pt>
                <c:pt idx="71">
                  <c:v>Q4</c:v>
                </c:pt>
                <c:pt idx="72">
                  <c:v>2029Q1</c:v>
                </c:pt>
                <c:pt idx="73">
                  <c:v>Q2</c:v>
                </c:pt>
                <c:pt idx="74">
                  <c:v>Q3</c:v>
                </c:pt>
                <c:pt idx="75">
                  <c:v>Q4</c:v>
                </c:pt>
                <c:pt idx="76">
                  <c:v>2030Q1</c:v>
                </c:pt>
                <c:pt idx="77">
                  <c:v>Q2</c:v>
                </c:pt>
                <c:pt idx="78">
                  <c:v>Q3</c:v>
                </c:pt>
                <c:pt idx="79">
                  <c:v>Q4</c:v>
                </c:pt>
                <c:pt idx="80">
                  <c:v>2031Q1</c:v>
                </c:pt>
                <c:pt idx="81">
                  <c:v>Q2</c:v>
                </c:pt>
                <c:pt idx="82">
                  <c:v>Q3</c:v>
                </c:pt>
                <c:pt idx="83">
                  <c:v>Q4</c:v>
                </c:pt>
                <c:pt idx="84">
                  <c:v>2032Q1</c:v>
                </c:pt>
                <c:pt idx="85">
                  <c:v>Q2</c:v>
                </c:pt>
                <c:pt idx="86">
                  <c:v>Q3</c:v>
                </c:pt>
                <c:pt idx="87">
                  <c:v>Q4</c:v>
                </c:pt>
                <c:pt idx="88">
                  <c:v>2033Q1</c:v>
                </c:pt>
                <c:pt idx="89">
                  <c:v>Q2</c:v>
                </c:pt>
                <c:pt idx="90">
                  <c:v>Q3</c:v>
                </c:pt>
                <c:pt idx="91">
                  <c:v>Q4</c:v>
                </c:pt>
              </c:strCache>
            </c:strRef>
          </c:cat>
          <c:val>
            <c:numRef>
              <c:f>'Fuel Vol and Credit Gen'!$B$102:$CO$102</c:f>
              <c:numCache>
                <c:formatCode>#,##0.0_);[Red]\(#,##0.0\)</c:formatCode>
                <c:ptCount val="9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0.05</c:v>
                </c:pt>
                <c:pt idx="19">
                  <c:v>2.4E-2</c:v>
                </c:pt>
                <c:pt idx="20">
                  <c:v>3.3000000000000002E-2</c:v>
                </c:pt>
                <c:pt idx="21">
                  <c:v>2.8000000000000001E-2</c:v>
                </c:pt>
                <c:pt idx="22">
                  <c:v>1E-3</c:v>
                </c:pt>
                <c:pt idx="23">
                  <c:v>2E-3</c:v>
                </c:pt>
                <c:pt idx="24">
                  <c:v>0.56200000000000006</c:v>
                </c:pt>
                <c:pt idx="25">
                  <c:v>0.82</c:v>
                </c:pt>
                <c:pt idx="26">
                  <c:v>0.97</c:v>
                </c:pt>
                <c:pt idx="27">
                  <c:v>1.0840000000000001</c:v>
                </c:pt>
                <c:pt idx="28">
                  <c:v>1.4079999999999999</c:v>
                </c:pt>
                <c:pt idx="29">
                  <c:v>1.6639999999999999</c:v>
                </c:pt>
                <c:pt idx="30">
                  <c:v>1.7789999999999999</c:v>
                </c:pt>
                <c:pt idx="31">
                  <c:v>3.2149999999999999</c:v>
                </c:pt>
                <c:pt idx="32">
                  <c:v>3.278</c:v>
                </c:pt>
                <c:pt idx="33">
                  <c:v>11.507</c:v>
                </c:pt>
                <c:pt idx="34">
                  <c:v>11.101000000000001</c:v>
                </c:pt>
                <c:pt idx="35">
                  <c:v>10.750999999999999</c:v>
                </c:pt>
                <c:pt idx="36">
                  <c:v>11.679</c:v>
                </c:pt>
                <c:pt idx="37">
                  <c:v>18.238</c:v>
                </c:pt>
                <c:pt idx="38">
                  <c:v>30.584</c:v>
                </c:pt>
                <c:pt idx="39">
                  <c:v>22.382999999999999</c:v>
                </c:pt>
                <c:pt idx="40">
                  <c:v>34.609000000000002</c:v>
                </c:pt>
                <c:pt idx="41">
                  <c:v>48.704999999999998</c:v>
                </c:pt>
                <c:pt idx="42">
                  <c:v>40.729999999999997</c:v>
                </c:pt>
                <c:pt idx="43">
                  <c:v>54.22</c:v>
                </c:pt>
                <c:pt idx="44">
                  <c:v>49.396999999999998</c:v>
                </c:pt>
                <c:pt idx="45">
                  <c:v>82.061000000000007</c:v>
                </c:pt>
                <c:pt idx="46">
                  <c:v>61.154000000000003</c:v>
                </c:pt>
                <c:pt idx="47">
                  <c:v>48.884</c:v>
                </c:pt>
                <c:pt idx="48">
                  <c:v>67.891000000000005</c:v>
                </c:pt>
                <c:pt idx="49">
                  <c:v>87.224999999999994</c:v>
                </c:pt>
                <c:pt idx="50">
                  <c:v>87.501000000000005</c:v>
                </c:pt>
                <c:pt idx="51">
                  <c:v>83.159000000000006</c:v>
                </c:pt>
                <c:pt idx="52">
                  <c:v>104.371</c:v>
                </c:pt>
                <c:pt idx="53">
                  <c:v>166.029</c:v>
                </c:pt>
                <c:pt idx="54">
                  <c:v>166.96600000000001</c:v>
                </c:pt>
                <c:pt idx="55">
                  <c:v>81.860184497968703</c:v>
                </c:pt>
                <c:pt idx="56">
                  <c:v>187.16888621605719</c:v>
                </c:pt>
                <c:pt idx="57">
                  <c:v>220.21250956181154</c:v>
                </c:pt>
                <c:pt idx="58">
                  <c:v>279.23373622028816</c:v>
                </c:pt>
                <c:pt idx="59">
                  <c:v>130.65390294982188</c:v>
                </c:pt>
                <c:pt idx="60">
                  <c:v>587.94966864585922</c:v>
                </c:pt>
                <c:pt idx="61">
                  <c:v>671.05743554442574</c:v>
                </c:pt>
                <c:pt idx="62">
                  <c:v>901.18956531186507</c:v>
                </c:pt>
                <c:pt idx="63">
                  <c:v>280.08857323001808</c:v>
                </c:pt>
                <c:pt idx="64">
                  <c:v>1433.4978402140187</c:v>
                </c:pt>
                <c:pt idx="65">
                  <c:v>1649.1142563668159</c:v>
                </c:pt>
                <c:pt idx="66">
                  <c:v>2239.7533959702432</c:v>
                </c:pt>
                <c:pt idx="67">
                  <c:v>586.74422302981668</c:v>
                </c:pt>
                <c:pt idx="68">
                  <c:v>1862.2064618008096</c:v>
                </c:pt>
                <c:pt idx="69">
                  <c:v>2142.5185544360343</c:v>
                </c:pt>
                <c:pt idx="70">
                  <c:v>2911.30437950225</c:v>
                </c:pt>
                <c:pt idx="71">
                  <c:v>742.61246930451023</c:v>
                </c:pt>
                <c:pt idx="72">
                  <c:v>2221.5711062430387</c:v>
                </c:pt>
                <c:pt idx="73">
                  <c:v>2558.6895051189272</c:v>
                </c:pt>
                <c:pt idx="74">
                  <c:v>3479.3109950865587</c:v>
                </c:pt>
                <c:pt idx="75">
                  <c:v>867.17915960529751</c:v>
                </c:pt>
                <c:pt idx="76">
                  <c:v>2823.2409981660908</c:v>
                </c:pt>
                <c:pt idx="77">
                  <c:v>3235.8088426796353</c:v>
                </c:pt>
                <c:pt idx="78">
                  <c:v>4402.0002316276177</c:v>
                </c:pt>
                <c:pt idx="79">
                  <c:v>1084.4649979663302</c:v>
                </c:pt>
                <c:pt idx="80">
                  <c:v>3105.5751318762996</c:v>
                </c:pt>
                <c:pt idx="81">
                  <c:v>3559.6867600838705</c:v>
                </c:pt>
                <c:pt idx="82">
                  <c:v>4844.8726550584479</c:v>
                </c:pt>
                <c:pt idx="83">
                  <c:v>1195.4825103415014</c:v>
                </c:pt>
                <c:pt idx="84">
                  <c:v>3875.0054115887528</c:v>
                </c:pt>
                <c:pt idx="85">
                  <c:v>4436.648441478962</c:v>
                </c:pt>
                <c:pt idx="86">
                  <c:v>6042.4544055564156</c:v>
                </c:pt>
                <c:pt idx="87">
                  <c:v>1471.6027104330988</c:v>
                </c:pt>
                <c:pt idx="88">
                  <c:v>4144.9931867669548</c:v>
                </c:pt>
                <c:pt idx="89">
                  <c:v>4749.585708399226</c:v>
                </c:pt>
                <c:pt idx="90">
                  <c:v>6469.5449650135897</c:v>
                </c:pt>
                <c:pt idx="91">
                  <c:v>1573.8554406687856</c:v>
                </c:pt>
              </c:numCache>
            </c:numRef>
          </c:val>
          <c:smooth val="0"/>
          <c:extLst>
            <c:ext xmlns:c16="http://schemas.microsoft.com/office/drawing/2014/chart" uri="{C3380CC4-5D6E-409C-BE32-E72D297353CC}">
              <c16:uniqueId val="{00000005-03FD-4FCE-A0C5-E9FCA4D0C3DF}"/>
            </c:ext>
          </c:extLst>
        </c:ser>
        <c:dLbls>
          <c:showLegendKey val="0"/>
          <c:showVal val="0"/>
          <c:showCatName val="0"/>
          <c:showSerName val="0"/>
          <c:showPercent val="0"/>
          <c:showBubbleSize val="0"/>
        </c:dLbls>
        <c:marker val="1"/>
        <c:smooth val="0"/>
        <c:axId val="1294682584"/>
        <c:axId val="1294682256"/>
      </c:lineChart>
      <c:lineChart>
        <c:grouping val="standard"/>
        <c:varyColors val="0"/>
        <c:ser>
          <c:idx val="5"/>
          <c:order val="5"/>
          <c:tx>
            <c:strRef>
              <c:f>'Fuel Vol and Credit Gen'!$A$101</c:f>
              <c:strCache>
                <c:ptCount val="1"/>
                <c:pt idx="0">
                  <c:v>Renewable Diesel</c:v>
                </c:pt>
              </c:strCache>
            </c:strRef>
          </c:tx>
          <c:spPr>
            <a:ln w="22225" cap="rnd">
              <a:solidFill>
                <a:schemeClr val="accent6"/>
              </a:solidFill>
              <a:round/>
            </a:ln>
            <a:effectLst/>
          </c:spPr>
          <c:marker>
            <c:symbol val="none"/>
          </c:marker>
          <c:cat>
            <c:strRef>
              <c:f>'Fuel Vol and Credit Gen'!$B$95:$AW$95</c:f>
              <c:strCache>
                <c:ptCount val="48"/>
                <c:pt idx="0">
                  <c:v>2011 Q1</c:v>
                </c:pt>
                <c:pt idx="1">
                  <c:v>Q2</c:v>
                </c:pt>
                <c:pt idx="2">
                  <c:v>Q3</c:v>
                </c:pt>
                <c:pt idx="3">
                  <c:v>Q4</c:v>
                </c:pt>
                <c:pt idx="4">
                  <c:v>2012 Q1</c:v>
                </c:pt>
                <c:pt idx="5">
                  <c:v>Q2</c:v>
                </c:pt>
                <c:pt idx="6">
                  <c:v>Q3</c:v>
                </c:pt>
                <c:pt idx="7">
                  <c:v>Q4</c:v>
                </c:pt>
                <c:pt idx="8">
                  <c:v>2013 Q1</c:v>
                </c:pt>
                <c:pt idx="9">
                  <c:v>Q2</c:v>
                </c:pt>
                <c:pt idx="10">
                  <c:v>Q3</c:v>
                </c:pt>
                <c:pt idx="11">
                  <c:v>Q4</c:v>
                </c:pt>
                <c:pt idx="12">
                  <c:v>2014 Q1</c:v>
                </c:pt>
                <c:pt idx="13">
                  <c:v>Q2</c:v>
                </c:pt>
                <c:pt idx="14">
                  <c:v>Q3</c:v>
                </c:pt>
                <c:pt idx="15">
                  <c:v>Q4</c:v>
                </c:pt>
                <c:pt idx="16">
                  <c:v>2015 Q1</c:v>
                </c:pt>
                <c:pt idx="17">
                  <c:v>Q2</c:v>
                </c:pt>
                <c:pt idx="18">
                  <c:v>Q3</c:v>
                </c:pt>
                <c:pt idx="19">
                  <c:v>Q4</c:v>
                </c:pt>
                <c:pt idx="20">
                  <c:v>2016 Q1</c:v>
                </c:pt>
                <c:pt idx="21">
                  <c:v>Q2</c:v>
                </c:pt>
                <c:pt idx="22">
                  <c:v>Q3</c:v>
                </c:pt>
                <c:pt idx="23">
                  <c:v>Q4</c:v>
                </c:pt>
                <c:pt idx="24">
                  <c:v>2017 Q1</c:v>
                </c:pt>
                <c:pt idx="25">
                  <c:v>Q2</c:v>
                </c:pt>
                <c:pt idx="26">
                  <c:v>Q3</c:v>
                </c:pt>
                <c:pt idx="27">
                  <c:v>Q4</c:v>
                </c:pt>
                <c:pt idx="28">
                  <c:v>2018 Q1</c:v>
                </c:pt>
                <c:pt idx="29">
                  <c:v>Q2</c:v>
                </c:pt>
                <c:pt idx="30">
                  <c:v>Q3</c:v>
                </c:pt>
                <c:pt idx="31">
                  <c:v>Q4</c:v>
                </c:pt>
                <c:pt idx="32">
                  <c:v>2019 Q1</c:v>
                </c:pt>
                <c:pt idx="33">
                  <c:v>Q2</c:v>
                </c:pt>
                <c:pt idx="34">
                  <c:v>Q3</c:v>
                </c:pt>
                <c:pt idx="35">
                  <c:v>Q4</c:v>
                </c:pt>
                <c:pt idx="36">
                  <c:v>2020 Q1</c:v>
                </c:pt>
                <c:pt idx="37">
                  <c:v>Q2</c:v>
                </c:pt>
                <c:pt idx="38">
                  <c:v>Q3</c:v>
                </c:pt>
                <c:pt idx="39">
                  <c:v>Q4</c:v>
                </c:pt>
                <c:pt idx="40">
                  <c:v>2021 Q1</c:v>
                </c:pt>
                <c:pt idx="41">
                  <c:v>Q2</c:v>
                </c:pt>
                <c:pt idx="42">
                  <c:v>Q3</c:v>
                </c:pt>
                <c:pt idx="43">
                  <c:v>Q4</c:v>
                </c:pt>
                <c:pt idx="44">
                  <c:v>2022 Q1</c:v>
                </c:pt>
                <c:pt idx="45">
                  <c:v>Q2</c:v>
                </c:pt>
                <c:pt idx="46">
                  <c:v>Q3</c:v>
                </c:pt>
                <c:pt idx="47">
                  <c:v>Q4</c:v>
                </c:pt>
              </c:strCache>
            </c:strRef>
          </c:cat>
          <c:val>
            <c:numRef>
              <c:f>'Fuel Vol and Credit Gen'!$B$101:$CO$101</c:f>
              <c:numCache>
                <c:formatCode>#,##0.0_);[Red]\(#,##0.0\)</c:formatCode>
                <c:ptCount val="92"/>
                <c:pt idx="0">
                  <c:v>3.07</c:v>
                </c:pt>
                <c:pt idx="1">
                  <c:v>3.3679999999999999</c:v>
                </c:pt>
                <c:pt idx="2">
                  <c:v>4.3620000000000001</c:v>
                </c:pt>
                <c:pt idx="3">
                  <c:v>6.22</c:v>
                </c:pt>
                <c:pt idx="4">
                  <c:v>6.7009999999999996</c:v>
                </c:pt>
                <c:pt idx="5">
                  <c:v>6.8040000000000003</c:v>
                </c:pt>
                <c:pt idx="6">
                  <c:v>7.9379999999999997</c:v>
                </c:pt>
                <c:pt idx="7">
                  <c:v>51.216000000000001</c:v>
                </c:pt>
                <c:pt idx="8">
                  <c:v>64.444999999999993</c:v>
                </c:pt>
                <c:pt idx="9">
                  <c:v>178.29300000000001</c:v>
                </c:pt>
                <c:pt idx="10">
                  <c:v>288.99799999999999</c:v>
                </c:pt>
                <c:pt idx="11">
                  <c:v>258.19299999999998</c:v>
                </c:pt>
                <c:pt idx="12">
                  <c:v>192.40700000000001</c:v>
                </c:pt>
                <c:pt idx="13">
                  <c:v>211.00399999999999</c:v>
                </c:pt>
                <c:pt idx="14">
                  <c:v>260.52199999999999</c:v>
                </c:pt>
                <c:pt idx="15">
                  <c:v>181.04599999999999</c:v>
                </c:pt>
                <c:pt idx="16">
                  <c:v>204.352</c:v>
                </c:pt>
                <c:pt idx="17">
                  <c:v>240.167</c:v>
                </c:pt>
                <c:pt idx="18">
                  <c:v>298.59100000000001</c:v>
                </c:pt>
                <c:pt idx="19">
                  <c:v>295.06099999999998</c:v>
                </c:pt>
                <c:pt idx="20">
                  <c:v>274.56799999999998</c:v>
                </c:pt>
                <c:pt idx="21">
                  <c:v>670.55899999999997</c:v>
                </c:pt>
                <c:pt idx="22">
                  <c:v>577.58600000000001</c:v>
                </c:pt>
                <c:pt idx="23">
                  <c:v>718.50400000000002</c:v>
                </c:pt>
                <c:pt idx="24">
                  <c:v>610.65200000000004</c:v>
                </c:pt>
                <c:pt idx="25">
                  <c:v>835.625</c:v>
                </c:pt>
                <c:pt idx="26">
                  <c:v>844.15899999999999</c:v>
                </c:pt>
                <c:pt idx="27">
                  <c:v>676.29399999999998</c:v>
                </c:pt>
                <c:pt idx="28">
                  <c:v>822.71100000000001</c:v>
                </c:pt>
                <c:pt idx="29">
                  <c:v>904.125</c:v>
                </c:pt>
                <c:pt idx="30">
                  <c:v>684.77300000000002</c:v>
                </c:pt>
                <c:pt idx="31">
                  <c:v>1073.7819999999999</c:v>
                </c:pt>
                <c:pt idx="32">
                  <c:v>1195.556</c:v>
                </c:pt>
                <c:pt idx="33">
                  <c:v>1245.7460000000001</c:v>
                </c:pt>
                <c:pt idx="34">
                  <c:v>1056.3050000000001</c:v>
                </c:pt>
                <c:pt idx="35">
                  <c:v>1282.92</c:v>
                </c:pt>
                <c:pt idx="36">
                  <c:v>1033.279</c:v>
                </c:pt>
                <c:pt idx="37">
                  <c:v>1141.0740000000001</c:v>
                </c:pt>
                <c:pt idx="38">
                  <c:v>1104.97</c:v>
                </c:pt>
                <c:pt idx="39">
                  <c:v>1291.9770000000001</c:v>
                </c:pt>
                <c:pt idx="40">
                  <c:v>1432.6469999999999</c:v>
                </c:pt>
                <c:pt idx="41">
                  <c:v>1503.7339999999999</c:v>
                </c:pt>
                <c:pt idx="42">
                  <c:v>1724.2360000000001</c:v>
                </c:pt>
                <c:pt idx="43">
                  <c:v>1895.846</c:v>
                </c:pt>
                <c:pt idx="44">
                  <c:v>2222.87</c:v>
                </c:pt>
                <c:pt idx="45">
                  <c:v>2447.0509999999999</c:v>
                </c:pt>
                <c:pt idx="46">
                  <c:v>2389.8029999999999</c:v>
                </c:pt>
                <c:pt idx="47">
                  <c:v>2557.2109999999998</c:v>
                </c:pt>
                <c:pt idx="48">
                  <c:v>2504.078</c:v>
                </c:pt>
                <c:pt idx="49">
                  <c:v>2847.1610000000001</c:v>
                </c:pt>
                <c:pt idx="50">
                  <c:v>3182.5010000000002</c:v>
                </c:pt>
                <c:pt idx="51">
                  <c:v>3395.1120000000001</c:v>
                </c:pt>
                <c:pt idx="52">
                  <c:v>3149.54</c:v>
                </c:pt>
                <c:pt idx="53">
                  <c:v>3492.9340000000002</c:v>
                </c:pt>
                <c:pt idx="54">
                  <c:v>3875.4050000000002</c:v>
                </c:pt>
                <c:pt idx="55">
                  <c:v>3474.0230076604789</c:v>
                </c:pt>
                <c:pt idx="56">
                  <c:v>2756.9240458533536</c:v>
                </c:pt>
                <c:pt idx="57">
                  <c:v>2793.1189061531281</c:v>
                </c:pt>
                <c:pt idx="58">
                  <c:v>3506.33404188637</c:v>
                </c:pt>
                <c:pt idx="59">
                  <c:v>3247.9580767375478</c:v>
                </c:pt>
                <c:pt idx="60">
                  <c:v>2724.1667105000306</c:v>
                </c:pt>
                <c:pt idx="61">
                  <c:v>2973.1594002919765</c:v>
                </c:pt>
                <c:pt idx="62">
                  <c:v>3079.8110989782617</c:v>
                </c:pt>
                <c:pt idx="63">
                  <c:v>3573.3349338669254</c:v>
                </c:pt>
                <c:pt idx="64">
                  <c:v>2902.8229942377661</c:v>
                </c:pt>
                <c:pt idx="65">
                  <c:v>3178.6743539646868</c:v>
                </c:pt>
                <c:pt idx="66">
                  <c:v>3281.7877093463026</c:v>
                </c:pt>
                <c:pt idx="67">
                  <c:v>3850.0620823832278</c:v>
                </c:pt>
                <c:pt idx="68">
                  <c:v>2742.4392233245944</c:v>
                </c:pt>
                <c:pt idx="69">
                  <c:v>2966.4680362122999</c:v>
                </c:pt>
                <c:pt idx="70">
                  <c:v>3172.288980330738</c:v>
                </c:pt>
                <c:pt idx="71">
                  <c:v>3651.5279162390598</c:v>
                </c:pt>
                <c:pt idx="72">
                  <c:v>2780.378613044606</c:v>
                </c:pt>
                <c:pt idx="73">
                  <c:v>2992.6708624428038</c:v>
                </c:pt>
                <c:pt idx="74">
                  <c:v>3189.6958507544423</c:v>
                </c:pt>
                <c:pt idx="75">
                  <c:v>3646.8010229832303</c:v>
                </c:pt>
                <c:pt idx="76">
                  <c:v>2859.9703291270207</c:v>
                </c:pt>
                <c:pt idx="77">
                  <c:v>3083.2785949517856</c:v>
                </c:pt>
                <c:pt idx="78">
                  <c:v>3204.0220391424709</c:v>
                </c:pt>
                <c:pt idx="79">
                  <c:v>3830.8728829032339</c:v>
                </c:pt>
                <c:pt idx="80">
                  <c:v>3009.7100970781057</c:v>
                </c:pt>
                <c:pt idx="81">
                  <c:v>3296.1348833645798</c:v>
                </c:pt>
                <c:pt idx="82">
                  <c:v>3162.9447399037726</c:v>
                </c:pt>
                <c:pt idx="83">
                  <c:v>4105.2954952768141</c:v>
                </c:pt>
                <c:pt idx="84">
                  <c:v>3416.9935707273298</c:v>
                </c:pt>
                <c:pt idx="85">
                  <c:v>3790.3655984110101</c:v>
                </c:pt>
                <c:pt idx="86">
                  <c:v>2948.7971251852136</c:v>
                </c:pt>
                <c:pt idx="87">
                  <c:v>4786.7185390379173</c:v>
                </c:pt>
                <c:pt idx="88">
                  <c:v>3403.9083671925118</c:v>
                </c:pt>
                <c:pt idx="89">
                  <c:v>3770.9056432463358</c:v>
                </c:pt>
                <c:pt idx="90">
                  <c:v>3009.996216674584</c:v>
                </c:pt>
                <c:pt idx="91">
                  <c:v>4762.2550325168468</c:v>
                </c:pt>
              </c:numCache>
            </c:numRef>
          </c:val>
          <c:smooth val="0"/>
          <c:extLst>
            <c:ext xmlns:c16="http://schemas.microsoft.com/office/drawing/2014/chart" uri="{C3380CC4-5D6E-409C-BE32-E72D297353CC}">
              <c16:uniqueId val="{00000006-03FD-4FCE-A0C5-E9FCA4D0C3DF}"/>
            </c:ext>
          </c:extLst>
        </c:ser>
        <c:dLbls>
          <c:showLegendKey val="0"/>
          <c:showVal val="0"/>
          <c:showCatName val="0"/>
          <c:showSerName val="0"/>
          <c:showPercent val="0"/>
          <c:showBubbleSize val="0"/>
        </c:dLbls>
        <c:marker val="1"/>
        <c:smooth val="0"/>
        <c:axId val="507973167"/>
        <c:axId val="507970871"/>
      </c:lineChart>
      <c:catAx>
        <c:axId val="1294682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294682256"/>
        <c:crosses val="autoZero"/>
        <c:auto val="1"/>
        <c:lblAlgn val="ctr"/>
        <c:lblOffset val="100"/>
        <c:noMultiLvlLbl val="0"/>
      </c:catAx>
      <c:valAx>
        <c:axId val="1294682256"/>
        <c:scaling>
          <c:orientation val="minMax"/>
        </c:scaling>
        <c:delete val="0"/>
        <c:axPos val="l"/>
        <c:majorGridlines>
          <c:spPr>
            <a:ln w="9525" cap="flat" cmpd="sng" algn="ctr">
              <a:solidFill>
                <a:schemeClr val="bg1">
                  <a:lumMod val="65000"/>
                </a:schemeClr>
              </a:solidFill>
              <a:round/>
            </a:ln>
            <a:effectLst/>
          </c:spPr>
        </c:majorGridlines>
        <c:title>
          <c:tx>
            <c:rich>
              <a:bodyPr rot="-5400000" spcFirstLastPara="1" vertOverflow="ellipsis" vert="horz" wrap="square" anchor="ctr" anchorCtr="1"/>
              <a:lstStyle/>
              <a:p>
                <a:pPr>
                  <a:defRPr sz="12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a:t>(000</a:t>
                </a:r>
                <a:r>
                  <a:rPr lang="en-US" baseline="0"/>
                  <a:t> tonnes)</a:t>
                </a:r>
                <a:endParaRPr lang="en-US"/>
              </a:p>
            </c:rich>
          </c:tx>
          <c:overlay val="0"/>
          <c:spPr>
            <a:noFill/>
            <a:ln>
              <a:noFill/>
            </a:ln>
            <a:effectLst/>
          </c:spPr>
          <c:txPr>
            <a:bodyPr rot="-5400000" spcFirstLastPara="1" vertOverflow="ellipsis" vert="horz" wrap="square" anchor="ctr" anchorCtr="1"/>
            <a:lstStyle/>
            <a:p>
              <a:pPr>
                <a:defRPr sz="12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294682584"/>
        <c:crosses val="autoZero"/>
        <c:crossBetween val="between"/>
      </c:valAx>
      <c:valAx>
        <c:axId val="507970871"/>
        <c:scaling>
          <c:orientation val="minMax"/>
        </c:scaling>
        <c:delete val="0"/>
        <c:axPos val="r"/>
        <c:title>
          <c:tx>
            <c:rich>
              <a:bodyPr rot="-5400000" spcFirstLastPara="1" vertOverflow="ellipsis" vert="horz" wrap="square" anchor="ctr" anchorCtr="1"/>
              <a:lstStyle/>
              <a:p>
                <a:pPr>
                  <a:defRPr sz="12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a:t>Renewable</a:t>
                </a:r>
                <a:r>
                  <a:rPr lang="en-US" baseline="0"/>
                  <a:t> Diesel (000 tonnes)</a:t>
                </a:r>
                <a:endParaRPr lang="en-US"/>
              </a:p>
            </c:rich>
          </c:tx>
          <c:overlay val="0"/>
          <c:spPr>
            <a:noFill/>
            <a:ln>
              <a:noFill/>
            </a:ln>
            <a:effectLst/>
          </c:spPr>
          <c:txPr>
            <a:bodyPr rot="-5400000" spcFirstLastPara="1" vertOverflow="ellipsis" vert="horz" wrap="square" anchor="ctr" anchorCtr="1"/>
            <a:lstStyle/>
            <a:p>
              <a:pPr>
                <a:defRPr sz="12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_);[Red]\(#,##0\)" sourceLinked="0"/>
        <c:majorTickMark val="out"/>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507973167"/>
        <c:crosses val="max"/>
        <c:crossBetween val="between"/>
      </c:valAx>
      <c:catAx>
        <c:axId val="507973167"/>
        <c:scaling>
          <c:orientation val="minMax"/>
        </c:scaling>
        <c:delete val="1"/>
        <c:axPos val="b"/>
        <c:numFmt formatCode="General" sourceLinked="1"/>
        <c:majorTickMark val="out"/>
        <c:minorTickMark val="none"/>
        <c:tickLblPos val="nextTo"/>
        <c:crossAx val="507970871"/>
        <c:crosses val="autoZero"/>
        <c:auto val="1"/>
        <c:lblAlgn val="ctr"/>
        <c:lblOffset val="100"/>
        <c:noMultiLvlLbl val="0"/>
      </c:catAx>
      <c:spPr>
        <a:noFill/>
        <a:ln>
          <a:solidFill>
            <a:srgbClr val="5D803B"/>
          </a:solidFill>
        </a:ln>
        <a:effectLst/>
      </c:spPr>
    </c:plotArea>
    <c:legend>
      <c:legendPos val="b"/>
      <c:layout>
        <c:manualLayout>
          <c:xMode val="edge"/>
          <c:yMode val="edge"/>
          <c:x val="0.73776426967422293"/>
          <c:y val="0.27179931712075811"/>
          <c:w val="0.24375132939394395"/>
          <c:h val="0.63529528720414374"/>
        </c:manualLayout>
      </c:layout>
      <c:overlay val="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noFill/>
      <a:round/>
    </a:ln>
    <a:effectLst/>
  </c:spPr>
  <c:txPr>
    <a:bodyPr/>
    <a:lstStyle/>
    <a:p>
      <a:pPr>
        <a:defRPr sz="1200" b="1">
          <a:solidFill>
            <a:sysClr val="windowText" lastClr="000000"/>
          </a:solidFill>
          <a:latin typeface="Arial" panose="020B0604020202020204" pitchFamily="34" charset="0"/>
          <a:cs typeface="Arial" panose="020B0604020202020204" pitchFamily="34" charset="0"/>
        </a:defRPr>
      </a:pPr>
      <a:endParaRPr lang="en-US"/>
    </a:p>
  </c:txPr>
  <c:userShapes r:id="rId3"/>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2800"/>
            </a:pPr>
            <a:r>
              <a:rPr lang="en-US" sz="2800"/>
              <a:t>Credit Generation by Feedstock</a:t>
            </a:r>
          </a:p>
        </c:rich>
      </c:tx>
      <c:overlay val="0"/>
    </c:title>
    <c:autoTitleDeleted val="0"/>
    <c:plotArea>
      <c:layout>
        <c:manualLayout>
          <c:layoutTarget val="inner"/>
          <c:xMode val="edge"/>
          <c:yMode val="edge"/>
          <c:x val="8.1932078560255653E-2"/>
          <c:y val="0.10412225151479536"/>
          <c:w val="0.89097505934625709"/>
          <c:h val="0.78817280114744959"/>
        </c:manualLayout>
      </c:layout>
      <c:barChart>
        <c:barDir val="col"/>
        <c:grouping val="stacked"/>
        <c:varyColors val="0"/>
        <c:ser>
          <c:idx val="6"/>
          <c:order val="0"/>
          <c:tx>
            <c:strRef>
              <c:f>'Biofuel Feedstocks'!$A$38</c:f>
              <c:strCache>
                <c:ptCount val="1"/>
                <c:pt idx="0">
                  <c:v>UCO</c:v>
                </c:pt>
              </c:strCache>
            </c:strRef>
          </c:tx>
          <c:spPr>
            <a:ln>
              <a:solidFill>
                <a:schemeClr val="tx1"/>
              </a:solidFill>
            </a:ln>
          </c:spPr>
          <c:invertIfNegative val="0"/>
          <c:cat>
            <c:numRef>
              <c:extLst>
                <c:ext xmlns:c15="http://schemas.microsoft.com/office/drawing/2012/chart" uri="{02D57815-91ED-43cb-92C2-25804820EDAC}">
                  <c15:fullRef>
                    <c15:sqref>'Biofuel Feedstocks'!$AL$31:$BH$31</c15:sqref>
                  </c15:fullRef>
                </c:ext>
              </c:extLst>
              <c:f>('Biofuel Feedstocks'!$AL$31,'Biofuel Feedstocks'!$AQ$31:$BH$31)</c:f>
              <c:numCache>
                <c:formatCode>General</c:formatCode>
                <c:ptCount val="18"/>
                <c:pt idx="0">
                  <c:v>2016</c:v>
                </c:pt>
                <c:pt idx="1">
                  <c:v>2017</c:v>
                </c:pt>
                <c:pt idx="2">
                  <c:v>2018</c:v>
                </c:pt>
                <c:pt idx="3">
                  <c:v>2019</c:v>
                </c:pt>
                <c:pt idx="4">
                  <c:v>2020</c:v>
                </c:pt>
                <c:pt idx="5">
                  <c:v>2021</c:v>
                </c:pt>
                <c:pt idx="6">
                  <c:v>2022</c:v>
                </c:pt>
                <c:pt idx="7">
                  <c:v>2023</c:v>
                </c:pt>
                <c:pt idx="8">
                  <c:v>2024</c:v>
                </c:pt>
                <c:pt idx="9">
                  <c:v>2025</c:v>
                </c:pt>
                <c:pt idx="10">
                  <c:v>2026</c:v>
                </c:pt>
                <c:pt idx="11">
                  <c:v>2027</c:v>
                </c:pt>
                <c:pt idx="12">
                  <c:v>2028</c:v>
                </c:pt>
                <c:pt idx="13">
                  <c:v>2029</c:v>
                </c:pt>
                <c:pt idx="14">
                  <c:v>2030</c:v>
                </c:pt>
                <c:pt idx="15">
                  <c:v>2031</c:v>
                </c:pt>
                <c:pt idx="16">
                  <c:v>2032</c:v>
                </c:pt>
                <c:pt idx="17">
                  <c:v>2033</c:v>
                </c:pt>
              </c:numCache>
            </c:numRef>
          </c:cat>
          <c:val>
            <c:numRef>
              <c:extLst>
                <c:ext xmlns:c15="http://schemas.microsoft.com/office/drawing/2012/chart" uri="{02D57815-91ED-43cb-92C2-25804820EDAC}">
                  <c15:fullRef>
                    <c15:sqref>'Biofuel Feedstocks'!$AL$38:$BH$38</c15:sqref>
                  </c15:fullRef>
                </c:ext>
              </c:extLst>
              <c:f>('Biofuel Feedstocks'!$AL$38,'Biofuel Feedstocks'!$AQ$38:$BH$38)</c:f>
              <c:numCache>
                <c:formatCode>#,##0.00_);[Red]\(#,##0.00\)</c:formatCode>
                <c:ptCount val="18"/>
                <c:pt idx="0">
                  <c:v>0.82467400000000002</c:v>
                </c:pt>
                <c:pt idx="1">
                  <c:v>1.4862230000000001</c:v>
                </c:pt>
                <c:pt idx="2">
                  <c:v>1.6070040000000001</c:v>
                </c:pt>
                <c:pt idx="3">
                  <c:v>2.6089850000000001</c:v>
                </c:pt>
                <c:pt idx="4">
                  <c:v>2.7197939999999998</c:v>
                </c:pt>
                <c:pt idx="5">
                  <c:v>3.3120020000000001</c:v>
                </c:pt>
                <c:pt idx="6">
                  <c:v>4.1215650000000004</c:v>
                </c:pt>
                <c:pt idx="7">
                  <c:v>4.629715</c:v>
                </c:pt>
                <c:pt idx="8">
                  <c:v>1.640296</c:v>
                </c:pt>
                <c:pt idx="9">
                  <c:v>4.2477350372103668</c:v>
                </c:pt>
                <c:pt idx="10">
                  <c:v>4.2177328973896548</c:v>
                </c:pt>
                <c:pt idx="11">
                  <c:v>4.212968573542943</c:v>
                </c:pt>
                <c:pt idx="12">
                  <c:v>4.346682323554842</c:v>
                </c:pt>
                <c:pt idx="13">
                  <c:v>4.1762534120182018</c:v>
                </c:pt>
                <c:pt idx="14">
                  <c:v>4.2668586663547865</c:v>
                </c:pt>
                <c:pt idx="15">
                  <c:v>4.2638567468159856</c:v>
                </c:pt>
                <c:pt idx="16">
                  <c:v>4.2725663115854013</c:v>
                </c:pt>
                <c:pt idx="17">
                  <c:v>4.291513842909743</c:v>
                </c:pt>
              </c:numCache>
            </c:numRef>
          </c:val>
          <c:extLst>
            <c:ext xmlns:c16="http://schemas.microsoft.com/office/drawing/2014/chart" uri="{C3380CC4-5D6E-409C-BE32-E72D297353CC}">
              <c16:uniqueId val="{00000000-4D27-4F65-8F71-24A0AB7E83FF}"/>
            </c:ext>
          </c:extLst>
        </c:ser>
        <c:ser>
          <c:idx val="5"/>
          <c:order val="1"/>
          <c:tx>
            <c:strRef>
              <c:f>'Biofuel Feedstocks'!$A$37</c:f>
              <c:strCache>
                <c:ptCount val="1"/>
                <c:pt idx="0">
                  <c:v>Tallow</c:v>
                </c:pt>
              </c:strCache>
            </c:strRef>
          </c:tx>
          <c:spPr>
            <a:ln>
              <a:solidFill>
                <a:schemeClr val="tx1"/>
              </a:solidFill>
            </a:ln>
          </c:spPr>
          <c:invertIfNegative val="0"/>
          <c:cat>
            <c:numRef>
              <c:extLst>
                <c:ext xmlns:c15="http://schemas.microsoft.com/office/drawing/2012/chart" uri="{02D57815-91ED-43cb-92C2-25804820EDAC}">
                  <c15:fullRef>
                    <c15:sqref>'Biofuel Feedstocks'!$AL$31:$BH$31</c15:sqref>
                  </c15:fullRef>
                </c:ext>
              </c:extLst>
              <c:f>('Biofuel Feedstocks'!$AL$31,'Biofuel Feedstocks'!$AQ$31:$BH$31)</c:f>
              <c:numCache>
                <c:formatCode>General</c:formatCode>
                <c:ptCount val="18"/>
                <c:pt idx="0">
                  <c:v>2016</c:v>
                </c:pt>
                <c:pt idx="1">
                  <c:v>2017</c:v>
                </c:pt>
                <c:pt idx="2">
                  <c:v>2018</c:v>
                </c:pt>
                <c:pt idx="3">
                  <c:v>2019</c:v>
                </c:pt>
                <c:pt idx="4">
                  <c:v>2020</c:v>
                </c:pt>
                <c:pt idx="5">
                  <c:v>2021</c:v>
                </c:pt>
                <c:pt idx="6">
                  <c:v>2022</c:v>
                </c:pt>
                <c:pt idx="7">
                  <c:v>2023</c:v>
                </c:pt>
                <c:pt idx="8">
                  <c:v>2024</c:v>
                </c:pt>
                <c:pt idx="9">
                  <c:v>2025</c:v>
                </c:pt>
                <c:pt idx="10">
                  <c:v>2026</c:v>
                </c:pt>
                <c:pt idx="11">
                  <c:v>2027</c:v>
                </c:pt>
                <c:pt idx="12">
                  <c:v>2028</c:v>
                </c:pt>
                <c:pt idx="13">
                  <c:v>2029</c:v>
                </c:pt>
                <c:pt idx="14">
                  <c:v>2030</c:v>
                </c:pt>
                <c:pt idx="15">
                  <c:v>2031</c:v>
                </c:pt>
                <c:pt idx="16">
                  <c:v>2032</c:v>
                </c:pt>
                <c:pt idx="17">
                  <c:v>2033</c:v>
                </c:pt>
              </c:numCache>
            </c:numRef>
          </c:cat>
          <c:val>
            <c:numRef>
              <c:extLst>
                <c:ext xmlns:c15="http://schemas.microsoft.com/office/drawing/2012/chart" uri="{02D57815-91ED-43cb-92C2-25804820EDAC}">
                  <c15:fullRef>
                    <c15:sqref>'Biofuel Feedstocks'!$AL$37:$BH$37</c15:sqref>
                  </c15:fullRef>
                </c:ext>
              </c:extLst>
              <c:f>('Biofuel Feedstocks'!$AL$37,'Biofuel Feedstocks'!$AQ$37:$BH$37)</c:f>
              <c:numCache>
                <c:formatCode>#,##0.00_);[Red]\(#,##0.00\)</c:formatCode>
                <c:ptCount val="18"/>
                <c:pt idx="0">
                  <c:v>1.2666999999999999</c:v>
                </c:pt>
                <c:pt idx="1">
                  <c:v>1.8655236363636363</c:v>
                </c:pt>
                <c:pt idx="2">
                  <c:v>1.8311218181818181</c:v>
                </c:pt>
                <c:pt idx="3">
                  <c:v>1.4759918181818181</c:v>
                </c:pt>
                <c:pt idx="4">
                  <c:v>1.7176954545454546</c:v>
                </c:pt>
                <c:pt idx="5">
                  <c:v>2.0776990909090909</c:v>
                </c:pt>
                <c:pt idx="6">
                  <c:v>3.4966355555555557</c:v>
                </c:pt>
                <c:pt idx="7">
                  <c:v>4.869113333333333</c:v>
                </c:pt>
                <c:pt idx="8">
                  <c:v>3.167351111111111</c:v>
                </c:pt>
                <c:pt idx="9">
                  <c:v>4.8452286435220646</c:v>
                </c:pt>
                <c:pt idx="10">
                  <c:v>4.8900835112434544</c:v>
                </c:pt>
                <c:pt idx="11">
                  <c:v>5.3819118997719126</c:v>
                </c:pt>
                <c:pt idx="12">
                  <c:v>4.9937746216503927</c:v>
                </c:pt>
                <c:pt idx="13">
                  <c:v>5.1292037722803485</c:v>
                </c:pt>
                <c:pt idx="14">
                  <c:v>5.2516069794317515</c:v>
                </c:pt>
                <c:pt idx="15">
                  <c:v>5.5422777948369397</c:v>
                </c:pt>
                <c:pt idx="16">
                  <c:v>6.2282073118806496</c:v>
                </c:pt>
                <c:pt idx="17">
                  <c:v>6.2346270794281251</c:v>
                </c:pt>
              </c:numCache>
            </c:numRef>
          </c:val>
          <c:extLst>
            <c:ext xmlns:c16="http://schemas.microsoft.com/office/drawing/2014/chart" uri="{C3380CC4-5D6E-409C-BE32-E72D297353CC}">
              <c16:uniqueId val="{00000001-4D27-4F65-8F71-24A0AB7E83FF}"/>
            </c:ext>
          </c:extLst>
        </c:ser>
        <c:ser>
          <c:idx val="3"/>
          <c:order val="2"/>
          <c:tx>
            <c:strRef>
              <c:f>'Biofuel Feedstocks'!$A$33</c:f>
              <c:strCache>
                <c:ptCount val="1"/>
                <c:pt idx="0">
                  <c:v>Distiller's Corn Oil</c:v>
                </c:pt>
              </c:strCache>
            </c:strRef>
          </c:tx>
          <c:spPr>
            <a:ln>
              <a:solidFill>
                <a:schemeClr val="tx1"/>
              </a:solidFill>
            </a:ln>
          </c:spPr>
          <c:invertIfNegative val="0"/>
          <c:cat>
            <c:numRef>
              <c:extLst>
                <c:ext xmlns:c15="http://schemas.microsoft.com/office/drawing/2012/chart" uri="{02D57815-91ED-43cb-92C2-25804820EDAC}">
                  <c15:fullRef>
                    <c15:sqref>'Biofuel Feedstocks'!$AL$31:$BH$31</c15:sqref>
                  </c15:fullRef>
                </c:ext>
              </c:extLst>
              <c:f>('Biofuel Feedstocks'!$AL$31,'Biofuel Feedstocks'!$AQ$31:$BH$31)</c:f>
              <c:numCache>
                <c:formatCode>General</c:formatCode>
                <c:ptCount val="18"/>
                <c:pt idx="0">
                  <c:v>2016</c:v>
                </c:pt>
                <c:pt idx="1">
                  <c:v>2017</c:v>
                </c:pt>
                <c:pt idx="2">
                  <c:v>2018</c:v>
                </c:pt>
                <c:pt idx="3">
                  <c:v>2019</c:v>
                </c:pt>
                <c:pt idx="4">
                  <c:v>2020</c:v>
                </c:pt>
                <c:pt idx="5">
                  <c:v>2021</c:v>
                </c:pt>
                <c:pt idx="6">
                  <c:v>2022</c:v>
                </c:pt>
                <c:pt idx="7">
                  <c:v>2023</c:v>
                </c:pt>
                <c:pt idx="8">
                  <c:v>2024</c:v>
                </c:pt>
                <c:pt idx="9">
                  <c:v>2025</c:v>
                </c:pt>
                <c:pt idx="10">
                  <c:v>2026</c:v>
                </c:pt>
                <c:pt idx="11">
                  <c:v>2027</c:v>
                </c:pt>
                <c:pt idx="12">
                  <c:v>2028</c:v>
                </c:pt>
                <c:pt idx="13">
                  <c:v>2029</c:v>
                </c:pt>
                <c:pt idx="14">
                  <c:v>2030</c:v>
                </c:pt>
                <c:pt idx="15">
                  <c:v>2031</c:v>
                </c:pt>
                <c:pt idx="16">
                  <c:v>2032</c:v>
                </c:pt>
                <c:pt idx="17">
                  <c:v>2033</c:v>
                </c:pt>
              </c:numCache>
            </c:numRef>
          </c:cat>
          <c:val>
            <c:numRef>
              <c:extLst>
                <c:ext xmlns:c15="http://schemas.microsoft.com/office/drawing/2012/chart" uri="{02D57815-91ED-43cb-92C2-25804820EDAC}">
                  <c15:fullRef>
                    <c15:sqref>'Biofuel Feedstocks'!$AL$33:$BH$33</c15:sqref>
                  </c15:fullRef>
                </c:ext>
              </c:extLst>
              <c:f>('Biofuel Feedstocks'!$AL$33,'Biofuel Feedstocks'!$AQ$33:$BH$33)</c:f>
              <c:numCache>
                <c:formatCode>#,##0.00_);[Red]\(#,##0.00\)</c:formatCode>
                <c:ptCount val="18"/>
                <c:pt idx="0">
                  <c:v>1.5225379999999999</c:v>
                </c:pt>
                <c:pt idx="1">
                  <c:v>0.54627199999999998</c:v>
                </c:pt>
                <c:pt idx="2">
                  <c:v>1.219395</c:v>
                </c:pt>
                <c:pt idx="3">
                  <c:v>1.8807160000000001</c:v>
                </c:pt>
                <c:pt idx="4">
                  <c:v>1.6498409999999999</c:v>
                </c:pt>
                <c:pt idx="5">
                  <c:v>2.099812</c:v>
                </c:pt>
                <c:pt idx="6">
                  <c:v>2.9992329999999998</c:v>
                </c:pt>
                <c:pt idx="7">
                  <c:v>2.1851989999999999</c:v>
                </c:pt>
                <c:pt idx="8">
                  <c:v>1.4732510000000001</c:v>
                </c:pt>
                <c:pt idx="9">
                  <c:v>4.3558754674522095</c:v>
                </c:pt>
                <c:pt idx="10">
                  <c:v>4.2420365897623018</c:v>
                </c:pt>
                <c:pt idx="11">
                  <c:v>4.2634343435473463</c:v>
                </c:pt>
                <c:pt idx="12">
                  <c:v>3.8186922768986702</c:v>
                </c:pt>
                <c:pt idx="13">
                  <c:v>4.1153190015721854</c:v>
                </c:pt>
                <c:pt idx="14">
                  <c:v>4.2521259870567931</c:v>
                </c:pt>
                <c:pt idx="15">
                  <c:v>4.3106660347785715</c:v>
                </c:pt>
                <c:pt idx="16">
                  <c:v>4.5623201681498271</c:v>
                </c:pt>
                <c:pt idx="17">
                  <c:v>4.5540931509866969</c:v>
                </c:pt>
              </c:numCache>
            </c:numRef>
          </c:val>
          <c:extLst>
            <c:ext xmlns:c16="http://schemas.microsoft.com/office/drawing/2014/chart" uri="{C3380CC4-5D6E-409C-BE32-E72D297353CC}">
              <c16:uniqueId val="{00000002-4D27-4F65-8F71-24A0AB7E83FF}"/>
            </c:ext>
          </c:extLst>
        </c:ser>
        <c:ser>
          <c:idx val="0"/>
          <c:order val="3"/>
          <c:tx>
            <c:strRef>
              <c:f>'Biofuel Feedstocks'!$A$34</c:f>
              <c:strCache>
                <c:ptCount val="1"/>
                <c:pt idx="0">
                  <c:v>Fish Oil</c:v>
                </c:pt>
              </c:strCache>
            </c:strRef>
          </c:tx>
          <c:spPr>
            <a:ln>
              <a:solidFill>
                <a:schemeClr val="tx1"/>
              </a:solidFill>
            </a:ln>
          </c:spPr>
          <c:invertIfNegative val="0"/>
          <c:cat>
            <c:numRef>
              <c:extLst>
                <c:ext xmlns:c15="http://schemas.microsoft.com/office/drawing/2012/chart" uri="{02D57815-91ED-43cb-92C2-25804820EDAC}">
                  <c15:fullRef>
                    <c15:sqref>'Biofuel Feedstocks'!$AL$31:$BH$31</c15:sqref>
                  </c15:fullRef>
                </c:ext>
              </c:extLst>
              <c:f>('Biofuel Feedstocks'!$AL$31,'Biofuel Feedstocks'!$AQ$31:$BH$31)</c:f>
              <c:numCache>
                <c:formatCode>General</c:formatCode>
                <c:ptCount val="18"/>
                <c:pt idx="0">
                  <c:v>2016</c:v>
                </c:pt>
                <c:pt idx="1">
                  <c:v>2017</c:v>
                </c:pt>
                <c:pt idx="2">
                  <c:v>2018</c:v>
                </c:pt>
                <c:pt idx="3">
                  <c:v>2019</c:v>
                </c:pt>
                <c:pt idx="4">
                  <c:v>2020</c:v>
                </c:pt>
                <c:pt idx="5">
                  <c:v>2021</c:v>
                </c:pt>
                <c:pt idx="6">
                  <c:v>2022</c:v>
                </c:pt>
                <c:pt idx="7">
                  <c:v>2023</c:v>
                </c:pt>
                <c:pt idx="8">
                  <c:v>2024</c:v>
                </c:pt>
                <c:pt idx="9">
                  <c:v>2025</c:v>
                </c:pt>
                <c:pt idx="10">
                  <c:v>2026</c:v>
                </c:pt>
                <c:pt idx="11">
                  <c:v>2027</c:v>
                </c:pt>
                <c:pt idx="12">
                  <c:v>2028</c:v>
                </c:pt>
                <c:pt idx="13">
                  <c:v>2029</c:v>
                </c:pt>
                <c:pt idx="14">
                  <c:v>2030</c:v>
                </c:pt>
                <c:pt idx="15">
                  <c:v>2031</c:v>
                </c:pt>
                <c:pt idx="16">
                  <c:v>2032</c:v>
                </c:pt>
                <c:pt idx="17">
                  <c:v>2033</c:v>
                </c:pt>
              </c:numCache>
            </c:numRef>
          </c:cat>
          <c:val>
            <c:numRef>
              <c:extLst>
                <c:ext xmlns:c15="http://schemas.microsoft.com/office/drawing/2012/chart" uri="{02D57815-91ED-43cb-92C2-25804820EDAC}">
                  <c15:fullRef>
                    <c15:sqref>'Biofuel Feedstocks'!$AL$34:$BH$34</c15:sqref>
                  </c15:fullRef>
                </c:ext>
              </c:extLst>
              <c:f>('Biofuel Feedstocks'!$AL$34,'Biofuel Feedstocks'!$AQ$34:$BH$34)</c:f>
              <c:numCache>
                <c:formatCode>#,##0.00_);[Red]\(#,##0.00\)</c:formatCode>
                <c:ptCount val="18"/>
                <c:pt idx="0">
                  <c:v>0.107448</c:v>
                </c:pt>
                <c:pt idx="1">
                  <c:v>5.5287999999999997E-2</c:v>
                </c:pt>
                <c:pt idx="2">
                  <c:v>6.7683999999999994E-2</c:v>
                </c:pt>
                <c:pt idx="3">
                  <c:v>0.13428999999999999</c:v>
                </c:pt>
                <c:pt idx="4">
                  <c:v>7.6419000000000001E-2</c:v>
                </c:pt>
                <c:pt idx="5">
                  <c:v>0</c:v>
                </c:pt>
                <c:pt idx="6">
                  <c:v>0</c:v>
                </c:pt>
                <c:pt idx="7">
                  <c:v>0</c:v>
                </c:pt>
                <c:pt idx="8">
                  <c:v>0</c:v>
                </c:pt>
                <c:pt idx="9">
                  <c:v>2.766054371498497E-2</c:v>
                </c:pt>
                <c:pt idx="10">
                  <c:v>2.7179087534668113E-2</c:v>
                </c:pt>
                <c:pt idx="11">
                  <c:v>2.8573554113420337E-2</c:v>
                </c:pt>
                <c:pt idx="12">
                  <c:v>9.5459353263494494E-3</c:v>
                </c:pt>
                <c:pt idx="13">
                  <c:v>1.7274937162503508E-2</c:v>
                </c:pt>
                <c:pt idx="14">
                  <c:v>2.4915769390797319E-2</c:v>
                </c:pt>
                <c:pt idx="15">
                  <c:v>2.3879335493499923E-2</c:v>
                </c:pt>
                <c:pt idx="16">
                  <c:v>2.6196442785751894E-2</c:v>
                </c:pt>
                <c:pt idx="17">
                  <c:v>2.5505680423484379E-2</c:v>
                </c:pt>
              </c:numCache>
            </c:numRef>
          </c:val>
          <c:extLst>
            <c:ext xmlns:c16="http://schemas.microsoft.com/office/drawing/2014/chart" uri="{C3380CC4-5D6E-409C-BE32-E72D297353CC}">
              <c16:uniqueId val="{00000003-4D27-4F65-8F71-24A0AB7E83FF}"/>
            </c:ext>
          </c:extLst>
        </c:ser>
        <c:ser>
          <c:idx val="2"/>
          <c:order val="4"/>
          <c:tx>
            <c:strRef>
              <c:f>'Biofuel Feedstocks'!$A$36</c:f>
              <c:strCache>
                <c:ptCount val="1"/>
                <c:pt idx="0">
                  <c:v>Other</c:v>
                </c:pt>
              </c:strCache>
            </c:strRef>
          </c:tx>
          <c:spPr>
            <a:ln>
              <a:solidFill>
                <a:schemeClr val="tx1"/>
              </a:solidFill>
            </a:ln>
          </c:spPr>
          <c:invertIfNegative val="0"/>
          <c:cat>
            <c:numRef>
              <c:extLst>
                <c:ext xmlns:c15="http://schemas.microsoft.com/office/drawing/2012/chart" uri="{02D57815-91ED-43cb-92C2-25804820EDAC}">
                  <c15:fullRef>
                    <c15:sqref>'Biofuel Feedstocks'!$AL$31:$BH$31</c15:sqref>
                  </c15:fullRef>
                </c:ext>
              </c:extLst>
              <c:f>('Biofuel Feedstocks'!$AL$31,'Biofuel Feedstocks'!$AQ$31:$BH$31)</c:f>
              <c:numCache>
                <c:formatCode>General</c:formatCode>
                <c:ptCount val="18"/>
                <c:pt idx="0">
                  <c:v>2016</c:v>
                </c:pt>
                <c:pt idx="1">
                  <c:v>2017</c:v>
                </c:pt>
                <c:pt idx="2">
                  <c:v>2018</c:v>
                </c:pt>
                <c:pt idx="3">
                  <c:v>2019</c:v>
                </c:pt>
                <c:pt idx="4">
                  <c:v>2020</c:v>
                </c:pt>
                <c:pt idx="5">
                  <c:v>2021</c:v>
                </c:pt>
                <c:pt idx="6">
                  <c:v>2022</c:v>
                </c:pt>
                <c:pt idx="7">
                  <c:v>2023</c:v>
                </c:pt>
                <c:pt idx="8">
                  <c:v>2024</c:v>
                </c:pt>
                <c:pt idx="9">
                  <c:v>2025</c:v>
                </c:pt>
                <c:pt idx="10">
                  <c:v>2026</c:v>
                </c:pt>
                <c:pt idx="11">
                  <c:v>2027</c:v>
                </c:pt>
                <c:pt idx="12">
                  <c:v>2028</c:v>
                </c:pt>
                <c:pt idx="13">
                  <c:v>2029</c:v>
                </c:pt>
                <c:pt idx="14">
                  <c:v>2030</c:v>
                </c:pt>
                <c:pt idx="15">
                  <c:v>2031</c:v>
                </c:pt>
                <c:pt idx="16">
                  <c:v>2032</c:v>
                </c:pt>
                <c:pt idx="17">
                  <c:v>2033</c:v>
                </c:pt>
              </c:numCache>
            </c:numRef>
          </c:cat>
          <c:val>
            <c:numRef>
              <c:extLst>
                <c:ext xmlns:c15="http://schemas.microsoft.com/office/drawing/2012/chart" uri="{02D57815-91ED-43cb-92C2-25804820EDAC}">
                  <c15:fullRef>
                    <c15:sqref>'Biofuel Feedstocks'!$AL$36:$BH$36</c15:sqref>
                  </c15:fullRef>
                </c:ext>
              </c:extLst>
              <c:f>('Biofuel Feedstocks'!$AL$36,'Biofuel Feedstocks'!$AQ$36:$BH$36)</c:f>
              <c:numCache>
                <c:formatCode>#,##0.00_);[Red]\(#,##0.00\)</c:formatCode>
                <c:ptCount val="18"/>
                <c:pt idx="0">
                  <c:v>1.6365000000000001E-2</c:v>
                </c:pt>
                <c:pt idx="1">
                  <c:v>2.14E-3</c:v>
                </c:pt>
                <c:pt idx="2">
                  <c:v>0</c:v>
                </c:pt>
                <c:pt idx="3">
                  <c:v>0</c:v>
                </c:pt>
                <c:pt idx="4">
                  <c:v>6.8000000000000005E-4</c:v>
                </c:pt>
                <c:pt idx="5">
                  <c:v>2.8884E-2</c:v>
                </c:pt>
                <c:pt idx="6">
                  <c:v>9.5069999999999998E-3</c:v>
                </c:pt>
                <c:pt idx="7">
                  <c:v>1.92E-4</c:v>
                </c:pt>
                <c:pt idx="8">
                  <c:v>8.2000000000000001E-5</c:v>
                </c:pt>
                <c:pt idx="9">
                  <c:v>1.1900000000000001E-4</c:v>
                </c:pt>
                <c:pt idx="10">
                  <c:v>1.22E-4</c:v>
                </c:pt>
                <c:pt idx="11">
                  <c:v>1.3688735056001588E-3</c:v>
                </c:pt>
                <c:pt idx="12">
                  <c:v>3.6767729258606516E-3</c:v>
                </c:pt>
                <c:pt idx="13">
                  <c:v>4.968406344744233E-3</c:v>
                </c:pt>
                <c:pt idx="14">
                  <c:v>6.508882019538388E-3</c:v>
                </c:pt>
                <c:pt idx="15">
                  <c:v>7.0948634265714117E-3</c:v>
                </c:pt>
                <c:pt idx="16">
                  <c:v>6.7694794825055027E-3</c:v>
                </c:pt>
                <c:pt idx="17">
                  <c:v>7.2630464544732624E-3</c:v>
                </c:pt>
              </c:numCache>
            </c:numRef>
          </c:val>
          <c:extLst>
            <c:ext xmlns:c16="http://schemas.microsoft.com/office/drawing/2014/chart" uri="{C3380CC4-5D6E-409C-BE32-E72D297353CC}">
              <c16:uniqueId val="{00000004-4D27-4F65-8F71-24A0AB7E83FF}"/>
            </c:ext>
          </c:extLst>
        </c:ser>
        <c:ser>
          <c:idx val="4"/>
          <c:order val="5"/>
          <c:tx>
            <c:strRef>
              <c:f>'Biofuel Feedstocks'!$A$32</c:f>
              <c:strCache>
                <c:ptCount val="1"/>
                <c:pt idx="0">
                  <c:v>Canola</c:v>
                </c:pt>
              </c:strCache>
            </c:strRef>
          </c:tx>
          <c:spPr>
            <a:ln>
              <a:solidFill>
                <a:schemeClr val="tx1"/>
              </a:solidFill>
            </a:ln>
          </c:spPr>
          <c:invertIfNegative val="0"/>
          <c:cat>
            <c:numRef>
              <c:extLst>
                <c:ext xmlns:c15="http://schemas.microsoft.com/office/drawing/2012/chart" uri="{02D57815-91ED-43cb-92C2-25804820EDAC}">
                  <c15:fullRef>
                    <c15:sqref>'Biofuel Feedstocks'!$AL$31:$BH$31</c15:sqref>
                  </c15:fullRef>
                </c:ext>
              </c:extLst>
              <c:f>('Biofuel Feedstocks'!$AL$31,'Biofuel Feedstocks'!$AQ$31:$BH$31)</c:f>
              <c:numCache>
                <c:formatCode>General</c:formatCode>
                <c:ptCount val="18"/>
                <c:pt idx="0">
                  <c:v>2016</c:v>
                </c:pt>
                <c:pt idx="1">
                  <c:v>2017</c:v>
                </c:pt>
                <c:pt idx="2">
                  <c:v>2018</c:v>
                </c:pt>
                <c:pt idx="3">
                  <c:v>2019</c:v>
                </c:pt>
                <c:pt idx="4">
                  <c:v>2020</c:v>
                </c:pt>
                <c:pt idx="5">
                  <c:v>2021</c:v>
                </c:pt>
                <c:pt idx="6">
                  <c:v>2022</c:v>
                </c:pt>
                <c:pt idx="7">
                  <c:v>2023</c:v>
                </c:pt>
                <c:pt idx="8">
                  <c:v>2024</c:v>
                </c:pt>
                <c:pt idx="9">
                  <c:v>2025</c:v>
                </c:pt>
                <c:pt idx="10">
                  <c:v>2026</c:v>
                </c:pt>
                <c:pt idx="11">
                  <c:v>2027</c:v>
                </c:pt>
                <c:pt idx="12">
                  <c:v>2028</c:v>
                </c:pt>
                <c:pt idx="13">
                  <c:v>2029</c:v>
                </c:pt>
                <c:pt idx="14">
                  <c:v>2030</c:v>
                </c:pt>
                <c:pt idx="15">
                  <c:v>2031</c:v>
                </c:pt>
                <c:pt idx="16">
                  <c:v>2032</c:v>
                </c:pt>
                <c:pt idx="17">
                  <c:v>2033</c:v>
                </c:pt>
              </c:numCache>
            </c:numRef>
          </c:cat>
          <c:val>
            <c:numRef>
              <c:extLst>
                <c:ext xmlns:c15="http://schemas.microsoft.com/office/drawing/2012/chart" uri="{02D57815-91ED-43cb-92C2-25804820EDAC}">
                  <c15:fullRef>
                    <c15:sqref>'Biofuel Feedstocks'!$AL$32:$BH$32</c15:sqref>
                  </c15:fullRef>
                </c:ext>
              </c:extLst>
              <c:f>('Biofuel Feedstocks'!$AL$32,'Biofuel Feedstocks'!$AQ$32:$BH$32)</c:f>
              <c:numCache>
                <c:formatCode>#,##0.00_);[Red]\(#,##0.00\)</c:formatCode>
                <c:ptCount val="18"/>
                <c:pt idx="0">
                  <c:v>9.6963999999999995E-2</c:v>
                </c:pt>
                <c:pt idx="1">
                  <c:v>0.18917</c:v>
                </c:pt>
                <c:pt idx="2">
                  <c:v>7.0874000000000006E-2</c:v>
                </c:pt>
                <c:pt idx="3">
                  <c:v>2.0749E-2</c:v>
                </c:pt>
                <c:pt idx="4">
                  <c:v>4.9377999999999998E-2</c:v>
                </c:pt>
                <c:pt idx="5">
                  <c:v>1.8204999999999999E-2</c:v>
                </c:pt>
                <c:pt idx="6">
                  <c:v>0.12601299999999999</c:v>
                </c:pt>
                <c:pt idx="7">
                  <c:v>0.28991299999999998</c:v>
                </c:pt>
                <c:pt idx="8">
                  <c:v>0.132579</c:v>
                </c:pt>
                <c:pt idx="9">
                  <c:v>0.17424043149436103</c:v>
                </c:pt>
                <c:pt idx="10">
                  <c:v>0.19384428658734618</c:v>
                </c:pt>
                <c:pt idx="11">
                  <c:v>0.210791514974115</c:v>
                </c:pt>
                <c:pt idx="12">
                  <c:v>0.23903791054387252</c:v>
                </c:pt>
                <c:pt idx="13">
                  <c:v>0.22234179944255658</c:v>
                </c:pt>
                <c:pt idx="14">
                  <c:v>0.20523539795224596</c:v>
                </c:pt>
                <c:pt idx="15">
                  <c:v>0.21027725525121571</c:v>
                </c:pt>
                <c:pt idx="16">
                  <c:v>0.20862719247295783</c:v>
                </c:pt>
                <c:pt idx="17">
                  <c:v>0.20923982073760788</c:v>
                </c:pt>
              </c:numCache>
            </c:numRef>
          </c:val>
          <c:extLst>
            <c:ext xmlns:c16="http://schemas.microsoft.com/office/drawing/2014/chart" uri="{C3380CC4-5D6E-409C-BE32-E72D297353CC}">
              <c16:uniqueId val="{00000005-4D27-4F65-8F71-24A0AB7E83FF}"/>
            </c:ext>
          </c:extLst>
        </c:ser>
        <c:ser>
          <c:idx val="1"/>
          <c:order val="6"/>
          <c:tx>
            <c:strRef>
              <c:f>'Biofuel Feedstocks'!$A$35</c:f>
              <c:strCache>
                <c:ptCount val="1"/>
                <c:pt idx="0">
                  <c:v>Soy</c:v>
                </c:pt>
              </c:strCache>
            </c:strRef>
          </c:tx>
          <c:spPr>
            <a:ln>
              <a:solidFill>
                <a:schemeClr val="tx1"/>
              </a:solidFill>
            </a:ln>
          </c:spPr>
          <c:invertIfNegative val="0"/>
          <c:cat>
            <c:numRef>
              <c:extLst>
                <c:ext xmlns:c15="http://schemas.microsoft.com/office/drawing/2012/chart" uri="{02D57815-91ED-43cb-92C2-25804820EDAC}">
                  <c15:fullRef>
                    <c15:sqref>'Biofuel Feedstocks'!$AL$31:$BH$31</c15:sqref>
                  </c15:fullRef>
                </c:ext>
              </c:extLst>
              <c:f>('Biofuel Feedstocks'!$AL$31,'Biofuel Feedstocks'!$AQ$31:$BH$31)</c:f>
              <c:numCache>
                <c:formatCode>General</c:formatCode>
                <c:ptCount val="18"/>
                <c:pt idx="0">
                  <c:v>2016</c:v>
                </c:pt>
                <c:pt idx="1">
                  <c:v>2017</c:v>
                </c:pt>
                <c:pt idx="2">
                  <c:v>2018</c:v>
                </c:pt>
                <c:pt idx="3">
                  <c:v>2019</c:v>
                </c:pt>
                <c:pt idx="4">
                  <c:v>2020</c:v>
                </c:pt>
                <c:pt idx="5">
                  <c:v>2021</c:v>
                </c:pt>
                <c:pt idx="6">
                  <c:v>2022</c:v>
                </c:pt>
                <c:pt idx="7">
                  <c:v>2023</c:v>
                </c:pt>
                <c:pt idx="8">
                  <c:v>2024</c:v>
                </c:pt>
                <c:pt idx="9">
                  <c:v>2025</c:v>
                </c:pt>
                <c:pt idx="10">
                  <c:v>2026</c:v>
                </c:pt>
                <c:pt idx="11">
                  <c:v>2027</c:v>
                </c:pt>
                <c:pt idx="12">
                  <c:v>2028</c:v>
                </c:pt>
                <c:pt idx="13">
                  <c:v>2029</c:v>
                </c:pt>
                <c:pt idx="14">
                  <c:v>2030</c:v>
                </c:pt>
                <c:pt idx="15">
                  <c:v>2031</c:v>
                </c:pt>
                <c:pt idx="16">
                  <c:v>2032</c:v>
                </c:pt>
                <c:pt idx="17">
                  <c:v>2033</c:v>
                </c:pt>
              </c:numCache>
            </c:numRef>
          </c:cat>
          <c:val>
            <c:numRef>
              <c:extLst>
                <c:ext xmlns:c15="http://schemas.microsoft.com/office/drawing/2012/chart" uri="{02D57815-91ED-43cb-92C2-25804820EDAC}">
                  <c15:fullRef>
                    <c15:sqref>'Biofuel Feedstocks'!$AL$35:$BH$35</c15:sqref>
                  </c15:fullRef>
                </c:ext>
              </c:extLst>
              <c:f>('Biofuel Feedstocks'!$AL$35,'Biofuel Feedstocks'!$AQ$35:$BH$35)</c:f>
              <c:numCache>
                <c:formatCode>#,##0.00_);[Red]\(#,##0.00\)</c:formatCode>
                <c:ptCount val="18"/>
                <c:pt idx="0">
                  <c:v>1.6641E-2</c:v>
                </c:pt>
                <c:pt idx="1">
                  <c:v>1.7638999999999998E-2</c:v>
                </c:pt>
                <c:pt idx="2">
                  <c:v>0.11275399999999999</c:v>
                </c:pt>
                <c:pt idx="3">
                  <c:v>0.344032</c:v>
                </c:pt>
                <c:pt idx="4">
                  <c:v>0.39905000000000002</c:v>
                </c:pt>
                <c:pt idx="5">
                  <c:v>0.44599100000000003</c:v>
                </c:pt>
                <c:pt idx="6">
                  <c:v>1.1198699999999999</c:v>
                </c:pt>
                <c:pt idx="7">
                  <c:v>1.45187</c:v>
                </c:pt>
                <c:pt idx="8">
                  <c:v>0.76731499999999997</c:v>
                </c:pt>
                <c:pt idx="9">
                  <c:v>1.4318030481624235</c:v>
                </c:pt>
                <c:pt idx="10">
                  <c:v>1.4300713865266172</c:v>
                </c:pt>
                <c:pt idx="11">
                  <c:v>1.5186246452597485</c:v>
                </c:pt>
                <c:pt idx="12">
                  <c:v>1.4509680836309151</c:v>
                </c:pt>
                <c:pt idx="13">
                  <c:v>1.458250290649526</c:v>
                </c:pt>
                <c:pt idx="14">
                  <c:v>1.4925327808346054</c:v>
                </c:pt>
                <c:pt idx="15">
                  <c:v>1.5429816773622977</c:v>
                </c:pt>
                <c:pt idx="16">
                  <c:v>1.6641874721294243</c:v>
                </c:pt>
                <c:pt idx="17">
                  <c:v>1.6687302316576107</c:v>
                </c:pt>
              </c:numCache>
            </c:numRef>
          </c:val>
          <c:extLst>
            <c:ext xmlns:c16="http://schemas.microsoft.com/office/drawing/2014/chart" uri="{C3380CC4-5D6E-409C-BE32-E72D297353CC}">
              <c16:uniqueId val="{00000006-4D27-4F65-8F71-24A0AB7E83FF}"/>
            </c:ext>
          </c:extLst>
        </c:ser>
        <c:dLbls>
          <c:showLegendKey val="0"/>
          <c:showVal val="0"/>
          <c:showCatName val="0"/>
          <c:showSerName val="0"/>
          <c:showPercent val="0"/>
          <c:showBubbleSize val="0"/>
        </c:dLbls>
        <c:gapWidth val="50"/>
        <c:overlap val="100"/>
        <c:axId val="164605312"/>
        <c:axId val="252995840"/>
      </c:barChart>
      <c:catAx>
        <c:axId val="164605312"/>
        <c:scaling>
          <c:orientation val="minMax"/>
        </c:scaling>
        <c:delete val="0"/>
        <c:axPos val="b"/>
        <c:numFmt formatCode="General" sourceLinked="1"/>
        <c:majorTickMark val="none"/>
        <c:minorTickMark val="none"/>
        <c:tickLblPos val="nextTo"/>
        <c:spPr>
          <a:ln>
            <a:solidFill>
              <a:srgbClr val="5D803B"/>
            </a:solidFill>
          </a:ln>
        </c:spPr>
        <c:txPr>
          <a:bodyPr/>
          <a:lstStyle/>
          <a:p>
            <a:pPr>
              <a:defRPr sz="1200"/>
            </a:pPr>
            <a:endParaRPr lang="en-US"/>
          </a:p>
        </c:txPr>
        <c:crossAx val="252995840"/>
        <c:crosses val="autoZero"/>
        <c:auto val="1"/>
        <c:lblAlgn val="ctr"/>
        <c:lblOffset val="0"/>
        <c:noMultiLvlLbl val="0"/>
      </c:catAx>
      <c:valAx>
        <c:axId val="252995840"/>
        <c:scaling>
          <c:orientation val="minMax"/>
          <c:min val="0"/>
        </c:scaling>
        <c:delete val="0"/>
        <c:axPos val="l"/>
        <c:majorGridlines>
          <c:spPr>
            <a:ln>
              <a:solidFill>
                <a:schemeClr val="bg1">
                  <a:lumMod val="65000"/>
                </a:schemeClr>
              </a:solidFill>
            </a:ln>
          </c:spPr>
        </c:majorGridlines>
        <c:title>
          <c:tx>
            <c:rich>
              <a:bodyPr rot="-5400000" vert="horz"/>
              <a:lstStyle/>
              <a:p>
                <a:pPr>
                  <a:defRPr sz="1200"/>
                </a:pPr>
                <a:r>
                  <a:rPr lang="en-US" sz="1200"/>
                  <a:t> (million tonnes)</a:t>
                </a:r>
              </a:p>
            </c:rich>
          </c:tx>
          <c:overlay val="0"/>
        </c:title>
        <c:numFmt formatCode="#,##0.00_);[Red]\(#,##0.00\)" sourceLinked="1"/>
        <c:majorTickMark val="none"/>
        <c:minorTickMark val="none"/>
        <c:tickLblPos val="nextTo"/>
        <c:spPr>
          <a:ln>
            <a:solidFill>
              <a:srgbClr val="5D803B"/>
            </a:solidFill>
          </a:ln>
        </c:spPr>
        <c:crossAx val="164605312"/>
        <c:crosses val="autoZero"/>
        <c:crossBetween val="between"/>
      </c:valAx>
      <c:spPr>
        <a:noFill/>
        <a:ln>
          <a:solidFill>
            <a:srgbClr val="5D803B"/>
          </a:solidFill>
        </a:ln>
      </c:spPr>
    </c:plotArea>
    <c:legend>
      <c:legendPos val="r"/>
      <c:layout>
        <c:manualLayout>
          <c:xMode val="edge"/>
          <c:yMode val="edge"/>
          <c:x val="8.9664520865263234E-2"/>
          <c:y val="0.12433944668946223"/>
          <c:w val="0.37951766403005166"/>
          <c:h val="0.14586236694117524"/>
        </c:manualLayout>
      </c:layout>
      <c:overlay val="0"/>
      <c:spPr>
        <a:solidFill>
          <a:sysClr val="window" lastClr="FFFFFF"/>
        </a:solidFill>
        <a:ln>
          <a:solidFill>
            <a:srgbClr val="5D803B"/>
          </a:solidFill>
        </a:ln>
      </c:spPr>
      <c:txPr>
        <a:bodyPr/>
        <a:lstStyle/>
        <a:p>
          <a:pPr>
            <a:defRPr sz="1200"/>
          </a:pPr>
          <a:endParaRPr lang="en-US"/>
        </a:p>
      </c:txPr>
    </c:legend>
    <c:plotVisOnly val="1"/>
    <c:dispBlanksAs val="gap"/>
    <c:showDLblsOverMax val="0"/>
  </c:chart>
  <c:spPr>
    <a:solidFill>
      <a:sysClr val="window" lastClr="FFFFFF"/>
    </a:solidFill>
    <a:ln>
      <a:noFill/>
    </a:ln>
  </c:spPr>
  <c:txPr>
    <a:bodyPr/>
    <a:lstStyle/>
    <a:p>
      <a:pPr>
        <a:defRPr sz="1400" b="1">
          <a:solidFill>
            <a:sysClr val="windowText" lastClr="000000"/>
          </a:solidFill>
          <a:latin typeface="Arial" panose="020B0604020202020204" pitchFamily="34" charset="0"/>
          <a:cs typeface="Arial" panose="020B0604020202020204" pitchFamily="34" charset="0"/>
        </a:defRPr>
      </a:pPr>
      <a:endParaRPr lang="en-US"/>
    </a:p>
  </c:txPr>
  <c:userShapes r:id="rId1"/>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1364107999548949E-2"/>
          <c:y val="2.5997635908089151E-2"/>
          <c:w val="0.82746236473493162"/>
          <c:h val="0.81804899387576557"/>
        </c:manualLayout>
      </c:layout>
      <c:barChart>
        <c:barDir val="col"/>
        <c:grouping val="clustered"/>
        <c:varyColors val="0"/>
        <c:ser>
          <c:idx val="2"/>
          <c:order val="1"/>
          <c:tx>
            <c:strRef>
              <c:f>'Fig E w ARGUS'!$E$2</c:f>
              <c:strCache>
                <c:ptCount val="1"/>
                <c:pt idx="0">
                  <c:v>  Volume of Credits Transacted (MT)</c:v>
                </c:pt>
              </c:strCache>
            </c:strRef>
          </c:tx>
          <c:spPr>
            <a:solidFill>
              <a:schemeClr val="accent1"/>
            </a:solidFill>
            <a:ln w="63500">
              <a:solidFill>
                <a:schemeClr val="accent1"/>
              </a:solidFill>
              <a:miter lim="800000"/>
            </a:ln>
          </c:spPr>
          <c:invertIfNegative val="0"/>
          <c:cat>
            <c:multiLvlStrRef>
              <c:f>'Fig E w ARGUS'!$A$3:$B$107</c:f>
              <c:multiLvlStrCache>
                <c:ptCount val="93"/>
                <c:lvl>
                  <c:pt idx="0">
                    <c:v>J</c:v>
                  </c:pt>
                  <c:pt idx="1">
                    <c:v>F</c:v>
                  </c:pt>
                  <c:pt idx="2">
                    <c:v>M</c:v>
                  </c:pt>
                  <c:pt idx="3">
                    <c:v>A</c:v>
                  </c:pt>
                  <c:pt idx="4">
                    <c:v>M</c:v>
                  </c:pt>
                  <c:pt idx="5">
                    <c:v>J</c:v>
                  </c:pt>
                  <c:pt idx="6">
                    <c:v>J</c:v>
                  </c:pt>
                  <c:pt idx="7">
                    <c:v>A</c:v>
                  </c:pt>
                  <c:pt idx="8">
                    <c:v>S</c:v>
                  </c:pt>
                  <c:pt idx="9">
                    <c:v>O</c:v>
                  </c:pt>
                  <c:pt idx="10">
                    <c:v>N</c:v>
                  </c:pt>
                  <c:pt idx="11">
                    <c:v>D</c:v>
                  </c:pt>
                  <c:pt idx="12">
                    <c:v>J</c:v>
                  </c:pt>
                  <c:pt idx="13">
                    <c:v>F</c:v>
                  </c:pt>
                  <c:pt idx="14">
                    <c:v>M</c:v>
                  </c:pt>
                  <c:pt idx="15">
                    <c:v>A</c:v>
                  </c:pt>
                  <c:pt idx="16">
                    <c:v>M</c:v>
                  </c:pt>
                  <c:pt idx="17">
                    <c:v>J</c:v>
                  </c:pt>
                  <c:pt idx="18">
                    <c:v>J</c:v>
                  </c:pt>
                  <c:pt idx="19">
                    <c:v>A</c:v>
                  </c:pt>
                  <c:pt idx="20">
                    <c:v>S</c:v>
                  </c:pt>
                  <c:pt idx="21">
                    <c:v>O</c:v>
                  </c:pt>
                  <c:pt idx="22">
                    <c:v>N</c:v>
                  </c:pt>
                  <c:pt idx="23">
                    <c:v>D</c:v>
                  </c:pt>
                  <c:pt idx="24">
                    <c:v>J</c:v>
                  </c:pt>
                  <c:pt idx="25">
                    <c:v>F</c:v>
                  </c:pt>
                  <c:pt idx="26">
                    <c:v>M</c:v>
                  </c:pt>
                  <c:pt idx="27">
                    <c:v>A</c:v>
                  </c:pt>
                  <c:pt idx="28">
                    <c:v>M</c:v>
                  </c:pt>
                  <c:pt idx="29">
                    <c:v>J</c:v>
                  </c:pt>
                  <c:pt idx="30">
                    <c:v>J</c:v>
                  </c:pt>
                  <c:pt idx="31">
                    <c:v>A</c:v>
                  </c:pt>
                  <c:pt idx="32">
                    <c:v>S</c:v>
                  </c:pt>
                  <c:pt idx="33">
                    <c:v>O</c:v>
                  </c:pt>
                  <c:pt idx="34">
                    <c:v>N</c:v>
                  </c:pt>
                  <c:pt idx="35">
                    <c:v>D</c:v>
                  </c:pt>
                  <c:pt idx="36">
                    <c:v>J</c:v>
                  </c:pt>
                  <c:pt idx="37">
                    <c:v>F</c:v>
                  </c:pt>
                  <c:pt idx="38">
                    <c:v>M</c:v>
                  </c:pt>
                  <c:pt idx="39">
                    <c:v>A</c:v>
                  </c:pt>
                  <c:pt idx="40">
                    <c:v>M</c:v>
                  </c:pt>
                  <c:pt idx="41">
                    <c:v>J</c:v>
                  </c:pt>
                  <c:pt idx="42">
                    <c:v>J</c:v>
                  </c:pt>
                  <c:pt idx="43">
                    <c:v>A</c:v>
                  </c:pt>
                  <c:pt idx="44">
                    <c:v>S</c:v>
                  </c:pt>
                  <c:pt idx="45">
                    <c:v>O</c:v>
                  </c:pt>
                  <c:pt idx="46">
                    <c:v>N</c:v>
                  </c:pt>
                  <c:pt idx="47">
                    <c:v>D</c:v>
                  </c:pt>
                  <c:pt idx="48">
                    <c:v>J</c:v>
                  </c:pt>
                  <c:pt idx="49">
                    <c:v>F</c:v>
                  </c:pt>
                  <c:pt idx="50">
                    <c:v>M</c:v>
                  </c:pt>
                  <c:pt idx="51">
                    <c:v>A</c:v>
                  </c:pt>
                  <c:pt idx="52">
                    <c:v>M</c:v>
                  </c:pt>
                  <c:pt idx="53">
                    <c:v>J</c:v>
                  </c:pt>
                  <c:pt idx="54">
                    <c:v>J</c:v>
                  </c:pt>
                  <c:pt idx="55">
                    <c:v>A</c:v>
                  </c:pt>
                  <c:pt idx="56">
                    <c:v>S</c:v>
                  </c:pt>
                  <c:pt idx="57">
                    <c:v>O</c:v>
                  </c:pt>
                  <c:pt idx="58">
                    <c:v>N</c:v>
                  </c:pt>
                  <c:pt idx="59">
                    <c:v>D</c:v>
                  </c:pt>
                  <c:pt idx="60">
                    <c:v>J</c:v>
                  </c:pt>
                  <c:pt idx="61">
                    <c:v>F</c:v>
                  </c:pt>
                  <c:pt idx="62">
                    <c:v>M</c:v>
                  </c:pt>
                  <c:pt idx="63">
                    <c:v>A</c:v>
                  </c:pt>
                  <c:pt idx="64">
                    <c:v>M</c:v>
                  </c:pt>
                  <c:pt idx="65">
                    <c:v>J</c:v>
                  </c:pt>
                  <c:pt idx="66">
                    <c:v>J</c:v>
                  </c:pt>
                  <c:pt idx="67">
                    <c:v>A</c:v>
                  </c:pt>
                  <c:pt idx="68">
                    <c:v>S</c:v>
                  </c:pt>
                  <c:pt idx="69">
                    <c:v>O</c:v>
                  </c:pt>
                  <c:pt idx="70">
                    <c:v>N</c:v>
                  </c:pt>
                  <c:pt idx="71">
                    <c:v>D</c:v>
                  </c:pt>
                  <c:pt idx="72">
                    <c:v>J</c:v>
                  </c:pt>
                  <c:pt idx="73">
                    <c:v>F</c:v>
                  </c:pt>
                  <c:pt idx="74">
                    <c:v>M</c:v>
                  </c:pt>
                  <c:pt idx="75">
                    <c:v>A</c:v>
                  </c:pt>
                  <c:pt idx="76">
                    <c:v>M</c:v>
                  </c:pt>
                  <c:pt idx="77">
                    <c:v>J</c:v>
                  </c:pt>
                  <c:pt idx="78">
                    <c:v>J</c:v>
                  </c:pt>
                  <c:pt idx="79">
                    <c:v>A</c:v>
                  </c:pt>
                  <c:pt idx="80">
                    <c:v>S</c:v>
                  </c:pt>
                  <c:pt idx="81">
                    <c:v>O</c:v>
                  </c:pt>
                  <c:pt idx="82">
                    <c:v>N</c:v>
                  </c:pt>
                  <c:pt idx="83">
                    <c:v>D</c:v>
                  </c:pt>
                  <c:pt idx="84">
                    <c:v>J</c:v>
                  </c:pt>
                  <c:pt idx="85">
                    <c:v>F</c:v>
                  </c:pt>
                  <c:pt idx="86">
                    <c:v>M</c:v>
                  </c:pt>
                  <c:pt idx="87">
                    <c:v>A</c:v>
                  </c:pt>
                  <c:pt idx="88">
                    <c:v>M</c:v>
                  </c:pt>
                  <c:pt idx="89">
                    <c:v>J</c:v>
                  </c:pt>
                  <c:pt idx="90">
                    <c:v>J</c:v>
                  </c:pt>
                  <c:pt idx="91">
                    <c:v>A</c:v>
                  </c:pt>
                  <c:pt idx="92">
                    <c:v>S</c:v>
                  </c:pt>
                </c:lvl>
                <c:lvl>
                  <c:pt idx="0">
                    <c:v>2014</c:v>
                  </c:pt>
                  <c:pt idx="12">
                    <c:v>2015</c:v>
                  </c:pt>
                  <c:pt idx="24">
                    <c:v>2016</c:v>
                  </c:pt>
                  <c:pt idx="36">
                    <c:v>2017</c:v>
                  </c:pt>
                  <c:pt idx="48">
                    <c:v>2018</c:v>
                  </c:pt>
                  <c:pt idx="60">
                    <c:v>2019</c:v>
                  </c:pt>
                  <c:pt idx="72">
                    <c:v>2020</c:v>
                  </c:pt>
                  <c:pt idx="84">
                    <c:v>2021</c:v>
                  </c:pt>
                </c:lvl>
              </c:multiLvlStrCache>
            </c:multiLvlStrRef>
          </c:cat>
          <c:val>
            <c:numRef>
              <c:f>'Fig E w ARGUS'!$E$3:$E$107</c:f>
              <c:numCache>
                <c:formatCode>_(* #,##0_);_(* \(#,##0\);_(* "-"??_);_(@_)</c:formatCode>
                <c:ptCount val="93"/>
                <c:pt idx="0">
                  <c:v>43000</c:v>
                </c:pt>
                <c:pt idx="1">
                  <c:v>53000</c:v>
                </c:pt>
                <c:pt idx="2">
                  <c:v>72000</c:v>
                </c:pt>
                <c:pt idx="3">
                  <c:v>120000</c:v>
                </c:pt>
                <c:pt idx="4">
                  <c:v>54000</c:v>
                </c:pt>
                <c:pt idx="5">
                  <c:v>82000</c:v>
                </c:pt>
                <c:pt idx="6">
                  <c:v>107000</c:v>
                </c:pt>
                <c:pt idx="7">
                  <c:v>285000</c:v>
                </c:pt>
                <c:pt idx="8">
                  <c:v>301000</c:v>
                </c:pt>
                <c:pt idx="9">
                  <c:v>207000</c:v>
                </c:pt>
                <c:pt idx="10">
                  <c:v>61000</c:v>
                </c:pt>
                <c:pt idx="11">
                  <c:v>296000</c:v>
                </c:pt>
                <c:pt idx="12">
                  <c:v>126000</c:v>
                </c:pt>
                <c:pt idx="13">
                  <c:v>148000</c:v>
                </c:pt>
                <c:pt idx="14">
                  <c:v>69000</c:v>
                </c:pt>
                <c:pt idx="15">
                  <c:v>164000</c:v>
                </c:pt>
                <c:pt idx="16">
                  <c:v>160000</c:v>
                </c:pt>
                <c:pt idx="17">
                  <c:v>151000</c:v>
                </c:pt>
                <c:pt idx="18">
                  <c:v>322000</c:v>
                </c:pt>
                <c:pt idx="19">
                  <c:v>200000</c:v>
                </c:pt>
                <c:pt idx="20">
                  <c:v>224000</c:v>
                </c:pt>
                <c:pt idx="21">
                  <c:v>129000</c:v>
                </c:pt>
                <c:pt idx="22">
                  <c:v>435000</c:v>
                </c:pt>
                <c:pt idx="23" formatCode="#,##0">
                  <c:v>723000</c:v>
                </c:pt>
                <c:pt idx="24" formatCode="General">
                  <c:v>206000</c:v>
                </c:pt>
                <c:pt idx="25">
                  <c:v>139000</c:v>
                </c:pt>
                <c:pt idx="26">
                  <c:v>679000</c:v>
                </c:pt>
                <c:pt idx="27">
                  <c:v>283000</c:v>
                </c:pt>
                <c:pt idx="28">
                  <c:v>229000</c:v>
                </c:pt>
                <c:pt idx="29">
                  <c:v>429000</c:v>
                </c:pt>
                <c:pt idx="30">
                  <c:v>452000</c:v>
                </c:pt>
                <c:pt idx="31">
                  <c:v>145000</c:v>
                </c:pt>
                <c:pt idx="32">
                  <c:v>599000</c:v>
                </c:pt>
                <c:pt idx="33">
                  <c:v>347000</c:v>
                </c:pt>
                <c:pt idx="34">
                  <c:v>794000</c:v>
                </c:pt>
                <c:pt idx="35">
                  <c:v>1060000</c:v>
                </c:pt>
                <c:pt idx="36">
                  <c:v>390000</c:v>
                </c:pt>
                <c:pt idx="37">
                  <c:v>323000</c:v>
                </c:pt>
                <c:pt idx="38">
                  <c:v>591000</c:v>
                </c:pt>
                <c:pt idx="39">
                  <c:v>616000</c:v>
                </c:pt>
                <c:pt idx="40">
                  <c:v>366000</c:v>
                </c:pt>
                <c:pt idx="41">
                  <c:v>765000</c:v>
                </c:pt>
                <c:pt idx="42">
                  <c:v>565000</c:v>
                </c:pt>
                <c:pt idx="43">
                  <c:v>595000</c:v>
                </c:pt>
                <c:pt idx="44">
                  <c:v>1326000</c:v>
                </c:pt>
                <c:pt idx="45">
                  <c:v>745000</c:v>
                </c:pt>
                <c:pt idx="46">
                  <c:v>1143000</c:v>
                </c:pt>
                <c:pt idx="47">
                  <c:v>1451000</c:v>
                </c:pt>
                <c:pt idx="48">
                  <c:v>543000</c:v>
                </c:pt>
                <c:pt idx="49">
                  <c:v>574000</c:v>
                </c:pt>
                <c:pt idx="50">
                  <c:v>1181000</c:v>
                </c:pt>
                <c:pt idx="51">
                  <c:v>927000</c:v>
                </c:pt>
                <c:pt idx="52">
                  <c:v>847000</c:v>
                </c:pt>
                <c:pt idx="53">
                  <c:v>1093000</c:v>
                </c:pt>
                <c:pt idx="54">
                  <c:v>1056000</c:v>
                </c:pt>
                <c:pt idx="55">
                  <c:v>722000</c:v>
                </c:pt>
                <c:pt idx="56">
                  <c:v>1668000</c:v>
                </c:pt>
                <c:pt idx="57">
                  <c:v>1172000</c:v>
                </c:pt>
                <c:pt idx="58">
                  <c:v>1345000</c:v>
                </c:pt>
                <c:pt idx="59">
                  <c:v>2205000</c:v>
                </c:pt>
                <c:pt idx="60">
                  <c:v>548000</c:v>
                </c:pt>
                <c:pt idx="61">
                  <c:v>747000</c:v>
                </c:pt>
                <c:pt idx="62">
                  <c:v>1677000</c:v>
                </c:pt>
                <c:pt idx="63">
                  <c:v>1299000</c:v>
                </c:pt>
                <c:pt idx="64">
                  <c:v>408000</c:v>
                </c:pt>
                <c:pt idx="65">
                  <c:v>875000</c:v>
                </c:pt>
                <c:pt idx="66">
                  <c:v>1574000</c:v>
                </c:pt>
                <c:pt idx="67">
                  <c:v>929000</c:v>
                </c:pt>
                <c:pt idx="68">
                  <c:v>1176000</c:v>
                </c:pt>
                <c:pt idx="69">
                  <c:v>1990000</c:v>
                </c:pt>
                <c:pt idx="70">
                  <c:v>705000</c:v>
                </c:pt>
                <c:pt idx="71">
                  <c:v>2216000</c:v>
                </c:pt>
                <c:pt idx="72">
                  <c:v>1895000</c:v>
                </c:pt>
                <c:pt idx="73">
                  <c:v>581000</c:v>
                </c:pt>
                <c:pt idx="74">
                  <c:v>2312000</c:v>
                </c:pt>
                <c:pt idx="75">
                  <c:v>4098000</c:v>
                </c:pt>
                <c:pt idx="76">
                  <c:v>470000</c:v>
                </c:pt>
                <c:pt idx="77">
                  <c:v>1059000</c:v>
                </c:pt>
                <c:pt idx="78">
                  <c:v>2509000</c:v>
                </c:pt>
                <c:pt idx="79">
                  <c:v>857000</c:v>
                </c:pt>
                <c:pt idx="80">
                  <c:v>1553000</c:v>
                </c:pt>
                <c:pt idx="81">
                  <c:v>2237000</c:v>
                </c:pt>
                <c:pt idx="82">
                  <c:v>1207000</c:v>
                </c:pt>
                <c:pt idx="83">
                  <c:v>2997000</c:v>
                </c:pt>
                <c:pt idx="84">
                  <c:v>2176000</c:v>
                </c:pt>
                <c:pt idx="85">
                  <c:v>1019000</c:v>
                </c:pt>
                <c:pt idx="86">
                  <c:v>3490000</c:v>
                </c:pt>
                <c:pt idx="87">
                  <c:v>3445000</c:v>
                </c:pt>
                <c:pt idx="88">
                  <c:v>791000</c:v>
                </c:pt>
                <c:pt idx="89">
                  <c:v>1873000</c:v>
                </c:pt>
                <c:pt idx="90">
                  <c:v>2125000</c:v>
                </c:pt>
                <c:pt idx="91">
                  <c:v>709000</c:v>
                </c:pt>
                <c:pt idx="92">
                  <c:v>1518000</c:v>
                </c:pt>
              </c:numCache>
            </c:numRef>
          </c:val>
          <c:extLst>
            <c:ext xmlns:c16="http://schemas.microsoft.com/office/drawing/2014/chart" uri="{C3380CC4-5D6E-409C-BE32-E72D297353CC}">
              <c16:uniqueId val="{00000000-A1CA-4A59-BFFA-F9BFFA6FBAC6}"/>
            </c:ext>
          </c:extLst>
        </c:ser>
        <c:dLbls>
          <c:showLegendKey val="0"/>
          <c:showVal val="0"/>
          <c:showCatName val="0"/>
          <c:showSerName val="0"/>
          <c:showPercent val="0"/>
          <c:showBubbleSize val="0"/>
        </c:dLbls>
        <c:gapWidth val="189"/>
        <c:axId val="48185344"/>
        <c:axId val="48174976"/>
      </c:barChart>
      <c:lineChart>
        <c:grouping val="standard"/>
        <c:varyColors val="0"/>
        <c:ser>
          <c:idx val="1"/>
          <c:order val="0"/>
          <c:tx>
            <c:strRef>
              <c:f>'Fig E w ARGUS'!$D$2</c:f>
              <c:strCache>
                <c:ptCount val="1"/>
                <c:pt idx="0">
                  <c:v>ARB Monthly Average Credit Price</c:v>
                </c:pt>
              </c:strCache>
            </c:strRef>
          </c:tx>
          <c:spPr>
            <a:ln w="63500" cap="sq">
              <a:noFill/>
            </a:ln>
          </c:spPr>
          <c:marker>
            <c:symbol val="dash"/>
            <c:size val="9"/>
            <c:spPr>
              <a:solidFill>
                <a:schemeClr val="accent2"/>
              </a:solidFill>
              <a:ln w="12700">
                <a:solidFill>
                  <a:schemeClr val="accent2">
                    <a:shade val="95000"/>
                    <a:satMod val="105000"/>
                  </a:schemeClr>
                </a:solidFill>
              </a:ln>
            </c:spPr>
          </c:marker>
          <c:dPt>
            <c:idx val="12"/>
            <c:bubble3D val="0"/>
            <c:extLst>
              <c:ext xmlns:c16="http://schemas.microsoft.com/office/drawing/2014/chart" uri="{C3380CC4-5D6E-409C-BE32-E72D297353CC}">
                <c16:uniqueId val="{00000001-A1CA-4A59-BFFA-F9BFFA6FBAC6}"/>
              </c:ext>
            </c:extLst>
          </c:dPt>
          <c:cat>
            <c:multiLvlStrRef>
              <c:f>'Fig E w ARGUS'!$A$3:$B$104</c:f>
              <c:multiLvlStrCache>
                <c:ptCount val="90"/>
                <c:lvl>
                  <c:pt idx="0">
                    <c:v>J</c:v>
                  </c:pt>
                  <c:pt idx="1">
                    <c:v>F</c:v>
                  </c:pt>
                  <c:pt idx="2">
                    <c:v>M</c:v>
                  </c:pt>
                  <c:pt idx="3">
                    <c:v>A</c:v>
                  </c:pt>
                  <c:pt idx="4">
                    <c:v>M</c:v>
                  </c:pt>
                  <c:pt idx="5">
                    <c:v>J</c:v>
                  </c:pt>
                  <c:pt idx="6">
                    <c:v>J</c:v>
                  </c:pt>
                  <c:pt idx="7">
                    <c:v>A</c:v>
                  </c:pt>
                  <c:pt idx="8">
                    <c:v>S</c:v>
                  </c:pt>
                  <c:pt idx="9">
                    <c:v>O</c:v>
                  </c:pt>
                  <c:pt idx="10">
                    <c:v>N</c:v>
                  </c:pt>
                  <c:pt idx="11">
                    <c:v>D</c:v>
                  </c:pt>
                  <c:pt idx="12">
                    <c:v>J</c:v>
                  </c:pt>
                  <c:pt idx="13">
                    <c:v>F</c:v>
                  </c:pt>
                  <c:pt idx="14">
                    <c:v>M</c:v>
                  </c:pt>
                  <c:pt idx="15">
                    <c:v>A</c:v>
                  </c:pt>
                  <c:pt idx="16">
                    <c:v>M</c:v>
                  </c:pt>
                  <c:pt idx="17">
                    <c:v>J</c:v>
                  </c:pt>
                  <c:pt idx="18">
                    <c:v>J</c:v>
                  </c:pt>
                  <c:pt idx="19">
                    <c:v>A</c:v>
                  </c:pt>
                  <c:pt idx="20">
                    <c:v>S</c:v>
                  </c:pt>
                  <c:pt idx="21">
                    <c:v>O</c:v>
                  </c:pt>
                  <c:pt idx="22">
                    <c:v>N</c:v>
                  </c:pt>
                  <c:pt idx="23">
                    <c:v>D</c:v>
                  </c:pt>
                  <c:pt idx="24">
                    <c:v>J</c:v>
                  </c:pt>
                  <c:pt idx="25">
                    <c:v>F</c:v>
                  </c:pt>
                  <c:pt idx="26">
                    <c:v>M</c:v>
                  </c:pt>
                  <c:pt idx="27">
                    <c:v>A</c:v>
                  </c:pt>
                  <c:pt idx="28">
                    <c:v>M</c:v>
                  </c:pt>
                  <c:pt idx="29">
                    <c:v>J</c:v>
                  </c:pt>
                  <c:pt idx="30">
                    <c:v>J</c:v>
                  </c:pt>
                  <c:pt idx="31">
                    <c:v>A</c:v>
                  </c:pt>
                  <c:pt idx="32">
                    <c:v>S</c:v>
                  </c:pt>
                  <c:pt idx="33">
                    <c:v>O</c:v>
                  </c:pt>
                  <c:pt idx="34">
                    <c:v>N</c:v>
                  </c:pt>
                  <c:pt idx="35">
                    <c:v>D</c:v>
                  </c:pt>
                  <c:pt idx="36">
                    <c:v>J</c:v>
                  </c:pt>
                  <c:pt idx="37">
                    <c:v>F</c:v>
                  </c:pt>
                  <c:pt idx="38">
                    <c:v>M</c:v>
                  </c:pt>
                  <c:pt idx="39">
                    <c:v>A</c:v>
                  </c:pt>
                  <c:pt idx="40">
                    <c:v>M</c:v>
                  </c:pt>
                  <c:pt idx="41">
                    <c:v>J</c:v>
                  </c:pt>
                  <c:pt idx="42">
                    <c:v>J</c:v>
                  </c:pt>
                  <c:pt idx="43">
                    <c:v>A</c:v>
                  </c:pt>
                  <c:pt idx="44">
                    <c:v>S</c:v>
                  </c:pt>
                  <c:pt idx="45">
                    <c:v>O</c:v>
                  </c:pt>
                  <c:pt idx="46">
                    <c:v>N</c:v>
                  </c:pt>
                  <c:pt idx="47">
                    <c:v>D</c:v>
                  </c:pt>
                  <c:pt idx="48">
                    <c:v>J</c:v>
                  </c:pt>
                  <c:pt idx="49">
                    <c:v>F</c:v>
                  </c:pt>
                  <c:pt idx="50">
                    <c:v>M</c:v>
                  </c:pt>
                  <c:pt idx="51">
                    <c:v>A</c:v>
                  </c:pt>
                  <c:pt idx="52">
                    <c:v>M</c:v>
                  </c:pt>
                  <c:pt idx="53">
                    <c:v>J</c:v>
                  </c:pt>
                  <c:pt idx="54">
                    <c:v>J</c:v>
                  </c:pt>
                  <c:pt idx="55">
                    <c:v>A</c:v>
                  </c:pt>
                  <c:pt idx="56">
                    <c:v>S</c:v>
                  </c:pt>
                  <c:pt idx="57">
                    <c:v>O</c:v>
                  </c:pt>
                  <c:pt idx="58">
                    <c:v>N</c:v>
                  </c:pt>
                  <c:pt idx="59">
                    <c:v>D</c:v>
                  </c:pt>
                  <c:pt idx="60">
                    <c:v>J</c:v>
                  </c:pt>
                  <c:pt idx="61">
                    <c:v>F</c:v>
                  </c:pt>
                  <c:pt idx="62">
                    <c:v>M</c:v>
                  </c:pt>
                  <c:pt idx="63">
                    <c:v>A</c:v>
                  </c:pt>
                  <c:pt idx="64">
                    <c:v>M</c:v>
                  </c:pt>
                  <c:pt idx="65">
                    <c:v>J</c:v>
                  </c:pt>
                  <c:pt idx="66">
                    <c:v>J</c:v>
                  </c:pt>
                  <c:pt idx="67">
                    <c:v>A</c:v>
                  </c:pt>
                  <c:pt idx="68">
                    <c:v>S</c:v>
                  </c:pt>
                  <c:pt idx="69">
                    <c:v>O</c:v>
                  </c:pt>
                  <c:pt idx="70">
                    <c:v>N</c:v>
                  </c:pt>
                  <c:pt idx="71">
                    <c:v>D</c:v>
                  </c:pt>
                  <c:pt idx="72">
                    <c:v>J</c:v>
                  </c:pt>
                  <c:pt idx="73">
                    <c:v>F</c:v>
                  </c:pt>
                  <c:pt idx="74">
                    <c:v>M</c:v>
                  </c:pt>
                  <c:pt idx="75">
                    <c:v>A</c:v>
                  </c:pt>
                  <c:pt idx="76">
                    <c:v>M</c:v>
                  </c:pt>
                  <c:pt idx="77">
                    <c:v>J</c:v>
                  </c:pt>
                  <c:pt idx="78">
                    <c:v>J</c:v>
                  </c:pt>
                  <c:pt idx="79">
                    <c:v>A</c:v>
                  </c:pt>
                  <c:pt idx="80">
                    <c:v>S</c:v>
                  </c:pt>
                  <c:pt idx="81">
                    <c:v>O</c:v>
                  </c:pt>
                  <c:pt idx="82">
                    <c:v>N</c:v>
                  </c:pt>
                  <c:pt idx="83">
                    <c:v>D</c:v>
                  </c:pt>
                  <c:pt idx="84">
                    <c:v>J</c:v>
                  </c:pt>
                  <c:pt idx="85">
                    <c:v>F</c:v>
                  </c:pt>
                  <c:pt idx="86">
                    <c:v>M</c:v>
                  </c:pt>
                  <c:pt idx="87">
                    <c:v>A</c:v>
                  </c:pt>
                  <c:pt idx="88">
                    <c:v>M</c:v>
                  </c:pt>
                  <c:pt idx="89">
                    <c:v>J</c:v>
                  </c:pt>
                </c:lvl>
                <c:lvl>
                  <c:pt idx="0">
                    <c:v>2014</c:v>
                  </c:pt>
                  <c:pt idx="12">
                    <c:v>2015</c:v>
                  </c:pt>
                  <c:pt idx="24">
                    <c:v>2016</c:v>
                  </c:pt>
                  <c:pt idx="36">
                    <c:v>2017</c:v>
                  </c:pt>
                  <c:pt idx="48">
                    <c:v>2018</c:v>
                  </c:pt>
                  <c:pt idx="60">
                    <c:v>2019</c:v>
                  </c:pt>
                  <c:pt idx="72">
                    <c:v>2020</c:v>
                  </c:pt>
                  <c:pt idx="84">
                    <c:v>2021</c:v>
                  </c:pt>
                </c:lvl>
              </c:multiLvlStrCache>
            </c:multiLvlStrRef>
          </c:cat>
          <c:val>
            <c:numRef>
              <c:f>'Fig E w ARGUS'!$D$3:$D$107</c:f>
              <c:numCache>
                <c:formatCode>"$"#,##0</c:formatCode>
                <c:ptCount val="93"/>
                <c:pt idx="0">
                  <c:v>45.428600000000003</c:v>
                </c:pt>
                <c:pt idx="1">
                  <c:v>45.842100000000002</c:v>
                </c:pt>
                <c:pt idx="2">
                  <c:v>35.8095</c:v>
                </c:pt>
                <c:pt idx="3">
                  <c:v>20.5</c:v>
                </c:pt>
                <c:pt idx="4">
                  <c:v>25.3095</c:v>
                </c:pt>
                <c:pt idx="5">
                  <c:v>27.595199999999998</c:v>
                </c:pt>
                <c:pt idx="6">
                  <c:v>29.5</c:v>
                </c:pt>
                <c:pt idx="7">
                  <c:v>28.119</c:v>
                </c:pt>
                <c:pt idx="8">
                  <c:v>26.928599999999999</c:v>
                </c:pt>
                <c:pt idx="9">
                  <c:v>27.5</c:v>
                </c:pt>
                <c:pt idx="10">
                  <c:v>25.5</c:v>
                </c:pt>
                <c:pt idx="11">
                  <c:v>26.095199999999998</c:v>
                </c:pt>
                <c:pt idx="12">
                  <c:v>24.3</c:v>
                </c:pt>
                <c:pt idx="13">
                  <c:v>22.328900000000001</c:v>
                </c:pt>
                <c:pt idx="14">
                  <c:v>21.8977</c:v>
                </c:pt>
                <c:pt idx="15">
                  <c:v>21.595199999999998</c:v>
                </c:pt>
                <c:pt idx="16">
                  <c:v>21.375</c:v>
                </c:pt>
                <c:pt idx="17">
                  <c:v>33.681800000000003</c:v>
                </c:pt>
                <c:pt idx="18">
                  <c:v>52.363599999999998</c:v>
                </c:pt>
                <c:pt idx="19">
                  <c:v>59.261899999999997</c:v>
                </c:pt>
                <c:pt idx="20">
                  <c:v>67.904799999999994</c:v>
                </c:pt>
                <c:pt idx="21">
                  <c:v>81.0227</c:v>
                </c:pt>
                <c:pt idx="22">
                  <c:v>99.973699999999994</c:v>
                </c:pt>
                <c:pt idx="23">
                  <c:v>116.36360000000001</c:v>
                </c:pt>
                <c:pt idx="24">
                  <c:v>119.8421</c:v>
                </c:pt>
                <c:pt idx="25">
                  <c:v>126.175</c:v>
                </c:pt>
                <c:pt idx="26">
                  <c:v>125.6591</c:v>
                </c:pt>
                <c:pt idx="27">
                  <c:v>120.52379999999999</c:v>
                </c:pt>
                <c:pt idx="28">
                  <c:v>114.5714</c:v>
                </c:pt>
                <c:pt idx="29">
                  <c:v>101.11360000000001</c:v>
                </c:pt>
                <c:pt idx="30">
                  <c:v>64.825000000000003</c:v>
                </c:pt>
                <c:pt idx="31">
                  <c:v>72.456500000000005</c:v>
                </c:pt>
                <c:pt idx="32">
                  <c:v>93.428600000000003</c:v>
                </c:pt>
                <c:pt idx="33">
                  <c:v>85.357100000000003</c:v>
                </c:pt>
                <c:pt idx="34">
                  <c:v>92.075000000000003</c:v>
                </c:pt>
                <c:pt idx="35">
                  <c:v>90.3095</c:v>
                </c:pt>
                <c:pt idx="36">
                  <c:v>97.674999999999997</c:v>
                </c:pt>
                <c:pt idx="37">
                  <c:v>95.578900000000004</c:v>
                </c:pt>
                <c:pt idx="38">
                  <c:v>83.826099999999997</c:v>
                </c:pt>
                <c:pt idx="39">
                  <c:v>78.631600000000006</c:v>
                </c:pt>
                <c:pt idx="40">
                  <c:v>72.568200000000004</c:v>
                </c:pt>
                <c:pt idx="41">
                  <c:v>74.545500000000004</c:v>
                </c:pt>
                <c:pt idx="42">
                  <c:v>75.337500000000006</c:v>
                </c:pt>
                <c:pt idx="43">
                  <c:v>91.472800000000007</c:v>
                </c:pt>
                <c:pt idx="44">
                  <c:v>93.15</c:v>
                </c:pt>
                <c:pt idx="45">
                  <c:v>94.806799999999996</c:v>
                </c:pt>
                <c:pt idx="46">
                  <c:v>102.8875</c:v>
                </c:pt>
                <c:pt idx="47">
                  <c:v>109.4</c:v>
                </c:pt>
                <c:pt idx="48">
                  <c:v>134.52379999999999</c:v>
                </c:pt>
                <c:pt idx="49">
                  <c:v>139.6447</c:v>
                </c:pt>
                <c:pt idx="50">
                  <c:v>130.1429</c:v>
                </c:pt>
                <c:pt idx="51">
                  <c:v>149.119</c:v>
                </c:pt>
                <c:pt idx="52">
                  <c:v>157.125</c:v>
                </c:pt>
                <c:pt idx="53">
                  <c:v>179</c:v>
                </c:pt>
                <c:pt idx="54">
                  <c:v>186.2619</c:v>
                </c:pt>
                <c:pt idx="55">
                  <c:v>184.13040000000001</c:v>
                </c:pt>
                <c:pt idx="56">
                  <c:v>183.2895</c:v>
                </c:pt>
                <c:pt idx="57">
                  <c:v>189.1848</c:v>
                </c:pt>
                <c:pt idx="58">
                  <c:v>188.36250000000001</c:v>
                </c:pt>
                <c:pt idx="59">
                  <c:v>196.66249999999999</c:v>
                </c:pt>
                <c:pt idx="60">
                  <c:v>191.17259999999999</c:v>
                </c:pt>
                <c:pt idx="61">
                  <c:v>195.55260000000001</c:v>
                </c:pt>
                <c:pt idx="62">
                  <c:v>194.97620000000001</c:v>
                </c:pt>
                <c:pt idx="63">
                  <c:v>185.82140000000001</c:v>
                </c:pt>
                <c:pt idx="64">
                  <c:v>187.4091</c:v>
                </c:pt>
                <c:pt idx="65">
                  <c:v>191.7</c:v>
                </c:pt>
                <c:pt idx="66">
                  <c:v>196.75</c:v>
                </c:pt>
                <c:pt idx="67">
                  <c:v>196.875</c:v>
                </c:pt>
                <c:pt idx="68">
                  <c:v>199.6063</c:v>
                </c:pt>
                <c:pt idx="69">
                  <c:v>202.9239</c:v>
                </c:pt>
                <c:pt idx="70">
                  <c:v>207.88159999999999</c:v>
                </c:pt>
                <c:pt idx="71">
                  <c:v>206.46430000000001</c:v>
                </c:pt>
                <c:pt idx="72">
                  <c:v>209.13300000000001</c:v>
                </c:pt>
                <c:pt idx="73">
                  <c:v>210.36840000000001</c:v>
                </c:pt>
                <c:pt idx="74">
                  <c:v>199.5</c:v>
                </c:pt>
                <c:pt idx="75">
                  <c:v>193.21430000000001</c:v>
                </c:pt>
                <c:pt idx="76">
                  <c:v>201.95</c:v>
                </c:pt>
                <c:pt idx="77">
                  <c:v>208.7955</c:v>
                </c:pt>
                <c:pt idx="78">
                  <c:v>197.6591</c:v>
                </c:pt>
                <c:pt idx="79">
                  <c:v>192.42859999999999</c:v>
                </c:pt>
                <c:pt idx="80">
                  <c:v>197.2619</c:v>
                </c:pt>
                <c:pt idx="81">
                  <c:v>195.77269999999999</c:v>
                </c:pt>
                <c:pt idx="82">
                  <c:v>198.72370000000001</c:v>
                </c:pt>
                <c:pt idx="83">
                  <c:v>198.97730000000001</c:v>
                </c:pt>
                <c:pt idx="84">
                  <c:v>199.8355</c:v>
                </c:pt>
                <c:pt idx="85">
                  <c:v>192.9605</c:v>
                </c:pt>
                <c:pt idx="86">
                  <c:v>192.99459999999999</c:v>
                </c:pt>
                <c:pt idx="87">
                  <c:v>177.96430000000001</c:v>
                </c:pt>
                <c:pt idx="88">
                  <c:v>187.78749999999999</c:v>
                </c:pt>
                <c:pt idx="89">
                  <c:v>189.01140000000001</c:v>
                </c:pt>
                <c:pt idx="90">
                  <c:v>179.2619</c:v>
                </c:pt>
                <c:pt idx="91">
                  <c:v>180.51140000000001</c:v>
                </c:pt>
                <c:pt idx="92">
                  <c:v>166.91669999999999</c:v>
                </c:pt>
              </c:numCache>
            </c:numRef>
          </c:val>
          <c:smooth val="0"/>
          <c:extLst>
            <c:ext xmlns:c16="http://schemas.microsoft.com/office/drawing/2014/chart" uri="{C3380CC4-5D6E-409C-BE32-E72D297353CC}">
              <c16:uniqueId val="{00000002-A1CA-4A59-BFFA-F9BFFA6FBAC6}"/>
            </c:ext>
          </c:extLst>
        </c:ser>
        <c:dLbls>
          <c:showLegendKey val="0"/>
          <c:showVal val="0"/>
          <c:showCatName val="0"/>
          <c:showSerName val="0"/>
          <c:showPercent val="0"/>
          <c:showBubbleSize val="0"/>
        </c:dLbls>
        <c:marker val="1"/>
        <c:smooth val="0"/>
        <c:axId val="47904640"/>
        <c:axId val="48173056"/>
      </c:lineChart>
      <c:catAx>
        <c:axId val="47904640"/>
        <c:scaling>
          <c:orientation val="minMax"/>
        </c:scaling>
        <c:delete val="0"/>
        <c:axPos val="b"/>
        <c:numFmt formatCode="General" sourceLinked="0"/>
        <c:majorTickMark val="out"/>
        <c:minorTickMark val="none"/>
        <c:tickLblPos val="low"/>
        <c:txPr>
          <a:bodyPr rot="0" vert="horz"/>
          <a:lstStyle/>
          <a:p>
            <a:pPr>
              <a:defRPr sz="1200"/>
            </a:pPr>
            <a:endParaRPr lang="en-US"/>
          </a:p>
        </c:txPr>
        <c:crossAx val="48173056"/>
        <c:crosses val="autoZero"/>
        <c:auto val="0"/>
        <c:lblAlgn val="ctr"/>
        <c:lblOffset val="100"/>
        <c:tickLblSkip val="1"/>
        <c:noMultiLvlLbl val="1"/>
      </c:catAx>
      <c:valAx>
        <c:axId val="48173056"/>
        <c:scaling>
          <c:orientation val="minMax"/>
        </c:scaling>
        <c:delete val="0"/>
        <c:axPos val="l"/>
        <c:majorGridlines/>
        <c:title>
          <c:tx>
            <c:rich>
              <a:bodyPr rot="-5400000" vert="horz"/>
              <a:lstStyle/>
              <a:p>
                <a:pPr>
                  <a:defRPr sz="1400">
                    <a:solidFill>
                      <a:schemeClr val="accent2">
                        <a:lumMod val="75000"/>
                      </a:schemeClr>
                    </a:solidFill>
                  </a:defRPr>
                </a:pPr>
                <a:r>
                  <a:rPr lang="en-US" sz="1400">
                    <a:solidFill>
                      <a:schemeClr val="accent2">
                        <a:lumMod val="75000"/>
                      </a:schemeClr>
                    </a:solidFill>
                  </a:rPr>
                  <a:t>Credit Price  ($/Metric  Ton)</a:t>
                </a:r>
              </a:p>
            </c:rich>
          </c:tx>
          <c:overlay val="0"/>
        </c:title>
        <c:numFmt formatCode="&quot;$&quot;#,##0" sourceLinked="1"/>
        <c:majorTickMark val="out"/>
        <c:minorTickMark val="none"/>
        <c:tickLblPos val="nextTo"/>
        <c:txPr>
          <a:bodyPr/>
          <a:lstStyle/>
          <a:p>
            <a:pPr>
              <a:defRPr>
                <a:solidFill>
                  <a:schemeClr val="accent2">
                    <a:lumMod val="75000"/>
                  </a:schemeClr>
                </a:solidFill>
              </a:defRPr>
            </a:pPr>
            <a:endParaRPr lang="en-US"/>
          </a:p>
        </c:txPr>
        <c:crossAx val="47904640"/>
        <c:crosses val="autoZero"/>
        <c:crossBetween val="between"/>
      </c:valAx>
      <c:valAx>
        <c:axId val="48174976"/>
        <c:scaling>
          <c:orientation val="minMax"/>
        </c:scaling>
        <c:delete val="0"/>
        <c:axPos val="r"/>
        <c:title>
          <c:tx>
            <c:rich>
              <a:bodyPr rot="-5400000" vert="horz"/>
              <a:lstStyle/>
              <a:p>
                <a:pPr>
                  <a:defRPr sz="1400">
                    <a:solidFill>
                      <a:schemeClr val="tx2"/>
                    </a:solidFill>
                  </a:defRPr>
                </a:pPr>
                <a:r>
                  <a:rPr lang="en-US" sz="1400">
                    <a:solidFill>
                      <a:schemeClr val="tx2"/>
                    </a:solidFill>
                  </a:rPr>
                  <a:t>Volume Transacted (metric tons CO</a:t>
                </a:r>
                <a:r>
                  <a:rPr lang="en-US" sz="1400" baseline="-25000">
                    <a:solidFill>
                      <a:schemeClr val="tx2"/>
                    </a:solidFill>
                  </a:rPr>
                  <a:t>2</a:t>
                </a:r>
                <a:r>
                  <a:rPr lang="en-US" sz="1400">
                    <a:solidFill>
                      <a:schemeClr val="tx2"/>
                    </a:solidFill>
                  </a:rPr>
                  <a:t>e)</a:t>
                </a:r>
              </a:p>
            </c:rich>
          </c:tx>
          <c:layout>
            <c:manualLayout>
              <c:xMode val="edge"/>
              <c:yMode val="edge"/>
              <c:x val="0.96528777024020362"/>
              <c:y val="0.17040277372735815"/>
            </c:manualLayout>
          </c:layout>
          <c:overlay val="0"/>
        </c:title>
        <c:numFmt formatCode="#,##0" sourceLinked="0"/>
        <c:majorTickMark val="out"/>
        <c:minorTickMark val="none"/>
        <c:tickLblPos val="nextTo"/>
        <c:txPr>
          <a:bodyPr/>
          <a:lstStyle/>
          <a:p>
            <a:pPr>
              <a:defRPr>
                <a:solidFill>
                  <a:schemeClr val="tx2"/>
                </a:solidFill>
              </a:defRPr>
            </a:pPr>
            <a:endParaRPr lang="en-US"/>
          </a:p>
        </c:txPr>
        <c:crossAx val="48185344"/>
        <c:crosses val="max"/>
        <c:crossBetween val="between"/>
      </c:valAx>
      <c:catAx>
        <c:axId val="48185344"/>
        <c:scaling>
          <c:orientation val="minMax"/>
        </c:scaling>
        <c:delete val="1"/>
        <c:axPos val="b"/>
        <c:numFmt formatCode="General" sourceLinked="1"/>
        <c:majorTickMark val="out"/>
        <c:minorTickMark val="none"/>
        <c:tickLblPos val="nextTo"/>
        <c:crossAx val="48174976"/>
        <c:crosses val="autoZero"/>
        <c:auto val="1"/>
        <c:lblAlgn val="ctr"/>
        <c:lblOffset val="100"/>
        <c:noMultiLvlLbl val="1"/>
      </c:catAx>
    </c:plotArea>
    <c:legend>
      <c:legendPos val="r"/>
      <c:layout>
        <c:manualLayout>
          <c:xMode val="edge"/>
          <c:yMode val="edge"/>
          <c:x val="0.12428814930228492"/>
          <c:y val="9.4385785256632007E-2"/>
          <c:w val="0.2497278264529551"/>
          <c:h val="0.18863355043582516"/>
        </c:manualLayout>
      </c:layout>
      <c:overlay val="0"/>
      <c:spPr>
        <a:solidFill>
          <a:schemeClr val="bg1"/>
        </a:solidFill>
        <a:ln>
          <a:solidFill>
            <a:sysClr val="windowText" lastClr="000000"/>
          </a:solidFill>
        </a:ln>
      </c:spPr>
      <c:txPr>
        <a:bodyPr/>
        <a:lstStyle/>
        <a:p>
          <a:pPr>
            <a:defRPr sz="1400"/>
          </a:pPr>
          <a:endParaRPr lang="en-US"/>
        </a:p>
      </c:txPr>
    </c:legend>
    <c:plotVisOnly val="1"/>
    <c:dispBlanksAs val="gap"/>
    <c:showDLblsOverMax val="0"/>
  </c:chart>
  <c:txPr>
    <a:bodyPr/>
    <a:lstStyle/>
    <a:p>
      <a:pPr>
        <a:defRPr sz="1200"/>
      </a:pPr>
      <a:endParaRPr lang="en-US"/>
    </a:p>
  </c:txPr>
  <c:printSettings>
    <c:headerFooter/>
    <c:pageMargins b="1" l="0.75" r="0.75" t="1" header="0.5" footer="0.5"/>
    <c:pageSetup orientation="portrait" horizontalDpi="-4" verticalDpi="-4"/>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532873630387144"/>
          <c:y val="8.0392588962382369E-2"/>
          <c:w val="0.58775678597516434"/>
          <c:h val="0.7248367305992629"/>
        </c:manualLayout>
      </c:layout>
      <c:ofPieChart>
        <c:ofPieType val="bar"/>
        <c:varyColors val="1"/>
        <c:ser>
          <c:idx val="5"/>
          <c:order val="0"/>
          <c:tx>
            <c:strRef>
              <c:f>'Fig10'!$K$2</c:f>
              <c:strCache>
                <c:ptCount val="1"/>
                <c:pt idx="0">
                  <c:v>2020</c:v>
                </c:pt>
              </c:strCache>
            </c:strRef>
          </c:tx>
          <c:dPt>
            <c:idx val="0"/>
            <c:bubble3D val="0"/>
            <c:spPr>
              <a:solidFill>
                <a:schemeClr val="accent2"/>
              </a:solidFill>
              <a:ln>
                <a:noFill/>
              </a:ln>
              <a:effectLst/>
            </c:spPr>
            <c:extLst>
              <c:ext xmlns:c16="http://schemas.microsoft.com/office/drawing/2014/chart" uri="{C3380CC4-5D6E-409C-BE32-E72D297353CC}">
                <c16:uniqueId val="{00000001-B414-47BB-B31D-63F9742EF065}"/>
              </c:ext>
            </c:extLst>
          </c:dPt>
          <c:dPt>
            <c:idx val="1"/>
            <c:bubble3D val="0"/>
            <c:spPr>
              <a:solidFill>
                <a:schemeClr val="accent6"/>
              </a:solidFill>
              <a:ln>
                <a:noFill/>
              </a:ln>
              <a:effectLst/>
            </c:spPr>
            <c:extLst>
              <c:ext xmlns:c16="http://schemas.microsoft.com/office/drawing/2014/chart" uri="{C3380CC4-5D6E-409C-BE32-E72D297353CC}">
                <c16:uniqueId val="{00000003-B414-47BB-B31D-63F9742EF065}"/>
              </c:ext>
            </c:extLst>
          </c:dPt>
          <c:dPt>
            <c:idx val="2"/>
            <c:bubble3D val="0"/>
            <c:spPr>
              <a:solidFill>
                <a:srgbClr val="0070C0"/>
              </a:solidFill>
              <a:ln>
                <a:noFill/>
              </a:ln>
              <a:effectLst/>
            </c:spPr>
            <c:extLst>
              <c:ext xmlns:c16="http://schemas.microsoft.com/office/drawing/2014/chart" uri="{C3380CC4-5D6E-409C-BE32-E72D297353CC}">
                <c16:uniqueId val="{00000005-B414-47BB-B31D-63F9742EF065}"/>
              </c:ext>
            </c:extLst>
          </c:dPt>
          <c:dPt>
            <c:idx val="3"/>
            <c:bubble3D val="0"/>
            <c:spPr>
              <a:solidFill>
                <a:schemeClr val="accent2">
                  <a:lumMod val="60000"/>
                </a:schemeClr>
              </a:solidFill>
              <a:ln>
                <a:noFill/>
              </a:ln>
              <a:effectLst/>
            </c:spPr>
            <c:extLst>
              <c:ext xmlns:c16="http://schemas.microsoft.com/office/drawing/2014/chart" uri="{C3380CC4-5D6E-409C-BE32-E72D297353CC}">
                <c16:uniqueId val="{00000007-B414-47BB-B31D-63F9742EF065}"/>
              </c:ext>
            </c:extLst>
          </c:dPt>
          <c:dPt>
            <c:idx val="4"/>
            <c:bubble3D val="0"/>
            <c:spPr>
              <a:solidFill>
                <a:schemeClr val="accent1">
                  <a:lumMod val="40000"/>
                  <a:lumOff val="60000"/>
                </a:schemeClr>
              </a:solidFill>
              <a:ln>
                <a:noFill/>
              </a:ln>
              <a:effectLst/>
            </c:spPr>
            <c:extLst>
              <c:ext xmlns:c16="http://schemas.microsoft.com/office/drawing/2014/chart" uri="{C3380CC4-5D6E-409C-BE32-E72D297353CC}">
                <c16:uniqueId val="{00000009-B414-47BB-B31D-63F9742EF065}"/>
              </c:ext>
            </c:extLst>
          </c:dPt>
          <c:dPt>
            <c:idx val="5"/>
            <c:bubble3D val="0"/>
            <c:spPr>
              <a:solidFill>
                <a:schemeClr val="accent6">
                  <a:lumMod val="60000"/>
                </a:schemeClr>
              </a:solidFill>
              <a:ln>
                <a:noFill/>
              </a:ln>
              <a:effectLst/>
            </c:spPr>
            <c:extLst>
              <c:ext xmlns:c16="http://schemas.microsoft.com/office/drawing/2014/chart" uri="{C3380CC4-5D6E-409C-BE32-E72D297353CC}">
                <c16:uniqueId val="{0000000B-B414-47BB-B31D-63F9742EF065}"/>
              </c:ext>
            </c:extLst>
          </c:dPt>
          <c:dPt>
            <c:idx val="6"/>
            <c:bubble3D val="0"/>
            <c:spPr>
              <a:solidFill>
                <a:schemeClr val="accent2">
                  <a:lumMod val="80000"/>
                  <a:lumOff val="20000"/>
                </a:schemeClr>
              </a:solidFill>
              <a:ln>
                <a:noFill/>
              </a:ln>
              <a:effectLst/>
            </c:spPr>
            <c:extLst>
              <c:ext xmlns:c16="http://schemas.microsoft.com/office/drawing/2014/chart" uri="{C3380CC4-5D6E-409C-BE32-E72D297353CC}">
                <c16:uniqueId val="{0000000D-B414-47BB-B31D-63F9742EF065}"/>
              </c:ext>
            </c:extLst>
          </c:dPt>
          <c:dPt>
            <c:idx val="7"/>
            <c:bubble3D val="0"/>
            <c:spPr>
              <a:solidFill>
                <a:schemeClr val="accent4">
                  <a:lumMod val="80000"/>
                  <a:lumOff val="20000"/>
                </a:schemeClr>
              </a:solidFill>
              <a:ln>
                <a:noFill/>
              </a:ln>
              <a:effectLst/>
            </c:spPr>
            <c:extLst>
              <c:ext xmlns:c16="http://schemas.microsoft.com/office/drawing/2014/chart" uri="{C3380CC4-5D6E-409C-BE32-E72D297353CC}">
                <c16:uniqueId val="{0000000F-B414-47BB-B31D-63F9742EF065}"/>
              </c:ext>
            </c:extLst>
          </c:dPt>
          <c:dPt>
            <c:idx val="8"/>
            <c:bubble3D val="0"/>
            <c:spPr>
              <a:solidFill>
                <a:srgbClr val="C00000"/>
              </a:solidFill>
              <a:ln>
                <a:noFill/>
              </a:ln>
              <a:effectLst/>
            </c:spPr>
            <c:extLst>
              <c:ext xmlns:c16="http://schemas.microsoft.com/office/drawing/2014/chart" uri="{C3380CC4-5D6E-409C-BE32-E72D297353CC}">
                <c16:uniqueId val="{00000011-B414-47BB-B31D-63F9742EF065}"/>
              </c:ext>
            </c:extLst>
          </c:dPt>
          <c:dPt>
            <c:idx val="9"/>
            <c:bubble3D val="0"/>
            <c:spPr>
              <a:solidFill>
                <a:srgbClr val="92D050"/>
              </a:solidFill>
              <a:ln>
                <a:noFill/>
              </a:ln>
              <a:effectLst/>
            </c:spPr>
            <c:extLst>
              <c:ext xmlns:c16="http://schemas.microsoft.com/office/drawing/2014/chart" uri="{C3380CC4-5D6E-409C-BE32-E72D297353CC}">
                <c16:uniqueId val="{00000013-B414-47BB-B31D-63F9742EF065}"/>
              </c:ext>
            </c:extLst>
          </c:dPt>
          <c:dPt>
            <c:idx val="10"/>
            <c:bubble3D val="0"/>
            <c:spPr>
              <a:solidFill>
                <a:schemeClr val="bg2">
                  <a:lumMod val="10000"/>
                </a:schemeClr>
              </a:solidFill>
              <a:ln>
                <a:noFill/>
              </a:ln>
              <a:effectLst/>
            </c:spPr>
            <c:extLst>
              <c:ext xmlns:c16="http://schemas.microsoft.com/office/drawing/2014/chart" uri="{C3380CC4-5D6E-409C-BE32-E72D297353CC}">
                <c16:uniqueId val="{00000015-B414-47BB-B31D-63F9742EF065}"/>
              </c:ext>
            </c:extLst>
          </c:dPt>
          <c:dPt>
            <c:idx val="11"/>
            <c:bubble3D val="0"/>
            <c:spPr>
              <a:solidFill>
                <a:schemeClr val="accent6">
                  <a:lumMod val="80000"/>
                </a:schemeClr>
              </a:solidFill>
              <a:ln>
                <a:noFill/>
              </a:ln>
              <a:effectLst/>
            </c:spPr>
            <c:extLst>
              <c:ext xmlns:c16="http://schemas.microsoft.com/office/drawing/2014/chart" uri="{C3380CC4-5D6E-409C-BE32-E72D297353CC}">
                <c16:uniqueId val="{00000017-B414-47BB-B31D-63F9742EF065}"/>
              </c:ext>
            </c:extLst>
          </c:dPt>
          <c:dPt>
            <c:idx val="12"/>
            <c:bubble3D val="0"/>
            <c:spPr>
              <a:solidFill>
                <a:schemeClr val="accent2">
                  <a:lumMod val="60000"/>
                  <a:lumOff val="40000"/>
                </a:schemeClr>
              </a:solidFill>
              <a:ln>
                <a:noFill/>
              </a:ln>
              <a:effectLst/>
            </c:spPr>
            <c:extLst>
              <c:ext xmlns:c16="http://schemas.microsoft.com/office/drawing/2014/chart" uri="{C3380CC4-5D6E-409C-BE32-E72D297353CC}">
                <c16:uniqueId val="{00000019-B414-47BB-B31D-63F9742EF065}"/>
              </c:ext>
            </c:extLst>
          </c:dPt>
          <c:dPt>
            <c:idx val="13"/>
            <c:bubble3D val="0"/>
            <c:spPr>
              <a:solidFill>
                <a:schemeClr val="accent4">
                  <a:lumMod val="60000"/>
                  <a:lumOff val="40000"/>
                </a:schemeClr>
              </a:solidFill>
              <a:ln>
                <a:noFill/>
              </a:ln>
              <a:effectLst/>
            </c:spPr>
            <c:extLst>
              <c:ext xmlns:c16="http://schemas.microsoft.com/office/drawing/2014/chart" uri="{C3380CC4-5D6E-409C-BE32-E72D297353CC}">
                <c16:uniqueId val="{0000001B-B414-47BB-B31D-63F9742EF065}"/>
              </c:ext>
            </c:extLst>
          </c:dPt>
          <c:dPt>
            <c:idx val="14"/>
            <c:bubble3D val="0"/>
            <c:spPr>
              <a:pattFill prst="horzBrick">
                <a:fgClr>
                  <a:schemeClr val="accent1">
                    <a:lumMod val="75000"/>
                  </a:schemeClr>
                </a:fgClr>
                <a:bgClr>
                  <a:schemeClr val="bg1"/>
                </a:bgClr>
              </a:pattFill>
              <a:ln>
                <a:noFill/>
              </a:ln>
              <a:effectLst/>
            </c:spPr>
            <c:extLst>
              <c:ext xmlns:c16="http://schemas.microsoft.com/office/drawing/2014/chart" uri="{C3380CC4-5D6E-409C-BE32-E72D297353CC}">
                <c16:uniqueId val="{0000001D-B414-47BB-B31D-63F9742EF065}"/>
              </c:ext>
            </c:extLst>
          </c:dPt>
          <c:cat>
            <c:strRef>
              <c:f>'Fig10'!$A$19:$A$32</c:f>
              <c:strCache>
                <c:ptCount val="14"/>
                <c:pt idx="0">
                  <c:v>Imported Biodiesel-Residue</c:v>
                </c:pt>
                <c:pt idx="1">
                  <c:v>Imported Biodiesel-Crop</c:v>
                </c:pt>
                <c:pt idx="2">
                  <c:v>Imported Ethanol-Starch</c:v>
                </c:pt>
                <c:pt idx="3">
                  <c:v>Imported Ethanol-Residue</c:v>
                </c:pt>
                <c:pt idx="4">
                  <c:v>Imported Ethanol-Sugarcane</c:v>
                </c:pt>
                <c:pt idx="5">
                  <c:v>Imported Renewable Diesel-Residue</c:v>
                </c:pt>
                <c:pt idx="6">
                  <c:v>Imported Renewable Diesel-Crop</c:v>
                </c:pt>
                <c:pt idx="7">
                  <c:v>CA Biodiesel-Residue</c:v>
                </c:pt>
                <c:pt idx="8">
                  <c:v>CA Biodiesel-Crop</c:v>
                </c:pt>
                <c:pt idx="9">
                  <c:v>CA Ethanol-Starch</c:v>
                </c:pt>
                <c:pt idx="10">
                  <c:v>CA Ethanol-Residue</c:v>
                </c:pt>
                <c:pt idx="11">
                  <c:v>CA Ethanol-Sugarcane</c:v>
                </c:pt>
                <c:pt idx="12">
                  <c:v>CA Renewable Diesel-Residue</c:v>
                </c:pt>
                <c:pt idx="13">
                  <c:v>CA Renewable Diesel-Crop</c:v>
                </c:pt>
              </c:strCache>
            </c:strRef>
          </c:cat>
          <c:val>
            <c:numRef>
              <c:f>'Fig10'!$K$19:$K$32</c:f>
              <c:numCache>
                <c:formatCode>_(* #,##0_);_(* \(#,##0\);_(* "-"??_);_(@_)</c:formatCode>
                <c:ptCount val="14"/>
                <c:pt idx="0">
                  <c:v>104725250</c:v>
                </c:pt>
                <c:pt idx="1">
                  <c:v>12981286</c:v>
                </c:pt>
                <c:pt idx="2">
                  <c:v>697417156</c:v>
                </c:pt>
                <c:pt idx="3">
                  <c:v>93317403</c:v>
                </c:pt>
                <c:pt idx="4">
                  <c:v>39878286</c:v>
                </c:pt>
                <c:pt idx="5">
                  <c:v>327144204</c:v>
                </c:pt>
                <c:pt idx="6">
                  <c:v>0</c:v>
                </c:pt>
                <c:pt idx="7">
                  <c:v>37678896</c:v>
                </c:pt>
                <c:pt idx="8">
                  <c:v>974321</c:v>
                </c:pt>
                <c:pt idx="9">
                  <c:v>83644910</c:v>
                </c:pt>
                <c:pt idx="10">
                  <c:v>728828</c:v>
                </c:pt>
                <c:pt idx="11">
                  <c:v>0</c:v>
                </c:pt>
                <c:pt idx="12">
                  <c:v>0</c:v>
                </c:pt>
                <c:pt idx="13">
                  <c:v>0</c:v>
                </c:pt>
              </c:numCache>
            </c:numRef>
          </c:val>
          <c:extLst>
            <c:ext xmlns:c16="http://schemas.microsoft.com/office/drawing/2014/chart" uri="{C3380CC4-5D6E-409C-BE32-E72D297353CC}">
              <c16:uniqueId val="{0000001E-B414-47BB-B31D-63F9742EF065}"/>
            </c:ext>
          </c:extLst>
        </c:ser>
        <c:dLbls>
          <c:showLegendKey val="0"/>
          <c:showVal val="0"/>
          <c:showCatName val="0"/>
          <c:showSerName val="0"/>
          <c:showPercent val="0"/>
          <c:showBubbleSize val="0"/>
          <c:showLeaderLines val="0"/>
        </c:dLbls>
        <c:gapWidth val="100"/>
        <c:splitType val="pos"/>
        <c:splitPos val="7"/>
        <c:secondPieSize val="75"/>
        <c:serLines>
          <c:spPr>
            <a:ln w="6350" cap="flat" cmpd="sng" algn="ctr">
              <a:solidFill>
                <a:schemeClr val="tx1"/>
              </a:solidFill>
              <a:prstDash val="solid"/>
              <a:round/>
            </a:ln>
            <a:effectLst/>
          </c:spPr>
        </c:serLines>
      </c:ofPieChart>
      <c:spPr>
        <a:noFill/>
        <a:ln>
          <a:noFill/>
        </a:ln>
        <a:effectLst/>
      </c:spPr>
    </c:plotArea>
    <c:plotVisOnly val="1"/>
    <c:dispBlanksAs val="gap"/>
    <c:showDLblsOverMax val="0"/>
  </c:chart>
  <c:spPr>
    <a:solidFill>
      <a:schemeClr val="bg1"/>
    </a:solidFill>
    <a:ln w="6350" cap="flat" cmpd="sng" algn="ctr">
      <a:noFill/>
      <a:prstDash val="solid"/>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4.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6.xml"/></Relationships>
</file>

<file path=xl/chartsheets/_rels/sheet3.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6.bin"/></Relationships>
</file>

<file path=xl/chartsheets/_rels/sheet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7.bin"/></Relationships>
</file>

<file path=xl/chartsheets/_rels/sheet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8.bin"/></Relationships>
</file>

<file path=xl/chartsheets/_rels/sheet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9.bin"/></Relationships>
</file>

<file path=xl/chartsheets/_rels/sheet7.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0.bin"/></Relationships>
</file>

<file path=xl/chartsheets/_rels/sheet8.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1.bin"/></Relationships>
</file>

<file path=xl/chartsheets/_rels/sheet9.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12.bin"/></Relationships>
</file>

<file path=xl/chartsheets/_rels/sheet10.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13.bin"/></Relationships>
</file>

<file path=xl/chartsheets/_rels/sheet11.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14.bin"/></Relationships>
</file>

<file path=xl/chartsheets/_rels/sheet12.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15.bin"/></Relationships>
</file>

<file path=xl/chartsheets/_rels/sheet13.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16.bin"/></Relationships>
</file>

<file path=xl/chartsheets/_rels/sheet14.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17.bin"/></Relationships>
</file>

<file path=xl/chartsheets/_rels/sheet15.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18.bin"/></Relationships>
</file>

<file path=xl/chartsheets/_rels/sheet16.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19.bin"/></Relationships>
</file>

<file path=xl/chartsheets/_rels/sheet17.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20.bin"/></Relationships>
</file>

<file path=xl/chartsheets/_rels/sheet18.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21.bin"/></Relationships>
</file>

<file path=xl/chartsheets/_rels/sheet19.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rinterSettings" Target="../printerSettings/printerSettings22.bin"/></Relationships>
</file>

<file path=xl/chartsheets/_rels/sheet20.xml.rels><?xml version="1.0" encoding="UTF-8" standalone="yes"?>
<Relationships xmlns="http://schemas.openxmlformats.org/package/2006/relationships"><Relationship Id="rId2" Type="http://schemas.openxmlformats.org/officeDocument/2006/relationships/drawing" Target="../drawings/drawing43.xml"/><Relationship Id="rId1" Type="http://schemas.openxmlformats.org/officeDocument/2006/relationships/printerSettings" Target="../printerSettings/printerSettings23.bin"/></Relationships>
</file>

<file path=xl/chartsheets/_rels/sheet21.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printerSettings" Target="../printerSettings/printerSettings24.bin"/></Relationships>
</file>

<file path=xl/chartsheets/_rels/sheet22.xml.rels><?xml version="1.0" encoding="UTF-8" standalone="yes"?>
<Relationships xmlns="http://schemas.openxmlformats.org/package/2006/relationships"><Relationship Id="rId2" Type="http://schemas.openxmlformats.org/officeDocument/2006/relationships/drawing" Target="../drawings/drawing47.xml"/><Relationship Id="rId1" Type="http://schemas.openxmlformats.org/officeDocument/2006/relationships/printerSettings" Target="../printerSettings/printerSettings25.bin"/></Relationships>
</file>

<file path=xl/chartsheets/_rels/sheet23.xml.rels><?xml version="1.0" encoding="UTF-8" standalone="yes"?>
<Relationships xmlns="http://schemas.openxmlformats.org/package/2006/relationships"><Relationship Id="rId2" Type="http://schemas.openxmlformats.org/officeDocument/2006/relationships/drawing" Target="../drawings/drawing49.xml"/><Relationship Id="rId1" Type="http://schemas.openxmlformats.org/officeDocument/2006/relationships/printerSettings" Target="../printerSettings/printerSettings26.bin"/></Relationships>
</file>

<file path=xl/chartsheets/_rels/sheet24.xml.rels><?xml version="1.0" encoding="UTF-8" standalone="yes"?>
<Relationships xmlns="http://schemas.openxmlformats.org/package/2006/relationships"><Relationship Id="rId2" Type="http://schemas.openxmlformats.org/officeDocument/2006/relationships/drawing" Target="../drawings/drawing51.xml"/><Relationship Id="rId1" Type="http://schemas.openxmlformats.org/officeDocument/2006/relationships/printerSettings" Target="../printerSettings/printerSettings27.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E34D49B8-2995-4F63-B985-40497625B6CB}">
  <sheetPr/>
  <sheetViews>
    <sheetView zoomScale="105" workbookViewId="0" zoomToFit="1"/>
  </sheetViews>
  <pageMargins left="0.7" right="0.7" top="0.75" bottom="0.75" header="0.3" footer="0.3"/>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27AB23D7-6825-4E5F-8ED3-43868D29914D}">
  <sheetPr/>
  <sheetViews>
    <sheetView workbookViewId="0"/>
  </sheetViews>
  <pageMargins left="0.7" right="0.7" top="0.75" bottom="0.75" header="0.3" footer="0.3"/>
  <drawing r:id="rId1"/>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CC100CC-CD53-4477-A424-F8A6B54511C2}">
  <sheetPr/>
  <sheetViews>
    <sheetView workbookViewId="0"/>
  </sheetViews>
  <pageMargins left="0.25" right="0.25" top="1.25" bottom="1.25" header="0.3" footer="0.3"/>
  <pageSetup orientation="landscape" r:id="rId1"/>
  <drawing r:id="rId2"/>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548466E8-2F98-4529-A05A-8790C40779E2}">
  <sheetPr/>
  <sheetViews>
    <sheetView workbookViewId="0"/>
  </sheetViews>
  <pageMargins left="0.25" right="0.25" top="1.25" bottom="1.25" header="0.3" footer="0.3"/>
  <pageSetup orientation="landscape" r:id="rId1"/>
  <drawing r:id="rId2"/>
</chartsheet>
</file>

<file path=xl/chartsheets/sheet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91D8CD98-5F7C-460B-8FE7-30447F0615E8}">
  <sheetPr/>
  <sheetViews>
    <sheetView workbookViewId="0"/>
  </sheetViews>
  <pageMargins left="0.25" right="0.25" top="1.25" bottom="1.25" header="0.3" footer="0.3"/>
  <pageSetup orientation="landscape" r:id="rId1"/>
  <drawing r:id="rId2"/>
</chartsheet>
</file>

<file path=xl/chartsheets/sheet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AF550904-4CA0-4ADC-8645-E691B15C4926}">
  <sheetPr/>
  <sheetViews>
    <sheetView workbookViewId="0"/>
  </sheetViews>
  <pageMargins left="0.25" right="0.25" top="1.25" bottom="1.25" header="0.3" footer="0.3"/>
  <pageSetup orientation="landscape" r:id="rId1"/>
  <drawing r:id="rId2"/>
</chartsheet>
</file>

<file path=xl/chartsheets/sheet7.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5835096C-8EED-4D5B-A562-42B1EAC3B804}">
  <sheetPr/>
  <sheetViews>
    <sheetView workbookViewId="0"/>
  </sheetViews>
  <pageMargins left="0.25" right="0.25" top="1.25" bottom="1.25" header="0.3" footer="0.3"/>
  <pageSetup orientation="landscape" r:id="rId1"/>
  <drawing r:id="rId2"/>
</chartsheet>
</file>

<file path=xl/chartsheets/sheet8.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C054A784-B187-4D2D-B69A-DBBEB5FCC175}">
  <sheetPr/>
  <sheetViews>
    <sheetView workbookViewId="0"/>
  </sheetViews>
  <pageMargins left="0.25" right="0.25" top="1.25" bottom="1.25" header="0.3" footer="0.3"/>
  <pageSetup orientation="landscape" r:id="rId1"/>
  <drawing r:id="rId2"/>
</chartsheet>
</file>

<file path=xl/chartsheets/sheet9.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E5D57784-9A47-4AD8-A0E2-95F83E7E2D12}">
  <sheetPr/>
  <sheetViews>
    <sheetView workbookViewId="0"/>
  </sheetViews>
  <pageMargins left="0.25" right="0.25" top="1.25" bottom="1.25" header="0.3" footer="0.3"/>
  <pageSetup orientation="landscape" r:id="rId1"/>
  <drawing r:id="rId2"/>
</chartsheet>
</file>

<file path=xl/chartsheets/sheet10.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DD87F7D3-8425-4332-A775-BDED83154F1A}">
  <sheetPr/>
  <sheetViews>
    <sheetView workbookViewId="0"/>
  </sheetViews>
  <pageMargins left="0.25" right="0.25" top="1.25" bottom="1.25" header="0.3" footer="0.3"/>
  <pageSetup orientation="landscape" r:id="rId1"/>
  <drawing r:id="rId2"/>
</chartsheet>
</file>

<file path=xl/chartsheets/sheet1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F78D37A0-EE16-4A31-89AA-48F85098B011}">
  <sheetPr/>
  <sheetViews>
    <sheetView workbookViewId="0"/>
  </sheetViews>
  <pageMargins left="0.25" right="0.25" top="1.25" bottom="1.25" header="0.3" footer="0.3"/>
  <pageSetup orientation="landscape" r:id="rId1"/>
  <drawing r:id="rId2"/>
</chartsheet>
</file>

<file path=xl/chartsheets/sheet1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8FC2CD77-9984-4421-883E-A22ED4947EFB}">
  <sheetPr/>
  <sheetViews>
    <sheetView workbookViewId="0"/>
  </sheetViews>
  <pageMargins left="0.25" right="0.25" top="1.25" bottom="1.25" header="0.3" footer="0.3"/>
  <pageSetup orientation="landscape" r:id="rId1"/>
  <drawing r:id="rId2"/>
</chartsheet>
</file>

<file path=xl/chartsheets/sheet1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CC3CEC61-AAAD-445B-AC66-2FB7A14E30F3}">
  <sheetPr/>
  <sheetViews>
    <sheetView workbookViewId="0"/>
  </sheetViews>
  <pageMargins left="0.25" right="0.25" top="1.25" bottom="1.25" header="0.3" footer="0.3"/>
  <pageSetup orientation="landscape" r:id="rId1"/>
  <drawing r:id="rId2"/>
</chartsheet>
</file>

<file path=xl/chartsheets/sheet1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9C2662B7-A8B0-4B22-91DC-F55D3D41473C}">
  <sheetPr/>
  <sheetViews>
    <sheetView workbookViewId="0"/>
  </sheetViews>
  <pageMargins left="0.25" right="0.25" top="1.25" bottom="1.25" header="0.3" footer="0.3"/>
  <pageSetup orientation="landscape" r:id="rId1"/>
  <drawing r:id="rId2"/>
</chartsheet>
</file>

<file path=xl/chartsheets/sheet1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54231D2B-91EA-4245-B092-BA8DFBAB0D83}">
  <sheetPr/>
  <sheetViews>
    <sheetView workbookViewId="0"/>
  </sheetViews>
  <pageMargins left="0.25" right="0.25" top="1.25" bottom="1.25" header="0.3" footer="0.3"/>
  <pageSetup orientation="landscape" r:id="rId1"/>
  <drawing r:id="rId2"/>
</chartsheet>
</file>

<file path=xl/chartsheets/sheet1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108D327-CEC0-4F63-A086-04150FC64C40}">
  <sheetPr/>
  <sheetViews>
    <sheetView workbookViewId="0"/>
  </sheetViews>
  <pageMargins left="0.25" right="0.25" top="1.25" bottom="1.25" header="0.3" footer="0.3"/>
  <pageSetup orientation="landscape" r:id="rId1"/>
  <drawing r:id="rId2"/>
</chartsheet>
</file>

<file path=xl/chartsheets/sheet17.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3F57D984-0F18-461E-AA9F-F60C1679BFA5}">
  <sheetPr/>
  <sheetViews>
    <sheetView workbookViewId="0"/>
  </sheetViews>
  <pageMargins left="0.25" right="0.25" top="1.25" bottom="1.25" header="0.3" footer="0.3"/>
  <pageSetup orientation="landscape" r:id="rId1"/>
  <drawing r:id="rId2"/>
</chartsheet>
</file>

<file path=xl/chartsheets/sheet18.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5FC90092-D844-436A-AC02-527B6C5CF1C7}">
  <sheetPr/>
  <sheetViews>
    <sheetView workbookViewId="0"/>
  </sheetViews>
  <pageMargins left="0.25" right="0.25" top="1.25" bottom="1.25" header="0.3" footer="0.3"/>
  <pageSetup orientation="landscape" r:id="rId1"/>
  <drawing r:id="rId2"/>
</chartsheet>
</file>

<file path=xl/chartsheets/sheet19.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5D1D94AD-F8A4-4194-AB62-EC3231C755DB}">
  <sheetPr/>
  <sheetViews>
    <sheetView workbookViewId="0"/>
  </sheetViews>
  <pageMargins left="0.25" right="0.25" top="1.25" bottom="1.25" header="0.3" footer="0.3"/>
  <pageSetup orientation="landscape" r:id="rId1"/>
  <drawing r:id="rId2"/>
</chartsheet>
</file>

<file path=xl/chartsheets/sheet20.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E5557C63-BF11-4AA4-9F87-5FDC24814978}">
  <sheetPr/>
  <sheetViews>
    <sheetView workbookViewId="0"/>
  </sheetViews>
  <pageMargins left="0.25" right="0.25" top="1.25" bottom="1.25" header="0.3" footer="0.3"/>
  <pageSetup orientation="landscape" r:id="rId1"/>
  <drawing r:id="rId2"/>
</chartsheet>
</file>

<file path=xl/chartsheets/sheet2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1054EF59-827C-47F9-8C41-E8833D9050E3}">
  <sheetPr/>
  <sheetViews>
    <sheetView workbookViewId="0"/>
  </sheetViews>
  <pageMargins left="0.25" right="0.25" top="1.25" bottom="1.25" header="0.3" footer="0.3"/>
  <pageSetup orientation="landscape" r:id="rId1"/>
  <drawing r:id="rId2"/>
</chartsheet>
</file>

<file path=xl/chartsheets/sheet2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88B7FD14-9D56-448A-9CEF-A0BA79AD60CA}">
  <sheetPr/>
  <sheetViews>
    <sheetView workbookViewId="0"/>
  </sheetViews>
  <pageMargins left="0.25" right="0.25" top="1.25" bottom="1.25" header="0.3" footer="0.3"/>
  <pageSetup orientation="landscape" r:id="rId1"/>
  <drawing r:id="rId2"/>
</chartsheet>
</file>

<file path=xl/chartsheets/sheet2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8BEBC834-E5E5-490E-AE55-39AE42A6F615}">
  <sheetPr/>
  <sheetViews>
    <sheetView workbookViewId="0"/>
  </sheetViews>
  <pageMargins left="0.25" right="0.25" top="1.25" bottom="1.25" header="0.3" footer="0.3"/>
  <pageSetup orientation="landscape" r:id="rId1"/>
  <drawing r:id="rId2"/>
</chartsheet>
</file>

<file path=xl/chartsheets/sheet2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7DCDB87C-50EB-4F06-B567-BB7B1B8112B0}">
  <sheetPr/>
  <sheetViews>
    <sheetView workbookViewId="0"/>
  </sheetViews>
  <pageMargins left="0.25" right="0.25" top="1.25" bottom="1.25" header="0.3" footer="0.3"/>
  <pageSetup orientation="landscape" r:id="rId1"/>
  <drawing r:id="rId2"/>
</chartsheet>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18.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20.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22.xml.rels><?xml version="1.0" encoding="UTF-8" standalone="yes"?>
<Relationships xmlns="http://schemas.openxmlformats.org/package/2006/relationships"><Relationship Id="rId1" Type="http://schemas.openxmlformats.org/officeDocument/2006/relationships/chart" Target="../charts/chart21.xml"/></Relationships>
</file>

<file path=xl/drawings/_rels/drawing24.xml.rels><?xml version="1.0" encoding="UTF-8" standalone="yes"?>
<Relationships xmlns="http://schemas.openxmlformats.org/package/2006/relationships"><Relationship Id="rId1" Type="http://schemas.openxmlformats.org/officeDocument/2006/relationships/chart" Target="../charts/chart22.xml"/></Relationships>
</file>

<file path=xl/drawings/_rels/drawing26.xml.rels><?xml version="1.0" encoding="UTF-8" standalone="yes"?>
<Relationships xmlns="http://schemas.openxmlformats.org/package/2006/relationships"><Relationship Id="rId1" Type="http://schemas.openxmlformats.org/officeDocument/2006/relationships/chart" Target="../charts/chart23.xml"/></Relationships>
</file>

<file path=xl/drawings/_rels/drawing28.xml.rels><?xml version="1.0" encoding="UTF-8" standalone="yes"?>
<Relationships xmlns="http://schemas.openxmlformats.org/package/2006/relationships"><Relationship Id="rId1" Type="http://schemas.openxmlformats.org/officeDocument/2006/relationships/chart" Target="../charts/chart24.xml"/></Relationships>
</file>

<file path=xl/drawings/_rels/drawing30.xml.rels><?xml version="1.0" encoding="UTF-8" standalone="yes"?>
<Relationships xmlns="http://schemas.openxmlformats.org/package/2006/relationships"><Relationship Id="rId1" Type="http://schemas.openxmlformats.org/officeDocument/2006/relationships/chart" Target="../charts/chart25.xml"/></Relationships>
</file>

<file path=xl/drawings/_rels/drawing32.xml.rels><?xml version="1.0" encoding="UTF-8" standalone="yes"?>
<Relationships xmlns="http://schemas.openxmlformats.org/package/2006/relationships"><Relationship Id="rId1" Type="http://schemas.openxmlformats.org/officeDocument/2006/relationships/chart" Target="../charts/chart26.xml"/></Relationships>
</file>

<file path=xl/drawings/_rels/drawing34.xml.rels><?xml version="1.0" encoding="UTF-8" standalone="yes"?>
<Relationships xmlns="http://schemas.openxmlformats.org/package/2006/relationships"><Relationship Id="rId1" Type="http://schemas.openxmlformats.org/officeDocument/2006/relationships/chart" Target="../charts/chart27.xml"/></Relationships>
</file>

<file path=xl/drawings/_rels/drawing36.xml.rels><?xml version="1.0" encoding="UTF-8" standalone="yes"?>
<Relationships xmlns="http://schemas.openxmlformats.org/package/2006/relationships"><Relationship Id="rId1" Type="http://schemas.openxmlformats.org/officeDocument/2006/relationships/chart" Target="../charts/chart28.xml"/></Relationships>
</file>

<file path=xl/drawings/_rels/drawing38.xml.rels><?xml version="1.0" encoding="UTF-8" standalone="yes"?>
<Relationships xmlns="http://schemas.openxmlformats.org/package/2006/relationships"><Relationship Id="rId1" Type="http://schemas.openxmlformats.org/officeDocument/2006/relationships/chart" Target="../charts/chart29.xml"/></Relationships>
</file>

<file path=xl/drawings/_rels/drawing39.xml.rels><?xml version="1.0" encoding="UTF-8" standalone="yes"?>
<Relationships xmlns="http://schemas.openxmlformats.org/package/2006/relationships"><Relationship Id="rId1" Type="http://schemas.openxmlformats.org/officeDocument/2006/relationships/chart" Target="../charts/chart30.xml"/></Relationships>
</file>

<file path=xl/drawings/_rels/drawing41.xml.rels><?xml version="1.0" encoding="UTF-8" standalone="yes"?>
<Relationships xmlns="http://schemas.openxmlformats.org/package/2006/relationships"><Relationship Id="rId1" Type="http://schemas.openxmlformats.org/officeDocument/2006/relationships/chart" Target="../charts/chart31.xml"/></Relationships>
</file>

<file path=xl/drawings/_rels/drawing43.xml.rels><?xml version="1.0" encoding="UTF-8" standalone="yes"?>
<Relationships xmlns="http://schemas.openxmlformats.org/package/2006/relationships"><Relationship Id="rId1" Type="http://schemas.openxmlformats.org/officeDocument/2006/relationships/chart" Target="../charts/chart32.xml"/></Relationships>
</file>

<file path=xl/drawings/_rels/drawing45.xml.rels><?xml version="1.0" encoding="UTF-8" standalone="yes"?>
<Relationships xmlns="http://schemas.openxmlformats.org/package/2006/relationships"><Relationship Id="rId1" Type="http://schemas.openxmlformats.org/officeDocument/2006/relationships/chart" Target="../charts/chart33.xml"/></Relationships>
</file>

<file path=xl/drawings/_rels/drawing47.xml.rels><?xml version="1.0" encoding="UTF-8" standalone="yes"?>
<Relationships xmlns="http://schemas.openxmlformats.org/package/2006/relationships"><Relationship Id="rId1" Type="http://schemas.openxmlformats.org/officeDocument/2006/relationships/chart" Target="../charts/chart34.xml"/></Relationships>
</file>

<file path=xl/drawings/_rels/drawing49.xml.rels><?xml version="1.0" encoding="UTF-8" standalone="yes"?>
<Relationships xmlns="http://schemas.openxmlformats.org/package/2006/relationships"><Relationship Id="rId1" Type="http://schemas.openxmlformats.org/officeDocument/2006/relationships/chart" Target="../charts/chart35.xml"/></Relationships>
</file>

<file path=xl/drawings/_rels/drawing51.xml.rels><?xml version="1.0" encoding="UTF-8" standalone="yes"?>
<Relationships xmlns="http://schemas.openxmlformats.org/package/2006/relationships"><Relationship Id="rId1" Type="http://schemas.openxmlformats.org/officeDocument/2006/relationships/chart" Target="../charts/chart36.xml"/></Relationships>
</file>

<file path=xl/drawings/_rels/drawing53.xml.rels><?xml version="1.0" encoding="UTF-8" standalone="yes"?>
<Relationships xmlns="http://schemas.openxmlformats.org/package/2006/relationships"><Relationship Id="rId1" Type="http://schemas.openxmlformats.org/officeDocument/2006/relationships/chart" Target="../charts/chart37.xml"/></Relationships>
</file>

<file path=xl/drawings/_rels/drawing54.xml.rels><?xml version="1.0" encoding="UTF-8" standalone="yes"?>
<Relationships xmlns="http://schemas.openxmlformats.org/package/2006/relationships"><Relationship Id="rId1" Type="http://schemas.openxmlformats.org/officeDocument/2006/relationships/chart" Target="../charts/chart38.xml"/></Relationships>
</file>

<file path=xl/drawings/drawing1.xml><?xml version="1.0" encoding="utf-8"?>
<xdr:wsDr xmlns:xdr="http://schemas.openxmlformats.org/drawingml/2006/spreadsheetDrawing" xmlns:a="http://schemas.openxmlformats.org/drawingml/2006/main">
  <xdr:twoCellAnchor>
    <xdr:from>
      <xdr:col>1</xdr:col>
      <xdr:colOff>6</xdr:colOff>
      <xdr:row>1</xdr:row>
      <xdr:rowOff>4762</xdr:rowOff>
    </xdr:from>
    <xdr:to>
      <xdr:col>8</xdr:col>
      <xdr:colOff>304806</xdr:colOff>
      <xdr:row>15</xdr:row>
      <xdr:rowOff>80962</xdr:rowOff>
    </xdr:to>
    <xdr:graphicFrame macro="">
      <xdr:nvGraphicFramePr>
        <xdr:cNvPr id="2" name="Chart 1">
          <a:extLst>
            <a:ext uri="{FF2B5EF4-FFF2-40B4-BE49-F238E27FC236}">
              <a16:creationId xmlns:a16="http://schemas.microsoft.com/office/drawing/2014/main" id="{BB0E2AFD-0727-4908-9B00-D986BDE6C4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16</xdr:row>
      <xdr:rowOff>9525</xdr:rowOff>
    </xdr:from>
    <xdr:to>
      <xdr:col>8</xdr:col>
      <xdr:colOff>304800</xdr:colOff>
      <xdr:row>30</xdr:row>
      <xdr:rowOff>85725</xdr:rowOff>
    </xdr:to>
    <xdr:graphicFrame macro="">
      <xdr:nvGraphicFramePr>
        <xdr:cNvPr id="3" name="Chart 2">
          <a:extLst>
            <a:ext uri="{FF2B5EF4-FFF2-40B4-BE49-F238E27FC236}">
              <a16:creationId xmlns:a16="http://schemas.microsoft.com/office/drawing/2014/main" id="{90F6D70E-4109-445A-9AEA-A3DBDEDE54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0</xdr:colOff>
      <xdr:row>1</xdr:row>
      <xdr:rowOff>0</xdr:rowOff>
    </xdr:from>
    <xdr:to>
      <xdr:col>17</xdr:col>
      <xdr:colOff>304800</xdr:colOff>
      <xdr:row>15</xdr:row>
      <xdr:rowOff>76200</xdr:rowOff>
    </xdr:to>
    <xdr:graphicFrame macro="">
      <xdr:nvGraphicFramePr>
        <xdr:cNvPr id="4" name="Chart 3">
          <a:extLst>
            <a:ext uri="{FF2B5EF4-FFF2-40B4-BE49-F238E27FC236}">
              <a16:creationId xmlns:a16="http://schemas.microsoft.com/office/drawing/2014/main" id="{B4B44F25-3454-404F-9AAB-A7719F84FE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0</xdr:colOff>
      <xdr:row>16</xdr:row>
      <xdr:rowOff>0</xdr:rowOff>
    </xdr:from>
    <xdr:to>
      <xdr:col>17</xdr:col>
      <xdr:colOff>304800</xdr:colOff>
      <xdr:row>30</xdr:row>
      <xdr:rowOff>76200</xdr:rowOff>
    </xdr:to>
    <xdr:graphicFrame macro="">
      <xdr:nvGraphicFramePr>
        <xdr:cNvPr id="5" name="Chart 4">
          <a:extLst>
            <a:ext uri="{FF2B5EF4-FFF2-40B4-BE49-F238E27FC236}">
              <a16:creationId xmlns:a16="http://schemas.microsoft.com/office/drawing/2014/main" id="{8D45B2FA-C361-4489-9F81-AD28475A7C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14287</xdr:colOff>
      <xdr:row>1</xdr:row>
      <xdr:rowOff>4762</xdr:rowOff>
    </xdr:from>
    <xdr:to>
      <xdr:col>25</xdr:col>
      <xdr:colOff>319087</xdr:colOff>
      <xdr:row>15</xdr:row>
      <xdr:rowOff>80962</xdr:rowOff>
    </xdr:to>
    <xdr:graphicFrame macro="">
      <xdr:nvGraphicFramePr>
        <xdr:cNvPr id="6" name="Chart 2">
          <a:extLst>
            <a:ext uri="{FF2B5EF4-FFF2-40B4-BE49-F238E27FC236}">
              <a16:creationId xmlns:a16="http://schemas.microsoft.com/office/drawing/2014/main" id="{E789C690-72F6-4F4B-BEE3-B60D43BDA5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4762</xdr:colOff>
      <xdr:row>15</xdr:row>
      <xdr:rowOff>176212</xdr:rowOff>
    </xdr:from>
    <xdr:to>
      <xdr:col>25</xdr:col>
      <xdr:colOff>309562</xdr:colOff>
      <xdr:row>30</xdr:row>
      <xdr:rowOff>61912</xdr:rowOff>
    </xdr:to>
    <xdr:graphicFrame macro="">
      <xdr:nvGraphicFramePr>
        <xdr:cNvPr id="7" name="Chart 3">
          <a:extLst>
            <a:ext uri="{FF2B5EF4-FFF2-40B4-BE49-F238E27FC236}">
              <a16:creationId xmlns:a16="http://schemas.microsoft.com/office/drawing/2014/main" id="{D6011F31-5BA8-426A-83C4-95844FEF37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0</xdr:colOff>
      <xdr:row>31</xdr:row>
      <xdr:rowOff>0</xdr:rowOff>
    </xdr:from>
    <xdr:to>
      <xdr:col>17</xdr:col>
      <xdr:colOff>304800</xdr:colOff>
      <xdr:row>45</xdr:row>
      <xdr:rowOff>76200</xdr:rowOff>
    </xdr:to>
    <xdr:graphicFrame macro="">
      <xdr:nvGraphicFramePr>
        <xdr:cNvPr id="8" name="Chart 4">
          <a:extLst>
            <a:ext uri="{FF2B5EF4-FFF2-40B4-BE49-F238E27FC236}">
              <a16:creationId xmlns:a16="http://schemas.microsoft.com/office/drawing/2014/main" id="{36924106-811A-4487-871A-A605766FA3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18</xdr:col>
      <xdr:colOff>4762</xdr:colOff>
      <xdr:row>31</xdr:row>
      <xdr:rowOff>14287</xdr:rowOff>
    </xdr:from>
    <xdr:to>
      <xdr:col>25</xdr:col>
      <xdr:colOff>309562</xdr:colOff>
      <xdr:row>45</xdr:row>
      <xdr:rowOff>90487</xdr:rowOff>
    </xdr:to>
    <xdr:graphicFrame macro="">
      <xdr:nvGraphicFramePr>
        <xdr:cNvPr id="9" name="Chart 5">
          <a:extLst>
            <a:ext uri="{FF2B5EF4-FFF2-40B4-BE49-F238E27FC236}">
              <a16:creationId xmlns:a16="http://schemas.microsoft.com/office/drawing/2014/main" id="{E63D860E-91A1-4A33-860E-CD8B9B0E76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152402</xdr:colOff>
      <xdr:row>11</xdr:row>
      <xdr:rowOff>152398</xdr:rowOff>
    </xdr:from>
    <xdr:to>
      <xdr:col>10</xdr:col>
      <xdr:colOff>228601</xdr:colOff>
      <xdr:row>42</xdr:row>
      <xdr:rowOff>114300</xdr:rowOff>
    </xdr:to>
    <xdr:graphicFrame macro="">
      <xdr:nvGraphicFramePr>
        <xdr:cNvPr id="2" name="Chart 1">
          <a:extLst>
            <a:ext uri="{FF2B5EF4-FFF2-40B4-BE49-F238E27FC236}">
              <a16:creationId xmlns:a16="http://schemas.microsoft.com/office/drawing/2014/main" id="{ED39AE52-0354-4ED8-9072-977FCB4300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0.08908</cdr:x>
      <cdr:y>0.9395</cdr:y>
    </cdr:from>
    <cdr:to>
      <cdr:x>0.59773</cdr:x>
      <cdr:y>1</cdr:y>
    </cdr:to>
    <cdr:sp macro="" textlink="">
      <cdr:nvSpPr>
        <cdr:cNvPr id="2" name="TextBox 1"/>
        <cdr:cNvSpPr txBox="1"/>
      </cdr:nvSpPr>
      <cdr:spPr>
        <a:xfrm xmlns:a="http://schemas.openxmlformats.org/drawingml/2006/main">
          <a:off x="794932" y="3822019"/>
          <a:ext cx="4539068" cy="24612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200" b="1" i="0"/>
            <a:t>Carbon</a:t>
          </a:r>
          <a:r>
            <a:rPr lang="en-US" sz="1200" b="1" i="0" baseline="0"/>
            <a:t> intensities based on composite of gasoline and diesel fuels</a:t>
          </a:r>
        </a:p>
        <a:p xmlns:a="http://schemas.openxmlformats.org/drawingml/2006/main">
          <a:endParaRPr lang="en-US" sz="1100"/>
        </a:p>
      </cdr:txBody>
    </cdr:sp>
  </cdr:relSizeAnchor>
</c:userShapes>
</file>

<file path=xl/drawings/drawing4.xml><?xml version="1.0" encoding="utf-8"?>
<xdr:wsDr xmlns:xdr="http://schemas.openxmlformats.org/drawingml/2006/spreadsheetDrawing" xmlns:a="http://schemas.openxmlformats.org/drawingml/2006/main">
  <xdr:absoluteAnchor>
    <xdr:pos x="0" y="0"/>
    <xdr:ext cx="8672286" cy="6295571"/>
    <xdr:graphicFrame macro="">
      <xdr:nvGraphicFramePr>
        <xdr:cNvPr id="2" name="Chart 1">
          <a:extLst>
            <a:ext uri="{FF2B5EF4-FFF2-40B4-BE49-F238E27FC236}">
              <a16:creationId xmlns:a16="http://schemas.microsoft.com/office/drawing/2014/main" id="{8A9D91E9-7FBC-37ED-C677-D8C736CE2898}"/>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5.xml><?xml version="1.0" encoding="utf-8"?>
<c:userShapes xmlns:c="http://schemas.openxmlformats.org/drawingml/2006/chart">
  <cdr:relSizeAnchor xmlns:cdr="http://schemas.openxmlformats.org/drawingml/2006/chartDrawing">
    <cdr:from>
      <cdr:x>0.49135</cdr:x>
      <cdr:y>0.90852</cdr:y>
    </cdr:from>
    <cdr:to>
      <cdr:x>1</cdr:x>
      <cdr:y>0.95899</cdr:y>
    </cdr:to>
    <cdr:sp macro="" textlink="">
      <cdr:nvSpPr>
        <cdr:cNvPr id="2" name="TextBox 1"/>
        <cdr:cNvSpPr txBox="1"/>
      </cdr:nvSpPr>
      <cdr:spPr>
        <a:xfrm xmlns:a="http://schemas.openxmlformats.org/drawingml/2006/main">
          <a:off x="4255974" y="5715000"/>
          <a:ext cx="4405823" cy="3175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200" b="1" i="0"/>
            <a:t>Carbon</a:t>
          </a:r>
          <a:r>
            <a:rPr lang="en-US" sz="1200" b="1" i="0" baseline="0"/>
            <a:t> intensities based on composite of gasoline and diesel fuels</a:t>
          </a:r>
        </a:p>
        <a:p xmlns:a="http://schemas.openxmlformats.org/drawingml/2006/main">
          <a:endParaRPr lang="en-US" sz="1100"/>
        </a:p>
      </cdr:txBody>
    </cdr:sp>
  </cdr:relSizeAnchor>
  <cdr:relSizeAnchor xmlns:cdr="http://schemas.openxmlformats.org/drawingml/2006/chartDrawing">
    <cdr:from>
      <cdr:x>1.15449E-7</cdr:x>
      <cdr:y>0.94183</cdr:y>
    </cdr:from>
    <cdr:to>
      <cdr:x>0.38717</cdr:x>
      <cdr:y>0.9923</cdr:y>
    </cdr:to>
    <cdr:sp macro="" textlink="">
      <cdr:nvSpPr>
        <cdr:cNvPr id="3" name="TextBox 1">
          <a:extLst xmlns:a="http://schemas.openxmlformats.org/drawingml/2006/main">
            <a:ext uri="{FF2B5EF4-FFF2-40B4-BE49-F238E27FC236}">
              <a16:creationId xmlns:a16="http://schemas.microsoft.com/office/drawing/2014/main" id="{7BD7285B-D981-74DE-57A6-4FA1EBBC592D}"/>
            </a:ext>
          </a:extLst>
        </cdr:cNvPr>
        <cdr:cNvSpPr txBox="1"/>
      </cdr:nvSpPr>
      <cdr:spPr>
        <a:xfrm xmlns:a="http://schemas.openxmlformats.org/drawingml/2006/main">
          <a:off x="1" y="5924550"/>
          <a:ext cx="3353594" cy="317500"/>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200" b="0" i="0"/>
            <a:t>Source: CARB</a:t>
          </a:r>
          <a:endParaRPr lang="en-US" sz="1100" b="0"/>
        </a:p>
      </cdr:txBody>
    </cdr:sp>
  </cdr:relSizeAnchor>
</c:userShapes>
</file>

<file path=xl/drawings/drawing6.xml><?xml version="1.0" encoding="utf-8"?>
<xdr:wsDr xmlns:xdr="http://schemas.openxmlformats.org/drawingml/2006/spreadsheetDrawing" xmlns:a="http://schemas.openxmlformats.org/drawingml/2006/main">
  <xdr:absoluteAnchor>
    <xdr:pos x="0" y="0"/>
    <xdr:ext cx="8667750" cy="6296025"/>
    <xdr:graphicFrame macro="">
      <xdr:nvGraphicFramePr>
        <xdr:cNvPr id="2" name="Chart 1">
          <a:extLst>
            <a:ext uri="{FF2B5EF4-FFF2-40B4-BE49-F238E27FC236}">
              <a16:creationId xmlns:a16="http://schemas.microsoft.com/office/drawing/2014/main" id="{56EC1964-231A-26F7-66FF-F50F67D1BF4F}"/>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7.xml><?xml version="1.0" encoding="utf-8"?>
<c:userShapes xmlns:c="http://schemas.openxmlformats.org/drawingml/2006/chart">
  <cdr:relSizeAnchor xmlns:cdr="http://schemas.openxmlformats.org/drawingml/2006/chartDrawing">
    <cdr:from>
      <cdr:x>0</cdr:x>
      <cdr:y>0.94953</cdr:y>
    </cdr:from>
    <cdr:to>
      <cdr:x>0.39876</cdr:x>
      <cdr:y>1</cdr:y>
    </cdr:to>
    <cdr:sp macro="" textlink="">
      <cdr:nvSpPr>
        <cdr:cNvPr id="2" name="TextBox 1">
          <a:extLst xmlns:a="http://schemas.openxmlformats.org/drawingml/2006/main">
            <a:ext uri="{FF2B5EF4-FFF2-40B4-BE49-F238E27FC236}">
              <a16:creationId xmlns:a16="http://schemas.microsoft.com/office/drawing/2014/main" id="{D83EFEFF-CFB4-5F4C-A705-61660B68672A}"/>
            </a:ext>
          </a:extLst>
        </cdr:cNvPr>
        <cdr:cNvSpPr txBox="1"/>
      </cdr:nvSpPr>
      <cdr:spPr>
        <a:xfrm xmlns:a="http://schemas.openxmlformats.org/drawingml/2006/main">
          <a:off x="0" y="5978265"/>
          <a:ext cx="3456353" cy="317760"/>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200" b="0" i="0"/>
            <a:t>Source: CARB</a:t>
          </a:r>
          <a:endParaRPr lang="en-US" sz="1200" b="0"/>
        </a:p>
      </cdr:txBody>
    </cdr:sp>
  </cdr:relSizeAnchor>
</c:userShapes>
</file>

<file path=xl/drawings/drawing8.xml><?xml version="1.0" encoding="utf-8"?>
<xdr:wsDr xmlns:xdr="http://schemas.openxmlformats.org/drawingml/2006/spreadsheetDrawing" xmlns:a="http://schemas.openxmlformats.org/drawingml/2006/main">
  <xdr:absoluteAnchor>
    <xdr:pos x="0" y="0"/>
    <xdr:ext cx="9496425" cy="5381625"/>
    <xdr:graphicFrame macro="">
      <xdr:nvGraphicFramePr>
        <xdr:cNvPr id="2" name="Chart 1">
          <a:extLst>
            <a:ext uri="{FF2B5EF4-FFF2-40B4-BE49-F238E27FC236}">
              <a16:creationId xmlns:a16="http://schemas.microsoft.com/office/drawing/2014/main" id="{2586144A-1582-E102-5D25-16526832B1FF}"/>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9.xml><?xml version="1.0" encoding="utf-8"?>
<c:userShapes xmlns:c="http://schemas.openxmlformats.org/drawingml/2006/chart">
  <cdr:relSizeAnchor xmlns:cdr="http://schemas.openxmlformats.org/drawingml/2006/chartDrawing">
    <cdr:from>
      <cdr:x>0</cdr:x>
      <cdr:y>0.95745</cdr:y>
    </cdr:from>
    <cdr:to>
      <cdr:x>0.26754</cdr:x>
      <cdr:y>1</cdr:y>
    </cdr:to>
    <cdr:sp macro="" textlink="">
      <cdr:nvSpPr>
        <cdr:cNvPr id="2" name="TextBox 1">
          <a:extLst xmlns:a="http://schemas.openxmlformats.org/drawingml/2006/main">
            <a:ext uri="{FF2B5EF4-FFF2-40B4-BE49-F238E27FC236}">
              <a16:creationId xmlns:a16="http://schemas.microsoft.com/office/drawing/2014/main" id="{81B72BC3-C565-4F0A-858C-82224E91C4AD}"/>
            </a:ext>
          </a:extLst>
        </cdr:cNvPr>
        <cdr:cNvSpPr txBox="1"/>
      </cdr:nvSpPr>
      <cdr:spPr>
        <a:xfrm xmlns:a="http://schemas.openxmlformats.org/drawingml/2006/main">
          <a:off x="0" y="5143500"/>
          <a:ext cx="2459977" cy="2286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200" b="1">
              <a:solidFill>
                <a:sysClr val="windowText" lastClr="000000"/>
              </a:solidFill>
              <a:latin typeface="Arial" panose="020B0604020202020204" pitchFamily="34" charset="0"/>
              <a:cs typeface="Arial" panose="020B0604020202020204" pitchFamily="34" charset="0"/>
            </a:rPr>
            <a:t>Source: </a:t>
          </a:r>
          <a:r>
            <a:rPr lang="en-US" sz="1200" b="1" baseline="0">
              <a:solidFill>
                <a:sysClr val="windowText" lastClr="000000"/>
              </a:solidFill>
              <a:latin typeface="Arial" panose="020B0604020202020204" pitchFamily="34" charset="0"/>
              <a:cs typeface="Arial" panose="020B0604020202020204" pitchFamily="34" charset="0"/>
            </a:rPr>
            <a:t>CARB, Fastmarkets</a:t>
          </a:r>
          <a:endParaRPr lang="en-US" sz="1200" b="1">
            <a:solidFill>
              <a:sysClr val="windowText" lastClr="000000"/>
            </a:solidFill>
            <a:latin typeface="Arial" panose="020B0604020202020204" pitchFamily="34" charset="0"/>
            <a:cs typeface="Arial" panose="020B0604020202020204" pitchFamily="34" charset="0"/>
          </a:endParaRPr>
        </a:p>
      </cdr:txBody>
    </cdr:sp>
  </cdr:relSizeAnchor>
</c:userShapes>
</file>

<file path=xl/drawings/drawing10.xml><?xml version="1.0" encoding="utf-8"?>
<xdr:wsDr xmlns:xdr="http://schemas.openxmlformats.org/drawingml/2006/spreadsheetDrawing" xmlns:a="http://schemas.openxmlformats.org/drawingml/2006/main">
  <xdr:twoCellAnchor>
    <xdr:from>
      <xdr:col>0</xdr:col>
      <xdr:colOff>123825</xdr:colOff>
      <xdr:row>21</xdr:row>
      <xdr:rowOff>171450</xdr:rowOff>
    </xdr:from>
    <xdr:to>
      <xdr:col>15</xdr:col>
      <xdr:colOff>304800</xdr:colOff>
      <xdr:row>45</xdr:row>
      <xdr:rowOff>57150</xdr:rowOff>
    </xdr:to>
    <xdr:graphicFrame macro="">
      <xdr:nvGraphicFramePr>
        <xdr:cNvPr id="2" name="Chart 1" descr="Credit Percentage by Fuel from Q1 2019 through Q1 2019" title="Credit Percentage by Fuel">
          <a:extLst>
            <a:ext uri="{FF2B5EF4-FFF2-40B4-BE49-F238E27FC236}">
              <a16:creationId xmlns:a16="http://schemas.microsoft.com/office/drawing/2014/main" id="{B6DE2AB6-66B1-4BC0-9731-A98B1B851C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104775</xdr:colOff>
      <xdr:row>46</xdr:row>
      <xdr:rowOff>0</xdr:rowOff>
    </xdr:from>
    <xdr:to>
      <xdr:col>16</xdr:col>
      <xdr:colOff>56444</xdr:colOff>
      <xdr:row>73</xdr:row>
      <xdr:rowOff>35278</xdr:rowOff>
    </xdr:to>
    <xdr:graphicFrame macro="">
      <xdr:nvGraphicFramePr>
        <xdr:cNvPr id="3" name="Chart 2" descr="Credits by Fuel Type from Q1 2019 through Q1 2019" title="Credits by Fuel Type">
          <a:extLst>
            <a:ext uri="{FF2B5EF4-FFF2-40B4-BE49-F238E27FC236}">
              <a16:creationId xmlns:a16="http://schemas.microsoft.com/office/drawing/2014/main" id="{56C1CBC0-E3DC-4FCF-8BE6-BDE7F1BAFD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47624</xdr:colOff>
      <xdr:row>1</xdr:row>
      <xdr:rowOff>28576</xdr:rowOff>
    </xdr:from>
    <xdr:to>
      <xdr:col>13</xdr:col>
      <xdr:colOff>74082</xdr:colOff>
      <xdr:row>20</xdr:row>
      <xdr:rowOff>74083</xdr:rowOff>
    </xdr:to>
    <xdr:graphicFrame macro="">
      <xdr:nvGraphicFramePr>
        <xdr:cNvPr id="4" name="Chart 3" descr="Total Credits and Deficits for All Fuels Reported from Q1 2011 to Q1 2019" title="Total Credits and Deficits">
          <a:extLst>
            <a:ext uri="{FF2B5EF4-FFF2-40B4-BE49-F238E27FC236}">
              <a16:creationId xmlns:a16="http://schemas.microsoft.com/office/drawing/2014/main" id="{BA904740-44DA-485F-83D1-FDED69586D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1.xml><?xml version="1.0" encoding="utf-8"?>
<c:userShapes xmlns:c="http://schemas.openxmlformats.org/drawingml/2006/chart">
  <cdr:relSizeAnchor xmlns:cdr="http://schemas.openxmlformats.org/drawingml/2006/chartDrawing">
    <cdr:from>
      <cdr:x>0.78138</cdr:x>
      <cdr:y>0.88054</cdr:y>
    </cdr:from>
    <cdr:to>
      <cdr:x>0.94402</cdr:x>
      <cdr:y>0.98421</cdr:y>
    </cdr:to>
    <cdr:sp macro="" textlink="">
      <cdr:nvSpPr>
        <cdr:cNvPr id="2" name="TextBox 1"/>
        <cdr:cNvSpPr txBox="1"/>
      </cdr:nvSpPr>
      <cdr:spPr>
        <a:xfrm xmlns:a="http://schemas.openxmlformats.org/drawingml/2006/main">
          <a:off x="7405983" y="4233335"/>
          <a:ext cx="1541520" cy="498408"/>
        </a:xfrm>
        <a:prstGeom xmlns:a="http://schemas.openxmlformats.org/drawingml/2006/main" prst="rect">
          <a:avLst/>
        </a:prstGeom>
        <a:ln xmlns:a="http://schemas.openxmlformats.org/drawingml/2006/main">
          <a:solidFill>
            <a:schemeClr val="bg1">
              <a:lumMod val="65000"/>
            </a:schemeClr>
          </a:solidFill>
          <a:prstDash val="sysDash"/>
        </a:ln>
        <a:effectLst xmlns:a="http://schemas.openxmlformats.org/drawingml/2006/main">
          <a:outerShdw blurRad="50800" dist="50800" dir="5400000" algn="ctr" rotWithShape="0">
            <a:schemeClr val="bg1"/>
          </a:outerShdw>
        </a:effectLst>
      </cdr:spPr>
      <cdr:txBody>
        <a:bodyPr xmlns:a="http://schemas.openxmlformats.org/drawingml/2006/main" vertOverflow="clip" wrap="square" rtlCol="0"/>
        <a:lstStyle xmlns:a="http://schemas.openxmlformats.org/drawingml/2006/main"/>
        <a:p xmlns:a="http://schemas.openxmlformats.org/drawingml/2006/main">
          <a:r>
            <a:rPr lang="en-US" sz="800" i="1">
              <a:effectLst/>
              <a:latin typeface="+mn-lt"/>
              <a:ea typeface="+mn-ea"/>
              <a:cs typeface="+mn-cs"/>
            </a:rPr>
            <a:t>Project based credits</a:t>
          </a:r>
          <a:r>
            <a:rPr lang="en-US" sz="800" i="1" baseline="0">
              <a:effectLst/>
              <a:latin typeface="+mn-lt"/>
              <a:ea typeface="+mn-ea"/>
              <a:cs typeface="+mn-cs"/>
            </a:rPr>
            <a:t> are issued post verification and may not be included in this QDS.</a:t>
          </a:r>
          <a:endParaRPr lang="en-US" sz="400">
            <a:effectLst/>
          </a:endParaRPr>
        </a:p>
      </cdr:txBody>
    </cdr:sp>
  </cdr:relSizeAnchor>
</c:userShapes>
</file>

<file path=xl/drawings/drawing12.xml><?xml version="1.0" encoding="utf-8"?>
<xdr:wsDr xmlns:xdr="http://schemas.openxmlformats.org/drawingml/2006/spreadsheetDrawing" xmlns:a="http://schemas.openxmlformats.org/drawingml/2006/main">
  <xdr:absoluteAnchor>
    <xdr:pos x="0" y="0"/>
    <xdr:ext cx="9496425" cy="5381625"/>
    <xdr:graphicFrame macro="">
      <xdr:nvGraphicFramePr>
        <xdr:cNvPr id="2" name="Chart 1" descr="Ethanol CI Average from Q1 2019 through Q1 2019" title="Ethanol CI Average">
          <a:extLst>
            <a:ext uri="{FF2B5EF4-FFF2-40B4-BE49-F238E27FC236}">
              <a16:creationId xmlns:a16="http://schemas.microsoft.com/office/drawing/2014/main" id="{2AB6E917-0B8F-055B-2681-EED970C99A35}"/>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3.xml><?xml version="1.0" encoding="utf-8"?>
<c:userShapes xmlns:c="http://schemas.openxmlformats.org/drawingml/2006/chart">
  <cdr:relSizeAnchor xmlns:cdr="http://schemas.openxmlformats.org/drawingml/2006/chartDrawing">
    <cdr:from>
      <cdr:x>0</cdr:x>
      <cdr:y>0.93983</cdr:y>
    </cdr:from>
    <cdr:to>
      <cdr:x>0.14947</cdr:x>
      <cdr:y>1</cdr:y>
    </cdr:to>
    <cdr:sp macro="" textlink="">
      <cdr:nvSpPr>
        <cdr:cNvPr id="2" name="TextBox 1">
          <a:extLst xmlns:a="http://schemas.openxmlformats.org/drawingml/2006/main">
            <a:ext uri="{FF2B5EF4-FFF2-40B4-BE49-F238E27FC236}">
              <a16:creationId xmlns:a16="http://schemas.microsoft.com/office/drawing/2014/main" id="{2C4EA915-10E6-4058-88BD-13930A25BB68}"/>
            </a:ext>
          </a:extLst>
        </cdr:cNvPr>
        <cdr:cNvSpPr txBox="1"/>
      </cdr:nvSpPr>
      <cdr:spPr>
        <a:xfrm xmlns:a="http://schemas.openxmlformats.org/drawingml/2006/main">
          <a:off x="0" y="5058531"/>
          <a:ext cx="1419225" cy="3238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200" b="1">
              <a:solidFill>
                <a:sysClr val="windowText" lastClr="000000"/>
              </a:solidFill>
              <a:latin typeface="Arial" panose="020B0604020202020204" pitchFamily="34" charset="0"/>
              <a:cs typeface="Arial" panose="020B0604020202020204" pitchFamily="34" charset="0"/>
            </a:rPr>
            <a:t>Source: CARB</a:t>
          </a:r>
        </a:p>
      </cdr:txBody>
    </cdr:sp>
  </cdr:relSizeAnchor>
</c:userShapes>
</file>

<file path=xl/drawings/drawing14.xml><?xml version="1.0" encoding="utf-8"?>
<xdr:wsDr xmlns:xdr="http://schemas.openxmlformats.org/drawingml/2006/spreadsheetDrawing" xmlns:a="http://schemas.openxmlformats.org/drawingml/2006/main">
  <xdr:absoluteAnchor>
    <xdr:pos x="0" y="0"/>
    <xdr:ext cx="9496425" cy="5381625"/>
    <xdr:graphicFrame macro="">
      <xdr:nvGraphicFramePr>
        <xdr:cNvPr id="2" name="Chart 1" descr="Renewable Diesel CI Average from Q1 2019 through Q1 2019" title="Renewable Diesel CI Average ">
          <a:extLst>
            <a:ext uri="{FF2B5EF4-FFF2-40B4-BE49-F238E27FC236}">
              <a16:creationId xmlns:a16="http://schemas.microsoft.com/office/drawing/2014/main" id="{B336433D-2167-6BCA-8AB8-969FFC912661}"/>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5.xml><?xml version="1.0" encoding="utf-8"?>
<c:userShapes xmlns:c="http://schemas.openxmlformats.org/drawingml/2006/chart">
  <cdr:relSizeAnchor xmlns:cdr="http://schemas.openxmlformats.org/drawingml/2006/chartDrawing">
    <cdr:from>
      <cdr:x>0</cdr:x>
      <cdr:y>0.95981</cdr:y>
    </cdr:from>
    <cdr:to>
      <cdr:x>0.20856</cdr:x>
      <cdr:y>1</cdr:y>
    </cdr:to>
    <cdr:sp macro="" textlink="">
      <cdr:nvSpPr>
        <cdr:cNvPr id="2" name="TextBox 1">
          <a:extLst xmlns:a="http://schemas.openxmlformats.org/drawingml/2006/main">
            <a:ext uri="{FF2B5EF4-FFF2-40B4-BE49-F238E27FC236}">
              <a16:creationId xmlns:a16="http://schemas.microsoft.com/office/drawing/2014/main" id="{26EF6F21-88CB-400F-88BC-52B8CB7F726E}"/>
            </a:ext>
          </a:extLst>
        </cdr:cNvPr>
        <cdr:cNvSpPr txBox="1"/>
      </cdr:nvSpPr>
      <cdr:spPr>
        <a:xfrm xmlns:a="http://schemas.openxmlformats.org/drawingml/2006/main">
          <a:off x="0" y="5156200"/>
          <a:ext cx="1917700" cy="2159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200" b="1">
              <a:solidFill>
                <a:sysClr val="windowText" lastClr="000000"/>
              </a:solidFill>
              <a:latin typeface="Arial" panose="020B0604020202020204" pitchFamily="34" charset="0"/>
              <a:cs typeface="Arial" panose="020B0604020202020204" pitchFamily="34" charset="0"/>
            </a:rPr>
            <a:t>Source: CARB</a:t>
          </a:r>
        </a:p>
      </cdr:txBody>
    </cdr:sp>
  </cdr:relSizeAnchor>
</c:userShapes>
</file>

<file path=xl/drawings/drawing16.xml><?xml version="1.0" encoding="utf-8"?>
<xdr:wsDr xmlns:xdr="http://schemas.openxmlformats.org/drawingml/2006/spreadsheetDrawing" xmlns:a="http://schemas.openxmlformats.org/drawingml/2006/main">
  <xdr:absoluteAnchor>
    <xdr:pos x="0" y="0"/>
    <xdr:ext cx="9496425" cy="5381625"/>
    <xdr:graphicFrame macro="">
      <xdr:nvGraphicFramePr>
        <xdr:cNvPr id="2" name="Chart 1" descr="Renewable Diesel CI Average from Q1 2019 through Q1 2019" title="Renewable Diesel CI Average ">
          <a:extLst>
            <a:ext uri="{FF2B5EF4-FFF2-40B4-BE49-F238E27FC236}">
              <a16:creationId xmlns:a16="http://schemas.microsoft.com/office/drawing/2014/main" id="{0B0BB846-55A9-C347-4FF4-855D1AA2E4C5}"/>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7.xml><?xml version="1.0" encoding="utf-8"?>
<c:userShapes xmlns:c="http://schemas.openxmlformats.org/drawingml/2006/chart">
  <cdr:relSizeAnchor xmlns:cdr="http://schemas.openxmlformats.org/drawingml/2006/chartDrawing">
    <cdr:from>
      <cdr:x>0</cdr:x>
      <cdr:y>0.96217</cdr:y>
    </cdr:from>
    <cdr:to>
      <cdr:x>0.15055</cdr:x>
      <cdr:y>1</cdr:y>
    </cdr:to>
    <cdr:sp macro="" textlink="">
      <cdr:nvSpPr>
        <cdr:cNvPr id="2" name="TextBox 1">
          <a:extLst xmlns:a="http://schemas.openxmlformats.org/drawingml/2006/main">
            <a:ext uri="{FF2B5EF4-FFF2-40B4-BE49-F238E27FC236}">
              <a16:creationId xmlns:a16="http://schemas.microsoft.com/office/drawing/2014/main" id="{26EF6F21-88CB-400F-88BC-52B8CB7F726E}"/>
            </a:ext>
          </a:extLst>
        </cdr:cNvPr>
        <cdr:cNvSpPr txBox="1"/>
      </cdr:nvSpPr>
      <cdr:spPr>
        <a:xfrm xmlns:a="http://schemas.openxmlformats.org/drawingml/2006/main">
          <a:off x="0" y="5168900"/>
          <a:ext cx="1384300" cy="2032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200" b="1">
              <a:solidFill>
                <a:sysClr val="windowText" lastClr="000000"/>
              </a:solidFill>
              <a:latin typeface="Arial" panose="020B0604020202020204" pitchFamily="34" charset="0"/>
              <a:cs typeface="Arial" panose="020B0604020202020204" pitchFamily="34" charset="0"/>
            </a:rPr>
            <a:t>Source: CARB</a:t>
          </a:r>
        </a:p>
      </cdr:txBody>
    </cdr:sp>
  </cdr:relSizeAnchor>
</c:userShapes>
</file>

<file path=xl/drawings/drawing18.xml><?xml version="1.0" encoding="utf-8"?>
<xdr:wsDr xmlns:xdr="http://schemas.openxmlformats.org/drawingml/2006/spreadsheetDrawing" xmlns:a="http://schemas.openxmlformats.org/drawingml/2006/main">
  <xdr:absoluteAnchor>
    <xdr:pos x="0" y="0"/>
    <xdr:ext cx="9496425" cy="5381625"/>
    <xdr:graphicFrame macro="">
      <xdr:nvGraphicFramePr>
        <xdr:cNvPr id="2" name="Chart 1" descr="Bio-CNG CI Average from Q1 2019 through Q1 2019" title="Bio-CNG CI Average">
          <a:extLst>
            <a:ext uri="{FF2B5EF4-FFF2-40B4-BE49-F238E27FC236}">
              <a16:creationId xmlns:a16="http://schemas.microsoft.com/office/drawing/2014/main" id="{4DD3B93C-799F-0B08-6732-EAB87DC55BCE}"/>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9.xml><?xml version="1.0" encoding="utf-8"?>
<c:userShapes xmlns:c="http://schemas.openxmlformats.org/drawingml/2006/chart">
  <cdr:relSizeAnchor xmlns:cdr="http://schemas.openxmlformats.org/drawingml/2006/chartDrawing">
    <cdr:from>
      <cdr:x>0</cdr:x>
      <cdr:y>0.94697</cdr:y>
    </cdr:from>
    <cdr:to>
      <cdr:x>0.13293</cdr:x>
      <cdr:y>1</cdr:y>
    </cdr:to>
    <cdr:sp macro="" textlink="">
      <cdr:nvSpPr>
        <cdr:cNvPr id="2" name="TextBox 1">
          <a:extLst xmlns:a="http://schemas.openxmlformats.org/drawingml/2006/main">
            <a:ext uri="{FF2B5EF4-FFF2-40B4-BE49-F238E27FC236}">
              <a16:creationId xmlns:a16="http://schemas.microsoft.com/office/drawing/2014/main" id="{7B35E319-82DC-4131-82F3-2971D09B9F6F}"/>
            </a:ext>
          </a:extLst>
        </cdr:cNvPr>
        <cdr:cNvSpPr txBox="1"/>
      </cdr:nvSpPr>
      <cdr:spPr>
        <a:xfrm xmlns:a="http://schemas.openxmlformats.org/drawingml/2006/main">
          <a:off x="0" y="5088141"/>
          <a:ext cx="1261858" cy="28493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200" b="1">
              <a:solidFill>
                <a:sysClr val="windowText" lastClr="000000"/>
              </a:solidFill>
              <a:latin typeface="Arial" panose="020B0604020202020204" pitchFamily="34" charset="0"/>
              <a:cs typeface="Arial" panose="020B0604020202020204" pitchFamily="34" charset="0"/>
            </a:rPr>
            <a:t>Source: CARB</a:t>
          </a:r>
        </a:p>
      </cdr:txBody>
    </cdr:sp>
  </cdr:relSizeAnchor>
</c:userShapes>
</file>

<file path=xl/drawings/drawing20.xml><?xml version="1.0" encoding="utf-8"?>
<xdr:wsDr xmlns:xdr="http://schemas.openxmlformats.org/drawingml/2006/spreadsheetDrawing" xmlns:a="http://schemas.openxmlformats.org/drawingml/2006/main">
  <xdr:absoluteAnchor>
    <xdr:pos x="0" y="0"/>
    <xdr:ext cx="9496425" cy="5381625"/>
    <xdr:graphicFrame macro="">
      <xdr:nvGraphicFramePr>
        <xdr:cNvPr id="2" name="Chart 1" descr="Bio-LNG CI Average from Q1 2019 through Q1 2019" title="Bio-LNG CI Average">
          <a:extLst>
            <a:ext uri="{FF2B5EF4-FFF2-40B4-BE49-F238E27FC236}">
              <a16:creationId xmlns:a16="http://schemas.microsoft.com/office/drawing/2014/main" id="{05DCB8BF-3FE3-58BE-4E8D-8E3A704ADB37}"/>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1.xml><?xml version="1.0" encoding="utf-8"?>
<c:userShapes xmlns:c="http://schemas.openxmlformats.org/drawingml/2006/chart">
  <cdr:relSizeAnchor xmlns:cdr="http://schemas.openxmlformats.org/drawingml/2006/chartDrawing">
    <cdr:from>
      <cdr:x>0</cdr:x>
      <cdr:y>0.95059</cdr:y>
    </cdr:from>
    <cdr:to>
      <cdr:x>0.15926</cdr:x>
      <cdr:y>1</cdr:y>
    </cdr:to>
    <cdr:sp macro="" textlink="">
      <cdr:nvSpPr>
        <cdr:cNvPr id="2" name="TextBox 1">
          <a:extLst xmlns:a="http://schemas.openxmlformats.org/drawingml/2006/main">
            <a:ext uri="{FF2B5EF4-FFF2-40B4-BE49-F238E27FC236}">
              <a16:creationId xmlns:a16="http://schemas.microsoft.com/office/drawing/2014/main" id="{B2681B78-F56E-4AA6-BEB8-E932E09A29AB}"/>
            </a:ext>
          </a:extLst>
        </cdr:cNvPr>
        <cdr:cNvSpPr txBox="1"/>
      </cdr:nvSpPr>
      <cdr:spPr>
        <a:xfrm xmlns:a="http://schemas.openxmlformats.org/drawingml/2006/main">
          <a:off x="0" y="5107615"/>
          <a:ext cx="1511795" cy="26546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200" b="1">
              <a:solidFill>
                <a:sysClr val="windowText" lastClr="000000"/>
              </a:solidFill>
              <a:latin typeface="Arial" panose="020B0604020202020204" pitchFamily="34" charset="0"/>
              <a:cs typeface="Arial" panose="020B0604020202020204" pitchFamily="34" charset="0"/>
            </a:rPr>
            <a:t>Source: CARB</a:t>
          </a:r>
        </a:p>
      </cdr:txBody>
    </cdr:sp>
  </cdr:relSizeAnchor>
</c:userShapes>
</file>

<file path=xl/drawings/drawing22.xml><?xml version="1.0" encoding="utf-8"?>
<xdr:wsDr xmlns:xdr="http://schemas.openxmlformats.org/drawingml/2006/spreadsheetDrawing" xmlns:a="http://schemas.openxmlformats.org/drawingml/2006/main">
  <xdr:absoluteAnchor>
    <xdr:pos x="0" y="0"/>
    <xdr:ext cx="9496425" cy="5381625"/>
    <xdr:graphicFrame macro="">
      <xdr:nvGraphicFramePr>
        <xdr:cNvPr id="2" name="Chart 1" descr="Biodiesel CI Average from Q1 2019 through Q1 2019" title="Biodiesel CI Average">
          <a:extLst>
            <a:ext uri="{FF2B5EF4-FFF2-40B4-BE49-F238E27FC236}">
              <a16:creationId xmlns:a16="http://schemas.microsoft.com/office/drawing/2014/main" id="{DF5A71A1-2A08-F504-A979-EE0C4EF7ACD7}"/>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3.xml><?xml version="1.0" encoding="utf-8"?>
<c:userShapes xmlns:c="http://schemas.openxmlformats.org/drawingml/2006/chart">
  <cdr:relSizeAnchor xmlns:cdr="http://schemas.openxmlformats.org/drawingml/2006/chartDrawing">
    <cdr:from>
      <cdr:x>0</cdr:x>
      <cdr:y>0.94337</cdr:y>
    </cdr:from>
    <cdr:to>
      <cdr:x>0.13643</cdr:x>
      <cdr:y>1</cdr:y>
    </cdr:to>
    <cdr:sp macro="" textlink="">
      <cdr:nvSpPr>
        <cdr:cNvPr id="2" name="TextBox 1">
          <a:extLst xmlns:a="http://schemas.openxmlformats.org/drawingml/2006/main">
            <a:ext uri="{FF2B5EF4-FFF2-40B4-BE49-F238E27FC236}">
              <a16:creationId xmlns:a16="http://schemas.microsoft.com/office/drawing/2014/main" id="{F686B1FE-1B4A-485C-8B2F-8302427AB57C}"/>
            </a:ext>
          </a:extLst>
        </cdr:cNvPr>
        <cdr:cNvSpPr txBox="1"/>
      </cdr:nvSpPr>
      <cdr:spPr>
        <a:xfrm xmlns:a="http://schemas.openxmlformats.org/drawingml/2006/main">
          <a:off x="0" y="5077581"/>
          <a:ext cx="1295400" cy="3048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200" b="1">
              <a:solidFill>
                <a:sysClr val="windowText" lastClr="000000"/>
              </a:solidFill>
              <a:latin typeface="Arial" panose="020B0604020202020204" pitchFamily="34" charset="0"/>
              <a:cs typeface="Arial" panose="020B0604020202020204" pitchFamily="34" charset="0"/>
            </a:rPr>
            <a:t>Source: CARB</a:t>
          </a:r>
        </a:p>
      </cdr:txBody>
    </cdr:sp>
  </cdr:relSizeAnchor>
</c:userShapes>
</file>

<file path=xl/drawings/drawing24.xml><?xml version="1.0" encoding="utf-8"?>
<xdr:wsDr xmlns:xdr="http://schemas.openxmlformats.org/drawingml/2006/spreadsheetDrawing" xmlns:a="http://schemas.openxmlformats.org/drawingml/2006/main">
  <xdr:absoluteAnchor>
    <xdr:pos x="0" y="0"/>
    <xdr:ext cx="9496425" cy="5381625"/>
    <xdr:graphicFrame macro="">
      <xdr:nvGraphicFramePr>
        <xdr:cNvPr id="2" name="Chart 1">
          <a:extLst>
            <a:ext uri="{FF2B5EF4-FFF2-40B4-BE49-F238E27FC236}">
              <a16:creationId xmlns:a16="http://schemas.microsoft.com/office/drawing/2014/main" id="{61C05E90-D179-55D7-7F72-DBC6C0616C17}"/>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5.xml><?xml version="1.0" encoding="utf-8"?>
<c:userShapes xmlns:c="http://schemas.openxmlformats.org/drawingml/2006/chart">
  <cdr:relSizeAnchor xmlns:cdr="http://schemas.openxmlformats.org/drawingml/2006/chartDrawing">
    <cdr:from>
      <cdr:x>0</cdr:x>
      <cdr:y>0.94956</cdr:y>
    </cdr:from>
    <cdr:to>
      <cdr:x>0.25616</cdr:x>
      <cdr:y>1</cdr:y>
    </cdr:to>
    <cdr:sp macro="" textlink="">
      <cdr:nvSpPr>
        <cdr:cNvPr id="2" name="TextBox 1">
          <a:extLst xmlns:a="http://schemas.openxmlformats.org/drawingml/2006/main">
            <a:ext uri="{FF2B5EF4-FFF2-40B4-BE49-F238E27FC236}">
              <a16:creationId xmlns:a16="http://schemas.microsoft.com/office/drawing/2014/main" id="{32BF0EFF-55FC-40AA-B62A-ED3FA3BFA376}"/>
            </a:ext>
          </a:extLst>
        </cdr:cNvPr>
        <cdr:cNvSpPr txBox="1"/>
      </cdr:nvSpPr>
      <cdr:spPr>
        <a:xfrm xmlns:a="http://schemas.openxmlformats.org/drawingml/2006/main">
          <a:off x="0" y="5102040"/>
          <a:ext cx="2431585" cy="27103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b="1">
              <a:solidFill>
                <a:sysClr val="windowText" lastClr="000000"/>
              </a:solidFill>
              <a:latin typeface="Arial" panose="020B0604020202020204" pitchFamily="34" charset="0"/>
              <a:cs typeface="Arial" panose="020B0604020202020204" pitchFamily="34" charset="0"/>
            </a:rPr>
            <a:t>Source: CARB, Fastmarkets</a:t>
          </a:r>
        </a:p>
      </cdr:txBody>
    </cdr:sp>
  </cdr:relSizeAnchor>
</c:userShapes>
</file>

<file path=xl/drawings/drawing26.xml><?xml version="1.0" encoding="utf-8"?>
<xdr:wsDr xmlns:xdr="http://schemas.openxmlformats.org/drawingml/2006/spreadsheetDrawing" xmlns:a="http://schemas.openxmlformats.org/drawingml/2006/main">
  <xdr:absoluteAnchor>
    <xdr:pos x="0" y="0"/>
    <xdr:ext cx="9496425" cy="5381625"/>
    <xdr:graphicFrame macro="">
      <xdr:nvGraphicFramePr>
        <xdr:cNvPr id="2" name="Chart 1">
          <a:extLst>
            <a:ext uri="{FF2B5EF4-FFF2-40B4-BE49-F238E27FC236}">
              <a16:creationId xmlns:a16="http://schemas.microsoft.com/office/drawing/2014/main" id="{22B13151-2157-DF97-D799-4E309864694F}"/>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7.xml><?xml version="1.0" encoding="utf-8"?>
<c:userShapes xmlns:c="http://schemas.openxmlformats.org/drawingml/2006/chart">
  <cdr:relSizeAnchor xmlns:cdr="http://schemas.openxmlformats.org/drawingml/2006/chartDrawing">
    <cdr:from>
      <cdr:x>0</cdr:x>
      <cdr:y>0.95745</cdr:y>
    </cdr:from>
    <cdr:to>
      <cdr:x>0.28315</cdr:x>
      <cdr:y>1</cdr:y>
    </cdr:to>
    <cdr:sp macro="" textlink="">
      <cdr:nvSpPr>
        <cdr:cNvPr id="2" name="TextBox 1">
          <a:extLst xmlns:a="http://schemas.openxmlformats.org/drawingml/2006/main">
            <a:ext uri="{FF2B5EF4-FFF2-40B4-BE49-F238E27FC236}">
              <a16:creationId xmlns:a16="http://schemas.microsoft.com/office/drawing/2014/main" id="{72058089-6898-4DAF-A566-FA725F9F6916}"/>
            </a:ext>
          </a:extLst>
        </cdr:cNvPr>
        <cdr:cNvSpPr txBox="1"/>
      </cdr:nvSpPr>
      <cdr:spPr>
        <a:xfrm xmlns:a="http://schemas.openxmlformats.org/drawingml/2006/main">
          <a:off x="0" y="5143500"/>
          <a:ext cx="2603500" cy="2286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200" b="1">
              <a:solidFill>
                <a:sysClr val="windowText" lastClr="000000"/>
              </a:solidFill>
              <a:latin typeface="Arial" panose="020B0604020202020204" pitchFamily="34" charset="0"/>
              <a:cs typeface="Arial" panose="020B0604020202020204" pitchFamily="34" charset="0"/>
            </a:rPr>
            <a:t>Source: CARB, Fastmarkets</a:t>
          </a:r>
        </a:p>
      </cdr:txBody>
    </cdr:sp>
  </cdr:relSizeAnchor>
</c:userShapes>
</file>

<file path=xl/drawings/drawing28.xml><?xml version="1.0" encoding="utf-8"?>
<xdr:wsDr xmlns:xdr="http://schemas.openxmlformats.org/drawingml/2006/spreadsheetDrawing" xmlns:a="http://schemas.openxmlformats.org/drawingml/2006/main">
  <xdr:absoluteAnchor>
    <xdr:pos x="0" y="0"/>
    <xdr:ext cx="9496425" cy="5381625"/>
    <xdr:graphicFrame macro="">
      <xdr:nvGraphicFramePr>
        <xdr:cNvPr id="2" name="Chart 1">
          <a:extLst>
            <a:ext uri="{FF2B5EF4-FFF2-40B4-BE49-F238E27FC236}">
              <a16:creationId xmlns:a16="http://schemas.microsoft.com/office/drawing/2014/main" id="{537348EE-F2AA-9976-B6E8-3A76B30CFCE7}"/>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9.xml><?xml version="1.0" encoding="utf-8"?>
<c:userShapes xmlns:c="http://schemas.openxmlformats.org/drawingml/2006/chart">
  <cdr:relSizeAnchor xmlns:cdr="http://schemas.openxmlformats.org/drawingml/2006/chartDrawing">
    <cdr:from>
      <cdr:x>0.00138</cdr:x>
      <cdr:y>0.96454</cdr:y>
    </cdr:from>
    <cdr:to>
      <cdr:x>0.25117</cdr:x>
      <cdr:y>1</cdr:y>
    </cdr:to>
    <cdr:sp macro="" textlink="">
      <cdr:nvSpPr>
        <cdr:cNvPr id="2" name="TextBox 1">
          <a:extLst xmlns:a="http://schemas.openxmlformats.org/drawingml/2006/main">
            <a:ext uri="{FF2B5EF4-FFF2-40B4-BE49-F238E27FC236}">
              <a16:creationId xmlns:a16="http://schemas.microsoft.com/office/drawing/2014/main" id="{72058089-6898-4DAF-A566-FA725F9F6916}"/>
            </a:ext>
          </a:extLst>
        </cdr:cNvPr>
        <cdr:cNvSpPr txBox="1"/>
      </cdr:nvSpPr>
      <cdr:spPr>
        <a:xfrm xmlns:a="http://schemas.openxmlformats.org/drawingml/2006/main">
          <a:off x="12700" y="5181600"/>
          <a:ext cx="2296769" cy="1905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000" b="1">
              <a:solidFill>
                <a:sysClr val="windowText" lastClr="000000"/>
              </a:solidFill>
              <a:latin typeface="Arial" panose="020B0604020202020204" pitchFamily="34" charset="0"/>
              <a:cs typeface="Arial" panose="020B0604020202020204" pitchFamily="34" charset="0"/>
            </a:rPr>
            <a:t>Source: CARB, Fastmarkets</a:t>
          </a:r>
        </a:p>
      </cdr:txBody>
    </cdr:sp>
  </cdr:relSizeAnchor>
</c:userShapes>
</file>

<file path=xl/drawings/drawing30.xml><?xml version="1.0" encoding="utf-8"?>
<xdr:wsDr xmlns:xdr="http://schemas.openxmlformats.org/drawingml/2006/spreadsheetDrawing" xmlns:a="http://schemas.openxmlformats.org/drawingml/2006/main">
  <xdr:absoluteAnchor>
    <xdr:pos x="0" y="0"/>
    <xdr:ext cx="9496425" cy="5381625"/>
    <xdr:graphicFrame macro="">
      <xdr:nvGraphicFramePr>
        <xdr:cNvPr id="2" name="Chart 1">
          <a:extLst>
            <a:ext uri="{FF2B5EF4-FFF2-40B4-BE49-F238E27FC236}">
              <a16:creationId xmlns:a16="http://schemas.microsoft.com/office/drawing/2014/main" id="{DE6F6477-03EB-52FB-260A-AC11AF11EB73}"/>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1.xml><?xml version="1.0" encoding="utf-8"?>
<c:userShapes xmlns:c="http://schemas.openxmlformats.org/drawingml/2006/chart">
  <cdr:relSizeAnchor xmlns:cdr="http://schemas.openxmlformats.org/drawingml/2006/chartDrawing">
    <cdr:from>
      <cdr:x>0</cdr:x>
      <cdr:y>0.94868</cdr:y>
    </cdr:from>
    <cdr:to>
      <cdr:x>0.24979</cdr:x>
      <cdr:y>1</cdr:y>
    </cdr:to>
    <cdr:sp macro="" textlink="">
      <cdr:nvSpPr>
        <cdr:cNvPr id="2" name="TextBox 1">
          <a:extLst xmlns:a="http://schemas.openxmlformats.org/drawingml/2006/main">
            <a:ext uri="{FF2B5EF4-FFF2-40B4-BE49-F238E27FC236}">
              <a16:creationId xmlns:a16="http://schemas.microsoft.com/office/drawing/2014/main" id="{72058089-6898-4DAF-A566-FA725F9F6916}"/>
            </a:ext>
          </a:extLst>
        </cdr:cNvPr>
        <cdr:cNvSpPr txBox="1"/>
      </cdr:nvSpPr>
      <cdr:spPr>
        <a:xfrm xmlns:a="http://schemas.openxmlformats.org/drawingml/2006/main">
          <a:off x="0" y="5106156"/>
          <a:ext cx="2371725" cy="2762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050" b="1">
              <a:solidFill>
                <a:sysClr val="windowText" lastClr="000000"/>
              </a:solidFill>
              <a:latin typeface="Arial" panose="020B0604020202020204" pitchFamily="34" charset="0"/>
              <a:cs typeface="Arial" panose="020B0604020202020204" pitchFamily="34" charset="0"/>
            </a:rPr>
            <a:t>Source: CARB, Fastmarkets</a:t>
          </a:r>
        </a:p>
      </cdr:txBody>
    </cdr:sp>
  </cdr:relSizeAnchor>
</c:userShapes>
</file>

<file path=xl/drawings/drawing32.xml><?xml version="1.0" encoding="utf-8"?>
<xdr:wsDr xmlns:xdr="http://schemas.openxmlformats.org/drawingml/2006/spreadsheetDrawing" xmlns:a="http://schemas.openxmlformats.org/drawingml/2006/main">
  <xdr:absoluteAnchor>
    <xdr:pos x="0" y="0"/>
    <xdr:ext cx="9496425" cy="5381625"/>
    <xdr:graphicFrame macro="">
      <xdr:nvGraphicFramePr>
        <xdr:cNvPr id="2" name="Chart 1">
          <a:extLst>
            <a:ext uri="{FF2B5EF4-FFF2-40B4-BE49-F238E27FC236}">
              <a16:creationId xmlns:a16="http://schemas.microsoft.com/office/drawing/2014/main" id="{6F0402E3-16CB-54F0-A221-029EF9588249}"/>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3.xml><?xml version="1.0" encoding="utf-8"?>
<c:userShapes xmlns:c="http://schemas.openxmlformats.org/drawingml/2006/chart">
  <cdr:relSizeAnchor xmlns:cdr="http://schemas.openxmlformats.org/drawingml/2006/chartDrawing">
    <cdr:from>
      <cdr:x>0</cdr:x>
      <cdr:y>0.94868</cdr:y>
    </cdr:from>
    <cdr:to>
      <cdr:x>0.24979</cdr:x>
      <cdr:y>1</cdr:y>
    </cdr:to>
    <cdr:sp macro="" textlink="">
      <cdr:nvSpPr>
        <cdr:cNvPr id="2" name="TextBox 1">
          <a:extLst xmlns:a="http://schemas.openxmlformats.org/drawingml/2006/main">
            <a:ext uri="{FF2B5EF4-FFF2-40B4-BE49-F238E27FC236}">
              <a16:creationId xmlns:a16="http://schemas.microsoft.com/office/drawing/2014/main" id="{72058089-6898-4DAF-A566-FA725F9F6916}"/>
            </a:ext>
          </a:extLst>
        </cdr:cNvPr>
        <cdr:cNvSpPr txBox="1"/>
      </cdr:nvSpPr>
      <cdr:spPr>
        <a:xfrm xmlns:a="http://schemas.openxmlformats.org/drawingml/2006/main">
          <a:off x="0" y="5106156"/>
          <a:ext cx="2371725" cy="2762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050" b="1">
              <a:solidFill>
                <a:sysClr val="windowText" lastClr="000000"/>
              </a:solidFill>
              <a:latin typeface="Arial" panose="020B0604020202020204" pitchFamily="34" charset="0"/>
              <a:cs typeface="Arial" panose="020B0604020202020204" pitchFamily="34" charset="0"/>
            </a:rPr>
            <a:t>Source: CARB, Fastmarkets</a:t>
          </a:r>
        </a:p>
      </cdr:txBody>
    </cdr:sp>
  </cdr:relSizeAnchor>
</c:userShapes>
</file>

<file path=xl/drawings/drawing34.xml><?xml version="1.0" encoding="utf-8"?>
<xdr:wsDr xmlns:xdr="http://schemas.openxmlformats.org/drawingml/2006/spreadsheetDrawing" xmlns:a="http://schemas.openxmlformats.org/drawingml/2006/main">
  <xdr:absoluteAnchor>
    <xdr:pos x="0" y="0"/>
    <xdr:ext cx="9496425" cy="5381625"/>
    <xdr:graphicFrame macro="">
      <xdr:nvGraphicFramePr>
        <xdr:cNvPr id="2" name="Chart 1">
          <a:extLst>
            <a:ext uri="{FF2B5EF4-FFF2-40B4-BE49-F238E27FC236}">
              <a16:creationId xmlns:a16="http://schemas.microsoft.com/office/drawing/2014/main" id="{8DF982D5-24CF-0840-C40F-EB22D7DFAC3E}"/>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5.xml><?xml version="1.0" encoding="utf-8"?>
<c:userShapes xmlns:c="http://schemas.openxmlformats.org/drawingml/2006/chart">
  <cdr:relSizeAnchor xmlns:cdr="http://schemas.openxmlformats.org/drawingml/2006/chartDrawing">
    <cdr:from>
      <cdr:x>0</cdr:x>
      <cdr:y>0.94868</cdr:y>
    </cdr:from>
    <cdr:to>
      <cdr:x>0.24979</cdr:x>
      <cdr:y>1</cdr:y>
    </cdr:to>
    <cdr:sp macro="" textlink="">
      <cdr:nvSpPr>
        <cdr:cNvPr id="2" name="TextBox 1">
          <a:extLst xmlns:a="http://schemas.openxmlformats.org/drawingml/2006/main">
            <a:ext uri="{FF2B5EF4-FFF2-40B4-BE49-F238E27FC236}">
              <a16:creationId xmlns:a16="http://schemas.microsoft.com/office/drawing/2014/main" id="{72058089-6898-4DAF-A566-FA725F9F6916}"/>
            </a:ext>
          </a:extLst>
        </cdr:cNvPr>
        <cdr:cNvSpPr txBox="1"/>
      </cdr:nvSpPr>
      <cdr:spPr>
        <a:xfrm xmlns:a="http://schemas.openxmlformats.org/drawingml/2006/main">
          <a:off x="0" y="5106156"/>
          <a:ext cx="2371725" cy="2762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b="1">
              <a:solidFill>
                <a:sysClr val="windowText" lastClr="000000"/>
              </a:solidFill>
              <a:latin typeface="Arial" panose="020B0604020202020204" pitchFamily="34" charset="0"/>
              <a:cs typeface="Arial" panose="020B0604020202020204" pitchFamily="34" charset="0"/>
            </a:rPr>
            <a:t>Source: CARB, Fastmarkets</a:t>
          </a:r>
        </a:p>
      </cdr:txBody>
    </cdr:sp>
  </cdr:relSizeAnchor>
</c:userShapes>
</file>

<file path=xl/drawings/drawing36.xml><?xml version="1.0" encoding="utf-8"?>
<xdr:wsDr xmlns:xdr="http://schemas.openxmlformats.org/drawingml/2006/spreadsheetDrawing" xmlns:a="http://schemas.openxmlformats.org/drawingml/2006/main">
  <xdr:absoluteAnchor>
    <xdr:pos x="0" y="0"/>
    <xdr:ext cx="9496425" cy="5381625"/>
    <xdr:graphicFrame macro="">
      <xdr:nvGraphicFramePr>
        <xdr:cNvPr id="2" name="Chart 1">
          <a:extLst>
            <a:ext uri="{FF2B5EF4-FFF2-40B4-BE49-F238E27FC236}">
              <a16:creationId xmlns:a16="http://schemas.microsoft.com/office/drawing/2014/main" id="{9D3782F6-77FC-03F4-3850-E226A9F91BED}"/>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7.xml><?xml version="1.0" encoding="utf-8"?>
<c:userShapes xmlns:c="http://schemas.openxmlformats.org/drawingml/2006/chart">
  <cdr:relSizeAnchor xmlns:cdr="http://schemas.openxmlformats.org/drawingml/2006/chartDrawing">
    <cdr:from>
      <cdr:x>0</cdr:x>
      <cdr:y>0.94868</cdr:y>
    </cdr:from>
    <cdr:to>
      <cdr:x>0.24979</cdr:x>
      <cdr:y>1</cdr:y>
    </cdr:to>
    <cdr:sp macro="" textlink="">
      <cdr:nvSpPr>
        <cdr:cNvPr id="2" name="TextBox 1">
          <a:extLst xmlns:a="http://schemas.openxmlformats.org/drawingml/2006/main">
            <a:ext uri="{FF2B5EF4-FFF2-40B4-BE49-F238E27FC236}">
              <a16:creationId xmlns:a16="http://schemas.microsoft.com/office/drawing/2014/main" id="{72058089-6898-4DAF-A566-FA725F9F6916}"/>
            </a:ext>
          </a:extLst>
        </cdr:cNvPr>
        <cdr:cNvSpPr txBox="1"/>
      </cdr:nvSpPr>
      <cdr:spPr>
        <a:xfrm xmlns:a="http://schemas.openxmlformats.org/drawingml/2006/main">
          <a:off x="0" y="5106156"/>
          <a:ext cx="2371725" cy="2762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050" b="1">
              <a:solidFill>
                <a:sysClr val="windowText" lastClr="000000"/>
              </a:solidFill>
              <a:latin typeface="Arial" panose="020B0604020202020204" pitchFamily="34" charset="0"/>
              <a:cs typeface="Arial" panose="020B0604020202020204" pitchFamily="34" charset="0"/>
            </a:rPr>
            <a:t>Source: CARB, Fastmarkets</a:t>
          </a:r>
        </a:p>
      </cdr:txBody>
    </cdr:sp>
  </cdr:relSizeAnchor>
</c:userShapes>
</file>

<file path=xl/drawings/drawing38.xml><?xml version="1.0" encoding="utf-8"?>
<xdr:wsDr xmlns:xdr="http://schemas.openxmlformats.org/drawingml/2006/spreadsheetDrawing" xmlns:a="http://schemas.openxmlformats.org/drawingml/2006/main">
  <xdr:absoluteAnchor>
    <xdr:pos x="0" y="0"/>
    <xdr:ext cx="9496425" cy="5381625"/>
    <xdr:graphicFrame macro="">
      <xdr:nvGraphicFramePr>
        <xdr:cNvPr id="2" name="Chart 1">
          <a:extLst>
            <a:ext uri="{FF2B5EF4-FFF2-40B4-BE49-F238E27FC236}">
              <a16:creationId xmlns:a16="http://schemas.microsoft.com/office/drawing/2014/main" id="{815DC250-8C2F-596B-C177-B1B450DB2DAC}"/>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9.xml><?xml version="1.0" encoding="utf-8"?>
<xdr:wsDr xmlns:xdr="http://schemas.openxmlformats.org/drawingml/2006/spreadsheetDrawing" xmlns:a="http://schemas.openxmlformats.org/drawingml/2006/main">
  <xdr:absoluteAnchor>
    <xdr:pos x="0" y="0"/>
    <xdr:ext cx="9496425" cy="5381625"/>
    <xdr:graphicFrame macro="">
      <xdr:nvGraphicFramePr>
        <xdr:cNvPr id="2" name="Chart 1">
          <a:extLst>
            <a:ext uri="{FF2B5EF4-FFF2-40B4-BE49-F238E27FC236}">
              <a16:creationId xmlns:a16="http://schemas.microsoft.com/office/drawing/2014/main" id="{7B21A703-45F4-0A29-8D09-60278CD57293}"/>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0.xml><?xml version="1.0" encoding="utf-8"?>
<c:userShapes xmlns:c="http://schemas.openxmlformats.org/drawingml/2006/chart">
  <cdr:relSizeAnchor xmlns:cdr="http://schemas.openxmlformats.org/drawingml/2006/chartDrawing">
    <cdr:from>
      <cdr:x>0.00157</cdr:x>
      <cdr:y>0.95625</cdr:y>
    </cdr:from>
    <cdr:to>
      <cdr:x>0.28883</cdr:x>
      <cdr:y>1</cdr:y>
    </cdr:to>
    <cdr:sp macro="" textlink="">
      <cdr:nvSpPr>
        <cdr:cNvPr id="2" name="TextBox 1">
          <a:extLst xmlns:a="http://schemas.openxmlformats.org/drawingml/2006/main">
            <a:ext uri="{FF2B5EF4-FFF2-40B4-BE49-F238E27FC236}">
              <a16:creationId xmlns:a16="http://schemas.microsoft.com/office/drawing/2014/main" id="{1A05CF2E-E700-4D7C-BCBF-EA3EDE93E8A9}"/>
            </a:ext>
          </a:extLst>
        </cdr:cNvPr>
        <cdr:cNvSpPr txBox="1"/>
      </cdr:nvSpPr>
      <cdr:spPr>
        <a:xfrm xmlns:a="http://schemas.openxmlformats.org/drawingml/2006/main">
          <a:off x="14919" y="5143500"/>
          <a:ext cx="2729713" cy="23532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200" b="1">
              <a:solidFill>
                <a:sysClr val="windowText" lastClr="000000"/>
              </a:solidFill>
              <a:latin typeface="Arial" panose="020B0604020202020204" pitchFamily="34" charset="0"/>
              <a:cs typeface="Arial" panose="020B0604020202020204" pitchFamily="34" charset="0"/>
            </a:rPr>
            <a:t>Source: CARB, Fastmarkets</a:t>
          </a:r>
        </a:p>
      </cdr:txBody>
    </cdr:sp>
  </cdr:relSizeAnchor>
</c:userShapes>
</file>

<file path=xl/drawings/drawing41.xml><?xml version="1.0" encoding="utf-8"?>
<xdr:wsDr xmlns:xdr="http://schemas.openxmlformats.org/drawingml/2006/spreadsheetDrawing" xmlns:a="http://schemas.openxmlformats.org/drawingml/2006/main">
  <xdr:absoluteAnchor>
    <xdr:pos x="0" y="0"/>
    <xdr:ext cx="9496425" cy="5381625"/>
    <xdr:graphicFrame macro="">
      <xdr:nvGraphicFramePr>
        <xdr:cNvPr id="2" name="Chart 1">
          <a:extLst>
            <a:ext uri="{FF2B5EF4-FFF2-40B4-BE49-F238E27FC236}">
              <a16:creationId xmlns:a16="http://schemas.microsoft.com/office/drawing/2014/main" id="{7583EBF2-0CD6-C97F-CB91-5EA8225129FB}"/>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2.xml><?xml version="1.0" encoding="utf-8"?>
<c:userShapes xmlns:c="http://schemas.openxmlformats.org/drawingml/2006/chart">
  <cdr:relSizeAnchor xmlns:cdr="http://schemas.openxmlformats.org/drawingml/2006/chartDrawing">
    <cdr:from>
      <cdr:x>0</cdr:x>
      <cdr:y>0.95686</cdr:y>
    </cdr:from>
    <cdr:to>
      <cdr:x>0.26265</cdr:x>
      <cdr:y>1</cdr:y>
    </cdr:to>
    <cdr:sp macro="" textlink="">
      <cdr:nvSpPr>
        <cdr:cNvPr id="2" name="TextBox 1">
          <a:extLst xmlns:a="http://schemas.openxmlformats.org/drawingml/2006/main">
            <a:ext uri="{FF2B5EF4-FFF2-40B4-BE49-F238E27FC236}">
              <a16:creationId xmlns:a16="http://schemas.microsoft.com/office/drawing/2014/main" id="{25732036-3D2F-4BD9-A007-48792D33EBD7}"/>
            </a:ext>
          </a:extLst>
        </cdr:cNvPr>
        <cdr:cNvSpPr txBox="1"/>
      </cdr:nvSpPr>
      <cdr:spPr>
        <a:xfrm xmlns:a="http://schemas.openxmlformats.org/drawingml/2006/main">
          <a:off x="0" y="5143500"/>
          <a:ext cx="2493065" cy="23191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200" b="1">
              <a:solidFill>
                <a:sysClr val="windowText" lastClr="000000"/>
              </a:solidFill>
              <a:latin typeface="Arial" panose="020B0604020202020204" pitchFamily="34" charset="0"/>
              <a:cs typeface="Arial" panose="020B0604020202020204" pitchFamily="34" charset="0"/>
            </a:rPr>
            <a:t>Source: CARB, Fastmarkets</a:t>
          </a:r>
        </a:p>
      </cdr:txBody>
    </cdr:sp>
  </cdr:relSizeAnchor>
</c:userShapes>
</file>

<file path=xl/drawings/drawing43.xml><?xml version="1.0" encoding="utf-8"?>
<xdr:wsDr xmlns:xdr="http://schemas.openxmlformats.org/drawingml/2006/spreadsheetDrawing" xmlns:a="http://schemas.openxmlformats.org/drawingml/2006/main">
  <xdr:absoluteAnchor>
    <xdr:pos x="0" y="0"/>
    <xdr:ext cx="9496425" cy="5381625"/>
    <xdr:graphicFrame macro="">
      <xdr:nvGraphicFramePr>
        <xdr:cNvPr id="2" name="Chart 1">
          <a:extLst>
            <a:ext uri="{FF2B5EF4-FFF2-40B4-BE49-F238E27FC236}">
              <a16:creationId xmlns:a16="http://schemas.microsoft.com/office/drawing/2014/main" id="{1308B6F2-6D3E-E1B1-3FC5-F10D3977AA39}"/>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4.xml><?xml version="1.0" encoding="utf-8"?>
<c:userShapes xmlns:c="http://schemas.openxmlformats.org/drawingml/2006/chart">
  <cdr:relSizeAnchor xmlns:cdr="http://schemas.openxmlformats.org/drawingml/2006/chartDrawing">
    <cdr:from>
      <cdr:x>0</cdr:x>
      <cdr:y>0.94453</cdr:y>
    </cdr:from>
    <cdr:to>
      <cdr:x>0.26265</cdr:x>
      <cdr:y>1</cdr:y>
    </cdr:to>
    <cdr:sp macro="" textlink="">
      <cdr:nvSpPr>
        <cdr:cNvPr id="2" name="TextBox 1">
          <a:extLst xmlns:a="http://schemas.openxmlformats.org/drawingml/2006/main">
            <a:ext uri="{FF2B5EF4-FFF2-40B4-BE49-F238E27FC236}">
              <a16:creationId xmlns:a16="http://schemas.microsoft.com/office/drawing/2014/main" id="{695DB5E6-AA5D-4F34-AE4A-F54DA069B2C5}"/>
            </a:ext>
          </a:extLst>
        </cdr:cNvPr>
        <cdr:cNvSpPr txBox="1"/>
      </cdr:nvSpPr>
      <cdr:spPr>
        <a:xfrm xmlns:a="http://schemas.openxmlformats.org/drawingml/2006/main">
          <a:off x="0" y="5077239"/>
          <a:ext cx="2493065" cy="29817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200" b="1">
              <a:solidFill>
                <a:sysClr val="windowText" lastClr="000000"/>
              </a:solidFill>
              <a:latin typeface="Arial" panose="020B0604020202020204" pitchFamily="34" charset="0"/>
              <a:cs typeface="Arial" panose="020B0604020202020204" pitchFamily="34" charset="0"/>
            </a:rPr>
            <a:t>Source: CARB,</a:t>
          </a:r>
          <a:r>
            <a:rPr lang="en-US" sz="1200" b="1" baseline="0">
              <a:solidFill>
                <a:sysClr val="windowText" lastClr="000000"/>
              </a:solidFill>
              <a:latin typeface="Arial" panose="020B0604020202020204" pitchFamily="34" charset="0"/>
              <a:cs typeface="Arial" panose="020B0604020202020204" pitchFamily="34" charset="0"/>
            </a:rPr>
            <a:t> Fastmarkets</a:t>
          </a:r>
          <a:endParaRPr lang="en-US" sz="1200" b="1">
            <a:solidFill>
              <a:sysClr val="windowText" lastClr="000000"/>
            </a:solidFill>
            <a:latin typeface="Arial" panose="020B0604020202020204" pitchFamily="34" charset="0"/>
            <a:cs typeface="Arial" panose="020B0604020202020204" pitchFamily="34" charset="0"/>
          </a:endParaRPr>
        </a:p>
      </cdr:txBody>
    </cdr:sp>
  </cdr:relSizeAnchor>
</c:userShapes>
</file>

<file path=xl/drawings/drawing45.xml><?xml version="1.0" encoding="utf-8"?>
<xdr:wsDr xmlns:xdr="http://schemas.openxmlformats.org/drawingml/2006/spreadsheetDrawing" xmlns:a="http://schemas.openxmlformats.org/drawingml/2006/main">
  <xdr:absoluteAnchor>
    <xdr:pos x="0" y="0"/>
    <xdr:ext cx="9496425" cy="5381625"/>
    <xdr:graphicFrame macro="">
      <xdr:nvGraphicFramePr>
        <xdr:cNvPr id="2" name="Chart 1">
          <a:extLst>
            <a:ext uri="{FF2B5EF4-FFF2-40B4-BE49-F238E27FC236}">
              <a16:creationId xmlns:a16="http://schemas.microsoft.com/office/drawing/2014/main" id="{D971A6CE-EAC4-C27C-4A57-164B9443C523}"/>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6.xml><?xml version="1.0" encoding="utf-8"?>
<c:userShapes xmlns:c="http://schemas.openxmlformats.org/drawingml/2006/chart">
  <cdr:relSizeAnchor xmlns:cdr="http://schemas.openxmlformats.org/drawingml/2006/chartDrawing">
    <cdr:from>
      <cdr:x>0.86178</cdr:x>
      <cdr:y>0.92181</cdr:y>
    </cdr:from>
    <cdr:to>
      <cdr:x>1</cdr:x>
      <cdr:y>1</cdr:y>
    </cdr:to>
    <cdr:sp macro="" textlink="">
      <cdr:nvSpPr>
        <cdr:cNvPr id="2" name="TextBox 1">
          <a:extLst xmlns:a="http://schemas.openxmlformats.org/drawingml/2006/main">
            <a:ext uri="{FF2B5EF4-FFF2-40B4-BE49-F238E27FC236}">
              <a16:creationId xmlns:a16="http://schemas.microsoft.com/office/drawing/2014/main" id="{3B07A991-7D71-4244-A084-89645F07A99C}"/>
            </a:ext>
          </a:extLst>
        </cdr:cNvPr>
        <cdr:cNvSpPr txBox="1"/>
      </cdr:nvSpPr>
      <cdr:spPr>
        <a:xfrm xmlns:a="http://schemas.openxmlformats.org/drawingml/2006/main">
          <a:off x="7918174" y="4947479"/>
          <a:ext cx="1270000" cy="41965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000" b="1">
              <a:solidFill>
                <a:sysClr val="windowText" lastClr="000000"/>
              </a:solidFill>
              <a:latin typeface="Arial" panose="020B0604020202020204" pitchFamily="34" charset="0"/>
              <a:cs typeface="Arial" panose="020B0604020202020204" pitchFamily="34" charset="0"/>
            </a:rPr>
            <a:t>Source: CARB, Fastmarkets</a:t>
          </a:r>
        </a:p>
      </cdr:txBody>
    </cdr:sp>
  </cdr:relSizeAnchor>
</c:userShapes>
</file>

<file path=xl/drawings/drawing47.xml><?xml version="1.0" encoding="utf-8"?>
<xdr:wsDr xmlns:xdr="http://schemas.openxmlformats.org/drawingml/2006/spreadsheetDrawing" xmlns:a="http://schemas.openxmlformats.org/drawingml/2006/main">
  <xdr:absoluteAnchor>
    <xdr:pos x="0" y="0"/>
    <xdr:ext cx="9496425" cy="5381625"/>
    <xdr:graphicFrame macro="">
      <xdr:nvGraphicFramePr>
        <xdr:cNvPr id="2" name="Chart 1">
          <a:extLst>
            <a:ext uri="{FF2B5EF4-FFF2-40B4-BE49-F238E27FC236}">
              <a16:creationId xmlns:a16="http://schemas.microsoft.com/office/drawing/2014/main" id="{E7A79258-FEA1-45E4-719F-266D743CA5F2}"/>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8.xml><?xml version="1.0" encoding="utf-8"?>
<c:userShapes xmlns:c="http://schemas.openxmlformats.org/drawingml/2006/chart">
  <cdr:relSizeAnchor xmlns:cdr="http://schemas.openxmlformats.org/drawingml/2006/chartDrawing">
    <cdr:from>
      <cdr:x>0.75627</cdr:x>
      <cdr:y>0.94994</cdr:y>
    </cdr:from>
    <cdr:to>
      <cdr:x>1</cdr:x>
      <cdr:y>1</cdr:y>
    </cdr:to>
    <cdr:sp macro="" textlink="">
      <cdr:nvSpPr>
        <cdr:cNvPr id="2" name="TextBox 1">
          <a:extLst xmlns:a="http://schemas.openxmlformats.org/drawingml/2006/main">
            <a:ext uri="{FF2B5EF4-FFF2-40B4-BE49-F238E27FC236}">
              <a16:creationId xmlns:a16="http://schemas.microsoft.com/office/drawing/2014/main" id="{D201108B-FF0E-446E-85A5-7671EA013FEC}"/>
            </a:ext>
          </a:extLst>
        </cdr:cNvPr>
        <cdr:cNvSpPr txBox="1"/>
      </cdr:nvSpPr>
      <cdr:spPr>
        <a:xfrm xmlns:a="http://schemas.openxmlformats.org/drawingml/2006/main">
          <a:off x="7181850" y="5112221"/>
          <a:ext cx="2314575" cy="26940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200" b="1">
              <a:solidFill>
                <a:sysClr val="windowText" lastClr="000000"/>
              </a:solidFill>
              <a:latin typeface="Arial" panose="020B0604020202020204" pitchFamily="34" charset="0"/>
              <a:cs typeface="Arial" panose="020B0604020202020204" pitchFamily="34" charset="0"/>
            </a:rPr>
            <a:t>Source:</a:t>
          </a:r>
          <a:r>
            <a:rPr lang="en-US" sz="1200" b="1" baseline="0">
              <a:solidFill>
                <a:sysClr val="windowText" lastClr="000000"/>
              </a:solidFill>
              <a:latin typeface="Arial" panose="020B0604020202020204" pitchFamily="34" charset="0"/>
              <a:cs typeface="Arial" panose="020B0604020202020204" pitchFamily="34" charset="0"/>
            </a:rPr>
            <a:t> CARB, Fastmarkets</a:t>
          </a:r>
          <a:endParaRPr lang="en-US" sz="1200" b="1">
            <a:solidFill>
              <a:sysClr val="windowText" lastClr="000000"/>
            </a:solidFill>
            <a:latin typeface="Arial" panose="020B0604020202020204" pitchFamily="34" charset="0"/>
            <a:cs typeface="Arial" panose="020B0604020202020204" pitchFamily="34" charset="0"/>
          </a:endParaRPr>
        </a:p>
      </cdr:txBody>
    </cdr:sp>
  </cdr:relSizeAnchor>
</c:userShapes>
</file>

<file path=xl/drawings/drawing49.xml><?xml version="1.0" encoding="utf-8"?>
<xdr:wsDr xmlns:xdr="http://schemas.openxmlformats.org/drawingml/2006/spreadsheetDrawing" xmlns:a="http://schemas.openxmlformats.org/drawingml/2006/main">
  <xdr:absoluteAnchor>
    <xdr:pos x="0" y="0"/>
    <xdr:ext cx="9496425" cy="5381625"/>
    <xdr:graphicFrame macro="">
      <xdr:nvGraphicFramePr>
        <xdr:cNvPr id="2" name="Chart 1">
          <a:extLst>
            <a:ext uri="{FF2B5EF4-FFF2-40B4-BE49-F238E27FC236}">
              <a16:creationId xmlns:a16="http://schemas.microsoft.com/office/drawing/2014/main" id="{083058E3-FF61-9C92-167D-329B2F113A3C}"/>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50.xml><?xml version="1.0" encoding="utf-8"?>
<c:userShapes xmlns:c="http://schemas.openxmlformats.org/drawingml/2006/chart">
  <cdr:relSizeAnchor xmlns:cdr="http://schemas.openxmlformats.org/drawingml/2006/chartDrawing">
    <cdr:from>
      <cdr:x>0.74705</cdr:x>
      <cdr:y>0.94994</cdr:y>
    </cdr:from>
    <cdr:to>
      <cdr:x>1</cdr:x>
      <cdr:y>1</cdr:y>
    </cdr:to>
    <cdr:sp macro="" textlink="">
      <cdr:nvSpPr>
        <cdr:cNvPr id="2" name="TextBox 1">
          <a:extLst xmlns:a="http://schemas.openxmlformats.org/drawingml/2006/main">
            <a:ext uri="{FF2B5EF4-FFF2-40B4-BE49-F238E27FC236}">
              <a16:creationId xmlns:a16="http://schemas.microsoft.com/office/drawing/2014/main" id="{56132C8A-310C-4696-816A-F9E1E07C5B1A}"/>
            </a:ext>
          </a:extLst>
        </cdr:cNvPr>
        <cdr:cNvSpPr txBox="1"/>
      </cdr:nvSpPr>
      <cdr:spPr>
        <a:xfrm xmlns:a="http://schemas.openxmlformats.org/drawingml/2006/main">
          <a:off x="7089914" y="5107608"/>
          <a:ext cx="2400575" cy="26918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050" b="1">
              <a:solidFill>
                <a:sysClr val="windowText" lastClr="000000"/>
              </a:solidFill>
              <a:latin typeface="Arial" panose="020B0604020202020204" pitchFamily="34" charset="0"/>
              <a:cs typeface="Arial" panose="020B0604020202020204" pitchFamily="34" charset="0"/>
            </a:rPr>
            <a:t>Source:</a:t>
          </a:r>
          <a:r>
            <a:rPr lang="en-US" sz="1050" b="1" baseline="0">
              <a:solidFill>
                <a:sysClr val="windowText" lastClr="000000"/>
              </a:solidFill>
              <a:latin typeface="Arial" panose="020B0604020202020204" pitchFamily="34" charset="0"/>
              <a:cs typeface="Arial" panose="020B0604020202020204" pitchFamily="34" charset="0"/>
            </a:rPr>
            <a:t> CARB, Fastmarkets</a:t>
          </a:r>
          <a:endParaRPr lang="en-US" sz="1050" b="1">
            <a:solidFill>
              <a:sysClr val="windowText" lastClr="000000"/>
            </a:solidFill>
            <a:latin typeface="Arial" panose="020B0604020202020204" pitchFamily="34" charset="0"/>
            <a:cs typeface="Arial" panose="020B0604020202020204" pitchFamily="34" charset="0"/>
          </a:endParaRPr>
        </a:p>
      </cdr:txBody>
    </cdr:sp>
  </cdr:relSizeAnchor>
</c:userShapes>
</file>

<file path=xl/drawings/drawing51.xml><?xml version="1.0" encoding="utf-8"?>
<xdr:wsDr xmlns:xdr="http://schemas.openxmlformats.org/drawingml/2006/spreadsheetDrawing" xmlns:a="http://schemas.openxmlformats.org/drawingml/2006/main">
  <xdr:absoluteAnchor>
    <xdr:pos x="0" y="0"/>
    <xdr:ext cx="9496425" cy="5381625"/>
    <xdr:graphicFrame macro="">
      <xdr:nvGraphicFramePr>
        <xdr:cNvPr id="2" name="Chart 1">
          <a:extLst>
            <a:ext uri="{FF2B5EF4-FFF2-40B4-BE49-F238E27FC236}">
              <a16:creationId xmlns:a16="http://schemas.microsoft.com/office/drawing/2014/main" id="{DA8FC440-02C3-72CB-8CD2-6BA50D5E68FD}"/>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52.xml><?xml version="1.0" encoding="utf-8"?>
<c:userShapes xmlns:c="http://schemas.openxmlformats.org/drawingml/2006/chart">
  <cdr:relSizeAnchor xmlns:cdr="http://schemas.openxmlformats.org/drawingml/2006/chartDrawing">
    <cdr:from>
      <cdr:x>0</cdr:x>
      <cdr:y>0.94608</cdr:y>
    </cdr:from>
    <cdr:to>
      <cdr:x>0.26967</cdr:x>
      <cdr:y>1</cdr:y>
    </cdr:to>
    <cdr:sp macro="" textlink="">
      <cdr:nvSpPr>
        <cdr:cNvPr id="2" name="TextBox 1">
          <a:extLst xmlns:a="http://schemas.openxmlformats.org/drawingml/2006/main">
            <a:ext uri="{FF2B5EF4-FFF2-40B4-BE49-F238E27FC236}">
              <a16:creationId xmlns:a16="http://schemas.microsoft.com/office/drawing/2014/main" id="{3FEC4630-1EDF-49C9-BB76-C30680F84ECD}"/>
            </a:ext>
          </a:extLst>
        </cdr:cNvPr>
        <cdr:cNvSpPr txBox="1"/>
      </cdr:nvSpPr>
      <cdr:spPr>
        <a:xfrm xmlns:a="http://schemas.openxmlformats.org/drawingml/2006/main">
          <a:off x="0" y="5086902"/>
          <a:ext cx="2559326" cy="28989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200" b="1">
              <a:solidFill>
                <a:sysClr val="windowText" lastClr="000000"/>
              </a:solidFill>
              <a:latin typeface="Arial" panose="020B0604020202020204" pitchFamily="34" charset="0"/>
              <a:cs typeface="Arial" panose="020B0604020202020204" pitchFamily="34" charset="0"/>
            </a:rPr>
            <a:t>Source: CARB, Fastmarkets</a:t>
          </a:r>
        </a:p>
      </cdr:txBody>
    </cdr:sp>
  </cdr:relSizeAnchor>
</c:userShapes>
</file>

<file path=xl/drawings/drawing53.xml><?xml version="1.0" encoding="utf-8"?>
<xdr:wsDr xmlns:xdr="http://schemas.openxmlformats.org/drawingml/2006/spreadsheetDrawing" xmlns:a="http://schemas.openxmlformats.org/drawingml/2006/main">
  <xdr:twoCellAnchor>
    <xdr:from>
      <xdr:col>5</xdr:col>
      <xdr:colOff>628650</xdr:colOff>
      <xdr:row>14</xdr:row>
      <xdr:rowOff>85725</xdr:rowOff>
    </xdr:from>
    <xdr:to>
      <xdr:col>24</xdr:col>
      <xdr:colOff>219074</xdr:colOff>
      <xdr:row>41</xdr:row>
      <xdr:rowOff>104775</xdr:rowOff>
    </xdr:to>
    <xdr:graphicFrame macro="">
      <xdr:nvGraphicFramePr>
        <xdr:cNvPr id="2" name="Chart 1">
          <a:extLst>
            <a:ext uri="{FF2B5EF4-FFF2-40B4-BE49-F238E27FC236}">
              <a16:creationId xmlns:a16="http://schemas.microsoft.com/office/drawing/2014/main" id="{85480E66-43F4-4F22-9A8E-CFF018F26D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4.xml><?xml version="1.0" encoding="utf-8"?>
<xdr:wsDr xmlns:xdr="http://schemas.openxmlformats.org/drawingml/2006/spreadsheetDrawing" xmlns:a="http://schemas.openxmlformats.org/drawingml/2006/main">
  <xdr:twoCellAnchor>
    <xdr:from>
      <xdr:col>12</xdr:col>
      <xdr:colOff>91746</xdr:colOff>
      <xdr:row>1</xdr:row>
      <xdr:rowOff>11400</xdr:rowOff>
    </xdr:from>
    <xdr:to>
      <xdr:col>19</xdr:col>
      <xdr:colOff>935139</xdr:colOff>
      <xdr:row>23</xdr:row>
      <xdr:rowOff>162337</xdr:rowOff>
    </xdr:to>
    <xdr:graphicFrame macro="">
      <xdr:nvGraphicFramePr>
        <xdr:cNvPr id="2" name="Chart 1">
          <a:extLst>
            <a:ext uri="{FF2B5EF4-FFF2-40B4-BE49-F238E27FC236}">
              <a16:creationId xmlns:a16="http://schemas.microsoft.com/office/drawing/2014/main" id="{8CCE4934-0046-49F7-A5DC-44F329922F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torem\Dropbox\RLC%20Documents\Models\Biofuels\US%20Fuel%20Balance%20Sheets.xlsx" TargetMode="External"/><Relationship Id="rId1" Type="http://schemas.openxmlformats.org/officeDocument/2006/relationships/externalLinkPath" Target="US%20Fuel%20Balance%20Sheet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torem\Dropbox\RLC%20Documents\Models\Biofuels\EMTS%20Data.xlsx" TargetMode="External"/><Relationship Id="rId1" Type="http://schemas.openxmlformats.org/officeDocument/2006/relationships/externalLinkPath" Target="EMTS%20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 Sources"/>
      <sheetName val="Graph Dashboard"/>
      <sheetName val="annual_data"/>
      <sheetName val="monthly_data"/>
      <sheetName val="BD"/>
      <sheetName val="RD"/>
      <sheetName val="Diesel"/>
      <sheetName val="Diesel (adj)"/>
      <sheetName val="Capacity"/>
      <sheetName val="EIA_Short_Term"/>
      <sheetName val="com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35">
          <cell r="C35" t="str">
            <v>8.47</v>
          </cell>
          <cell r="D35" t="str">
            <v>9.00</v>
          </cell>
          <cell r="E35" t="str">
            <v>8.88</v>
          </cell>
          <cell r="F35" t="str">
            <v>8.75</v>
          </cell>
          <cell r="G35" t="str">
            <v>8.67</v>
          </cell>
          <cell r="H35" t="str">
            <v>9.19</v>
          </cell>
          <cell r="I35" t="str">
            <v>9.08</v>
          </cell>
          <cell r="J35" t="str">
            <v>8.73</v>
          </cell>
          <cell r="K35" t="str">
            <v>8.65</v>
          </cell>
          <cell r="L35" t="str">
            <v>9.11</v>
          </cell>
          <cell r="M35" t="str">
            <v>9.17</v>
          </cell>
          <cell r="N35" t="str">
            <v>8.79</v>
          </cell>
        </row>
        <row r="38">
          <cell r="C38" t="str">
            <v>4.14</v>
          </cell>
          <cell r="D38" t="str">
            <v>3.89</v>
          </cell>
          <cell r="E38" t="str">
            <v>3.86</v>
          </cell>
          <cell r="F38" t="str">
            <v>3.96</v>
          </cell>
          <cell r="G38" t="str">
            <v>4.01</v>
          </cell>
          <cell r="H38" t="str">
            <v>3.88</v>
          </cell>
          <cell r="I38" t="str">
            <v>3.78</v>
          </cell>
          <cell r="J38" t="str">
            <v>3.97</v>
          </cell>
          <cell r="K38" t="str">
            <v>4.05</v>
          </cell>
          <cell r="L38" t="str">
            <v>3.93</v>
          </cell>
          <cell r="M38" t="str">
            <v>3.86</v>
          </cell>
          <cell r="N38" t="str">
            <v>3.98</v>
          </cell>
        </row>
      </sheetData>
      <sheetData sheetId="1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FS Data"/>
      <sheetName val="RIN Summary"/>
      <sheetName val="Monthly RIN Summary"/>
      <sheetName val="Monthly Gallon Summary"/>
      <sheetName val="Qtrly Gallon Summary"/>
      <sheetName val="Production Summary"/>
      <sheetName val="D3 Gallon Forecast"/>
      <sheetName val="Monthly D3 Gallon Data"/>
      <sheetName val="D3 RIN Forecast"/>
      <sheetName val="Monthly D3 RIN Data"/>
      <sheetName val="D4 Gallon Forecast"/>
      <sheetName val="Monthly D4 Gallon Data"/>
      <sheetName val="D4 RIN Forecast"/>
      <sheetName val="Monthly D4 RIN Data"/>
      <sheetName val="D5 Gallon Forecast"/>
      <sheetName val="Monthly D5 Gallon Data"/>
      <sheetName val="D5 RIN Forecast"/>
      <sheetName val="Monthly D5 RIN Data"/>
      <sheetName val="D6 Gallon Forecast"/>
      <sheetName val="Monthly D6 Gallon Data"/>
      <sheetName val="D6 RIN Forecast"/>
      <sheetName val="Monthly D6 RIN Data"/>
      <sheetName val="D7 Gallon Forecast"/>
      <sheetName val="Monthly D7 Gallon Data"/>
      <sheetName val="D7 RIN Forecast"/>
      <sheetName val="Monthly D7 RIN Data"/>
    </sheetNames>
    <sheetDataSet>
      <sheetData sheetId="0" refreshError="1"/>
      <sheetData sheetId="1" refreshError="1"/>
      <sheetData sheetId="2" refreshError="1"/>
      <sheetData sheetId="3">
        <row r="83">
          <cell r="T83">
            <v>194312790.4450902</v>
          </cell>
          <cell r="U83">
            <v>196315383.19321719</v>
          </cell>
          <cell r="V83">
            <v>205707631.69478792</v>
          </cell>
          <cell r="W83">
            <v>222782293.77920413</v>
          </cell>
          <cell r="X83">
            <v>264059013.18170139</v>
          </cell>
          <cell r="Y83">
            <v>262890228.64060161</v>
          </cell>
          <cell r="Z83">
            <v>255777133.45371303</v>
          </cell>
        </row>
        <row r="84">
          <cell r="T84">
            <v>211940257.3015556</v>
          </cell>
          <cell r="U84">
            <v>214020412.68485782</v>
          </cell>
          <cell r="V84">
            <v>224248992.3909564</v>
          </cell>
          <cell r="W84">
            <v>242941688.091079</v>
          </cell>
          <cell r="X84">
            <v>288186763.80865526</v>
          </cell>
          <cell r="Y84">
            <v>286740408.06441188</v>
          </cell>
          <cell r="Z84">
            <v>278759454.26224506</v>
          </cell>
        </row>
        <row r="85">
          <cell r="T85">
            <v>227264879.74707708</v>
          </cell>
          <cell r="U85">
            <v>228578264.88394293</v>
          </cell>
          <cell r="V85">
            <v>239817437.50720793</v>
          </cell>
          <cell r="W85">
            <v>259740557.4406063</v>
          </cell>
          <cell r="X85">
            <v>308028345.58673579</v>
          </cell>
          <cell r="Y85">
            <v>306627190.56984639</v>
          </cell>
          <cell r="Z85">
            <v>298274996.33242476</v>
          </cell>
        </row>
        <row r="86">
          <cell r="T86">
            <v>217371467.25445896</v>
          </cell>
          <cell r="U86">
            <v>218955341.14504278</v>
          </cell>
          <cell r="V86">
            <v>229462278.14924833</v>
          </cell>
          <cell r="W86">
            <v>248826445.36842561</v>
          </cell>
          <cell r="X86">
            <v>295175326.88767368</v>
          </cell>
          <cell r="Y86">
            <v>293643197.48746473</v>
          </cell>
          <cell r="Z86">
            <v>285421262.34656847</v>
          </cell>
        </row>
        <row r="87">
          <cell r="T87">
            <v>242702114.27576911</v>
          </cell>
          <cell r="U87">
            <v>244000037.58973342</v>
          </cell>
          <cell r="V87">
            <v>256351694.14983538</v>
          </cell>
          <cell r="W87">
            <v>277936054.80820769</v>
          </cell>
          <cell r="X87">
            <v>329674933.86319137</v>
          </cell>
          <cell r="Y87">
            <v>327838041.39430302</v>
          </cell>
          <cell r="Z87">
            <v>318640962.61132663</v>
          </cell>
        </row>
        <row r="88">
          <cell r="T88">
            <v>243606682.90877292</v>
          </cell>
          <cell r="U88">
            <v>244970522.4732177</v>
          </cell>
          <cell r="V88">
            <v>256708443.04556444</v>
          </cell>
          <cell r="W88">
            <v>278342482.54892325</v>
          </cell>
          <cell r="X88">
            <v>330115541.04007667</v>
          </cell>
          <cell r="Y88">
            <v>328556808.6677587</v>
          </cell>
          <cell r="Z88">
            <v>319494028.72717369</v>
          </cell>
        </row>
        <row r="89">
          <cell r="T89">
            <v>236773522.09535536</v>
          </cell>
          <cell r="U89">
            <v>238956910.24844706</v>
          </cell>
          <cell r="V89">
            <v>250033211.12136015</v>
          </cell>
          <cell r="W89">
            <v>271095635.63357651</v>
          </cell>
          <cell r="X89">
            <v>321538833.71866876</v>
          </cell>
          <cell r="Y89">
            <v>319993427.68153834</v>
          </cell>
          <cell r="Z89">
            <v>311153167.81072766</v>
          </cell>
        </row>
        <row r="90">
          <cell r="T90">
            <v>243626568.18724155</v>
          </cell>
          <cell r="U90">
            <v>245851134.01359108</v>
          </cell>
          <cell r="V90">
            <v>257412084.30610371</v>
          </cell>
          <cell r="W90">
            <v>278979038.75780982</v>
          </cell>
          <cell r="X90">
            <v>330667683.35045755</v>
          </cell>
          <cell r="Y90">
            <v>329211311.18897265</v>
          </cell>
          <cell r="Z90">
            <v>320438706.51265907</v>
          </cell>
        </row>
        <row r="91">
          <cell r="T91">
            <v>246630143.23247263</v>
          </cell>
          <cell r="U91">
            <v>248718331.233812</v>
          </cell>
          <cell r="V91">
            <v>260670373.02903578</v>
          </cell>
          <cell r="W91">
            <v>282559598.33993489</v>
          </cell>
          <cell r="X91">
            <v>334977538.00954771</v>
          </cell>
          <cell r="Y91">
            <v>333356989.57658458</v>
          </cell>
          <cell r="Z91">
            <v>324359063.04280567</v>
          </cell>
        </row>
        <row r="92">
          <cell r="T92">
            <v>268323811.52612466</v>
          </cell>
          <cell r="U92">
            <v>270208426.65035695</v>
          </cell>
          <cell r="V92">
            <v>283206545.38055897</v>
          </cell>
          <cell r="W92">
            <v>307061170.11684263</v>
          </cell>
          <cell r="X92">
            <v>364211403.58770156</v>
          </cell>
          <cell r="Y92">
            <v>362381018.27605021</v>
          </cell>
          <cell r="Z92">
            <v>352270081.06497884</v>
          </cell>
        </row>
        <row r="93">
          <cell r="T93">
            <v>324105784.34622979</v>
          </cell>
          <cell r="U93">
            <v>326915957.51048094</v>
          </cell>
          <cell r="V93">
            <v>342127884.18371904</v>
          </cell>
          <cell r="W93">
            <v>371062267.34164441</v>
          </cell>
          <cell r="X93">
            <v>440363381.72453421</v>
          </cell>
          <cell r="Y93">
            <v>438022232.40879124</v>
          </cell>
          <cell r="Z93">
            <v>425692985.24432093</v>
          </cell>
        </row>
        <row r="94">
          <cell r="T94">
            <v>366605883.8644672</v>
          </cell>
          <cell r="U94">
            <v>369856670.91491246</v>
          </cell>
          <cell r="V94">
            <v>387299754.70567995</v>
          </cell>
          <cell r="W94">
            <v>420348949.46926063</v>
          </cell>
          <cell r="X94">
            <v>498475419.86634046</v>
          </cell>
          <cell r="Y94">
            <v>495804608.01874244</v>
          </cell>
          <cell r="Z94">
            <v>481822710.00184309</v>
          </cell>
        </row>
      </sheetData>
      <sheetData sheetId="4" refreshError="1"/>
      <sheetData sheetId="5" refreshError="1"/>
      <sheetData sheetId="6">
        <row r="105">
          <cell r="C105">
            <v>0</v>
          </cell>
          <cell r="D105">
            <v>0</v>
          </cell>
          <cell r="E105">
            <v>0</v>
          </cell>
          <cell r="F105">
            <v>0</v>
          </cell>
          <cell r="G105">
            <v>1429312</v>
          </cell>
          <cell r="H105">
            <v>1289142</v>
          </cell>
          <cell r="I105">
            <v>95972</v>
          </cell>
          <cell r="J105">
            <v>20688</v>
          </cell>
          <cell r="K105">
            <v>22550</v>
          </cell>
          <cell r="L105">
            <v>450471</v>
          </cell>
          <cell r="M105">
            <v>3883503</v>
          </cell>
          <cell r="N105">
            <v>752623</v>
          </cell>
          <cell r="O105">
            <v>1964428</v>
          </cell>
          <cell r="P105">
            <v>6482643</v>
          </cell>
          <cell r="Q105">
            <v>1133947</v>
          </cell>
          <cell r="R105">
            <v>2025492.9092191313</v>
          </cell>
          <cell r="S105">
            <v>1759050.4059113197</v>
          </cell>
          <cell r="T105">
            <v>1967041.4511856283</v>
          </cell>
          <cell r="U105" t="e">
            <v>#NUM!</v>
          </cell>
          <cell r="V105" t="e">
            <v>#NUM!</v>
          </cell>
          <cell r="W105" t="e">
            <v>#NUM!</v>
          </cell>
          <cell r="X105" t="e">
            <v>#NUM!</v>
          </cell>
          <cell r="Y105" t="e">
            <v>#NUM!</v>
          </cell>
          <cell r="Z105" t="e">
            <v>#NUM!</v>
          </cell>
          <cell r="AA105" t="e">
            <v>#NUM!</v>
          </cell>
          <cell r="AB105" t="e">
            <v>#NUM!</v>
          </cell>
          <cell r="AC105" t="e">
            <v>#NUM!</v>
          </cell>
          <cell r="AD105" t="e">
            <v>#NUM!</v>
          </cell>
          <cell r="AE105" t="e">
            <v>#NUM!</v>
          </cell>
          <cell r="AF105" t="e">
            <v>#NUM!</v>
          </cell>
          <cell r="AG105" t="e">
            <v>#NUM!</v>
          </cell>
          <cell r="AH105" t="e">
            <v>#NUM!</v>
          </cell>
          <cell r="AI105" t="e">
            <v>#NUM!</v>
          </cell>
          <cell r="AJ105" t="e">
            <v>#NUM!</v>
          </cell>
          <cell r="AK105" t="e">
            <v>#NUM!</v>
          </cell>
          <cell r="AL105" t="e">
            <v>#NUM!</v>
          </cell>
          <cell r="AM105" t="e">
            <v>#NUM!</v>
          </cell>
          <cell r="AN105" t="e">
            <v>#NUM!</v>
          </cell>
          <cell r="AO105" t="e">
            <v>#NUM!</v>
          </cell>
          <cell r="AP105" t="e">
            <v>#NUM!</v>
          </cell>
        </row>
        <row r="106">
          <cell r="C106">
            <v>0</v>
          </cell>
          <cell r="D106">
            <v>0</v>
          </cell>
          <cell r="E106">
            <v>0</v>
          </cell>
          <cell r="F106">
            <v>0</v>
          </cell>
          <cell r="G106">
            <v>3687481</v>
          </cell>
          <cell r="H106">
            <v>7718902</v>
          </cell>
          <cell r="I106">
            <v>9752116</v>
          </cell>
          <cell r="J106">
            <v>12807199</v>
          </cell>
          <cell r="K106">
            <v>23379278</v>
          </cell>
          <cell r="L106">
            <v>28402927</v>
          </cell>
          <cell r="M106">
            <v>33220960</v>
          </cell>
          <cell r="N106">
            <v>39480978</v>
          </cell>
          <cell r="O106">
            <v>53280009</v>
          </cell>
          <cell r="P106">
            <v>62278042</v>
          </cell>
          <cell r="Q106">
            <v>1133947</v>
          </cell>
          <cell r="R106">
            <v>26982639.721247949</v>
          </cell>
          <cell r="S106">
            <v>26068166.470716286</v>
          </cell>
          <cell r="T106">
            <v>24981452.257309888</v>
          </cell>
          <cell r="U106" t="e">
            <v>#NUM!</v>
          </cell>
          <cell r="V106" t="e">
            <v>#NUM!</v>
          </cell>
          <cell r="W106" t="e">
            <v>#NUM!</v>
          </cell>
          <cell r="X106" t="e">
            <v>#NUM!</v>
          </cell>
          <cell r="Y106" t="e">
            <v>#NUM!</v>
          </cell>
          <cell r="Z106" t="e">
            <v>#NUM!</v>
          </cell>
          <cell r="AA106" t="e">
            <v>#NUM!</v>
          </cell>
          <cell r="AB106" t="e">
            <v>#NUM!</v>
          </cell>
          <cell r="AC106" t="e">
            <v>#NUM!</v>
          </cell>
          <cell r="AD106" t="e">
            <v>#NUM!</v>
          </cell>
          <cell r="AE106" t="e">
            <v>#NUM!</v>
          </cell>
          <cell r="AF106" t="e">
            <v>#NUM!</v>
          </cell>
          <cell r="AG106" t="e">
            <v>#NUM!</v>
          </cell>
          <cell r="AH106" t="e">
            <v>#NUM!</v>
          </cell>
          <cell r="AI106" t="e">
            <v>#NUM!</v>
          </cell>
          <cell r="AJ106" t="e">
            <v>#NUM!</v>
          </cell>
          <cell r="AK106" t="e">
            <v>#NUM!</v>
          </cell>
          <cell r="AL106" t="e">
            <v>#NUM!</v>
          </cell>
          <cell r="AM106" t="e">
            <v>#NUM!</v>
          </cell>
          <cell r="AN106" t="e">
            <v>#NUM!</v>
          </cell>
          <cell r="AO106" t="e">
            <v>#NUM!</v>
          </cell>
          <cell r="AP106" t="e">
            <v>#NUM!</v>
          </cell>
        </row>
        <row r="107">
          <cell r="C107">
            <v>0</v>
          </cell>
          <cell r="D107">
            <v>0</v>
          </cell>
          <cell r="E107">
            <v>0</v>
          </cell>
          <cell r="F107">
            <v>0</v>
          </cell>
          <cell r="G107">
            <v>4160077</v>
          </cell>
          <cell r="H107">
            <v>9268999</v>
          </cell>
          <cell r="I107">
            <v>10216614</v>
          </cell>
          <cell r="J107">
            <v>11493874</v>
          </cell>
          <cell r="K107">
            <v>20820447</v>
          </cell>
          <cell r="L107">
            <v>26435294</v>
          </cell>
          <cell r="M107">
            <v>27903102</v>
          </cell>
          <cell r="N107">
            <v>35685257</v>
          </cell>
          <cell r="O107">
            <v>48547128</v>
          </cell>
          <cell r="P107">
            <v>59524862</v>
          </cell>
          <cell r="Q107">
            <v>34891525.027196206</v>
          </cell>
          <cell r="R107">
            <v>29427102.674630653</v>
          </cell>
          <cell r="S107">
            <v>29615016.274043016</v>
          </cell>
          <cell r="T107">
            <v>29729649.659662627</v>
          </cell>
          <cell r="U107" t="e">
            <v>#NUM!</v>
          </cell>
          <cell r="V107" t="e">
            <v>#NUM!</v>
          </cell>
          <cell r="W107" t="e">
            <v>#NUM!</v>
          </cell>
          <cell r="X107" t="e">
            <v>#NUM!</v>
          </cell>
          <cell r="Y107" t="e">
            <v>#NUM!</v>
          </cell>
          <cell r="Z107" t="e">
            <v>#NUM!</v>
          </cell>
          <cell r="AA107" t="e">
            <v>#NUM!</v>
          </cell>
          <cell r="AB107" t="e">
            <v>#NUM!</v>
          </cell>
          <cell r="AC107" t="e">
            <v>#NUM!</v>
          </cell>
          <cell r="AD107" t="e">
            <v>#NUM!</v>
          </cell>
          <cell r="AE107" t="e">
            <v>#NUM!</v>
          </cell>
          <cell r="AF107" t="e">
            <v>#NUM!</v>
          </cell>
          <cell r="AG107" t="e">
            <v>#NUM!</v>
          </cell>
          <cell r="AH107" t="e">
            <v>#NUM!</v>
          </cell>
          <cell r="AI107" t="e">
            <v>#NUM!</v>
          </cell>
          <cell r="AJ107" t="e">
            <v>#NUM!</v>
          </cell>
          <cell r="AK107" t="e">
            <v>#NUM!</v>
          </cell>
          <cell r="AL107" t="e">
            <v>#NUM!</v>
          </cell>
          <cell r="AM107" t="e">
            <v>#NUM!</v>
          </cell>
          <cell r="AN107" t="e">
            <v>#NUM!</v>
          </cell>
          <cell r="AO107" t="e">
            <v>#NUM!</v>
          </cell>
          <cell r="AP107" t="e">
            <v>#NUM!</v>
          </cell>
        </row>
        <row r="108">
          <cell r="C108">
            <v>0</v>
          </cell>
          <cell r="D108">
            <v>0</v>
          </cell>
          <cell r="E108">
            <v>0</v>
          </cell>
          <cell r="F108">
            <v>0</v>
          </cell>
          <cell r="G108">
            <v>4191579</v>
          </cell>
          <cell r="H108">
            <v>8994368</v>
          </cell>
          <cell r="I108">
            <v>10678397</v>
          </cell>
          <cell r="J108">
            <v>12875336</v>
          </cell>
          <cell r="K108">
            <v>25619818</v>
          </cell>
          <cell r="L108">
            <v>31277485</v>
          </cell>
          <cell r="M108">
            <v>34802958</v>
          </cell>
          <cell r="N108">
            <v>40668142</v>
          </cell>
          <cell r="O108">
            <v>55993236</v>
          </cell>
          <cell r="P108">
            <v>67016522</v>
          </cell>
          <cell r="Q108">
            <v>35189936.114505321</v>
          </cell>
          <cell r="R108">
            <v>33290690.209688671</v>
          </cell>
          <cell r="S108">
            <v>33042651.124746107</v>
          </cell>
          <cell r="T108">
            <v>33045060.9200087</v>
          </cell>
          <cell r="U108" t="e">
            <v>#NUM!</v>
          </cell>
          <cell r="V108" t="e">
            <v>#NUM!</v>
          </cell>
          <cell r="W108" t="e">
            <v>#NUM!</v>
          </cell>
          <cell r="X108" t="e">
            <v>#NUM!</v>
          </cell>
          <cell r="Y108" t="e">
            <v>#NUM!</v>
          </cell>
          <cell r="Z108" t="e">
            <v>#NUM!</v>
          </cell>
          <cell r="AA108" t="e">
            <v>#NUM!</v>
          </cell>
          <cell r="AB108" t="e">
            <v>#NUM!</v>
          </cell>
          <cell r="AC108" t="e">
            <v>#NUM!</v>
          </cell>
          <cell r="AD108" t="e">
            <v>#NUM!</v>
          </cell>
          <cell r="AE108" t="e">
            <v>#NUM!</v>
          </cell>
          <cell r="AF108" t="e">
            <v>#NUM!</v>
          </cell>
          <cell r="AG108" t="e">
            <v>#NUM!</v>
          </cell>
          <cell r="AH108" t="e">
            <v>#NUM!</v>
          </cell>
          <cell r="AI108" t="e">
            <v>#NUM!</v>
          </cell>
          <cell r="AJ108" t="e">
            <v>#NUM!</v>
          </cell>
          <cell r="AK108" t="e">
            <v>#NUM!</v>
          </cell>
          <cell r="AL108" t="e">
            <v>#NUM!</v>
          </cell>
          <cell r="AM108" t="e">
            <v>#NUM!</v>
          </cell>
          <cell r="AN108" t="e">
            <v>#NUM!</v>
          </cell>
          <cell r="AO108" t="e">
            <v>#NUM!</v>
          </cell>
          <cell r="AP108" t="e">
            <v>#NUM!</v>
          </cell>
        </row>
        <row r="109">
          <cell r="C109">
            <v>0</v>
          </cell>
          <cell r="D109">
            <v>0</v>
          </cell>
          <cell r="E109">
            <v>0</v>
          </cell>
          <cell r="F109">
            <v>0</v>
          </cell>
          <cell r="G109">
            <v>5878244</v>
          </cell>
          <cell r="H109">
            <v>8584190</v>
          </cell>
          <cell r="I109">
            <v>12750848</v>
          </cell>
          <cell r="J109">
            <v>15555160</v>
          </cell>
          <cell r="K109">
            <v>25280275</v>
          </cell>
          <cell r="L109">
            <v>28516201</v>
          </cell>
          <cell r="M109">
            <v>35833762</v>
          </cell>
          <cell r="N109">
            <v>46346211</v>
          </cell>
          <cell r="O109">
            <v>54037078</v>
          </cell>
          <cell r="P109">
            <v>67737546</v>
          </cell>
          <cell r="Q109">
            <v>35605377.473096035</v>
          </cell>
          <cell r="R109">
            <v>43230968.483925559</v>
          </cell>
          <cell r="S109">
            <v>44521957.171240024</v>
          </cell>
          <cell r="T109">
            <v>45697274.90682625</v>
          </cell>
          <cell r="U109" t="e">
            <v>#NUM!</v>
          </cell>
          <cell r="V109" t="e">
            <v>#NUM!</v>
          </cell>
          <cell r="W109" t="e">
            <v>#NUM!</v>
          </cell>
          <cell r="X109" t="e">
            <v>#NUM!</v>
          </cell>
          <cell r="Y109" t="e">
            <v>#NUM!</v>
          </cell>
          <cell r="Z109" t="e">
            <v>#NUM!</v>
          </cell>
          <cell r="AA109" t="e">
            <v>#NUM!</v>
          </cell>
          <cell r="AB109" t="e">
            <v>#NUM!</v>
          </cell>
          <cell r="AC109" t="e">
            <v>#NUM!</v>
          </cell>
          <cell r="AD109" t="e">
            <v>#NUM!</v>
          </cell>
          <cell r="AE109" t="e">
            <v>#NUM!</v>
          </cell>
          <cell r="AF109" t="e">
            <v>#NUM!</v>
          </cell>
          <cell r="AG109" t="e">
            <v>#NUM!</v>
          </cell>
          <cell r="AH109" t="e">
            <v>#NUM!</v>
          </cell>
          <cell r="AI109" t="e">
            <v>#NUM!</v>
          </cell>
          <cell r="AJ109" t="e">
            <v>#NUM!</v>
          </cell>
          <cell r="AK109" t="e">
            <v>#NUM!</v>
          </cell>
          <cell r="AL109" t="e">
            <v>#NUM!</v>
          </cell>
          <cell r="AM109" t="e">
            <v>#NUM!</v>
          </cell>
          <cell r="AN109" t="e">
            <v>#NUM!</v>
          </cell>
          <cell r="AO109" t="e">
            <v>#NUM!</v>
          </cell>
          <cell r="AP109" t="e">
            <v>#NUM!</v>
          </cell>
        </row>
        <row r="110">
          <cell r="C110">
            <v>0</v>
          </cell>
          <cell r="D110">
            <v>0</v>
          </cell>
          <cell r="E110">
            <v>0</v>
          </cell>
          <cell r="F110">
            <v>0</v>
          </cell>
          <cell r="G110">
            <v>6077815</v>
          </cell>
          <cell r="H110">
            <v>8223464</v>
          </cell>
          <cell r="I110">
            <v>13490491</v>
          </cell>
          <cell r="J110">
            <v>18467304</v>
          </cell>
          <cell r="K110">
            <v>29926723</v>
          </cell>
          <cell r="L110">
            <v>31984254</v>
          </cell>
          <cell r="M110">
            <v>39397690</v>
          </cell>
          <cell r="N110">
            <v>44287180</v>
          </cell>
          <cell r="O110">
            <v>61040669</v>
          </cell>
          <cell r="P110">
            <v>73839781</v>
          </cell>
          <cell r="Q110">
            <v>38374334.474446148</v>
          </cell>
          <cell r="R110">
            <v>51248072.575566933</v>
          </cell>
          <cell r="S110">
            <v>53558875.415620789</v>
          </cell>
          <cell r="T110">
            <v>57292209.222884625</v>
          </cell>
          <cell r="U110" t="e">
            <v>#NUM!</v>
          </cell>
          <cell r="V110" t="e">
            <v>#NUM!</v>
          </cell>
          <cell r="W110" t="e">
            <v>#NUM!</v>
          </cell>
          <cell r="X110" t="e">
            <v>#NUM!</v>
          </cell>
          <cell r="Y110" t="e">
            <v>#NUM!</v>
          </cell>
          <cell r="Z110" t="e">
            <v>#NUM!</v>
          </cell>
          <cell r="AA110" t="e">
            <v>#NUM!</v>
          </cell>
          <cell r="AB110" t="e">
            <v>#NUM!</v>
          </cell>
          <cell r="AC110" t="e">
            <v>#NUM!</v>
          </cell>
          <cell r="AD110" t="e">
            <v>#NUM!</v>
          </cell>
          <cell r="AE110" t="e">
            <v>#NUM!</v>
          </cell>
          <cell r="AF110" t="e">
            <v>#NUM!</v>
          </cell>
          <cell r="AG110" t="e">
            <v>#NUM!</v>
          </cell>
          <cell r="AH110" t="e">
            <v>#NUM!</v>
          </cell>
          <cell r="AI110" t="e">
            <v>#NUM!</v>
          </cell>
          <cell r="AJ110" t="e">
            <v>#NUM!</v>
          </cell>
          <cell r="AK110" t="e">
            <v>#NUM!</v>
          </cell>
          <cell r="AL110" t="e">
            <v>#NUM!</v>
          </cell>
          <cell r="AM110" t="e">
            <v>#NUM!</v>
          </cell>
          <cell r="AN110" t="e">
            <v>#NUM!</v>
          </cell>
          <cell r="AO110" t="e">
            <v>#NUM!</v>
          </cell>
          <cell r="AP110" t="e">
            <v>#NUM!</v>
          </cell>
        </row>
        <row r="111">
          <cell r="C111">
            <v>0</v>
          </cell>
          <cell r="D111">
            <v>0</v>
          </cell>
          <cell r="E111">
            <v>0</v>
          </cell>
          <cell r="F111">
            <v>0</v>
          </cell>
          <cell r="G111">
            <v>6003478</v>
          </cell>
          <cell r="H111">
            <v>9492589</v>
          </cell>
          <cell r="I111">
            <v>12278441</v>
          </cell>
          <cell r="J111">
            <v>19082106</v>
          </cell>
          <cell r="K111">
            <v>29654577</v>
          </cell>
          <cell r="L111">
            <v>31212896</v>
          </cell>
          <cell r="M111">
            <v>35884034</v>
          </cell>
          <cell r="N111">
            <v>44093008</v>
          </cell>
          <cell r="O111">
            <v>56006395</v>
          </cell>
          <cell r="P111">
            <v>72111231</v>
          </cell>
          <cell r="Q111">
            <v>36652500.966538973</v>
          </cell>
          <cell r="R111">
            <v>48816212.131666794</v>
          </cell>
          <cell r="S111">
            <v>51344968.734251827</v>
          </cell>
          <cell r="T111">
            <v>54586799.065943196</v>
          </cell>
          <cell r="U111" t="e">
            <v>#NUM!</v>
          </cell>
          <cell r="V111" t="e">
            <v>#NUM!</v>
          </cell>
          <cell r="W111" t="e">
            <v>#NUM!</v>
          </cell>
          <cell r="X111" t="e">
            <v>#NUM!</v>
          </cell>
          <cell r="Y111" t="e">
            <v>#NUM!</v>
          </cell>
          <cell r="Z111" t="e">
            <v>#NUM!</v>
          </cell>
          <cell r="AA111" t="e">
            <v>#NUM!</v>
          </cell>
          <cell r="AB111" t="e">
            <v>#NUM!</v>
          </cell>
          <cell r="AC111" t="e">
            <v>#NUM!</v>
          </cell>
          <cell r="AD111" t="e">
            <v>#NUM!</v>
          </cell>
          <cell r="AE111" t="e">
            <v>#NUM!</v>
          </cell>
          <cell r="AF111" t="e">
            <v>#NUM!</v>
          </cell>
          <cell r="AG111" t="e">
            <v>#NUM!</v>
          </cell>
          <cell r="AH111" t="e">
            <v>#NUM!</v>
          </cell>
          <cell r="AI111" t="e">
            <v>#NUM!</v>
          </cell>
          <cell r="AJ111" t="e">
            <v>#NUM!</v>
          </cell>
          <cell r="AK111" t="e">
            <v>#NUM!</v>
          </cell>
          <cell r="AL111" t="e">
            <v>#NUM!</v>
          </cell>
          <cell r="AM111" t="e">
            <v>#NUM!</v>
          </cell>
          <cell r="AN111" t="e">
            <v>#NUM!</v>
          </cell>
          <cell r="AO111" t="e">
            <v>#NUM!</v>
          </cell>
          <cell r="AP111" t="e">
            <v>#NUM!</v>
          </cell>
        </row>
        <row r="112">
          <cell r="C112">
            <v>0</v>
          </cell>
          <cell r="D112">
            <v>0</v>
          </cell>
          <cell r="E112">
            <v>0</v>
          </cell>
          <cell r="F112">
            <v>1643621</v>
          </cell>
          <cell r="G112">
            <v>6218267</v>
          </cell>
          <cell r="H112">
            <v>9478696</v>
          </cell>
          <cell r="I112">
            <v>12933967</v>
          </cell>
          <cell r="J112">
            <v>22250007</v>
          </cell>
          <cell r="K112">
            <v>29811852</v>
          </cell>
          <cell r="L112">
            <v>32184792</v>
          </cell>
          <cell r="M112">
            <v>37893243</v>
          </cell>
          <cell r="N112">
            <v>51613593</v>
          </cell>
          <cell r="O112">
            <v>58285407</v>
          </cell>
          <cell r="P112">
            <v>78552993</v>
          </cell>
          <cell r="Q112">
            <v>39596625.960177958</v>
          </cell>
          <cell r="R112">
            <v>54306557.148162238</v>
          </cell>
          <cell r="S112">
            <v>57601421.491420418</v>
          </cell>
          <cell r="T112">
            <v>60825113.737890862</v>
          </cell>
          <cell r="U112" t="e">
            <v>#NUM!</v>
          </cell>
          <cell r="V112" t="e">
            <v>#NUM!</v>
          </cell>
          <cell r="W112" t="e">
            <v>#NUM!</v>
          </cell>
          <cell r="X112" t="e">
            <v>#NUM!</v>
          </cell>
          <cell r="Y112" t="e">
            <v>#NUM!</v>
          </cell>
          <cell r="Z112" t="e">
            <v>#NUM!</v>
          </cell>
          <cell r="AA112" t="e">
            <v>#NUM!</v>
          </cell>
          <cell r="AB112" t="e">
            <v>#NUM!</v>
          </cell>
          <cell r="AC112" t="e">
            <v>#NUM!</v>
          </cell>
          <cell r="AD112" t="e">
            <v>#NUM!</v>
          </cell>
          <cell r="AE112" t="e">
            <v>#NUM!</v>
          </cell>
          <cell r="AF112" t="e">
            <v>#NUM!</v>
          </cell>
          <cell r="AG112" t="e">
            <v>#NUM!</v>
          </cell>
          <cell r="AH112" t="e">
            <v>#NUM!</v>
          </cell>
          <cell r="AI112" t="e">
            <v>#NUM!</v>
          </cell>
          <cell r="AJ112" t="e">
            <v>#NUM!</v>
          </cell>
          <cell r="AK112" t="e">
            <v>#NUM!</v>
          </cell>
          <cell r="AL112" t="e">
            <v>#NUM!</v>
          </cell>
          <cell r="AM112" t="e">
            <v>#NUM!</v>
          </cell>
          <cell r="AN112" t="e">
            <v>#NUM!</v>
          </cell>
          <cell r="AO112" t="e">
            <v>#NUM!</v>
          </cell>
          <cell r="AP112" t="e">
            <v>#NUM!</v>
          </cell>
        </row>
        <row r="113">
          <cell r="C113">
            <v>0</v>
          </cell>
          <cell r="D113">
            <v>0</v>
          </cell>
          <cell r="E113">
            <v>0</v>
          </cell>
          <cell r="F113">
            <v>3474010</v>
          </cell>
          <cell r="G113">
            <v>5753012</v>
          </cell>
          <cell r="H113">
            <v>10946526</v>
          </cell>
          <cell r="I113">
            <v>14610908</v>
          </cell>
          <cell r="J113">
            <v>19518579</v>
          </cell>
          <cell r="K113">
            <v>27493259</v>
          </cell>
          <cell r="L113">
            <v>35720286</v>
          </cell>
          <cell r="M113">
            <v>39533285</v>
          </cell>
          <cell r="N113">
            <v>48251690</v>
          </cell>
          <cell r="O113">
            <v>56289585</v>
          </cell>
          <cell r="P113">
            <v>81855313</v>
          </cell>
          <cell r="Q113">
            <v>40074507.238068648</v>
          </cell>
          <cell r="R113">
            <v>54319323.669408843</v>
          </cell>
          <cell r="S113">
            <v>57282205.67147015</v>
          </cell>
          <cell r="T113">
            <v>61136878.745699771</v>
          </cell>
          <cell r="U113" t="e">
            <v>#NUM!</v>
          </cell>
          <cell r="V113" t="e">
            <v>#NUM!</v>
          </cell>
          <cell r="W113" t="e">
            <v>#NUM!</v>
          </cell>
          <cell r="X113" t="e">
            <v>#NUM!</v>
          </cell>
          <cell r="Y113" t="e">
            <v>#NUM!</v>
          </cell>
          <cell r="Z113" t="e">
            <v>#NUM!</v>
          </cell>
          <cell r="AA113" t="e">
            <v>#NUM!</v>
          </cell>
          <cell r="AB113" t="e">
            <v>#NUM!</v>
          </cell>
          <cell r="AC113" t="e">
            <v>#NUM!</v>
          </cell>
          <cell r="AD113" t="e">
            <v>#NUM!</v>
          </cell>
          <cell r="AE113" t="e">
            <v>#NUM!</v>
          </cell>
          <cell r="AF113" t="e">
            <v>#NUM!</v>
          </cell>
          <cell r="AG113" t="e">
            <v>#NUM!</v>
          </cell>
          <cell r="AH113" t="e">
            <v>#NUM!</v>
          </cell>
          <cell r="AI113" t="e">
            <v>#NUM!</v>
          </cell>
          <cell r="AJ113" t="e">
            <v>#NUM!</v>
          </cell>
          <cell r="AK113" t="e">
            <v>#NUM!</v>
          </cell>
          <cell r="AL113" t="e">
            <v>#NUM!</v>
          </cell>
          <cell r="AM113" t="e">
            <v>#NUM!</v>
          </cell>
          <cell r="AN113" t="e">
            <v>#NUM!</v>
          </cell>
          <cell r="AO113" t="e">
            <v>#NUM!</v>
          </cell>
          <cell r="AP113" t="e">
            <v>#NUM!</v>
          </cell>
        </row>
        <row r="114">
          <cell r="C114">
            <v>0</v>
          </cell>
          <cell r="D114">
            <v>0</v>
          </cell>
          <cell r="E114">
            <v>0</v>
          </cell>
          <cell r="F114">
            <v>2748001</v>
          </cell>
          <cell r="G114">
            <v>5385020</v>
          </cell>
          <cell r="H114">
            <v>11760172</v>
          </cell>
          <cell r="I114">
            <v>12912867</v>
          </cell>
          <cell r="J114">
            <v>19797994</v>
          </cell>
          <cell r="K114">
            <v>25986304</v>
          </cell>
          <cell r="L114">
            <v>34208723</v>
          </cell>
          <cell r="M114">
            <v>39558092</v>
          </cell>
          <cell r="N114">
            <v>49626850</v>
          </cell>
          <cell r="O114">
            <v>56473586</v>
          </cell>
          <cell r="P114">
            <v>79017792</v>
          </cell>
          <cell r="Q114">
            <v>39651000.286727183</v>
          </cell>
          <cell r="R114">
            <v>55232136.097941682</v>
          </cell>
          <cell r="S114">
            <v>58449636.684233092</v>
          </cell>
          <cell r="T114">
            <v>62343508.08987166</v>
          </cell>
          <cell r="U114" t="e">
            <v>#NUM!</v>
          </cell>
          <cell r="V114" t="e">
            <v>#NUM!</v>
          </cell>
          <cell r="W114" t="e">
            <v>#NUM!</v>
          </cell>
          <cell r="X114" t="e">
            <v>#NUM!</v>
          </cell>
          <cell r="Y114" t="e">
            <v>#NUM!</v>
          </cell>
          <cell r="Z114" t="e">
            <v>#NUM!</v>
          </cell>
          <cell r="AA114" t="e">
            <v>#NUM!</v>
          </cell>
          <cell r="AB114" t="e">
            <v>#NUM!</v>
          </cell>
          <cell r="AC114" t="e">
            <v>#NUM!</v>
          </cell>
          <cell r="AD114" t="e">
            <v>#NUM!</v>
          </cell>
          <cell r="AE114" t="e">
            <v>#NUM!</v>
          </cell>
          <cell r="AF114" t="e">
            <v>#NUM!</v>
          </cell>
          <cell r="AG114" t="e">
            <v>#NUM!</v>
          </cell>
          <cell r="AH114" t="e">
            <v>#NUM!</v>
          </cell>
          <cell r="AI114" t="e">
            <v>#NUM!</v>
          </cell>
          <cell r="AJ114" t="e">
            <v>#NUM!</v>
          </cell>
          <cell r="AK114" t="e">
            <v>#NUM!</v>
          </cell>
          <cell r="AL114" t="e">
            <v>#NUM!</v>
          </cell>
          <cell r="AM114" t="e">
            <v>#NUM!</v>
          </cell>
          <cell r="AN114" t="e">
            <v>#NUM!</v>
          </cell>
          <cell r="AO114" t="e">
            <v>#NUM!</v>
          </cell>
          <cell r="AP114" t="e">
            <v>#NUM!</v>
          </cell>
        </row>
        <row r="115">
          <cell r="C115">
            <v>0</v>
          </cell>
          <cell r="D115">
            <v>0</v>
          </cell>
          <cell r="E115">
            <v>0</v>
          </cell>
          <cell r="F115">
            <v>2873839</v>
          </cell>
          <cell r="G115">
            <v>5690045</v>
          </cell>
          <cell r="H115">
            <v>10879490</v>
          </cell>
          <cell r="I115">
            <v>13884556</v>
          </cell>
          <cell r="J115">
            <v>19064110</v>
          </cell>
          <cell r="K115">
            <v>25595535</v>
          </cell>
          <cell r="L115">
            <v>35602358</v>
          </cell>
          <cell r="M115">
            <v>42107589</v>
          </cell>
          <cell r="N115">
            <v>48964891</v>
          </cell>
          <cell r="O115">
            <v>62160920</v>
          </cell>
          <cell r="P115">
            <v>79496049</v>
          </cell>
          <cell r="Q115">
            <v>41097872.758508585</v>
          </cell>
          <cell r="R115">
            <v>54616413.676421545</v>
          </cell>
          <cell r="S115">
            <v>57055098.329570435</v>
          </cell>
          <cell r="T115">
            <v>60663997.562813126</v>
          </cell>
          <cell r="U115" t="e">
            <v>#NUM!</v>
          </cell>
          <cell r="V115" t="e">
            <v>#NUM!</v>
          </cell>
          <cell r="W115" t="e">
            <v>#NUM!</v>
          </cell>
          <cell r="X115" t="e">
            <v>#NUM!</v>
          </cell>
          <cell r="Y115" t="e">
            <v>#NUM!</v>
          </cell>
          <cell r="Z115" t="e">
            <v>#NUM!</v>
          </cell>
          <cell r="AA115" t="e">
            <v>#NUM!</v>
          </cell>
          <cell r="AB115" t="e">
            <v>#NUM!</v>
          </cell>
          <cell r="AC115" t="e">
            <v>#NUM!</v>
          </cell>
          <cell r="AD115" t="e">
            <v>#NUM!</v>
          </cell>
          <cell r="AE115" t="e">
            <v>#NUM!</v>
          </cell>
          <cell r="AF115" t="e">
            <v>#NUM!</v>
          </cell>
          <cell r="AG115" t="e">
            <v>#NUM!</v>
          </cell>
          <cell r="AH115" t="e">
            <v>#NUM!</v>
          </cell>
          <cell r="AI115" t="e">
            <v>#NUM!</v>
          </cell>
          <cell r="AJ115" t="e">
            <v>#NUM!</v>
          </cell>
          <cell r="AK115" t="e">
            <v>#NUM!</v>
          </cell>
          <cell r="AL115" t="e">
            <v>#NUM!</v>
          </cell>
          <cell r="AM115" t="e">
            <v>#NUM!</v>
          </cell>
          <cell r="AN115" t="e">
            <v>#NUM!</v>
          </cell>
          <cell r="AO115" t="e">
            <v>#NUM!</v>
          </cell>
          <cell r="AP115" t="e">
            <v>#NUM!</v>
          </cell>
        </row>
        <row r="116">
          <cell r="C116">
            <v>0</v>
          </cell>
          <cell r="D116">
            <v>0</v>
          </cell>
          <cell r="E116">
            <v>0</v>
          </cell>
          <cell r="F116">
            <v>4468597</v>
          </cell>
          <cell r="G116">
            <v>15980402</v>
          </cell>
          <cell r="H116">
            <v>19778727</v>
          </cell>
          <cell r="I116">
            <v>31879631</v>
          </cell>
          <cell r="J116">
            <v>42259874</v>
          </cell>
          <cell r="K116">
            <v>53324240</v>
          </cell>
          <cell r="L116">
            <v>71993431</v>
          </cell>
          <cell r="M116">
            <v>80701265</v>
          </cell>
          <cell r="N116">
            <v>96324317</v>
          </cell>
          <cell r="O116">
            <v>117733902</v>
          </cell>
          <cell r="P116">
            <v>68235417</v>
          </cell>
          <cell r="Q116">
            <v>95061188.60533905</v>
          </cell>
          <cell r="R116">
            <v>99896543.109842479</v>
          </cell>
          <cell r="S116">
            <v>102032107.64801913</v>
          </cell>
          <cell r="T116">
            <v>104690950.54263943</v>
          </cell>
          <cell r="U116" t="e">
            <v>#NUM!</v>
          </cell>
          <cell r="V116" t="e">
            <v>#NUM!</v>
          </cell>
          <cell r="W116" t="e">
            <v>#NUM!</v>
          </cell>
          <cell r="X116" t="e">
            <v>#NUM!</v>
          </cell>
          <cell r="Y116" t="e">
            <v>#NUM!</v>
          </cell>
          <cell r="Z116" t="e">
            <v>#NUM!</v>
          </cell>
          <cell r="AA116" t="e">
            <v>#NUM!</v>
          </cell>
          <cell r="AB116" t="e">
            <v>#NUM!</v>
          </cell>
          <cell r="AC116" t="e">
            <v>#NUM!</v>
          </cell>
          <cell r="AD116" t="e">
            <v>#NUM!</v>
          </cell>
          <cell r="AE116" t="e">
            <v>#NUM!</v>
          </cell>
          <cell r="AF116" t="e">
            <v>#NUM!</v>
          </cell>
          <cell r="AG116" t="e">
            <v>#NUM!</v>
          </cell>
          <cell r="AH116" t="e">
            <v>#NUM!</v>
          </cell>
          <cell r="AI116" t="e">
            <v>#NUM!</v>
          </cell>
          <cell r="AJ116" t="e">
            <v>#NUM!</v>
          </cell>
          <cell r="AK116" t="e">
            <v>#NUM!</v>
          </cell>
          <cell r="AL116" t="e">
            <v>#NUM!</v>
          </cell>
          <cell r="AM116" t="e">
            <v>#NUM!</v>
          </cell>
          <cell r="AN116" t="e">
            <v>#NUM!</v>
          </cell>
          <cell r="AO116" t="e">
            <v>#NUM!</v>
          </cell>
          <cell r="AP116" t="e">
            <v>#NUM!</v>
          </cell>
        </row>
        <row r="153">
          <cell r="C153">
            <v>0</v>
          </cell>
          <cell r="D153">
            <v>0</v>
          </cell>
          <cell r="E153">
            <v>0</v>
          </cell>
          <cell r="F153">
            <v>0</v>
          </cell>
          <cell r="G153">
            <v>2564904</v>
          </cell>
          <cell r="H153">
            <v>161044</v>
          </cell>
          <cell r="I153">
            <v>138431</v>
          </cell>
          <cell r="J153">
            <v>186414</v>
          </cell>
          <cell r="K153">
            <v>185308</v>
          </cell>
          <cell r="L153">
            <v>51166</v>
          </cell>
          <cell r="M153">
            <v>1179715</v>
          </cell>
          <cell r="N153">
            <v>99241</v>
          </cell>
          <cell r="O153">
            <v>604446</v>
          </cell>
          <cell r="P153">
            <v>503018</v>
          </cell>
          <cell r="Q153">
            <v>0</v>
          </cell>
          <cell r="R153">
            <v>71254.548728665017</v>
          </cell>
          <cell r="S153">
            <v>54948.295870862828</v>
          </cell>
          <cell r="T153">
            <v>196838.58523521613</v>
          </cell>
          <cell r="U153" t="e">
            <v>#NUM!</v>
          </cell>
          <cell r="V153" t="e">
            <v>#NUM!</v>
          </cell>
          <cell r="W153" t="e">
            <v>#NUM!</v>
          </cell>
          <cell r="X153" t="e">
            <v>#NUM!</v>
          </cell>
          <cell r="Y153" t="e">
            <v>#NUM!</v>
          </cell>
          <cell r="Z153" t="e">
            <v>#NUM!</v>
          </cell>
          <cell r="AA153" t="e">
            <v>#NUM!</v>
          </cell>
          <cell r="AB153" t="e">
            <v>#NUM!</v>
          </cell>
          <cell r="AC153" t="e">
            <v>#NUM!</v>
          </cell>
          <cell r="AD153" t="e">
            <v>#NUM!</v>
          </cell>
          <cell r="AE153" t="e">
            <v>#NUM!</v>
          </cell>
          <cell r="AF153" t="e">
            <v>#NUM!</v>
          </cell>
          <cell r="AG153" t="e">
            <v>#NUM!</v>
          </cell>
          <cell r="AH153" t="e">
            <v>#NUM!</v>
          </cell>
          <cell r="AI153" t="e">
            <v>#NUM!</v>
          </cell>
          <cell r="AJ153" t="e">
            <v>#NUM!</v>
          </cell>
          <cell r="AK153" t="e">
            <v>#NUM!</v>
          </cell>
          <cell r="AL153" t="e">
            <v>#NUM!</v>
          </cell>
          <cell r="AM153" t="e">
            <v>#NUM!</v>
          </cell>
          <cell r="AN153" t="e">
            <v>#NUM!</v>
          </cell>
          <cell r="AO153" t="e">
            <v>#NUM!</v>
          </cell>
          <cell r="AP153" t="e">
            <v>#NUM!</v>
          </cell>
        </row>
        <row r="154">
          <cell r="C154">
            <v>0</v>
          </cell>
          <cell r="D154">
            <v>0</v>
          </cell>
          <cell r="E154">
            <v>0</v>
          </cell>
          <cell r="F154">
            <v>0</v>
          </cell>
          <cell r="G154">
            <v>4177740</v>
          </cell>
          <cell r="H154">
            <v>4850138</v>
          </cell>
          <cell r="I154">
            <v>4315110</v>
          </cell>
          <cell r="J154">
            <v>4089552</v>
          </cell>
          <cell r="K154">
            <v>4330400</v>
          </cell>
          <cell r="L154">
            <v>5519687</v>
          </cell>
          <cell r="M154">
            <v>5801041</v>
          </cell>
          <cell r="N154">
            <v>6745165</v>
          </cell>
          <cell r="O154">
            <v>4078579</v>
          </cell>
          <cell r="P154">
            <v>3126529</v>
          </cell>
          <cell r="Q154">
            <v>0</v>
          </cell>
          <cell r="R154">
            <v>589741.52323068166</v>
          </cell>
          <cell r="S154">
            <v>625175.5157539451</v>
          </cell>
          <cell r="T154">
            <v>1343463.0456141087</v>
          </cell>
          <cell r="U154" t="e">
            <v>#NUM!</v>
          </cell>
          <cell r="V154" t="e">
            <v>#NUM!</v>
          </cell>
          <cell r="W154" t="e">
            <v>#NUM!</v>
          </cell>
          <cell r="X154" t="e">
            <v>#NUM!</v>
          </cell>
          <cell r="Y154" t="e">
            <v>#NUM!</v>
          </cell>
          <cell r="Z154" t="e">
            <v>#NUM!</v>
          </cell>
          <cell r="AA154" t="e">
            <v>#NUM!</v>
          </cell>
          <cell r="AB154" t="e">
            <v>#NUM!</v>
          </cell>
          <cell r="AC154" t="e">
            <v>#NUM!</v>
          </cell>
          <cell r="AD154" t="e">
            <v>#NUM!</v>
          </cell>
          <cell r="AE154" t="e">
            <v>#NUM!</v>
          </cell>
          <cell r="AF154" t="e">
            <v>#NUM!</v>
          </cell>
          <cell r="AG154" t="e">
            <v>#NUM!</v>
          </cell>
          <cell r="AH154" t="e">
            <v>#NUM!</v>
          </cell>
          <cell r="AI154" t="e">
            <v>#NUM!</v>
          </cell>
          <cell r="AJ154" t="e">
            <v>#NUM!</v>
          </cell>
          <cell r="AK154" t="e">
            <v>#NUM!</v>
          </cell>
          <cell r="AL154" t="e">
            <v>#NUM!</v>
          </cell>
          <cell r="AM154" t="e">
            <v>#NUM!</v>
          </cell>
          <cell r="AN154" t="e">
            <v>#NUM!</v>
          </cell>
          <cell r="AO154" t="e">
            <v>#NUM!</v>
          </cell>
          <cell r="AP154" t="e">
            <v>#NUM!</v>
          </cell>
        </row>
        <row r="155">
          <cell r="C155">
            <v>0</v>
          </cell>
          <cell r="D155">
            <v>0</v>
          </cell>
          <cell r="E155">
            <v>0</v>
          </cell>
          <cell r="F155">
            <v>0</v>
          </cell>
          <cell r="G155">
            <v>3556464</v>
          </cell>
          <cell r="H155">
            <v>4603290</v>
          </cell>
          <cell r="I155">
            <v>3820021</v>
          </cell>
          <cell r="J155">
            <v>3892294</v>
          </cell>
          <cell r="K155">
            <v>4039100</v>
          </cell>
          <cell r="L155">
            <v>5444113</v>
          </cell>
          <cell r="M155">
            <v>6042256</v>
          </cell>
          <cell r="N155">
            <v>6583858</v>
          </cell>
          <cell r="O155">
            <v>3434859</v>
          </cell>
          <cell r="P155">
            <v>2872469</v>
          </cell>
          <cell r="Q155">
            <v>2231742.1359443478</v>
          </cell>
          <cell r="R155">
            <v>631957.34378936409</v>
          </cell>
          <cell r="S155">
            <v>677411.19788430328</v>
          </cell>
          <cell r="T155">
            <v>1571374.5932009737</v>
          </cell>
          <cell r="U155" t="e">
            <v>#NUM!</v>
          </cell>
          <cell r="V155" t="e">
            <v>#NUM!</v>
          </cell>
          <cell r="W155" t="e">
            <v>#NUM!</v>
          </cell>
          <cell r="X155" t="e">
            <v>#NUM!</v>
          </cell>
          <cell r="Y155" t="e">
            <v>#NUM!</v>
          </cell>
          <cell r="Z155" t="e">
            <v>#NUM!</v>
          </cell>
          <cell r="AA155" t="e">
            <v>#NUM!</v>
          </cell>
          <cell r="AB155" t="e">
            <v>#NUM!</v>
          </cell>
          <cell r="AC155" t="e">
            <v>#NUM!</v>
          </cell>
          <cell r="AD155" t="e">
            <v>#NUM!</v>
          </cell>
          <cell r="AE155" t="e">
            <v>#NUM!</v>
          </cell>
          <cell r="AF155" t="e">
            <v>#NUM!</v>
          </cell>
          <cell r="AG155" t="e">
            <v>#NUM!</v>
          </cell>
          <cell r="AH155" t="e">
            <v>#NUM!</v>
          </cell>
          <cell r="AI155" t="e">
            <v>#NUM!</v>
          </cell>
          <cell r="AJ155" t="e">
            <v>#NUM!</v>
          </cell>
          <cell r="AK155" t="e">
            <v>#NUM!</v>
          </cell>
          <cell r="AL155" t="e">
            <v>#NUM!</v>
          </cell>
          <cell r="AM155" t="e">
            <v>#NUM!</v>
          </cell>
          <cell r="AN155" t="e">
            <v>#NUM!</v>
          </cell>
          <cell r="AO155" t="e">
            <v>#NUM!</v>
          </cell>
          <cell r="AP155" t="e">
            <v>#NUM!</v>
          </cell>
        </row>
        <row r="156">
          <cell r="C156">
            <v>0</v>
          </cell>
          <cell r="D156">
            <v>0</v>
          </cell>
          <cell r="E156">
            <v>0</v>
          </cell>
          <cell r="F156">
            <v>0</v>
          </cell>
          <cell r="G156">
            <v>3350984</v>
          </cell>
          <cell r="H156">
            <v>5675117</v>
          </cell>
          <cell r="I156">
            <v>4478126</v>
          </cell>
          <cell r="J156">
            <v>3862235</v>
          </cell>
          <cell r="K156">
            <v>4446649</v>
          </cell>
          <cell r="L156">
            <v>6329732</v>
          </cell>
          <cell r="M156">
            <v>5822780</v>
          </cell>
          <cell r="N156">
            <v>7329733</v>
          </cell>
          <cell r="O156">
            <v>4355847</v>
          </cell>
          <cell r="P156">
            <v>3105000</v>
          </cell>
          <cell r="Q156">
            <v>2466614.6251757024</v>
          </cell>
          <cell r="R156">
            <v>689129.81645558379</v>
          </cell>
          <cell r="S156">
            <v>771636.27455521666</v>
          </cell>
          <cell r="T156">
            <v>1817056.7214346332</v>
          </cell>
          <cell r="U156" t="e">
            <v>#NUM!</v>
          </cell>
          <cell r="V156" t="e">
            <v>#NUM!</v>
          </cell>
          <cell r="W156" t="e">
            <v>#NUM!</v>
          </cell>
          <cell r="X156" t="e">
            <v>#NUM!</v>
          </cell>
          <cell r="Y156" t="e">
            <v>#NUM!</v>
          </cell>
          <cell r="Z156" t="e">
            <v>#NUM!</v>
          </cell>
          <cell r="AA156" t="e">
            <v>#NUM!</v>
          </cell>
          <cell r="AB156" t="e">
            <v>#NUM!</v>
          </cell>
          <cell r="AC156" t="e">
            <v>#NUM!</v>
          </cell>
          <cell r="AD156" t="e">
            <v>#NUM!</v>
          </cell>
          <cell r="AE156" t="e">
            <v>#NUM!</v>
          </cell>
          <cell r="AF156" t="e">
            <v>#NUM!</v>
          </cell>
          <cell r="AG156" t="e">
            <v>#NUM!</v>
          </cell>
          <cell r="AH156" t="e">
            <v>#NUM!</v>
          </cell>
          <cell r="AI156" t="e">
            <v>#NUM!</v>
          </cell>
          <cell r="AJ156" t="e">
            <v>#NUM!</v>
          </cell>
          <cell r="AK156" t="e">
            <v>#NUM!</v>
          </cell>
          <cell r="AL156" t="e">
            <v>#NUM!</v>
          </cell>
          <cell r="AM156" t="e">
            <v>#NUM!</v>
          </cell>
          <cell r="AN156" t="e">
            <v>#NUM!</v>
          </cell>
          <cell r="AO156" t="e">
            <v>#NUM!</v>
          </cell>
          <cell r="AP156" t="e">
            <v>#NUM!</v>
          </cell>
        </row>
        <row r="157">
          <cell r="C157">
            <v>0</v>
          </cell>
          <cell r="D157">
            <v>0</v>
          </cell>
          <cell r="E157">
            <v>0</v>
          </cell>
          <cell r="F157">
            <v>0</v>
          </cell>
          <cell r="G157">
            <v>3348786</v>
          </cell>
          <cell r="H157">
            <v>5254371</v>
          </cell>
          <cell r="I157">
            <v>5490050</v>
          </cell>
          <cell r="J157">
            <v>3040090</v>
          </cell>
          <cell r="K157">
            <v>2427400</v>
          </cell>
          <cell r="L157">
            <v>6261128</v>
          </cell>
          <cell r="M157">
            <v>5946988</v>
          </cell>
          <cell r="N157">
            <v>7709416</v>
          </cell>
          <cell r="O157">
            <v>3377657</v>
          </cell>
          <cell r="P157">
            <v>3224507</v>
          </cell>
          <cell r="Q157">
            <v>3075280.6202729261</v>
          </cell>
          <cell r="R157">
            <v>882499.42640077521</v>
          </cell>
          <cell r="S157">
            <v>994999.35096159892</v>
          </cell>
          <cell r="T157">
            <v>2335299.0690900008</v>
          </cell>
          <cell r="U157" t="e">
            <v>#NUM!</v>
          </cell>
          <cell r="V157" t="e">
            <v>#NUM!</v>
          </cell>
          <cell r="W157" t="e">
            <v>#NUM!</v>
          </cell>
          <cell r="X157" t="e">
            <v>#NUM!</v>
          </cell>
          <cell r="Y157" t="e">
            <v>#NUM!</v>
          </cell>
          <cell r="Z157" t="e">
            <v>#NUM!</v>
          </cell>
          <cell r="AA157" t="e">
            <v>#NUM!</v>
          </cell>
          <cell r="AB157" t="e">
            <v>#NUM!</v>
          </cell>
          <cell r="AC157" t="e">
            <v>#NUM!</v>
          </cell>
          <cell r="AD157" t="e">
            <v>#NUM!</v>
          </cell>
          <cell r="AE157" t="e">
            <v>#NUM!</v>
          </cell>
          <cell r="AF157" t="e">
            <v>#NUM!</v>
          </cell>
          <cell r="AG157" t="e">
            <v>#NUM!</v>
          </cell>
          <cell r="AH157" t="e">
            <v>#NUM!</v>
          </cell>
          <cell r="AI157" t="e">
            <v>#NUM!</v>
          </cell>
          <cell r="AJ157" t="e">
            <v>#NUM!</v>
          </cell>
          <cell r="AK157" t="e">
            <v>#NUM!</v>
          </cell>
          <cell r="AL157" t="e">
            <v>#NUM!</v>
          </cell>
          <cell r="AM157" t="e">
            <v>#NUM!</v>
          </cell>
          <cell r="AN157" t="e">
            <v>#NUM!</v>
          </cell>
          <cell r="AO157" t="e">
            <v>#NUM!</v>
          </cell>
          <cell r="AP157" t="e">
            <v>#NUM!</v>
          </cell>
        </row>
        <row r="158">
          <cell r="C158">
            <v>0</v>
          </cell>
          <cell r="D158">
            <v>0</v>
          </cell>
          <cell r="E158">
            <v>0</v>
          </cell>
          <cell r="F158">
            <v>0</v>
          </cell>
          <cell r="G158">
            <v>2808818</v>
          </cell>
          <cell r="H158">
            <v>3864970</v>
          </cell>
          <cell r="I158">
            <v>5714928</v>
          </cell>
          <cell r="J158">
            <v>3270773</v>
          </cell>
          <cell r="K158">
            <v>3752615</v>
          </cell>
          <cell r="L158">
            <v>7332013</v>
          </cell>
          <cell r="M158">
            <v>6974332</v>
          </cell>
          <cell r="N158">
            <v>6764621</v>
          </cell>
          <cell r="O158">
            <v>6132138</v>
          </cell>
          <cell r="P158">
            <v>3256205</v>
          </cell>
          <cell r="Q158">
            <v>3810978.6596851135</v>
          </cell>
          <cell r="R158">
            <v>1099254.0958226474</v>
          </cell>
          <cell r="S158">
            <v>1237724.5562226714</v>
          </cell>
          <cell r="T158">
            <v>3387837.3470667731</v>
          </cell>
          <cell r="U158" t="e">
            <v>#NUM!</v>
          </cell>
          <cell r="V158" t="e">
            <v>#NUM!</v>
          </cell>
          <cell r="W158" t="e">
            <v>#NUM!</v>
          </cell>
          <cell r="X158" t="e">
            <v>#NUM!</v>
          </cell>
          <cell r="Y158" t="e">
            <v>#NUM!</v>
          </cell>
          <cell r="Z158" t="e">
            <v>#NUM!</v>
          </cell>
          <cell r="AA158" t="e">
            <v>#NUM!</v>
          </cell>
          <cell r="AB158" t="e">
            <v>#NUM!</v>
          </cell>
          <cell r="AC158" t="e">
            <v>#NUM!</v>
          </cell>
          <cell r="AD158" t="e">
            <v>#NUM!</v>
          </cell>
          <cell r="AE158" t="e">
            <v>#NUM!</v>
          </cell>
          <cell r="AF158" t="e">
            <v>#NUM!</v>
          </cell>
          <cell r="AG158" t="e">
            <v>#NUM!</v>
          </cell>
          <cell r="AH158" t="e">
            <v>#NUM!</v>
          </cell>
          <cell r="AI158" t="e">
            <v>#NUM!</v>
          </cell>
          <cell r="AJ158" t="e">
            <v>#NUM!</v>
          </cell>
          <cell r="AK158" t="e">
            <v>#NUM!</v>
          </cell>
          <cell r="AL158" t="e">
            <v>#NUM!</v>
          </cell>
          <cell r="AM158" t="e">
            <v>#NUM!</v>
          </cell>
          <cell r="AN158" t="e">
            <v>#NUM!</v>
          </cell>
          <cell r="AO158" t="e">
            <v>#NUM!</v>
          </cell>
          <cell r="AP158" t="e">
            <v>#NUM!</v>
          </cell>
        </row>
        <row r="159">
          <cell r="C159">
            <v>0</v>
          </cell>
          <cell r="D159">
            <v>0</v>
          </cell>
          <cell r="E159">
            <v>0</v>
          </cell>
          <cell r="F159">
            <v>0</v>
          </cell>
          <cell r="G159">
            <v>3208297</v>
          </cell>
          <cell r="H159">
            <v>3832496</v>
          </cell>
          <cell r="I159">
            <v>4583079</v>
          </cell>
          <cell r="J159">
            <v>4067717</v>
          </cell>
          <cell r="K159">
            <v>5094847</v>
          </cell>
          <cell r="L159">
            <v>6793302</v>
          </cell>
          <cell r="M159">
            <v>7060527</v>
          </cell>
          <cell r="N159">
            <v>7939544</v>
          </cell>
          <cell r="O159">
            <v>4704474</v>
          </cell>
          <cell r="P159">
            <v>3354072</v>
          </cell>
          <cell r="Q159">
            <v>3826080.9855433283</v>
          </cell>
          <cell r="R159">
            <v>1123825.5762744509</v>
          </cell>
          <cell r="S159">
            <v>1260978.4087265821</v>
          </cell>
          <cell r="T159">
            <v>3187476.800003842</v>
          </cell>
          <cell r="U159" t="e">
            <v>#NUM!</v>
          </cell>
          <cell r="V159" t="e">
            <v>#NUM!</v>
          </cell>
          <cell r="W159" t="e">
            <v>#NUM!</v>
          </cell>
          <cell r="X159" t="e">
            <v>#NUM!</v>
          </cell>
          <cell r="Y159" t="e">
            <v>#NUM!</v>
          </cell>
          <cell r="Z159" t="e">
            <v>#NUM!</v>
          </cell>
          <cell r="AA159" t="e">
            <v>#NUM!</v>
          </cell>
          <cell r="AB159" t="e">
            <v>#NUM!</v>
          </cell>
          <cell r="AC159" t="e">
            <v>#NUM!</v>
          </cell>
          <cell r="AD159" t="e">
            <v>#NUM!</v>
          </cell>
          <cell r="AE159" t="e">
            <v>#NUM!</v>
          </cell>
          <cell r="AF159" t="e">
            <v>#NUM!</v>
          </cell>
          <cell r="AG159" t="e">
            <v>#NUM!</v>
          </cell>
          <cell r="AH159" t="e">
            <v>#NUM!</v>
          </cell>
          <cell r="AI159" t="e">
            <v>#NUM!</v>
          </cell>
          <cell r="AJ159" t="e">
            <v>#NUM!</v>
          </cell>
          <cell r="AK159" t="e">
            <v>#NUM!</v>
          </cell>
          <cell r="AL159" t="e">
            <v>#NUM!</v>
          </cell>
          <cell r="AM159" t="e">
            <v>#NUM!</v>
          </cell>
          <cell r="AN159" t="e">
            <v>#NUM!</v>
          </cell>
          <cell r="AO159" t="e">
            <v>#NUM!</v>
          </cell>
          <cell r="AP159" t="e">
            <v>#NUM!</v>
          </cell>
        </row>
        <row r="160">
          <cell r="C160">
            <v>0</v>
          </cell>
          <cell r="D160">
            <v>0</v>
          </cell>
          <cell r="E160">
            <v>0</v>
          </cell>
          <cell r="F160">
            <v>1848485</v>
          </cell>
          <cell r="G160">
            <v>3516393</v>
          </cell>
          <cell r="H160">
            <v>4114248</v>
          </cell>
          <cell r="I160">
            <v>4321654</v>
          </cell>
          <cell r="J160">
            <v>5389916</v>
          </cell>
          <cell r="K160">
            <v>4489615</v>
          </cell>
          <cell r="L160">
            <v>7173179</v>
          </cell>
          <cell r="M160">
            <v>6693931</v>
          </cell>
          <cell r="N160">
            <v>6610857</v>
          </cell>
          <cell r="O160">
            <v>5006216</v>
          </cell>
          <cell r="P160">
            <v>2748733</v>
          </cell>
          <cell r="Q160">
            <v>3790888.6314237327</v>
          </cell>
          <cell r="R160">
            <v>1088264.5002367862</v>
          </cell>
          <cell r="S160">
            <v>1213627.8547942627</v>
          </cell>
          <cell r="T160">
            <v>3240577.0383404298</v>
          </cell>
          <cell r="U160" t="e">
            <v>#NUM!</v>
          </cell>
          <cell r="V160" t="e">
            <v>#NUM!</v>
          </cell>
          <cell r="W160" t="e">
            <v>#NUM!</v>
          </cell>
          <cell r="X160" t="e">
            <v>#NUM!</v>
          </cell>
          <cell r="Y160" t="e">
            <v>#NUM!</v>
          </cell>
          <cell r="Z160" t="e">
            <v>#NUM!</v>
          </cell>
          <cell r="AA160" t="e">
            <v>#NUM!</v>
          </cell>
          <cell r="AB160" t="e">
            <v>#NUM!</v>
          </cell>
          <cell r="AC160" t="e">
            <v>#NUM!</v>
          </cell>
          <cell r="AD160" t="e">
            <v>#NUM!</v>
          </cell>
          <cell r="AE160" t="e">
            <v>#NUM!</v>
          </cell>
          <cell r="AF160" t="e">
            <v>#NUM!</v>
          </cell>
          <cell r="AG160" t="e">
            <v>#NUM!</v>
          </cell>
          <cell r="AH160" t="e">
            <v>#NUM!</v>
          </cell>
          <cell r="AI160" t="e">
            <v>#NUM!</v>
          </cell>
          <cell r="AJ160" t="e">
            <v>#NUM!</v>
          </cell>
          <cell r="AK160" t="e">
            <v>#NUM!</v>
          </cell>
          <cell r="AL160" t="e">
            <v>#NUM!</v>
          </cell>
          <cell r="AM160" t="e">
            <v>#NUM!</v>
          </cell>
          <cell r="AN160" t="e">
            <v>#NUM!</v>
          </cell>
          <cell r="AO160" t="e">
            <v>#NUM!</v>
          </cell>
          <cell r="AP160" t="e">
            <v>#NUM!</v>
          </cell>
        </row>
        <row r="161">
          <cell r="C161">
            <v>0</v>
          </cell>
          <cell r="D161">
            <v>0</v>
          </cell>
          <cell r="E161">
            <v>0</v>
          </cell>
          <cell r="F161">
            <v>4078691</v>
          </cell>
          <cell r="G161">
            <v>2922363</v>
          </cell>
          <cell r="H161">
            <v>4384714</v>
          </cell>
          <cell r="I161">
            <v>3564770</v>
          </cell>
          <cell r="J161">
            <v>5465132</v>
          </cell>
          <cell r="K161">
            <v>4141744</v>
          </cell>
          <cell r="L161">
            <v>7230002</v>
          </cell>
          <cell r="M161">
            <v>7402799</v>
          </cell>
          <cell r="N161">
            <v>7095726</v>
          </cell>
          <cell r="O161">
            <v>3934635</v>
          </cell>
          <cell r="P161">
            <v>3412037</v>
          </cell>
          <cell r="Q161">
            <v>3992710.5109146684</v>
          </cell>
          <cell r="R161">
            <v>1157215.6869598869</v>
          </cell>
          <cell r="S161">
            <v>1263613.7363193464</v>
          </cell>
          <cell r="T161">
            <v>3293280.5094669326</v>
          </cell>
          <cell r="U161" t="e">
            <v>#NUM!</v>
          </cell>
          <cell r="V161" t="e">
            <v>#NUM!</v>
          </cell>
          <cell r="W161" t="e">
            <v>#NUM!</v>
          </cell>
          <cell r="X161" t="e">
            <v>#NUM!</v>
          </cell>
          <cell r="Y161" t="e">
            <v>#NUM!</v>
          </cell>
          <cell r="Z161" t="e">
            <v>#NUM!</v>
          </cell>
          <cell r="AA161" t="e">
            <v>#NUM!</v>
          </cell>
          <cell r="AB161" t="e">
            <v>#NUM!</v>
          </cell>
          <cell r="AC161" t="e">
            <v>#NUM!</v>
          </cell>
          <cell r="AD161" t="e">
            <v>#NUM!</v>
          </cell>
          <cell r="AE161" t="e">
            <v>#NUM!</v>
          </cell>
          <cell r="AF161" t="e">
            <v>#NUM!</v>
          </cell>
          <cell r="AG161" t="e">
            <v>#NUM!</v>
          </cell>
          <cell r="AH161" t="e">
            <v>#NUM!</v>
          </cell>
          <cell r="AI161" t="e">
            <v>#NUM!</v>
          </cell>
          <cell r="AJ161" t="e">
            <v>#NUM!</v>
          </cell>
          <cell r="AK161" t="e">
            <v>#NUM!</v>
          </cell>
          <cell r="AL161" t="e">
            <v>#NUM!</v>
          </cell>
          <cell r="AM161" t="e">
            <v>#NUM!</v>
          </cell>
          <cell r="AN161" t="e">
            <v>#NUM!</v>
          </cell>
          <cell r="AO161" t="e">
            <v>#NUM!</v>
          </cell>
          <cell r="AP161" t="e">
            <v>#NUM!</v>
          </cell>
        </row>
        <row r="162">
          <cell r="C162">
            <v>0</v>
          </cell>
          <cell r="D162">
            <v>0</v>
          </cell>
          <cell r="E162">
            <v>0</v>
          </cell>
          <cell r="F162">
            <v>3869127</v>
          </cell>
          <cell r="G162">
            <v>3671018</v>
          </cell>
          <cell r="H162">
            <v>4112131</v>
          </cell>
          <cell r="I162">
            <v>3436415</v>
          </cell>
          <cell r="J162">
            <v>5739552</v>
          </cell>
          <cell r="K162">
            <v>4270935</v>
          </cell>
          <cell r="L162">
            <v>7352727</v>
          </cell>
          <cell r="M162">
            <v>6941856</v>
          </cell>
          <cell r="N162">
            <v>6787534</v>
          </cell>
          <cell r="O162">
            <v>3502971</v>
          </cell>
          <cell r="P162">
            <v>3735478</v>
          </cell>
          <cell r="Q162">
            <v>3889081.6033022706</v>
          </cell>
          <cell r="R162">
            <v>1113279.7204845913</v>
          </cell>
          <cell r="S162">
            <v>1227239.6589660239</v>
          </cell>
          <cell r="T162">
            <v>3223356.3495128592</v>
          </cell>
          <cell r="U162" t="e">
            <v>#NUM!</v>
          </cell>
          <cell r="V162" t="e">
            <v>#NUM!</v>
          </cell>
          <cell r="W162" t="e">
            <v>#NUM!</v>
          </cell>
          <cell r="X162" t="e">
            <v>#NUM!</v>
          </cell>
          <cell r="Y162" t="e">
            <v>#NUM!</v>
          </cell>
          <cell r="Z162" t="e">
            <v>#NUM!</v>
          </cell>
          <cell r="AA162" t="e">
            <v>#NUM!</v>
          </cell>
          <cell r="AB162" t="e">
            <v>#NUM!</v>
          </cell>
          <cell r="AC162" t="e">
            <v>#NUM!</v>
          </cell>
          <cell r="AD162" t="e">
            <v>#NUM!</v>
          </cell>
          <cell r="AE162" t="e">
            <v>#NUM!</v>
          </cell>
          <cell r="AF162" t="e">
            <v>#NUM!</v>
          </cell>
          <cell r="AG162" t="e">
            <v>#NUM!</v>
          </cell>
          <cell r="AH162" t="e">
            <v>#NUM!</v>
          </cell>
          <cell r="AI162" t="e">
            <v>#NUM!</v>
          </cell>
          <cell r="AJ162" t="e">
            <v>#NUM!</v>
          </cell>
          <cell r="AK162" t="e">
            <v>#NUM!</v>
          </cell>
          <cell r="AL162" t="e">
            <v>#NUM!</v>
          </cell>
          <cell r="AM162" t="e">
            <v>#NUM!</v>
          </cell>
          <cell r="AN162" t="e">
            <v>#NUM!</v>
          </cell>
          <cell r="AO162" t="e">
            <v>#NUM!</v>
          </cell>
          <cell r="AP162" t="e">
            <v>#NUM!</v>
          </cell>
        </row>
        <row r="163">
          <cell r="C163">
            <v>0</v>
          </cell>
          <cell r="D163">
            <v>0</v>
          </cell>
          <cell r="E163">
            <v>0</v>
          </cell>
          <cell r="F163">
            <v>3278166</v>
          </cell>
          <cell r="G163">
            <v>3459432</v>
          </cell>
          <cell r="H163">
            <v>3665123</v>
          </cell>
          <cell r="I163">
            <v>4070637</v>
          </cell>
          <cell r="J163">
            <v>5018307</v>
          </cell>
          <cell r="K163">
            <v>4115858</v>
          </cell>
          <cell r="L163">
            <v>7497164</v>
          </cell>
          <cell r="M163">
            <v>7154022</v>
          </cell>
          <cell r="N163">
            <v>6863778</v>
          </cell>
          <cell r="O163">
            <v>3864956</v>
          </cell>
          <cell r="P163">
            <v>5960448</v>
          </cell>
          <cell r="Q163">
            <v>4112492.8953824947</v>
          </cell>
          <cell r="R163">
            <v>1196418.8249492308</v>
          </cell>
          <cell r="S163">
            <v>1355718.0228517849</v>
          </cell>
          <cell r="T163">
            <v>3771213.2155188755</v>
          </cell>
          <cell r="U163" t="e">
            <v>#NUM!</v>
          </cell>
          <cell r="V163" t="e">
            <v>#NUM!</v>
          </cell>
          <cell r="W163" t="e">
            <v>#NUM!</v>
          </cell>
          <cell r="X163" t="e">
            <v>#NUM!</v>
          </cell>
          <cell r="Y163" t="e">
            <v>#NUM!</v>
          </cell>
          <cell r="Z163" t="e">
            <v>#NUM!</v>
          </cell>
          <cell r="AA163" t="e">
            <v>#NUM!</v>
          </cell>
          <cell r="AB163" t="e">
            <v>#NUM!</v>
          </cell>
          <cell r="AC163" t="e">
            <v>#NUM!</v>
          </cell>
          <cell r="AD163" t="e">
            <v>#NUM!</v>
          </cell>
          <cell r="AE163" t="e">
            <v>#NUM!</v>
          </cell>
          <cell r="AF163" t="e">
            <v>#NUM!</v>
          </cell>
          <cell r="AG163" t="e">
            <v>#NUM!</v>
          </cell>
          <cell r="AH163" t="e">
            <v>#NUM!</v>
          </cell>
          <cell r="AI163" t="e">
            <v>#NUM!</v>
          </cell>
          <cell r="AJ163" t="e">
            <v>#NUM!</v>
          </cell>
          <cell r="AK163" t="e">
            <v>#NUM!</v>
          </cell>
          <cell r="AL163" t="e">
            <v>#NUM!</v>
          </cell>
          <cell r="AM163" t="e">
            <v>#NUM!</v>
          </cell>
          <cell r="AN163" t="e">
            <v>#NUM!</v>
          </cell>
          <cell r="AO163" t="e">
            <v>#NUM!</v>
          </cell>
          <cell r="AP163" t="e">
            <v>#NUM!</v>
          </cell>
        </row>
        <row r="164">
          <cell r="C164">
            <v>0</v>
          </cell>
          <cell r="D164">
            <v>0</v>
          </cell>
          <cell r="E164">
            <v>0</v>
          </cell>
          <cell r="F164">
            <v>4305346</v>
          </cell>
          <cell r="G164">
            <v>7988270</v>
          </cell>
          <cell r="H164">
            <v>6707006</v>
          </cell>
          <cell r="I164">
            <v>8790659</v>
          </cell>
          <cell r="J164">
            <v>11152309</v>
          </cell>
          <cell r="K164">
            <v>10513986</v>
          </cell>
          <cell r="L164">
            <v>13960148</v>
          </cell>
          <cell r="M164">
            <v>13967492</v>
          </cell>
          <cell r="N164">
            <v>13543812</v>
          </cell>
          <cell r="O164">
            <v>5318672</v>
          </cell>
          <cell r="P164">
            <v>4210181</v>
          </cell>
          <cell r="Q164">
            <v>9553164.6999104805</v>
          </cell>
          <cell r="R164">
            <v>2047066.240455078</v>
          </cell>
          <cell r="S164">
            <v>2177950.1574751958</v>
          </cell>
          <cell r="T164">
            <v>5207990.4927235804</v>
          </cell>
          <cell r="U164" t="e">
            <v>#NUM!</v>
          </cell>
          <cell r="V164" t="e">
            <v>#NUM!</v>
          </cell>
          <cell r="W164" t="e">
            <v>#NUM!</v>
          </cell>
          <cell r="X164" t="e">
            <v>#NUM!</v>
          </cell>
          <cell r="Y164" t="e">
            <v>#NUM!</v>
          </cell>
          <cell r="Z164" t="e">
            <v>#NUM!</v>
          </cell>
          <cell r="AA164" t="e">
            <v>#NUM!</v>
          </cell>
          <cell r="AB164" t="e">
            <v>#NUM!</v>
          </cell>
          <cell r="AC164" t="e">
            <v>#NUM!</v>
          </cell>
          <cell r="AD164" t="e">
            <v>#NUM!</v>
          </cell>
          <cell r="AE164" t="e">
            <v>#NUM!</v>
          </cell>
          <cell r="AF164" t="e">
            <v>#NUM!</v>
          </cell>
          <cell r="AG164" t="e">
            <v>#NUM!</v>
          </cell>
          <cell r="AH164" t="e">
            <v>#NUM!</v>
          </cell>
          <cell r="AI164" t="e">
            <v>#NUM!</v>
          </cell>
          <cell r="AJ164" t="e">
            <v>#NUM!</v>
          </cell>
          <cell r="AK164" t="e">
            <v>#NUM!</v>
          </cell>
          <cell r="AL164" t="e">
            <v>#NUM!</v>
          </cell>
          <cell r="AM164" t="e">
            <v>#NUM!</v>
          </cell>
          <cell r="AN164" t="e">
            <v>#NUM!</v>
          </cell>
          <cell r="AO164" t="e">
            <v>#NUM!</v>
          </cell>
          <cell r="AP164" t="e">
            <v>#NUM!</v>
          </cell>
        </row>
      </sheetData>
      <sheetData sheetId="7" refreshError="1"/>
      <sheetData sheetId="8" refreshError="1"/>
      <sheetData sheetId="9" refreshError="1"/>
      <sheetData sheetId="10">
        <row r="69">
          <cell r="C69">
            <v>32877627</v>
          </cell>
          <cell r="D69">
            <v>60117730</v>
          </cell>
          <cell r="E69">
            <v>71157810</v>
          </cell>
          <cell r="F69">
            <v>56695627</v>
          </cell>
          <cell r="G69">
            <v>55879853</v>
          </cell>
          <cell r="H69">
            <v>85560071</v>
          </cell>
          <cell r="I69">
            <v>65936175</v>
          </cell>
          <cell r="J69">
            <v>110496056</v>
          </cell>
          <cell r="K69">
            <v>107668977</v>
          </cell>
          <cell r="L69">
            <v>118403817</v>
          </cell>
          <cell r="M69">
            <v>107302585</v>
          </cell>
          <cell r="N69">
            <v>90715015</v>
          </cell>
          <cell r="O69">
            <v>119548309</v>
          </cell>
          <cell r="P69">
            <v>120715672</v>
          </cell>
          <cell r="Q69">
            <v>65635810</v>
          </cell>
          <cell r="R69">
            <v>98015663.363137141</v>
          </cell>
          <cell r="S69">
            <v>91285519.533940092</v>
          </cell>
          <cell r="T69">
            <v>75154063.705949679</v>
          </cell>
          <cell r="U69">
            <v>85343190.007176593</v>
          </cell>
          <cell r="V69">
            <v>83821110.308034748</v>
          </cell>
          <cell r="W69">
            <v>89676496.426157802</v>
          </cell>
          <cell r="X69">
            <v>91583836.411036044</v>
          </cell>
          <cell r="Y69">
            <v>104997425.08437921</v>
          </cell>
          <cell r="Z69">
            <v>94699133.86334464</v>
          </cell>
          <cell r="AA69">
            <v>92694951.907792583</v>
          </cell>
          <cell r="AB69">
            <v>75530839.92836228</v>
          </cell>
          <cell r="AC69">
            <v>61917664.859224424</v>
          </cell>
          <cell r="AD69">
            <v>61878770.652493231</v>
          </cell>
          <cell r="AE69">
            <v>49894013.562803194</v>
          </cell>
          <cell r="AF69">
            <v>29316466.054185823</v>
          </cell>
          <cell r="AG69">
            <v>32344254.705935929</v>
          </cell>
          <cell r="AH69">
            <v>31964963.29732671</v>
          </cell>
          <cell r="AI69">
            <v>26309885.015405539</v>
          </cell>
          <cell r="AJ69">
            <v>26595929.352936823</v>
          </cell>
          <cell r="AK69">
            <v>26874645.040807761</v>
          </cell>
          <cell r="AL69">
            <v>26846055.889905453</v>
          </cell>
          <cell r="AM69">
            <v>26952613.682806406</v>
          </cell>
          <cell r="AN69">
            <v>27474115.49231898</v>
          </cell>
          <cell r="AO69">
            <v>28005401.878091361</v>
          </cell>
          <cell r="AP69">
            <v>28692698.841834854</v>
          </cell>
        </row>
        <row r="70">
          <cell r="C70">
            <v>41535834</v>
          </cell>
          <cell r="D70">
            <v>72510777</v>
          </cell>
          <cell r="E70">
            <v>74511501</v>
          </cell>
          <cell r="F70">
            <v>69859288</v>
          </cell>
          <cell r="G70">
            <v>62835451</v>
          </cell>
          <cell r="H70">
            <v>100399613</v>
          </cell>
          <cell r="I70">
            <v>78476257</v>
          </cell>
          <cell r="J70">
            <v>115536272</v>
          </cell>
          <cell r="K70">
            <v>117330452</v>
          </cell>
          <cell r="L70">
            <v>128033003</v>
          </cell>
          <cell r="M70">
            <v>109881050</v>
          </cell>
          <cell r="N70">
            <v>110442650</v>
          </cell>
          <cell r="O70">
            <v>114742607</v>
          </cell>
          <cell r="P70">
            <v>125799224</v>
          </cell>
          <cell r="Q70">
            <v>73721896</v>
          </cell>
          <cell r="R70">
            <v>103981212.43447548</v>
          </cell>
          <cell r="S70">
            <v>97570862.011011511</v>
          </cell>
          <cell r="T70">
            <v>78282668.342301562</v>
          </cell>
          <cell r="U70">
            <v>90747887.915791929</v>
          </cell>
          <cell r="V70">
            <v>89646193.223265439</v>
          </cell>
          <cell r="W70">
            <v>95179538.785581186</v>
          </cell>
          <cell r="X70">
            <v>97214525.354727179</v>
          </cell>
          <cell r="Y70">
            <v>90088761.424348921</v>
          </cell>
          <cell r="Z70">
            <v>89134689.611705765</v>
          </cell>
          <cell r="AA70">
            <v>86039431.376785085</v>
          </cell>
          <cell r="AB70">
            <v>72980215.389248982</v>
          </cell>
          <cell r="AC70">
            <v>58677162.402562231</v>
          </cell>
          <cell r="AD70">
            <v>57139719.092427447</v>
          </cell>
          <cell r="AE70">
            <v>46958835.747098677</v>
          </cell>
          <cell r="AF70">
            <v>27591268.669226687</v>
          </cell>
          <cell r="AG70">
            <v>30580303.030070875</v>
          </cell>
          <cell r="AH70">
            <v>30008654.669604547</v>
          </cell>
          <cell r="AI70">
            <v>24629359.055290196</v>
          </cell>
          <cell r="AJ70">
            <v>25020314.931927267</v>
          </cell>
          <cell r="AK70">
            <v>25278726.334437441</v>
          </cell>
          <cell r="AL70">
            <v>25248904.937721465</v>
          </cell>
          <cell r="AM70">
            <v>25317948.263687339</v>
          </cell>
          <cell r="AN70">
            <v>25811450.600929368</v>
          </cell>
          <cell r="AO70">
            <v>26328940.971551761</v>
          </cell>
          <cell r="AP70">
            <v>26971623.516611457</v>
          </cell>
        </row>
        <row r="71">
          <cell r="C71">
            <v>63342553</v>
          </cell>
          <cell r="D71">
            <v>95151425</v>
          </cell>
          <cell r="E71">
            <v>101030322</v>
          </cell>
          <cell r="F71">
            <v>90811260</v>
          </cell>
          <cell r="G71">
            <v>92371029</v>
          </cell>
          <cell r="H71">
            <v>126575151</v>
          </cell>
          <cell r="I71">
            <v>111494709</v>
          </cell>
          <cell r="J71">
            <v>145194734</v>
          </cell>
          <cell r="K71">
            <v>147658797</v>
          </cell>
          <cell r="L71">
            <v>150090658</v>
          </cell>
          <cell r="M71">
            <v>150336910</v>
          </cell>
          <cell r="N71">
            <v>135867416</v>
          </cell>
          <cell r="O71">
            <v>130887285</v>
          </cell>
          <cell r="P71">
            <v>133485081</v>
          </cell>
          <cell r="Q71">
            <v>95833393</v>
          </cell>
          <cell r="R71">
            <v>114301406.64373817</v>
          </cell>
          <cell r="S71">
            <v>112646438.59768748</v>
          </cell>
          <cell r="T71">
            <v>89109233.835047841</v>
          </cell>
          <cell r="U71">
            <v>103246217.27742772</v>
          </cell>
          <cell r="V71">
            <v>103937818.35363176</v>
          </cell>
          <cell r="W71">
            <v>108211058.02671859</v>
          </cell>
          <cell r="X71">
            <v>111368060.67461357</v>
          </cell>
          <cell r="Y71">
            <v>103031060.97661555</v>
          </cell>
          <cell r="Z71">
            <v>102020736.51920772</v>
          </cell>
          <cell r="AA71">
            <v>98593825.042259067</v>
          </cell>
          <cell r="AB71">
            <v>83435976.663804561</v>
          </cell>
          <cell r="AC71">
            <v>67165230.522426173</v>
          </cell>
          <cell r="AD71">
            <v>65392318.940057054</v>
          </cell>
          <cell r="AE71">
            <v>53749939.006119251</v>
          </cell>
          <cell r="AF71">
            <v>31581850.675286923</v>
          </cell>
          <cell r="AG71">
            <v>34990383.123586863</v>
          </cell>
          <cell r="AH71">
            <v>34345659.070219874</v>
          </cell>
          <cell r="AI71">
            <v>28187928.143331822</v>
          </cell>
          <cell r="AJ71">
            <v>28635876.033824217</v>
          </cell>
          <cell r="AK71">
            <v>28930654.240183827</v>
          </cell>
          <cell r="AL71">
            <v>28895673.320742559</v>
          </cell>
          <cell r="AM71">
            <v>28975994.994004179</v>
          </cell>
          <cell r="AN71">
            <v>29540548.913802221</v>
          </cell>
          <cell r="AO71">
            <v>30132750.91180766</v>
          </cell>
          <cell r="AP71">
            <v>30868112.39542358</v>
          </cell>
        </row>
        <row r="72">
          <cell r="C72">
            <v>70300597</v>
          </cell>
          <cell r="D72">
            <v>92581599</v>
          </cell>
          <cell r="E72">
            <v>110954540</v>
          </cell>
          <cell r="F72">
            <v>103350473</v>
          </cell>
          <cell r="G72">
            <v>106492710</v>
          </cell>
          <cell r="H72">
            <v>126257818</v>
          </cell>
          <cell r="I72">
            <v>124324164</v>
          </cell>
          <cell r="J72">
            <v>144637673</v>
          </cell>
          <cell r="K72">
            <v>160888556</v>
          </cell>
          <cell r="L72">
            <v>149356126</v>
          </cell>
          <cell r="M72">
            <v>144396494</v>
          </cell>
          <cell r="N72">
            <v>144286382</v>
          </cell>
          <cell r="O72">
            <v>133835520</v>
          </cell>
          <cell r="P72">
            <v>135031996</v>
          </cell>
          <cell r="Q72">
            <v>131791986.24915777</v>
          </cell>
          <cell r="R72">
            <v>121892905.63593009</v>
          </cell>
          <cell r="S72">
            <v>123067075.62601432</v>
          </cell>
          <cell r="T72">
            <v>97982294.76761958</v>
          </cell>
          <cell r="U72">
            <v>115436159.97371487</v>
          </cell>
          <cell r="V72">
            <v>119077183.61644079</v>
          </cell>
          <cell r="W72">
            <v>119423114.51853617</v>
          </cell>
          <cell r="X72">
            <v>123822801.46227673</v>
          </cell>
          <cell r="Y72">
            <v>114988250.10300203</v>
          </cell>
          <cell r="Z72">
            <v>114143446.18993911</v>
          </cell>
          <cell r="AA72">
            <v>110323950.04589488</v>
          </cell>
          <cell r="AB72">
            <v>92920441.49230741</v>
          </cell>
          <cell r="AC72">
            <v>74946839.415972024</v>
          </cell>
          <cell r="AD72">
            <v>73033030.707734361</v>
          </cell>
          <cell r="AE72">
            <v>60040807.299933665</v>
          </cell>
          <cell r="AF72">
            <v>35262549.685792908</v>
          </cell>
          <cell r="AG72">
            <v>39040513.872515291</v>
          </cell>
          <cell r="AH72">
            <v>38344691.572141021</v>
          </cell>
          <cell r="AI72">
            <v>31474951.666540641</v>
          </cell>
          <cell r="AJ72">
            <v>31972747.698604073</v>
          </cell>
          <cell r="AK72">
            <v>32296829.580743853</v>
          </cell>
          <cell r="AL72">
            <v>32256651.615299262</v>
          </cell>
          <cell r="AM72">
            <v>32350156.55180518</v>
          </cell>
          <cell r="AN72">
            <v>32980535.123779301</v>
          </cell>
          <cell r="AO72">
            <v>33640753.247706249</v>
          </cell>
          <cell r="AP72">
            <v>34461064.01098679</v>
          </cell>
        </row>
        <row r="73">
          <cell r="C73">
            <v>77560283</v>
          </cell>
          <cell r="D73">
            <v>107554758</v>
          </cell>
          <cell r="E73">
            <v>118930694</v>
          </cell>
          <cell r="F73">
            <v>109855624</v>
          </cell>
          <cell r="G73">
            <v>121530326</v>
          </cell>
          <cell r="H73">
            <v>135261004</v>
          </cell>
          <cell r="I73">
            <v>147074058</v>
          </cell>
          <cell r="J73">
            <v>166235446</v>
          </cell>
          <cell r="K73">
            <v>164042436</v>
          </cell>
          <cell r="L73">
            <v>143174223</v>
          </cell>
          <cell r="M73">
            <v>150501950</v>
          </cell>
          <cell r="N73">
            <v>139875243</v>
          </cell>
          <cell r="O73">
            <v>163593533</v>
          </cell>
          <cell r="P73">
            <v>142081952</v>
          </cell>
          <cell r="Q73">
            <v>137817630.89019856</v>
          </cell>
          <cell r="R73">
            <v>129766553.07013708</v>
          </cell>
          <cell r="S73">
            <v>131611162.20743161</v>
          </cell>
          <cell r="T73">
            <v>106974562.13213791</v>
          </cell>
          <cell r="U73">
            <v>122721951.94938588</v>
          </cell>
          <cell r="V73">
            <v>126889909.58235145</v>
          </cell>
          <cell r="W73">
            <v>127800647.57487807</v>
          </cell>
          <cell r="X73">
            <v>132654794.57083979</v>
          </cell>
          <cell r="Y73">
            <v>123236830.57973263</v>
          </cell>
          <cell r="Z73">
            <v>121953302.52878104</v>
          </cell>
          <cell r="AA73">
            <v>117986723.10423303</v>
          </cell>
          <cell r="AB73">
            <v>99447456.87938045</v>
          </cell>
          <cell r="AC73">
            <v>80212831.324378014</v>
          </cell>
          <cell r="AD73">
            <v>78145574.954783127</v>
          </cell>
          <cell r="AE73">
            <v>64218175.195735909</v>
          </cell>
          <cell r="AF73">
            <v>37727253.076418914</v>
          </cell>
          <cell r="AG73">
            <v>41774901.928249493</v>
          </cell>
          <cell r="AH73">
            <v>41027778.749756731</v>
          </cell>
          <cell r="AI73">
            <v>33674557.81428168</v>
          </cell>
          <cell r="AJ73">
            <v>34205782.786440752</v>
          </cell>
          <cell r="AK73">
            <v>34555432.106634237</v>
          </cell>
          <cell r="AL73">
            <v>34512686.556370206</v>
          </cell>
          <cell r="AM73">
            <v>34611974.967570938</v>
          </cell>
          <cell r="AN73">
            <v>35285985.317534812</v>
          </cell>
          <cell r="AO73">
            <v>35992479.342458017</v>
          </cell>
          <cell r="AP73">
            <v>36870575.144741707</v>
          </cell>
        </row>
        <row r="74">
          <cell r="C74">
            <v>77783252</v>
          </cell>
          <cell r="D74">
            <v>106613644</v>
          </cell>
          <cell r="E74">
            <v>117472586</v>
          </cell>
          <cell r="F74">
            <v>113250338</v>
          </cell>
          <cell r="G74">
            <v>130919551</v>
          </cell>
          <cell r="H74">
            <v>142561451</v>
          </cell>
          <cell r="I74">
            <v>145011076</v>
          </cell>
          <cell r="J74">
            <v>160548223</v>
          </cell>
          <cell r="K74">
            <v>144102423</v>
          </cell>
          <cell r="L74">
            <v>165519330</v>
          </cell>
          <cell r="M74">
            <v>154457118</v>
          </cell>
          <cell r="N74">
            <v>142855221</v>
          </cell>
          <cell r="O74">
            <v>153006295</v>
          </cell>
          <cell r="P74">
            <v>132929485</v>
          </cell>
          <cell r="Q74">
            <v>139596321.19621357</v>
          </cell>
          <cell r="R74">
            <v>127816904.80437458</v>
          </cell>
          <cell r="S74">
            <v>128486554.10432391</v>
          </cell>
          <cell r="T74">
            <v>103478619.43372664</v>
          </cell>
          <cell r="U74">
            <v>119703563.65451685</v>
          </cell>
          <cell r="V74">
            <v>124910591.62779596</v>
          </cell>
          <cell r="W74">
            <v>124994680.40552105</v>
          </cell>
          <cell r="X74">
            <v>129548547.83684674</v>
          </cell>
          <cell r="Y74">
            <v>120359662.95478205</v>
          </cell>
          <cell r="Z74">
            <v>119298368.19976407</v>
          </cell>
          <cell r="AA74">
            <v>115482815.25466272</v>
          </cell>
          <cell r="AB74">
            <v>97223204.89742589</v>
          </cell>
          <cell r="AC74">
            <v>78411717.394009098</v>
          </cell>
          <cell r="AD74">
            <v>76409247.310744002</v>
          </cell>
          <cell r="AE74">
            <v>62809229.601507217</v>
          </cell>
          <cell r="AF74">
            <v>36897741.3575124</v>
          </cell>
          <cell r="AG74">
            <v>40845911.467491537</v>
          </cell>
          <cell r="AH74">
            <v>40117133.002460606</v>
          </cell>
          <cell r="AI74">
            <v>32929777.419497222</v>
          </cell>
          <cell r="AJ74">
            <v>33450503.217612393</v>
          </cell>
          <cell r="AK74">
            <v>33790777.5213456</v>
          </cell>
          <cell r="AL74">
            <v>33747984.797078803</v>
          </cell>
          <cell r="AM74">
            <v>33845730.379206672</v>
          </cell>
          <cell r="AN74">
            <v>34505306.28004948</v>
          </cell>
          <cell r="AO74">
            <v>35196118.281343289</v>
          </cell>
          <cell r="AP74">
            <v>36054459.010971166</v>
          </cell>
        </row>
        <row r="75">
          <cell r="C75">
            <v>86877103</v>
          </cell>
          <cell r="D75">
            <v>97342403</v>
          </cell>
          <cell r="E75">
            <v>128278779</v>
          </cell>
          <cell r="F75">
            <v>128017921</v>
          </cell>
          <cell r="G75">
            <v>129173039</v>
          </cell>
          <cell r="H75">
            <v>137963278</v>
          </cell>
          <cell r="I75">
            <v>150290364</v>
          </cell>
          <cell r="J75">
            <v>169779870</v>
          </cell>
          <cell r="K75">
            <v>169452631</v>
          </cell>
          <cell r="L75">
            <v>162738265</v>
          </cell>
          <cell r="M75">
            <v>146890338</v>
          </cell>
          <cell r="N75">
            <v>137545866</v>
          </cell>
          <cell r="O75">
            <v>142593233</v>
          </cell>
          <cell r="P75">
            <v>144952117</v>
          </cell>
          <cell r="Q75">
            <v>136977353.88914844</v>
          </cell>
          <cell r="R75">
            <v>125361596.77078378</v>
          </cell>
          <cell r="S75">
            <v>126867275.25631809</v>
          </cell>
          <cell r="T75">
            <v>102707049.72418456</v>
          </cell>
          <cell r="U75">
            <v>120566355.30160722</v>
          </cell>
          <cell r="V75">
            <v>123578455.85799234</v>
          </cell>
          <cell r="W75">
            <v>123895386.14132853</v>
          </cell>
          <cell r="X75">
            <v>128695875.0551669</v>
          </cell>
          <cell r="Y75">
            <v>119721974.42562073</v>
          </cell>
          <cell r="Z75">
            <v>118709306.64877269</v>
          </cell>
          <cell r="AA75">
            <v>114641406.72606203</v>
          </cell>
          <cell r="AB75">
            <v>96582135.995541841</v>
          </cell>
          <cell r="AC75">
            <v>77931757.483331934</v>
          </cell>
          <cell r="AD75">
            <v>75950139.294204175</v>
          </cell>
          <cell r="AE75">
            <v>62420807.142856009</v>
          </cell>
          <cell r="AF75">
            <v>36656810.052576274</v>
          </cell>
          <cell r="AG75">
            <v>40589341.84559004</v>
          </cell>
          <cell r="AH75">
            <v>39869266.036812775</v>
          </cell>
          <cell r="AI75">
            <v>32725740.002630282</v>
          </cell>
          <cell r="AJ75">
            <v>33240994.531010047</v>
          </cell>
          <cell r="AK75">
            <v>33578226.618579254</v>
          </cell>
          <cell r="AL75">
            <v>33537349.527507763</v>
          </cell>
          <cell r="AM75">
            <v>33634802.6609108</v>
          </cell>
          <cell r="AN75">
            <v>34289827.021470368</v>
          </cell>
          <cell r="AO75">
            <v>34975991.867240556</v>
          </cell>
          <cell r="AP75">
            <v>35829027.480622672</v>
          </cell>
        </row>
        <row r="76">
          <cell r="C76">
            <v>100747046</v>
          </cell>
          <cell r="D76">
            <v>96254350</v>
          </cell>
          <cell r="E76">
            <v>129887145</v>
          </cell>
          <cell r="F76">
            <v>127377367</v>
          </cell>
          <cell r="G76">
            <v>125600893</v>
          </cell>
          <cell r="H76">
            <v>161632981</v>
          </cell>
          <cell r="I76">
            <v>157536696</v>
          </cell>
          <cell r="J76">
            <v>180631297</v>
          </cell>
          <cell r="K76">
            <v>153598697</v>
          </cell>
          <cell r="L76">
            <v>171493499</v>
          </cell>
          <cell r="M76">
            <v>154582245</v>
          </cell>
          <cell r="N76">
            <v>151833118</v>
          </cell>
          <cell r="O76">
            <v>152345476</v>
          </cell>
          <cell r="P76">
            <v>138321175</v>
          </cell>
          <cell r="Q76">
            <v>143289233.95318782</v>
          </cell>
          <cell r="R76">
            <v>130916081.05035864</v>
          </cell>
          <cell r="S76">
            <v>132270048.04236543</v>
          </cell>
          <cell r="T76">
            <v>105801599.95119463</v>
          </cell>
          <cell r="U76">
            <v>123166130.81943595</v>
          </cell>
          <cell r="V76">
            <v>128211735.30080149</v>
          </cell>
          <cell r="W76">
            <v>128297290.73108302</v>
          </cell>
          <cell r="X76">
            <v>133031348.21513963</v>
          </cell>
          <cell r="Y76">
            <v>123529670.79509822</v>
          </cell>
          <cell r="Z76">
            <v>122517916.17562571</v>
          </cell>
          <cell r="AA76">
            <v>118556100.94026034</v>
          </cell>
          <cell r="AB76">
            <v>99814230.674695551</v>
          </cell>
          <cell r="AC76">
            <v>80505256.518930897</v>
          </cell>
          <cell r="AD76">
            <v>78445875.0893116</v>
          </cell>
          <cell r="AE76">
            <v>64488273.15056701</v>
          </cell>
          <cell r="AF76">
            <v>37881500.171833068</v>
          </cell>
          <cell r="AG76">
            <v>41935596.152444564</v>
          </cell>
          <cell r="AH76">
            <v>41187740.573404834</v>
          </cell>
          <cell r="AI76">
            <v>33808452.460468106</v>
          </cell>
          <cell r="AJ76">
            <v>34343421.05158022</v>
          </cell>
          <cell r="AK76">
            <v>34692332.392430089</v>
          </cell>
          <cell r="AL76">
            <v>34648526.756518871</v>
          </cell>
          <cell r="AM76">
            <v>34748931.294492893</v>
          </cell>
          <cell r="AN76">
            <v>35426098.404526144</v>
          </cell>
          <cell r="AO76">
            <v>36135360.31416925</v>
          </cell>
          <cell r="AP76">
            <v>37016552.061114371</v>
          </cell>
        </row>
        <row r="77">
          <cell r="C77">
            <v>114082130</v>
          </cell>
          <cell r="D77">
            <v>81339106</v>
          </cell>
          <cell r="E77">
            <v>127580018</v>
          </cell>
          <cell r="F77">
            <v>124535190</v>
          </cell>
          <cell r="G77">
            <v>117829158</v>
          </cell>
          <cell r="H77">
            <v>146610102</v>
          </cell>
          <cell r="I77">
            <v>148333215</v>
          </cell>
          <cell r="J77">
            <v>157006356</v>
          </cell>
          <cell r="K77">
            <v>143659811</v>
          </cell>
          <cell r="L77">
            <v>167865219</v>
          </cell>
          <cell r="M77">
            <v>139934774</v>
          </cell>
          <cell r="N77">
            <v>141860945</v>
          </cell>
          <cell r="O77">
            <v>143870897</v>
          </cell>
          <cell r="P77">
            <v>132214867</v>
          </cell>
          <cell r="Q77">
            <v>135304452.47691944</v>
          </cell>
          <cell r="R77">
            <v>122572542.30596884</v>
          </cell>
          <cell r="S77">
            <v>124725268.12310104</v>
          </cell>
          <cell r="T77">
            <v>99965639.297647595</v>
          </cell>
          <cell r="U77">
            <v>116385846.43106832</v>
          </cell>
          <cell r="V77">
            <v>120849373.01961826</v>
          </cell>
          <cell r="W77">
            <v>120879681.71661964</v>
          </cell>
          <cell r="X77">
            <v>125506828.77842174</v>
          </cell>
          <cell r="Y77">
            <v>116555231.88455847</v>
          </cell>
          <cell r="Z77">
            <v>115574111.45395955</v>
          </cell>
          <cell r="AA77">
            <v>111799481.22167665</v>
          </cell>
          <cell r="AB77">
            <v>94134570.93654041</v>
          </cell>
          <cell r="AC77">
            <v>75940114.069683388</v>
          </cell>
          <cell r="AD77">
            <v>73994751.827492744</v>
          </cell>
          <cell r="AE77">
            <v>60824633.102130264</v>
          </cell>
          <cell r="AF77">
            <v>35727996.760174543</v>
          </cell>
          <cell r="AG77">
            <v>39553585.406836964</v>
          </cell>
          <cell r="AH77">
            <v>38849573.883287132</v>
          </cell>
          <cell r="AI77">
            <v>31888553.808528412</v>
          </cell>
          <cell r="AJ77">
            <v>32392575.233763941</v>
          </cell>
          <cell r="AK77">
            <v>32721748.458820507</v>
          </cell>
          <cell r="AL77">
            <v>32680760.701867606</v>
          </cell>
          <cell r="AM77">
            <v>32775540.055478007</v>
          </cell>
          <cell r="AN77">
            <v>33414068.951341871</v>
          </cell>
          <cell r="AO77">
            <v>34082994.954295129</v>
          </cell>
          <cell r="AP77">
            <v>34914192.067278415</v>
          </cell>
        </row>
        <row r="78">
          <cell r="C78">
            <v>111790839</v>
          </cell>
          <cell r="D78">
            <v>80600435</v>
          </cell>
          <cell r="E78">
            <v>130088019</v>
          </cell>
          <cell r="F78">
            <v>121329751</v>
          </cell>
          <cell r="G78">
            <v>105019500</v>
          </cell>
          <cell r="H78">
            <v>143064387</v>
          </cell>
          <cell r="I78">
            <v>149347918</v>
          </cell>
          <cell r="J78">
            <v>170944979</v>
          </cell>
          <cell r="K78">
            <v>146618360</v>
          </cell>
          <cell r="L78">
            <v>149489760</v>
          </cell>
          <cell r="M78">
            <v>139778878</v>
          </cell>
          <cell r="N78">
            <v>138040230</v>
          </cell>
          <cell r="O78">
            <v>144087366</v>
          </cell>
          <cell r="P78">
            <v>147491702</v>
          </cell>
          <cell r="Q78">
            <v>134025739.70324802</v>
          </cell>
          <cell r="R78">
            <v>124382872.26247028</v>
          </cell>
          <cell r="S78">
            <v>126977590.55550875</v>
          </cell>
          <cell r="T78">
            <v>102739481.03753528</v>
          </cell>
          <cell r="U78">
            <v>120330092.40058191</v>
          </cell>
          <cell r="V78">
            <v>122766572.88223778</v>
          </cell>
          <cell r="W78">
            <v>123505732.07716903</v>
          </cell>
          <cell r="X78">
            <v>128416986.21440543</v>
          </cell>
          <cell r="Y78">
            <v>119385591.16902049</v>
          </cell>
          <cell r="Z78">
            <v>118313953.29189943</v>
          </cell>
          <cell r="AA78">
            <v>114228772.47878945</v>
          </cell>
          <cell r="AB78">
            <v>96293039.898351625</v>
          </cell>
          <cell r="AC78">
            <v>77701020.497806758</v>
          </cell>
          <cell r="AD78">
            <v>75710564.35844034</v>
          </cell>
          <cell r="AE78">
            <v>62218584.906648003</v>
          </cell>
          <cell r="AF78">
            <v>36538978.332989417</v>
          </cell>
          <cell r="AG78">
            <v>40463992.974898733</v>
          </cell>
          <cell r="AH78">
            <v>39744895.34290877</v>
          </cell>
          <cell r="AI78">
            <v>32622069.001585953</v>
          </cell>
          <cell r="AJ78">
            <v>33135530.673434544</v>
          </cell>
          <cell r="AK78">
            <v>33472459.356562175</v>
          </cell>
          <cell r="AL78">
            <v>33432152.086645909</v>
          </cell>
          <cell r="AM78">
            <v>33528916.667022333</v>
          </cell>
          <cell r="AN78">
            <v>34181644.044038594</v>
          </cell>
          <cell r="AO78">
            <v>34865731.91356001</v>
          </cell>
          <cell r="AP78">
            <v>35716220.287170246</v>
          </cell>
        </row>
        <row r="79">
          <cell r="C79">
            <v>105277138</v>
          </cell>
          <cell r="D79">
            <v>67979938</v>
          </cell>
          <cell r="E79">
            <v>110331788</v>
          </cell>
          <cell r="F79">
            <v>97332075</v>
          </cell>
          <cell r="G79">
            <v>96476718</v>
          </cell>
          <cell r="H79">
            <v>139703517</v>
          </cell>
          <cell r="I79">
            <v>147829945</v>
          </cell>
          <cell r="J79">
            <v>150780540</v>
          </cell>
          <cell r="K79">
            <v>119139678</v>
          </cell>
          <cell r="L79">
            <v>142828517</v>
          </cell>
          <cell r="M79">
            <v>140856752</v>
          </cell>
          <cell r="N79">
            <v>141295576</v>
          </cell>
          <cell r="O79">
            <v>135022031</v>
          </cell>
          <cell r="P79">
            <v>133073995</v>
          </cell>
          <cell r="Q79">
            <v>129213658.56247669</v>
          </cell>
          <cell r="R79">
            <v>120145810.83906877</v>
          </cell>
          <cell r="S79">
            <v>121574463.20251155</v>
          </cell>
          <cell r="T79">
            <v>96982237.01175794</v>
          </cell>
          <cell r="U79">
            <v>113774738.83362852</v>
          </cell>
          <cell r="V79">
            <v>117366293.70392452</v>
          </cell>
          <cell r="W79">
            <v>117848867.43109205</v>
          </cell>
          <cell r="X79">
            <v>122220768.77631241</v>
          </cell>
          <cell r="Y79">
            <v>113480618.97141002</v>
          </cell>
          <cell r="Z79">
            <v>112592085.91848446</v>
          </cell>
          <cell r="AA79">
            <v>108841754.1365408</v>
          </cell>
          <cell r="AB79">
            <v>91689776.439752847</v>
          </cell>
          <cell r="AC79">
            <v>73953221.144843906</v>
          </cell>
          <cell r="AD79">
            <v>72059089.262985334</v>
          </cell>
          <cell r="AE79">
            <v>59236795.434056945</v>
          </cell>
          <cell r="AF79">
            <v>34792305.335701458</v>
          </cell>
          <cell r="AG79">
            <v>38521162.145503469</v>
          </cell>
          <cell r="AH79">
            <v>37833856.693967558</v>
          </cell>
          <cell r="AI79">
            <v>31055017.117867794</v>
          </cell>
          <cell r="AJ79">
            <v>31546100.309296843</v>
          </cell>
          <cell r="AK79">
            <v>31866375.111294609</v>
          </cell>
          <cell r="AL79">
            <v>31826781.557572339</v>
          </cell>
          <cell r="AM79">
            <v>31918860.729864843</v>
          </cell>
          <cell r="AN79">
            <v>32540756.716558147</v>
          </cell>
          <cell r="AO79">
            <v>33192219.458560664</v>
          </cell>
          <cell r="AP79">
            <v>34001667.411506236</v>
          </cell>
        </row>
        <row r="80">
          <cell r="C80">
            <v>150743545</v>
          </cell>
          <cell r="D80">
            <v>58155836</v>
          </cell>
          <cell r="E80">
            <v>158363160</v>
          </cell>
          <cell r="F80">
            <v>163494776</v>
          </cell>
          <cell r="G80">
            <v>110100066</v>
          </cell>
          <cell r="H80">
            <v>187163249</v>
          </cell>
          <cell r="I80">
            <v>162595163</v>
          </cell>
          <cell r="J80">
            <v>183329377</v>
          </cell>
          <cell r="K80">
            <v>139601581</v>
          </cell>
          <cell r="L80">
            <v>175881221</v>
          </cell>
          <cell r="M80">
            <v>165708240</v>
          </cell>
          <cell r="N80">
            <v>145591401</v>
          </cell>
          <cell r="O80">
            <v>135716325</v>
          </cell>
          <cell r="P80">
            <v>174669226</v>
          </cell>
          <cell r="Q80">
            <v>257708565.14586091</v>
          </cell>
          <cell r="R80">
            <v>137135371.71240735</v>
          </cell>
          <cell r="S80">
            <v>157021517.4365561</v>
          </cell>
          <cell r="T80">
            <v>130859328.63273156</v>
          </cell>
          <cell r="U80">
            <v>162315101.288903</v>
          </cell>
          <cell r="V80">
            <v>170501546.09920168</v>
          </cell>
          <cell r="W80">
            <v>156726782.05588078</v>
          </cell>
          <cell r="X80">
            <v>167417781.35571027</v>
          </cell>
          <cell r="Y80">
            <v>137345087.46482229</v>
          </cell>
          <cell r="Z80">
            <v>145956961.83380699</v>
          </cell>
          <cell r="AA80">
            <v>139110521.39092016</v>
          </cell>
          <cell r="AB80">
            <v>119049652.49064422</v>
          </cell>
          <cell r="AC80">
            <v>95520355.915558577</v>
          </cell>
          <cell r="AD80">
            <v>91698533.14500761</v>
          </cell>
          <cell r="AE80">
            <v>76292986.629798174</v>
          </cell>
          <cell r="AF80">
            <v>44729027.47163856</v>
          </cell>
          <cell r="AG80">
            <v>49617670.547529519</v>
          </cell>
          <cell r="AH80">
            <v>48603693.715633035</v>
          </cell>
          <cell r="AI80">
            <v>39829147.739431798</v>
          </cell>
          <cell r="AJ80">
            <v>40571698.373255134</v>
          </cell>
          <cell r="AK80">
            <v>40963787.998224497</v>
          </cell>
          <cell r="AL80">
            <v>40912146.455282748</v>
          </cell>
          <cell r="AM80">
            <v>41011034.835106075</v>
          </cell>
          <cell r="AN80">
            <v>41811568.626674652</v>
          </cell>
          <cell r="AO80">
            <v>42663886.991998434</v>
          </cell>
          <cell r="AP80">
            <v>43699330.541134953</v>
          </cell>
        </row>
        <row r="133">
          <cell r="C133">
            <v>2152722</v>
          </cell>
          <cell r="D133">
            <v>3704631</v>
          </cell>
          <cell r="E133">
            <v>874975</v>
          </cell>
          <cell r="F133">
            <v>10094471</v>
          </cell>
          <cell r="G133">
            <v>17338629</v>
          </cell>
          <cell r="H133">
            <v>11522833</v>
          </cell>
          <cell r="I133">
            <v>18110934</v>
          </cell>
          <cell r="J133">
            <v>13358879</v>
          </cell>
          <cell r="K133">
            <v>33505471</v>
          </cell>
          <cell r="L133">
            <v>37832200</v>
          </cell>
          <cell r="M133">
            <v>41671282</v>
          </cell>
          <cell r="N133">
            <v>82989690</v>
          </cell>
          <cell r="O133">
            <v>144619899</v>
          </cell>
          <cell r="P133">
            <v>225009486</v>
          </cell>
          <cell r="Q133">
            <v>211951267</v>
          </cell>
          <cell r="R133">
            <v>167363506.03565693</v>
          </cell>
          <cell r="S133">
            <v>184113019.90570003</v>
          </cell>
          <cell r="AA133">
            <v>260094530.44331792</v>
          </cell>
          <cell r="AB133">
            <v>281964617.45584697</v>
          </cell>
          <cell r="AC133">
            <v>321357396.38182151</v>
          </cell>
          <cell r="AD133">
            <v>354497325.15878499</v>
          </cell>
          <cell r="AE133">
            <v>354726053.95795661</v>
          </cell>
          <cell r="AF133">
            <v>310498367.83100873</v>
          </cell>
          <cell r="AG133">
            <v>329087679.74111909</v>
          </cell>
          <cell r="AH133">
            <v>347929757.7010892</v>
          </cell>
          <cell r="AI133">
            <v>378167244.38818866</v>
          </cell>
          <cell r="AJ133">
            <v>385634947.27047312</v>
          </cell>
          <cell r="AK133">
            <v>383390369.26658916</v>
          </cell>
          <cell r="AL133">
            <v>364780856.08891368</v>
          </cell>
          <cell r="AM133">
            <v>380537041.97759515</v>
          </cell>
          <cell r="AN133">
            <v>394162753.34874737</v>
          </cell>
          <cell r="AO133">
            <v>408416513.60872501</v>
          </cell>
          <cell r="AP133">
            <v>426560134.73594898</v>
          </cell>
        </row>
        <row r="134">
          <cell r="C134">
            <v>236655</v>
          </cell>
          <cell r="D134">
            <v>1466603</v>
          </cell>
          <cell r="E134">
            <v>709570</v>
          </cell>
          <cell r="F134">
            <v>11769916</v>
          </cell>
          <cell r="G134">
            <v>13090383</v>
          </cell>
          <cell r="H134">
            <v>7052579</v>
          </cell>
          <cell r="I134">
            <v>20685125</v>
          </cell>
          <cell r="J134">
            <v>20164577</v>
          </cell>
          <cell r="K134">
            <v>37825609</v>
          </cell>
          <cell r="L134">
            <v>33947857</v>
          </cell>
          <cell r="M134">
            <v>46693788</v>
          </cell>
          <cell r="N134">
            <v>96681669</v>
          </cell>
          <cell r="O134">
            <v>138971779</v>
          </cell>
          <cell r="P134">
            <v>226138432</v>
          </cell>
          <cell r="Q134">
            <v>181467123</v>
          </cell>
          <cell r="R134">
            <v>184551993.80017194</v>
          </cell>
          <cell r="S134">
            <v>203021708.33424437</v>
          </cell>
          <cell r="AA134">
            <v>286806636.08712399</v>
          </cell>
          <cell r="AB134">
            <v>310922814.44852602</v>
          </cell>
          <cell r="AC134">
            <v>354361291.95370638</v>
          </cell>
          <cell r="AD134">
            <v>390904742.04659146</v>
          </cell>
          <cell r="AE134">
            <v>391156961.64288533</v>
          </cell>
          <cell r="AF134">
            <v>342387024.58051616</v>
          </cell>
          <cell r="AG134">
            <v>362885487.22417772</v>
          </cell>
          <cell r="AH134">
            <v>383662675.37719071</v>
          </cell>
          <cell r="AI134">
            <v>417005598.14328915</v>
          </cell>
          <cell r="AJ134">
            <v>425240245.52059293</v>
          </cell>
          <cell r="AK134">
            <v>422765145.92648822</v>
          </cell>
          <cell r="AL134">
            <v>402244407.31421942</v>
          </cell>
          <cell r="AM134">
            <v>419618777.56565756</v>
          </cell>
          <cell r="AN134">
            <v>434643870.3117193</v>
          </cell>
          <cell r="AO134">
            <v>450361513.52700961</v>
          </cell>
          <cell r="AP134">
            <v>470368512.26346481</v>
          </cell>
        </row>
        <row r="135">
          <cell r="C135">
            <v>2386369</v>
          </cell>
          <cell r="D135">
            <v>4704556</v>
          </cell>
          <cell r="E135">
            <v>1180027</v>
          </cell>
          <cell r="F135">
            <v>14214810</v>
          </cell>
          <cell r="G135">
            <v>15408481</v>
          </cell>
          <cell r="H135">
            <v>17471358</v>
          </cell>
          <cell r="I135">
            <v>15398643</v>
          </cell>
          <cell r="J135">
            <v>22796002</v>
          </cell>
          <cell r="K135">
            <v>32865031</v>
          </cell>
          <cell r="L135">
            <v>41664100</v>
          </cell>
          <cell r="M135">
            <v>55155941</v>
          </cell>
          <cell r="N135">
            <v>105277299</v>
          </cell>
          <cell r="O135">
            <v>174387031</v>
          </cell>
          <cell r="P135">
            <v>209952339</v>
          </cell>
          <cell r="Q135">
            <v>222828169</v>
          </cell>
          <cell r="R135">
            <v>194381009.33101276</v>
          </cell>
          <cell r="S135">
            <v>213834398.47768328</v>
          </cell>
          <cell r="AA135">
            <v>302081609.94354802</v>
          </cell>
          <cell r="AB135">
            <v>327482186.73803008</v>
          </cell>
          <cell r="AC135">
            <v>373234144.9119525</v>
          </cell>
          <cell r="AD135">
            <v>411723854.86969918</v>
          </cell>
          <cell r="AE135">
            <v>411989507.37602627</v>
          </cell>
          <cell r="AF135">
            <v>360622142.57010639</v>
          </cell>
          <cell r="AG135">
            <v>382212328.49203867</v>
          </cell>
          <cell r="AH135">
            <v>404096084.50616229</v>
          </cell>
          <cell r="AI135">
            <v>439214810.93042368</v>
          </cell>
          <cell r="AJ135">
            <v>447888025.64745587</v>
          </cell>
          <cell r="AK135">
            <v>445281105.24854761</v>
          </cell>
          <cell r="AL135">
            <v>423667456.9669165</v>
          </cell>
          <cell r="AM135">
            <v>441967165.12190968</v>
          </cell>
          <cell r="AN135">
            <v>457792476.09868467</v>
          </cell>
          <cell r="AO135">
            <v>474347221.94337583</v>
          </cell>
          <cell r="AP135">
            <v>495419769.18601006</v>
          </cell>
        </row>
        <row r="136">
          <cell r="C136">
            <v>1687259</v>
          </cell>
          <cell r="D136">
            <v>3182046</v>
          </cell>
          <cell r="E136">
            <v>1023827</v>
          </cell>
          <cell r="F136">
            <v>12757417</v>
          </cell>
          <cell r="G136">
            <v>15174584</v>
          </cell>
          <cell r="H136">
            <v>20862107</v>
          </cell>
          <cell r="I136">
            <v>20068138</v>
          </cell>
          <cell r="J136">
            <v>24720243</v>
          </cell>
          <cell r="K136">
            <v>35561760</v>
          </cell>
          <cell r="L136">
            <v>35556621</v>
          </cell>
          <cell r="M136">
            <v>47578471</v>
          </cell>
          <cell r="N136">
            <v>101188242</v>
          </cell>
          <cell r="O136">
            <v>169520733</v>
          </cell>
          <cell r="P136">
            <v>279120152</v>
          </cell>
          <cell r="Q136">
            <v>197526811.40333843</v>
          </cell>
          <cell r="R136">
            <v>188734385.3867617</v>
          </cell>
          <cell r="S136">
            <v>207622668.02775827</v>
          </cell>
          <cell r="AA136">
            <v>293306363.54630131</v>
          </cell>
          <cell r="AB136">
            <v>317969072.45122391</v>
          </cell>
          <cell r="AC136">
            <v>362391970.22253615</v>
          </cell>
          <cell r="AD136">
            <v>399763582.69430584</v>
          </cell>
          <cell r="AE136">
            <v>400021518.19263792</v>
          </cell>
          <cell r="AF136">
            <v>350146337.18113518</v>
          </cell>
          <cell r="AG136">
            <v>371109344.23818147</v>
          </cell>
          <cell r="AH136">
            <v>392357393.39429069</v>
          </cell>
          <cell r="AI136">
            <v>426455946.90041918</v>
          </cell>
          <cell r="AJ136">
            <v>434877211.17196608</v>
          </cell>
          <cell r="AK136">
            <v>432346019.87435168</v>
          </cell>
          <cell r="AL136">
            <v>411360232.02172905</v>
          </cell>
          <cell r="AM136">
            <v>429128347.24695808</v>
          </cell>
          <cell r="AN136">
            <v>444493944.69413352</v>
          </cell>
          <cell r="AO136">
            <v>460567787.4681012</v>
          </cell>
          <cell r="AP136">
            <v>481028192.86500603</v>
          </cell>
        </row>
        <row r="137">
          <cell r="C137">
            <v>3145024</v>
          </cell>
          <cell r="D137">
            <v>3357746</v>
          </cell>
          <cell r="E137">
            <v>966739</v>
          </cell>
          <cell r="F137">
            <v>15457184</v>
          </cell>
          <cell r="G137">
            <v>15400093</v>
          </cell>
          <cell r="H137">
            <v>21624392</v>
          </cell>
          <cell r="I137">
            <v>24025408</v>
          </cell>
          <cell r="J137">
            <v>21078019</v>
          </cell>
          <cell r="K137">
            <v>36914619</v>
          </cell>
          <cell r="L137">
            <v>42165050</v>
          </cell>
          <cell r="M137">
            <v>57822332</v>
          </cell>
          <cell r="N137">
            <v>127392352</v>
          </cell>
          <cell r="O137">
            <v>222124396</v>
          </cell>
          <cell r="P137">
            <v>218975034</v>
          </cell>
          <cell r="Q137">
            <v>193874942.81081852</v>
          </cell>
          <cell r="R137">
            <v>210834210.38909155</v>
          </cell>
          <cell r="S137">
            <v>231934213.69829154</v>
          </cell>
          <cell r="AA137">
            <v>327651028.89787358</v>
          </cell>
          <cell r="AB137">
            <v>355201614.06215012</v>
          </cell>
          <cell r="AC137">
            <v>404826204.49180114</v>
          </cell>
          <cell r="AD137">
            <v>446573840.41042984</v>
          </cell>
          <cell r="AE137">
            <v>446861978.82787144</v>
          </cell>
          <cell r="AF137">
            <v>391146670.8567</v>
          </cell>
          <cell r="AG137">
            <v>414564338.13124698</v>
          </cell>
          <cell r="AH137">
            <v>438300424.46737844</v>
          </cell>
          <cell r="AI137">
            <v>476391743.06384158</v>
          </cell>
          <cell r="AJ137">
            <v>485799094.03240544</v>
          </cell>
          <cell r="AK137">
            <v>482971513.26336503</v>
          </cell>
          <cell r="AL137">
            <v>459528397.67934579</v>
          </cell>
          <cell r="AM137">
            <v>479377067.73454988</v>
          </cell>
          <cell r="AN137">
            <v>496541897.54705685</v>
          </cell>
          <cell r="AO137">
            <v>514497904.56836981</v>
          </cell>
          <cell r="AP137">
            <v>537354118.11555803</v>
          </cell>
        </row>
        <row r="138">
          <cell r="C138">
            <v>3743400</v>
          </cell>
          <cell r="D138">
            <v>3082194</v>
          </cell>
          <cell r="E138">
            <v>1599659</v>
          </cell>
          <cell r="F138">
            <v>14888020</v>
          </cell>
          <cell r="G138">
            <v>13875936</v>
          </cell>
          <cell r="H138">
            <v>22043211</v>
          </cell>
          <cell r="I138">
            <v>17375071</v>
          </cell>
          <cell r="J138">
            <v>11453319</v>
          </cell>
          <cell r="K138">
            <v>37285265</v>
          </cell>
          <cell r="L138">
            <v>49854880</v>
          </cell>
          <cell r="M138">
            <v>64658005</v>
          </cell>
          <cell r="N138">
            <v>111675640</v>
          </cell>
          <cell r="O138">
            <v>192695635</v>
          </cell>
          <cell r="P138">
            <v>276399741</v>
          </cell>
          <cell r="Q138">
            <v>190309892.98933783</v>
          </cell>
          <cell r="R138">
            <v>209114517.14255437</v>
          </cell>
          <cell r="S138">
            <v>230042415.87192467</v>
          </cell>
          <cell r="AA138">
            <v>324978505.96823716</v>
          </cell>
          <cell r="AB138">
            <v>352304371.64720011</v>
          </cell>
          <cell r="AC138">
            <v>401524193.45383418</v>
          </cell>
          <cell r="AD138">
            <v>442931310.02593148</v>
          </cell>
          <cell r="AE138">
            <v>443217098.20955843</v>
          </cell>
          <cell r="AF138">
            <v>387956238.49263352</v>
          </cell>
          <cell r="AG138">
            <v>411182896.89728516</v>
          </cell>
          <cell r="AH138">
            <v>434725377.14218438</v>
          </cell>
          <cell r="AI138">
            <v>472505999.56073052</v>
          </cell>
          <cell r="AJ138">
            <v>481836618.39982361</v>
          </cell>
          <cell r="AK138">
            <v>479032101.11532676</v>
          </cell>
          <cell r="AL138">
            <v>455780201.9732371</v>
          </cell>
          <cell r="AM138">
            <v>475466974.09079766</v>
          </cell>
          <cell r="AN138">
            <v>492491797.0142327</v>
          </cell>
          <cell r="AO138">
            <v>510301343.8194719</v>
          </cell>
          <cell r="AP138">
            <v>532971128.05802953</v>
          </cell>
        </row>
        <row r="139">
          <cell r="C139">
            <v>5655935</v>
          </cell>
          <cell r="D139">
            <v>5724257</v>
          </cell>
          <cell r="E139">
            <v>11354803</v>
          </cell>
          <cell r="F139">
            <v>12613289</v>
          </cell>
          <cell r="G139">
            <v>15045067</v>
          </cell>
          <cell r="H139">
            <v>19094815</v>
          </cell>
          <cell r="I139">
            <v>19135415</v>
          </cell>
          <cell r="J139">
            <v>8063694</v>
          </cell>
          <cell r="K139">
            <v>43179249</v>
          </cell>
          <cell r="L139">
            <v>43059759</v>
          </cell>
          <cell r="M139">
            <v>64256004</v>
          </cell>
          <cell r="N139">
            <v>104188807</v>
          </cell>
          <cell r="O139">
            <v>178359770</v>
          </cell>
          <cell r="P139">
            <v>285699486</v>
          </cell>
          <cell r="Q139">
            <v>187398408.05446762</v>
          </cell>
          <cell r="R139">
            <v>204816536.25140023</v>
          </cell>
          <cell r="S139">
            <v>225314298.85220358</v>
          </cell>
          <cell r="AA139">
            <v>318299144.68919629</v>
          </cell>
          <cell r="AB139">
            <v>345063375.28836048</v>
          </cell>
          <cell r="AC139">
            <v>393271570.27691621</v>
          </cell>
          <cell r="AD139">
            <v>433827636.43789667</v>
          </cell>
          <cell r="AE139">
            <v>434107550.74835151</v>
          </cell>
          <cell r="AF139">
            <v>379982480.752473</v>
          </cell>
          <cell r="AG139">
            <v>402731756.06888831</v>
          </cell>
          <cell r="AH139">
            <v>425790362.06342179</v>
          </cell>
          <cell r="AI139">
            <v>462794470.27611709</v>
          </cell>
          <cell r="AJ139">
            <v>471933314.66539657</v>
          </cell>
          <cell r="AK139">
            <v>469186439.29817253</v>
          </cell>
          <cell r="AL139">
            <v>446412442.02325743</v>
          </cell>
          <cell r="AM139">
            <v>465694587.18556893</v>
          </cell>
          <cell r="AN139">
            <v>482369494.83482754</v>
          </cell>
          <cell r="AO139">
            <v>499812997.74749064</v>
          </cell>
          <cell r="AP139">
            <v>522016844.46628493</v>
          </cell>
        </row>
        <row r="140">
          <cell r="C140">
            <v>7299417</v>
          </cell>
          <cell r="D140">
            <v>4247553</v>
          </cell>
          <cell r="E140">
            <v>8889819</v>
          </cell>
          <cell r="F140">
            <v>1554513</v>
          </cell>
          <cell r="G140">
            <v>14655372</v>
          </cell>
          <cell r="H140">
            <v>24325149</v>
          </cell>
          <cell r="I140">
            <v>24232162</v>
          </cell>
          <cell r="J140">
            <v>13886150</v>
          </cell>
          <cell r="K140">
            <v>26567329</v>
          </cell>
          <cell r="L140">
            <v>40277987</v>
          </cell>
          <cell r="M140">
            <v>74651823</v>
          </cell>
          <cell r="N140">
            <v>114997212</v>
          </cell>
          <cell r="O140">
            <v>228402500</v>
          </cell>
          <cell r="P140">
            <v>251626126</v>
          </cell>
          <cell r="Q140">
            <v>190065868.83781767</v>
          </cell>
          <cell r="R140">
            <v>207747570.2872304</v>
          </cell>
          <cell r="S140">
            <v>228538666.81966308</v>
          </cell>
          <cell r="AA140">
            <v>322854175.46812975</v>
          </cell>
          <cell r="AB140">
            <v>350001416.5031929</v>
          </cell>
          <cell r="AC140">
            <v>398899496.51228207</v>
          </cell>
          <cell r="AD140">
            <v>440035941.64291418</v>
          </cell>
          <cell r="AE140">
            <v>440319861.67666698</v>
          </cell>
          <cell r="AF140">
            <v>385420233.01842099</v>
          </cell>
          <cell r="AG140">
            <v>408495062.61606413</v>
          </cell>
          <cell r="AH140">
            <v>431883649.57905716</v>
          </cell>
          <cell r="AI140">
            <v>469417306.34589767</v>
          </cell>
          <cell r="AJ140">
            <v>478686932.47987109</v>
          </cell>
          <cell r="AK140">
            <v>475900747.8589077</v>
          </cell>
          <cell r="AL140">
            <v>452800842.51833361</v>
          </cell>
          <cell r="AM140">
            <v>472358925.47741157</v>
          </cell>
          <cell r="AN140">
            <v>489272459.9619776</v>
          </cell>
          <cell r="AO140">
            <v>506965588.71871006</v>
          </cell>
          <cell r="AP140">
            <v>529487184.34416127</v>
          </cell>
        </row>
        <row r="141">
          <cell r="C141">
            <v>4009508</v>
          </cell>
          <cell r="D141">
            <v>2698792</v>
          </cell>
          <cell r="E141">
            <v>9767985</v>
          </cell>
          <cell r="F141">
            <v>5323420</v>
          </cell>
          <cell r="G141">
            <v>13475904</v>
          </cell>
          <cell r="H141">
            <v>18860534</v>
          </cell>
          <cell r="I141">
            <v>21583936</v>
          </cell>
          <cell r="J141">
            <v>28618283</v>
          </cell>
          <cell r="K141">
            <v>37653169</v>
          </cell>
          <cell r="L141">
            <v>44831236</v>
          </cell>
          <cell r="M141">
            <v>49922849</v>
          </cell>
          <cell r="N141">
            <v>118717748</v>
          </cell>
          <cell r="O141">
            <v>226606008</v>
          </cell>
          <cell r="P141">
            <v>251116801</v>
          </cell>
          <cell r="Q141">
            <v>193511743.0486123</v>
          </cell>
          <cell r="R141">
            <v>211533933.20513019</v>
          </cell>
          <cell r="S141">
            <v>232703963.82966334</v>
          </cell>
          <cell r="AA141">
            <v>328738446.82779711</v>
          </cell>
          <cell r="AB141">
            <v>356380467.68934071</v>
          </cell>
          <cell r="AC141">
            <v>406169753.67810476</v>
          </cell>
          <cell r="AD141">
            <v>448055942.8861357</v>
          </cell>
          <cell r="AE141">
            <v>448345037.5858832</v>
          </cell>
          <cell r="AF141">
            <v>392444820.00199711</v>
          </cell>
          <cell r="AG141">
            <v>415940206.52362531</v>
          </cell>
          <cell r="AH141">
            <v>439755068.8854416</v>
          </cell>
          <cell r="AI141">
            <v>477972806.07718748</v>
          </cell>
          <cell r="AJ141">
            <v>487411378.44051003</v>
          </cell>
          <cell r="AK141">
            <v>484574413.412745</v>
          </cell>
          <cell r="AL141">
            <v>461053494.12304205</v>
          </cell>
          <cell r="AM141">
            <v>480968038.53174889</v>
          </cell>
          <cell r="AN141">
            <v>498189835.48934621</v>
          </cell>
          <cell r="AO141">
            <v>516205435.43808097</v>
          </cell>
          <cell r="AP141">
            <v>539137504.86310661</v>
          </cell>
        </row>
        <row r="142">
          <cell r="C142">
            <v>5768104</v>
          </cell>
          <cell r="D142">
            <v>2734414</v>
          </cell>
          <cell r="E142">
            <v>11053064</v>
          </cell>
          <cell r="F142">
            <v>13879279</v>
          </cell>
          <cell r="G142">
            <v>13037453</v>
          </cell>
          <cell r="H142">
            <v>20108545</v>
          </cell>
          <cell r="I142">
            <v>25021680</v>
          </cell>
          <cell r="J142">
            <v>35905766</v>
          </cell>
          <cell r="K142">
            <v>46592429</v>
          </cell>
          <cell r="L142">
            <v>20889246</v>
          </cell>
          <cell r="M142">
            <v>72254487</v>
          </cell>
          <cell r="N142">
            <v>107988833</v>
          </cell>
          <cell r="O142">
            <v>207126963</v>
          </cell>
          <cell r="P142">
            <v>284446069</v>
          </cell>
          <cell r="Q142">
            <v>211544890.34916314</v>
          </cell>
          <cell r="R142">
            <v>232447756.1543175</v>
          </cell>
          <cell r="S142">
            <v>255710813.96178031</v>
          </cell>
          <cell r="AA142">
            <v>361239982.48865175</v>
          </cell>
          <cell r="AB142">
            <v>391614899.77724504</v>
          </cell>
          <cell r="AC142">
            <v>446326726.07033795</v>
          </cell>
          <cell r="AD142">
            <v>492354096.46778798</v>
          </cell>
          <cell r="AE142">
            <v>492671773.22656715</v>
          </cell>
          <cell r="AF142">
            <v>431244843.0455265</v>
          </cell>
          <cell r="AG142">
            <v>457063158.7841875</v>
          </cell>
          <cell r="AH142">
            <v>483232536.12829411</v>
          </cell>
          <cell r="AI142">
            <v>525228763.97180539</v>
          </cell>
          <cell r="AJ142">
            <v>535600504.02273577</v>
          </cell>
          <cell r="AK142">
            <v>532483055.4649539</v>
          </cell>
          <cell r="AL142">
            <v>506636682.59825939</v>
          </cell>
          <cell r="AM142">
            <v>528520127.45507324</v>
          </cell>
          <cell r="AN142">
            <v>547444599.75643575</v>
          </cell>
          <cell r="AO142">
            <v>567241356.33542073</v>
          </cell>
          <cell r="AP142">
            <v>592440661.2462461</v>
          </cell>
        </row>
        <row r="143">
          <cell r="C143">
            <v>3700399</v>
          </cell>
          <cell r="D143">
            <v>3675591</v>
          </cell>
          <cell r="E143">
            <v>11258442</v>
          </cell>
          <cell r="F143">
            <v>15943396</v>
          </cell>
          <cell r="G143">
            <v>12344252</v>
          </cell>
          <cell r="H143">
            <v>26977711</v>
          </cell>
          <cell r="I143">
            <v>22579304</v>
          </cell>
          <cell r="J143">
            <v>36871698</v>
          </cell>
          <cell r="K143">
            <v>40119894</v>
          </cell>
          <cell r="L143">
            <v>43128210</v>
          </cell>
          <cell r="M143">
            <v>101107386</v>
          </cell>
          <cell r="N143">
            <v>163685380</v>
          </cell>
          <cell r="O143">
            <v>201017950</v>
          </cell>
          <cell r="P143">
            <v>254007376</v>
          </cell>
          <cell r="Q143">
            <v>229022357.08691242</v>
          </cell>
          <cell r="R143">
            <v>282418876.1436699</v>
          </cell>
          <cell r="S143">
            <v>310682976.21649331</v>
          </cell>
          <cell r="AA143">
            <v>438898579.02037263</v>
          </cell>
          <cell r="AB143">
            <v>475803430.86977649</v>
          </cell>
          <cell r="AC143">
            <v>542277088.21583819</v>
          </cell>
          <cell r="AD143">
            <v>598199323.96702552</v>
          </cell>
          <cell r="AE143">
            <v>598585294.19395173</v>
          </cell>
          <cell r="AF143">
            <v>523952934.33082581</v>
          </cell>
          <cell r="AG143">
            <v>555321616.20355725</v>
          </cell>
          <cell r="AH143">
            <v>587116830.15260339</v>
          </cell>
          <cell r="AI143">
            <v>638141316.9708972</v>
          </cell>
          <cell r="AJ143">
            <v>650742751.44933295</v>
          </cell>
          <cell r="AK143">
            <v>646955120.48790538</v>
          </cell>
          <cell r="AL143">
            <v>615552349.82594168</v>
          </cell>
          <cell r="AM143">
            <v>642140250.71542311</v>
          </cell>
          <cell r="AN143">
            <v>665133065.47683811</v>
          </cell>
          <cell r="AO143">
            <v>689185686.3187232</v>
          </cell>
          <cell r="AP143">
            <v>719802283.74370444</v>
          </cell>
        </row>
        <row r="144">
          <cell r="C144">
            <v>5536882</v>
          </cell>
          <cell r="D144">
            <v>1617101</v>
          </cell>
          <cell r="E144">
            <v>13328506</v>
          </cell>
          <cell r="F144">
            <v>22040473</v>
          </cell>
          <cell r="G144">
            <v>13021687</v>
          </cell>
          <cell r="H144">
            <v>26878185</v>
          </cell>
          <cell r="I144">
            <v>24979072</v>
          </cell>
          <cell r="J144">
            <v>44959932</v>
          </cell>
          <cell r="K144">
            <v>49773555</v>
          </cell>
          <cell r="L144">
            <v>49704530</v>
          </cell>
          <cell r="M144">
            <v>107217732</v>
          </cell>
          <cell r="N144">
            <v>144586770</v>
          </cell>
          <cell r="O144">
            <v>271248613</v>
          </cell>
          <cell r="P144">
            <v>307690828</v>
          </cell>
          <cell r="Q144">
            <v>279923412.01707482</v>
          </cell>
          <cell r="R144">
            <v>320452443.0538559</v>
          </cell>
          <cell r="S144">
            <v>352522891.1865344</v>
          </cell>
          <cell r="AA144">
            <v>498005387.67244387</v>
          </cell>
          <cell r="AB144">
            <v>539880244.25839615</v>
          </cell>
          <cell r="AC144">
            <v>615305960.08212948</v>
          </cell>
          <cell r="AD144">
            <v>678759286.26272488</v>
          </cell>
          <cell r="AE144">
            <v>679197235.39648533</v>
          </cell>
          <cell r="AF144">
            <v>594514078.32292271</v>
          </cell>
          <cell r="AG144">
            <v>630107204.6704073</v>
          </cell>
          <cell r="AH144">
            <v>666184304.49644184</v>
          </cell>
          <cell r="AI144">
            <v>724080298.13453579</v>
          </cell>
          <cell r="AJ144">
            <v>738378777.47039795</v>
          </cell>
          <cell r="AK144">
            <v>734081063.3390007</v>
          </cell>
          <cell r="AL144">
            <v>698449257.43886375</v>
          </cell>
          <cell r="AM144">
            <v>728617771.35708332</v>
          </cell>
          <cell r="AN144">
            <v>754707046.13782406</v>
          </cell>
          <cell r="AO144">
            <v>781998851.89768124</v>
          </cell>
          <cell r="AP144">
            <v>816738610.00733471</v>
          </cell>
        </row>
        <row r="197">
          <cell r="C197">
            <v>0</v>
          </cell>
          <cell r="D197">
            <v>0</v>
          </cell>
          <cell r="E197">
            <v>7009715</v>
          </cell>
          <cell r="F197">
            <v>13410514</v>
          </cell>
          <cell r="G197">
            <v>9899510</v>
          </cell>
          <cell r="H197">
            <v>8004157</v>
          </cell>
          <cell r="I197">
            <v>20440663</v>
          </cell>
          <cell r="J197">
            <v>15697294</v>
          </cell>
          <cell r="K197">
            <v>16293805</v>
          </cell>
          <cell r="L197">
            <v>22255917</v>
          </cell>
          <cell r="M197">
            <v>29766577</v>
          </cell>
          <cell r="N197">
            <v>34682153</v>
          </cell>
          <cell r="O197">
            <v>37899137</v>
          </cell>
          <cell r="P197">
            <v>24232960</v>
          </cell>
          <cell r="Q197">
            <v>0</v>
          </cell>
          <cell r="R197">
            <v>19880459.240872473</v>
          </cell>
          <cell r="S197">
            <v>17883204.211857177</v>
          </cell>
          <cell r="AA197">
            <v>9407592.2566096038</v>
          </cell>
          <cell r="AB197">
            <v>4010331.5208647889</v>
          </cell>
          <cell r="AC197">
            <v>2708206.4522907496</v>
          </cell>
          <cell r="AD197">
            <v>2638676.0055625509</v>
          </cell>
          <cell r="AE197">
            <v>2599937.2857147027</v>
          </cell>
          <cell r="AF197">
            <v>2613220.0712804459</v>
          </cell>
          <cell r="AG197">
            <v>2673554.3472431935</v>
          </cell>
          <cell r="AH197">
            <v>2644696.5234150314</v>
          </cell>
          <cell r="AI197">
            <v>2630583.2058870941</v>
          </cell>
          <cell r="AJ197">
            <v>2628465.4639159464</v>
          </cell>
          <cell r="AK197">
            <v>2637622.6569188139</v>
          </cell>
          <cell r="AL197">
            <v>2649158.4246751345</v>
          </cell>
          <cell r="AM197">
            <v>2646718.8324183286</v>
          </cell>
          <cell r="AN197">
            <v>2634016.8466431848</v>
          </cell>
          <cell r="AO197">
            <v>2632398.2867080937</v>
          </cell>
          <cell r="AP197">
            <v>2638103.9223483424</v>
          </cell>
        </row>
        <row r="198">
          <cell r="C198">
            <v>0</v>
          </cell>
          <cell r="D198">
            <v>0</v>
          </cell>
          <cell r="E198">
            <v>0</v>
          </cell>
          <cell r="F198">
            <v>18928695</v>
          </cell>
          <cell r="G198">
            <v>8259742</v>
          </cell>
          <cell r="H198">
            <v>12536147</v>
          </cell>
          <cell r="I198">
            <v>9904741</v>
          </cell>
          <cell r="J198">
            <v>12330044</v>
          </cell>
          <cell r="K198">
            <v>21173236</v>
          </cell>
          <cell r="L198">
            <v>28371747</v>
          </cell>
          <cell r="M198">
            <v>29679663</v>
          </cell>
          <cell r="N198">
            <v>30274954</v>
          </cell>
          <cell r="O198">
            <v>27487584</v>
          </cell>
          <cell r="P198">
            <v>56213823</v>
          </cell>
          <cell r="Q198">
            <v>0</v>
          </cell>
          <cell r="R198">
            <v>23468739.279069103</v>
          </cell>
          <cell r="S198">
            <v>22370115.195129227</v>
          </cell>
          <cell r="AA198">
            <v>12729704.789368644</v>
          </cell>
          <cell r="AB198">
            <v>5455295.6421531457</v>
          </cell>
          <cell r="AC198">
            <v>3675795.7526408397</v>
          </cell>
          <cell r="AD198">
            <v>3662377.0003308752</v>
          </cell>
          <cell r="AE198">
            <v>3635404.9038741626</v>
          </cell>
          <cell r="AF198">
            <v>3536029.1081579574</v>
          </cell>
          <cell r="AG198">
            <v>3636863.7614354319</v>
          </cell>
          <cell r="AH198">
            <v>3629859.0119569371</v>
          </cell>
          <cell r="AI198">
            <v>3619650.8473605146</v>
          </cell>
          <cell r="AJ198">
            <v>3608470.1718168682</v>
          </cell>
          <cell r="AK198">
            <v>3599824.4553540335</v>
          </cell>
          <cell r="AL198">
            <v>3629982.2558467248</v>
          </cell>
          <cell r="AM198">
            <v>3629294.1052878527</v>
          </cell>
          <cell r="AN198">
            <v>3620106.7571510724</v>
          </cell>
          <cell r="AO198">
            <v>3611561.5265570008</v>
          </cell>
          <cell r="AP198">
            <v>3606174.580145542</v>
          </cell>
        </row>
        <row r="199">
          <cell r="C199">
            <v>0</v>
          </cell>
          <cell r="D199">
            <v>3118428</v>
          </cell>
          <cell r="E199">
            <v>12720318</v>
          </cell>
          <cell r="F199">
            <v>22679265</v>
          </cell>
          <cell r="G199">
            <v>8280245</v>
          </cell>
          <cell r="H199">
            <v>12145761</v>
          </cell>
          <cell r="I199">
            <v>16616859</v>
          </cell>
          <cell r="J199">
            <v>17342172</v>
          </cell>
          <cell r="K199">
            <v>19249929</v>
          </cell>
          <cell r="L199">
            <v>28001490</v>
          </cell>
          <cell r="M199">
            <v>38322965</v>
          </cell>
          <cell r="N199">
            <v>40479902</v>
          </cell>
          <cell r="O199">
            <v>35663809</v>
          </cell>
          <cell r="P199">
            <v>26633514</v>
          </cell>
          <cell r="Q199">
            <v>7434618</v>
          </cell>
          <cell r="R199">
            <v>23866352.757887889</v>
          </cell>
          <cell r="S199">
            <v>21043662.833512601</v>
          </cell>
          <cell r="AA199">
            <v>11680433.871721221</v>
          </cell>
          <cell r="AB199">
            <v>4923077.0724127758</v>
          </cell>
          <cell r="AC199">
            <v>3295795.0788801303</v>
          </cell>
          <cell r="AD199">
            <v>3241799.6592957973</v>
          </cell>
          <cell r="AE199">
            <v>3234118.8962640604</v>
          </cell>
          <cell r="AF199">
            <v>3244564.9643670064</v>
          </cell>
          <cell r="AG199">
            <v>3282051.3816085178</v>
          </cell>
          <cell r="AH199">
            <v>3257476.2419108585</v>
          </cell>
          <cell r="AI199">
            <v>3248960.9448065762</v>
          </cell>
          <cell r="AJ199">
            <v>3250834.9260617332</v>
          </cell>
          <cell r="AK199">
            <v>3256200.565256048</v>
          </cell>
          <cell r="AL199">
            <v>3261701.031130868</v>
          </cell>
          <cell r="AM199">
            <v>3259665.9960831022</v>
          </cell>
          <cell r="AN199">
            <v>3252002.2286892487</v>
          </cell>
          <cell r="AO199">
            <v>3253434.4857914038</v>
          </cell>
          <cell r="AP199">
            <v>3256777.6917509385</v>
          </cell>
        </row>
        <row r="200">
          <cell r="C200">
            <v>0</v>
          </cell>
          <cell r="D200">
            <v>648881</v>
          </cell>
          <cell r="E200">
            <v>8588729</v>
          </cell>
          <cell r="F200">
            <v>22278930</v>
          </cell>
          <cell r="G200">
            <v>10763699</v>
          </cell>
          <cell r="H200">
            <v>18209561</v>
          </cell>
          <cell r="I200">
            <v>17674969</v>
          </cell>
          <cell r="J200">
            <v>18440208</v>
          </cell>
          <cell r="K200">
            <v>24565160</v>
          </cell>
          <cell r="L200">
            <v>26769651</v>
          </cell>
          <cell r="M200">
            <v>36880618</v>
          </cell>
          <cell r="N200">
            <v>38095913</v>
          </cell>
          <cell r="O200">
            <v>36446221</v>
          </cell>
          <cell r="P200">
            <v>27627664</v>
          </cell>
          <cell r="Q200">
            <v>18783896.830137823</v>
          </cell>
          <cell r="R200">
            <v>25636030.997711245</v>
          </cell>
          <cell r="S200">
            <v>23651913.529208843</v>
          </cell>
          <cell r="AA200">
            <v>13897794.735590452</v>
          </cell>
          <cell r="AB200">
            <v>5790880.3866501004</v>
          </cell>
          <cell r="AC200">
            <v>3862309.5878242264</v>
          </cell>
          <cell r="AD200">
            <v>3841966.7792172688</v>
          </cell>
          <cell r="AE200">
            <v>3855519.5921935472</v>
          </cell>
          <cell r="AF200">
            <v>3860498.5376640153</v>
          </cell>
          <cell r="AG200">
            <v>3860586.9244334013</v>
          </cell>
          <cell r="AH200">
            <v>3855591.379785446</v>
          </cell>
          <cell r="AI200">
            <v>3854098.4446657165</v>
          </cell>
          <cell r="AJ200">
            <v>3857273.0860914784</v>
          </cell>
          <cell r="AK200">
            <v>3857835.9359846418</v>
          </cell>
          <cell r="AL200">
            <v>3856577.2515543932</v>
          </cell>
          <cell r="AM200">
            <v>3856176.2842664924</v>
          </cell>
          <cell r="AN200">
            <v>3854832.6426587361</v>
          </cell>
          <cell r="AO200">
            <v>3857258.9757484249</v>
          </cell>
          <cell r="AP200">
            <v>3857609.6745280121</v>
          </cell>
        </row>
        <row r="201">
          <cell r="C201">
            <v>0</v>
          </cell>
          <cell r="D201">
            <v>3437634</v>
          </cell>
          <cell r="E201">
            <v>10289247</v>
          </cell>
          <cell r="F201">
            <v>19246073</v>
          </cell>
          <cell r="G201">
            <v>18662279</v>
          </cell>
          <cell r="H201">
            <v>15120606</v>
          </cell>
          <cell r="I201">
            <v>20849205</v>
          </cell>
          <cell r="J201">
            <v>24130252</v>
          </cell>
          <cell r="K201">
            <v>29546118</v>
          </cell>
          <cell r="L201">
            <v>32437067</v>
          </cell>
          <cell r="M201">
            <v>30652398</v>
          </cell>
          <cell r="N201">
            <v>40896458</v>
          </cell>
          <cell r="O201">
            <v>42199340</v>
          </cell>
          <cell r="P201">
            <v>29680714</v>
          </cell>
          <cell r="Q201">
            <v>20510382.244069804</v>
          </cell>
          <cell r="R201">
            <v>27054449.148971412</v>
          </cell>
          <cell r="S201">
            <v>25954708.324242711</v>
          </cell>
          <cell r="AA201">
            <v>15184516.297817789</v>
          </cell>
          <cell r="AB201">
            <v>6331573.9794982271</v>
          </cell>
          <cell r="AC201">
            <v>4238447.1127133425</v>
          </cell>
          <cell r="AD201">
            <v>4216148.148970251</v>
          </cell>
          <cell r="AE201">
            <v>4207626.573305347</v>
          </cell>
          <cell r="AF201">
            <v>4217921.193838276</v>
          </cell>
          <cell r="AG201">
            <v>4221049.319665486</v>
          </cell>
          <cell r="AH201">
            <v>4220527.1126154903</v>
          </cell>
          <cell r="AI201">
            <v>4216544.8903715238</v>
          </cell>
          <cell r="AJ201">
            <v>4216648.7105512964</v>
          </cell>
          <cell r="AK201">
            <v>4219544.7052228348</v>
          </cell>
          <cell r="AL201">
            <v>4220312.1833318993</v>
          </cell>
          <cell r="AM201">
            <v>4220238.4696985409</v>
          </cell>
          <cell r="AN201">
            <v>4216654.4696789701</v>
          </cell>
          <cell r="AO201">
            <v>4216733.8179592248</v>
          </cell>
          <cell r="AP201">
            <v>4218538.2454084139</v>
          </cell>
        </row>
        <row r="202">
          <cell r="C202">
            <v>0</v>
          </cell>
          <cell r="D202">
            <v>2690200</v>
          </cell>
          <cell r="E202">
            <v>12342494</v>
          </cell>
          <cell r="F202">
            <v>20264838</v>
          </cell>
          <cell r="G202">
            <v>15264048</v>
          </cell>
          <cell r="H202">
            <v>21367049</v>
          </cell>
          <cell r="I202">
            <v>16598675</v>
          </cell>
          <cell r="J202">
            <v>23114771</v>
          </cell>
          <cell r="K202">
            <v>28703132</v>
          </cell>
          <cell r="L202">
            <v>17009086</v>
          </cell>
          <cell r="M202">
            <v>35547106</v>
          </cell>
          <cell r="N202">
            <v>32117632</v>
          </cell>
          <cell r="O202">
            <v>36166734</v>
          </cell>
          <cell r="P202">
            <v>56471169</v>
          </cell>
          <cell r="Q202">
            <v>20293640.747774504</v>
          </cell>
          <cell r="R202">
            <v>29292945.59642696</v>
          </cell>
          <cell r="S202">
            <v>27714957.653552011</v>
          </cell>
          <cell r="AA202">
            <v>17248973.813615233</v>
          </cell>
          <cell r="AB202">
            <v>7235792.7172899777</v>
          </cell>
          <cell r="AC202">
            <v>4822398.5057585742</v>
          </cell>
          <cell r="AD202">
            <v>4874289.2879287619</v>
          </cell>
          <cell r="AE202">
            <v>4886749.4660415892</v>
          </cell>
          <cell r="AF202">
            <v>4791381.6148931207</v>
          </cell>
          <cell r="AG202">
            <v>4823861.8115266534</v>
          </cell>
          <cell r="AH202">
            <v>4841755.0258071842</v>
          </cell>
          <cell r="AI202">
            <v>4846056.4747068742</v>
          </cell>
          <cell r="AJ202">
            <v>4838668.4488170343</v>
          </cell>
          <cell r="AK202">
            <v>4823235.0358807584</v>
          </cell>
          <cell r="AL202">
            <v>4838293.016711277</v>
          </cell>
          <cell r="AM202">
            <v>4839736.1372297406</v>
          </cell>
          <cell r="AN202">
            <v>4843607.4412394613</v>
          </cell>
          <cell r="AO202">
            <v>4837960.878595084</v>
          </cell>
          <cell r="AP202">
            <v>4828344.6751501728</v>
          </cell>
        </row>
        <row r="203">
          <cell r="C203">
            <v>0</v>
          </cell>
          <cell r="D203">
            <v>3085274</v>
          </cell>
          <cell r="E203">
            <v>16522932</v>
          </cell>
          <cell r="F203">
            <v>25215033</v>
          </cell>
          <cell r="G203">
            <v>11498106</v>
          </cell>
          <cell r="H203">
            <v>20123725</v>
          </cell>
          <cell r="I203">
            <v>18588383</v>
          </cell>
          <cell r="J203">
            <v>20010805</v>
          </cell>
          <cell r="K203">
            <v>28383489</v>
          </cell>
          <cell r="L203">
            <v>21436366</v>
          </cell>
          <cell r="M203">
            <v>2624839</v>
          </cell>
          <cell r="N203">
            <v>13887702</v>
          </cell>
          <cell r="O203">
            <v>43951303</v>
          </cell>
          <cell r="P203">
            <v>22045675</v>
          </cell>
          <cell r="Q203">
            <v>14613410.606759492</v>
          </cell>
          <cell r="R203">
            <v>15307116.154142732</v>
          </cell>
          <cell r="S203">
            <v>17284380.951269526</v>
          </cell>
          <cell r="AA203">
            <v>10370657.896554619</v>
          </cell>
          <cell r="AB203">
            <v>4336984.276469104</v>
          </cell>
          <cell r="AC203">
            <v>2937172.1650918163</v>
          </cell>
          <cell r="AD203">
            <v>2951582.8901676182</v>
          </cell>
          <cell r="AE203">
            <v>2877876.3985011908</v>
          </cell>
          <cell r="AF203">
            <v>2880738.3045985061</v>
          </cell>
          <cell r="AG203">
            <v>2891322.8509794036</v>
          </cell>
          <cell r="AH203">
            <v>2911072.7788261957</v>
          </cell>
          <cell r="AI203">
            <v>2905272.9152116128</v>
          </cell>
          <cell r="AJ203">
            <v>2893154.4170922847</v>
          </cell>
          <cell r="AK203">
            <v>2898058.4724425129</v>
          </cell>
          <cell r="AL203">
            <v>2906246.1881505889</v>
          </cell>
          <cell r="AM203">
            <v>2907738.5218677074</v>
          </cell>
          <cell r="AN203">
            <v>2902518.6446145838</v>
          </cell>
          <cell r="AO203">
            <v>2893256.6496233819</v>
          </cell>
          <cell r="AP203">
            <v>2896312.2533416003</v>
          </cell>
        </row>
        <row r="204">
          <cell r="C204">
            <v>0</v>
          </cell>
          <cell r="D204">
            <v>1030821</v>
          </cell>
          <cell r="E204">
            <v>22376937</v>
          </cell>
          <cell r="F204">
            <v>8424713</v>
          </cell>
          <cell r="G204">
            <v>14788260</v>
          </cell>
          <cell r="H204">
            <v>15511792</v>
          </cell>
          <cell r="I204">
            <v>14587142</v>
          </cell>
          <cell r="J204">
            <v>21371118</v>
          </cell>
          <cell r="K204">
            <v>25211923</v>
          </cell>
          <cell r="L204">
            <v>23531204</v>
          </cell>
          <cell r="M204">
            <v>26736891</v>
          </cell>
          <cell r="N204">
            <v>14784167</v>
          </cell>
          <cell r="O204">
            <v>11913351</v>
          </cell>
          <cell r="P204">
            <v>22976837</v>
          </cell>
          <cell r="Q204">
            <v>13889072.991061935</v>
          </cell>
          <cell r="R204">
            <v>13809419.090967605</v>
          </cell>
          <cell r="S204">
            <v>11673993.698898958</v>
          </cell>
          <cell r="AA204">
            <v>7936446.948781224</v>
          </cell>
          <cell r="AB204">
            <v>3291282.6834122729</v>
          </cell>
          <cell r="AC204">
            <v>2160886.7261675275</v>
          </cell>
          <cell r="AD204">
            <v>2215836.7967252382</v>
          </cell>
          <cell r="AE204">
            <v>2248818.5830746191</v>
          </cell>
          <cell r="AF204">
            <v>2204568.5968836737</v>
          </cell>
          <cell r="AG204">
            <v>2194188.4556081826</v>
          </cell>
          <cell r="AH204">
            <v>2205285.0462720091</v>
          </cell>
          <cell r="AI204">
            <v>2215151.33962856</v>
          </cell>
          <cell r="AJ204">
            <v>2214971.9676780277</v>
          </cell>
          <cell r="AK204">
            <v>2204107.6219951711</v>
          </cell>
          <cell r="AL204">
            <v>2203889.7065933333</v>
          </cell>
          <cell r="AM204">
            <v>2204859.8316918486</v>
          </cell>
          <cell r="AN204">
            <v>2213739.4957127445</v>
          </cell>
          <cell r="AO204">
            <v>2213602.4042934091</v>
          </cell>
          <cell r="AP204">
            <v>2206833.0812140908</v>
          </cell>
        </row>
        <row r="205">
          <cell r="C205">
            <v>0</v>
          </cell>
          <cell r="D205">
            <v>8813936</v>
          </cell>
          <cell r="E205">
            <v>19093804</v>
          </cell>
          <cell r="F205">
            <v>0</v>
          </cell>
          <cell r="G205">
            <v>8527417</v>
          </cell>
          <cell r="H205">
            <v>19321824</v>
          </cell>
          <cell r="I205">
            <v>16856877</v>
          </cell>
          <cell r="J205">
            <v>16534807</v>
          </cell>
          <cell r="K205">
            <v>23093500</v>
          </cell>
          <cell r="L205">
            <v>52471547</v>
          </cell>
          <cell r="M205">
            <v>42753850</v>
          </cell>
          <cell r="N205">
            <v>34372983</v>
          </cell>
          <cell r="O205">
            <v>7807521</v>
          </cell>
          <cell r="P205">
            <v>18250310</v>
          </cell>
          <cell r="Q205">
            <v>18042274.536135055</v>
          </cell>
          <cell r="R205">
            <v>19793062.848750956</v>
          </cell>
          <cell r="S205">
            <v>16022774.236714164</v>
          </cell>
          <cell r="AA205">
            <v>9885047.4933195375</v>
          </cell>
          <cell r="AB205">
            <v>4073352.21561096</v>
          </cell>
          <cell r="AC205">
            <v>2667341.1039711311</v>
          </cell>
          <cell r="AD205">
            <v>2666544.1842737952</v>
          </cell>
          <cell r="AE205">
            <v>2754994.7334363661</v>
          </cell>
          <cell r="AF205">
            <v>2745846.525922094</v>
          </cell>
          <cell r="AG205">
            <v>2715568.1437406405</v>
          </cell>
          <cell r="AH205">
            <v>2707794.7312379614</v>
          </cell>
          <cell r="AI205">
            <v>2716784.4261861457</v>
          </cell>
          <cell r="AJ205">
            <v>2729931.4053781624</v>
          </cell>
          <cell r="AK205">
            <v>2721886.3864952833</v>
          </cell>
          <cell r="AL205">
            <v>2710559.7751298822</v>
          </cell>
          <cell r="AM205">
            <v>2710058.9382688054</v>
          </cell>
          <cell r="AN205">
            <v>2718149.6637221714</v>
          </cell>
          <cell r="AO205">
            <v>2728197.7121046418</v>
          </cell>
          <cell r="AP205">
            <v>2723185.0464930008</v>
          </cell>
        </row>
        <row r="206">
          <cell r="C206">
            <v>0</v>
          </cell>
          <cell r="D206">
            <v>12718015</v>
          </cell>
          <cell r="E206">
            <v>20391826</v>
          </cell>
          <cell r="F206">
            <v>348537</v>
          </cell>
          <cell r="G206">
            <v>8855912</v>
          </cell>
          <cell r="H206">
            <v>10947378</v>
          </cell>
          <cell r="I206">
            <v>16292718</v>
          </cell>
          <cell r="J206">
            <v>0</v>
          </cell>
          <cell r="K206">
            <v>33053069</v>
          </cell>
          <cell r="L206">
            <v>29260171</v>
          </cell>
          <cell r="M206">
            <v>42337170</v>
          </cell>
          <cell r="N206">
            <v>34150366</v>
          </cell>
          <cell r="O206">
            <v>48149722</v>
          </cell>
          <cell r="P206">
            <v>17529275</v>
          </cell>
          <cell r="Q206">
            <v>18677867.257025421</v>
          </cell>
          <cell r="R206">
            <v>24683901.871777788</v>
          </cell>
          <cell r="S206">
            <v>22304498.820663068</v>
          </cell>
          <cell r="AA206">
            <v>13036664.158976998</v>
          </cell>
          <cell r="AB206">
            <v>5416603.5220516613</v>
          </cell>
          <cell r="AC206">
            <v>3616023.0728063597</v>
          </cell>
          <cell r="AD206">
            <v>3590135.396898916</v>
          </cell>
          <cell r="AE206">
            <v>3565157.8860813854</v>
          </cell>
          <cell r="AF206">
            <v>3621295.5997158336</v>
          </cell>
          <cell r="AG206">
            <v>3611069.0147011089</v>
          </cell>
          <cell r="AH206">
            <v>3599663.2042644233</v>
          </cell>
          <cell r="AI206">
            <v>3596027.6779217697</v>
          </cell>
          <cell r="AJ206">
            <v>3597569.5832361612</v>
          </cell>
          <cell r="AK206">
            <v>3607973.3378784354</v>
          </cell>
          <cell r="AL206">
            <v>3601675.5413734829</v>
          </cell>
          <cell r="AM206">
            <v>3600736.1940407213</v>
          </cell>
          <cell r="AN206">
            <v>3597464.2203323338</v>
          </cell>
          <cell r="AO206">
            <v>3598642.6765369046</v>
          </cell>
          <cell r="AP206">
            <v>3605125.0159678594</v>
          </cell>
        </row>
        <row r="207">
          <cell r="C207">
            <v>0</v>
          </cell>
          <cell r="D207">
            <v>10308273</v>
          </cell>
          <cell r="E207">
            <v>21846020</v>
          </cell>
          <cell r="F207">
            <v>9322412</v>
          </cell>
          <cell r="G207">
            <v>12838777</v>
          </cell>
          <cell r="H207">
            <v>14881963</v>
          </cell>
          <cell r="I207">
            <v>11529654</v>
          </cell>
          <cell r="J207">
            <v>10690516</v>
          </cell>
          <cell r="K207">
            <v>24145905</v>
          </cell>
          <cell r="L207">
            <v>40715916</v>
          </cell>
          <cell r="M207">
            <v>28638303</v>
          </cell>
          <cell r="N207">
            <v>25048257</v>
          </cell>
          <cell r="O207">
            <v>45362116</v>
          </cell>
          <cell r="P207">
            <v>8083529</v>
          </cell>
          <cell r="Q207">
            <v>16859024.316303566</v>
          </cell>
          <cell r="R207">
            <v>19886348.568507258</v>
          </cell>
          <cell r="S207">
            <v>18075205.539549988</v>
          </cell>
          <cell r="AA207">
            <v>10616690.670570839</v>
          </cell>
          <cell r="AB207">
            <v>4397115.1120954677</v>
          </cell>
          <cell r="AC207">
            <v>2938062.6226267712</v>
          </cell>
          <cell r="AD207">
            <v>2919048.5884229685</v>
          </cell>
          <cell r="AE207">
            <v>2880262.210245518</v>
          </cell>
          <cell r="AF207">
            <v>2949080.7418252337</v>
          </cell>
          <cell r="AG207">
            <v>2931410.0747303125</v>
          </cell>
          <cell r="AH207">
            <v>2922871.8100645179</v>
          </cell>
          <cell r="AI207">
            <v>2919496.073939573</v>
          </cell>
          <cell r="AJ207">
            <v>2919613.1729532629</v>
          </cell>
          <cell r="AK207">
            <v>2932244.3461680952</v>
          </cell>
          <cell r="AL207">
            <v>2924285.3227665387</v>
          </cell>
          <cell r="AM207">
            <v>2923572.8475701609</v>
          </cell>
          <cell r="AN207">
            <v>2920534.6850577104</v>
          </cell>
          <cell r="AO207">
            <v>2920624.1821610308</v>
          </cell>
          <cell r="AP207">
            <v>2928494.3747025803</v>
          </cell>
        </row>
        <row r="208">
          <cell r="C208">
            <v>0</v>
          </cell>
          <cell r="D208">
            <v>4421460</v>
          </cell>
          <cell r="E208">
            <v>15110753</v>
          </cell>
          <cell r="F208">
            <v>11628154</v>
          </cell>
          <cell r="G208">
            <v>8127548</v>
          </cell>
          <cell r="H208">
            <v>15859008</v>
          </cell>
          <cell r="I208">
            <v>19577357</v>
          </cell>
          <cell r="J208">
            <v>23675821</v>
          </cell>
          <cell r="K208">
            <v>30600380</v>
          </cell>
          <cell r="L208">
            <v>36950805</v>
          </cell>
          <cell r="M208">
            <v>44988761</v>
          </cell>
          <cell r="N208">
            <v>32669596</v>
          </cell>
          <cell r="O208">
            <v>48215083</v>
          </cell>
          <cell r="P208">
            <v>4236635</v>
          </cell>
          <cell r="Q208">
            <v>61474518.720732391</v>
          </cell>
          <cell r="R208">
            <v>31073492.569914579</v>
          </cell>
          <cell r="S208">
            <v>28715032.505401701</v>
          </cell>
          <cell r="AA208">
            <v>19622145.567073837</v>
          </cell>
          <cell r="AB208">
            <v>7911322.7464915067</v>
          </cell>
          <cell r="AC208">
            <v>5193303.0692285374</v>
          </cell>
          <cell r="AD208">
            <v>5297336.5122059658</v>
          </cell>
          <cell r="AE208">
            <v>5369274.7212675214</v>
          </cell>
          <cell r="AF208">
            <v>5450595.9908538461</v>
          </cell>
          <cell r="AG208">
            <v>5274215.1643276811</v>
          </cell>
          <cell r="AH208">
            <v>5319148.3838439509</v>
          </cell>
          <cell r="AI208">
            <v>5347114.0093140528</v>
          </cell>
          <cell r="AJ208">
            <v>5360139.8964077532</v>
          </cell>
          <cell r="AK208">
            <v>5357207.7304033861</v>
          </cell>
          <cell r="AL208">
            <v>5313060.5527358875</v>
          </cell>
          <cell r="AM208">
            <v>5316945.0915767029</v>
          </cell>
          <cell r="AN208">
            <v>5342114.1544997916</v>
          </cell>
          <cell r="AO208">
            <v>5352069.653921403</v>
          </cell>
          <cell r="AP208">
            <v>5350242.6889494509</v>
          </cell>
        </row>
        <row r="325">
          <cell r="C325">
            <v>0</v>
          </cell>
          <cell r="D325">
            <v>0</v>
          </cell>
          <cell r="E325">
            <v>0</v>
          </cell>
          <cell r="F325">
            <v>0</v>
          </cell>
          <cell r="G325">
            <v>0</v>
          </cell>
          <cell r="H325">
            <v>0</v>
          </cell>
          <cell r="I325">
            <v>210331</v>
          </cell>
          <cell r="J325">
            <v>139714</v>
          </cell>
          <cell r="K325">
            <v>194630</v>
          </cell>
          <cell r="L325">
            <v>41590</v>
          </cell>
          <cell r="M325">
            <v>289825</v>
          </cell>
          <cell r="N325">
            <v>402120</v>
          </cell>
          <cell r="O325">
            <v>100937</v>
          </cell>
          <cell r="P325">
            <v>9660626</v>
          </cell>
          <cell r="Q325">
            <v>16372550</v>
          </cell>
          <cell r="R325">
            <v>39277851.158494107</v>
          </cell>
          <cell r="S325">
            <v>102250366.25217962</v>
          </cell>
          <cell r="T325">
            <v>133718655.25896809</v>
          </cell>
          <cell r="U325">
            <v>163450752.68277478</v>
          </cell>
          <cell r="V325">
            <v>207479415.74276084</v>
          </cell>
          <cell r="W325">
            <v>226261984.12799996</v>
          </cell>
          <cell r="X325">
            <v>282804349.76382077</v>
          </cell>
          <cell r="Y325">
            <v>303048941.32771724</v>
          </cell>
          <cell r="Z325">
            <v>332656614.53220075</v>
          </cell>
          <cell r="AA325">
            <v>348427949.67466766</v>
          </cell>
          <cell r="AB325">
            <v>256026567.68561345</v>
          </cell>
          <cell r="AC325">
            <v>265649190.314015</v>
          </cell>
          <cell r="AD325">
            <v>278210026.42349368</v>
          </cell>
          <cell r="AE325">
            <v>275263759.600977</v>
          </cell>
          <cell r="AF325">
            <v>301989743.89992368</v>
          </cell>
          <cell r="AG325">
            <v>317827663.73775363</v>
          </cell>
          <cell r="AH325">
            <v>325199558.14286792</v>
          </cell>
          <cell r="AI325">
            <v>333351891.87825269</v>
          </cell>
          <cell r="AJ325">
            <v>338619574.23759097</v>
          </cell>
          <cell r="AK325">
            <v>350677655.74598289</v>
          </cell>
          <cell r="AL325">
            <v>374565743.27180636</v>
          </cell>
          <cell r="AM325">
            <v>392131932.47671443</v>
          </cell>
          <cell r="AN325">
            <v>394290325.73882508</v>
          </cell>
          <cell r="AO325">
            <v>394262114.49514735</v>
          </cell>
          <cell r="AP325">
            <v>394971747.88405961</v>
          </cell>
        </row>
        <row r="326">
          <cell r="C326">
            <v>0</v>
          </cell>
          <cell r="D326">
            <v>0</v>
          </cell>
          <cell r="E326">
            <v>0</v>
          </cell>
          <cell r="F326">
            <v>0</v>
          </cell>
          <cell r="G326">
            <v>0</v>
          </cell>
          <cell r="H326">
            <v>0</v>
          </cell>
          <cell r="I326">
            <v>190622</v>
          </cell>
          <cell r="J326">
            <v>237996</v>
          </cell>
          <cell r="K326">
            <v>187609</v>
          </cell>
          <cell r="L326">
            <v>0</v>
          </cell>
          <cell r="M326">
            <v>294725</v>
          </cell>
          <cell r="N326">
            <v>2519869</v>
          </cell>
          <cell r="O326">
            <v>3064876</v>
          </cell>
          <cell r="P326">
            <v>1254939</v>
          </cell>
          <cell r="Q326">
            <v>15728119</v>
          </cell>
          <cell r="R326">
            <v>75650121.223457009</v>
          </cell>
          <cell r="S326">
            <v>196317077.63636684</v>
          </cell>
          <cell r="T326">
            <v>257151106.82520556</v>
          </cell>
          <cell r="U326">
            <v>303359623.65194941</v>
          </cell>
          <cell r="V326">
            <v>389251602.82644922</v>
          </cell>
          <cell r="W326">
            <v>429686534.17306322</v>
          </cell>
          <cell r="X326">
            <v>538187737.83149147</v>
          </cell>
          <cell r="Y326">
            <v>576047886.57545054</v>
          </cell>
          <cell r="Z326">
            <v>631144013.85574508</v>
          </cell>
          <cell r="AA326">
            <v>661960576.625054</v>
          </cell>
          <cell r="AB326">
            <v>485805778.83009762</v>
          </cell>
          <cell r="AC326">
            <v>504321674.52840054</v>
          </cell>
          <cell r="AD326">
            <v>528546390.38547236</v>
          </cell>
          <cell r="AE326">
            <v>523422837.96827298</v>
          </cell>
          <cell r="AF326">
            <v>574615401.35683966</v>
          </cell>
          <cell r="AG326">
            <v>604890952.23994362</v>
          </cell>
          <cell r="AH326">
            <v>618869576.28709781</v>
          </cell>
          <cell r="AI326">
            <v>634366539.05871403</v>
          </cell>
          <cell r="AJ326">
            <v>644399774.57248271</v>
          </cell>
          <cell r="AK326">
            <v>667367275.94147384</v>
          </cell>
          <cell r="AL326">
            <v>712823803.31537867</v>
          </cell>
          <cell r="AM326">
            <v>746243532.55349255</v>
          </cell>
          <cell r="AN326">
            <v>750350789.40067506</v>
          </cell>
          <cell r="AO326">
            <v>750300488.44401073</v>
          </cell>
          <cell r="AP326">
            <v>751653066.19329166</v>
          </cell>
        </row>
        <row r="327">
          <cell r="C327">
            <v>0</v>
          </cell>
          <cell r="D327">
            <v>0</v>
          </cell>
          <cell r="E327">
            <v>0</v>
          </cell>
          <cell r="F327">
            <v>0</v>
          </cell>
          <cell r="G327">
            <v>0</v>
          </cell>
          <cell r="H327">
            <v>0</v>
          </cell>
          <cell r="I327">
            <v>184825</v>
          </cell>
          <cell r="J327">
            <v>103790</v>
          </cell>
          <cell r="K327">
            <v>183940</v>
          </cell>
          <cell r="L327">
            <v>280826</v>
          </cell>
          <cell r="M327">
            <v>288906</v>
          </cell>
          <cell r="N327">
            <v>2922508</v>
          </cell>
          <cell r="O327">
            <v>2211806</v>
          </cell>
          <cell r="P327">
            <v>7782698</v>
          </cell>
          <cell r="Q327">
            <v>8826708</v>
          </cell>
          <cell r="R327">
            <v>30604046.311069943</v>
          </cell>
          <cell r="S327">
            <v>79284477.280955479</v>
          </cell>
          <cell r="T327">
            <v>103219065.46641345</v>
          </cell>
          <cell r="U327">
            <v>125082304.82214534</v>
          </cell>
          <cell r="V327">
            <v>158361991.84934369</v>
          </cell>
          <cell r="W327">
            <v>173977280.87662145</v>
          </cell>
          <cell r="X327">
            <v>217412231.83470717</v>
          </cell>
          <cell r="Y327">
            <v>232766581.14766058</v>
          </cell>
          <cell r="Z327">
            <v>255342758.74150261</v>
          </cell>
          <cell r="AA327">
            <v>267493798.00106311</v>
          </cell>
          <cell r="AB327">
            <v>196627317.86113903</v>
          </cell>
          <cell r="AC327">
            <v>203999918.94179478</v>
          </cell>
          <cell r="AD327">
            <v>213639004.10209659</v>
          </cell>
          <cell r="AE327">
            <v>211398577.51050875</v>
          </cell>
          <cell r="AF327">
            <v>231956090.25735468</v>
          </cell>
          <cell r="AG327">
            <v>244145715.04928312</v>
          </cell>
          <cell r="AH327">
            <v>249795722.93994823</v>
          </cell>
          <cell r="AI327">
            <v>256052255.34324419</v>
          </cell>
          <cell r="AJ327">
            <v>260099997.10865235</v>
          </cell>
          <cell r="AK327">
            <v>269365884.32878262</v>
          </cell>
          <cell r="AL327">
            <v>287715995.01326811</v>
          </cell>
          <cell r="AM327">
            <v>301206403.43587363</v>
          </cell>
          <cell r="AN327">
            <v>302863931.72533727</v>
          </cell>
          <cell r="AO327">
            <v>302842984.77352065</v>
          </cell>
          <cell r="AP327">
            <v>303388591.80787474</v>
          </cell>
        </row>
        <row r="328">
          <cell r="C328">
            <v>0</v>
          </cell>
          <cell r="D328">
            <v>0</v>
          </cell>
          <cell r="E328">
            <v>0</v>
          </cell>
          <cell r="F328">
            <v>0</v>
          </cell>
          <cell r="G328">
            <v>0</v>
          </cell>
          <cell r="H328">
            <v>0</v>
          </cell>
          <cell r="I328">
            <v>0</v>
          </cell>
          <cell r="J328">
            <v>184634</v>
          </cell>
          <cell r="K328">
            <v>245975</v>
          </cell>
          <cell r="L328">
            <v>1234442</v>
          </cell>
          <cell r="M328">
            <v>293289</v>
          </cell>
          <cell r="N328">
            <v>408991</v>
          </cell>
          <cell r="O328">
            <v>2311450</v>
          </cell>
          <cell r="P328">
            <v>8403241</v>
          </cell>
          <cell r="Q328">
            <v>13308048.905589283</v>
          </cell>
          <cell r="R328">
            <v>48361494.077021532</v>
          </cell>
          <cell r="S328">
            <v>125801341.31605753</v>
          </cell>
          <cell r="T328">
            <v>164865751.99571106</v>
          </cell>
          <cell r="U328">
            <v>197905812.59374347</v>
          </cell>
          <cell r="V328">
            <v>251646217.46712705</v>
          </cell>
          <cell r="W328">
            <v>276701971.64820218</v>
          </cell>
          <cell r="X328">
            <v>346198695.82034349</v>
          </cell>
          <cell r="Y328">
            <v>370747842.13521481</v>
          </cell>
          <cell r="Z328">
            <v>406504370.20281446</v>
          </cell>
          <cell r="AA328">
            <v>425987421.01752335</v>
          </cell>
          <cell r="AB328">
            <v>312917931.82500458</v>
          </cell>
          <cell r="AC328">
            <v>324748468.15876555</v>
          </cell>
          <cell r="AD328">
            <v>340205413.71411824</v>
          </cell>
          <cell r="AE328">
            <v>336734748.08240998</v>
          </cell>
          <cell r="AF328">
            <v>369544619.22106391</v>
          </cell>
          <cell r="AG328">
            <v>388984910.49709958</v>
          </cell>
          <cell r="AH328">
            <v>397986762.15729928</v>
          </cell>
          <cell r="AI328">
            <v>407954886.57935685</v>
          </cell>
          <cell r="AJ328">
            <v>414403069.34705245</v>
          </cell>
          <cell r="AK328">
            <v>429167768.44823885</v>
          </cell>
          <cell r="AL328">
            <v>458403155.89778847</v>
          </cell>
          <cell r="AM328">
            <v>479896721.24986362</v>
          </cell>
          <cell r="AN328">
            <v>482537566.71906394</v>
          </cell>
          <cell r="AO328">
            <v>482504200.98671007</v>
          </cell>
          <cell r="AP328">
            <v>483373679.52421468</v>
          </cell>
        </row>
        <row r="329">
          <cell r="C329">
            <v>0</v>
          </cell>
          <cell r="D329">
            <v>0</v>
          </cell>
          <cell r="E329">
            <v>0</v>
          </cell>
          <cell r="F329">
            <v>0</v>
          </cell>
          <cell r="G329">
            <v>0</v>
          </cell>
          <cell r="H329">
            <v>0</v>
          </cell>
          <cell r="I329">
            <v>134485</v>
          </cell>
          <cell r="J329">
            <v>64189</v>
          </cell>
          <cell r="K329">
            <v>254288</v>
          </cell>
          <cell r="L329">
            <v>0</v>
          </cell>
          <cell r="M329">
            <v>287496</v>
          </cell>
          <cell r="N329">
            <v>202831</v>
          </cell>
          <cell r="O329">
            <v>1626715</v>
          </cell>
          <cell r="P329">
            <v>18055498</v>
          </cell>
          <cell r="Q329">
            <v>15695583.131274737</v>
          </cell>
          <cell r="R329">
            <v>62987334.009664565</v>
          </cell>
          <cell r="S329">
            <v>164476935.61505926</v>
          </cell>
          <cell r="T329">
            <v>215559621.09792852</v>
          </cell>
          <cell r="U329">
            <v>260283138.6796141</v>
          </cell>
          <cell r="V329">
            <v>328831769.89519864</v>
          </cell>
          <cell r="W329">
            <v>361998167.87099332</v>
          </cell>
          <cell r="X329">
            <v>452872274.27195126</v>
          </cell>
          <cell r="Y329">
            <v>485022261.65374541</v>
          </cell>
          <cell r="Z329">
            <v>531866236.68473935</v>
          </cell>
          <cell r="AA329">
            <v>557122378.77441943</v>
          </cell>
          <cell r="AB329">
            <v>409399991.14006364</v>
          </cell>
          <cell r="AC329">
            <v>424854480.31031072</v>
          </cell>
          <cell r="AD329">
            <v>445032657.14839482</v>
          </cell>
          <cell r="AE329">
            <v>440442996.35388279</v>
          </cell>
          <cell r="AF329">
            <v>483319284.88408983</v>
          </cell>
          <cell r="AG329">
            <v>508752613.6959095</v>
          </cell>
          <cell r="AH329">
            <v>520527329.68891722</v>
          </cell>
          <cell r="AI329">
            <v>533562731.28919291</v>
          </cell>
          <cell r="AJ329">
            <v>541994056.36608624</v>
          </cell>
          <cell r="AK329">
            <v>561303557.58547115</v>
          </cell>
          <cell r="AL329">
            <v>599543136.11261857</v>
          </cell>
          <cell r="AM329">
            <v>627654176.61917734</v>
          </cell>
          <cell r="AN329">
            <v>631107523.93269956</v>
          </cell>
          <cell r="AO329">
            <v>631063592.04177999</v>
          </cell>
          <cell r="AP329">
            <v>632200896.8649652</v>
          </cell>
        </row>
        <row r="330">
          <cell r="C330">
            <v>0</v>
          </cell>
          <cell r="D330">
            <v>0</v>
          </cell>
          <cell r="E330">
            <v>0</v>
          </cell>
          <cell r="F330">
            <v>0</v>
          </cell>
          <cell r="G330">
            <v>0</v>
          </cell>
          <cell r="H330">
            <v>0</v>
          </cell>
          <cell r="I330">
            <v>127471</v>
          </cell>
          <cell r="J330">
            <v>140194</v>
          </cell>
          <cell r="K330">
            <v>223279</v>
          </cell>
          <cell r="L330">
            <v>508513</v>
          </cell>
          <cell r="M330">
            <v>357317</v>
          </cell>
          <cell r="N330">
            <v>2331749</v>
          </cell>
          <cell r="O330">
            <v>2431985</v>
          </cell>
          <cell r="P330">
            <v>6269264</v>
          </cell>
          <cell r="Q330">
            <v>15877313.805032866</v>
          </cell>
          <cell r="R330">
            <v>60938509.536191143</v>
          </cell>
          <cell r="S330">
            <v>158155819.02753699</v>
          </cell>
          <cell r="T330">
            <v>207143272.26752162</v>
          </cell>
          <cell r="U330">
            <v>247110461.30670059</v>
          </cell>
          <cell r="V330">
            <v>315479357.27764899</v>
          </cell>
          <cell r="W330">
            <v>347217614.57755929</v>
          </cell>
          <cell r="X330">
            <v>434533664.30043477</v>
          </cell>
          <cell r="Y330">
            <v>465251382.99415547</v>
          </cell>
          <cell r="Z330">
            <v>510005032.91645962</v>
          </cell>
          <cell r="AA330">
            <v>534632971.43561351</v>
          </cell>
          <cell r="AB330">
            <v>392600692.39580834</v>
          </cell>
          <cell r="AC330">
            <v>407476067.87306106</v>
          </cell>
          <cell r="AD330">
            <v>426924604.00312072</v>
          </cell>
          <cell r="AE330">
            <v>422638196.81295216</v>
          </cell>
          <cell r="AF330">
            <v>463869544.40778005</v>
          </cell>
          <cell r="AG330">
            <v>488280599.09578222</v>
          </cell>
          <cell r="AH330">
            <v>499574775.39187568</v>
          </cell>
          <cell r="AI330">
            <v>512086777.65421247</v>
          </cell>
          <cell r="AJ330">
            <v>520183065.78224915</v>
          </cell>
          <cell r="AK330">
            <v>538718841.90602386</v>
          </cell>
          <cell r="AL330">
            <v>575415104.37343609</v>
          </cell>
          <cell r="AM330">
            <v>602394333.21391904</v>
          </cell>
          <cell r="AN330">
            <v>605709585.60280967</v>
          </cell>
          <cell r="AO330">
            <v>605668178.84748971</v>
          </cell>
          <cell r="AP330">
            <v>606759702.52952826</v>
          </cell>
        </row>
        <row r="331">
          <cell r="C331">
            <v>0</v>
          </cell>
          <cell r="D331">
            <v>0</v>
          </cell>
          <cell r="E331">
            <v>0</v>
          </cell>
          <cell r="F331">
            <v>0</v>
          </cell>
          <cell r="G331">
            <v>0</v>
          </cell>
          <cell r="H331">
            <v>0</v>
          </cell>
          <cell r="I331">
            <v>120661</v>
          </cell>
          <cell r="J331">
            <v>82231</v>
          </cell>
          <cell r="K331">
            <v>146613</v>
          </cell>
          <cell r="L331">
            <v>1536725</v>
          </cell>
          <cell r="M331">
            <v>1093159</v>
          </cell>
          <cell r="N331">
            <v>1137973</v>
          </cell>
          <cell r="O331">
            <v>1770762</v>
          </cell>
          <cell r="P331">
            <v>10194334</v>
          </cell>
          <cell r="Q331">
            <v>18644432.350191236</v>
          </cell>
          <cell r="R331">
            <v>67682393.178117886</v>
          </cell>
          <cell r="S331">
            <v>174061787.39841369</v>
          </cell>
          <cell r="T331">
            <v>227936357.20311415</v>
          </cell>
          <cell r="U331">
            <v>273417953.12895501</v>
          </cell>
          <cell r="V331">
            <v>348241835.93755925</v>
          </cell>
          <cell r="W331">
            <v>382858432.44443125</v>
          </cell>
          <cell r="X331">
            <v>478719168.14398474</v>
          </cell>
          <cell r="Y331">
            <v>512644016.84230459</v>
          </cell>
          <cell r="Z331">
            <v>562104763.1090126</v>
          </cell>
          <cell r="AA331">
            <v>589126131.2641046</v>
          </cell>
          <cell r="AB331">
            <v>432770984.89102197</v>
          </cell>
          <cell r="AC331">
            <v>449090714.32295167</v>
          </cell>
          <cell r="AD331">
            <v>470450959.50492132</v>
          </cell>
          <cell r="AE331">
            <v>465640617.63960457</v>
          </cell>
          <cell r="AF331">
            <v>511010123.70763594</v>
          </cell>
          <cell r="AG331">
            <v>537881254.57967687</v>
          </cell>
          <cell r="AH331">
            <v>550325661.09153247</v>
          </cell>
          <cell r="AI331">
            <v>564111175.00071359</v>
          </cell>
          <cell r="AJ331">
            <v>573029189.23308635</v>
          </cell>
          <cell r="AK331">
            <v>593445828.02505684</v>
          </cell>
          <cell r="AL331">
            <v>633870643.33821428</v>
          </cell>
          <cell r="AM331">
            <v>663591338.83792436</v>
          </cell>
          <cell r="AN331">
            <v>667243545.32352769</v>
          </cell>
          <cell r="AO331">
            <v>667197598.21078348</v>
          </cell>
          <cell r="AP331">
            <v>668399785.49534595</v>
          </cell>
        </row>
        <row r="332">
          <cell r="C332">
            <v>0</v>
          </cell>
          <cell r="D332">
            <v>0</v>
          </cell>
          <cell r="E332">
            <v>0</v>
          </cell>
          <cell r="F332">
            <v>0</v>
          </cell>
          <cell r="G332">
            <v>0</v>
          </cell>
          <cell r="H332">
            <v>0</v>
          </cell>
          <cell r="I332">
            <v>174175</v>
          </cell>
          <cell r="J332">
            <v>70236</v>
          </cell>
          <cell r="K332">
            <v>271757</v>
          </cell>
          <cell r="L332">
            <v>63855</v>
          </cell>
          <cell r="M332">
            <v>722058</v>
          </cell>
          <cell r="N332">
            <v>2039562</v>
          </cell>
          <cell r="O332">
            <v>3475188</v>
          </cell>
          <cell r="P332">
            <v>11018726</v>
          </cell>
          <cell r="Q332">
            <v>18121210.075139798</v>
          </cell>
          <cell r="R332">
            <v>71805806.113193855</v>
          </cell>
          <cell r="S332">
            <v>187325541.95898262</v>
          </cell>
          <cell r="T332">
            <v>245254710.11581469</v>
          </cell>
          <cell r="U332">
            <v>293242509.7521742</v>
          </cell>
          <cell r="V332">
            <v>373248930.40125799</v>
          </cell>
          <cell r="W332">
            <v>410990197.82957089</v>
          </cell>
          <cell r="X332">
            <v>514335056.33360493</v>
          </cell>
          <cell r="Y332">
            <v>550661546.40087807</v>
          </cell>
          <cell r="Z332">
            <v>603636193.64410019</v>
          </cell>
          <cell r="AA332">
            <v>632668392.02470541</v>
          </cell>
          <cell r="AB332">
            <v>464716854.79894096</v>
          </cell>
          <cell r="AC332">
            <v>482300301.83243561</v>
          </cell>
          <cell r="AD332">
            <v>505269088.763574</v>
          </cell>
          <cell r="AE332">
            <v>500147990.26732564</v>
          </cell>
          <cell r="AF332">
            <v>548915115.93114996</v>
          </cell>
          <cell r="AG332">
            <v>577804361.84672248</v>
          </cell>
          <cell r="AH332">
            <v>591169278.61369741</v>
          </cell>
          <cell r="AI332">
            <v>605972554.54059708</v>
          </cell>
          <cell r="AJ332">
            <v>615552067.46678281</v>
          </cell>
          <cell r="AK332">
            <v>637486243.05182254</v>
          </cell>
          <cell r="AL332">
            <v>680912153.90451658</v>
          </cell>
          <cell r="AM332">
            <v>712837315.35200238</v>
          </cell>
          <cell r="AN332">
            <v>716759844.14004171</v>
          </cell>
          <cell r="AO332">
            <v>716710794.55987322</v>
          </cell>
          <cell r="AP332">
            <v>718002614.61203372</v>
          </cell>
        </row>
        <row r="333">
          <cell r="C333">
            <v>0</v>
          </cell>
          <cell r="D333">
            <v>0</v>
          </cell>
          <cell r="E333">
            <v>0</v>
          </cell>
          <cell r="F333">
            <v>0</v>
          </cell>
          <cell r="G333">
            <v>0</v>
          </cell>
          <cell r="H333">
            <v>230790</v>
          </cell>
          <cell r="I333">
            <v>137952</v>
          </cell>
          <cell r="J333">
            <v>151082</v>
          </cell>
          <cell r="K333">
            <v>275529</v>
          </cell>
          <cell r="L333">
            <v>371169</v>
          </cell>
          <cell r="M333">
            <v>300122</v>
          </cell>
          <cell r="N333">
            <v>393571</v>
          </cell>
          <cell r="O333">
            <v>2163064</v>
          </cell>
          <cell r="P333">
            <v>20695121</v>
          </cell>
          <cell r="Q333">
            <v>19561239.887186892</v>
          </cell>
          <cell r="R333">
            <v>86939731.817784786</v>
          </cell>
          <cell r="S333">
            <v>227289817.12799069</v>
          </cell>
          <cell r="T333">
            <v>297955916.32750475</v>
          </cell>
          <cell r="U333">
            <v>358071574.69576985</v>
          </cell>
          <cell r="V333">
            <v>452857151.11754578</v>
          </cell>
          <cell r="W333">
            <v>499437148.79470718</v>
          </cell>
          <cell r="X333">
            <v>625059220.39015639</v>
          </cell>
          <cell r="Y333">
            <v>669325726.83999372</v>
          </cell>
          <cell r="Z333">
            <v>733774345.06958902</v>
          </cell>
          <cell r="AA333">
            <v>768701315.18385053</v>
          </cell>
          <cell r="AB333">
            <v>564807494.72825015</v>
          </cell>
          <cell r="AC333">
            <v>586176124.91724741</v>
          </cell>
          <cell r="AD333">
            <v>614073937.63211334</v>
          </cell>
          <cell r="AE333">
            <v>607811385.41653216</v>
          </cell>
          <cell r="AF333">
            <v>667031999.35748672</v>
          </cell>
          <cell r="AG333">
            <v>702164997.24602962</v>
          </cell>
          <cell r="AH333">
            <v>718407572.40202749</v>
          </cell>
          <cell r="AI333">
            <v>736394157.0527271</v>
          </cell>
          <cell r="AJ333">
            <v>748030952.8556751</v>
          </cell>
          <cell r="AK333">
            <v>774684034.3429234</v>
          </cell>
          <cell r="AL333">
            <v>827461302.04002631</v>
          </cell>
          <cell r="AM333">
            <v>866256902.71645749</v>
          </cell>
          <cell r="AN333">
            <v>871022646.42665529</v>
          </cell>
          <cell r="AO333">
            <v>870962462.61707616</v>
          </cell>
          <cell r="AP333">
            <v>872532566.465976</v>
          </cell>
        </row>
        <row r="334">
          <cell r="C334">
            <v>0</v>
          </cell>
          <cell r="D334">
            <v>0</v>
          </cell>
          <cell r="E334">
            <v>0</v>
          </cell>
          <cell r="F334">
            <v>0</v>
          </cell>
          <cell r="G334">
            <v>0</v>
          </cell>
          <cell r="H334">
            <v>181093</v>
          </cell>
          <cell r="I334">
            <v>160272</v>
          </cell>
          <cell r="J334">
            <v>229089</v>
          </cell>
          <cell r="K334">
            <v>216574</v>
          </cell>
          <cell r="L334">
            <v>188416</v>
          </cell>
          <cell r="M334">
            <v>437741</v>
          </cell>
          <cell r="N334">
            <v>1764631</v>
          </cell>
          <cell r="O334">
            <v>2895877</v>
          </cell>
          <cell r="P334">
            <v>9266341</v>
          </cell>
          <cell r="Q334">
            <v>20223333.555152789</v>
          </cell>
          <cell r="R334">
            <v>86609444.295954242</v>
          </cell>
          <cell r="S334">
            <v>223020809.08734846</v>
          </cell>
          <cell r="T334">
            <v>292227890.9232313</v>
          </cell>
          <cell r="U334">
            <v>348254385.31902874</v>
          </cell>
          <cell r="V334">
            <v>444360653.85879683</v>
          </cell>
          <cell r="W334">
            <v>489760493.55126661</v>
          </cell>
          <cell r="X334">
            <v>612783911.76489496</v>
          </cell>
          <cell r="Y334">
            <v>656106519.55521119</v>
          </cell>
          <cell r="Z334">
            <v>719167453.43654442</v>
          </cell>
          <cell r="AA334">
            <v>753904118.03386211</v>
          </cell>
          <cell r="AB334">
            <v>553616738.86080098</v>
          </cell>
          <cell r="AC334">
            <v>574587196.27375197</v>
          </cell>
          <cell r="AD334">
            <v>602041018.92219496</v>
          </cell>
          <cell r="AE334">
            <v>596025304.85962129</v>
          </cell>
          <cell r="AF334">
            <v>654190754.91732132</v>
          </cell>
          <cell r="AG334">
            <v>688630126.61762989</v>
          </cell>
          <cell r="AH334">
            <v>704552516.59243286</v>
          </cell>
          <cell r="AI334">
            <v>722198289.61611068</v>
          </cell>
          <cell r="AJ334">
            <v>733616909.47984052</v>
          </cell>
          <cell r="AK334">
            <v>759759017.37042749</v>
          </cell>
          <cell r="AL334">
            <v>811512212.747702</v>
          </cell>
          <cell r="AM334">
            <v>849560228.56618524</v>
          </cell>
          <cell r="AN334">
            <v>854235900.78336751</v>
          </cell>
          <cell r="AO334">
            <v>854177674.52116418</v>
          </cell>
          <cell r="AP334">
            <v>855717174.96779084</v>
          </cell>
        </row>
        <row r="335">
          <cell r="C335">
            <v>0</v>
          </cell>
          <cell r="D335">
            <v>0</v>
          </cell>
          <cell r="E335">
            <v>0</v>
          </cell>
          <cell r="F335">
            <v>0</v>
          </cell>
          <cell r="G335">
            <v>0</v>
          </cell>
          <cell r="H335">
            <v>192991</v>
          </cell>
          <cell r="I335">
            <v>68957</v>
          </cell>
          <cell r="J335">
            <v>152783</v>
          </cell>
          <cell r="K335">
            <v>91175</v>
          </cell>
          <cell r="L335">
            <v>188201</v>
          </cell>
          <cell r="M335">
            <v>403482</v>
          </cell>
          <cell r="N335">
            <v>152226</v>
          </cell>
          <cell r="O335">
            <v>0</v>
          </cell>
          <cell r="P335">
            <v>3655714</v>
          </cell>
          <cell r="Q335">
            <v>20123971.125173315</v>
          </cell>
          <cell r="R335">
            <v>73211532.800457582</v>
          </cell>
          <cell r="S335">
            <v>191006140.49769843</v>
          </cell>
          <cell r="T335">
            <v>250579950.40024325</v>
          </cell>
          <cell r="U335">
            <v>298043818.04293615</v>
          </cell>
          <cell r="V335">
            <v>381722652.68827671</v>
          </cell>
          <cell r="W335">
            <v>419798936.25558448</v>
          </cell>
          <cell r="X335">
            <v>525781488.40272951</v>
          </cell>
          <cell r="Y335">
            <v>563024951.14491725</v>
          </cell>
          <cell r="Z335">
            <v>617149954.00516355</v>
          </cell>
          <cell r="AA335">
            <v>647060354.80118251</v>
          </cell>
          <cell r="AB335">
            <v>474923860.36566877</v>
          </cell>
          <cell r="AC335">
            <v>493013860.99258214</v>
          </cell>
          <cell r="AD335">
            <v>516647147.55287403</v>
          </cell>
          <cell r="AE335">
            <v>511553183.25385797</v>
          </cell>
          <cell r="AF335">
            <v>561503587.62411177</v>
          </cell>
          <cell r="AG335">
            <v>591059294.44272411</v>
          </cell>
          <cell r="AH335">
            <v>604735493.75068736</v>
          </cell>
          <cell r="AI335">
            <v>619883566.01035798</v>
          </cell>
          <cell r="AJ335">
            <v>629684227.36155248</v>
          </cell>
          <cell r="AK335">
            <v>652121418.05248213</v>
          </cell>
          <cell r="AL335">
            <v>696540718.09809256</v>
          </cell>
          <cell r="AM335">
            <v>729200245.95183182</v>
          </cell>
          <cell r="AN335">
            <v>733213667.41935658</v>
          </cell>
          <cell r="AO335">
            <v>733163405.92336679</v>
          </cell>
          <cell r="AP335">
            <v>734484524.23108983</v>
          </cell>
        </row>
        <row r="336">
          <cell r="C336">
            <v>0</v>
          </cell>
          <cell r="D336">
            <v>0</v>
          </cell>
          <cell r="E336">
            <v>0</v>
          </cell>
          <cell r="F336">
            <v>0</v>
          </cell>
          <cell r="G336">
            <v>0</v>
          </cell>
          <cell r="H336">
            <v>178772</v>
          </cell>
          <cell r="I336">
            <v>201266</v>
          </cell>
          <cell r="J336">
            <v>272240</v>
          </cell>
          <cell r="K336">
            <v>137333</v>
          </cell>
          <cell r="L336">
            <v>194662</v>
          </cell>
          <cell r="M336">
            <v>308503</v>
          </cell>
          <cell r="N336">
            <v>1543846</v>
          </cell>
          <cell r="O336">
            <v>2422129</v>
          </cell>
          <cell r="P336">
            <v>5564685</v>
          </cell>
          <cell r="Q336">
            <v>17062339.941113248</v>
          </cell>
          <cell r="R336">
            <v>66542331.272143878</v>
          </cell>
          <cell r="S336">
            <v>172288740.80002666</v>
          </cell>
          <cell r="T336">
            <v>226710944.51463738</v>
          </cell>
          <cell r="U336">
            <v>269909566.02753323</v>
          </cell>
          <cell r="V336">
            <v>344948504.21124476</v>
          </cell>
          <cell r="W336">
            <v>379661004.43392384</v>
          </cell>
          <cell r="X336">
            <v>475396486.77579403</v>
          </cell>
          <cell r="Y336">
            <v>509203782.15343916</v>
          </cell>
          <cell r="Z336">
            <v>558131995.43771005</v>
          </cell>
          <cell r="AA336">
            <v>585101319.50092709</v>
          </cell>
          <cell r="AB336">
            <v>429481271.24354684</v>
          </cell>
          <cell r="AC336">
            <v>445834108.55125087</v>
          </cell>
          <cell r="AD336">
            <v>467218336.44696999</v>
          </cell>
          <cell r="AE336">
            <v>462603768.87416136</v>
          </cell>
          <cell r="AF336">
            <v>507767740.3710475</v>
          </cell>
          <cell r="AG336">
            <v>534501568.65214074</v>
          </cell>
          <cell r="AH336">
            <v>546868901.14505148</v>
          </cell>
          <cell r="AI336">
            <v>560568316.94667935</v>
          </cell>
          <cell r="AJ336">
            <v>569429391.28098452</v>
          </cell>
          <cell r="AK336">
            <v>589719227.86629331</v>
          </cell>
          <cell r="AL336">
            <v>629889107.86808932</v>
          </cell>
          <cell r="AM336">
            <v>659423366.55230081</v>
          </cell>
          <cell r="AN336">
            <v>663052678.22530067</v>
          </cell>
          <cell r="AO336">
            <v>663006966.75433135</v>
          </cell>
          <cell r="AP336">
            <v>664201734.36572397</v>
          </cell>
        </row>
      </sheetData>
      <sheetData sheetId="11">
        <row r="14">
          <cell r="B14">
            <v>32877627</v>
          </cell>
        </row>
      </sheetData>
      <sheetData sheetId="12" refreshError="1"/>
      <sheetData sheetId="13" refreshError="1"/>
      <sheetData sheetId="14">
        <row r="120">
          <cell r="C120">
            <v>2275133</v>
          </cell>
          <cell r="D120">
            <v>512733</v>
          </cell>
          <cell r="E120">
            <v>403778</v>
          </cell>
          <cell r="F120">
            <v>234258</v>
          </cell>
          <cell r="G120">
            <v>166050</v>
          </cell>
          <cell r="H120">
            <v>235311</v>
          </cell>
          <cell r="I120">
            <v>449601</v>
          </cell>
          <cell r="J120">
            <v>321773</v>
          </cell>
          <cell r="K120">
            <v>2981550</v>
          </cell>
          <cell r="L120">
            <v>4025292</v>
          </cell>
          <cell r="M120">
            <v>8703348</v>
          </cell>
          <cell r="N120">
            <v>4020554</v>
          </cell>
          <cell r="O120">
            <v>3658476</v>
          </cell>
          <cell r="P120">
            <v>5200778</v>
          </cell>
          <cell r="Q120">
            <v>5416008</v>
          </cell>
          <cell r="R120">
            <v>5937533.8844495649</v>
          </cell>
          <cell r="S120">
            <v>6214707.3119492158</v>
          </cell>
          <cell r="AA120">
            <v>10853958.908365149</v>
          </cell>
          <cell r="AB120">
            <v>10583586.781363338</v>
          </cell>
          <cell r="AC120">
            <v>11443625.784014061</v>
          </cell>
          <cell r="AD120">
            <v>12641580.616318449</v>
          </cell>
          <cell r="AE120">
            <v>13811853.323497228</v>
          </cell>
          <cell r="AF120">
            <v>13794033.974486617</v>
          </cell>
          <cell r="AG120">
            <v>13840996.832624484</v>
          </cell>
          <cell r="AH120">
            <v>14544871.159587309</v>
          </cell>
          <cell r="AI120">
            <v>15707792.551286601</v>
          </cell>
          <cell r="AJ120">
            <v>16099231.31321382</v>
          </cell>
          <cell r="AK120">
            <v>16066784.200494088</v>
          </cell>
          <cell r="AL120">
            <v>15994169.829607673</v>
          </cell>
          <cell r="AM120">
            <v>15720770.112049596</v>
          </cell>
          <cell r="AN120">
            <v>16322664.884684358</v>
          </cell>
          <cell r="AO120">
            <v>16911485.1891094</v>
          </cell>
          <cell r="AP120">
            <v>17062823.486536875</v>
          </cell>
        </row>
        <row r="121">
          <cell r="C121">
            <v>725551</v>
          </cell>
          <cell r="D121">
            <v>1722881</v>
          </cell>
          <cell r="E121">
            <v>583120</v>
          </cell>
          <cell r="F121">
            <v>523301</v>
          </cell>
          <cell r="G121">
            <v>390698</v>
          </cell>
          <cell r="H121">
            <v>302371</v>
          </cell>
          <cell r="I121">
            <v>357500</v>
          </cell>
          <cell r="J121">
            <v>1440235</v>
          </cell>
          <cell r="K121">
            <v>2348092</v>
          </cell>
          <cell r="L121">
            <v>3352809</v>
          </cell>
          <cell r="M121">
            <v>4481922</v>
          </cell>
          <cell r="N121">
            <v>4714822</v>
          </cell>
          <cell r="O121">
            <v>2098580</v>
          </cell>
          <cell r="P121">
            <v>3935204</v>
          </cell>
          <cell r="Q121">
            <v>4635669</v>
          </cell>
          <cell r="R121">
            <v>4368884.0825830866</v>
          </cell>
          <cell r="S121">
            <v>5065750.4129629154</v>
          </cell>
          <cell r="AA121">
            <v>8493683.2100004666</v>
          </cell>
          <cell r="AB121">
            <v>8271844.5337041849</v>
          </cell>
          <cell r="AC121">
            <v>8951175.4451111443</v>
          </cell>
          <cell r="AD121">
            <v>9883140.4629495945</v>
          </cell>
          <cell r="AE121">
            <v>10802992.247526623</v>
          </cell>
          <cell r="AF121">
            <v>10787672.563861012</v>
          </cell>
          <cell r="AG121">
            <v>10823220.59135548</v>
          </cell>
          <cell r="AH121">
            <v>11374556.788697243</v>
          </cell>
          <cell r="AI121">
            <v>12283565.633218382</v>
          </cell>
          <cell r="AJ121">
            <v>12590263.834875172</v>
          </cell>
          <cell r="AK121">
            <v>12564551.721336858</v>
          </cell>
          <cell r="AL121">
            <v>12507669.812683295</v>
          </cell>
          <cell r="AM121">
            <v>12293995.05104439</v>
          </cell>
          <cell r="AN121">
            <v>12764661.331877131</v>
          </cell>
          <cell r="AO121">
            <v>13225184.290717352</v>
          </cell>
          <cell r="AP121">
            <v>13343475.173394755</v>
          </cell>
        </row>
        <row r="122">
          <cell r="C122">
            <v>765014</v>
          </cell>
          <cell r="D122">
            <v>649714</v>
          </cell>
          <cell r="E122">
            <v>694466</v>
          </cell>
          <cell r="F122">
            <v>738516</v>
          </cell>
          <cell r="G122">
            <v>701443</v>
          </cell>
          <cell r="H122">
            <v>453723</v>
          </cell>
          <cell r="I122">
            <v>457937</v>
          </cell>
          <cell r="J122">
            <v>2271977</v>
          </cell>
          <cell r="K122">
            <v>2875234</v>
          </cell>
          <cell r="L122">
            <v>3562685</v>
          </cell>
          <cell r="M122">
            <v>4066092</v>
          </cell>
          <cell r="N122">
            <v>4778660</v>
          </cell>
          <cell r="O122">
            <v>9786748</v>
          </cell>
          <cell r="P122">
            <v>5284964</v>
          </cell>
          <cell r="Q122">
            <v>6570323</v>
          </cell>
          <cell r="R122">
            <v>6704516.1413329868</v>
          </cell>
          <cell r="S122">
            <v>8495048.8839351721</v>
          </cell>
          <cell r="AA122">
            <v>13961294.168036874</v>
          </cell>
          <cell r="AB122">
            <v>13640523.98555973</v>
          </cell>
          <cell r="AC122">
            <v>14765248.113286629</v>
          </cell>
          <cell r="AD122">
            <v>16279553.403193215</v>
          </cell>
          <cell r="AE122">
            <v>17770126.321995769</v>
          </cell>
          <cell r="AF122">
            <v>17765268.397546172</v>
          </cell>
          <cell r="AG122">
            <v>17829633.583749469</v>
          </cell>
          <cell r="AH122">
            <v>18734792.2122459</v>
          </cell>
          <cell r="AI122">
            <v>20226976.48295787</v>
          </cell>
          <cell r="AJ122">
            <v>20730820.570488285</v>
          </cell>
          <cell r="AK122">
            <v>20692352.624093533</v>
          </cell>
          <cell r="AL122">
            <v>20598836.516013481</v>
          </cell>
          <cell r="AM122">
            <v>20245951.83713587</v>
          </cell>
          <cell r="AN122">
            <v>21020440.297812</v>
          </cell>
          <cell r="AO122">
            <v>21779070.204209246</v>
          </cell>
          <cell r="AP122">
            <v>21974432.598501984</v>
          </cell>
        </row>
        <row r="123">
          <cell r="C123">
            <v>279648</v>
          </cell>
          <cell r="D123">
            <v>370302</v>
          </cell>
          <cell r="E123">
            <v>649996</v>
          </cell>
          <cell r="F123">
            <v>918911</v>
          </cell>
          <cell r="G123">
            <v>558072</v>
          </cell>
          <cell r="H123">
            <v>390974</v>
          </cell>
          <cell r="I123">
            <v>335064</v>
          </cell>
          <cell r="J123">
            <v>1030741</v>
          </cell>
          <cell r="K123">
            <v>2995674</v>
          </cell>
          <cell r="L123">
            <v>3082235</v>
          </cell>
          <cell r="M123">
            <v>3055962</v>
          </cell>
          <cell r="N123">
            <v>5292420</v>
          </cell>
          <cell r="O123">
            <v>4886807</v>
          </cell>
          <cell r="P123">
            <v>3922034</v>
          </cell>
          <cell r="Q123">
            <v>3804545.0782076744</v>
          </cell>
          <cell r="R123">
            <v>4609817.1129421378</v>
          </cell>
          <cell r="S123">
            <v>5774191.7129221698</v>
          </cell>
          <cell r="AA123">
            <v>9091144.9891102128</v>
          </cell>
          <cell r="AB123">
            <v>8892371.2987734117</v>
          </cell>
          <cell r="AC123">
            <v>9614079.1110444833</v>
          </cell>
          <cell r="AD123">
            <v>10596287.161482276</v>
          </cell>
          <cell r="AE123">
            <v>11575523.602335015</v>
          </cell>
          <cell r="AF123">
            <v>11570328.558080548</v>
          </cell>
          <cell r="AG123">
            <v>11612625.860388728</v>
          </cell>
          <cell r="AH123">
            <v>12200354.842341354</v>
          </cell>
          <cell r="AI123">
            <v>13172372.778771644</v>
          </cell>
          <cell r="AJ123">
            <v>13501705.6301654</v>
          </cell>
          <cell r="AK123">
            <v>13476200.619701881</v>
          </cell>
          <cell r="AL123">
            <v>13415205.67477086</v>
          </cell>
          <cell r="AM123">
            <v>13185206.980684943</v>
          </cell>
          <cell r="AN123">
            <v>13689738.794349477</v>
          </cell>
          <cell r="AO123">
            <v>14183932.803343907</v>
          </cell>
          <cell r="AP123">
            <v>14311068.390806342</v>
          </cell>
        </row>
        <row r="124">
          <cell r="C124">
            <v>4380619</v>
          </cell>
          <cell r="D124">
            <v>408502</v>
          </cell>
          <cell r="E124">
            <v>1825728</v>
          </cell>
          <cell r="F124">
            <v>761660</v>
          </cell>
          <cell r="G124">
            <v>341069</v>
          </cell>
          <cell r="H124">
            <v>309105</v>
          </cell>
          <cell r="I124">
            <v>367344</v>
          </cell>
          <cell r="J124">
            <v>430228</v>
          </cell>
          <cell r="K124">
            <v>3468236</v>
          </cell>
          <cell r="L124">
            <v>4256121</v>
          </cell>
          <cell r="M124">
            <v>2229105</v>
          </cell>
          <cell r="N124">
            <v>8683370</v>
          </cell>
          <cell r="O124">
            <v>7140938</v>
          </cell>
          <cell r="P124">
            <v>1427701</v>
          </cell>
          <cell r="Q124">
            <v>4462045.4060335485</v>
          </cell>
          <cell r="R124">
            <v>5265471.1928895842</v>
          </cell>
          <cell r="S124">
            <v>6918971.409732407</v>
          </cell>
          <cell r="AA124">
            <v>10046947.749192206</v>
          </cell>
          <cell r="AB124">
            <v>9805216.359429935</v>
          </cell>
          <cell r="AC124">
            <v>10584144.29052403</v>
          </cell>
          <cell r="AD124">
            <v>11649775.456186704</v>
          </cell>
          <cell r="AE124">
            <v>12737429.886017809</v>
          </cell>
          <cell r="AF124">
            <v>12745301.091631114</v>
          </cell>
          <cell r="AG124">
            <v>12784649.780309452</v>
          </cell>
          <cell r="AH124">
            <v>13428285.496437877</v>
          </cell>
          <cell r="AI124">
            <v>14497576.787099108</v>
          </cell>
          <cell r="AJ124">
            <v>14862859.853075251</v>
          </cell>
          <cell r="AK124">
            <v>14835883.012585936</v>
          </cell>
          <cell r="AL124">
            <v>14767143.517288383</v>
          </cell>
          <cell r="AM124">
            <v>14513616.741672307</v>
          </cell>
          <cell r="AN124">
            <v>15069237.576195538</v>
          </cell>
          <cell r="AO124">
            <v>15613686.46857398</v>
          </cell>
          <cell r="AP124">
            <v>15753601.70262092</v>
          </cell>
        </row>
        <row r="125">
          <cell r="C125">
            <v>820327</v>
          </cell>
          <cell r="D125">
            <v>510434</v>
          </cell>
          <cell r="E125">
            <v>5656316</v>
          </cell>
          <cell r="F125">
            <v>776903</v>
          </cell>
          <cell r="G125">
            <v>544047</v>
          </cell>
          <cell r="H125">
            <v>526111</v>
          </cell>
          <cell r="I125">
            <v>372167</v>
          </cell>
          <cell r="J125">
            <v>930706</v>
          </cell>
          <cell r="K125">
            <v>2475387</v>
          </cell>
          <cell r="L125">
            <v>3353056</v>
          </cell>
          <cell r="M125">
            <v>4201540</v>
          </cell>
          <cell r="N125">
            <v>4577635</v>
          </cell>
          <cell r="O125">
            <v>9795364</v>
          </cell>
          <cell r="P125">
            <v>6189823</v>
          </cell>
          <cell r="Q125">
            <v>5285417.4387381254</v>
          </cell>
          <cell r="R125">
            <v>6608411.4173958665</v>
          </cell>
          <cell r="S125">
            <v>8323594.8128836397</v>
          </cell>
          <cell r="AA125">
            <v>13525600.573040994</v>
          </cell>
          <cell r="AB125">
            <v>13251409.817632904</v>
          </cell>
          <cell r="AC125">
            <v>14336701.812314557</v>
          </cell>
          <cell r="AD125">
            <v>15801170.262425991</v>
          </cell>
          <cell r="AE125">
            <v>17243992.109078597</v>
          </cell>
          <cell r="AF125">
            <v>17240361.307880208</v>
          </cell>
          <cell r="AG125">
            <v>17307977.035917915</v>
          </cell>
          <cell r="AH125">
            <v>18184438.039260261</v>
          </cell>
          <cell r="AI125">
            <v>19631598.109538496</v>
          </cell>
          <cell r="AJ125">
            <v>20120431.229344469</v>
          </cell>
          <cell r="AK125">
            <v>20083729.640953183</v>
          </cell>
          <cell r="AL125">
            <v>19993462.91791939</v>
          </cell>
          <cell r="AM125">
            <v>19650481.194039784</v>
          </cell>
          <cell r="AN125">
            <v>20402053.017086837</v>
          </cell>
          <cell r="AO125">
            <v>21138435.584624019</v>
          </cell>
          <cell r="AP125">
            <v>21328175.444446594</v>
          </cell>
        </row>
        <row r="126">
          <cell r="C126">
            <v>810431</v>
          </cell>
          <cell r="D126">
            <v>554454</v>
          </cell>
          <cell r="E126">
            <v>4357542</v>
          </cell>
          <cell r="F126">
            <v>1384274</v>
          </cell>
          <cell r="G126">
            <v>476182</v>
          </cell>
          <cell r="H126">
            <v>425193</v>
          </cell>
          <cell r="I126">
            <v>516394</v>
          </cell>
          <cell r="J126">
            <v>2489820</v>
          </cell>
          <cell r="K126">
            <v>3103036</v>
          </cell>
          <cell r="L126">
            <v>3624640</v>
          </cell>
          <cell r="M126">
            <v>5244569</v>
          </cell>
          <cell r="N126">
            <v>4786731</v>
          </cell>
          <cell r="O126">
            <v>4437004</v>
          </cell>
          <cell r="P126">
            <v>6786703</v>
          </cell>
          <cell r="Q126">
            <v>4676792.1621910194</v>
          </cell>
          <cell r="R126">
            <v>5702803.8427504646</v>
          </cell>
          <cell r="S126">
            <v>6767794.7157582389</v>
          </cell>
          <cell r="AA126">
            <v>11289540.991109733</v>
          </cell>
          <cell r="AB126">
            <v>11051446.873012669</v>
          </cell>
          <cell r="AC126">
            <v>11958008.055857308</v>
          </cell>
          <cell r="AD126">
            <v>13193307.982895501</v>
          </cell>
          <cell r="AE126">
            <v>14407361.72253938</v>
          </cell>
          <cell r="AF126">
            <v>14390355.926277425</v>
          </cell>
          <cell r="AG126">
            <v>14446825.557806795</v>
          </cell>
          <cell r="AH126">
            <v>15180485.659977095</v>
          </cell>
          <cell r="AI126">
            <v>16390955.841522472</v>
          </cell>
          <cell r="AJ126">
            <v>16798987.999267172</v>
          </cell>
          <cell r="AK126">
            <v>16766178.759196563</v>
          </cell>
          <cell r="AL126">
            <v>16691271.480748378</v>
          </cell>
          <cell r="AM126">
            <v>16405439.946088003</v>
          </cell>
          <cell r="AN126">
            <v>17033105.953995343</v>
          </cell>
          <cell r="AO126">
            <v>17647663.268482916</v>
          </cell>
          <cell r="AP126">
            <v>17805813.383538153</v>
          </cell>
        </row>
        <row r="127">
          <cell r="C127">
            <v>1145938</v>
          </cell>
          <cell r="D127">
            <v>1233548</v>
          </cell>
          <cell r="E127">
            <v>6366432</v>
          </cell>
          <cell r="F127">
            <v>488601</v>
          </cell>
          <cell r="G127">
            <v>445036</v>
          </cell>
          <cell r="H127">
            <v>474815</v>
          </cell>
          <cell r="I127">
            <v>440230</v>
          </cell>
          <cell r="J127">
            <v>2138451</v>
          </cell>
          <cell r="K127">
            <v>3613287</v>
          </cell>
          <cell r="L127">
            <v>3674667</v>
          </cell>
          <cell r="M127">
            <v>7740697</v>
          </cell>
          <cell r="N127">
            <v>7251742</v>
          </cell>
          <cell r="O127">
            <v>8073780</v>
          </cell>
          <cell r="P127">
            <v>8864247</v>
          </cell>
          <cell r="Q127">
            <v>6692932.859866092</v>
          </cell>
          <cell r="R127">
            <v>8493882.9758975357</v>
          </cell>
          <cell r="S127">
            <v>10098230.367046395</v>
          </cell>
          <cell r="AA127">
            <v>16593854.399156081</v>
          </cell>
          <cell r="AB127">
            <v>16244881.782357566</v>
          </cell>
          <cell r="AC127">
            <v>17569057.674494725</v>
          </cell>
          <cell r="AD127">
            <v>19377404.704483926</v>
          </cell>
          <cell r="AE127">
            <v>21160311.576358572</v>
          </cell>
          <cell r="AF127">
            <v>21142897.098765869</v>
          </cell>
          <cell r="AG127">
            <v>21224353.030179393</v>
          </cell>
          <cell r="AH127">
            <v>22300245.930673808</v>
          </cell>
          <cell r="AI127">
            <v>24077827.908714287</v>
          </cell>
          <cell r="AJ127">
            <v>24677927.581519194</v>
          </cell>
          <cell r="AK127">
            <v>24630661.235033907</v>
          </cell>
          <cell r="AL127">
            <v>24520096.8128036</v>
          </cell>
          <cell r="AM127">
            <v>24099912.888213206</v>
          </cell>
          <cell r="AN127">
            <v>25022004.519630011</v>
          </cell>
          <cell r="AO127">
            <v>25924980.611098327</v>
          </cell>
          <cell r="AP127">
            <v>26157375.988568727</v>
          </cell>
        </row>
        <row r="128">
          <cell r="C128">
            <v>1889562</v>
          </cell>
          <cell r="D128">
            <v>1040125</v>
          </cell>
          <cell r="E128">
            <v>7873106</v>
          </cell>
          <cell r="F128">
            <v>626006</v>
          </cell>
          <cell r="G128">
            <v>370351</v>
          </cell>
          <cell r="H128">
            <v>354877</v>
          </cell>
          <cell r="I128">
            <v>383102</v>
          </cell>
          <cell r="J128">
            <v>3630173</v>
          </cell>
          <cell r="K128">
            <v>3039211</v>
          </cell>
          <cell r="L128">
            <v>3281535</v>
          </cell>
          <cell r="M128">
            <v>5824657</v>
          </cell>
          <cell r="N128">
            <v>8895630</v>
          </cell>
          <cell r="O128">
            <v>7402500</v>
          </cell>
          <cell r="P128">
            <v>6811136</v>
          </cell>
          <cell r="Q128">
            <v>6055753.1815380659</v>
          </cell>
          <cell r="R128">
            <v>7694771.139350838</v>
          </cell>
          <cell r="S128">
            <v>9452791.6906419229</v>
          </cell>
          <cell r="AA128">
            <v>14908278.897703221</v>
          </cell>
          <cell r="AB128">
            <v>14586659.853056431</v>
          </cell>
          <cell r="AC128">
            <v>15766684.360459544</v>
          </cell>
          <cell r="AD128">
            <v>17379409.812630791</v>
          </cell>
          <cell r="AE128">
            <v>18987288.097930685</v>
          </cell>
          <cell r="AF128">
            <v>18976848.764843225</v>
          </cell>
          <cell r="AG128">
            <v>19046752.006160077</v>
          </cell>
          <cell r="AH128">
            <v>20010374.945450641</v>
          </cell>
          <cell r="AI128">
            <v>21605043.357569523</v>
          </cell>
          <cell r="AJ128">
            <v>22145296.316788375</v>
          </cell>
          <cell r="AK128">
            <v>22103183.934283827</v>
          </cell>
          <cell r="AL128">
            <v>22003224.361149654</v>
          </cell>
          <cell r="AM128">
            <v>21625974.090379197</v>
          </cell>
          <cell r="AN128">
            <v>22453548.115895078</v>
          </cell>
          <cell r="AO128">
            <v>23264098.307860933</v>
          </cell>
          <cell r="AP128">
            <v>23472587.163329612</v>
          </cell>
        </row>
        <row r="129">
          <cell r="C129">
            <v>1149922</v>
          </cell>
          <cell r="D129">
            <v>1119440</v>
          </cell>
          <cell r="E129">
            <v>7878698</v>
          </cell>
          <cell r="F129">
            <v>842544</v>
          </cell>
          <cell r="G129">
            <v>376668</v>
          </cell>
          <cell r="H129">
            <v>531220</v>
          </cell>
          <cell r="I129">
            <v>325147</v>
          </cell>
          <cell r="J129">
            <v>3099580</v>
          </cell>
          <cell r="K129">
            <v>1976794</v>
          </cell>
          <cell r="L129">
            <v>4348250</v>
          </cell>
          <cell r="M129">
            <v>5090487</v>
          </cell>
          <cell r="N129">
            <v>5690860</v>
          </cell>
          <cell r="O129">
            <v>6904320</v>
          </cell>
          <cell r="P129">
            <v>5111224</v>
          </cell>
          <cell r="Q129">
            <v>5102652.0862763887</v>
          </cell>
          <cell r="R129">
            <v>6135541.1758462833</v>
          </cell>
          <cell r="S129">
            <v>7422919.2870181222</v>
          </cell>
          <cell r="AA129">
            <v>11984169.530725475</v>
          </cell>
          <cell r="AB129">
            <v>11719453.683657413</v>
          </cell>
          <cell r="AC129">
            <v>12671579.517024415</v>
          </cell>
          <cell r="AD129">
            <v>13971307.9127429</v>
          </cell>
          <cell r="AE129">
            <v>15258637.76793259</v>
          </cell>
          <cell r="AF129">
            <v>15251801.874976644</v>
          </cell>
          <cell r="AG129">
            <v>15307472.201539619</v>
          </cell>
          <cell r="AH129">
            <v>16082700.567389639</v>
          </cell>
          <cell r="AI129">
            <v>17364453.718956657</v>
          </cell>
          <cell r="AJ129">
            <v>17797973.252469543</v>
          </cell>
          <cell r="AK129">
            <v>17764404.354395576</v>
          </cell>
          <cell r="AL129">
            <v>17684057.325440697</v>
          </cell>
          <cell r="AM129">
            <v>17380952.263997275</v>
          </cell>
          <cell r="AN129">
            <v>18046034.996381707</v>
          </cell>
          <cell r="AO129">
            <v>18697401.186145853</v>
          </cell>
          <cell r="AP129">
            <v>18865015.599514659</v>
          </cell>
        </row>
        <row r="130">
          <cell r="C130">
            <v>1533521</v>
          </cell>
          <cell r="D130">
            <v>1905118</v>
          </cell>
          <cell r="E130">
            <v>4420456</v>
          </cell>
          <cell r="F130">
            <v>519406</v>
          </cell>
          <cell r="G130">
            <v>311314</v>
          </cell>
          <cell r="H130">
            <v>383524</v>
          </cell>
          <cell r="I130">
            <v>597475</v>
          </cell>
          <cell r="J130">
            <v>3453701</v>
          </cell>
          <cell r="K130">
            <v>2394703</v>
          </cell>
          <cell r="L130">
            <v>5931919</v>
          </cell>
          <cell r="M130">
            <v>753698</v>
          </cell>
          <cell r="N130">
            <v>8102250</v>
          </cell>
          <cell r="O130">
            <v>4408772</v>
          </cell>
          <cell r="P130">
            <v>7182048</v>
          </cell>
          <cell r="Q130">
            <v>4958576.6474295296</v>
          </cell>
          <cell r="R130">
            <v>5587028.3498493591</v>
          </cell>
          <cell r="S130">
            <v>7754788.9790439336</v>
          </cell>
          <cell r="AA130">
            <v>12039655.545330543</v>
          </cell>
          <cell r="AB130">
            <v>11792196.543886909</v>
          </cell>
          <cell r="AC130">
            <v>12766957.152845845</v>
          </cell>
          <cell r="AD130">
            <v>14067597.608061876</v>
          </cell>
          <cell r="AE130">
            <v>15367552.132275471</v>
          </cell>
          <cell r="AF130">
            <v>15351491.213674629</v>
          </cell>
          <cell r="AG130">
            <v>15412602.950728495</v>
          </cell>
          <cell r="AH130">
            <v>16194874.675729336</v>
          </cell>
          <cell r="AI130">
            <v>17483966.806376908</v>
          </cell>
          <cell r="AJ130">
            <v>17920440.820795547</v>
          </cell>
          <cell r="AK130">
            <v>17885789.696728092</v>
          </cell>
          <cell r="AL130">
            <v>17805843.159840528</v>
          </cell>
          <cell r="AM130">
            <v>17500708.45078088</v>
          </cell>
          <cell r="AN130">
            <v>18170094.126997132</v>
          </cell>
          <cell r="AO130">
            <v>18825908.768559109</v>
          </cell>
          <cell r="AP130">
            <v>18994645.34043552</v>
          </cell>
        </row>
        <row r="131">
          <cell r="C131">
            <v>943950</v>
          </cell>
          <cell r="D131">
            <v>2178367</v>
          </cell>
          <cell r="E131">
            <v>568804</v>
          </cell>
          <cell r="F131">
            <v>790638</v>
          </cell>
          <cell r="G131">
            <v>298845</v>
          </cell>
          <cell r="H131">
            <v>278792</v>
          </cell>
          <cell r="I131">
            <v>545276</v>
          </cell>
          <cell r="J131">
            <v>2370500</v>
          </cell>
          <cell r="K131">
            <v>3022605</v>
          </cell>
          <cell r="L131">
            <v>8103462</v>
          </cell>
          <cell r="M131">
            <v>11052730</v>
          </cell>
          <cell r="N131">
            <v>9172390</v>
          </cell>
          <cell r="O131">
            <v>3567815</v>
          </cell>
          <cell r="P131">
            <v>6420761</v>
          </cell>
          <cell r="Q131">
            <v>4053190.7131135985</v>
          </cell>
          <cell r="R131">
            <v>7535818.5525191203</v>
          </cell>
          <cell r="S131">
            <v>7885913.298689872</v>
          </cell>
          <cell r="AA131">
            <v>12438198.935362041</v>
          </cell>
          <cell r="AB131">
            <v>12182752.96412833</v>
          </cell>
          <cell r="AC131">
            <v>13132327.782153785</v>
          </cell>
          <cell r="AD131">
            <v>14485473.349991143</v>
          </cell>
          <cell r="AE131">
            <v>15840495.727021843</v>
          </cell>
          <cell r="AF131">
            <v>15826977.592402697</v>
          </cell>
          <cell r="AG131">
            <v>15884284.487294436</v>
          </cell>
          <cell r="AH131">
            <v>16683910.753199071</v>
          </cell>
          <cell r="AI131">
            <v>18016541.818767786</v>
          </cell>
          <cell r="AJ131">
            <v>18468698.907797992</v>
          </cell>
          <cell r="AK131">
            <v>18432382.102480888</v>
          </cell>
          <cell r="AL131">
            <v>18348662.15320304</v>
          </cell>
          <cell r="AM131">
            <v>18033860.084762484</v>
          </cell>
          <cell r="AN131">
            <v>18724527.137018859</v>
          </cell>
          <cell r="AO131">
            <v>19400547.352985799</v>
          </cell>
          <cell r="AP131">
            <v>19574169.494234145</v>
          </cell>
        </row>
        <row r="296">
          <cell r="C296">
            <v>0</v>
          </cell>
          <cell r="D296">
            <v>0</v>
          </cell>
          <cell r="E296">
            <v>0</v>
          </cell>
          <cell r="F296">
            <v>0</v>
          </cell>
          <cell r="G296">
            <v>0</v>
          </cell>
          <cell r="H296">
            <v>0</v>
          </cell>
          <cell r="I296">
            <v>0</v>
          </cell>
          <cell r="J296">
            <v>0</v>
          </cell>
          <cell r="K296">
            <v>0</v>
          </cell>
          <cell r="L296">
            <v>0</v>
          </cell>
          <cell r="M296">
            <v>0</v>
          </cell>
          <cell r="N296">
            <v>0</v>
          </cell>
          <cell r="O296">
            <v>0</v>
          </cell>
          <cell r="P296">
            <v>0</v>
          </cell>
          <cell r="Q296">
            <v>5700777</v>
          </cell>
          <cell r="R296">
            <v>3956638.1340592946</v>
          </cell>
          <cell r="S296">
            <v>4246583.830280914</v>
          </cell>
          <cell r="T296">
            <v>4377927.5341358548</v>
          </cell>
          <cell r="U296">
            <v>4523554.2725951141</v>
          </cell>
          <cell r="V296">
            <v>4944660.5357750747</v>
          </cell>
          <cell r="W296">
            <v>4864807.0345677352</v>
          </cell>
          <cell r="X296">
            <v>4992803.6531071467</v>
          </cell>
          <cell r="Y296">
            <v>5148463.2183716856</v>
          </cell>
          <cell r="Z296">
            <v>5302032.2473182157</v>
          </cell>
          <cell r="AA296">
            <v>5457223.0264714081</v>
          </cell>
          <cell r="AB296">
            <v>5547751.6131651979</v>
          </cell>
          <cell r="AC296">
            <v>5693188.4898955086</v>
          </cell>
          <cell r="AD296">
            <v>5833679.5220731245</v>
          </cell>
          <cell r="AE296">
            <v>5970896.5754133435</v>
          </cell>
          <cell r="AF296">
            <v>6104603.2154264245</v>
          </cell>
          <cell r="AG296">
            <v>6233718.5548527492</v>
          </cell>
          <cell r="AH296">
            <v>6371089.8449015869</v>
          </cell>
          <cell r="AI296">
            <v>6506733.3975273864</v>
          </cell>
          <cell r="AJ296">
            <v>6641341.9377618674</v>
          </cell>
          <cell r="AK296">
            <v>6775395.7983408496</v>
          </cell>
          <cell r="AL296">
            <v>8413936.7649726961</v>
          </cell>
          <cell r="AM296">
            <v>9087756.3913364839</v>
          </cell>
          <cell r="AN296">
            <v>9761037.5430186111</v>
          </cell>
          <cell r="AO296">
            <v>10770668.458826544</v>
          </cell>
          <cell r="AP296">
            <v>14136328.311971739</v>
          </cell>
        </row>
        <row r="297">
          <cell r="C297">
            <v>0</v>
          </cell>
          <cell r="D297">
            <v>0</v>
          </cell>
          <cell r="E297">
            <v>0</v>
          </cell>
          <cell r="F297">
            <v>0</v>
          </cell>
          <cell r="G297">
            <v>0</v>
          </cell>
          <cell r="H297">
            <v>0</v>
          </cell>
          <cell r="I297">
            <v>0</v>
          </cell>
          <cell r="J297">
            <v>0</v>
          </cell>
          <cell r="K297">
            <v>0</v>
          </cell>
          <cell r="L297">
            <v>275611</v>
          </cell>
          <cell r="M297">
            <v>357446</v>
          </cell>
          <cell r="N297">
            <v>0</v>
          </cell>
          <cell r="O297">
            <v>0</v>
          </cell>
          <cell r="P297">
            <v>55877</v>
          </cell>
          <cell r="Q297">
            <v>7398276</v>
          </cell>
          <cell r="R297">
            <v>5421659.274056755</v>
          </cell>
          <cell r="S297">
            <v>5661785.8345868858</v>
          </cell>
          <cell r="T297">
            <v>5836900.6920036729</v>
          </cell>
          <cell r="U297">
            <v>6031058.4992901916</v>
          </cell>
          <cell r="V297">
            <v>6580386.0027741222</v>
          </cell>
          <cell r="W297">
            <v>6515673.6134747788</v>
          </cell>
          <cell r="X297">
            <v>6660499.1013400685</v>
          </cell>
          <cell r="Y297">
            <v>6868856.0434000269</v>
          </cell>
          <cell r="Z297">
            <v>7074594.7443078309</v>
          </cell>
          <cell r="AA297">
            <v>7282705.6982909674</v>
          </cell>
          <cell r="AB297">
            <v>7407457.3621134553</v>
          </cell>
          <cell r="AC297">
            <v>7597321.4524377398</v>
          </cell>
          <cell r="AD297">
            <v>7785271.0323438533</v>
          </cell>
          <cell r="AE297">
            <v>7968814.5267117461</v>
          </cell>
          <cell r="AF297">
            <v>8147592.0307561299</v>
          </cell>
          <cell r="AG297">
            <v>8320099.6788556837</v>
          </cell>
          <cell r="AH297">
            <v>8502826.1566894595</v>
          </cell>
          <cell r="AI297">
            <v>8684021.8887164742</v>
          </cell>
          <cell r="AJ297">
            <v>8863775.2830925286</v>
          </cell>
          <cell r="AK297">
            <v>9042722.4692779705</v>
          </cell>
          <cell r="AL297">
            <v>11229551.339015033</v>
          </cell>
          <cell r="AM297">
            <v>12128764.766227402</v>
          </cell>
          <cell r="AN297">
            <v>13027396.678150486</v>
          </cell>
          <cell r="AO297">
            <v>14374902.67370867</v>
          </cell>
          <cell r="AP297">
            <v>18866823.352422003</v>
          </cell>
        </row>
        <row r="298">
          <cell r="C298">
            <v>0</v>
          </cell>
          <cell r="D298">
            <v>0</v>
          </cell>
          <cell r="E298">
            <v>0</v>
          </cell>
          <cell r="F298">
            <v>0</v>
          </cell>
          <cell r="G298">
            <v>0</v>
          </cell>
          <cell r="H298">
            <v>0</v>
          </cell>
          <cell r="I298">
            <v>0</v>
          </cell>
          <cell r="J298">
            <v>0</v>
          </cell>
          <cell r="K298">
            <v>0</v>
          </cell>
          <cell r="L298">
            <v>188487</v>
          </cell>
          <cell r="M298">
            <v>158138</v>
          </cell>
          <cell r="N298">
            <v>523590</v>
          </cell>
          <cell r="O298">
            <v>86961</v>
          </cell>
          <cell r="P298">
            <v>26975</v>
          </cell>
          <cell r="Q298">
            <v>5198421</v>
          </cell>
          <cell r="R298">
            <v>4160209.2644200609</v>
          </cell>
          <cell r="S298">
            <v>4395535.9656994166</v>
          </cell>
          <cell r="T298">
            <v>4366624.7929940037</v>
          </cell>
          <cell r="U298">
            <v>4490358.526425235</v>
          </cell>
          <cell r="V298">
            <v>4902525.8431708543</v>
          </cell>
          <cell r="W298">
            <v>4923471.0369457109</v>
          </cell>
          <cell r="X298">
            <v>5019115.0232623722</v>
          </cell>
          <cell r="Y298">
            <v>5148103.1420444325</v>
          </cell>
          <cell r="Z298">
            <v>5304043.6893703155</v>
          </cell>
          <cell r="AA298">
            <v>5466837.9339793967</v>
          </cell>
          <cell r="AB298">
            <v>5568474.218408295</v>
          </cell>
          <cell r="AC298">
            <v>5705738.0539047327</v>
          </cell>
          <cell r="AD298">
            <v>5843249.9028327996</v>
          </cell>
          <cell r="AE298">
            <v>5982581.1923451405</v>
          </cell>
          <cell r="AF298">
            <v>6118340.9095765818</v>
          </cell>
          <cell r="AG298">
            <v>6248316.9146458358</v>
          </cell>
          <cell r="AH298">
            <v>6384359.1269561797</v>
          </cell>
          <cell r="AI298">
            <v>6520137.592234659</v>
          </cell>
          <cell r="AJ298">
            <v>6655544.5878738603</v>
          </cell>
          <cell r="AK298">
            <v>6790115.7264956115</v>
          </cell>
          <cell r="AL298">
            <v>8432093.6234366652</v>
          </cell>
          <cell r="AM298">
            <v>9107067.1813316382</v>
          </cell>
          <cell r="AN298">
            <v>9781849.110799538</v>
          </cell>
          <cell r="AO298">
            <v>10793756.80421971</v>
          </cell>
          <cell r="AP298">
            <v>14166642.099781362</v>
          </cell>
        </row>
        <row r="299">
          <cell r="C299">
            <v>0</v>
          </cell>
          <cell r="D299">
            <v>0</v>
          </cell>
          <cell r="E299">
            <v>0</v>
          </cell>
          <cell r="F299">
            <v>0</v>
          </cell>
          <cell r="G299">
            <v>0</v>
          </cell>
          <cell r="H299">
            <v>0</v>
          </cell>
          <cell r="I299">
            <v>0</v>
          </cell>
          <cell r="J299">
            <v>0</v>
          </cell>
          <cell r="K299">
            <v>0</v>
          </cell>
          <cell r="L299">
            <v>288443</v>
          </cell>
          <cell r="M299">
            <v>52122</v>
          </cell>
          <cell r="N299">
            <v>283536</v>
          </cell>
          <cell r="O299">
            <v>151279</v>
          </cell>
          <cell r="P299">
            <v>1125974</v>
          </cell>
          <cell r="Q299">
            <v>4629943.7929588985</v>
          </cell>
          <cell r="R299">
            <v>4332868.5439223489</v>
          </cell>
          <cell r="S299">
            <v>4627465.4918700028</v>
          </cell>
          <cell r="T299">
            <v>4681313.1061602049</v>
          </cell>
          <cell r="U299">
            <v>4799600.1814455474</v>
          </cell>
          <cell r="V299">
            <v>5002271.5754839396</v>
          </cell>
          <cell r="W299">
            <v>5172402.8895876799</v>
          </cell>
          <cell r="X299">
            <v>5281077.7121790573</v>
          </cell>
          <cell r="Y299">
            <v>5416252.2184223449</v>
          </cell>
          <cell r="Z299">
            <v>5561414.9565910352</v>
          </cell>
          <cell r="AA299">
            <v>5712366.7490892187</v>
          </cell>
          <cell r="AB299">
            <v>5844500.3922446286</v>
          </cell>
          <cell r="AC299">
            <v>5987518.2662803568</v>
          </cell>
          <cell r="AD299">
            <v>6128793.1959942468</v>
          </cell>
          <cell r="AE299">
            <v>6271377.4207179304</v>
          </cell>
          <cell r="AF299">
            <v>6413405.7970589176</v>
          </cell>
          <cell r="AG299">
            <v>6553524.2549295602</v>
          </cell>
          <cell r="AH299">
            <v>6695351.7928842697</v>
          </cell>
          <cell r="AI299">
            <v>6836924.5017367527</v>
          </cell>
          <cell r="AJ299">
            <v>6978560.3640514864</v>
          </cell>
          <cell r="AK299">
            <v>7119994.1245177574</v>
          </cell>
          <cell r="AL299">
            <v>8842306.0108949356</v>
          </cell>
          <cell r="AM299">
            <v>9549793.3809183538</v>
          </cell>
          <cell r="AN299">
            <v>10257215.334845392</v>
          </cell>
          <cell r="AO299">
            <v>11318317.18424039</v>
          </cell>
          <cell r="AP299">
            <v>14855256.467268886</v>
          </cell>
        </row>
        <row r="300">
          <cell r="C300">
            <v>0</v>
          </cell>
          <cell r="D300">
            <v>0</v>
          </cell>
          <cell r="E300">
            <v>0</v>
          </cell>
          <cell r="F300">
            <v>0</v>
          </cell>
          <cell r="G300">
            <v>0</v>
          </cell>
          <cell r="H300">
            <v>0</v>
          </cell>
          <cell r="I300">
            <v>0</v>
          </cell>
          <cell r="J300">
            <v>0</v>
          </cell>
          <cell r="K300">
            <v>511168</v>
          </cell>
          <cell r="L300">
            <v>76739</v>
          </cell>
          <cell r="M300">
            <v>405003</v>
          </cell>
          <cell r="N300">
            <v>61757</v>
          </cell>
          <cell r="O300">
            <v>83490</v>
          </cell>
          <cell r="P300">
            <v>126993</v>
          </cell>
          <cell r="Q300">
            <v>2439454.3472192641</v>
          </cell>
          <cell r="R300">
            <v>2163151.3697745381</v>
          </cell>
          <cell r="S300">
            <v>2143579.9030623864</v>
          </cell>
          <cell r="T300">
            <v>2190433.9302464905</v>
          </cell>
          <cell r="U300">
            <v>2242638.0108511001</v>
          </cell>
          <cell r="V300">
            <v>2423874.9551827926</v>
          </cell>
          <cell r="W300">
            <v>2463070.5599031411</v>
          </cell>
          <cell r="X300">
            <v>2493102.8197165541</v>
          </cell>
          <cell r="Y300">
            <v>2565813.7408550326</v>
          </cell>
          <cell r="Z300">
            <v>2640477.9832086572</v>
          </cell>
          <cell r="AA300">
            <v>2719958.0003953837</v>
          </cell>
          <cell r="AB300">
            <v>2773823.8102178201</v>
          </cell>
          <cell r="AC300">
            <v>2839929.7607105034</v>
          </cell>
          <cell r="AD300">
            <v>2909463.8203231692</v>
          </cell>
          <cell r="AE300">
            <v>2978308.2194336187</v>
          </cell>
          <cell r="AF300">
            <v>3045900.7426921371</v>
          </cell>
          <cell r="AG300">
            <v>3110949.9172311649</v>
          </cell>
          <cell r="AH300">
            <v>3178393.4357043873</v>
          </cell>
          <cell r="AI300">
            <v>3246121.3667620732</v>
          </cell>
          <cell r="AJ300">
            <v>3313463.1596586653</v>
          </cell>
          <cell r="AK300">
            <v>3380484.9462423124</v>
          </cell>
          <cell r="AL300">
            <v>4197985.728297621</v>
          </cell>
          <cell r="AM300">
            <v>4533980.926977857</v>
          </cell>
          <cell r="AN300">
            <v>4869943.769315741</v>
          </cell>
          <cell r="AO300">
            <v>5373717.3008087901</v>
          </cell>
          <cell r="AP300">
            <v>7052931.21166512</v>
          </cell>
        </row>
        <row r="301">
          <cell r="C301">
            <v>0</v>
          </cell>
          <cell r="D301">
            <v>0</v>
          </cell>
          <cell r="E301">
            <v>0</v>
          </cell>
          <cell r="F301">
            <v>0</v>
          </cell>
          <cell r="G301">
            <v>0</v>
          </cell>
          <cell r="H301">
            <v>0</v>
          </cell>
          <cell r="I301">
            <v>0</v>
          </cell>
          <cell r="J301">
            <v>0</v>
          </cell>
          <cell r="K301">
            <v>0</v>
          </cell>
          <cell r="L301">
            <v>0</v>
          </cell>
          <cell r="M301">
            <v>357103</v>
          </cell>
          <cell r="N301">
            <v>133548</v>
          </cell>
          <cell r="O301">
            <v>0</v>
          </cell>
          <cell r="P301">
            <v>1415949</v>
          </cell>
          <cell r="Q301">
            <v>3639959.1215814813</v>
          </cell>
          <cell r="R301">
            <v>3849602.8406765801</v>
          </cell>
          <cell r="S301">
            <v>3974678.6378382039</v>
          </cell>
          <cell r="T301">
            <v>4055562.4924722896</v>
          </cell>
          <cell r="U301">
            <v>4190466.1275350894</v>
          </cell>
          <cell r="V301">
            <v>4273559.9981640233</v>
          </cell>
          <cell r="W301">
            <v>4488519.5318742869</v>
          </cell>
          <cell r="X301">
            <v>4563335.8593314858</v>
          </cell>
          <cell r="Y301">
            <v>4685324.9739834527</v>
          </cell>
          <cell r="Z301">
            <v>4809598.9271680694</v>
          </cell>
          <cell r="AA301">
            <v>4931565.8193476535</v>
          </cell>
          <cell r="AB301">
            <v>5055321.6711799251</v>
          </cell>
          <cell r="AC301">
            <v>5175897.5582912806</v>
          </cell>
          <cell r="AD301">
            <v>5298426.4860878699</v>
          </cell>
          <cell r="AE301">
            <v>5421070.4112835592</v>
          </cell>
          <cell r="AF301">
            <v>5543364.1073175427</v>
          </cell>
          <cell r="AG301">
            <v>5665727.717703267</v>
          </cell>
          <cell r="AH301">
            <v>5787793.8555368185</v>
          </cell>
          <cell r="AI301">
            <v>5910178.4360879064</v>
          </cell>
          <cell r="AJ301">
            <v>6032532.0478795571</v>
          </cell>
          <cell r="AK301">
            <v>6154823.7801573174</v>
          </cell>
          <cell r="AL301">
            <v>7643832.342825884</v>
          </cell>
          <cell r="AM301">
            <v>8255307.723886366</v>
          </cell>
          <cell r="AN301">
            <v>8866836.5464005191</v>
          </cell>
          <cell r="AO301">
            <v>9784102.5824655686</v>
          </cell>
          <cell r="AP301">
            <v>12841627.919934632</v>
          </cell>
        </row>
        <row r="302">
          <cell r="C302">
            <v>0</v>
          </cell>
          <cell r="D302">
            <v>0</v>
          </cell>
          <cell r="E302">
            <v>0</v>
          </cell>
          <cell r="F302">
            <v>0</v>
          </cell>
          <cell r="G302">
            <v>0</v>
          </cell>
          <cell r="H302">
            <v>0</v>
          </cell>
          <cell r="I302">
            <v>0</v>
          </cell>
          <cell r="J302">
            <v>0</v>
          </cell>
          <cell r="K302">
            <v>229748</v>
          </cell>
          <cell r="L302">
            <v>517912</v>
          </cell>
          <cell r="M302">
            <v>362495</v>
          </cell>
          <cell r="N302">
            <v>117189</v>
          </cell>
          <cell r="O302">
            <v>161951</v>
          </cell>
          <cell r="P302">
            <v>1403057</v>
          </cell>
          <cell r="Q302">
            <v>4892360.1200048197</v>
          </cell>
          <cell r="R302">
            <v>4814677.8861842761</v>
          </cell>
          <cell r="S302">
            <v>5008104.1919777747</v>
          </cell>
          <cell r="T302">
            <v>5126102.0656875595</v>
          </cell>
          <cell r="U302">
            <v>5256543.9292416545</v>
          </cell>
          <cell r="V302">
            <v>5441676.2382429177</v>
          </cell>
          <cell r="W302">
            <v>5658585.5144735808</v>
          </cell>
          <cell r="X302">
            <v>5761264.5048591206</v>
          </cell>
          <cell r="Y302">
            <v>5917443.477343427</v>
          </cell>
          <cell r="Z302">
            <v>6073524.7202485586</v>
          </cell>
          <cell r="AA302">
            <v>6235138.4721577372</v>
          </cell>
          <cell r="AB302">
            <v>6383322.444581639</v>
          </cell>
          <cell r="AC302">
            <v>6537518.6646267623</v>
          </cell>
          <cell r="AD302">
            <v>6692828.3324159244</v>
          </cell>
          <cell r="AE302">
            <v>6847948.6703129206</v>
          </cell>
          <cell r="AF302">
            <v>7002861.1561682448</v>
          </cell>
          <cell r="AG302">
            <v>7156339.305689496</v>
          </cell>
          <cell r="AH302">
            <v>7310950.9500959804</v>
          </cell>
          <cell r="AI302">
            <v>7465650.8136328077</v>
          </cell>
          <cell r="AJ302">
            <v>7620220.2393534398</v>
          </cell>
          <cell r="AK302">
            <v>7774672.2896908773</v>
          </cell>
          <cell r="AL302">
            <v>9655414.7952567525</v>
          </cell>
          <cell r="AM302">
            <v>10427914.520721549</v>
          </cell>
          <cell r="AN302">
            <v>11200398.480987566</v>
          </cell>
          <cell r="AO302">
            <v>12359058.831973571</v>
          </cell>
          <cell r="AP302">
            <v>16221236.94571076</v>
          </cell>
        </row>
        <row r="303">
          <cell r="C303">
            <v>0</v>
          </cell>
          <cell r="D303">
            <v>0</v>
          </cell>
          <cell r="E303">
            <v>0</v>
          </cell>
          <cell r="F303">
            <v>0</v>
          </cell>
          <cell r="G303">
            <v>0</v>
          </cell>
          <cell r="H303">
            <v>0</v>
          </cell>
          <cell r="I303">
            <v>0</v>
          </cell>
          <cell r="J303">
            <v>0</v>
          </cell>
          <cell r="K303">
            <v>328511</v>
          </cell>
          <cell r="L303">
            <v>379861</v>
          </cell>
          <cell r="M303">
            <v>341876</v>
          </cell>
          <cell r="N303">
            <v>0</v>
          </cell>
          <cell r="O303">
            <v>26590</v>
          </cell>
          <cell r="P303">
            <v>1304981</v>
          </cell>
          <cell r="Q303">
            <v>3920044.6784937736</v>
          </cell>
          <cell r="R303">
            <v>3882176.4958832441</v>
          </cell>
          <cell r="S303">
            <v>4016334.9735336783</v>
          </cell>
          <cell r="T303">
            <v>4140557.2501750775</v>
          </cell>
          <cell r="U303">
            <v>4271708.891481217</v>
          </cell>
          <cell r="V303">
            <v>4386425.7713169875</v>
          </cell>
          <cell r="W303">
            <v>4566476.3486749474</v>
          </cell>
          <cell r="X303">
            <v>4650048.7006739378</v>
          </cell>
          <cell r="Y303">
            <v>4781712.6102635143</v>
          </cell>
          <cell r="Z303">
            <v>4908204.6086147744</v>
          </cell>
          <cell r="AA303">
            <v>5033681.155919713</v>
          </cell>
          <cell r="AB303">
            <v>5154751.0772586698</v>
          </cell>
          <cell r="AC303">
            <v>5279920.9246755149</v>
          </cell>
          <cell r="AD303">
            <v>5405986.678596017</v>
          </cell>
          <cell r="AE303">
            <v>5530847.1023714086</v>
          </cell>
          <cell r="AF303">
            <v>5655357.816902901</v>
          </cell>
          <cell r="AG303">
            <v>5779662.8102063201</v>
          </cell>
          <cell r="AH303">
            <v>5904659.9779920867</v>
          </cell>
          <cell r="AI303">
            <v>6029619.6699692076</v>
          </cell>
          <cell r="AJ303">
            <v>6154343.3109220639</v>
          </cell>
          <cell r="AK303">
            <v>6279037.9861175986</v>
          </cell>
          <cell r="AL303">
            <v>7798066.1549941227</v>
          </cell>
          <cell r="AM303">
            <v>8421980.5246302094</v>
          </cell>
          <cell r="AN303">
            <v>9045852.8802263048</v>
          </cell>
          <cell r="AO303">
            <v>9981606.7137224022</v>
          </cell>
          <cell r="AP303">
            <v>13100840.223142842</v>
          </cell>
        </row>
        <row r="304">
          <cell r="C304">
            <v>0</v>
          </cell>
          <cell r="D304">
            <v>0</v>
          </cell>
          <cell r="E304">
            <v>0</v>
          </cell>
          <cell r="F304">
            <v>0</v>
          </cell>
          <cell r="G304">
            <v>0</v>
          </cell>
          <cell r="H304">
            <v>0</v>
          </cell>
          <cell r="I304">
            <v>0</v>
          </cell>
          <cell r="J304">
            <v>0</v>
          </cell>
          <cell r="K304">
            <v>273475</v>
          </cell>
          <cell r="L304">
            <v>357763</v>
          </cell>
          <cell r="M304">
            <v>332632</v>
          </cell>
          <cell r="N304">
            <v>189601</v>
          </cell>
          <cell r="O304">
            <v>77023</v>
          </cell>
          <cell r="P304">
            <v>5053087</v>
          </cell>
          <cell r="Q304">
            <v>6474111.0649174396</v>
          </cell>
          <cell r="R304">
            <v>8416394.9202311691</v>
          </cell>
          <cell r="S304">
            <v>8886889.4485978521</v>
          </cell>
          <cell r="T304">
            <v>9102055.049497474</v>
          </cell>
          <cell r="U304">
            <v>9385766.4298675377</v>
          </cell>
          <cell r="V304">
            <v>9163900.2134669442</v>
          </cell>
          <cell r="W304">
            <v>9918536.7289658617</v>
          </cell>
          <cell r="X304">
            <v>10103499.165404331</v>
          </cell>
          <cell r="Y304">
            <v>10354756.358909167</v>
          </cell>
          <cell r="Z304">
            <v>10599272.806001043</v>
          </cell>
          <cell r="AA304">
            <v>10835445.335603092</v>
          </cell>
          <cell r="AB304">
            <v>11155975.860719347</v>
          </cell>
          <cell r="AC304">
            <v>11419182.650806917</v>
          </cell>
          <cell r="AD304">
            <v>11681823.80779474</v>
          </cell>
          <cell r="AE304">
            <v>11946931.024467062</v>
          </cell>
          <cell r="AF304">
            <v>12216462.762638651</v>
          </cell>
          <cell r="AG304">
            <v>12493128.323740186</v>
          </cell>
          <cell r="AH304">
            <v>12760406.26982112</v>
          </cell>
          <cell r="AI304">
            <v>13028559.071185503</v>
          </cell>
          <cell r="AJ304">
            <v>13297889.556665413</v>
          </cell>
          <cell r="AK304">
            <v>13568118.939872626</v>
          </cell>
          <cell r="AL304">
            <v>16851552.550772075</v>
          </cell>
          <cell r="AM304">
            <v>18198954.737049572</v>
          </cell>
          <cell r="AN304">
            <v>19546786.319010798</v>
          </cell>
          <cell r="AO304">
            <v>21568969.612012707</v>
          </cell>
          <cell r="AP304">
            <v>28309502.371112049</v>
          </cell>
        </row>
        <row r="305">
          <cell r="C305">
            <v>0</v>
          </cell>
          <cell r="D305">
            <v>0</v>
          </cell>
          <cell r="E305">
            <v>0</v>
          </cell>
          <cell r="F305">
            <v>0</v>
          </cell>
          <cell r="G305">
            <v>0</v>
          </cell>
          <cell r="H305">
            <v>0</v>
          </cell>
          <cell r="I305">
            <v>0</v>
          </cell>
          <cell r="J305">
            <v>0</v>
          </cell>
          <cell r="K305">
            <v>0</v>
          </cell>
          <cell r="L305">
            <v>392252</v>
          </cell>
          <cell r="M305">
            <v>177241</v>
          </cell>
          <cell r="N305">
            <v>0</v>
          </cell>
          <cell r="O305">
            <v>81664</v>
          </cell>
          <cell r="P305">
            <v>4053915</v>
          </cell>
          <cell r="Q305">
            <v>5982623.3840856105</v>
          </cell>
          <cell r="R305">
            <v>7145577.5064559793</v>
          </cell>
          <cell r="S305">
            <v>7591274.4264403898</v>
          </cell>
          <cell r="T305">
            <v>7826066.9420239124</v>
          </cell>
          <cell r="U305">
            <v>8066185.704255526</v>
          </cell>
          <cell r="V305">
            <v>7938116.6406327989</v>
          </cell>
          <cell r="W305">
            <v>8509183.5974427108</v>
          </cell>
          <cell r="X305">
            <v>8684155.1602356061</v>
          </cell>
          <cell r="Y305">
            <v>8910363.3369732685</v>
          </cell>
          <cell r="Z305">
            <v>9122144.468171915</v>
          </cell>
          <cell r="AA305">
            <v>9327903.6236836854</v>
          </cell>
          <cell r="AB305">
            <v>9593245.9369931445</v>
          </cell>
          <cell r="AC305">
            <v>9823880.0516993701</v>
          </cell>
          <cell r="AD305">
            <v>10051515.479797216</v>
          </cell>
          <cell r="AE305">
            <v>10279472.06176555</v>
          </cell>
          <cell r="AF305">
            <v>10510905.977565426</v>
          </cell>
          <cell r="AG305">
            <v>10747831.869358543</v>
          </cell>
          <cell r="AH305">
            <v>10978675.137988977</v>
          </cell>
          <cell r="AI305">
            <v>11209566.267807784</v>
          </cell>
          <cell r="AJ305">
            <v>11441153.636641277</v>
          </cell>
          <cell r="AK305">
            <v>11673514.158086183</v>
          </cell>
          <cell r="AL305">
            <v>14498381.03204417</v>
          </cell>
          <cell r="AM305">
            <v>15657824.246308636</v>
          </cell>
          <cell r="AN305">
            <v>16817454.275436223</v>
          </cell>
          <cell r="AO305">
            <v>18557227.164922453</v>
          </cell>
          <cell r="AP305">
            <v>24356529.984417502</v>
          </cell>
        </row>
        <row r="306">
          <cell r="C306">
            <v>0</v>
          </cell>
          <cell r="D306">
            <v>0</v>
          </cell>
          <cell r="E306">
            <v>0</v>
          </cell>
          <cell r="F306">
            <v>0</v>
          </cell>
          <cell r="G306">
            <v>0</v>
          </cell>
          <cell r="H306">
            <v>0</v>
          </cell>
          <cell r="I306">
            <v>0</v>
          </cell>
          <cell r="J306">
            <v>0</v>
          </cell>
          <cell r="K306">
            <v>268266</v>
          </cell>
          <cell r="L306">
            <v>365481</v>
          </cell>
          <cell r="M306">
            <v>383828</v>
          </cell>
          <cell r="N306">
            <v>25232</v>
          </cell>
          <cell r="O306">
            <v>0</v>
          </cell>
          <cell r="P306">
            <v>4076056</v>
          </cell>
          <cell r="Q306">
            <v>6260450.4328468312</v>
          </cell>
          <cell r="R306">
            <v>7457986.5025889054</v>
          </cell>
          <cell r="S306">
            <v>7835736.0349971224</v>
          </cell>
          <cell r="T306">
            <v>8070144.8125567408</v>
          </cell>
          <cell r="U306">
            <v>8338588.9242472593</v>
          </cell>
          <cell r="V306">
            <v>8231077.8055028031</v>
          </cell>
          <cell r="W306">
            <v>8810636.6606992465</v>
          </cell>
          <cell r="X306">
            <v>8978918.1452787668</v>
          </cell>
          <cell r="Y306">
            <v>9215672.798515249</v>
          </cell>
          <cell r="Z306">
            <v>9439926.8403477147</v>
          </cell>
          <cell r="AA306">
            <v>9654710.9619245064</v>
          </cell>
          <cell r="AB306">
            <v>9926153.1219725627</v>
          </cell>
          <cell r="AC306">
            <v>10163463.636692902</v>
          </cell>
          <cell r="AD306">
            <v>10400133.182136631</v>
          </cell>
          <cell r="AE306">
            <v>10636796.063940806</v>
          </cell>
          <cell r="AF306">
            <v>10876127.451927705</v>
          </cell>
          <cell r="AG306">
            <v>11120710.203717327</v>
          </cell>
          <cell r="AH306">
            <v>11359543.982991574</v>
          </cell>
          <cell r="AI306">
            <v>11598706.005532516</v>
          </cell>
          <cell r="AJ306">
            <v>11838401.139352499</v>
          </cell>
          <cell r="AK306">
            <v>12078741.988508085</v>
          </cell>
          <cell r="AL306">
            <v>15001578.717046559</v>
          </cell>
          <cell r="AM306">
            <v>16201301.779505849</v>
          </cell>
          <cell r="AN306">
            <v>17401233.557589889</v>
          </cell>
          <cell r="AO306">
            <v>19201391.939633396</v>
          </cell>
          <cell r="AP306">
            <v>25201971.120377965</v>
          </cell>
        </row>
        <row r="307">
          <cell r="C307">
            <v>0</v>
          </cell>
          <cell r="D307">
            <v>0</v>
          </cell>
          <cell r="E307">
            <v>0</v>
          </cell>
          <cell r="F307">
            <v>0</v>
          </cell>
          <cell r="G307">
            <v>0</v>
          </cell>
          <cell r="H307">
            <v>0</v>
          </cell>
          <cell r="I307">
            <v>0</v>
          </cell>
          <cell r="J307">
            <v>0</v>
          </cell>
          <cell r="K307">
            <v>864766</v>
          </cell>
          <cell r="L307">
            <v>550077</v>
          </cell>
          <cell r="M307">
            <v>582081</v>
          </cell>
          <cell r="N307">
            <v>286549</v>
          </cell>
          <cell r="O307">
            <v>188026</v>
          </cell>
          <cell r="P307">
            <v>3849612</v>
          </cell>
          <cell r="Q307">
            <v>4313579.057891883</v>
          </cell>
          <cell r="R307">
            <v>6399057.2617468461</v>
          </cell>
          <cell r="S307">
            <v>6612031.2611153871</v>
          </cell>
          <cell r="T307">
            <v>6726311.3320467249</v>
          </cell>
          <cell r="U307">
            <v>6903530.5027645305</v>
          </cell>
          <cell r="V307">
            <v>6711524.4202867374</v>
          </cell>
          <cell r="W307">
            <v>7358636.4833903164</v>
          </cell>
          <cell r="X307">
            <v>7462180.1546115577</v>
          </cell>
          <cell r="Y307">
            <v>7637238.0809184015</v>
          </cell>
          <cell r="Z307">
            <v>7814764.0086518675</v>
          </cell>
          <cell r="AA307">
            <v>7992463.2231372446</v>
          </cell>
          <cell r="AB307">
            <v>8239222.4911453128</v>
          </cell>
          <cell r="AC307">
            <v>8426440.4899784178</v>
          </cell>
          <cell r="AD307">
            <v>8618828.5596044064</v>
          </cell>
          <cell r="AE307">
            <v>8814956.7312369049</v>
          </cell>
          <cell r="AF307">
            <v>9015078.0319693387</v>
          </cell>
          <cell r="AG307">
            <v>9219990.4490698725</v>
          </cell>
          <cell r="AH307">
            <v>9415949.4684375525</v>
          </cell>
          <cell r="AI307">
            <v>9613780.9888069332</v>
          </cell>
          <cell r="AJ307">
            <v>9812774.7367473394</v>
          </cell>
          <cell r="AK307">
            <v>10012377.79269281</v>
          </cell>
          <cell r="AL307">
            <v>12435300.940443471</v>
          </cell>
          <cell r="AM307">
            <v>13429353.821106091</v>
          </cell>
          <cell r="AN307">
            <v>14423995.504218936</v>
          </cell>
          <cell r="AO307">
            <v>15916280.733465791</v>
          </cell>
          <cell r="AP307">
            <v>20890309.992195129</v>
          </cell>
        </row>
        <row r="312">
          <cell r="C312">
            <v>0</v>
          </cell>
          <cell r="D312">
            <v>0</v>
          </cell>
          <cell r="E312">
            <v>0</v>
          </cell>
          <cell r="F312">
            <v>898682</v>
          </cell>
          <cell r="G312">
            <v>1733383</v>
          </cell>
          <cell r="H312">
            <v>1134604</v>
          </cell>
          <cell r="I312">
            <v>1752312</v>
          </cell>
          <cell r="J312">
            <v>1754449</v>
          </cell>
          <cell r="K312">
            <v>1922242</v>
          </cell>
          <cell r="L312">
            <v>2027357</v>
          </cell>
          <cell r="M312">
            <v>1424788</v>
          </cell>
          <cell r="N312">
            <v>4361085</v>
          </cell>
          <cell r="O312">
            <v>5194575</v>
          </cell>
          <cell r="P312">
            <v>3767995</v>
          </cell>
          <cell r="Q312">
            <v>2332379</v>
          </cell>
          <cell r="R312">
            <v>2880449.7207534346</v>
          </cell>
          <cell r="S312">
            <v>3392935.8629517145</v>
          </cell>
          <cell r="T312">
            <v>3837316.2680595885</v>
          </cell>
          <cell r="U312">
            <v>3460512.4689105698</v>
          </cell>
          <cell r="V312">
            <v>3941790.4301761305</v>
          </cell>
          <cell r="W312">
            <v>4885116.0581676066</v>
          </cell>
          <cell r="X312">
            <v>5429164.933986702</v>
          </cell>
          <cell r="Y312">
            <v>6113043.3938615853</v>
          </cell>
          <cell r="Z312">
            <v>6938780.404170353</v>
          </cell>
          <cell r="AA312">
            <v>7287636.2355869394</v>
          </cell>
          <cell r="AB312">
            <v>6611706.7308079936</v>
          </cell>
          <cell r="AC312">
            <v>6656362.3666354036</v>
          </cell>
          <cell r="AD312">
            <v>6520987.0920378231</v>
          </cell>
          <cell r="AE312">
            <v>6819693.8639802402</v>
          </cell>
          <cell r="AF312">
            <v>8243712.0696209306</v>
          </cell>
          <cell r="AG312">
            <v>8636697.2394063175</v>
          </cell>
          <cell r="AH312">
            <v>8986002.6012128405</v>
          </cell>
          <cell r="AI312">
            <v>9374024.7284639962</v>
          </cell>
          <cell r="AJ312">
            <v>9164463.6692828313</v>
          </cell>
          <cell r="AK312">
            <v>8644542.7671051789</v>
          </cell>
          <cell r="AL312">
            <v>8394669.6366797462</v>
          </cell>
          <cell r="AM312">
            <v>8946909.0336293057</v>
          </cell>
          <cell r="AN312">
            <v>12428776.548420785</v>
          </cell>
          <cell r="AO312">
            <v>16201297.426407145</v>
          </cell>
          <cell r="AP312">
            <v>17959693.806527179</v>
          </cell>
        </row>
        <row r="313">
          <cell r="C313">
            <v>0</v>
          </cell>
          <cell r="D313">
            <v>0</v>
          </cell>
          <cell r="E313">
            <v>0</v>
          </cell>
          <cell r="F313">
            <v>889639</v>
          </cell>
          <cell r="G313">
            <v>1294131</v>
          </cell>
          <cell r="H313">
            <v>547026</v>
          </cell>
          <cell r="I313">
            <v>1622317</v>
          </cell>
          <cell r="J313">
            <v>1951298</v>
          </cell>
          <cell r="K313">
            <v>2289494</v>
          </cell>
          <cell r="L313">
            <v>1828407</v>
          </cell>
          <cell r="M313">
            <v>1583900</v>
          </cell>
          <cell r="N313">
            <v>3814281</v>
          </cell>
          <cell r="O313">
            <v>5232456</v>
          </cell>
          <cell r="P313">
            <v>4512781</v>
          </cell>
          <cell r="Q313">
            <v>2417672</v>
          </cell>
          <cell r="R313">
            <v>2961440.4263814664</v>
          </cell>
          <cell r="S313">
            <v>3466545.1839129273</v>
          </cell>
          <cell r="T313">
            <v>4060666.1938253357</v>
          </cell>
          <cell r="U313">
            <v>3718385.4990940876</v>
          </cell>
          <cell r="V313">
            <v>4120522.872694137</v>
          </cell>
          <cell r="W313">
            <v>5112329.9397271192</v>
          </cell>
          <cell r="X313">
            <v>5696421.4865855882</v>
          </cell>
          <cell r="Y313">
            <v>6440457.6974297669</v>
          </cell>
          <cell r="Z313">
            <v>7305231.2557293233</v>
          </cell>
          <cell r="AA313">
            <v>7652464.5918073542</v>
          </cell>
          <cell r="AB313">
            <v>6946708.7295498792</v>
          </cell>
          <cell r="AC313">
            <v>6997801.0802915022</v>
          </cell>
          <cell r="AD313">
            <v>6857661.2888189238</v>
          </cell>
          <cell r="AE313">
            <v>7169423.9387466628</v>
          </cell>
          <cell r="AF313">
            <v>8663887.879668558</v>
          </cell>
          <cell r="AG313">
            <v>9078542.9464585502</v>
          </cell>
          <cell r="AH313">
            <v>9446509.6623499691</v>
          </cell>
          <cell r="AI313">
            <v>9854340.5293814968</v>
          </cell>
          <cell r="AJ313">
            <v>9633487.1873417106</v>
          </cell>
          <cell r="AK313">
            <v>9086819.6118330993</v>
          </cell>
          <cell r="AL313">
            <v>8824460.8912338335</v>
          </cell>
          <cell r="AM313">
            <v>9405041.5430655815</v>
          </cell>
          <cell r="AN313">
            <v>13065096.383662703</v>
          </cell>
          <cell r="AO313">
            <v>17030627.008627735</v>
          </cell>
          <cell r="AP313">
            <v>18879065.982127734</v>
          </cell>
        </row>
        <row r="314">
          <cell r="C314">
            <v>0</v>
          </cell>
          <cell r="D314">
            <v>0</v>
          </cell>
          <cell r="E314">
            <v>0</v>
          </cell>
          <cell r="F314">
            <v>1007018</v>
          </cell>
          <cell r="G314">
            <v>1095686</v>
          </cell>
          <cell r="H314">
            <v>1086408</v>
          </cell>
          <cell r="I314">
            <v>895275</v>
          </cell>
          <cell r="J314">
            <v>2374590</v>
          </cell>
          <cell r="K314">
            <v>1938116</v>
          </cell>
          <cell r="L314">
            <v>1883344</v>
          </cell>
          <cell r="M314">
            <v>1331815</v>
          </cell>
          <cell r="N314">
            <v>4172342</v>
          </cell>
          <cell r="O314">
            <v>4305799</v>
          </cell>
          <cell r="P314">
            <v>2960209</v>
          </cell>
          <cell r="Q314">
            <v>2453244</v>
          </cell>
          <cell r="R314">
            <v>2567222.1280079684</v>
          </cell>
          <cell r="S314">
            <v>3012637.582386984</v>
          </cell>
          <cell r="T314">
            <v>3341667.360297855</v>
          </cell>
          <cell r="U314">
            <v>3060029.9282923187</v>
          </cell>
          <cell r="V314">
            <v>3577742.4190874835</v>
          </cell>
          <cell r="W314">
            <v>4340145.1962359026</v>
          </cell>
          <cell r="X314">
            <v>4821246.0454491982</v>
          </cell>
          <cell r="Y314">
            <v>5428656.9633910842</v>
          </cell>
          <cell r="Z314">
            <v>6181178.7280747695</v>
          </cell>
          <cell r="AA314">
            <v>6497990.0471514249</v>
          </cell>
          <cell r="AB314">
            <v>5881698.5927081071</v>
          </cell>
          <cell r="AC314">
            <v>5922574.526904311</v>
          </cell>
          <cell r="AD314">
            <v>5803949.7574961949</v>
          </cell>
          <cell r="AE314">
            <v>6072258.3526709108</v>
          </cell>
          <cell r="AF314">
            <v>7339502.9719944978</v>
          </cell>
          <cell r="AG314">
            <v>7686980.9362608939</v>
          </cell>
          <cell r="AH314">
            <v>7998598.3171844753</v>
          </cell>
          <cell r="AI314">
            <v>8344550.3031121632</v>
          </cell>
          <cell r="AJ314">
            <v>8158197.4327997044</v>
          </cell>
          <cell r="AK314">
            <v>7695097.0325747225</v>
          </cell>
          <cell r="AL314">
            <v>7472440.7152927136</v>
          </cell>
          <cell r="AM314">
            <v>7964192.1055191215</v>
          </cell>
          <cell r="AN314">
            <v>11063725.597922459</v>
          </cell>
          <cell r="AO314">
            <v>14421885.952234989</v>
          </cell>
          <cell r="AP314">
            <v>15987063.154152451</v>
          </cell>
        </row>
        <row r="315">
          <cell r="C315">
            <v>0</v>
          </cell>
          <cell r="D315">
            <v>0</v>
          </cell>
          <cell r="E315">
            <v>0</v>
          </cell>
          <cell r="F315">
            <v>886488</v>
          </cell>
          <cell r="G315">
            <v>1214342</v>
          </cell>
          <cell r="H315">
            <v>1106818</v>
          </cell>
          <cell r="I315">
            <v>3024315</v>
          </cell>
          <cell r="J315">
            <v>1791949</v>
          </cell>
          <cell r="K315">
            <v>1892697</v>
          </cell>
          <cell r="L315">
            <v>1546633</v>
          </cell>
          <cell r="M315">
            <v>1089129</v>
          </cell>
          <cell r="N315">
            <v>4294169</v>
          </cell>
          <cell r="O315">
            <v>3998333</v>
          </cell>
          <cell r="P315">
            <v>3229971</v>
          </cell>
          <cell r="Q315">
            <v>2528931.0825301697</v>
          </cell>
          <cell r="R315">
            <v>2553246.2248966806</v>
          </cell>
          <cell r="S315">
            <v>3039331.2112784483</v>
          </cell>
          <cell r="T315">
            <v>3352741.5480989865</v>
          </cell>
          <cell r="U315">
            <v>3138850.3028782308</v>
          </cell>
          <cell r="V315">
            <v>3621934.8691174844</v>
          </cell>
          <cell r="W315">
            <v>4381095.2327479105</v>
          </cell>
          <cell r="X315">
            <v>4877360.7897329563</v>
          </cell>
          <cell r="Y315">
            <v>5494215.4438533373</v>
          </cell>
          <cell r="Z315">
            <v>6264351.0770029873</v>
          </cell>
          <cell r="AA315">
            <v>6575378.9296876229</v>
          </cell>
          <cell r="AB315">
            <v>5951406.2699547149</v>
          </cell>
          <cell r="AC315">
            <v>5994922.5928288968</v>
          </cell>
          <cell r="AD315">
            <v>5875388.1361087793</v>
          </cell>
          <cell r="AE315">
            <v>6147251.9595550979</v>
          </cell>
          <cell r="AF315">
            <v>7428485.3611511337</v>
          </cell>
          <cell r="AG315">
            <v>7780520.8162573483</v>
          </cell>
          <cell r="AH315">
            <v>8096384.4558467967</v>
          </cell>
          <cell r="AI315">
            <v>8446579.6734913569</v>
          </cell>
          <cell r="AJ315">
            <v>8257845.170771176</v>
          </cell>
          <cell r="AK315">
            <v>7788927.7669919673</v>
          </cell>
          <cell r="AL315">
            <v>7563652.4719790872</v>
          </cell>
          <cell r="AM315">
            <v>8061464.7384963362</v>
          </cell>
          <cell r="AN315">
            <v>11198829.113266731</v>
          </cell>
          <cell r="AO315">
            <v>14597952.756790273</v>
          </cell>
          <cell r="AP315">
            <v>16182221.692239296</v>
          </cell>
        </row>
        <row r="316">
          <cell r="C316">
            <v>0</v>
          </cell>
          <cell r="D316">
            <v>0</v>
          </cell>
          <cell r="E316">
            <v>0</v>
          </cell>
          <cell r="F316">
            <v>937353</v>
          </cell>
          <cell r="G316">
            <v>1476394</v>
          </cell>
          <cell r="H316">
            <v>1571814</v>
          </cell>
          <cell r="I316">
            <v>1327849</v>
          </cell>
          <cell r="J316">
            <v>1878943</v>
          </cell>
          <cell r="K316">
            <v>2120869</v>
          </cell>
          <cell r="L316">
            <v>1829296</v>
          </cell>
          <cell r="M316">
            <v>1065029</v>
          </cell>
          <cell r="N316">
            <v>3636489</v>
          </cell>
          <cell r="O316">
            <v>5042214</v>
          </cell>
          <cell r="P316">
            <v>3099461</v>
          </cell>
          <cell r="Q316">
            <v>2620786.6651586168</v>
          </cell>
          <cell r="R316">
            <v>2607791.1184978643</v>
          </cell>
          <cell r="S316">
            <v>3112930.4229972963</v>
          </cell>
          <cell r="T316">
            <v>3600294.9947780147</v>
          </cell>
          <cell r="U316">
            <v>3210797.5308478181</v>
          </cell>
          <cell r="V316">
            <v>3755652.9115423439</v>
          </cell>
          <cell r="W316">
            <v>4543261.8569052005</v>
          </cell>
          <cell r="X316">
            <v>5069013.3059586994</v>
          </cell>
          <cell r="Y316">
            <v>5723104.7588570481</v>
          </cell>
          <cell r="Z316">
            <v>6493912.0388327669</v>
          </cell>
          <cell r="AA316">
            <v>6827833.8491774555</v>
          </cell>
          <cell r="AB316">
            <v>6181056.7082988527</v>
          </cell>
          <cell r="AC316">
            <v>6227668.4398139231</v>
          </cell>
          <cell r="AD316">
            <v>6103047.9496906446</v>
          </cell>
          <cell r="AE316">
            <v>6382238.3180234535</v>
          </cell>
          <cell r="AF316">
            <v>7714856.5765033737</v>
          </cell>
          <cell r="AG316">
            <v>8080718.0616086619</v>
          </cell>
          <cell r="AH316">
            <v>8408762.3285984676</v>
          </cell>
          <cell r="AI316">
            <v>8772122.8567168508</v>
          </cell>
          <cell r="AJ316">
            <v>8575849.7388536464</v>
          </cell>
          <cell r="AK316">
            <v>8089213.4559870567</v>
          </cell>
          <cell r="AL316">
            <v>7855256.5898970449</v>
          </cell>
          <cell r="AM316">
            <v>8372214.5820766054</v>
          </cell>
          <cell r="AN316">
            <v>11630438.009787494</v>
          </cell>
          <cell r="AO316">
            <v>15160563.166224122</v>
          </cell>
          <cell r="AP316">
            <v>16805974.514910966</v>
          </cell>
        </row>
        <row r="317">
          <cell r="C317">
            <v>0</v>
          </cell>
          <cell r="D317">
            <v>0</v>
          </cell>
          <cell r="E317">
            <v>0</v>
          </cell>
          <cell r="F317">
            <v>928776</v>
          </cell>
          <cell r="G317">
            <v>1120164</v>
          </cell>
          <cell r="H317">
            <v>1548252</v>
          </cell>
          <cell r="I317">
            <v>1385530</v>
          </cell>
          <cell r="J317">
            <v>277187</v>
          </cell>
          <cell r="K317">
            <v>1742628</v>
          </cell>
          <cell r="L317">
            <v>1610763</v>
          </cell>
          <cell r="M317">
            <v>876721</v>
          </cell>
          <cell r="N317">
            <v>4259231</v>
          </cell>
          <cell r="O317">
            <v>3849430</v>
          </cell>
          <cell r="P317">
            <v>2736029</v>
          </cell>
          <cell r="Q317">
            <v>2381380.8166272552</v>
          </cell>
          <cell r="R317">
            <v>2378245.1892565708</v>
          </cell>
          <cell r="S317">
            <v>2856229.0556713371</v>
          </cell>
          <cell r="T317">
            <v>3101883.859086663</v>
          </cell>
          <cell r="U317">
            <v>2871921.1524842675</v>
          </cell>
          <cell r="V317">
            <v>3368269.7328505674</v>
          </cell>
          <cell r="W317">
            <v>4066014.6304748547</v>
          </cell>
          <cell r="X317">
            <v>4524190.7653377941</v>
          </cell>
          <cell r="Y317">
            <v>5085891.9192326237</v>
          </cell>
          <cell r="Z317">
            <v>5799282.9109417498</v>
          </cell>
          <cell r="AA317">
            <v>6096266.6602351116</v>
          </cell>
          <cell r="AB317">
            <v>5515549.6255196696</v>
          </cell>
          <cell r="AC317">
            <v>5554692.2697301414</v>
          </cell>
          <cell r="AD317">
            <v>5442966.7993278699</v>
          </cell>
          <cell r="AE317">
            <v>5695614.9162134472</v>
          </cell>
          <cell r="AF317">
            <v>6883890.580818601</v>
          </cell>
          <cell r="AG317">
            <v>7209389.2092376091</v>
          </cell>
          <cell r="AH317">
            <v>7501821.1011085529</v>
          </cell>
          <cell r="AI317">
            <v>7826296.9217242906</v>
          </cell>
          <cell r="AJ317">
            <v>7651630.7363588214</v>
          </cell>
          <cell r="AK317">
            <v>7217207.528387161</v>
          </cell>
          <cell r="AL317">
            <v>7008342.587311727</v>
          </cell>
          <cell r="AM317">
            <v>7469586.2144647436</v>
          </cell>
          <cell r="AN317">
            <v>10376636.822659204</v>
          </cell>
          <cell r="AO317">
            <v>13526257.158784414</v>
          </cell>
          <cell r="AP317">
            <v>14994209.25232829</v>
          </cell>
        </row>
        <row r="318">
          <cell r="C318">
            <v>0</v>
          </cell>
          <cell r="D318">
            <v>0</v>
          </cell>
          <cell r="E318">
            <v>0</v>
          </cell>
          <cell r="F318">
            <v>1064973</v>
          </cell>
          <cell r="G318">
            <v>1530569</v>
          </cell>
          <cell r="H318">
            <v>1414232</v>
          </cell>
          <cell r="I318">
            <v>1447987</v>
          </cell>
          <cell r="J318">
            <v>37327</v>
          </cell>
          <cell r="K318">
            <v>1691191</v>
          </cell>
          <cell r="L318">
            <v>1717093</v>
          </cell>
          <cell r="M318">
            <v>920874</v>
          </cell>
          <cell r="N318">
            <v>4729189</v>
          </cell>
          <cell r="O318">
            <v>2203723</v>
          </cell>
          <cell r="P318">
            <v>2667785</v>
          </cell>
          <cell r="Q318">
            <v>2186059.0531406649</v>
          </cell>
          <cell r="R318">
            <v>2142970.0185393291</v>
          </cell>
          <cell r="S318">
            <v>2549710.4985872433</v>
          </cell>
          <cell r="T318">
            <v>2566516.2477572076</v>
          </cell>
          <cell r="U318">
            <v>2585721.5875424556</v>
          </cell>
          <cell r="V318">
            <v>2981941.9200864681</v>
          </cell>
          <cell r="W318">
            <v>3577952.6120483419</v>
          </cell>
          <cell r="X318">
            <v>3967168.8713304433</v>
          </cell>
          <cell r="Y318">
            <v>4446909.7541327681</v>
          </cell>
          <cell r="Z318">
            <v>5113083.1524572577</v>
          </cell>
          <cell r="AA318">
            <v>5360616.7099351985</v>
          </cell>
          <cell r="AB318">
            <v>4845634.5149151757</v>
          </cell>
          <cell r="AC318">
            <v>4878831.959315571</v>
          </cell>
          <cell r="AD318">
            <v>4781970.8031308623</v>
          </cell>
          <cell r="AE318">
            <v>5008217.5493657356</v>
          </cell>
          <cell r="AF318">
            <v>6049747.4407216525</v>
          </cell>
          <cell r="AG318">
            <v>6335047.4841810754</v>
          </cell>
          <cell r="AH318">
            <v>6592257.2396175843</v>
          </cell>
          <cell r="AI318">
            <v>6877960.1919494262</v>
          </cell>
          <cell r="AJ318">
            <v>6724775.8342238404</v>
          </cell>
          <cell r="AK318">
            <v>6342484.0592879793</v>
          </cell>
          <cell r="AL318">
            <v>6158899.3127597775</v>
          </cell>
          <cell r="AM318">
            <v>6564344.6386012873</v>
          </cell>
          <cell r="AN318">
            <v>9119204.8890935834</v>
          </cell>
          <cell r="AO318">
            <v>11887140.865148565</v>
          </cell>
          <cell r="AP318">
            <v>13177083.639346667</v>
          </cell>
        </row>
        <row r="319">
          <cell r="C319">
            <v>0</v>
          </cell>
          <cell r="D319">
            <v>0</v>
          </cell>
          <cell r="E319">
            <v>127898</v>
          </cell>
          <cell r="F319">
            <v>116938</v>
          </cell>
          <cell r="G319">
            <v>1518950</v>
          </cell>
          <cell r="H319">
            <v>1814951</v>
          </cell>
          <cell r="I319">
            <v>1788693</v>
          </cell>
          <cell r="J319">
            <v>1781383</v>
          </cell>
          <cell r="K319">
            <v>515040</v>
          </cell>
          <cell r="L319">
            <v>1680336</v>
          </cell>
          <cell r="M319">
            <v>991096</v>
          </cell>
          <cell r="N319">
            <v>7401530</v>
          </cell>
          <cell r="O319">
            <v>3278632</v>
          </cell>
          <cell r="P319">
            <v>2858762</v>
          </cell>
          <cell r="Q319">
            <v>2895479.0725877509</v>
          </cell>
          <cell r="R319">
            <v>2938574.8494788264</v>
          </cell>
          <cell r="S319">
            <v>3546048.5685512614</v>
          </cell>
          <cell r="T319">
            <v>3389367.4690277493</v>
          </cell>
          <cell r="U319">
            <v>3336095.1523456662</v>
          </cell>
          <cell r="V319">
            <v>3991850.2159189992</v>
          </cell>
          <cell r="W319">
            <v>4798345.9279519692</v>
          </cell>
          <cell r="X319">
            <v>5302331.0296882754</v>
          </cell>
          <cell r="Y319">
            <v>5904327.0150101921</v>
          </cell>
          <cell r="Z319">
            <v>6794156.2711497601</v>
          </cell>
          <cell r="AA319">
            <v>7149695.6114235241</v>
          </cell>
          <cell r="AB319">
            <v>6459670.0178126665</v>
          </cell>
          <cell r="AC319">
            <v>6498043.7553498484</v>
          </cell>
          <cell r="AD319">
            <v>6365442.7498803455</v>
          </cell>
          <cell r="AE319">
            <v>6669635.7341753365</v>
          </cell>
          <cell r="AF319">
            <v>8060361.5066854777</v>
          </cell>
          <cell r="AG319">
            <v>8438622.7310753465</v>
          </cell>
          <cell r="AH319">
            <v>8780015.4138856586</v>
          </cell>
          <cell r="AI319">
            <v>9160513.8161484655</v>
          </cell>
          <cell r="AJ319">
            <v>8957254.7644030675</v>
          </cell>
          <cell r="AK319">
            <v>8448284.2284393422</v>
          </cell>
          <cell r="AL319">
            <v>8203370.583501121</v>
          </cell>
          <cell r="AM319">
            <v>8743278.4466981739</v>
          </cell>
          <cell r="AN319">
            <v>12146308.528688684</v>
          </cell>
          <cell r="AO319">
            <v>15833250.937159618</v>
          </cell>
          <cell r="AP319">
            <v>17551379.021828227</v>
          </cell>
        </row>
        <row r="320">
          <cell r="C320">
            <v>0</v>
          </cell>
          <cell r="D320">
            <v>0</v>
          </cell>
          <cell r="E320">
            <v>503877</v>
          </cell>
          <cell r="F320">
            <v>701034</v>
          </cell>
          <cell r="G320">
            <v>1387570</v>
          </cell>
          <cell r="H320">
            <v>1596891</v>
          </cell>
          <cell r="I320">
            <v>1864564</v>
          </cell>
          <cell r="J320">
            <v>2807894</v>
          </cell>
          <cell r="K320">
            <v>1872125</v>
          </cell>
          <cell r="L320">
            <v>1957725</v>
          </cell>
          <cell r="M320">
            <v>675136</v>
          </cell>
          <cell r="N320">
            <v>4936539</v>
          </cell>
          <cell r="O320">
            <v>3264508</v>
          </cell>
          <cell r="P320">
            <v>3761715</v>
          </cell>
          <cell r="Q320">
            <v>2607056.9300193312</v>
          </cell>
          <cell r="R320">
            <v>2570855.5578339775</v>
          </cell>
          <cell r="S320">
            <v>3137445.5943824034</v>
          </cell>
          <cell r="T320">
            <v>3350943.6187093928</v>
          </cell>
          <cell r="U320">
            <v>3293356.0148859052</v>
          </cell>
          <cell r="V320">
            <v>3707830.9558074931</v>
          </cell>
          <cell r="W320">
            <v>4479932.1486094017</v>
          </cell>
          <cell r="X320">
            <v>4998517.7062376644</v>
          </cell>
          <cell r="Y320">
            <v>5624281.3544282448</v>
          </cell>
          <cell r="Z320">
            <v>6436283.3915759809</v>
          </cell>
          <cell r="AA320">
            <v>6737605.5543006482</v>
          </cell>
          <cell r="AB320">
            <v>6098985.4271662571</v>
          </cell>
          <cell r="AC320">
            <v>6145595.956915739</v>
          </cell>
          <cell r="AD320">
            <v>6023334.3024353357</v>
          </cell>
          <cell r="AE320">
            <v>6303704.2936440259</v>
          </cell>
          <cell r="AF320">
            <v>7614506.1077593192</v>
          </cell>
          <cell r="AG320">
            <v>7975959.4989021998</v>
          </cell>
          <cell r="AH320">
            <v>8300223.7084318288</v>
          </cell>
          <cell r="AI320">
            <v>8659297.3931075186</v>
          </cell>
          <cell r="AJ320">
            <v>8465813.95131962</v>
          </cell>
          <cell r="AK320">
            <v>7984768.3582010427</v>
          </cell>
          <cell r="AL320">
            <v>7753970.7063267045</v>
          </cell>
          <cell r="AM320">
            <v>8264376.5769061083</v>
          </cell>
          <cell r="AN320">
            <v>11480696.741250781</v>
          </cell>
          <cell r="AO320">
            <v>14965332.514923908</v>
          </cell>
          <cell r="AP320">
            <v>16589423.491023362</v>
          </cell>
        </row>
        <row r="321">
          <cell r="C321">
            <v>0</v>
          </cell>
          <cell r="D321">
            <v>0</v>
          </cell>
          <cell r="E321">
            <v>451592</v>
          </cell>
          <cell r="F321">
            <v>1589528</v>
          </cell>
          <cell r="G321">
            <v>1285035</v>
          </cell>
          <cell r="H321">
            <v>1648116</v>
          </cell>
          <cell r="I321">
            <v>1790442</v>
          </cell>
          <cell r="J321">
            <v>2226208</v>
          </cell>
          <cell r="K321">
            <v>1997933</v>
          </cell>
          <cell r="L321">
            <v>318609</v>
          </cell>
          <cell r="M321">
            <v>2091193</v>
          </cell>
          <cell r="N321">
            <v>5972224</v>
          </cell>
          <cell r="O321">
            <v>5951242</v>
          </cell>
          <cell r="P321">
            <v>3876547</v>
          </cell>
          <cell r="Q321">
            <v>3252620.6240131008</v>
          </cell>
          <cell r="R321">
            <v>3565620.5242814175</v>
          </cell>
          <cell r="S321">
            <v>4140067.0598158939</v>
          </cell>
          <cell r="T321">
            <v>4540147.4218353685</v>
          </cell>
          <cell r="U321">
            <v>4135903.0578346015</v>
          </cell>
          <cell r="V321">
            <v>4866480.5253490908</v>
          </cell>
          <cell r="W321">
            <v>5927024.820346796</v>
          </cell>
          <cell r="X321">
            <v>6567409.4052104009</v>
          </cell>
          <cell r="Y321">
            <v>7384514.9658586318</v>
          </cell>
          <cell r="Z321">
            <v>8409750.7487243656</v>
          </cell>
          <cell r="AA321">
            <v>8848096.5892074928</v>
          </cell>
          <cell r="AB321">
            <v>8010037.2534396667</v>
          </cell>
          <cell r="AC321">
            <v>8062340.5231210012</v>
          </cell>
          <cell r="AD321">
            <v>7900024.2321965946</v>
          </cell>
          <cell r="AE321">
            <v>8266169.9248319855</v>
          </cell>
          <cell r="AF321">
            <v>9992412.238685362</v>
          </cell>
          <cell r="AG321">
            <v>10465149.438510839</v>
          </cell>
          <cell r="AH321">
            <v>10888750.427414106</v>
          </cell>
          <cell r="AI321">
            <v>11359766.206772316</v>
          </cell>
          <cell r="AJ321">
            <v>11106321.153060656</v>
          </cell>
          <cell r="AK321">
            <v>10475951.648229627</v>
          </cell>
          <cell r="AL321">
            <v>10172726.997910738</v>
          </cell>
          <cell r="AM321">
            <v>10842109.43284991</v>
          </cell>
          <cell r="AN321">
            <v>15061736.656713415</v>
          </cell>
          <cell r="AO321">
            <v>19633472.980963435</v>
          </cell>
          <cell r="AP321">
            <v>21764244.914877526</v>
          </cell>
        </row>
        <row r="322">
          <cell r="C322">
            <v>0</v>
          </cell>
          <cell r="D322">
            <v>0</v>
          </cell>
          <cell r="E322">
            <v>462368</v>
          </cell>
          <cell r="F322">
            <v>1341905</v>
          </cell>
          <cell r="G322">
            <v>1177840</v>
          </cell>
          <cell r="H322">
            <v>1821731</v>
          </cell>
          <cell r="I322">
            <v>1830738</v>
          </cell>
          <cell r="J322">
            <v>2081337</v>
          </cell>
          <cell r="K322">
            <v>1973385</v>
          </cell>
          <cell r="L322">
            <v>1290797</v>
          </cell>
          <cell r="M322">
            <v>2880378</v>
          </cell>
          <cell r="N322">
            <v>7225923</v>
          </cell>
          <cell r="O322">
            <v>3753042</v>
          </cell>
          <cell r="P322">
            <v>3151510</v>
          </cell>
          <cell r="Q322">
            <v>3269024.1083431854</v>
          </cell>
          <cell r="R322">
            <v>3419927.1178893554</v>
          </cell>
          <cell r="S322">
            <v>3810807.8615781111</v>
          </cell>
          <cell r="T322">
            <v>3801489.8767678523</v>
          </cell>
          <cell r="U322">
            <v>3725569.5159331448</v>
          </cell>
          <cell r="V322">
            <v>4468043.1107745236</v>
          </cell>
          <cell r="W322">
            <v>5362897.3871590653</v>
          </cell>
          <cell r="X322">
            <v>5888456.0674719261</v>
          </cell>
          <cell r="Y322">
            <v>6593080.2766606361</v>
          </cell>
          <cell r="Z322">
            <v>7581834.3136535063</v>
          </cell>
          <cell r="AA322">
            <v>7977870.9951210376</v>
          </cell>
          <cell r="AB322">
            <v>7204940.1977513079</v>
          </cell>
          <cell r="AC322">
            <v>7245489.6578408061</v>
          </cell>
          <cell r="AD322">
            <v>7102250.6441095807</v>
          </cell>
          <cell r="AE322">
            <v>7440587.7303631362</v>
          </cell>
          <cell r="AF322">
            <v>8991502.0456552915</v>
          </cell>
          <cell r="AG322">
            <v>9412906.3083472271</v>
          </cell>
          <cell r="AH322">
            <v>9793844.4209951218</v>
          </cell>
          <cell r="AI322">
            <v>10218968.458675897</v>
          </cell>
          <cell r="AJ322">
            <v>9991938.1889936123</v>
          </cell>
          <cell r="AK322">
            <v>9424073.6055337917</v>
          </cell>
          <cell r="AL322">
            <v>9150842.6909046676</v>
          </cell>
          <cell r="AM322">
            <v>9753180.9883821085</v>
          </cell>
          <cell r="AN322">
            <v>13549370.471595392</v>
          </cell>
          <cell r="AO322">
            <v>17662104.824860331</v>
          </cell>
          <cell r="AP322">
            <v>19578670.481531531</v>
          </cell>
        </row>
        <row r="323">
          <cell r="C323">
            <v>0</v>
          </cell>
          <cell r="D323">
            <v>0</v>
          </cell>
          <cell r="E323">
            <v>765422</v>
          </cell>
          <cell r="F323">
            <v>1731585</v>
          </cell>
          <cell r="G323">
            <v>1158175</v>
          </cell>
          <cell r="H323">
            <v>2820344</v>
          </cell>
          <cell r="I323">
            <v>2289344</v>
          </cell>
          <cell r="J323">
            <v>2438715</v>
          </cell>
          <cell r="K323">
            <v>2106345</v>
          </cell>
          <cell r="L323">
            <v>1071870</v>
          </cell>
          <cell r="M323">
            <v>3967460</v>
          </cell>
          <cell r="N323">
            <v>7098149</v>
          </cell>
          <cell r="O323">
            <v>5377471</v>
          </cell>
          <cell r="P323">
            <v>4910477</v>
          </cell>
          <cell r="Q323">
            <v>5447681.0278466307</v>
          </cell>
          <cell r="R323">
            <v>4519666.4770089611</v>
          </cell>
          <cell r="S323">
            <v>5006800.8708618134</v>
          </cell>
          <cell r="T323">
            <v>5517805.5111576393</v>
          </cell>
          <cell r="U323">
            <v>5422553.6681515574</v>
          </cell>
          <cell r="V323">
            <v>6423048.918783173</v>
          </cell>
          <cell r="W323">
            <v>7500720.9906007126</v>
          </cell>
          <cell r="X323">
            <v>8309096.1390106827</v>
          </cell>
          <cell r="Y323">
            <v>9408476.6020312309</v>
          </cell>
          <cell r="Z323">
            <v>10792373.476958439</v>
          </cell>
          <cell r="AA323">
            <v>11324252.007161155</v>
          </cell>
          <cell r="AB323">
            <v>10209670.777800724</v>
          </cell>
          <cell r="AC323">
            <v>10287421.67976217</v>
          </cell>
          <cell r="AD323">
            <v>10094049.395779386</v>
          </cell>
          <cell r="AE323">
            <v>10567274.466530874</v>
          </cell>
          <cell r="AF323">
            <v>12763956.68388021</v>
          </cell>
          <cell r="AG323">
            <v>13362361.844597459</v>
          </cell>
          <cell r="AH323">
            <v>13907594.955779299</v>
          </cell>
          <cell r="AI323">
            <v>14511625.68282032</v>
          </cell>
          <cell r="AJ323">
            <v>14187402.840129137</v>
          </cell>
          <cell r="AK323">
            <v>13380614.584633708</v>
          </cell>
          <cell r="AL323">
            <v>12993136.538541272</v>
          </cell>
          <cell r="AM323">
            <v>13848964.281341493</v>
          </cell>
          <cell r="AN323">
            <v>19239089.523149163</v>
          </cell>
          <cell r="AO323">
            <v>25078367.568576902</v>
          </cell>
          <cell r="AP323">
            <v>27799732.312426418</v>
          </cell>
        </row>
        <row r="408">
          <cell r="C408">
            <v>0</v>
          </cell>
          <cell r="D408">
            <v>0</v>
          </cell>
          <cell r="E408">
            <v>0</v>
          </cell>
          <cell r="F408">
            <v>0</v>
          </cell>
          <cell r="G408">
            <v>0</v>
          </cell>
          <cell r="H408">
            <v>0</v>
          </cell>
          <cell r="I408">
            <v>0</v>
          </cell>
          <cell r="J408">
            <v>0</v>
          </cell>
          <cell r="K408">
            <v>0</v>
          </cell>
          <cell r="L408">
            <v>0</v>
          </cell>
          <cell r="M408">
            <v>0</v>
          </cell>
          <cell r="N408">
            <v>0</v>
          </cell>
          <cell r="O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J408">
            <v>0</v>
          </cell>
          <cell r="AK408">
            <v>0</v>
          </cell>
          <cell r="AL408">
            <v>0</v>
          </cell>
          <cell r="AM408">
            <v>0</v>
          </cell>
          <cell r="AN408">
            <v>0</v>
          </cell>
          <cell r="AO408">
            <v>0</v>
          </cell>
          <cell r="AP408">
            <v>0</v>
          </cell>
        </row>
        <row r="409">
          <cell r="C409">
            <v>0</v>
          </cell>
          <cell r="D409">
            <v>0</v>
          </cell>
          <cell r="E409">
            <v>0</v>
          </cell>
          <cell r="F409">
            <v>0</v>
          </cell>
          <cell r="G409">
            <v>0</v>
          </cell>
          <cell r="H409">
            <v>0</v>
          </cell>
          <cell r="I409">
            <v>0</v>
          </cell>
          <cell r="J409">
            <v>0</v>
          </cell>
          <cell r="K409">
            <v>0</v>
          </cell>
          <cell r="L409">
            <v>0</v>
          </cell>
          <cell r="M409">
            <v>266160</v>
          </cell>
          <cell r="N409">
            <v>502505</v>
          </cell>
          <cell r="O409">
            <v>440964</v>
          </cell>
          <cell r="P409">
            <v>292847</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J409">
            <v>0</v>
          </cell>
          <cell r="AK409">
            <v>0</v>
          </cell>
          <cell r="AL409">
            <v>0</v>
          </cell>
          <cell r="AM409">
            <v>0</v>
          </cell>
          <cell r="AN409">
            <v>0</v>
          </cell>
          <cell r="AO409">
            <v>0</v>
          </cell>
          <cell r="AP409">
            <v>0</v>
          </cell>
        </row>
        <row r="410">
          <cell r="C410">
            <v>0</v>
          </cell>
          <cell r="D410">
            <v>0</v>
          </cell>
          <cell r="E410">
            <v>0</v>
          </cell>
          <cell r="F410">
            <v>0</v>
          </cell>
          <cell r="G410">
            <v>0</v>
          </cell>
          <cell r="H410">
            <v>0</v>
          </cell>
          <cell r="I410">
            <v>0</v>
          </cell>
          <cell r="J410">
            <v>0</v>
          </cell>
          <cell r="K410">
            <v>955371</v>
          </cell>
          <cell r="L410">
            <v>628681</v>
          </cell>
          <cell r="M410">
            <v>136014</v>
          </cell>
          <cell r="N410">
            <v>408998</v>
          </cell>
          <cell r="O410">
            <v>541639</v>
          </cell>
          <cell r="P410">
            <v>299391</v>
          </cell>
          <cell r="Q410">
            <v>59839</v>
          </cell>
          <cell r="R410">
            <v>0</v>
          </cell>
          <cell r="S410">
            <v>0</v>
          </cell>
          <cell r="T410">
            <v>0</v>
          </cell>
          <cell r="U410">
            <v>0</v>
          </cell>
          <cell r="V410">
            <v>0</v>
          </cell>
          <cell r="W410">
            <v>0</v>
          </cell>
          <cell r="X410">
            <v>0</v>
          </cell>
          <cell r="Y410">
            <v>0</v>
          </cell>
          <cell r="Z410">
            <v>0</v>
          </cell>
          <cell r="AA410">
            <v>0</v>
          </cell>
          <cell r="AB410">
            <v>0</v>
          </cell>
          <cell r="AC410">
            <v>0</v>
          </cell>
          <cell r="AD410">
            <v>0</v>
          </cell>
          <cell r="AE410">
            <v>0</v>
          </cell>
          <cell r="AF410">
            <v>0</v>
          </cell>
          <cell r="AG410">
            <v>0</v>
          </cell>
          <cell r="AH410">
            <v>0</v>
          </cell>
          <cell r="AI410">
            <v>0</v>
          </cell>
          <cell r="AJ410">
            <v>0</v>
          </cell>
          <cell r="AK410">
            <v>0</v>
          </cell>
          <cell r="AL410">
            <v>0</v>
          </cell>
          <cell r="AM410">
            <v>0</v>
          </cell>
          <cell r="AN410">
            <v>0</v>
          </cell>
          <cell r="AO410">
            <v>0</v>
          </cell>
          <cell r="AP410">
            <v>0</v>
          </cell>
        </row>
        <row r="411">
          <cell r="C411">
            <v>0</v>
          </cell>
          <cell r="D411">
            <v>0</v>
          </cell>
          <cell r="E411">
            <v>0</v>
          </cell>
          <cell r="F411">
            <v>0</v>
          </cell>
          <cell r="G411">
            <v>0</v>
          </cell>
          <cell r="H411">
            <v>0</v>
          </cell>
          <cell r="I411">
            <v>0</v>
          </cell>
          <cell r="J411">
            <v>0</v>
          </cell>
          <cell r="K411">
            <v>486747</v>
          </cell>
          <cell r="L411">
            <v>0</v>
          </cell>
          <cell r="M411">
            <v>233241</v>
          </cell>
          <cell r="N411">
            <v>338480</v>
          </cell>
          <cell r="O411">
            <v>314976</v>
          </cell>
          <cell r="P411">
            <v>279076</v>
          </cell>
          <cell r="Q411">
            <v>0</v>
          </cell>
          <cell r="R411">
            <v>0</v>
          </cell>
          <cell r="S411">
            <v>0</v>
          </cell>
          <cell r="T411">
            <v>0</v>
          </cell>
          <cell r="U411">
            <v>0</v>
          </cell>
          <cell r="V411">
            <v>0</v>
          </cell>
          <cell r="W411">
            <v>0</v>
          </cell>
          <cell r="X411">
            <v>0</v>
          </cell>
          <cell r="Y411">
            <v>0</v>
          </cell>
          <cell r="Z411">
            <v>0</v>
          </cell>
          <cell r="AA411">
            <v>0</v>
          </cell>
          <cell r="AB411">
            <v>0</v>
          </cell>
          <cell r="AC411">
            <v>0</v>
          </cell>
          <cell r="AD411">
            <v>0</v>
          </cell>
          <cell r="AE411">
            <v>0</v>
          </cell>
          <cell r="AF411">
            <v>0</v>
          </cell>
          <cell r="AG411">
            <v>0</v>
          </cell>
          <cell r="AH411">
            <v>0</v>
          </cell>
          <cell r="AI411">
            <v>0</v>
          </cell>
          <cell r="AJ411">
            <v>0</v>
          </cell>
          <cell r="AK411">
            <v>0</v>
          </cell>
          <cell r="AL411">
            <v>0</v>
          </cell>
          <cell r="AM411">
            <v>0</v>
          </cell>
          <cell r="AN411">
            <v>0</v>
          </cell>
          <cell r="AO411">
            <v>0</v>
          </cell>
          <cell r="AP411">
            <v>0</v>
          </cell>
        </row>
        <row r="412">
          <cell r="C412">
            <v>0</v>
          </cell>
          <cell r="D412">
            <v>0</v>
          </cell>
          <cell r="E412">
            <v>0</v>
          </cell>
          <cell r="F412">
            <v>0</v>
          </cell>
          <cell r="G412">
            <v>0</v>
          </cell>
          <cell r="H412">
            <v>0</v>
          </cell>
          <cell r="I412">
            <v>0</v>
          </cell>
          <cell r="J412">
            <v>0</v>
          </cell>
          <cell r="K412">
            <v>381883</v>
          </cell>
          <cell r="L412">
            <v>376204</v>
          </cell>
          <cell r="M412">
            <v>227288</v>
          </cell>
          <cell r="N412">
            <v>64595</v>
          </cell>
          <cell r="O412">
            <v>658616</v>
          </cell>
          <cell r="P412">
            <v>29626</v>
          </cell>
          <cell r="Q412">
            <v>0</v>
          </cell>
          <cell r="R412">
            <v>0</v>
          </cell>
          <cell r="S412">
            <v>0</v>
          </cell>
          <cell r="T412">
            <v>0</v>
          </cell>
          <cell r="U412">
            <v>0</v>
          </cell>
          <cell r="V412">
            <v>0</v>
          </cell>
          <cell r="W412">
            <v>0</v>
          </cell>
          <cell r="X412">
            <v>0</v>
          </cell>
          <cell r="Y412">
            <v>0</v>
          </cell>
          <cell r="Z412">
            <v>0</v>
          </cell>
          <cell r="AA412">
            <v>0</v>
          </cell>
          <cell r="AB412">
            <v>0</v>
          </cell>
          <cell r="AC412">
            <v>0</v>
          </cell>
          <cell r="AD412">
            <v>0</v>
          </cell>
          <cell r="AE412">
            <v>0</v>
          </cell>
          <cell r="AF412">
            <v>0</v>
          </cell>
          <cell r="AG412">
            <v>0</v>
          </cell>
          <cell r="AH412">
            <v>0</v>
          </cell>
          <cell r="AI412">
            <v>0</v>
          </cell>
          <cell r="AJ412">
            <v>0</v>
          </cell>
          <cell r="AK412">
            <v>0</v>
          </cell>
          <cell r="AL412">
            <v>0</v>
          </cell>
          <cell r="AM412">
            <v>0</v>
          </cell>
          <cell r="AN412">
            <v>0</v>
          </cell>
          <cell r="AO412">
            <v>0</v>
          </cell>
          <cell r="AP412">
            <v>0</v>
          </cell>
        </row>
        <row r="413">
          <cell r="C413">
            <v>0</v>
          </cell>
          <cell r="D413">
            <v>0</v>
          </cell>
          <cell r="E413">
            <v>0</v>
          </cell>
          <cell r="F413">
            <v>0</v>
          </cell>
          <cell r="G413">
            <v>0</v>
          </cell>
          <cell r="H413">
            <v>0</v>
          </cell>
          <cell r="I413">
            <v>0</v>
          </cell>
          <cell r="J413">
            <v>0</v>
          </cell>
          <cell r="K413">
            <v>0</v>
          </cell>
          <cell r="L413">
            <v>437146</v>
          </cell>
          <cell r="M413">
            <v>450653</v>
          </cell>
          <cell r="N413">
            <v>452822</v>
          </cell>
          <cell r="O413">
            <v>313319</v>
          </cell>
          <cell r="P413">
            <v>0</v>
          </cell>
          <cell r="Q413">
            <v>0</v>
          </cell>
          <cell r="R413">
            <v>0</v>
          </cell>
          <cell r="S413">
            <v>0</v>
          </cell>
          <cell r="T413">
            <v>0</v>
          </cell>
          <cell r="U413">
            <v>0</v>
          </cell>
          <cell r="V413">
            <v>0</v>
          </cell>
          <cell r="W413">
            <v>0</v>
          </cell>
          <cell r="X413">
            <v>0</v>
          </cell>
          <cell r="Y413">
            <v>0</v>
          </cell>
          <cell r="Z413">
            <v>0</v>
          </cell>
          <cell r="AA413">
            <v>0</v>
          </cell>
          <cell r="AB413">
            <v>0</v>
          </cell>
          <cell r="AC413">
            <v>0</v>
          </cell>
          <cell r="AD413">
            <v>0</v>
          </cell>
          <cell r="AE413">
            <v>0</v>
          </cell>
          <cell r="AF413">
            <v>0</v>
          </cell>
          <cell r="AG413">
            <v>0</v>
          </cell>
          <cell r="AH413">
            <v>0</v>
          </cell>
          <cell r="AI413">
            <v>0</v>
          </cell>
          <cell r="AJ413">
            <v>0</v>
          </cell>
          <cell r="AK413">
            <v>0</v>
          </cell>
          <cell r="AL413">
            <v>0</v>
          </cell>
          <cell r="AM413">
            <v>0</v>
          </cell>
          <cell r="AN413">
            <v>0</v>
          </cell>
          <cell r="AO413">
            <v>0</v>
          </cell>
          <cell r="AP413">
            <v>0</v>
          </cell>
        </row>
        <row r="414">
          <cell r="C414">
            <v>0</v>
          </cell>
          <cell r="D414">
            <v>0</v>
          </cell>
          <cell r="E414">
            <v>0</v>
          </cell>
          <cell r="F414">
            <v>0</v>
          </cell>
          <cell r="G414">
            <v>0</v>
          </cell>
          <cell r="H414">
            <v>0</v>
          </cell>
          <cell r="I414">
            <v>0</v>
          </cell>
          <cell r="J414">
            <v>0</v>
          </cell>
          <cell r="K414">
            <v>296246</v>
          </cell>
          <cell r="L414">
            <v>416467</v>
          </cell>
          <cell r="M414">
            <v>673636</v>
          </cell>
          <cell r="N414">
            <v>518411</v>
          </cell>
          <cell r="O414">
            <v>135872</v>
          </cell>
          <cell r="P414">
            <v>0</v>
          </cell>
          <cell r="Q414">
            <v>0</v>
          </cell>
          <cell r="R414">
            <v>0</v>
          </cell>
          <cell r="S414">
            <v>0</v>
          </cell>
          <cell r="T414">
            <v>0</v>
          </cell>
          <cell r="U414">
            <v>0</v>
          </cell>
          <cell r="V414">
            <v>0</v>
          </cell>
          <cell r="W414">
            <v>0</v>
          </cell>
          <cell r="X414">
            <v>0</v>
          </cell>
          <cell r="Y414">
            <v>0</v>
          </cell>
          <cell r="Z414">
            <v>0</v>
          </cell>
          <cell r="AA414">
            <v>0</v>
          </cell>
          <cell r="AB414">
            <v>0</v>
          </cell>
          <cell r="AC414">
            <v>0</v>
          </cell>
          <cell r="AD414">
            <v>0</v>
          </cell>
          <cell r="AE414">
            <v>0</v>
          </cell>
          <cell r="AF414">
            <v>0</v>
          </cell>
          <cell r="AG414">
            <v>0</v>
          </cell>
          <cell r="AH414">
            <v>0</v>
          </cell>
          <cell r="AI414">
            <v>0</v>
          </cell>
          <cell r="AJ414">
            <v>0</v>
          </cell>
          <cell r="AK414">
            <v>0</v>
          </cell>
          <cell r="AL414">
            <v>0</v>
          </cell>
          <cell r="AM414">
            <v>0</v>
          </cell>
          <cell r="AN414">
            <v>0</v>
          </cell>
          <cell r="AO414">
            <v>0</v>
          </cell>
          <cell r="AP414">
            <v>0</v>
          </cell>
        </row>
        <row r="415">
          <cell r="C415">
            <v>0</v>
          </cell>
          <cell r="D415">
            <v>0</v>
          </cell>
          <cell r="E415">
            <v>0</v>
          </cell>
          <cell r="F415">
            <v>0</v>
          </cell>
          <cell r="G415">
            <v>0</v>
          </cell>
          <cell r="H415">
            <v>0</v>
          </cell>
          <cell r="I415">
            <v>0</v>
          </cell>
          <cell r="J415">
            <v>0</v>
          </cell>
          <cell r="K415">
            <v>305732</v>
          </cell>
          <cell r="L415">
            <v>395713</v>
          </cell>
          <cell r="M415">
            <v>609098</v>
          </cell>
          <cell r="N415">
            <v>176799</v>
          </cell>
          <cell r="O415">
            <v>337003</v>
          </cell>
          <cell r="P415">
            <v>0</v>
          </cell>
          <cell r="Q415">
            <v>0</v>
          </cell>
          <cell r="R415">
            <v>0</v>
          </cell>
          <cell r="S415">
            <v>0</v>
          </cell>
          <cell r="T415">
            <v>0</v>
          </cell>
          <cell r="U415">
            <v>0</v>
          </cell>
          <cell r="V415">
            <v>0</v>
          </cell>
          <cell r="W415">
            <v>0</v>
          </cell>
          <cell r="X415">
            <v>0</v>
          </cell>
          <cell r="Y415">
            <v>0</v>
          </cell>
          <cell r="Z415">
            <v>0</v>
          </cell>
          <cell r="AA415">
            <v>0</v>
          </cell>
          <cell r="AB415">
            <v>0</v>
          </cell>
          <cell r="AC415">
            <v>0</v>
          </cell>
          <cell r="AD415">
            <v>0</v>
          </cell>
          <cell r="AE415">
            <v>0</v>
          </cell>
          <cell r="AF415">
            <v>0</v>
          </cell>
          <cell r="AG415">
            <v>0</v>
          </cell>
          <cell r="AH415">
            <v>0</v>
          </cell>
          <cell r="AI415">
            <v>0</v>
          </cell>
          <cell r="AJ415">
            <v>0</v>
          </cell>
          <cell r="AK415">
            <v>0</v>
          </cell>
          <cell r="AL415">
            <v>0</v>
          </cell>
          <cell r="AM415">
            <v>0</v>
          </cell>
          <cell r="AN415">
            <v>0</v>
          </cell>
          <cell r="AO415">
            <v>0</v>
          </cell>
          <cell r="AP415">
            <v>0</v>
          </cell>
        </row>
        <row r="416">
          <cell r="C416">
            <v>0</v>
          </cell>
          <cell r="D416">
            <v>0</v>
          </cell>
          <cell r="E416">
            <v>0</v>
          </cell>
          <cell r="F416">
            <v>0</v>
          </cell>
          <cell r="G416">
            <v>0</v>
          </cell>
          <cell r="H416">
            <v>0</v>
          </cell>
          <cell r="I416">
            <v>0</v>
          </cell>
          <cell r="J416">
            <v>0</v>
          </cell>
          <cell r="K416">
            <v>404010</v>
          </cell>
          <cell r="L416">
            <v>346477</v>
          </cell>
          <cell r="M416">
            <v>369009</v>
          </cell>
          <cell r="N416">
            <v>644107</v>
          </cell>
          <cell r="O416">
            <v>432276</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row>
        <row r="417">
          <cell r="C417">
            <v>0</v>
          </cell>
          <cell r="D417">
            <v>0</v>
          </cell>
          <cell r="E417">
            <v>0</v>
          </cell>
          <cell r="F417">
            <v>0</v>
          </cell>
          <cell r="G417">
            <v>0</v>
          </cell>
          <cell r="H417">
            <v>0</v>
          </cell>
          <cell r="I417">
            <v>0</v>
          </cell>
          <cell r="J417">
            <v>0</v>
          </cell>
          <cell r="K417">
            <v>0</v>
          </cell>
          <cell r="L417">
            <v>247224</v>
          </cell>
          <cell r="M417">
            <v>276052</v>
          </cell>
          <cell r="N417">
            <v>274746</v>
          </cell>
          <cell r="O417">
            <v>482205</v>
          </cell>
          <cell r="P417">
            <v>0</v>
          </cell>
          <cell r="Q417">
            <v>0</v>
          </cell>
          <cell r="R417">
            <v>0</v>
          </cell>
          <cell r="S417">
            <v>0</v>
          </cell>
          <cell r="T417">
            <v>0</v>
          </cell>
          <cell r="U417">
            <v>0</v>
          </cell>
          <cell r="V417">
            <v>0</v>
          </cell>
          <cell r="W417">
            <v>0</v>
          </cell>
          <cell r="X417">
            <v>0</v>
          </cell>
          <cell r="Y417">
            <v>0</v>
          </cell>
          <cell r="Z417">
            <v>0</v>
          </cell>
          <cell r="AA417">
            <v>0</v>
          </cell>
          <cell r="AB417">
            <v>0</v>
          </cell>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row>
        <row r="418">
          <cell r="C418">
            <v>0</v>
          </cell>
          <cell r="D418">
            <v>0</v>
          </cell>
          <cell r="E418">
            <v>0</v>
          </cell>
          <cell r="F418">
            <v>0</v>
          </cell>
          <cell r="G418">
            <v>0</v>
          </cell>
          <cell r="H418">
            <v>0</v>
          </cell>
          <cell r="I418">
            <v>0</v>
          </cell>
          <cell r="J418">
            <v>184806</v>
          </cell>
          <cell r="K418">
            <v>366982</v>
          </cell>
          <cell r="L418">
            <v>956600</v>
          </cell>
          <cell r="M418">
            <v>441432</v>
          </cell>
          <cell r="N418">
            <v>168243</v>
          </cell>
          <cell r="O418">
            <v>307315</v>
          </cell>
          <cell r="P418">
            <v>0</v>
          </cell>
          <cell r="Q418">
            <v>0</v>
          </cell>
          <cell r="R418">
            <v>0</v>
          </cell>
          <cell r="S418">
            <v>0</v>
          </cell>
          <cell r="T418">
            <v>0</v>
          </cell>
          <cell r="U418">
            <v>0</v>
          </cell>
          <cell r="V418">
            <v>0</v>
          </cell>
          <cell r="W418">
            <v>0</v>
          </cell>
          <cell r="X418">
            <v>0</v>
          </cell>
          <cell r="Y418">
            <v>0</v>
          </cell>
          <cell r="Z418">
            <v>0</v>
          </cell>
          <cell r="AA418">
            <v>0</v>
          </cell>
          <cell r="AB418">
            <v>0</v>
          </cell>
          <cell r="AC418">
            <v>0</v>
          </cell>
          <cell r="AD418">
            <v>0</v>
          </cell>
          <cell r="AE418">
            <v>0</v>
          </cell>
          <cell r="AF418">
            <v>0</v>
          </cell>
          <cell r="AG418">
            <v>0</v>
          </cell>
          <cell r="AH418">
            <v>0</v>
          </cell>
          <cell r="AI418">
            <v>0</v>
          </cell>
          <cell r="AJ418">
            <v>0</v>
          </cell>
          <cell r="AK418">
            <v>0</v>
          </cell>
          <cell r="AL418">
            <v>0</v>
          </cell>
          <cell r="AM418">
            <v>0</v>
          </cell>
          <cell r="AN418">
            <v>0</v>
          </cell>
          <cell r="AO418">
            <v>0</v>
          </cell>
          <cell r="AP418">
            <v>0</v>
          </cell>
        </row>
        <row r="419">
          <cell r="C419">
            <v>0</v>
          </cell>
          <cell r="D419">
            <v>0</v>
          </cell>
          <cell r="E419">
            <v>0</v>
          </cell>
          <cell r="F419">
            <v>0</v>
          </cell>
          <cell r="G419">
            <v>0</v>
          </cell>
          <cell r="H419">
            <v>0</v>
          </cell>
          <cell r="I419">
            <v>0</v>
          </cell>
          <cell r="J419">
            <v>475255</v>
          </cell>
          <cell r="K419">
            <v>1012409</v>
          </cell>
          <cell r="L419">
            <v>502249</v>
          </cell>
          <cell r="M419">
            <v>907732</v>
          </cell>
          <cell r="N419">
            <v>935542</v>
          </cell>
          <cell r="O419">
            <v>755252</v>
          </cell>
          <cell r="P419">
            <v>28862</v>
          </cell>
          <cell r="Q419">
            <v>0</v>
          </cell>
          <cell r="R419">
            <v>0</v>
          </cell>
          <cell r="S419">
            <v>0</v>
          </cell>
          <cell r="T419">
            <v>0</v>
          </cell>
          <cell r="U419">
            <v>0</v>
          </cell>
          <cell r="V419">
            <v>0</v>
          </cell>
          <cell r="W419">
            <v>0</v>
          </cell>
          <cell r="X419">
            <v>0</v>
          </cell>
          <cell r="Y419">
            <v>0</v>
          </cell>
          <cell r="Z419">
            <v>0</v>
          </cell>
          <cell r="AA419">
            <v>0</v>
          </cell>
          <cell r="AB419">
            <v>0</v>
          </cell>
          <cell r="AC419">
            <v>0</v>
          </cell>
          <cell r="AD419">
            <v>0</v>
          </cell>
          <cell r="AE419">
            <v>0</v>
          </cell>
          <cell r="AF419">
            <v>0</v>
          </cell>
          <cell r="AG419">
            <v>0</v>
          </cell>
          <cell r="AH419">
            <v>0</v>
          </cell>
          <cell r="AI419">
            <v>0</v>
          </cell>
          <cell r="AJ419">
            <v>0</v>
          </cell>
          <cell r="AK419">
            <v>0</v>
          </cell>
          <cell r="AL419">
            <v>0</v>
          </cell>
          <cell r="AM419">
            <v>0</v>
          </cell>
          <cell r="AN419">
            <v>0</v>
          </cell>
          <cell r="AO419">
            <v>0</v>
          </cell>
          <cell r="AP419">
            <v>0</v>
          </cell>
        </row>
      </sheetData>
      <sheetData sheetId="15" refreshError="1"/>
      <sheetData sheetId="16" refreshError="1"/>
      <sheetData sheetId="17" refreshError="1"/>
      <sheetData sheetId="18">
        <row r="64">
          <cell r="O64">
            <v>2023</v>
          </cell>
        </row>
        <row r="106">
          <cell r="C106">
            <v>1102068807</v>
          </cell>
          <cell r="D106">
            <v>1056945842</v>
          </cell>
          <cell r="E106">
            <v>1151767493</v>
          </cell>
          <cell r="F106">
            <v>1161548853</v>
          </cell>
          <cell r="G106">
            <v>1219661304</v>
          </cell>
          <cell r="H106">
            <v>1235414517</v>
          </cell>
          <cell r="I106">
            <v>1275792936</v>
          </cell>
          <cell r="J106">
            <v>1269892374</v>
          </cell>
          <cell r="K106">
            <v>1239085495</v>
          </cell>
          <cell r="L106">
            <v>1139185708</v>
          </cell>
          <cell r="M106">
            <v>1185009720</v>
          </cell>
          <cell r="N106">
            <v>1215627402</v>
          </cell>
          <cell r="O106">
            <v>1291808391</v>
          </cell>
          <cell r="P106">
            <v>1267997350</v>
          </cell>
          <cell r="Q106">
            <v>1254698068.8157113</v>
          </cell>
          <cell r="R106">
            <v>1254131961.9076321</v>
          </cell>
          <cell r="S106">
            <v>1261380861.9334395</v>
          </cell>
          <cell r="T106">
            <v>1278417658.9740689</v>
          </cell>
          <cell r="U106">
            <v>1282384140.2425611</v>
          </cell>
          <cell r="V106">
            <v>1292177055.70732</v>
          </cell>
          <cell r="W106">
            <v>1305520526.4408178</v>
          </cell>
          <cell r="X106">
            <v>1316018866.5143945</v>
          </cell>
          <cell r="Y106">
            <v>1327214538.8964512</v>
          </cell>
          <cell r="Z106">
            <v>1337203455.6996999</v>
          </cell>
          <cell r="AA106">
            <v>1348430284.8084166</v>
          </cell>
          <cell r="AB106">
            <v>1359961098.5939021</v>
          </cell>
          <cell r="AC106">
            <v>1371107351.7236354</v>
          </cell>
          <cell r="AD106">
            <v>1382391106.4574912</v>
          </cell>
          <cell r="AE106">
            <v>1393692026.6289146</v>
          </cell>
          <cell r="AF106">
            <v>1405262779.2868519</v>
          </cell>
          <cell r="AG106">
            <v>1416904401.5515487</v>
          </cell>
          <cell r="AH106">
            <v>1428567075.0785978</v>
          </cell>
          <cell r="AI106">
            <v>1440336322.7416852</v>
          </cell>
          <cell r="AJ106">
            <v>1452204970.0344861</v>
          </cell>
          <cell r="AK106">
            <v>1464190035.1753991</v>
          </cell>
          <cell r="AL106">
            <v>1476259893.066195</v>
          </cell>
          <cell r="AM106">
            <v>1488417291.4894948</v>
          </cell>
          <cell r="AN106">
            <v>1500676158.0949526</v>
          </cell>
          <cell r="AO106">
            <v>1513035307.8835959</v>
          </cell>
          <cell r="AP106">
            <v>1525494929.9354904</v>
          </cell>
        </row>
        <row r="107">
          <cell r="C107">
            <v>1139844670</v>
          </cell>
          <cell r="D107">
            <v>1045333458</v>
          </cell>
          <cell r="E107">
            <v>1124339471</v>
          </cell>
          <cell r="F107">
            <v>1127104876</v>
          </cell>
          <cell r="G107">
            <v>1198456877</v>
          </cell>
          <cell r="H107">
            <v>1206721017</v>
          </cell>
          <cell r="I107">
            <v>1273920259</v>
          </cell>
          <cell r="J107">
            <v>1232770960</v>
          </cell>
          <cell r="K107">
            <v>1195257322</v>
          </cell>
          <cell r="L107">
            <v>1137323818</v>
          </cell>
          <cell r="M107">
            <v>1241477854</v>
          </cell>
          <cell r="N107">
            <v>1251949282</v>
          </cell>
          <cell r="O107">
            <v>1229592618</v>
          </cell>
          <cell r="P107">
            <v>1191584658</v>
          </cell>
          <cell r="Q107">
            <v>1244978808.6697311</v>
          </cell>
          <cell r="R107">
            <v>1242931776.8417358</v>
          </cell>
          <cell r="S107">
            <v>1236655580.7261941</v>
          </cell>
          <cell r="T107">
            <v>1241209012.6491888</v>
          </cell>
          <cell r="U107">
            <v>1250057539.2565622</v>
          </cell>
          <cell r="V107">
            <v>1268672872.7525294</v>
          </cell>
          <cell r="W107">
            <v>1279085574.3599296</v>
          </cell>
          <cell r="X107">
            <v>1286461646.4410391</v>
          </cell>
          <cell r="Y107">
            <v>1296666913.7273667</v>
          </cell>
          <cell r="Z107">
            <v>1308021529.1469817</v>
          </cell>
          <cell r="AA107">
            <v>1319893201.3310857</v>
          </cell>
          <cell r="AB107">
            <v>1330392377.754787</v>
          </cell>
          <cell r="AC107">
            <v>1340896538.5715263</v>
          </cell>
          <cell r="AD107">
            <v>1352046497.7212913</v>
          </cell>
          <cell r="AE107">
            <v>1363389229.9345174</v>
          </cell>
          <cell r="AF107">
            <v>1374730409.424463</v>
          </cell>
          <cell r="AG107">
            <v>1385963213.3724637</v>
          </cell>
          <cell r="AH107">
            <v>1397344765.2467966</v>
          </cell>
          <cell r="AI107">
            <v>1408906867.1223829</v>
          </cell>
          <cell r="AJ107">
            <v>1420553336.4530692</v>
          </cell>
          <cell r="AK107">
            <v>1432262112.0494249</v>
          </cell>
          <cell r="AL107">
            <v>1444046107.3018072</v>
          </cell>
          <cell r="AM107">
            <v>1455942850.2284639</v>
          </cell>
          <cell r="AN107">
            <v>1467945255.1289663</v>
          </cell>
          <cell r="AO107">
            <v>1480037836.6483381</v>
          </cell>
          <cell r="AP107">
            <v>1492221793.282094</v>
          </cell>
        </row>
        <row r="108">
          <cell r="C108">
            <v>1181817350</v>
          </cell>
          <cell r="D108">
            <v>1036814339</v>
          </cell>
          <cell r="E108">
            <v>1199980139</v>
          </cell>
          <cell r="F108">
            <v>1272257093</v>
          </cell>
          <cell r="G108">
            <v>1292060744</v>
          </cell>
          <cell r="H108">
            <v>1272483243</v>
          </cell>
          <cell r="I108">
            <v>1259433963</v>
          </cell>
          <cell r="J108">
            <v>1233347066</v>
          </cell>
          <cell r="K108">
            <v>1290063012</v>
          </cell>
          <cell r="L108">
            <v>1140983324</v>
          </cell>
          <cell r="M108">
            <v>1292096107</v>
          </cell>
          <cell r="N108">
            <v>1194250955</v>
          </cell>
          <cell r="O108">
            <v>1254018704</v>
          </cell>
          <cell r="P108">
            <v>1296614429</v>
          </cell>
          <cell r="Q108">
            <v>1249524620.5326526</v>
          </cell>
          <cell r="R108">
            <v>1268539058.9465487</v>
          </cell>
          <cell r="S108">
            <v>1257107614.3023086</v>
          </cell>
          <cell r="T108">
            <v>1277573012.1299839</v>
          </cell>
          <cell r="U108">
            <v>1289035434.6162238</v>
          </cell>
          <cell r="V108">
            <v>1294377944.615356</v>
          </cell>
          <cell r="W108">
            <v>1309241235.4924195</v>
          </cell>
          <cell r="X108">
            <v>1317548899.7898877</v>
          </cell>
          <cell r="Y108">
            <v>1329934253.0383883</v>
          </cell>
          <cell r="Z108">
            <v>1340653731.2407951</v>
          </cell>
          <cell r="AA108">
            <v>1351224336.9271922</v>
          </cell>
          <cell r="AB108">
            <v>1362876764.8823965</v>
          </cell>
          <cell r="AC108">
            <v>1373857976.7639449</v>
          </cell>
          <cell r="AD108">
            <v>1385391917.2684011</v>
          </cell>
          <cell r="AE108">
            <v>1396750425.4314225</v>
          </cell>
          <cell r="AF108">
            <v>1408240831.2341468</v>
          </cell>
          <cell r="AG108">
            <v>1419920157.3303182</v>
          </cell>
          <cell r="AH108">
            <v>1431603327.1980464</v>
          </cell>
          <cell r="AI108">
            <v>1443431102.0732751</v>
          </cell>
          <cell r="AJ108">
            <v>1455318989.976089</v>
          </cell>
          <cell r="AK108">
            <v>1467315437.6072934</v>
          </cell>
          <cell r="AL108">
            <v>1479415480.2241359</v>
          </cell>
          <cell r="AM108">
            <v>1491601520.8076324</v>
          </cell>
          <cell r="AN108">
            <v>1503890699.1667943</v>
          </cell>
          <cell r="AO108">
            <v>1516274377.3207512</v>
          </cell>
          <cell r="AP108">
            <v>1528759611.7175183</v>
          </cell>
        </row>
        <row r="109">
          <cell r="C109">
            <v>13609057120</v>
          </cell>
          <cell r="D109">
            <v>12986723082</v>
          </cell>
          <cell r="E109">
            <v>13098970936</v>
          </cell>
          <cell r="F109">
            <v>14021921395</v>
          </cell>
          <cell r="G109">
            <v>14393318940</v>
          </cell>
          <cell r="H109">
            <v>14724613295</v>
          </cell>
          <cell r="I109">
            <v>14864220246</v>
          </cell>
          <cell r="J109">
            <v>14967243350</v>
          </cell>
          <cell r="K109">
            <v>14730393612</v>
          </cell>
          <cell r="L109">
            <v>12857192617</v>
          </cell>
          <cell r="M109">
            <v>14123603899</v>
          </cell>
          <cell r="N109">
            <v>14423503830</v>
          </cell>
          <cell r="O109">
            <v>14678741531</v>
          </cell>
          <cell r="P109">
            <v>14867527798</v>
          </cell>
          <cell r="Q109">
            <v>14595688774.088146</v>
          </cell>
          <cell r="R109">
            <v>14667793890.620512</v>
          </cell>
          <cell r="S109">
            <v>14699514784.203907</v>
          </cell>
          <cell r="T109">
            <v>14846102876.012688</v>
          </cell>
          <cell r="U109">
            <v>14957696786.482641</v>
          </cell>
          <cell r="V109">
            <v>15056049140.126474</v>
          </cell>
          <cell r="W109">
            <v>15216356925.802042</v>
          </cell>
          <cell r="X109">
            <v>15328389301.091822</v>
          </cell>
          <cell r="Y109">
            <v>15457248807.180267</v>
          </cell>
          <cell r="Z109">
            <v>15582363954.768641</v>
          </cell>
          <cell r="AA109">
            <v>15710291497.70624</v>
          </cell>
          <cell r="AB109">
            <v>15844398914.029871</v>
          </cell>
          <cell r="AC109">
            <v>15972983623.555958</v>
          </cell>
          <cell r="AD109">
            <v>16105015961.298561</v>
          </cell>
          <cell r="AE109">
            <v>16237688318.03793</v>
          </cell>
          <cell r="AF109">
            <v>16371920385.928848</v>
          </cell>
          <cell r="AG109">
            <v>16507449056.589115</v>
          </cell>
          <cell r="AH109">
            <v>16643249598.229235</v>
          </cell>
          <cell r="AI109">
            <v>16780537625.081625</v>
          </cell>
          <cell r="AJ109">
            <v>16918901622.124741</v>
          </cell>
          <cell r="AK109">
            <v>17058432840.526545</v>
          </cell>
          <cell r="AL109">
            <v>17199048711.74839</v>
          </cell>
          <cell r="AM109">
            <v>17340704559.461739</v>
          </cell>
          <cell r="AN109">
            <v>17483561325.822472</v>
          </cell>
          <cell r="AO109">
            <v>17627558657.816719</v>
          </cell>
          <cell r="AP109">
            <v>17772709885.846157</v>
          </cell>
        </row>
        <row r="110">
          <cell r="D110">
            <v>-4.5602943563834319E-2</v>
          </cell>
          <cell r="E110">
            <v>0.10931941659522582</v>
          </cell>
          <cell r="F110">
            <v>9.7662471066369605E-2</v>
          </cell>
          <cell r="G110">
            <v>8.4832309337993905E-2</v>
          </cell>
          <cell r="H110">
            <v>4.0527828596107263E-2</v>
          </cell>
          <cell r="I110">
            <v>1.8301449564931849E-2</v>
          </cell>
          <cell r="J110">
            <v>-1.2165415738186858E-2</v>
          </cell>
          <cell r="K110">
            <v>5.5829172237772173E-2</v>
          </cell>
          <cell r="L110">
            <v>7.1235264762524064E-2</v>
          </cell>
          <cell r="M110">
            <v>0.10766851467458483</v>
          </cell>
          <cell r="N110">
            <v>-6.9915036679650822E-3</v>
          </cell>
          <cell r="O110">
            <v>2.7522573222658275E-2</v>
          </cell>
          <cell r="P110">
            <v>5.0980013738823216E-2</v>
          </cell>
        </row>
        <row r="111">
          <cell r="P111">
            <v>-3130868.1100463867</v>
          </cell>
        </row>
        <row r="112">
          <cell r="C112">
            <v>2011</v>
          </cell>
          <cell r="D112">
            <v>2012</v>
          </cell>
          <cell r="E112">
            <v>2013</v>
          </cell>
          <cell r="F112">
            <v>2014</v>
          </cell>
          <cell r="G112">
            <v>2015</v>
          </cell>
          <cell r="H112">
            <v>2016</v>
          </cell>
          <cell r="I112">
            <v>2017</v>
          </cell>
          <cell r="J112">
            <v>2018</v>
          </cell>
          <cell r="K112">
            <v>2019</v>
          </cell>
          <cell r="L112">
            <v>2020</v>
          </cell>
          <cell r="M112">
            <v>2021</v>
          </cell>
          <cell r="N112">
            <v>2022</v>
          </cell>
          <cell r="O112">
            <v>2023</v>
          </cell>
          <cell r="P112">
            <v>2024</v>
          </cell>
          <cell r="Q112">
            <v>2025</v>
          </cell>
          <cell r="R112">
            <v>2026</v>
          </cell>
          <cell r="S112">
            <v>2027</v>
          </cell>
          <cell r="T112">
            <v>2028</v>
          </cell>
          <cell r="U112">
            <v>2029</v>
          </cell>
          <cell r="V112">
            <v>2030</v>
          </cell>
          <cell r="W112">
            <v>2031</v>
          </cell>
          <cell r="X112">
            <v>2032</v>
          </cell>
          <cell r="Y112">
            <v>2033</v>
          </cell>
          <cell r="Z112">
            <v>2034</v>
          </cell>
          <cell r="AA112">
            <v>2035</v>
          </cell>
          <cell r="AB112">
            <v>2036</v>
          </cell>
          <cell r="AC112">
            <v>2037</v>
          </cell>
          <cell r="AD112">
            <v>2038</v>
          </cell>
          <cell r="AE112">
            <v>2039</v>
          </cell>
          <cell r="AF112">
            <v>2040</v>
          </cell>
          <cell r="AG112">
            <v>2041</v>
          </cell>
          <cell r="AH112">
            <v>2042</v>
          </cell>
          <cell r="AI112">
            <v>2043</v>
          </cell>
          <cell r="AJ112">
            <v>2044</v>
          </cell>
          <cell r="AK112">
            <v>2045</v>
          </cell>
          <cell r="AL112">
            <v>2046</v>
          </cell>
          <cell r="AM112">
            <v>2047</v>
          </cell>
          <cell r="AN112">
            <v>2048</v>
          </cell>
          <cell r="AO112">
            <v>2049</v>
          </cell>
          <cell r="AP112">
            <v>2050</v>
          </cell>
        </row>
        <row r="113">
          <cell r="C113">
            <v>1160289818</v>
          </cell>
          <cell r="D113">
            <v>1178481937</v>
          </cell>
          <cell r="E113">
            <v>1028160966</v>
          </cell>
          <cell r="F113">
            <v>1150184079</v>
          </cell>
          <cell r="G113">
            <v>1192708203</v>
          </cell>
          <cell r="H113">
            <v>1215577025</v>
          </cell>
          <cell r="I113">
            <v>1238395770</v>
          </cell>
          <cell r="J113">
            <v>1255494453</v>
          </cell>
          <cell r="K113">
            <v>1189779457</v>
          </cell>
          <cell r="L113">
            <v>1238303796</v>
          </cell>
          <cell r="M113">
            <v>1072581886</v>
          </cell>
          <cell r="N113">
            <v>1206153322</v>
          </cell>
          <cell r="O113">
            <v>1200969763</v>
          </cell>
          <cell r="P113">
            <v>1203497939</v>
          </cell>
          <cell r="Q113">
            <v>1243974760</v>
          </cell>
          <cell r="R113">
            <v>1196145200.9871042</v>
          </cell>
          <cell r="S113">
            <v>1214606795.950866</v>
          </cell>
          <cell r="T113">
            <v>1223799902.5219884</v>
          </cell>
          <cell r="U113">
            <v>1234839300.0865631</v>
          </cell>
          <cell r="V113">
            <v>1247809266.1437976</v>
          </cell>
          <cell r="W113">
            <v>1254034520.3520756</v>
          </cell>
          <cell r="X113">
            <v>1265866883.0401263</v>
          </cell>
          <cell r="Y113">
            <v>1276370264.5011213</v>
          </cell>
          <cell r="Z113">
            <v>1287133143.9135785</v>
          </cell>
          <cell r="AA113">
            <v>1297842693.164597</v>
          </cell>
          <cell r="AB113">
            <v>1308098567.8588519</v>
          </cell>
          <cell r="AC113">
            <v>1319168131.7649403</v>
          </cell>
          <cell r="AD113">
            <v>1330085837.1825626</v>
          </cell>
          <cell r="AE113">
            <v>1341087616.3256948</v>
          </cell>
          <cell r="AF113">
            <v>1352139241.7129109</v>
          </cell>
          <cell r="AG113">
            <v>1363261341.1963582</v>
          </cell>
          <cell r="AH113">
            <v>1374559394.0523348</v>
          </cell>
          <cell r="AI113">
            <v>1385904974.1421993</v>
          </cell>
          <cell r="AJ113">
            <v>1397338149.1859744</v>
          </cell>
          <cell r="AK113">
            <v>1408859797.2359655</v>
          </cell>
          <cell r="AL113">
            <v>1420477661.0770473</v>
          </cell>
          <cell r="AM113">
            <v>1432196915.225723</v>
          </cell>
          <cell r="AN113">
            <v>1444002565.0902469</v>
          </cell>
          <cell r="AO113">
            <v>1455902444.485815</v>
          </cell>
          <cell r="AP113">
            <v>1467897920.7665823</v>
          </cell>
        </row>
        <row r="114">
          <cell r="C114">
            <v>1054084139</v>
          </cell>
          <cell r="D114">
            <v>1079500947</v>
          </cell>
          <cell r="E114">
            <v>939513797</v>
          </cell>
          <cell r="F114">
            <v>1020555812</v>
          </cell>
          <cell r="G114">
            <v>1077497118</v>
          </cell>
          <cell r="H114">
            <v>1162516905</v>
          </cell>
          <cell r="I114">
            <v>1130343456</v>
          </cell>
          <cell r="J114">
            <v>1098731054</v>
          </cell>
          <cell r="K114">
            <v>1132553957</v>
          </cell>
          <cell r="L114">
            <v>1141726932</v>
          </cell>
          <cell r="M114">
            <v>889096390</v>
          </cell>
          <cell r="N114">
            <v>1065448384</v>
          </cell>
          <cell r="O114">
            <v>1118067955</v>
          </cell>
          <cell r="P114">
            <v>1206352583</v>
          </cell>
          <cell r="Q114">
            <v>1119162157</v>
          </cell>
          <cell r="R114">
            <v>1089379233.3984504</v>
          </cell>
          <cell r="S114">
            <v>1123807353.3195639</v>
          </cell>
          <cell r="T114">
            <v>1142520469.0937212</v>
          </cell>
          <cell r="U114">
            <v>1153463921.8251555</v>
          </cell>
          <cell r="V114">
            <v>1148808411.7354293</v>
          </cell>
          <cell r="W114">
            <v>1159893567.2468188</v>
          </cell>
          <cell r="X114">
            <v>1174316608.5581653</v>
          </cell>
          <cell r="Y114">
            <v>1184666411.5629399</v>
          </cell>
          <cell r="Z114">
            <v>1193293342.2317235</v>
          </cell>
          <cell r="AA114">
            <v>1201448540.7449403</v>
          </cell>
          <cell r="AB114">
            <v>1212238805.3268213</v>
          </cell>
          <cell r="AC114">
            <v>1222956982.7725089</v>
          </cell>
          <cell r="AD114">
            <v>1232919878.5131936</v>
          </cell>
          <cell r="AE114">
            <v>1242802671.2564876</v>
          </cell>
          <cell r="AF114">
            <v>1252943712.2242677</v>
          </cell>
          <cell r="AG114">
            <v>1263492148.0484619</v>
          </cell>
          <cell r="AH114">
            <v>1273989520.3320253</v>
          </cell>
          <cell r="AI114">
            <v>1284442272.1018937</v>
          </cell>
          <cell r="AJ114">
            <v>1294995332.6406364</v>
          </cell>
          <cell r="AK114">
            <v>1305685826.9732928</v>
          </cell>
          <cell r="AL114">
            <v>1316488827.8320055</v>
          </cell>
          <cell r="AM114">
            <v>1327343795.2634671</v>
          </cell>
          <cell r="AN114">
            <v>1338272116.4297862</v>
          </cell>
          <cell r="AO114">
            <v>1349297849.6165237</v>
          </cell>
          <cell r="AP114">
            <v>1360420407.7926373</v>
          </cell>
        </row>
        <row r="115">
          <cell r="C115">
            <v>1225662401</v>
          </cell>
          <cell r="D115">
            <v>1136870708</v>
          </cell>
          <cell r="E115">
            <v>1034306785</v>
          </cell>
          <cell r="F115">
            <v>1147001684</v>
          </cell>
          <cell r="G115">
            <v>1200977243</v>
          </cell>
          <cell r="H115">
            <v>1221790061</v>
          </cell>
          <cell r="I115">
            <v>1262859797</v>
          </cell>
          <cell r="J115">
            <v>1221028438</v>
          </cell>
          <cell r="K115">
            <v>1184062717</v>
          </cell>
          <cell r="L115">
            <v>1112164188</v>
          </cell>
          <cell r="M115">
            <v>1175862799</v>
          </cell>
          <cell r="N115">
            <v>1259985238</v>
          </cell>
          <cell r="O115">
            <v>1206945599</v>
          </cell>
          <cell r="P115">
            <v>1185423732</v>
          </cell>
          <cell r="Q115">
            <v>1213323826</v>
          </cell>
          <cell r="R115">
            <v>1219224546.3377512</v>
          </cell>
          <cell r="S115">
            <v>1221464360.0821724</v>
          </cell>
          <cell r="T115">
            <v>1221212131.4094555</v>
          </cell>
          <cell r="U115">
            <v>1230499309.7264981</v>
          </cell>
          <cell r="V115">
            <v>1246249488.5299411</v>
          </cell>
          <cell r="W115">
            <v>1258431670.8241973</v>
          </cell>
          <cell r="X115">
            <v>1266434142.13569</v>
          </cell>
          <cell r="Y115">
            <v>1275648040.7507567</v>
          </cell>
          <cell r="Z115">
            <v>1286793351.5841703</v>
          </cell>
          <cell r="AA115">
            <v>1298322908.6268451</v>
          </cell>
          <cell r="AB115">
            <v>1308996963.4291108</v>
          </cell>
          <cell r="AC115">
            <v>1319349312.1295795</v>
          </cell>
          <cell r="AD115">
            <v>1330187875.0017424</v>
          </cell>
          <cell r="AE115">
            <v>1341358615.7613771</v>
          </cell>
          <cell r="AF115">
            <v>1352535442.6534686</v>
          </cell>
          <cell r="AG115">
            <v>1363640318.2269723</v>
          </cell>
          <cell r="AH115">
            <v>1374831896.8047135</v>
          </cell>
          <cell r="AI115">
            <v>1386196194.5615838</v>
          </cell>
          <cell r="AJ115">
            <v>1397668146.420464</v>
          </cell>
          <cell r="AK115">
            <v>1409201885.7491837</v>
          </cell>
          <cell r="AL115">
            <v>1420808655.6858542</v>
          </cell>
          <cell r="AM115">
            <v>1432518072.5501463</v>
          </cell>
          <cell r="AN115">
            <v>1444333693.4533072</v>
          </cell>
          <cell r="AO115">
            <v>1456241750.9554038</v>
          </cell>
          <cell r="AP115">
            <v>1468239133.3706708</v>
          </cell>
        </row>
        <row r="116">
          <cell r="C116">
            <v>1069645214</v>
          </cell>
          <cell r="D116">
            <v>1096194768</v>
          </cell>
          <cell r="E116">
            <v>1085559590</v>
          </cell>
          <cell r="F116">
            <v>1175647065</v>
          </cell>
          <cell r="G116">
            <v>1155991715</v>
          </cell>
          <cell r="H116">
            <v>1155665531</v>
          </cell>
          <cell r="I116">
            <v>1161625887</v>
          </cell>
          <cell r="J116">
            <v>1221248344</v>
          </cell>
          <cell r="K116">
            <v>1237246735</v>
          </cell>
          <cell r="L116">
            <v>628050492</v>
          </cell>
          <cell r="M116">
            <v>1121341351</v>
          </cell>
          <cell r="N116">
            <v>1126654731</v>
          </cell>
          <cell r="O116">
            <v>1138611575</v>
          </cell>
          <cell r="P116">
            <v>1184892171</v>
          </cell>
          <cell r="Q116">
            <v>1069589312.9666238</v>
          </cell>
          <cell r="R116">
            <v>1138410569.0740483</v>
          </cell>
          <cell r="S116">
            <v>1135800989.0869007</v>
          </cell>
          <cell r="T116">
            <v>1144648333.2074459</v>
          </cell>
          <cell r="U116">
            <v>1151863952.4813418</v>
          </cell>
          <cell r="V116">
            <v>1151253673.9335489</v>
          </cell>
          <cell r="W116">
            <v>1173013271.712188</v>
          </cell>
          <cell r="X116">
            <v>1180074219.8487833</v>
          </cell>
          <cell r="Y116">
            <v>1189145648.0695484</v>
          </cell>
          <cell r="Z116">
            <v>1198254545.0870385</v>
          </cell>
          <cell r="AA116">
            <v>1207754686.2569602</v>
          </cell>
          <cell r="AB116">
            <v>1219336394.7546587</v>
          </cell>
          <cell r="AC116">
            <v>1228820034.43013</v>
          </cell>
          <cell r="AD116">
            <v>1238804506.8371892</v>
          </cell>
          <cell r="AE116">
            <v>1248975345.0337322</v>
          </cell>
          <cell r="AF116">
            <v>1259364681.5076294</v>
          </cell>
          <cell r="AG116">
            <v>1269936617.2345469</v>
          </cell>
          <cell r="AH116">
            <v>1280300067.1513689</v>
          </cell>
          <cell r="AI116">
            <v>1290844507.5847168</v>
          </cell>
          <cell r="AJ116">
            <v>1301503627.3346436</v>
          </cell>
          <cell r="AK116">
            <v>1312262877.1511052</v>
          </cell>
          <cell r="AL116">
            <v>1323097831.0677321</v>
          </cell>
          <cell r="AM116">
            <v>1333986483.4542818</v>
          </cell>
          <cell r="AN116">
            <v>1344982845.399188</v>
          </cell>
          <cell r="AO116">
            <v>1356071771.6753063</v>
          </cell>
          <cell r="AP116">
            <v>1367248736.1723037</v>
          </cell>
        </row>
        <row r="117">
          <cell r="C117">
            <v>1139975440</v>
          </cell>
          <cell r="D117">
            <v>1131920310</v>
          </cell>
          <cell r="E117">
            <v>1140894814</v>
          </cell>
          <cell r="F117">
            <v>1199854519</v>
          </cell>
          <cell r="G117">
            <v>1199765889</v>
          </cell>
          <cell r="H117">
            <v>1234936140</v>
          </cell>
          <cell r="I117">
            <v>1254112020</v>
          </cell>
          <cell r="J117">
            <v>1284250164</v>
          </cell>
          <cell r="K117">
            <v>1276709047</v>
          </cell>
          <cell r="L117">
            <v>835521630</v>
          </cell>
          <cell r="M117">
            <v>1249146048</v>
          </cell>
          <cell r="N117">
            <v>1221667543</v>
          </cell>
          <cell r="O117">
            <v>1254320370</v>
          </cell>
          <cell r="P117">
            <v>1262729662</v>
          </cell>
          <cell r="Q117">
            <v>1197917175.2483857</v>
          </cell>
          <cell r="R117">
            <v>1248333090.0696595</v>
          </cell>
          <cell r="S117">
            <v>1241551074.5257688</v>
          </cell>
          <cell r="T117">
            <v>1253218815.7164443</v>
          </cell>
          <cell r="U117">
            <v>1259553288.3191586</v>
          </cell>
          <cell r="V117">
            <v>1265609330.4206216</v>
          </cell>
          <cell r="W117">
            <v>1285003080.7448928</v>
          </cell>
          <cell r="X117">
            <v>1292484715.291451</v>
          </cell>
          <cell r="Y117">
            <v>1302921078.5522656</v>
          </cell>
          <cell r="Z117">
            <v>1313095734.1938035</v>
          </cell>
          <cell r="AA117">
            <v>1324061029.5435874</v>
          </cell>
          <cell r="AB117">
            <v>1336042563.8996403</v>
          </cell>
          <cell r="AC117">
            <v>1346491848.2568879</v>
          </cell>
          <cell r="AD117">
            <v>1357554077.3764915</v>
          </cell>
          <cell r="AE117">
            <v>1368743726.7863016</v>
          </cell>
          <cell r="AF117">
            <v>1380142328.6610892</v>
          </cell>
          <cell r="AG117">
            <v>1391630111.3120821</v>
          </cell>
          <cell r="AH117">
            <v>1403015040.8874321</v>
          </cell>
          <cell r="AI117">
            <v>1414592467.6461828</v>
          </cell>
          <cell r="AJ117">
            <v>1426275386.5555201</v>
          </cell>
          <cell r="AK117">
            <v>1438059462.0311139</v>
          </cell>
          <cell r="AL117">
            <v>1449922419.706543</v>
          </cell>
          <cell r="AM117">
            <v>1461862044.9441459</v>
          </cell>
          <cell r="AN117">
            <v>1473915430.4076107</v>
          </cell>
          <cell r="AO117">
            <v>1486066300.6713338</v>
          </cell>
          <cell r="AP117">
            <v>1498313022.0291374</v>
          </cell>
        </row>
        <row r="218">
          <cell r="C218">
            <v>0</v>
          </cell>
          <cell r="D218">
            <v>0</v>
          </cell>
          <cell r="E218">
            <v>0</v>
          </cell>
          <cell r="F218">
            <v>0</v>
          </cell>
          <cell r="G218">
            <v>0</v>
          </cell>
          <cell r="H218">
            <v>0</v>
          </cell>
          <cell r="I218">
            <v>0</v>
          </cell>
          <cell r="J218">
            <v>0</v>
          </cell>
          <cell r="K218">
            <v>0</v>
          </cell>
          <cell r="L218">
            <v>0</v>
          </cell>
          <cell r="M218">
            <v>0</v>
          </cell>
          <cell r="N218">
            <v>0</v>
          </cell>
          <cell r="O218">
            <v>4124</v>
          </cell>
          <cell r="P218">
            <v>0</v>
          </cell>
          <cell r="Q218">
            <v>0</v>
          </cell>
          <cell r="R218">
            <v>0</v>
          </cell>
          <cell r="S218">
            <v>0</v>
          </cell>
          <cell r="AA218">
            <v>0</v>
          </cell>
          <cell r="AB218">
            <v>0</v>
          </cell>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row>
        <row r="219">
          <cell r="C219">
            <v>0</v>
          </cell>
          <cell r="D219">
            <v>0</v>
          </cell>
          <cell r="E219">
            <v>0</v>
          </cell>
          <cell r="F219">
            <v>0</v>
          </cell>
          <cell r="G219">
            <v>0</v>
          </cell>
          <cell r="H219">
            <v>0</v>
          </cell>
          <cell r="I219">
            <v>0</v>
          </cell>
          <cell r="J219">
            <v>0</v>
          </cell>
          <cell r="K219">
            <v>0</v>
          </cell>
          <cell r="L219">
            <v>0</v>
          </cell>
          <cell r="M219">
            <v>0</v>
          </cell>
          <cell r="N219">
            <v>0</v>
          </cell>
          <cell r="O219">
            <v>357112</v>
          </cell>
          <cell r="P219">
            <v>0</v>
          </cell>
          <cell r="Q219">
            <v>0</v>
          </cell>
          <cell r="R219">
            <v>0</v>
          </cell>
          <cell r="S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row>
        <row r="220">
          <cell r="C220">
            <v>0</v>
          </cell>
          <cell r="D220">
            <v>0</v>
          </cell>
          <cell r="E220">
            <v>0</v>
          </cell>
          <cell r="F220">
            <v>0</v>
          </cell>
          <cell r="G220">
            <v>0</v>
          </cell>
          <cell r="H220">
            <v>0</v>
          </cell>
          <cell r="I220">
            <v>0</v>
          </cell>
          <cell r="J220">
            <v>0</v>
          </cell>
          <cell r="K220">
            <v>0</v>
          </cell>
          <cell r="L220">
            <v>0</v>
          </cell>
          <cell r="M220">
            <v>0</v>
          </cell>
          <cell r="N220">
            <v>0</v>
          </cell>
          <cell r="O220">
            <v>0</v>
          </cell>
          <cell r="P220">
            <v>0</v>
          </cell>
          <cell r="Q220">
            <v>0</v>
          </cell>
          <cell r="R220">
            <v>0</v>
          </cell>
          <cell r="S220">
            <v>0</v>
          </cell>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row>
        <row r="221">
          <cell r="C221">
            <v>0</v>
          </cell>
          <cell r="D221">
            <v>0</v>
          </cell>
          <cell r="E221">
            <v>0</v>
          </cell>
          <cell r="F221">
            <v>0</v>
          </cell>
          <cell r="G221">
            <v>0</v>
          </cell>
          <cell r="H221">
            <v>0</v>
          </cell>
          <cell r="I221">
            <v>0</v>
          </cell>
          <cell r="J221">
            <v>0</v>
          </cell>
          <cell r="K221">
            <v>0</v>
          </cell>
          <cell r="L221">
            <v>0</v>
          </cell>
          <cell r="M221">
            <v>0</v>
          </cell>
          <cell r="N221">
            <v>0</v>
          </cell>
          <cell r="O221">
            <v>554028</v>
          </cell>
          <cell r="P221">
            <v>147171</v>
          </cell>
          <cell r="Q221">
            <v>0</v>
          </cell>
          <cell r="R221">
            <v>0</v>
          </cell>
          <cell r="S221">
            <v>0</v>
          </cell>
          <cell r="AA221">
            <v>0</v>
          </cell>
          <cell r="AB221">
            <v>0</v>
          </cell>
          <cell r="AC221">
            <v>0</v>
          </cell>
          <cell r="AD221">
            <v>0</v>
          </cell>
          <cell r="AE221">
            <v>0</v>
          </cell>
          <cell r="AF221">
            <v>0</v>
          </cell>
          <cell r="AG221">
            <v>0</v>
          </cell>
          <cell r="AH221">
            <v>0</v>
          </cell>
          <cell r="AI221">
            <v>0</v>
          </cell>
          <cell r="AJ221">
            <v>0</v>
          </cell>
          <cell r="AK221">
            <v>0</v>
          </cell>
          <cell r="AL221">
            <v>0</v>
          </cell>
          <cell r="AM221">
            <v>0</v>
          </cell>
          <cell r="AN221">
            <v>0</v>
          </cell>
          <cell r="AO221">
            <v>0</v>
          </cell>
          <cell r="AP221">
            <v>0</v>
          </cell>
        </row>
        <row r="224">
          <cell r="C224">
            <v>2011</v>
          </cell>
          <cell r="D224">
            <v>2012</v>
          </cell>
          <cell r="E224">
            <v>2013</v>
          </cell>
          <cell r="F224">
            <v>2014</v>
          </cell>
          <cell r="G224">
            <v>2015</v>
          </cell>
          <cell r="H224">
            <v>2016</v>
          </cell>
          <cell r="I224">
            <v>2017</v>
          </cell>
          <cell r="J224">
            <v>2018</v>
          </cell>
          <cell r="K224">
            <v>2019</v>
          </cell>
          <cell r="L224">
            <v>2020</v>
          </cell>
          <cell r="M224">
            <v>2021</v>
          </cell>
          <cell r="N224">
            <v>2022</v>
          </cell>
          <cell r="O224">
            <v>2023</v>
          </cell>
          <cell r="P224">
            <v>2024</v>
          </cell>
          <cell r="Q224">
            <v>2025</v>
          </cell>
          <cell r="R224">
            <v>2026</v>
          </cell>
          <cell r="S224">
            <v>2027</v>
          </cell>
          <cell r="AA224">
            <v>2035</v>
          </cell>
          <cell r="AB224">
            <v>2036</v>
          </cell>
          <cell r="AC224">
            <v>2037</v>
          </cell>
          <cell r="AD224">
            <v>2038</v>
          </cell>
          <cell r="AE224">
            <v>2039</v>
          </cell>
          <cell r="AF224">
            <v>2040</v>
          </cell>
          <cell r="AG224">
            <v>2041</v>
          </cell>
          <cell r="AH224">
            <v>2042</v>
          </cell>
          <cell r="AI224">
            <v>2043</v>
          </cell>
          <cell r="AJ224">
            <v>2044</v>
          </cell>
          <cell r="AK224">
            <v>2045</v>
          </cell>
          <cell r="AL224">
            <v>2046</v>
          </cell>
          <cell r="AM224">
            <v>2047</v>
          </cell>
          <cell r="AN224">
            <v>2048</v>
          </cell>
          <cell r="AO224">
            <v>2049</v>
          </cell>
          <cell r="AP224">
            <v>2050</v>
          </cell>
        </row>
        <row r="225">
          <cell r="C225">
            <v>0</v>
          </cell>
          <cell r="D225">
            <v>0</v>
          </cell>
          <cell r="E225">
            <v>0</v>
          </cell>
          <cell r="F225">
            <v>14377757</v>
          </cell>
          <cell r="G225">
            <v>20283822</v>
          </cell>
          <cell r="H225">
            <v>18194968</v>
          </cell>
          <cell r="I225">
            <v>10036032</v>
          </cell>
          <cell r="J225">
            <v>16106505</v>
          </cell>
          <cell r="K225">
            <v>11204247</v>
          </cell>
          <cell r="L225">
            <v>7522066</v>
          </cell>
          <cell r="M225">
            <v>3349620</v>
          </cell>
          <cell r="N225">
            <v>3343975</v>
          </cell>
          <cell r="O225">
            <v>8617057</v>
          </cell>
          <cell r="P225">
            <v>0</v>
          </cell>
          <cell r="Q225">
            <v>0</v>
          </cell>
          <cell r="R225">
            <v>0</v>
          </cell>
          <cell r="S225">
            <v>0</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row>
        <row r="226">
          <cell r="C226">
            <v>0</v>
          </cell>
          <cell r="D226">
            <v>0</v>
          </cell>
          <cell r="E226">
            <v>0</v>
          </cell>
          <cell r="F226">
            <v>17024957</v>
          </cell>
          <cell r="G226">
            <v>17343807</v>
          </cell>
          <cell r="H226">
            <v>11893961</v>
          </cell>
          <cell r="I226">
            <v>14340426</v>
          </cell>
          <cell r="J226">
            <v>15965986</v>
          </cell>
          <cell r="K226">
            <v>12213425</v>
          </cell>
          <cell r="L226">
            <v>12294771</v>
          </cell>
          <cell r="M226">
            <v>7667389</v>
          </cell>
          <cell r="N226">
            <v>3897288</v>
          </cell>
          <cell r="O226">
            <v>6479058</v>
          </cell>
          <cell r="P226">
            <v>0</v>
          </cell>
          <cell r="Q226">
            <v>0</v>
          </cell>
          <cell r="R226">
            <v>0</v>
          </cell>
          <cell r="S226">
            <v>0</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row>
        <row r="227">
          <cell r="C227">
            <v>0</v>
          </cell>
          <cell r="D227">
            <v>0</v>
          </cell>
          <cell r="E227">
            <v>287085</v>
          </cell>
          <cell r="F227">
            <v>13090192</v>
          </cell>
          <cell r="G227">
            <v>17784451</v>
          </cell>
          <cell r="H227">
            <v>13792993</v>
          </cell>
          <cell r="I227">
            <v>14261532</v>
          </cell>
          <cell r="J227">
            <v>11103450</v>
          </cell>
          <cell r="K227">
            <v>13698457</v>
          </cell>
          <cell r="L227">
            <v>15694167</v>
          </cell>
          <cell r="M227">
            <v>8247110</v>
          </cell>
          <cell r="N227">
            <v>5755615</v>
          </cell>
          <cell r="O227">
            <v>8056525</v>
          </cell>
          <cell r="P227">
            <v>0</v>
          </cell>
          <cell r="Q227">
            <v>0</v>
          </cell>
          <cell r="R227">
            <v>0</v>
          </cell>
          <cell r="S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0</v>
          </cell>
        </row>
        <row r="228">
          <cell r="C228">
            <v>0</v>
          </cell>
          <cell r="D228">
            <v>0</v>
          </cell>
          <cell r="E228">
            <v>1231</v>
          </cell>
          <cell r="F228">
            <v>16215635</v>
          </cell>
          <cell r="G228">
            <v>16708469</v>
          </cell>
          <cell r="H228">
            <v>16185755</v>
          </cell>
          <cell r="I228">
            <v>11215044</v>
          </cell>
          <cell r="J228">
            <v>13313245</v>
          </cell>
          <cell r="K228">
            <v>11147144</v>
          </cell>
          <cell r="L228">
            <v>9569491</v>
          </cell>
          <cell r="M228">
            <v>8303316</v>
          </cell>
          <cell r="N228">
            <v>5195659</v>
          </cell>
          <cell r="O228">
            <v>9806585</v>
          </cell>
          <cell r="P228">
            <v>0</v>
          </cell>
          <cell r="Q228">
            <v>0</v>
          </cell>
          <cell r="R228">
            <v>0</v>
          </cell>
          <cell r="S228">
            <v>0</v>
          </cell>
          <cell r="AA228">
            <v>0</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row>
        <row r="229">
          <cell r="C229">
            <v>0</v>
          </cell>
          <cell r="D229">
            <v>0</v>
          </cell>
          <cell r="E229">
            <v>13158240</v>
          </cell>
          <cell r="F229">
            <v>10011854</v>
          </cell>
          <cell r="G229">
            <v>11345644</v>
          </cell>
          <cell r="H229">
            <v>15898671</v>
          </cell>
          <cell r="I229">
            <v>9983085</v>
          </cell>
          <cell r="J229">
            <v>7583782</v>
          </cell>
          <cell r="K229">
            <v>7077536</v>
          </cell>
          <cell r="L229">
            <v>3359379</v>
          </cell>
          <cell r="M229">
            <v>7621057</v>
          </cell>
          <cell r="N229">
            <v>6307163</v>
          </cell>
          <cell r="O229">
            <v>13559175</v>
          </cell>
          <cell r="P229">
            <v>0</v>
          </cell>
          <cell r="Q229">
            <v>0</v>
          </cell>
          <cell r="R229">
            <v>0</v>
          </cell>
          <cell r="S229">
            <v>0</v>
          </cell>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O229">
            <v>0</v>
          </cell>
          <cell r="AP229">
            <v>0</v>
          </cell>
        </row>
      </sheetData>
      <sheetData sheetId="19">
        <row r="16">
          <cell r="B16">
            <v>125801</v>
          </cell>
        </row>
      </sheetData>
      <sheetData sheetId="20" refreshError="1"/>
      <sheetData sheetId="21" refreshError="1"/>
      <sheetData sheetId="22" refreshError="1"/>
      <sheetData sheetId="23" refreshError="1"/>
      <sheetData sheetId="24" refreshError="1"/>
      <sheetData sheetId="25"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hyperlink" Target="https://ww2.arb.ca.gov/resources/documents/low-carbon-fuel-standard-reporting-tool-quarterly-summaries" TargetMode="External"/><Relationship Id="rId2" Type="http://schemas.openxmlformats.org/officeDocument/2006/relationships/hyperlink" Target="https://ww2.arb.ca.gov/sites/default/files/2020-07/2020_lcfs_fro_oal-approved_unofficial_06302020.pdf" TargetMode="External"/><Relationship Id="rId1" Type="http://schemas.openxmlformats.org/officeDocument/2006/relationships/hyperlink" Target="http://www.arb.ca.gov/fuels/lcfs/enforcement/enforcement.htm" TargetMode="External"/><Relationship Id="rId4"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53.xml"/><Relationship Id="rId2" Type="http://schemas.openxmlformats.org/officeDocument/2006/relationships/printerSettings" Target="../printerSettings/printerSettings28.bin"/><Relationship Id="rId1" Type="http://schemas.openxmlformats.org/officeDocument/2006/relationships/hyperlink" Target="http://www.arb.ca.gov/fuels/lcfs/credit/lrtcreditreports.htm" TargetMode="Externa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5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8A07A-6DCF-4451-BB7C-90735D820503}">
  <dimension ref="A1:X75"/>
  <sheetViews>
    <sheetView zoomScale="90" zoomScaleNormal="90" workbookViewId="0">
      <selection activeCell="A6" sqref="A6"/>
    </sheetView>
  </sheetViews>
  <sheetFormatPr defaultColWidth="9" defaultRowHeight="15" x14ac:dyDescent="0.25"/>
  <cols>
    <col min="1" max="1" width="34.42578125" customWidth="1"/>
    <col min="2" max="2" width="42.140625" customWidth="1"/>
    <col min="3" max="3" width="9" customWidth="1"/>
    <col min="12" max="12" width="82.42578125" customWidth="1"/>
    <col min="14" max="14" width="69.85546875" customWidth="1"/>
  </cols>
  <sheetData>
    <row r="1" spans="1:24" ht="18" x14ac:dyDescent="0.25">
      <c r="A1" s="1" t="s">
        <v>0</v>
      </c>
      <c r="B1" s="2"/>
      <c r="C1" s="2"/>
      <c r="D1" s="2"/>
      <c r="E1" s="2"/>
      <c r="F1" s="2"/>
      <c r="G1" s="2"/>
      <c r="H1" s="2"/>
    </row>
    <row r="2" spans="1:24" x14ac:dyDescent="0.25">
      <c r="A2" s="2" t="s">
        <v>1</v>
      </c>
      <c r="B2" s="2"/>
      <c r="C2" s="2"/>
      <c r="D2" s="2"/>
      <c r="E2" s="2"/>
      <c r="F2" s="2"/>
      <c r="G2" s="2"/>
      <c r="H2" s="2"/>
    </row>
    <row r="3" spans="1:24" x14ac:dyDescent="0.25">
      <c r="A3" s="2"/>
      <c r="B3" s="2"/>
      <c r="C3" s="2"/>
      <c r="D3" s="2"/>
      <c r="E3" s="2"/>
      <c r="F3" s="2"/>
      <c r="G3" s="2"/>
      <c r="H3" s="2"/>
    </row>
    <row r="4" spans="1:24" x14ac:dyDescent="0.25">
      <c r="A4" s="3" t="s">
        <v>2</v>
      </c>
      <c r="B4" s="2"/>
      <c r="C4" s="2"/>
      <c r="D4" s="2"/>
      <c r="E4" s="2"/>
      <c r="F4" s="2"/>
      <c r="G4" s="2"/>
      <c r="H4" s="2"/>
    </row>
    <row r="5" spans="1:24" x14ac:dyDescent="0.25">
      <c r="A5" s="2" t="s">
        <v>3</v>
      </c>
      <c r="B5" s="2"/>
      <c r="C5" s="2"/>
      <c r="D5" s="2"/>
      <c r="E5" s="2"/>
      <c r="F5" s="2"/>
      <c r="G5" s="2"/>
      <c r="H5" s="2"/>
    </row>
    <row r="6" spans="1:24" x14ac:dyDescent="0.25">
      <c r="A6" s="2" t="s">
        <v>4</v>
      </c>
      <c r="B6" s="2"/>
      <c r="C6" s="2"/>
      <c r="D6" s="2"/>
      <c r="E6" s="2"/>
      <c r="F6" s="2"/>
      <c r="G6" s="2"/>
      <c r="H6" s="2"/>
    </row>
    <row r="7" spans="1:24" x14ac:dyDescent="0.25">
      <c r="A7" s="2" t="s">
        <v>5</v>
      </c>
      <c r="B7" s="2"/>
      <c r="C7" s="2"/>
      <c r="D7" s="2"/>
      <c r="E7" s="2"/>
      <c r="F7" s="2"/>
      <c r="G7" s="2"/>
      <c r="H7" s="2"/>
    </row>
    <row r="8" spans="1:24" x14ac:dyDescent="0.25">
      <c r="A8" s="2" t="s">
        <v>6</v>
      </c>
      <c r="B8" s="2"/>
      <c r="C8" s="2"/>
      <c r="D8" s="2"/>
      <c r="E8" s="2"/>
      <c r="F8" s="2"/>
      <c r="G8" s="2"/>
      <c r="H8" s="2"/>
    </row>
    <row r="9" spans="1:24" ht="14.85" customHeight="1" x14ac:dyDescent="0.25">
      <c r="A9" s="2" t="s">
        <v>7</v>
      </c>
      <c r="B9" s="4"/>
      <c r="C9" s="4"/>
      <c r="D9" s="4"/>
      <c r="E9" s="4"/>
      <c r="F9" s="4"/>
      <c r="G9" s="4"/>
      <c r="H9" s="4"/>
      <c r="I9" s="4"/>
      <c r="J9" s="4"/>
      <c r="K9" s="4"/>
      <c r="L9" s="4"/>
      <c r="M9" s="4"/>
      <c r="N9" s="4"/>
      <c r="O9" s="4"/>
      <c r="P9" s="4"/>
      <c r="Q9" s="4"/>
      <c r="R9" s="4"/>
      <c r="S9" s="4"/>
      <c r="T9" s="4"/>
      <c r="U9" s="4"/>
      <c r="V9" s="4"/>
      <c r="W9" s="4"/>
      <c r="X9" s="4"/>
    </row>
    <row r="10" spans="1:24" x14ac:dyDescent="0.25">
      <c r="A10" s="2" t="s">
        <v>8</v>
      </c>
      <c r="B10" s="2"/>
      <c r="C10" s="2"/>
      <c r="D10" s="2"/>
      <c r="E10" s="2"/>
      <c r="F10" s="2"/>
      <c r="G10" s="2"/>
      <c r="H10" s="2"/>
    </row>
    <row r="11" spans="1:24" x14ac:dyDescent="0.25">
      <c r="A11" s="2" t="s">
        <v>9</v>
      </c>
      <c r="B11" s="2"/>
      <c r="C11" s="2"/>
      <c r="D11" s="2"/>
      <c r="E11" s="2"/>
      <c r="F11" s="2"/>
      <c r="G11" s="2"/>
      <c r="H11" s="2"/>
    </row>
    <row r="12" spans="1:24" x14ac:dyDescent="0.25">
      <c r="A12" s="2" t="s">
        <v>10</v>
      </c>
      <c r="B12" s="2"/>
      <c r="C12" s="2"/>
      <c r="D12" s="2"/>
      <c r="E12" s="2"/>
      <c r="F12" s="2"/>
      <c r="G12" s="2"/>
      <c r="H12" s="2"/>
    </row>
    <row r="13" spans="1:24" x14ac:dyDescent="0.25">
      <c r="A13" s="2"/>
      <c r="B13" s="2"/>
      <c r="C13" s="2"/>
      <c r="D13" s="2"/>
      <c r="E13" s="2"/>
      <c r="F13" s="2"/>
      <c r="G13" s="2"/>
      <c r="H13" s="2"/>
    </row>
    <row r="14" spans="1:24" x14ac:dyDescent="0.25">
      <c r="A14" s="5" t="s">
        <v>11</v>
      </c>
      <c r="B14" s="5" t="s">
        <v>12</v>
      </c>
      <c r="C14" s="2"/>
      <c r="D14" s="2"/>
      <c r="E14" s="2"/>
      <c r="F14" s="2"/>
      <c r="G14" s="2"/>
      <c r="H14" s="2"/>
    </row>
    <row r="15" spans="1:24" x14ac:dyDescent="0.25">
      <c r="A15" s="6" t="s">
        <v>13</v>
      </c>
      <c r="B15" s="6" t="s">
        <v>14</v>
      </c>
      <c r="C15" s="2"/>
      <c r="D15" s="2"/>
      <c r="E15" s="2"/>
      <c r="F15" s="2"/>
      <c r="G15" s="2"/>
      <c r="H15" s="2"/>
    </row>
    <row r="16" spans="1:24" x14ac:dyDescent="0.25">
      <c r="A16" s="6" t="s">
        <v>15</v>
      </c>
      <c r="B16" s="6" t="s">
        <v>16</v>
      </c>
      <c r="C16" s="2"/>
      <c r="D16" s="2"/>
      <c r="E16" s="2"/>
      <c r="F16" s="2"/>
      <c r="G16" s="2"/>
      <c r="H16" s="2"/>
    </row>
    <row r="17" spans="1:14" x14ac:dyDescent="0.25">
      <c r="A17" s="6" t="s">
        <v>17</v>
      </c>
      <c r="B17" s="6" t="s">
        <v>18</v>
      </c>
      <c r="C17" s="2"/>
      <c r="D17" s="2"/>
      <c r="E17" s="2"/>
      <c r="F17" s="2"/>
      <c r="G17" s="2"/>
      <c r="H17" s="2"/>
    </row>
    <row r="18" spans="1:14" x14ac:dyDescent="0.25">
      <c r="A18" s="6" t="s">
        <v>19</v>
      </c>
      <c r="B18" s="6" t="s">
        <v>20</v>
      </c>
      <c r="C18" s="2"/>
      <c r="D18" s="2"/>
      <c r="E18" s="2"/>
      <c r="F18" s="2"/>
      <c r="G18" s="2"/>
      <c r="H18" s="2"/>
    </row>
    <row r="19" spans="1:14" x14ac:dyDescent="0.25">
      <c r="A19" s="6" t="s">
        <v>21</v>
      </c>
      <c r="B19" s="6" t="s">
        <v>22</v>
      </c>
      <c r="C19" s="2"/>
      <c r="D19" s="2"/>
      <c r="E19" s="2"/>
      <c r="F19" s="2"/>
      <c r="G19" s="2"/>
      <c r="H19" s="2"/>
    </row>
    <row r="20" spans="1:14" x14ac:dyDescent="0.25">
      <c r="A20" s="6" t="s">
        <v>23</v>
      </c>
      <c r="B20" s="6" t="s">
        <v>24</v>
      </c>
      <c r="C20" s="2"/>
      <c r="D20" s="2"/>
      <c r="E20" s="2"/>
      <c r="F20" s="2"/>
      <c r="G20" s="2"/>
      <c r="H20" s="2"/>
    </row>
    <row r="21" spans="1:14" x14ac:dyDescent="0.25">
      <c r="A21" s="6" t="s">
        <v>25</v>
      </c>
      <c r="B21" s="6" t="s">
        <v>26</v>
      </c>
      <c r="C21" s="2"/>
      <c r="D21" s="2"/>
      <c r="E21" s="2"/>
      <c r="F21" s="2"/>
      <c r="G21" s="2"/>
      <c r="H21" s="2"/>
    </row>
    <row r="22" spans="1:14" x14ac:dyDescent="0.25">
      <c r="A22" s="6" t="s">
        <v>27</v>
      </c>
      <c r="B22" s="6" t="s">
        <v>28</v>
      </c>
      <c r="C22" s="2"/>
      <c r="D22" s="2"/>
      <c r="E22" s="2"/>
      <c r="F22" s="2"/>
      <c r="G22" s="2"/>
      <c r="H22" s="2"/>
    </row>
    <row r="23" spans="1:14" x14ac:dyDescent="0.25">
      <c r="A23" s="6" t="s">
        <v>29</v>
      </c>
      <c r="B23" s="6" t="s">
        <v>30</v>
      </c>
      <c r="C23" s="2"/>
      <c r="D23" s="2"/>
      <c r="E23" s="2"/>
      <c r="F23" s="2"/>
      <c r="G23" s="2"/>
      <c r="H23" s="2"/>
    </row>
    <row r="24" spans="1:14" x14ac:dyDescent="0.25">
      <c r="A24" s="6" t="s">
        <v>31</v>
      </c>
      <c r="B24" s="6" t="s">
        <v>32</v>
      </c>
      <c r="C24" s="2"/>
      <c r="D24" s="2"/>
      <c r="E24" s="2"/>
      <c r="F24" s="2"/>
      <c r="G24" s="2"/>
      <c r="H24" s="2"/>
    </row>
    <row r="25" spans="1:14" x14ac:dyDescent="0.25">
      <c r="A25" s="6" t="s">
        <v>33</v>
      </c>
      <c r="B25" s="6" t="s">
        <v>34</v>
      </c>
      <c r="C25" s="2"/>
      <c r="D25" s="2"/>
      <c r="E25" s="2"/>
      <c r="F25" s="2"/>
      <c r="G25" s="2"/>
      <c r="H25" s="2"/>
    </row>
    <row r="26" spans="1:14" x14ac:dyDescent="0.25">
      <c r="A26" s="6" t="s">
        <v>35</v>
      </c>
      <c r="B26" s="6" t="s">
        <v>36</v>
      </c>
      <c r="C26" s="2"/>
      <c r="D26" s="2"/>
      <c r="E26" s="2"/>
      <c r="F26" s="2"/>
      <c r="G26" s="2"/>
      <c r="H26" s="2"/>
    </row>
    <row r="27" spans="1:14" x14ac:dyDescent="0.25">
      <c r="A27" s="6" t="s">
        <v>37</v>
      </c>
      <c r="B27" s="6" t="s">
        <v>38</v>
      </c>
      <c r="C27" s="2"/>
      <c r="D27" s="2"/>
      <c r="E27" s="2"/>
      <c r="F27" s="2"/>
      <c r="G27" s="2"/>
      <c r="H27" s="2"/>
    </row>
    <row r="28" spans="1:14" x14ac:dyDescent="0.25">
      <c r="A28" s="6" t="s">
        <v>39</v>
      </c>
      <c r="B28" s="6" t="s">
        <v>40</v>
      </c>
      <c r="C28" s="2"/>
      <c r="D28" s="2"/>
      <c r="E28" s="2"/>
      <c r="F28" s="2"/>
      <c r="G28" s="2"/>
      <c r="H28" s="2"/>
    </row>
    <row r="29" spans="1:14" x14ac:dyDescent="0.25">
      <c r="A29" s="2"/>
      <c r="B29" s="2"/>
      <c r="C29" s="2"/>
      <c r="D29" s="2"/>
      <c r="E29" s="2"/>
      <c r="F29" s="2"/>
      <c r="G29" s="2"/>
      <c r="H29" s="2"/>
    </row>
    <row r="30" spans="1:14" x14ac:dyDescent="0.25">
      <c r="A30" s="2" t="s">
        <v>41</v>
      </c>
      <c r="B30" s="2"/>
      <c r="C30" s="2"/>
      <c r="D30" s="2"/>
      <c r="E30" s="2"/>
      <c r="F30" s="2"/>
      <c r="G30" s="2"/>
      <c r="H30" s="2"/>
      <c r="N30" s="7" t="s">
        <v>42</v>
      </c>
    </row>
    <row r="31" spans="1:14" x14ac:dyDescent="0.25">
      <c r="A31" s="2" t="s">
        <v>43</v>
      </c>
      <c r="B31" s="2"/>
      <c r="C31" s="2"/>
      <c r="D31" s="2"/>
      <c r="E31" s="2"/>
      <c r="F31" s="2"/>
      <c r="G31" s="2"/>
      <c r="H31" s="2"/>
    </row>
    <row r="32" spans="1:14" x14ac:dyDescent="0.25">
      <c r="A32" s="2" t="s">
        <v>44</v>
      </c>
      <c r="B32" s="2"/>
      <c r="C32" s="2"/>
      <c r="D32" s="2"/>
      <c r="E32" s="2"/>
      <c r="F32" s="2"/>
      <c r="G32" s="2"/>
      <c r="H32" s="2"/>
    </row>
    <row r="33" spans="1:24" x14ac:dyDescent="0.25">
      <c r="A33" s="2" t="s">
        <v>45</v>
      </c>
      <c r="B33" s="2"/>
      <c r="C33" s="2"/>
      <c r="D33" s="2"/>
      <c r="E33" s="2"/>
      <c r="F33" s="2"/>
      <c r="G33" s="2"/>
      <c r="H33" s="2"/>
    </row>
    <row r="34" spans="1:24" x14ac:dyDescent="0.25">
      <c r="A34" s="2" t="s">
        <v>46</v>
      </c>
      <c r="B34" s="2"/>
      <c r="C34" s="2"/>
      <c r="D34" s="2"/>
      <c r="E34" s="2"/>
      <c r="F34" s="2"/>
      <c r="G34" s="2"/>
      <c r="H34" s="2"/>
    </row>
    <row r="35" spans="1:24" x14ac:dyDescent="0.25">
      <c r="A35" s="2" t="s">
        <v>47</v>
      </c>
      <c r="B35" s="2"/>
      <c r="C35" s="2"/>
      <c r="D35" s="2"/>
      <c r="E35" s="2"/>
      <c r="F35" s="2"/>
      <c r="G35" s="2"/>
      <c r="H35" s="2"/>
    </row>
    <row r="36" spans="1:24" x14ac:dyDescent="0.25">
      <c r="A36" s="2" t="s">
        <v>48</v>
      </c>
      <c r="B36" s="2"/>
      <c r="C36" s="2"/>
      <c r="D36" s="2"/>
      <c r="E36" s="2"/>
      <c r="F36" s="2"/>
      <c r="G36" s="2"/>
      <c r="H36" s="2"/>
    </row>
    <row r="37" spans="1:24" x14ac:dyDescent="0.25">
      <c r="A37" s="2" t="s">
        <v>49</v>
      </c>
      <c r="B37" s="2"/>
      <c r="C37" s="2"/>
      <c r="D37" s="2"/>
      <c r="E37" s="2"/>
      <c r="F37" s="2"/>
      <c r="G37" s="2"/>
      <c r="H37" s="2"/>
    </row>
    <row r="38" spans="1:24" ht="15" customHeight="1" x14ac:dyDescent="0.25">
      <c r="A38" s="2" t="s">
        <v>50</v>
      </c>
      <c r="B38" s="2"/>
      <c r="C38" s="2"/>
      <c r="D38" s="2"/>
      <c r="E38" s="2"/>
      <c r="F38" s="2"/>
      <c r="G38" s="2"/>
      <c r="H38" s="2"/>
      <c r="I38" s="2"/>
      <c r="J38" s="2"/>
      <c r="K38" s="2"/>
      <c r="L38" s="2"/>
      <c r="M38" s="2"/>
      <c r="N38" s="2"/>
      <c r="O38" s="2"/>
      <c r="P38" s="2"/>
      <c r="Q38" s="2"/>
      <c r="R38" s="2"/>
      <c r="S38" s="2"/>
      <c r="T38" s="2"/>
      <c r="U38" s="2"/>
      <c r="V38" s="2"/>
      <c r="W38" s="2"/>
      <c r="X38" s="2"/>
    </row>
    <row r="39" spans="1:24" x14ac:dyDescent="0.25">
      <c r="A39" s="2"/>
      <c r="B39" s="2"/>
      <c r="C39" s="2"/>
      <c r="D39" s="2"/>
      <c r="E39" s="2"/>
      <c r="F39" s="2"/>
      <c r="G39" s="2"/>
      <c r="H39" s="2"/>
    </row>
    <row r="40" spans="1:24" x14ac:dyDescent="0.25">
      <c r="A40" s="3" t="s">
        <v>51</v>
      </c>
      <c r="B40" s="2"/>
      <c r="C40" s="2"/>
      <c r="D40" s="2"/>
      <c r="E40" s="2"/>
      <c r="F40" s="2"/>
      <c r="G40" s="2"/>
      <c r="H40" s="2"/>
    </row>
    <row r="41" spans="1:24" x14ac:dyDescent="0.25">
      <c r="A41" s="2" t="s">
        <v>52</v>
      </c>
      <c r="B41" s="2"/>
      <c r="C41" s="2"/>
      <c r="D41" s="2"/>
      <c r="E41" s="2"/>
      <c r="F41" s="2"/>
      <c r="G41" s="2"/>
      <c r="H41" s="2"/>
    </row>
    <row r="42" spans="1:24" x14ac:dyDescent="0.25">
      <c r="A42" s="2" t="s">
        <v>53</v>
      </c>
      <c r="B42" s="2"/>
      <c r="C42" s="2"/>
      <c r="D42" s="2"/>
      <c r="E42" s="2"/>
      <c r="F42" s="2"/>
      <c r="G42" s="2"/>
      <c r="H42" s="2"/>
    </row>
    <row r="43" spans="1:24" x14ac:dyDescent="0.25">
      <c r="A43" s="2" t="s">
        <v>54</v>
      </c>
      <c r="B43" s="2"/>
      <c r="C43" s="2"/>
      <c r="D43" s="2"/>
      <c r="E43" s="2"/>
      <c r="F43" s="2"/>
      <c r="G43" s="2"/>
      <c r="H43" s="2"/>
    </row>
    <row r="44" spans="1:24" x14ac:dyDescent="0.25">
      <c r="A44" s="2" t="s">
        <v>55</v>
      </c>
      <c r="B44" s="2"/>
      <c r="C44" s="2"/>
      <c r="D44" s="2"/>
      <c r="E44" s="2"/>
      <c r="F44" s="2"/>
      <c r="G44" s="2"/>
      <c r="H44" s="2"/>
    </row>
    <row r="45" spans="1:24" x14ac:dyDescent="0.25">
      <c r="A45" s="2"/>
      <c r="B45" s="2"/>
      <c r="C45" s="2"/>
      <c r="D45" s="2"/>
      <c r="E45" s="2"/>
      <c r="F45" s="2"/>
      <c r="G45" s="2"/>
      <c r="H45" s="2"/>
    </row>
    <row r="46" spans="1:24" x14ac:dyDescent="0.25">
      <c r="A46" s="3" t="s">
        <v>56</v>
      </c>
      <c r="B46" s="2"/>
      <c r="C46" s="2"/>
      <c r="D46" s="2"/>
      <c r="E46" s="2"/>
      <c r="F46" s="2"/>
      <c r="G46" s="2"/>
      <c r="H46" s="2"/>
    </row>
    <row r="47" spans="1:24" x14ac:dyDescent="0.25">
      <c r="A47" s="2" t="s">
        <v>57</v>
      </c>
      <c r="B47" s="2"/>
      <c r="C47" s="2"/>
      <c r="D47" s="2"/>
      <c r="E47" s="2"/>
      <c r="F47" s="2"/>
      <c r="G47" s="2"/>
      <c r="H47" s="2"/>
    </row>
    <row r="48" spans="1:24" x14ac:dyDescent="0.25">
      <c r="A48" s="2" t="s">
        <v>58</v>
      </c>
      <c r="B48" s="2"/>
      <c r="C48" s="2"/>
      <c r="D48" s="2"/>
      <c r="E48" s="2"/>
      <c r="F48" s="2"/>
      <c r="G48" s="2"/>
      <c r="H48" s="2"/>
    </row>
    <row r="49" spans="1:8" x14ac:dyDescent="0.25">
      <c r="A49" s="2" t="s">
        <v>59</v>
      </c>
      <c r="B49" s="2"/>
      <c r="C49" s="2"/>
      <c r="D49" s="2"/>
      <c r="E49" s="2"/>
      <c r="F49" s="2"/>
      <c r="G49" s="2"/>
      <c r="H49" s="2"/>
    </row>
    <row r="50" spans="1:8" x14ac:dyDescent="0.25">
      <c r="A50" s="2"/>
      <c r="B50" s="2"/>
      <c r="C50" s="2"/>
      <c r="D50" s="2"/>
      <c r="E50" s="2"/>
      <c r="F50" s="2"/>
      <c r="G50" s="2"/>
      <c r="H50" s="2"/>
    </row>
    <row r="51" spans="1:8" x14ac:dyDescent="0.25">
      <c r="A51" s="8" t="s">
        <v>60</v>
      </c>
      <c r="B51" s="2"/>
      <c r="C51" s="2"/>
      <c r="D51" s="2"/>
      <c r="E51" s="2"/>
      <c r="F51" s="2"/>
      <c r="G51" s="2"/>
      <c r="H51" s="2"/>
    </row>
    <row r="52" spans="1:8" x14ac:dyDescent="0.25">
      <c r="A52" s="9" t="s">
        <v>52</v>
      </c>
      <c r="B52" s="2"/>
      <c r="C52" s="2"/>
      <c r="D52" s="2"/>
      <c r="E52" s="2"/>
      <c r="F52" s="2"/>
      <c r="G52" s="2"/>
      <c r="H52" s="2"/>
    </row>
    <row r="53" spans="1:8" x14ac:dyDescent="0.25">
      <c r="A53" s="9" t="s">
        <v>61</v>
      </c>
      <c r="B53" s="2"/>
      <c r="C53" s="2"/>
      <c r="D53" s="2"/>
      <c r="E53" s="2"/>
      <c r="F53" s="2"/>
      <c r="G53" s="2"/>
      <c r="H53" s="2"/>
    </row>
    <row r="54" spans="1:8" x14ac:dyDescent="0.25">
      <c r="A54" s="2"/>
      <c r="B54" s="2"/>
      <c r="C54" s="2"/>
      <c r="D54" s="2"/>
      <c r="E54" s="2"/>
      <c r="F54" s="2"/>
      <c r="G54" s="2"/>
      <c r="H54" s="2"/>
    </row>
    <row r="55" spans="1:8" x14ac:dyDescent="0.25">
      <c r="A55" s="3" t="s">
        <v>62</v>
      </c>
      <c r="B55" s="2" t="s">
        <v>63</v>
      </c>
      <c r="C55" s="7" t="s">
        <v>64</v>
      </c>
      <c r="D55" s="2"/>
      <c r="E55" s="2"/>
      <c r="F55" s="2"/>
      <c r="G55" s="2"/>
      <c r="H55" s="2"/>
    </row>
    <row r="56" spans="1:8" x14ac:dyDescent="0.25">
      <c r="A56" s="2"/>
      <c r="B56" s="2"/>
      <c r="C56" s="2"/>
      <c r="D56" s="2"/>
      <c r="E56" s="2"/>
      <c r="F56" s="2"/>
      <c r="G56" s="2"/>
      <c r="H56" s="2"/>
    </row>
    <row r="57" spans="1:8" x14ac:dyDescent="0.25">
      <c r="A57" s="2"/>
      <c r="B57" s="2"/>
      <c r="C57" s="2"/>
      <c r="D57" s="2"/>
      <c r="E57" s="2"/>
      <c r="F57" s="2"/>
      <c r="G57" s="2"/>
      <c r="H57" s="2"/>
    </row>
    <row r="58" spans="1:8" x14ac:dyDescent="0.25">
      <c r="A58" s="2"/>
      <c r="B58" s="2"/>
      <c r="C58" s="2"/>
      <c r="D58" s="2"/>
      <c r="E58" s="2"/>
      <c r="F58" s="2"/>
      <c r="G58" s="2"/>
      <c r="H58" s="2"/>
    </row>
    <row r="59" spans="1:8" x14ac:dyDescent="0.25">
      <c r="A59" s="2"/>
      <c r="B59" s="2"/>
      <c r="C59" s="2"/>
      <c r="D59" s="2"/>
      <c r="E59" s="2"/>
      <c r="F59" s="2"/>
      <c r="G59" s="2"/>
      <c r="H59" s="2"/>
    </row>
    <row r="60" spans="1:8" x14ac:dyDescent="0.25">
      <c r="A60" s="2"/>
      <c r="B60" s="2"/>
      <c r="C60" s="2"/>
      <c r="D60" s="2"/>
      <c r="E60" s="2"/>
      <c r="F60" s="2"/>
      <c r="G60" s="2"/>
      <c r="H60" s="2"/>
    </row>
    <row r="61" spans="1:8" ht="18" x14ac:dyDescent="0.25">
      <c r="A61" s="10" t="s">
        <v>65</v>
      </c>
      <c r="B61" s="2"/>
      <c r="C61" s="2"/>
      <c r="D61" s="2"/>
      <c r="E61" s="2"/>
      <c r="F61" s="2"/>
      <c r="G61" s="2"/>
      <c r="H61" s="2"/>
    </row>
    <row r="62" spans="1:8" x14ac:dyDescent="0.25">
      <c r="A62" s="2"/>
      <c r="B62" s="2"/>
      <c r="C62" s="2"/>
      <c r="D62" s="2"/>
      <c r="E62" s="2"/>
      <c r="F62" s="2"/>
      <c r="G62" s="2"/>
      <c r="H62" s="2"/>
    </row>
    <row r="63" spans="1:8" x14ac:dyDescent="0.25">
      <c r="A63" s="3"/>
      <c r="B63" s="2"/>
      <c r="C63" s="2"/>
      <c r="D63" s="2"/>
      <c r="E63" s="2"/>
      <c r="F63" s="2"/>
      <c r="G63" s="2"/>
      <c r="H63" s="2"/>
    </row>
    <row r="64" spans="1:8" x14ac:dyDescent="0.25">
      <c r="A64" s="2"/>
      <c r="B64" s="2"/>
      <c r="C64" s="2"/>
      <c r="D64" s="2"/>
      <c r="E64" s="2"/>
      <c r="F64" s="2"/>
      <c r="G64" s="2"/>
      <c r="H64" s="2"/>
    </row>
    <row r="65" spans="1:8" x14ac:dyDescent="0.25">
      <c r="A65" s="2"/>
      <c r="B65" s="2"/>
      <c r="C65" s="2"/>
      <c r="D65" s="2"/>
      <c r="E65" s="2"/>
      <c r="F65" s="2"/>
      <c r="G65" s="2"/>
      <c r="H65" s="2"/>
    </row>
    <row r="66" spans="1:8" x14ac:dyDescent="0.25">
      <c r="A66" s="2"/>
      <c r="B66" s="2"/>
      <c r="C66" s="2"/>
      <c r="D66" s="2"/>
      <c r="E66" s="2"/>
      <c r="F66" s="2"/>
      <c r="G66" s="2"/>
      <c r="H66" s="2"/>
    </row>
    <row r="67" spans="1:8" x14ac:dyDescent="0.25">
      <c r="A67" s="2"/>
      <c r="B67" s="2"/>
      <c r="C67" s="2"/>
      <c r="D67" s="2"/>
      <c r="E67" s="2"/>
      <c r="F67" s="2"/>
      <c r="G67" s="2"/>
      <c r="H67" s="2"/>
    </row>
    <row r="68" spans="1:8" x14ac:dyDescent="0.25">
      <c r="A68" s="2"/>
      <c r="B68" s="2"/>
      <c r="C68" s="2"/>
      <c r="D68" s="2"/>
      <c r="E68" s="2"/>
      <c r="F68" s="2"/>
      <c r="G68" s="2"/>
      <c r="H68" s="2"/>
    </row>
    <row r="69" spans="1:8" x14ac:dyDescent="0.25">
      <c r="A69" s="2"/>
      <c r="B69" s="2"/>
      <c r="C69" s="2"/>
      <c r="D69" s="2"/>
      <c r="E69" s="2"/>
      <c r="F69" s="2"/>
      <c r="G69" s="2"/>
      <c r="H69" s="2"/>
    </row>
    <row r="70" spans="1:8" x14ac:dyDescent="0.25">
      <c r="A70" s="2"/>
      <c r="B70" s="2"/>
      <c r="C70" s="2"/>
      <c r="D70" s="2"/>
      <c r="E70" s="2"/>
      <c r="F70" s="2"/>
      <c r="G70" s="2"/>
      <c r="H70" s="2"/>
    </row>
    <row r="71" spans="1:8" x14ac:dyDescent="0.25">
      <c r="A71" s="2"/>
      <c r="B71" s="2"/>
      <c r="C71" s="2"/>
      <c r="D71" s="2"/>
      <c r="E71" s="2"/>
      <c r="F71" s="2"/>
      <c r="G71" s="2"/>
      <c r="H71" s="2"/>
    </row>
    <row r="72" spans="1:8" x14ac:dyDescent="0.25">
      <c r="A72" s="2"/>
      <c r="B72" s="2"/>
      <c r="C72" s="2"/>
      <c r="D72" s="2"/>
      <c r="E72" s="2"/>
      <c r="F72" s="2"/>
      <c r="G72" s="2"/>
      <c r="H72" s="2"/>
    </row>
    <row r="73" spans="1:8" x14ac:dyDescent="0.25">
      <c r="A73" s="2"/>
      <c r="B73" s="2"/>
      <c r="C73" s="2"/>
      <c r="D73" s="2"/>
      <c r="E73" s="2"/>
      <c r="F73" s="2"/>
      <c r="G73" s="2"/>
      <c r="H73" s="2"/>
    </row>
    <row r="74" spans="1:8" x14ac:dyDescent="0.25">
      <c r="A74" s="2"/>
      <c r="B74" s="2"/>
      <c r="C74" s="2"/>
      <c r="D74" s="2"/>
      <c r="E74" s="2"/>
      <c r="F74" s="2"/>
      <c r="G74" s="2"/>
      <c r="H74" s="2"/>
    </row>
    <row r="75" spans="1:8" x14ac:dyDescent="0.25">
      <c r="B75" s="2"/>
    </row>
  </sheetData>
  <hyperlinks>
    <hyperlink ref="N30" r:id="rId1" xr:uid="{EAFDA8D5-3702-4850-A9D6-C12F6ABE02D5}"/>
    <hyperlink ref="C55" r:id="rId2" xr:uid="{EDD36B0D-E42F-4825-858D-4C93650A0E01}"/>
    <hyperlink ref="A61" r:id="rId3" xr:uid="{33E7024B-B817-4A58-AFBC-AFE666CC148F}"/>
  </hyperlinks>
  <pageMargins left="0.7" right="0.7" top="0.75" bottom="0.75" header="0.3" footer="0.3"/>
  <pageSetup orientation="portrait"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D80299-28E2-4979-9856-5BB074AAF860}">
  <sheetPr>
    <tabColor rgb="FF5D803B"/>
  </sheetPr>
  <dimension ref="A2:BC169"/>
  <sheetViews>
    <sheetView zoomScaleNormal="100" workbookViewId="0">
      <pane xSplit="1" ySplit="3" topLeftCell="O100" activePane="bottomRight" state="frozen"/>
      <selection activeCell="A6" sqref="A6"/>
      <selection pane="topRight" activeCell="A6" sqref="A6"/>
      <selection pane="bottomLeft" activeCell="A6" sqref="A6"/>
      <selection pane="bottomRight" activeCell="A6" sqref="A6"/>
    </sheetView>
  </sheetViews>
  <sheetFormatPr defaultColWidth="8.85546875" defaultRowHeight="15" x14ac:dyDescent="0.25"/>
  <cols>
    <col min="1" max="1" width="54.140625" style="13" bestFit="1" customWidth="1"/>
    <col min="2" max="54" width="15" style="13" customWidth="1"/>
    <col min="55" max="16384" width="8.85546875" style="13"/>
  </cols>
  <sheetData>
    <row r="2" spans="1:54" ht="18" x14ac:dyDescent="0.25">
      <c r="A2" s="11" t="s">
        <v>66</v>
      </c>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row>
    <row r="3" spans="1:54" x14ac:dyDescent="0.25">
      <c r="A3" s="14" t="s">
        <v>67</v>
      </c>
      <c r="B3" s="14">
        <v>2011</v>
      </c>
      <c r="C3" s="14">
        <v>2012</v>
      </c>
      <c r="D3" s="14">
        <v>2013</v>
      </c>
      <c r="E3" s="14">
        <v>2014</v>
      </c>
      <c r="F3" s="14">
        <v>2015</v>
      </c>
      <c r="G3" s="14">
        <v>2016</v>
      </c>
      <c r="H3" s="14">
        <v>2017</v>
      </c>
      <c r="I3" s="14">
        <v>2018</v>
      </c>
      <c r="J3" s="14">
        <v>2019</v>
      </c>
      <c r="K3" s="14">
        <v>2020</v>
      </c>
      <c r="L3" s="14">
        <v>2021</v>
      </c>
      <c r="M3" s="14">
        <v>2022</v>
      </c>
      <c r="N3" s="14">
        <v>2023</v>
      </c>
      <c r="O3" s="14">
        <v>2024</v>
      </c>
      <c r="P3" s="14">
        <v>2025</v>
      </c>
      <c r="Q3" s="14">
        <v>2026</v>
      </c>
      <c r="R3" s="14">
        <v>2027</v>
      </c>
      <c r="S3" s="14">
        <v>2028</v>
      </c>
      <c r="T3" s="14">
        <v>2029</v>
      </c>
      <c r="U3" s="14">
        <v>2030</v>
      </c>
      <c r="V3" s="14">
        <v>2031</v>
      </c>
      <c r="W3" s="14">
        <v>2032</v>
      </c>
      <c r="X3" s="14">
        <v>2033</v>
      </c>
      <c r="Y3" s="14">
        <v>2034</v>
      </c>
      <c r="Z3" s="14">
        <v>2035</v>
      </c>
      <c r="AA3" s="14">
        <v>2036</v>
      </c>
      <c r="AB3" s="14">
        <v>2037</v>
      </c>
      <c r="AC3" s="14">
        <v>2038</v>
      </c>
      <c r="AD3" s="14">
        <v>2039</v>
      </c>
      <c r="AE3" s="14">
        <v>2040</v>
      </c>
      <c r="AF3" s="14">
        <v>2041</v>
      </c>
      <c r="AG3" s="14">
        <v>2042</v>
      </c>
      <c r="AH3" s="14">
        <v>2043</v>
      </c>
      <c r="AI3" s="14">
        <v>2044</v>
      </c>
      <c r="AJ3" s="14">
        <v>2045</v>
      </c>
      <c r="AK3" s="14">
        <v>2046</v>
      </c>
      <c r="AL3" s="14">
        <v>2047</v>
      </c>
      <c r="AM3" s="14">
        <v>2048</v>
      </c>
      <c r="AN3" s="14">
        <v>2049</v>
      </c>
      <c r="AO3" s="14">
        <v>2050</v>
      </c>
      <c r="AP3" s="14"/>
      <c r="AQ3" s="14"/>
      <c r="AR3" s="14"/>
      <c r="AS3" s="14"/>
      <c r="AT3" s="14"/>
      <c r="AU3" s="14"/>
      <c r="AV3" s="14"/>
      <c r="AW3" s="14"/>
      <c r="AX3" s="14"/>
      <c r="AY3" s="14"/>
      <c r="AZ3" s="14"/>
      <c r="BA3" s="14"/>
      <c r="BB3" s="14"/>
    </row>
    <row r="4" spans="1:54" x14ac:dyDescent="0.25">
      <c r="A4" s="15" t="s">
        <v>68</v>
      </c>
      <c r="B4" s="16">
        <f>SUM('[2]D3 Gallon Forecast'!C$105:C$107)</f>
        <v>0</v>
      </c>
      <c r="C4" s="16">
        <f>SUM('[2]D3 Gallon Forecast'!D$105:D$107)</f>
        <v>0</v>
      </c>
      <c r="D4" s="16">
        <f>SUM('[2]D3 Gallon Forecast'!E$105:E$107)</f>
        <v>0</v>
      </c>
      <c r="E4" s="16">
        <f>SUM('[2]D3 Gallon Forecast'!F$105:F$107)</f>
        <v>0</v>
      </c>
      <c r="F4" s="16">
        <f>SUM('[2]D3 Gallon Forecast'!G$105:G$107)</f>
        <v>9276870</v>
      </c>
      <c r="G4" s="16">
        <f>SUM('[2]D3 Gallon Forecast'!H$105:H$107)</f>
        <v>18277043</v>
      </c>
      <c r="H4" s="16">
        <f>SUM('[2]D3 Gallon Forecast'!I$105:I$107)</f>
        <v>20064702</v>
      </c>
      <c r="I4" s="16">
        <f>SUM('[2]D3 Gallon Forecast'!J$105:J$107)</f>
        <v>24321761</v>
      </c>
      <c r="J4" s="16">
        <f>SUM('[2]D3 Gallon Forecast'!K$105:K$107)</f>
        <v>44222275</v>
      </c>
      <c r="K4" s="16">
        <f>SUM('[2]D3 Gallon Forecast'!L$105:L$107)</f>
        <v>55288692</v>
      </c>
      <c r="L4" s="16">
        <f>SUM('[2]D3 Gallon Forecast'!M$105:M$107)</f>
        <v>65007565</v>
      </c>
      <c r="M4" s="16">
        <f>SUM('[2]D3 Gallon Forecast'!N$105:N$107)</f>
        <v>75918858</v>
      </c>
      <c r="N4" s="16">
        <f>SUM('[2]D3 Gallon Forecast'!O$105:O$107)</f>
        <v>103791565</v>
      </c>
      <c r="O4" s="16">
        <f>SUM('[2]D3 Gallon Forecast'!P$105:P$107)</f>
        <v>128285547</v>
      </c>
      <c r="P4" s="17">
        <f>SUM('[2]D3 Gallon Forecast'!Q$105:Q$107)</f>
        <v>37159419.027196206</v>
      </c>
      <c r="Q4" s="17">
        <f>SUM('[2]D3 Gallon Forecast'!R$105:R$107)</f>
        <v>58435235.305097729</v>
      </c>
      <c r="R4" s="17">
        <f>SUM('[2]D3 Gallon Forecast'!S$105:S$107)</f>
        <v>57442233.150670618</v>
      </c>
      <c r="S4" s="17">
        <f>SUM('[2]D3 Gallon Forecast'!T$105:T$107)</f>
        <v>56678143.368158147</v>
      </c>
      <c r="T4" s="17" t="e">
        <f>SUM('[2]D3 Gallon Forecast'!U$105:U$107)</f>
        <v>#NUM!</v>
      </c>
      <c r="U4" s="17" t="e">
        <f>SUM('[2]D3 Gallon Forecast'!V$105:V$107)</f>
        <v>#NUM!</v>
      </c>
      <c r="V4" s="17" t="e">
        <f>SUM('[2]D3 Gallon Forecast'!W$105:W$107)</f>
        <v>#NUM!</v>
      </c>
      <c r="W4" s="17" t="e">
        <f>SUM('[2]D3 Gallon Forecast'!X$105:X$107)</f>
        <v>#NUM!</v>
      </c>
      <c r="X4" s="17" t="e">
        <f>SUM('[2]D3 Gallon Forecast'!Y$105:Y$107)</f>
        <v>#NUM!</v>
      </c>
      <c r="Y4" s="17" t="e">
        <f>SUM('[2]D3 Gallon Forecast'!Z$105:Z$107)</f>
        <v>#NUM!</v>
      </c>
      <c r="Z4" s="17" t="e">
        <f>SUM('[2]D3 Gallon Forecast'!AA$105:AA$107)</f>
        <v>#NUM!</v>
      </c>
      <c r="AA4" s="17" t="e">
        <f>SUM('[2]D3 Gallon Forecast'!AB$105:AB$107)</f>
        <v>#NUM!</v>
      </c>
      <c r="AB4" s="17" t="e">
        <f>SUM('[2]D3 Gallon Forecast'!AC$105:AC$107)</f>
        <v>#NUM!</v>
      </c>
      <c r="AC4" s="17" t="e">
        <f>SUM('[2]D3 Gallon Forecast'!AD$105:AD$107)</f>
        <v>#NUM!</v>
      </c>
      <c r="AD4" s="17" t="e">
        <f>SUM('[2]D3 Gallon Forecast'!AE$105:AE$107)</f>
        <v>#NUM!</v>
      </c>
      <c r="AE4" s="17" t="e">
        <f>SUM('[2]D3 Gallon Forecast'!AF$105:AF$107)</f>
        <v>#NUM!</v>
      </c>
      <c r="AF4" s="17" t="e">
        <f>SUM('[2]D3 Gallon Forecast'!AG$105:AG$107)</f>
        <v>#NUM!</v>
      </c>
      <c r="AG4" s="17" t="e">
        <f>SUM('[2]D3 Gallon Forecast'!AH$105:AH$107)</f>
        <v>#NUM!</v>
      </c>
      <c r="AH4" s="17" t="e">
        <f>SUM('[2]D3 Gallon Forecast'!AI$105:AI$107)</f>
        <v>#NUM!</v>
      </c>
      <c r="AI4" s="17" t="e">
        <f>SUM('[2]D3 Gallon Forecast'!AJ$105:AJ$107)</f>
        <v>#NUM!</v>
      </c>
      <c r="AJ4" s="17" t="e">
        <f>SUM('[2]D3 Gallon Forecast'!AK$105:AK$107)</f>
        <v>#NUM!</v>
      </c>
      <c r="AK4" s="17" t="e">
        <f>SUM('[2]D3 Gallon Forecast'!AL$105:AL$107)</f>
        <v>#NUM!</v>
      </c>
      <c r="AL4" s="17" t="e">
        <f>SUM('[2]D3 Gallon Forecast'!AM$105:AM$107)</f>
        <v>#NUM!</v>
      </c>
      <c r="AM4" s="17" t="e">
        <f>SUM('[2]D3 Gallon Forecast'!AN$105:AN$107)</f>
        <v>#NUM!</v>
      </c>
      <c r="AN4" s="17" t="e">
        <f>SUM('[2]D3 Gallon Forecast'!AO$105:AO$107)</f>
        <v>#NUM!</v>
      </c>
      <c r="AO4" s="17" t="e">
        <f>SUM('[2]D3 Gallon Forecast'!AP$105:AP$107)</f>
        <v>#NUM!</v>
      </c>
      <c r="AP4" s="17"/>
      <c r="AQ4" s="17"/>
      <c r="AR4" s="17"/>
      <c r="AS4" s="17"/>
      <c r="AT4" s="17"/>
      <c r="AU4" s="17"/>
      <c r="AV4" s="17"/>
      <c r="AW4" s="17"/>
      <c r="AX4" s="17"/>
      <c r="AY4" s="17"/>
      <c r="AZ4" s="17"/>
      <c r="BA4" s="17"/>
      <c r="BB4" s="17"/>
    </row>
    <row r="5" spans="1:54" x14ac:dyDescent="0.25">
      <c r="A5" s="15" t="s">
        <v>69</v>
      </c>
      <c r="B5" s="16">
        <f>SUM('[2]D3 Gallon Forecast'!C$108:C$110)</f>
        <v>0</v>
      </c>
      <c r="C5" s="16">
        <f>SUM('[2]D3 Gallon Forecast'!D$108:D$110)</f>
        <v>0</v>
      </c>
      <c r="D5" s="16">
        <f>SUM('[2]D3 Gallon Forecast'!E$108:E$110)</f>
        <v>0</v>
      </c>
      <c r="E5" s="16">
        <f>SUM('[2]D3 Gallon Forecast'!F$108:F$110)</f>
        <v>0</v>
      </c>
      <c r="F5" s="16">
        <f>SUM('[2]D3 Gallon Forecast'!G$108:G$110)</f>
        <v>16147638</v>
      </c>
      <c r="G5" s="16">
        <f>SUM('[2]D3 Gallon Forecast'!H$108:H$110)</f>
        <v>25802022</v>
      </c>
      <c r="H5" s="16">
        <f>SUM('[2]D3 Gallon Forecast'!I$108:I$110)</f>
        <v>36919736</v>
      </c>
      <c r="I5" s="16">
        <f>SUM('[2]D3 Gallon Forecast'!J$108:J$110)</f>
        <v>46897800</v>
      </c>
      <c r="J5" s="16">
        <f>SUM('[2]D3 Gallon Forecast'!K$108:K$110)</f>
        <v>80826816</v>
      </c>
      <c r="K5" s="16">
        <f>SUM('[2]D3 Gallon Forecast'!L$108:L$110)</f>
        <v>91777940</v>
      </c>
      <c r="L5" s="16">
        <f>SUM('[2]D3 Gallon Forecast'!M$108:M$110)</f>
        <v>110034410</v>
      </c>
      <c r="M5" s="16">
        <f>SUM('[2]D3 Gallon Forecast'!N$108:N$110)</f>
        <v>131301533</v>
      </c>
      <c r="N5" s="16">
        <f>SUM('[2]D3 Gallon Forecast'!O$108:O$110)</f>
        <v>171070983</v>
      </c>
      <c r="O5" s="16">
        <f>SUM('[2]D3 Gallon Forecast'!P$108:P$110)</f>
        <v>208593849</v>
      </c>
      <c r="P5" s="17">
        <f>SUM('[2]D3 Gallon Forecast'!Q$108:Q$110)</f>
        <v>109169648.06204751</v>
      </c>
      <c r="Q5" s="17">
        <f>SUM('[2]D3 Gallon Forecast'!R$108:R$110)</f>
        <v>127769731.26918116</v>
      </c>
      <c r="R5" s="17">
        <f>SUM('[2]D3 Gallon Forecast'!S$108:S$110)</f>
        <v>131123483.71160692</v>
      </c>
      <c r="S5" s="17">
        <f>SUM('[2]D3 Gallon Forecast'!T$108:T$110)</f>
        <v>136034545.04971957</v>
      </c>
      <c r="T5" s="17" t="e">
        <f>SUM('[2]D3 Gallon Forecast'!U$108:U$110)</f>
        <v>#NUM!</v>
      </c>
      <c r="U5" s="17" t="e">
        <f>SUM('[2]D3 Gallon Forecast'!V$108:V$110)</f>
        <v>#NUM!</v>
      </c>
      <c r="V5" s="17" t="e">
        <f>SUM('[2]D3 Gallon Forecast'!W$108:W$110)</f>
        <v>#NUM!</v>
      </c>
      <c r="W5" s="17" t="e">
        <f>SUM('[2]D3 Gallon Forecast'!X$108:X$110)</f>
        <v>#NUM!</v>
      </c>
      <c r="X5" s="17" t="e">
        <f>SUM('[2]D3 Gallon Forecast'!Y$108:Y$110)</f>
        <v>#NUM!</v>
      </c>
      <c r="Y5" s="17" t="e">
        <f>SUM('[2]D3 Gallon Forecast'!Z$108:Z$110)</f>
        <v>#NUM!</v>
      </c>
      <c r="Z5" s="17" t="e">
        <f>SUM('[2]D3 Gallon Forecast'!AA$108:AA$110)</f>
        <v>#NUM!</v>
      </c>
      <c r="AA5" s="17" t="e">
        <f>SUM('[2]D3 Gallon Forecast'!AB$108:AB$110)</f>
        <v>#NUM!</v>
      </c>
      <c r="AB5" s="17" t="e">
        <f>SUM('[2]D3 Gallon Forecast'!AC$108:AC$110)</f>
        <v>#NUM!</v>
      </c>
      <c r="AC5" s="17" t="e">
        <f>SUM('[2]D3 Gallon Forecast'!AD$108:AD$110)</f>
        <v>#NUM!</v>
      </c>
      <c r="AD5" s="17" t="e">
        <f>SUM('[2]D3 Gallon Forecast'!AE$108:AE$110)</f>
        <v>#NUM!</v>
      </c>
      <c r="AE5" s="17" t="e">
        <f>SUM('[2]D3 Gallon Forecast'!AF$108:AF$110)</f>
        <v>#NUM!</v>
      </c>
      <c r="AF5" s="17" t="e">
        <f>SUM('[2]D3 Gallon Forecast'!AG$108:AG$110)</f>
        <v>#NUM!</v>
      </c>
      <c r="AG5" s="17" t="e">
        <f>SUM('[2]D3 Gallon Forecast'!AH$108:AH$110)</f>
        <v>#NUM!</v>
      </c>
      <c r="AH5" s="17" t="e">
        <f>SUM('[2]D3 Gallon Forecast'!AI$108:AI$110)</f>
        <v>#NUM!</v>
      </c>
      <c r="AI5" s="17" t="e">
        <f>SUM('[2]D3 Gallon Forecast'!AJ$108:AJ$110)</f>
        <v>#NUM!</v>
      </c>
      <c r="AJ5" s="17" t="e">
        <f>SUM('[2]D3 Gallon Forecast'!AK$108:AK$110)</f>
        <v>#NUM!</v>
      </c>
      <c r="AK5" s="17" t="e">
        <f>SUM('[2]D3 Gallon Forecast'!AL$108:AL$110)</f>
        <v>#NUM!</v>
      </c>
      <c r="AL5" s="17" t="e">
        <f>SUM('[2]D3 Gallon Forecast'!AM$108:AM$110)</f>
        <v>#NUM!</v>
      </c>
      <c r="AM5" s="17" t="e">
        <f>SUM('[2]D3 Gallon Forecast'!AN$108:AN$110)</f>
        <v>#NUM!</v>
      </c>
      <c r="AN5" s="17" t="e">
        <f>SUM('[2]D3 Gallon Forecast'!AO$108:AO$110)</f>
        <v>#NUM!</v>
      </c>
      <c r="AO5" s="17" t="e">
        <f>SUM('[2]D3 Gallon Forecast'!AP$108:AP$110)</f>
        <v>#NUM!</v>
      </c>
      <c r="AP5" s="17"/>
      <c r="AQ5" s="17"/>
      <c r="AR5" s="17"/>
      <c r="AS5" s="17"/>
      <c r="AT5" s="17"/>
      <c r="AU5" s="17"/>
      <c r="AV5" s="17"/>
      <c r="AW5" s="17"/>
      <c r="AX5" s="17"/>
      <c r="AY5" s="17"/>
      <c r="AZ5" s="17"/>
      <c r="BA5" s="17"/>
      <c r="BB5" s="17"/>
    </row>
    <row r="6" spans="1:54" x14ac:dyDescent="0.25">
      <c r="A6" s="15" t="s">
        <v>70</v>
      </c>
      <c r="B6" s="16">
        <f>SUM('[2]D3 Gallon Forecast'!C$111:C$113)</f>
        <v>0</v>
      </c>
      <c r="C6" s="16">
        <f>SUM('[2]D3 Gallon Forecast'!D$111:D$113)</f>
        <v>0</v>
      </c>
      <c r="D6" s="16">
        <f>SUM('[2]D3 Gallon Forecast'!E$111:E$113)</f>
        <v>0</v>
      </c>
      <c r="E6" s="16">
        <f>SUM('[2]D3 Gallon Forecast'!F$111:F$113)</f>
        <v>5117631</v>
      </c>
      <c r="F6" s="16">
        <f>SUM('[2]D3 Gallon Forecast'!G$111:G$113)</f>
        <v>17974757</v>
      </c>
      <c r="G6" s="16">
        <f>SUM('[2]D3 Gallon Forecast'!H$111:H$113)</f>
        <v>29917811</v>
      </c>
      <c r="H6" s="16">
        <f>SUM('[2]D3 Gallon Forecast'!I$111:I$113)</f>
        <v>39823316</v>
      </c>
      <c r="I6" s="16">
        <f>SUM('[2]D3 Gallon Forecast'!J$111:J$113)</f>
        <v>60850692</v>
      </c>
      <c r="J6" s="16">
        <f>SUM('[2]D3 Gallon Forecast'!K$111:K$113)</f>
        <v>86959688</v>
      </c>
      <c r="K6" s="16">
        <f>SUM('[2]D3 Gallon Forecast'!L$111:L$113)</f>
        <v>99117974</v>
      </c>
      <c r="L6" s="16">
        <f>SUM('[2]D3 Gallon Forecast'!M$111:M$113)</f>
        <v>113310562</v>
      </c>
      <c r="M6" s="16">
        <f>SUM('[2]D3 Gallon Forecast'!N$111:N$113)</f>
        <v>143958291</v>
      </c>
      <c r="N6" s="16">
        <f>SUM('[2]D3 Gallon Forecast'!O$111:O$113)</f>
        <v>170581387</v>
      </c>
      <c r="O6" s="16">
        <f>SUM('[2]D3 Gallon Forecast'!P$111:P$113)</f>
        <v>232519537</v>
      </c>
      <c r="P6" s="17">
        <f>SUM('[2]D3 Gallon Forecast'!Q$111:Q$113)</f>
        <v>116323634.16478556</v>
      </c>
      <c r="Q6" s="17">
        <f>SUM('[2]D3 Gallon Forecast'!R$111:R$113)</f>
        <v>157442092.94923788</v>
      </c>
      <c r="R6" s="17">
        <f>SUM('[2]D3 Gallon Forecast'!S$111:S$113)</f>
        <v>166228595.89714241</v>
      </c>
      <c r="S6" s="17">
        <f>SUM('[2]D3 Gallon Forecast'!T$111:T$113)</f>
        <v>176548791.54953381</v>
      </c>
      <c r="T6" s="17" t="e">
        <f>SUM('[2]D3 Gallon Forecast'!U$111:U$113)</f>
        <v>#NUM!</v>
      </c>
      <c r="U6" s="17" t="e">
        <f>SUM('[2]D3 Gallon Forecast'!V$111:V$113)</f>
        <v>#NUM!</v>
      </c>
      <c r="V6" s="17" t="e">
        <f>SUM('[2]D3 Gallon Forecast'!W$111:W$113)</f>
        <v>#NUM!</v>
      </c>
      <c r="W6" s="17" t="e">
        <f>SUM('[2]D3 Gallon Forecast'!X$111:X$113)</f>
        <v>#NUM!</v>
      </c>
      <c r="X6" s="17" t="e">
        <f>SUM('[2]D3 Gallon Forecast'!Y$111:Y$113)</f>
        <v>#NUM!</v>
      </c>
      <c r="Y6" s="17" t="e">
        <f>SUM('[2]D3 Gallon Forecast'!Z$111:Z$113)</f>
        <v>#NUM!</v>
      </c>
      <c r="Z6" s="17" t="e">
        <f>SUM('[2]D3 Gallon Forecast'!AA$111:AA$113)</f>
        <v>#NUM!</v>
      </c>
      <c r="AA6" s="17" t="e">
        <f>SUM('[2]D3 Gallon Forecast'!AB$111:AB$113)</f>
        <v>#NUM!</v>
      </c>
      <c r="AB6" s="17" t="e">
        <f>SUM('[2]D3 Gallon Forecast'!AC$111:AC$113)</f>
        <v>#NUM!</v>
      </c>
      <c r="AC6" s="17" t="e">
        <f>SUM('[2]D3 Gallon Forecast'!AD$111:AD$113)</f>
        <v>#NUM!</v>
      </c>
      <c r="AD6" s="17" t="e">
        <f>SUM('[2]D3 Gallon Forecast'!AE$111:AE$113)</f>
        <v>#NUM!</v>
      </c>
      <c r="AE6" s="17" t="e">
        <f>SUM('[2]D3 Gallon Forecast'!AF$111:AF$113)</f>
        <v>#NUM!</v>
      </c>
      <c r="AF6" s="17" t="e">
        <f>SUM('[2]D3 Gallon Forecast'!AG$111:AG$113)</f>
        <v>#NUM!</v>
      </c>
      <c r="AG6" s="17" t="e">
        <f>SUM('[2]D3 Gallon Forecast'!AH$111:AH$113)</f>
        <v>#NUM!</v>
      </c>
      <c r="AH6" s="17" t="e">
        <f>SUM('[2]D3 Gallon Forecast'!AI$111:AI$113)</f>
        <v>#NUM!</v>
      </c>
      <c r="AI6" s="17" t="e">
        <f>SUM('[2]D3 Gallon Forecast'!AJ$111:AJ$113)</f>
        <v>#NUM!</v>
      </c>
      <c r="AJ6" s="17" t="e">
        <f>SUM('[2]D3 Gallon Forecast'!AK$111:AK$113)</f>
        <v>#NUM!</v>
      </c>
      <c r="AK6" s="17" t="e">
        <f>SUM('[2]D3 Gallon Forecast'!AL$111:AL$113)</f>
        <v>#NUM!</v>
      </c>
      <c r="AL6" s="17" t="e">
        <f>SUM('[2]D3 Gallon Forecast'!AM$111:AM$113)</f>
        <v>#NUM!</v>
      </c>
      <c r="AM6" s="17" t="e">
        <f>SUM('[2]D3 Gallon Forecast'!AN$111:AN$113)</f>
        <v>#NUM!</v>
      </c>
      <c r="AN6" s="17" t="e">
        <f>SUM('[2]D3 Gallon Forecast'!AO$111:AO$113)</f>
        <v>#NUM!</v>
      </c>
      <c r="AO6" s="17" t="e">
        <f>SUM('[2]D3 Gallon Forecast'!AP$111:AP$113)</f>
        <v>#NUM!</v>
      </c>
      <c r="AP6" s="17"/>
      <c r="AQ6" s="17"/>
      <c r="AR6" s="17"/>
      <c r="AS6" s="17"/>
      <c r="AT6" s="17"/>
      <c r="AU6" s="17"/>
      <c r="AV6" s="17"/>
      <c r="AW6" s="17"/>
      <c r="AX6" s="17"/>
      <c r="AY6" s="17"/>
      <c r="AZ6" s="17"/>
      <c r="BA6" s="17"/>
      <c r="BB6" s="17"/>
    </row>
    <row r="7" spans="1:54" x14ac:dyDescent="0.25">
      <c r="A7" s="15" t="s">
        <v>71</v>
      </c>
      <c r="B7" s="16">
        <f>SUM('[2]D3 Gallon Forecast'!C$114:C$116)</f>
        <v>0</v>
      </c>
      <c r="C7" s="16">
        <f>SUM('[2]D3 Gallon Forecast'!D$114:D$116)</f>
        <v>0</v>
      </c>
      <c r="D7" s="16">
        <f>SUM('[2]D3 Gallon Forecast'!E$114:E$116)</f>
        <v>0</v>
      </c>
      <c r="E7" s="16">
        <f>SUM('[2]D3 Gallon Forecast'!F$114:F$116)</f>
        <v>10090437</v>
      </c>
      <c r="F7" s="16">
        <f>SUM('[2]D3 Gallon Forecast'!G$114:G$116)</f>
        <v>27055467</v>
      </c>
      <c r="G7" s="16">
        <f>SUM('[2]D3 Gallon Forecast'!H$114:H$116)</f>
        <v>42418389</v>
      </c>
      <c r="H7" s="16">
        <f>SUM('[2]D3 Gallon Forecast'!I$114:I$116)</f>
        <v>58677054</v>
      </c>
      <c r="I7" s="16">
        <f>SUM('[2]D3 Gallon Forecast'!J$114:J$116)</f>
        <v>81121978</v>
      </c>
      <c r="J7" s="16">
        <f>SUM('[2]D3 Gallon Forecast'!K$114:K$116)</f>
        <v>104906079</v>
      </c>
      <c r="K7" s="16">
        <f>SUM('[2]D3 Gallon Forecast'!L$114:L$116)</f>
        <v>141804512</v>
      </c>
      <c r="L7" s="16">
        <f>SUM('[2]D3 Gallon Forecast'!M$114:M$116)</f>
        <v>162366946</v>
      </c>
      <c r="M7" s="16">
        <f>SUM('[2]D3 Gallon Forecast'!N$114:N$116)</f>
        <v>194916058</v>
      </c>
      <c r="N7" s="16">
        <f>SUM('[2]D3 Gallon Forecast'!O$114:O$116)</f>
        <v>236368408</v>
      </c>
      <c r="O7" s="17">
        <f>SUM('[2]D3 Gallon Forecast'!P$114:P$116)</f>
        <v>226749258</v>
      </c>
      <c r="P7" s="17">
        <f>SUM('[2]D3 Gallon Forecast'!Q$114:Q$116)</f>
        <v>175810061.6505748</v>
      </c>
      <c r="Q7" s="17">
        <f>SUM('[2]D3 Gallon Forecast'!R$114:R$116)</f>
        <v>209745092.8842057</v>
      </c>
      <c r="R7" s="17">
        <f>SUM('[2]D3 Gallon Forecast'!S$114:S$116)</f>
        <v>217536842.66182268</v>
      </c>
      <c r="S7" s="17">
        <f>SUM('[2]D3 Gallon Forecast'!T$114:T$116)</f>
        <v>227698456.19532421</v>
      </c>
      <c r="T7" s="17" t="e">
        <f>SUM('[2]D3 Gallon Forecast'!U$114:U$116)</f>
        <v>#NUM!</v>
      </c>
      <c r="U7" s="17" t="e">
        <f>SUM('[2]D3 Gallon Forecast'!V$114:V$116)</f>
        <v>#NUM!</v>
      </c>
      <c r="V7" s="17" t="e">
        <f>SUM('[2]D3 Gallon Forecast'!W$114:W$116)</f>
        <v>#NUM!</v>
      </c>
      <c r="W7" s="17" t="e">
        <f>SUM('[2]D3 Gallon Forecast'!X$114:X$116)</f>
        <v>#NUM!</v>
      </c>
      <c r="X7" s="17" t="e">
        <f>SUM('[2]D3 Gallon Forecast'!Y$114:Y$116)</f>
        <v>#NUM!</v>
      </c>
      <c r="Y7" s="17" t="e">
        <f>SUM('[2]D3 Gallon Forecast'!Z$114:Z$116)</f>
        <v>#NUM!</v>
      </c>
      <c r="Z7" s="17" t="e">
        <f>SUM('[2]D3 Gallon Forecast'!AA$114:AA$116)</f>
        <v>#NUM!</v>
      </c>
      <c r="AA7" s="17" t="e">
        <f>SUM('[2]D3 Gallon Forecast'!AB$114:AB$116)</f>
        <v>#NUM!</v>
      </c>
      <c r="AB7" s="17" t="e">
        <f>SUM('[2]D3 Gallon Forecast'!AC$114:AC$116)</f>
        <v>#NUM!</v>
      </c>
      <c r="AC7" s="17" t="e">
        <f>SUM('[2]D3 Gallon Forecast'!AD$114:AD$116)</f>
        <v>#NUM!</v>
      </c>
      <c r="AD7" s="17" t="e">
        <f>SUM('[2]D3 Gallon Forecast'!AE$114:AE$116)</f>
        <v>#NUM!</v>
      </c>
      <c r="AE7" s="17" t="e">
        <f>SUM('[2]D3 Gallon Forecast'!AF$114:AF$116)</f>
        <v>#NUM!</v>
      </c>
      <c r="AF7" s="17" t="e">
        <f>SUM('[2]D3 Gallon Forecast'!AG$114:AG$116)</f>
        <v>#NUM!</v>
      </c>
      <c r="AG7" s="17" t="e">
        <f>SUM('[2]D3 Gallon Forecast'!AH$114:AH$116)</f>
        <v>#NUM!</v>
      </c>
      <c r="AH7" s="17" t="e">
        <f>SUM('[2]D3 Gallon Forecast'!AI$114:AI$116)</f>
        <v>#NUM!</v>
      </c>
      <c r="AI7" s="17" t="e">
        <f>SUM('[2]D3 Gallon Forecast'!AJ$114:AJ$116)</f>
        <v>#NUM!</v>
      </c>
      <c r="AJ7" s="17" t="e">
        <f>SUM('[2]D3 Gallon Forecast'!AK$114:AK$116)</f>
        <v>#NUM!</v>
      </c>
      <c r="AK7" s="17" t="e">
        <f>SUM('[2]D3 Gallon Forecast'!AL$114:AL$116)</f>
        <v>#NUM!</v>
      </c>
      <c r="AL7" s="17" t="e">
        <f>SUM('[2]D3 Gallon Forecast'!AM$114:AM$116)</f>
        <v>#NUM!</v>
      </c>
      <c r="AM7" s="17" t="e">
        <f>SUM('[2]D3 Gallon Forecast'!AN$114:AN$116)</f>
        <v>#NUM!</v>
      </c>
      <c r="AN7" s="17" t="e">
        <f>SUM('[2]D3 Gallon Forecast'!AO$114:AO$116)</f>
        <v>#NUM!</v>
      </c>
      <c r="AO7" s="17" t="e">
        <f>SUM('[2]D3 Gallon Forecast'!AP$114:AP$116)</f>
        <v>#NUM!</v>
      </c>
      <c r="AP7" s="17"/>
      <c r="AQ7" s="17"/>
      <c r="AR7" s="17"/>
      <c r="AS7" s="17"/>
      <c r="AT7" s="17"/>
      <c r="AU7" s="17"/>
      <c r="AV7" s="17"/>
      <c r="AW7" s="17"/>
      <c r="AX7" s="17"/>
      <c r="AY7" s="17"/>
      <c r="AZ7" s="17"/>
      <c r="BA7" s="17"/>
      <c r="BB7" s="17"/>
    </row>
    <row r="8" spans="1:54" x14ac:dyDescent="0.25">
      <c r="A8" s="15" t="s">
        <v>72</v>
      </c>
      <c r="B8" s="16">
        <f>SUM(B4:B7)</f>
        <v>0</v>
      </c>
      <c r="C8" s="16">
        <f t="shared" ref="C8:AO8" si="0">SUM(C4:C7)</f>
        <v>0</v>
      </c>
      <c r="D8" s="16">
        <f t="shared" si="0"/>
        <v>0</v>
      </c>
      <c r="E8" s="16">
        <f t="shared" si="0"/>
        <v>15208068</v>
      </c>
      <c r="F8" s="16">
        <f t="shared" si="0"/>
        <v>70454732</v>
      </c>
      <c r="G8" s="16">
        <f t="shared" si="0"/>
        <v>116415265</v>
      </c>
      <c r="H8" s="16">
        <f t="shared" si="0"/>
        <v>155484808</v>
      </c>
      <c r="I8" s="16">
        <f t="shared" si="0"/>
        <v>213192231</v>
      </c>
      <c r="J8" s="16">
        <f t="shared" si="0"/>
        <v>316914858</v>
      </c>
      <c r="K8" s="16">
        <f t="shared" si="0"/>
        <v>387989118</v>
      </c>
      <c r="L8" s="16">
        <f t="shared" si="0"/>
        <v>450719483</v>
      </c>
      <c r="M8" s="16">
        <f t="shared" si="0"/>
        <v>546094740</v>
      </c>
      <c r="N8" s="16">
        <f t="shared" si="0"/>
        <v>681812343</v>
      </c>
      <c r="O8" s="17">
        <f t="shared" si="0"/>
        <v>796148191</v>
      </c>
      <c r="P8" s="17">
        <f t="shared" si="0"/>
        <v>438462762.90460408</v>
      </c>
      <c r="Q8" s="17">
        <f t="shared" si="0"/>
        <v>553392152.40772247</v>
      </c>
      <c r="R8" s="17">
        <f t="shared" si="0"/>
        <v>572331155.42124259</v>
      </c>
      <c r="S8" s="17">
        <f t="shared" si="0"/>
        <v>596959936.1627357</v>
      </c>
      <c r="T8" s="17" t="e">
        <f t="shared" si="0"/>
        <v>#NUM!</v>
      </c>
      <c r="U8" s="17" t="e">
        <f t="shared" si="0"/>
        <v>#NUM!</v>
      </c>
      <c r="V8" s="17" t="e">
        <f t="shared" si="0"/>
        <v>#NUM!</v>
      </c>
      <c r="W8" s="17" t="e">
        <f t="shared" si="0"/>
        <v>#NUM!</v>
      </c>
      <c r="X8" s="17" t="e">
        <f t="shared" si="0"/>
        <v>#NUM!</v>
      </c>
      <c r="Y8" s="17" t="e">
        <f t="shared" si="0"/>
        <v>#NUM!</v>
      </c>
      <c r="Z8" s="17" t="e">
        <f t="shared" si="0"/>
        <v>#NUM!</v>
      </c>
      <c r="AA8" s="17" t="e">
        <f t="shared" si="0"/>
        <v>#NUM!</v>
      </c>
      <c r="AB8" s="17" t="e">
        <f t="shared" si="0"/>
        <v>#NUM!</v>
      </c>
      <c r="AC8" s="17" t="e">
        <f t="shared" si="0"/>
        <v>#NUM!</v>
      </c>
      <c r="AD8" s="17" t="e">
        <f t="shared" si="0"/>
        <v>#NUM!</v>
      </c>
      <c r="AE8" s="17" t="e">
        <f t="shared" si="0"/>
        <v>#NUM!</v>
      </c>
      <c r="AF8" s="17" t="e">
        <f t="shared" si="0"/>
        <v>#NUM!</v>
      </c>
      <c r="AG8" s="17" t="e">
        <f t="shared" si="0"/>
        <v>#NUM!</v>
      </c>
      <c r="AH8" s="17" t="e">
        <f t="shared" si="0"/>
        <v>#NUM!</v>
      </c>
      <c r="AI8" s="17" t="e">
        <f t="shared" si="0"/>
        <v>#NUM!</v>
      </c>
      <c r="AJ8" s="17" t="e">
        <f t="shared" si="0"/>
        <v>#NUM!</v>
      </c>
      <c r="AK8" s="17" t="e">
        <f t="shared" si="0"/>
        <v>#NUM!</v>
      </c>
      <c r="AL8" s="17" t="e">
        <f t="shared" si="0"/>
        <v>#NUM!</v>
      </c>
      <c r="AM8" s="17" t="e">
        <f t="shared" si="0"/>
        <v>#NUM!</v>
      </c>
      <c r="AN8" s="17" t="e">
        <f t="shared" si="0"/>
        <v>#NUM!</v>
      </c>
      <c r="AO8" s="17" t="e">
        <f t="shared" si="0"/>
        <v>#NUM!</v>
      </c>
      <c r="AP8" s="17"/>
      <c r="AQ8" s="17"/>
      <c r="AR8" s="17"/>
      <c r="AS8" s="17"/>
      <c r="AT8" s="17"/>
      <c r="AU8" s="17"/>
      <c r="AV8" s="17"/>
      <c r="AW8" s="17"/>
      <c r="AX8" s="17"/>
      <c r="AY8" s="17"/>
      <c r="AZ8" s="17"/>
      <c r="BA8" s="17"/>
      <c r="BB8" s="17"/>
    </row>
    <row r="9" spans="1:54" x14ac:dyDescent="0.25">
      <c r="B9" s="18"/>
      <c r="C9" s="18"/>
      <c r="D9" s="18"/>
      <c r="E9" s="18"/>
      <c r="F9" s="19"/>
      <c r="G9" s="19"/>
      <c r="H9" s="19"/>
      <c r="I9" s="19"/>
      <c r="J9" s="19"/>
      <c r="K9" s="19"/>
      <c r="L9" s="19"/>
      <c r="M9" s="19"/>
      <c r="N9" s="19"/>
      <c r="O9" s="19"/>
      <c r="P9" s="19"/>
      <c r="Q9" s="19"/>
      <c r="R9" s="19"/>
      <c r="S9" s="19"/>
      <c r="T9" s="19"/>
      <c r="U9" s="19"/>
      <c r="V9" s="19"/>
      <c r="W9" s="19"/>
      <c r="X9" s="19"/>
      <c r="Y9" s="19"/>
      <c r="Z9" s="19"/>
      <c r="AA9" s="19"/>
      <c r="AB9" s="19"/>
      <c r="AC9" s="19"/>
      <c r="AD9" s="19"/>
      <c r="AE9" s="19"/>
      <c r="AF9" s="19"/>
      <c r="AG9" s="19"/>
      <c r="AH9" s="19"/>
      <c r="AI9" s="19"/>
      <c r="AJ9" s="19"/>
      <c r="AK9" s="19"/>
      <c r="AL9" s="19"/>
      <c r="AM9" s="19"/>
      <c r="AN9" s="19"/>
      <c r="AO9" s="19"/>
      <c r="AP9" s="19"/>
      <c r="AQ9" s="19"/>
      <c r="AR9" s="19"/>
      <c r="AS9" s="19"/>
      <c r="AT9" s="19"/>
      <c r="AU9" s="19"/>
      <c r="AV9" s="19"/>
      <c r="AW9" s="19"/>
      <c r="AX9" s="19"/>
      <c r="AY9" s="19"/>
      <c r="AZ9" s="19"/>
      <c r="BA9" s="19"/>
      <c r="BB9" s="19"/>
    </row>
    <row r="10" spans="1:54" x14ac:dyDescent="0.25">
      <c r="A10" s="14" t="s">
        <v>73</v>
      </c>
      <c r="B10" s="14">
        <f>B3</f>
        <v>2011</v>
      </c>
      <c r="C10" s="14">
        <f t="shared" ref="C10:AO10" si="1">C3</f>
        <v>2012</v>
      </c>
      <c r="D10" s="14">
        <f t="shared" si="1"/>
        <v>2013</v>
      </c>
      <c r="E10" s="14">
        <f t="shared" si="1"/>
        <v>2014</v>
      </c>
      <c r="F10" s="14">
        <f t="shared" si="1"/>
        <v>2015</v>
      </c>
      <c r="G10" s="14">
        <f t="shared" si="1"/>
        <v>2016</v>
      </c>
      <c r="H10" s="14">
        <f t="shared" si="1"/>
        <v>2017</v>
      </c>
      <c r="I10" s="14">
        <f t="shared" si="1"/>
        <v>2018</v>
      </c>
      <c r="J10" s="14">
        <f t="shared" si="1"/>
        <v>2019</v>
      </c>
      <c r="K10" s="14">
        <f t="shared" si="1"/>
        <v>2020</v>
      </c>
      <c r="L10" s="14">
        <f t="shared" si="1"/>
        <v>2021</v>
      </c>
      <c r="M10" s="14">
        <f t="shared" si="1"/>
        <v>2022</v>
      </c>
      <c r="N10" s="14">
        <f t="shared" si="1"/>
        <v>2023</v>
      </c>
      <c r="O10" s="14">
        <f t="shared" si="1"/>
        <v>2024</v>
      </c>
      <c r="P10" s="14">
        <f t="shared" si="1"/>
        <v>2025</v>
      </c>
      <c r="Q10" s="14">
        <f t="shared" si="1"/>
        <v>2026</v>
      </c>
      <c r="R10" s="14">
        <f t="shared" si="1"/>
        <v>2027</v>
      </c>
      <c r="S10" s="14">
        <f t="shared" si="1"/>
        <v>2028</v>
      </c>
      <c r="T10" s="14">
        <f t="shared" si="1"/>
        <v>2029</v>
      </c>
      <c r="U10" s="14">
        <f t="shared" si="1"/>
        <v>2030</v>
      </c>
      <c r="V10" s="14">
        <f t="shared" si="1"/>
        <v>2031</v>
      </c>
      <c r="W10" s="14">
        <f t="shared" si="1"/>
        <v>2032</v>
      </c>
      <c r="X10" s="14">
        <f t="shared" si="1"/>
        <v>2033</v>
      </c>
      <c r="Y10" s="14">
        <f t="shared" si="1"/>
        <v>2034</v>
      </c>
      <c r="Z10" s="14">
        <f t="shared" si="1"/>
        <v>2035</v>
      </c>
      <c r="AA10" s="14">
        <f t="shared" si="1"/>
        <v>2036</v>
      </c>
      <c r="AB10" s="14">
        <f t="shared" si="1"/>
        <v>2037</v>
      </c>
      <c r="AC10" s="14">
        <f t="shared" si="1"/>
        <v>2038</v>
      </c>
      <c r="AD10" s="14">
        <f t="shared" si="1"/>
        <v>2039</v>
      </c>
      <c r="AE10" s="14">
        <f t="shared" si="1"/>
        <v>2040</v>
      </c>
      <c r="AF10" s="14">
        <f t="shared" si="1"/>
        <v>2041</v>
      </c>
      <c r="AG10" s="14">
        <f t="shared" si="1"/>
        <v>2042</v>
      </c>
      <c r="AH10" s="14">
        <f t="shared" si="1"/>
        <v>2043</v>
      </c>
      <c r="AI10" s="14">
        <f t="shared" si="1"/>
        <v>2044</v>
      </c>
      <c r="AJ10" s="14">
        <f t="shared" si="1"/>
        <v>2045</v>
      </c>
      <c r="AK10" s="14">
        <f t="shared" si="1"/>
        <v>2046</v>
      </c>
      <c r="AL10" s="14">
        <f t="shared" si="1"/>
        <v>2047</v>
      </c>
      <c r="AM10" s="14">
        <f t="shared" si="1"/>
        <v>2048</v>
      </c>
      <c r="AN10" s="14">
        <f t="shared" si="1"/>
        <v>2049</v>
      </c>
      <c r="AO10" s="14">
        <f t="shared" si="1"/>
        <v>2050</v>
      </c>
      <c r="AP10" s="14"/>
      <c r="AQ10" s="14"/>
      <c r="AR10" s="14"/>
      <c r="AS10" s="14"/>
      <c r="AT10" s="14"/>
      <c r="AU10" s="14"/>
      <c r="AV10" s="14"/>
      <c r="AW10" s="14"/>
      <c r="AX10" s="14"/>
      <c r="AY10" s="14"/>
      <c r="AZ10" s="14"/>
      <c r="BA10" s="14"/>
      <c r="BB10" s="14"/>
    </row>
    <row r="11" spans="1:54" x14ac:dyDescent="0.25">
      <c r="A11" s="15" t="s">
        <v>68</v>
      </c>
      <c r="B11" s="16">
        <f>'Fuel Vol and Credit Gen'!C$5</f>
        <v>0</v>
      </c>
      <c r="C11" s="16">
        <f>'Fuel Vol and Credit Gen'!G$5</f>
        <v>0</v>
      </c>
      <c r="D11" s="16">
        <f>'Fuel Vol and Credit Gen'!K$5</f>
        <v>0</v>
      </c>
      <c r="E11" s="16">
        <f>'Fuel Vol and Credit Gen'!O$5</f>
        <v>2726000</v>
      </c>
      <c r="F11" s="16">
        <f>'Fuel Vol and Credit Gen'!S$5</f>
        <v>6720568</v>
      </c>
      <c r="G11" s="16">
        <f>'Fuel Vol and Credit Gen'!W$5</f>
        <v>14450356</v>
      </c>
      <c r="H11" s="16">
        <f>'Fuel Vol and Credit Gen'!AA$5</f>
        <v>16917328</v>
      </c>
      <c r="I11" s="16">
        <f>'Fuel Vol and Credit Gen'!AE$5</f>
        <v>23996868</v>
      </c>
      <c r="J11" s="16">
        <f>'Fuel Vol and Credit Gen'!AI$5</f>
        <v>28550655</v>
      </c>
      <c r="K11" s="16">
        <f>'Fuel Vol and Credit Gen'!AM$5</f>
        <v>32763027</v>
      </c>
      <c r="L11" s="16">
        <f>'Fuel Vol and Credit Gen'!AQ$5</f>
        <v>34313995</v>
      </c>
      <c r="M11" s="16">
        <f>'Fuel Vol and Credit Gen'!AU$5</f>
        <v>41745891</v>
      </c>
      <c r="N11" s="16">
        <f>'Fuel Vol and Credit Gen'!AY$5</f>
        <v>44983298</v>
      </c>
      <c r="O11" s="16">
        <f>'Fuel Vol and Credit Gen'!BC$5</f>
        <v>48258163</v>
      </c>
      <c r="P11" s="17">
        <f t="shared" ref="P11:AO14" si="2">FORECAST(P4,I11:O11,I4:O4)</f>
        <v>28116123.818653394</v>
      </c>
      <c r="Q11" s="17">
        <f t="shared" si="2"/>
        <v>33557178.60057421</v>
      </c>
      <c r="R11" s="17">
        <f t="shared" si="2"/>
        <v>33705427.041840285</v>
      </c>
      <c r="S11" s="17">
        <f t="shared" si="2"/>
        <v>33624019.194700651</v>
      </c>
      <c r="T11" s="17" t="e">
        <f t="shared" si="2"/>
        <v>#NUM!</v>
      </c>
      <c r="U11" s="17" t="e">
        <f t="shared" si="2"/>
        <v>#NUM!</v>
      </c>
      <c r="V11" s="17" t="e">
        <f t="shared" si="2"/>
        <v>#NUM!</v>
      </c>
      <c r="W11" s="17" t="e">
        <f t="shared" si="2"/>
        <v>#NUM!</v>
      </c>
      <c r="X11" s="17" t="e">
        <f t="shared" si="2"/>
        <v>#NUM!</v>
      </c>
      <c r="Y11" s="17" t="e">
        <f t="shared" si="2"/>
        <v>#NUM!</v>
      </c>
      <c r="Z11" s="17" t="e">
        <f t="shared" si="2"/>
        <v>#NUM!</v>
      </c>
      <c r="AA11" s="17" t="e">
        <f t="shared" si="2"/>
        <v>#NUM!</v>
      </c>
      <c r="AB11" s="17" t="e">
        <f t="shared" si="2"/>
        <v>#NUM!</v>
      </c>
      <c r="AC11" s="17" t="e">
        <f t="shared" si="2"/>
        <v>#NUM!</v>
      </c>
      <c r="AD11" s="17" t="e">
        <f t="shared" si="2"/>
        <v>#NUM!</v>
      </c>
      <c r="AE11" s="17" t="e">
        <f t="shared" si="2"/>
        <v>#NUM!</v>
      </c>
      <c r="AF11" s="17" t="e">
        <f t="shared" si="2"/>
        <v>#NUM!</v>
      </c>
      <c r="AG11" s="17" t="e">
        <f t="shared" si="2"/>
        <v>#NUM!</v>
      </c>
      <c r="AH11" s="17" t="e">
        <f t="shared" si="2"/>
        <v>#NUM!</v>
      </c>
      <c r="AI11" s="17" t="e">
        <f t="shared" si="2"/>
        <v>#NUM!</v>
      </c>
      <c r="AJ11" s="17" t="e">
        <f t="shared" si="2"/>
        <v>#NUM!</v>
      </c>
      <c r="AK11" s="17" t="e">
        <f t="shared" si="2"/>
        <v>#NUM!</v>
      </c>
      <c r="AL11" s="17" t="e">
        <f t="shared" si="2"/>
        <v>#NUM!</v>
      </c>
      <c r="AM11" s="17" t="e">
        <f t="shared" si="2"/>
        <v>#NUM!</v>
      </c>
      <c r="AN11" s="17" t="e">
        <f t="shared" si="2"/>
        <v>#NUM!</v>
      </c>
      <c r="AO11" s="17" t="e">
        <f t="shared" si="2"/>
        <v>#NUM!</v>
      </c>
      <c r="AP11" s="17"/>
      <c r="AQ11" s="17"/>
      <c r="AR11" s="17"/>
      <c r="AS11" s="17"/>
      <c r="AT11" s="17"/>
      <c r="AU11" s="17"/>
      <c r="AV11" s="17"/>
      <c r="AW11" s="17"/>
      <c r="AX11" s="17"/>
      <c r="AY11" s="17"/>
      <c r="AZ11" s="17"/>
      <c r="BA11" s="17"/>
      <c r="BB11" s="17"/>
    </row>
    <row r="12" spans="1:54" x14ac:dyDescent="0.25">
      <c r="A12" s="15" t="s">
        <v>69</v>
      </c>
      <c r="B12" s="16">
        <f>'Fuel Vol and Credit Gen'!D$5</f>
        <v>0</v>
      </c>
      <c r="C12" s="16">
        <f>'Fuel Vol and Credit Gen'!H$5</f>
        <v>0</v>
      </c>
      <c r="D12" s="16">
        <f>'Fuel Vol and Credit Gen'!L$5</f>
        <v>7532</v>
      </c>
      <c r="E12" s="16">
        <f>'Fuel Vol and Credit Gen'!P$5</f>
        <v>2881044</v>
      </c>
      <c r="F12" s="16">
        <f>'Fuel Vol and Credit Gen'!T$5</f>
        <v>9981749</v>
      </c>
      <c r="G12" s="16">
        <f>'Fuel Vol and Credit Gen'!X$5</f>
        <v>14575659</v>
      </c>
      <c r="H12" s="16">
        <f>'Fuel Vol and Credit Gen'!AB$5</f>
        <v>21283092</v>
      </c>
      <c r="I12" s="16">
        <f>'Fuel Vol and Credit Gen'!AF$5</f>
        <v>24647401</v>
      </c>
      <c r="J12" s="16">
        <f>'Fuel Vol and Credit Gen'!AJ$5</f>
        <v>31338196</v>
      </c>
      <c r="K12" s="16">
        <f>'Fuel Vol and Credit Gen'!AN$5</f>
        <v>28814425</v>
      </c>
      <c r="L12" s="16">
        <f>'Fuel Vol and Credit Gen'!AR$5</f>
        <v>39658233</v>
      </c>
      <c r="M12" s="16">
        <f>'Fuel Vol and Credit Gen'!AV$5</f>
        <v>43453489</v>
      </c>
      <c r="N12" s="16">
        <f>'Fuel Vol and Credit Gen'!AZ$5</f>
        <v>47131654</v>
      </c>
      <c r="O12" s="16">
        <f>'Fuel Vol and Credit Gen'!BD$5</f>
        <v>50933328</v>
      </c>
      <c r="P12" s="17">
        <f t="shared" si="2"/>
        <v>36123963.913361311</v>
      </c>
      <c r="Q12" s="17">
        <f t="shared" si="2"/>
        <v>39436475.92271544</v>
      </c>
      <c r="R12" s="17">
        <f t="shared" si="2"/>
        <v>40041474.124634326</v>
      </c>
      <c r="S12" s="17">
        <f t="shared" si="2"/>
        <v>41685783.412106633</v>
      </c>
      <c r="T12" s="17" t="e">
        <f t="shared" si="2"/>
        <v>#NUM!</v>
      </c>
      <c r="U12" s="17" t="e">
        <f t="shared" si="2"/>
        <v>#NUM!</v>
      </c>
      <c r="V12" s="17" t="e">
        <f t="shared" si="2"/>
        <v>#NUM!</v>
      </c>
      <c r="W12" s="17" t="e">
        <f t="shared" si="2"/>
        <v>#NUM!</v>
      </c>
      <c r="X12" s="17" t="e">
        <f t="shared" si="2"/>
        <v>#NUM!</v>
      </c>
      <c r="Y12" s="17" t="e">
        <f t="shared" si="2"/>
        <v>#NUM!</v>
      </c>
      <c r="Z12" s="17" t="e">
        <f t="shared" si="2"/>
        <v>#NUM!</v>
      </c>
      <c r="AA12" s="17" t="e">
        <f t="shared" si="2"/>
        <v>#NUM!</v>
      </c>
      <c r="AB12" s="17" t="e">
        <f t="shared" si="2"/>
        <v>#NUM!</v>
      </c>
      <c r="AC12" s="17" t="e">
        <f t="shared" si="2"/>
        <v>#NUM!</v>
      </c>
      <c r="AD12" s="17" t="e">
        <f t="shared" si="2"/>
        <v>#NUM!</v>
      </c>
      <c r="AE12" s="17" t="e">
        <f t="shared" si="2"/>
        <v>#NUM!</v>
      </c>
      <c r="AF12" s="17" t="e">
        <f t="shared" si="2"/>
        <v>#NUM!</v>
      </c>
      <c r="AG12" s="17" t="e">
        <f t="shared" si="2"/>
        <v>#NUM!</v>
      </c>
      <c r="AH12" s="17" t="e">
        <f t="shared" si="2"/>
        <v>#NUM!</v>
      </c>
      <c r="AI12" s="17" t="e">
        <f t="shared" si="2"/>
        <v>#NUM!</v>
      </c>
      <c r="AJ12" s="17" t="e">
        <f t="shared" si="2"/>
        <v>#NUM!</v>
      </c>
      <c r="AK12" s="17" t="e">
        <f t="shared" si="2"/>
        <v>#NUM!</v>
      </c>
      <c r="AL12" s="17" t="e">
        <f t="shared" si="2"/>
        <v>#NUM!</v>
      </c>
      <c r="AM12" s="17" t="e">
        <f t="shared" si="2"/>
        <v>#NUM!</v>
      </c>
      <c r="AN12" s="17" t="e">
        <f t="shared" si="2"/>
        <v>#NUM!</v>
      </c>
      <c r="AO12" s="17" t="e">
        <f t="shared" si="2"/>
        <v>#NUM!</v>
      </c>
      <c r="AP12" s="17"/>
      <c r="AQ12" s="17"/>
      <c r="AR12" s="17"/>
      <c r="AS12" s="17"/>
      <c r="AT12" s="17"/>
      <c r="AU12" s="17"/>
      <c r="AV12" s="17"/>
      <c r="AW12" s="17"/>
      <c r="AX12" s="17"/>
      <c r="AY12" s="17"/>
      <c r="AZ12" s="17"/>
      <c r="BA12" s="17"/>
      <c r="BB12" s="17"/>
    </row>
    <row r="13" spans="1:54" x14ac:dyDescent="0.25">
      <c r="A13" s="15" t="s">
        <v>70</v>
      </c>
      <c r="B13" s="16">
        <f>'Fuel Vol and Credit Gen'!E$5</f>
        <v>0</v>
      </c>
      <c r="C13" s="16">
        <f>'Fuel Vol and Credit Gen'!I$5</f>
        <v>0</v>
      </c>
      <c r="D13" s="16">
        <f>'Fuel Vol and Credit Gen'!M$5</f>
        <v>2583509</v>
      </c>
      <c r="E13" s="16">
        <f>'Fuel Vol and Credit Gen'!Q$5</f>
        <v>4617725</v>
      </c>
      <c r="F13" s="16">
        <f>'Fuel Vol and Credit Gen'!U$5</f>
        <v>11049178</v>
      </c>
      <c r="G13" s="16">
        <f>'Fuel Vol and Credit Gen'!Y$5</f>
        <v>15378044</v>
      </c>
      <c r="H13" s="16">
        <f>'Fuel Vol and Credit Gen'!AC$5</f>
        <v>24185491</v>
      </c>
      <c r="I13" s="16">
        <f>'Fuel Vol and Credit Gen'!AG$5</f>
        <v>27435046</v>
      </c>
      <c r="J13" s="16">
        <f>'Fuel Vol and Credit Gen'!AK$5</f>
        <v>32016663</v>
      </c>
      <c r="K13" s="16">
        <f>'Fuel Vol and Credit Gen'!AO$5</f>
        <v>35738973</v>
      </c>
      <c r="L13" s="16">
        <f>'Fuel Vol and Credit Gen'!AS$5</f>
        <v>42853248</v>
      </c>
      <c r="M13" s="16">
        <f>'Fuel Vol and Credit Gen'!AW$5</f>
        <v>45784675</v>
      </c>
      <c r="N13" s="16">
        <f>'Fuel Vol and Credit Gen'!BA$5</f>
        <v>48708311</v>
      </c>
      <c r="O13" s="17">
        <f t="shared" ref="O13:O14" si="3">FORECAST(O6,H13:N13,H6:N6)</f>
        <v>63075176.017562017</v>
      </c>
      <c r="P13" s="17">
        <f t="shared" si="2"/>
        <v>39533561.764425978</v>
      </c>
      <c r="Q13" s="17">
        <f t="shared" si="2"/>
        <v>47912763.886207893</v>
      </c>
      <c r="R13" s="17">
        <f t="shared" si="2"/>
        <v>49755755.912457973</v>
      </c>
      <c r="S13" s="17">
        <f t="shared" si="2"/>
        <v>51745466.650870457</v>
      </c>
      <c r="T13" s="17" t="e">
        <f t="shared" si="2"/>
        <v>#NUM!</v>
      </c>
      <c r="U13" s="17" t="e">
        <f t="shared" si="2"/>
        <v>#NUM!</v>
      </c>
      <c r="V13" s="17" t="e">
        <f t="shared" si="2"/>
        <v>#NUM!</v>
      </c>
      <c r="W13" s="17" t="e">
        <f t="shared" si="2"/>
        <v>#NUM!</v>
      </c>
      <c r="X13" s="17" t="e">
        <f t="shared" si="2"/>
        <v>#NUM!</v>
      </c>
      <c r="Y13" s="17" t="e">
        <f t="shared" si="2"/>
        <v>#NUM!</v>
      </c>
      <c r="Z13" s="17" t="e">
        <f t="shared" si="2"/>
        <v>#NUM!</v>
      </c>
      <c r="AA13" s="17" t="e">
        <f t="shared" si="2"/>
        <v>#NUM!</v>
      </c>
      <c r="AB13" s="17" t="e">
        <f t="shared" si="2"/>
        <v>#NUM!</v>
      </c>
      <c r="AC13" s="17" t="e">
        <f t="shared" si="2"/>
        <v>#NUM!</v>
      </c>
      <c r="AD13" s="17" t="e">
        <f t="shared" si="2"/>
        <v>#NUM!</v>
      </c>
      <c r="AE13" s="17" t="e">
        <f t="shared" si="2"/>
        <v>#NUM!</v>
      </c>
      <c r="AF13" s="17" t="e">
        <f t="shared" si="2"/>
        <v>#NUM!</v>
      </c>
      <c r="AG13" s="17" t="e">
        <f t="shared" si="2"/>
        <v>#NUM!</v>
      </c>
      <c r="AH13" s="17" t="e">
        <f t="shared" si="2"/>
        <v>#NUM!</v>
      </c>
      <c r="AI13" s="17" t="e">
        <f t="shared" si="2"/>
        <v>#NUM!</v>
      </c>
      <c r="AJ13" s="17" t="e">
        <f t="shared" si="2"/>
        <v>#NUM!</v>
      </c>
      <c r="AK13" s="17" t="e">
        <f t="shared" si="2"/>
        <v>#NUM!</v>
      </c>
      <c r="AL13" s="17" t="e">
        <f t="shared" si="2"/>
        <v>#NUM!</v>
      </c>
      <c r="AM13" s="17" t="e">
        <f t="shared" si="2"/>
        <v>#NUM!</v>
      </c>
      <c r="AN13" s="17" t="e">
        <f t="shared" si="2"/>
        <v>#NUM!</v>
      </c>
      <c r="AO13" s="17" t="e">
        <f t="shared" si="2"/>
        <v>#NUM!</v>
      </c>
      <c r="AP13" s="17"/>
      <c r="AQ13" s="17"/>
      <c r="AR13" s="17"/>
      <c r="AS13" s="17"/>
      <c r="AT13" s="17"/>
      <c r="AU13" s="17"/>
      <c r="AV13" s="17"/>
      <c r="AW13" s="17"/>
      <c r="AX13" s="17"/>
      <c r="AY13" s="17"/>
      <c r="AZ13" s="17"/>
      <c r="BA13" s="17"/>
      <c r="BB13" s="17"/>
    </row>
    <row r="14" spans="1:54" x14ac:dyDescent="0.25">
      <c r="A14" s="15" t="s">
        <v>71</v>
      </c>
      <c r="B14" s="16">
        <f>'Fuel Vol and Credit Gen'!F$5</f>
        <v>0</v>
      </c>
      <c r="C14" s="16">
        <f>'Fuel Vol and Credit Gen'!J$5</f>
        <v>0</v>
      </c>
      <c r="D14" s="16">
        <f>'Fuel Vol and Credit Gen'!N$5</f>
        <v>2995901</v>
      </c>
      <c r="E14" s="16">
        <f>'Fuel Vol and Credit Gen'!R$5</f>
        <v>5258002</v>
      </c>
      <c r="F14" s="16">
        <f>'Fuel Vol and Credit Gen'!V$5</f>
        <v>11447850</v>
      </c>
      <c r="G14" s="16">
        <f>'Fuel Vol and Credit Gen'!Z$5</f>
        <v>15905540</v>
      </c>
      <c r="H14" s="16">
        <f>'Fuel Vol and Credit Gen'!AD$5</f>
        <v>24066273</v>
      </c>
      <c r="I14" s="16">
        <f>'Fuel Vol and Credit Gen'!AH$5</f>
        <v>29113530</v>
      </c>
      <c r="J14" s="16">
        <f>'Fuel Vol and Credit Gen'!AL$5</f>
        <v>30980609</v>
      </c>
      <c r="K14" s="16">
        <f>'Fuel Vol and Credit Gen'!AP$5</f>
        <v>36289300</v>
      </c>
      <c r="L14" s="16">
        <f>'Fuel Vol and Credit Gen'!AT$5</f>
        <v>41459320</v>
      </c>
      <c r="M14" s="16">
        <f>'Fuel Vol and Credit Gen'!AX$5</f>
        <v>44727479</v>
      </c>
      <c r="N14" s="16">
        <f>'Fuel Vol and Credit Gen'!BB$5</f>
        <v>48171958</v>
      </c>
      <c r="O14" s="17">
        <f t="shared" si="3"/>
        <v>48364677.590911314</v>
      </c>
      <c r="P14" s="17">
        <f t="shared" si="2"/>
        <v>41431114.515402988</v>
      </c>
      <c r="Q14" s="17">
        <f t="shared" si="2"/>
        <v>45943284.117337137</v>
      </c>
      <c r="R14" s="17">
        <f t="shared" si="2"/>
        <v>46836939.712857284</v>
      </c>
      <c r="S14" s="17">
        <f t="shared" si="2"/>
        <v>47834469.429020613</v>
      </c>
      <c r="T14" s="17" t="e">
        <f t="shared" si="2"/>
        <v>#NUM!</v>
      </c>
      <c r="U14" s="17" t="e">
        <f t="shared" si="2"/>
        <v>#NUM!</v>
      </c>
      <c r="V14" s="17" t="e">
        <f t="shared" si="2"/>
        <v>#NUM!</v>
      </c>
      <c r="W14" s="17" t="e">
        <f t="shared" si="2"/>
        <v>#NUM!</v>
      </c>
      <c r="X14" s="17" t="e">
        <f t="shared" si="2"/>
        <v>#NUM!</v>
      </c>
      <c r="Y14" s="17" t="e">
        <f t="shared" si="2"/>
        <v>#NUM!</v>
      </c>
      <c r="Z14" s="17" t="e">
        <f t="shared" si="2"/>
        <v>#NUM!</v>
      </c>
      <c r="AA14" s="17" t="e">
        <f t="shared" si="2"/>
        <v>#NUM!</v>
      </c>
      <c r="AB14" s="17" t="e">
        <f t="shared" si="2"/>
        <v>#NUM!</v>
      </c>
      <c r="AC14" s="17" t="e">
        <f t="shared" si="2"/>
        <v>#NUM!</v>
      </c>
      <c r="AD14" s="17" t="e">
        <f t="shared" si="2"/>
        <v>#NUM!</v>
      </c>
      <c r="AE14" s="17" t="e">
        <f t="shared" si="2"/>
        <v>#NUM!</v>
      </c>
      <c r="AF14" s="17" t="e">
        <f t="shared" si="2"/>
        <v>#NUM!</v>
      </c>
      <c r="AG14" s="17" t="e">
        <f t="shared" si="2"/>
        <v>#NUM!</v>
      </c>
      <c r="AH14" s="17" t="e">
        <f t="shared" si="2"/>
        <v>#NUM!</v>
      </c>
      <c r="AI14" s="17" t="e">
        <f t="shared" si="2"/>
        <v>#NUM!</v>
      </c>
      <c r="AJ14" s="17" t="e">
        <f t="shared" si="2"/>
        <v>#NUM!</v>
      </c>
      <c r="AK14" s="17" t="e">
        <f t="shared" si="2"/>
        <v>#NUM!</v>
      </c>
      <c r="AL14" s="17" t="e">
        <f t="shared" si="2"/>
        <v>#NUM!</v>
      </c>
      <c r="AM14" s="17" t="e">
        <f t="shared" si="2"/>
        <v>#NUM!</v>
      </c>
      <c r="AN14" s="17" t="e">
        <f t="shared" si="2"/>
        <v>#NUM!</v>
      </c>
      <c r="AO14" s="17" t="e">
        <f t="shared" si="2"/>
        <v>#NUM!</v>
      </c>
      <c r="AP14" s="17"/>
      <c r="AQ14" s="17"/>
      <c r="AR14" s="17"/>
      <c r="AS14" s="17"/>
      <c r="AT14" s="17"/>
      <c r="AU14" s="17"/>
      <c r="AV14" s="17"/>
      <c r="AW14" s="17"/>
      <c r="AX14" s="17"/>
      <c r="AY14" s="17"/>
      <c r="AZ14" s="17"/>
      <c r="BA14" s="17"/>
      <c r="BB14" s="17"/>
    </row>
    <row r="15" spans="1:54" x14ac:dyDescent="0.25">
      <c r="A15" s="15" t="s">
        <v>72</v>
      </c>
      <c r="B15" s="16">
        <f>SUM(B11:B14)</f>
        <v>0</v>
      </c>
      <c r="C15" s="16">
        <f t="shared" ref="C15:AO15" si="4">SUM(C11:C14)</f>
        <v>0</v>
      </c>
      <c r="D15" s="16">
        <f t="shared" si="4"/>
        <v>5586942</v>
      </c>
      <c r="E15" s="16">
        <f t="shared" si="4"/>
        <v>15482771</v>
      </c>
      <c r="F15" s="16">
        <f t="shared" si="4"/>
        <v>39199345</v>
      </c>
      <c r="G15" s="16">
        <f t="shared" si="4"/>
        <v>60309599</v>
      </c>
      <c r="H15" s="16">
        <f t="shared" si="4"/>
        <v>86452184</v>
      </c>
      <c r="I15" s="16">
        <f t="shared" si="4"/>
        <v>105192845</v>
      </c>
      <c r="J15" s="16">
        <f t="shared" si="4"/>
        <v>122886123</v>
      </c>
      <c r="K15" s="16">
        <f t="shared" si="4"/>
        <v>133605725</v>
      </c>
      <c r="L15" s="16">
        <f t="shared" si="4"/>
        <v>158284796</v>
      </c>
      <c r="M15" s="16">
        <f t="shared" si="4"/>
        <v>175711534</v>
      </c>
      <c r="N15" s="16">
        <f t="shared" si="4"/>
        <v>188995221</v>
      </c>
      <c r="O15" s="17">
        <f t="shared" si="4"/>
        <v>210631344.60847336</v>
      </c>
      <c r="P15" s="17">
        <f t="shared" si="4"/>
        <v>145204764.01184368</v>
      </c>
      <c r="Q15" s="17">
        <f t="shared" si="4"/>
        <v>166849702.52683467</v>
      </c>
      <c r="R15" s="17">
        <f t="shared" si="4"/>
        <v>170339596.79178986</v>
      </c>
      <c r="S15" s="17">
        <f t="shared" si="4"/>
        <v>174889738.68669838</v>
      </c>
      <c r="T15" s="17" t="e">
        <f t="shared" si="4"/>
        <v>#NUM!</v>
      </c>
      <c r="U15" s="17" t="e">
        <f t="shared" si="4"/>
        <v>#NUM!</v>
      </c>
      <c r="V15" s="17" t="e">
        <f t="shared" si="4"/>
        <v>#NUM!</v>
      </c>
      <c r="W15" s="17" t="e">
        <f t="shared" si="4"/>
        <v>#NUM!</v>
      </c>
      <c r="X15" s="17" t="e">
        <f t="shared" si="4"/>
        <v>#NUM!</v>
      </c>
      <c r="Y15" s="17" t="e">
        <f t="shared" si="4"/>
        <v>#NUM!</v>
      </c>
      <c r="Z15" s="17" t="e">
        <f t="shared" si="4"/>
        <v>#NUM!</v>
      </c>
      <c r="AA15" s="17" t="e">
        <f t="shared" si="4"/>
        <v>#NUM!</v>
      </c>
      <c r="AB15" s="17" t="e">
        <f t="shared" si="4"/>
        <v>#NUM!</v>
      </c>
      <c r="AC15" s="17" t="e">
        <f t="shared" si="4"/>
        <v>#NUM!</v>
      </c>
      <c r="AD15" s="17" t="e">
        <f t="shared" si="4"/>
        <v>#NUM!</v>
      </c>
      <c r="AE15" s="17" t="e">
        <f t="shared" si="4"/>
        <v>#NUM!</v>
      </c>
      <c r="AF15" s="17" t="e">
        <f t="shared" si="4"/>
        <v>#NUM!</v>
      </c>
      <c r="AG15" s="17" t="e">
        <f t="shared" si="4"/>
        <v>#NUM!</v>
      </c>
      <c r="AH15" s="17" t="e">
        <f t="shared" si="4"/>
        <v>#NUM!</v>
      </c>
      <c r="AI15" s="17" t="e">
        <f t="shared" si="4"/>
        <v>#NUM!</v>
      </c>
      <c r="AJ15" s="17" t="e">
        <f t="shared" si="4"/>
        <v>#NUM!</v>
      </c>
      <c r="AK15" s="17" t="e">
        <f t="shared" si="4"/>
        <v>#NUM!</v>
      </c>
      <c r="AL15" s="17" t="e">
        <f t="shared" si="4"/>
        <v>#NUM!</v>
      </c>
      <c r="AM15" s="17" t="e">
        <f t="shared" si="4"/>
        <v>#NUM!</v>
      </c>
      <c r="AN15" s="17" t="e">
        <f t="shared" si="4"/>
        <v>#NUM!</v>
      </c>
      <c r="AO15" s="17" t="e">
        <f t="shared" si="4"/>
        <v>#NUM!</v>
      </c>
      <c r="AP15" s="17"/>
      <c r="AQ15" s="17"/>
      <c r="AR15" s="17"/>
      <c r="AS15" s="17"/>
      <c r="AT15" s="17"/>
      <c r="AU15" s="17"/>
      <c r="AV15" s="17"/>
      <c r="AW15" s="17"/>
      <c r="AX15" s="17"/>
      <c r="AY15" s="17"/>
      <c r="AZ15" s="17"/>
      <c r="BA15" s="17"/>
      <c r="BB15" s="17"/>
    </row>
    <row r="17" spans="1:54" ht="18" x14ac:dyDescent="0.25">
      <c r="A17" s="11" t="s">
        <v>74</v>
      </c>
      <c r="B17" s="12"/>
      <c r="C17" s="12"/>
      <c r="D17" s="12"/>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row>
    <row r="18" spans="1:54" x14ac:dyDescent="0.25">
      <c r="A18" s="14" t="s">
        <v>67</v>
      </c>
      <c r="B18" s="14">
        <f>B3</f>
        <v>2011</v>
      </c>
      <c r="C18" s="14">
        <f t="shared" ref="C18:AO18" si="5">C3</f>
        <v>2012</v>
      </c>
      <c r="D18" s="14">
        <f t="shared" si="5"/>
        <v>2013</v>
      </c>
      <c r="E18" s="14">
        <f t="shared" si="5"/>
        <v>2014</v>
      </c>
      <c r="F18" s="14">
        <f t="shared" si="5"/>
        <v>2015</v>
      </c>
      <c r="G18" s="14">
        <f t="shared" si="5"/>
        <v>2016</v>
      </c>
      <c r="H18" s="14">
        <f t="shared" si="5"/>
        <v>2017</v>
      </c>
      <c r="I18" s="14">
        <f t="shared" si="5"/>
        <v>2018</v>
      </c>
      <c r="J18" s="14">
        <f t="shared" si="5"/>
        <v>2019</v>
      </c>
      <c r="K18" s="14">
        <f t="shared" si="5"/>
        <v>2020</v>
      </c>
      <c r="L18" s="14">
        <f t="shared" si="5"/>
        <v>2021</v>
      </c>
      <c r="M18" s="14">
        <f t="shared" si="5"/>
        <v>2022</v>
      </c>
      <c r="N18" s="14">
        <f t="shared" si="5"/>
        <v>2023</v>
      </c>
      <c r="O18" s="14">
        <f t="shared" si="5"/>
        <v>2024</v>
      </c>
      <c r="P18" s="14">
        <f t="shared" si="5"/>
        <v>2025</v>
      </c>
      <c r="Q18" s="14">
        <f t="shared" si="5"/>
        <v>2026</v>
      </c>
      <c r="R18" s="14">
        <f t="shared" si="5"/>
        <v>2027</v>
      </c>
      <c r="S18" s="14">
        <f t="shared" si="5"/>
        <v>2028</v>
      </c>
      <c r="T18" s="14">
        <f t="shared" si="5"/>
        <v>2029</v>
      </c>
      <c r="U18" s="14">
        <f t="shared" si="5"/>
        <v>2030</v>
      </c>
      <c r="V18" s="14">
        <f t="shared" si="5"/>
        <v>2031</v>
      </c>
      <c r="W18" s="14">
        <f t="shared" si="5"/>
        <v>2032</v>
      </c>
      <c r="X18" s="14">
        <f t="shared" si="5"/>
        <v>2033</v>
      </c>
      <c r="Y18" s="14">
        <f t="shared" si="5"/>
        <v>2034</v>
      </c>
      <c r="Z18" s="14">
        <f t="shared" si="5"/>
        <v>2035</v>
      </c>
      <c r="AA18" s="14">
        <f t="shared" si="5"/>
        <v>2036</v>
      </c>
      <c r="AB18" s="14">
        <f t="shared" si="5"/>
        <v>2037</v>
      </c>
      <c r="AC18" s="14">
        <f t="shared" si="5"/>
        <v>2038</v>
      </c>
      <c r="AD18" s="14">
        <f t="shared" si="5"/>
        <v>2039</v>
      </c>
      <c r="AE18" s="14">
        <f t="shared" si="5"/>
        <v>2040</v>
      </c>
      <c r="AF18" s="14">
        <f t="shared" si="5"/>
        <v>2041</v>
      </c>
      <c r="AG18" s="14">
        <f t="shared" si="5"/>
        <v>2042</v>
      </c>
      <c r="AH18" s="14">
        <f t="shared" si="5"/>
        <v>2043</v>
      </c>
      <c r="AI18" s="14">
        <f t="shared" si="5"/>
        <v>2044</v>
      </c>
      <c r="AJ18" s="14">
        <f t="shared" si="5"/>
        <v>2045</v>
      </c>
      <c r="AK18" s="14">
        <f t="shared" si="5"/>
        <v>2046</v>
      </c>
      <c r="AL18" s="14">
        <f t="shared" si="5"/>
        <v>2047</v>
      </c>
      <c r="AM18" s="14">
        <f t="shared" si="5"/>
        <v>2048</v>
      </c>
      <c r="AN18" s="14">
        <f t="shared" si="5"/>
        <v>2049</v>
      </c>
      <c r="AO18" s="14">
        <f t="shared" si="5"/>
        <v>2050</v>
      </c>
      <c r="AP18" s="14"/>
      <c r="AQ18" s="14"/>
      <c r="AR18" s="14"/>
      <c r="AS18" s="14"/>
      <c r="AT18" s="14"/>
      <c r="AU18" s="14"/>
      <c r="AV18" s="14"/>
      <c r="AW18" s="14"/>
      <c r="AX18" s="14"/>
      <c r="AY18" s="14"/>
      <c r="AZ18" s="14"/>
      <c r="BA18" s="14"/>
      <c r="BB18" s="14"/>
    </row>
    <row r="19" spans="1:54" x14ac:dyDescent="0.25">
      <c r="A19" s="15" t="s">
        <v>68</v>
      </c>
      <c r="B19" s="16">
        <f>SUM('[2]D3 Gallon Forecast'!C$153:C$155)</f>
        <v>0</v>
      </c>
      <c r="C19" s="16">
        <f>SUM('[2]D3 Gallon Forecast'!D$153:D$155)</f>
        <v>0</v>
      </c>
      <c r="D19" s="16">
        <f>SUM('[2]D3 Gallon Forecast'!E$153:E$155)</f>
        <v>0</v>
      </c>
      <c r="E19" s="16">
        <f>SUM('[2]D3 Gallon Forecast'!F$153:F$155)</f>
        <v>0</v>
      </c>
      <c r="F19" s="16">
        <f>SUM('[2]D3 Gallon Forecast'!G$153:G$155)</f>
        <v>10299108</v>
      </c>
      <c r="G19" s="16">
        <f>SUM('[2]D3 Gallon Forecast'!H$153:H$155)</f>
        <v>9614472</v>
      </c>
      <c r="H19" s="16">
        <f>SUM('[2]D3 Gallon Forecast'!I$153:I$155)</f>
        <v>8273562</v>
      </c>
      <c r="I19" s="16">
        <f>SUM('[2]D3 Gallon Forecast'!J$153:J$155)</f>
        <v>8168260</v>
      </c>
      <c r="J19" s="16">
        <f>SUM('[2]D3 Gallon Forecast'!K$153:K$155)</f>
        <v>8554808</v>
      </c>
      <c r="K19" s="16">
        <f>SUM('[2]D3 Gallon Forecast'!L$153:L$155)</f>
        <v>11014966</v>
      </c>
      <c r="L19" s="16">
        <f>SUM('[2]D3 Gallon Forecast'!M$153:M$155)</f>
        <v>13023012</v>
      </c>
      <c r="M19" s="16">
        <f>SUM('[2]D3 Gallon Forecast'!N$153:N$155)</f>
        <v>13428264</v>
      </c>
      <c r="N19" s="16">
        <f>SUM('[2]D3 Gallon Forecast'!O$153:O$155)</f>
        <v>8117884</v>
      </c>
      <c r="O19" s="16">
        <f>SUM('[2]D3 Gallon Forecast'!P$153:P$155)</f>
        <v>6502016</v>
      </c>
      <c r="P19" s="17">
        <f>SUM('[2]D3 Gallon Forecast'!Q$153:Q$155)</f>
        <v>2231742.1359443478</v>
      </c>
      <c r="Q19" s="17">
        <f>SUM('[2]D3 Gallon Forecast'!R$153:R$155)</f>
        <v>1292953.4157487107</v>
      </c>
      <c r="R19" s="17">
        <f>SUM('[2]D3 Gallon Forecast'!S$153:S$155)</f>
        <v>1357535.0095091113</v>
      </c>
      <c r="S19" s="17">
        <f>SUM('[2]D3 Gallon Forecast'!T$153:T$155)</f>
        <v>3111676.2240502983</v>
      </c>
      <c r="T19" s="17" t="e">
        <f>SUM('[2]D3 Gallon Forecast'!U$153:U$155)</f>
        <v>#NUM!</v>
      </c>
      <c r="U19" s="17" t="e">
        <f>SUM('[2]D3 Gallon Forecast'!V$153:V$155)</f>
        <v>#NUM!</v>
      </c>
      <c r="V19" s="17" t="e">
        <f>SUM('[2]D3 Gallon Forecast'!W$153:W$155)</f>
        <v>#NUM!</v>
      </c>
      <c r="W19" s="17" t="e">
        <f>SUM('[2]D3 Gallon Forecast'!X$153:X$155)</f>
        <v>#NUM!</v>
      </c>
      <c r="X19" s="17" t="e">
        <f>SUM('[2]D3 Gallon Forecast'!Y$153:Y$155)</f>
        <v>#NUM!</v>
      </c>
      <c r="Y19" s="17" t="e">
        <f>SUM('[2]D3 Gallon Forecast'!Z$153:Z$155)</f>
        <v>#NUM!</v>
      </c>
      <c r="Z19" s="17" t="e">
        <f>SUM('[2]D3 Gallon Forecast'!AA$153:AA$155)</f>
        <v>#NUM!</v>
      </c>
      <c r="AA19" s="17" t="e">
        <f>SUM('[2]D3 Gallon Forecast'!AB$153:AB$155)</f>
        <v>#NUM!</v>
      </c>
      <c r="AB19" s="17" t="e">
        <f>SUM('[2]D3 Gallon Forecast'!AC$153:AC$155)</f>
        <v>#NUM!</v>
      </c>
      <c r="AC19" s="17" t="e">
        <f>SUM('[2]D3 Gallon Forecast'!AD$153:AD$155)</f>
        <v>#NUM!</v>
      </c>
      <c r="AD19" s="17" t="e">
        <f>SUM('[2]D3 Gallon Forecast'!AE$153:AE$155)</f>
        <v>#NUM!</v>
      </c>
      <c r="AE19" s="17" t="e">
        <f>SUM('[2]D3 Gallon Forecast'!AF$153:AF$155)</f>
        <v>#NUM!</v>
      </c>
      <c r="AF19" s="17" t="e">
        <f>SUM('[2]D3 Gallon Forecast'!AG$153:AG$155)</f>
        <v>#NUM!</v>
      </c>
      <c r="AG19" s="17" t="e">
        <f>SUM('[2]D3 Gallon Forecast'!AH$153:AH$155)</f>
        <v>#NUM!</v>
      </c>
      <c r="AH19" s="17" t="e">
        <f>SUM('[2]D3 Gallon Forecast'!AI$153:AI$155)</f>
        <v>#NUM!</v>
      </c>
      <c r="AI19" s="17" t="e">
        <f>SUM('[2]D3 Gallon Forecast'!AJ$153:AJ$155)</f>
        <v>#NUM!</v>
      </c>
      <c r="AJ19" s="17" t="e">
        <f>SUM('[2]D3 Gallon Forecast'!AK$153:AK$155)</f>
        <v>#NUM!</v>
      </c>
      <c r="AK19" s="17" t="e">
        <f>SUM('[2]D3 Gallon Forecast'!AL$153:AL$155)</f>
        <v>#NUM!</v>
      </c>
      <c r="AL19" s="17" t="e">
        <f>SUM('[2]D3 Gallon Forecast'!AM$153:AM$155)</f>
        <v>#NUM!</v>
      </c>
      <c r="AM19" s="17" t="e">
        <f>SUM('[2]D3 Gallon Forecast'!AN$153:AN$155)</f>
        <v>#NUM!</v>
      </c>
      <c r="AN19" s="17" t="e">
        <f>SUM('[2]D3 Gallon Forecast'!AO$153:AO$155)</f>
        <v>#NUM!</v>
      </c>
      <c r="AO19" s="17" t="e">
        <f>SUM('[2]D3 Gallon Forecast'!AP$153:AP$155)</f>
        <v>#NUM!</v>
      </c>
      <c r="AP19" s="17"/>
      <c r="AQ19" s="17"/>
      <c r="AR19" s="17"/>
      <c r="AS19" s="17"/>
      <c r="AT19" s="17"/>
      <c r="AU19" s="17"/>
      <c r="AV19" s="17"/>
      <c r="AW19" s="17"/>
      <c r="AX19" s="17"/>
      <c r="AY19" s="17"/>
      <c r="AZ19" s="17"/>
      <c r="BA19" s="17"/>
      <c r="BB19" s="17"/>
    </row>
    <row r="20" spans="1:54" x14ac:dyDescent="0.25">
      <c r="A20" s="15" t="s">
        <v>69</v>
      </c>
      <c r="B20" s="16">
        <f>SUM('[2]D3 Gallon Forecast'!C$156:C$158)</f>
        <v>0</v>
      </c>
      <c r="C20" s="16">
        <f>SUM('[2]D3 Gallon Forecast'!D$156:D$158)</f>
        <v>0</v>
      </c>
      <c r="D20" s="16">
        <f>SUM('[2]D3 Gallon Forecast'!E$156:E$158)</f>
        <v>0</v>
      </c>
      <c r="E20" s="16">
        <f>SUM('[2]D3 Gallon Forecast'!F$156:F$158)</f>
        <v>0</v>
      </c>
      <c r="F20" s="16">
        <f>SUM('[2]D3 Gallon Forecast'!G$156:G$158)</f>
        <v>9508588</v>
      </c>
      <c r="G20" s="16">
        <f>SUM('[2]D3 Gallon Forecast'!H$156:H$158)</f>
        <v>14794458</v>
      </c>
      <c r="H20" s="16">
        <f>SUM('[2]D3 Gallon Forecast'!I$156:I$158)</f>
        <v>15683104</v>
      </c>
      <c r="I20" s="16">
        <f>SUM('[2]D3 Gallon Forecast'!J$156:J$158)</f>
        <v>10173098</v>
      </c>
      <c r="J20" s="16">
        <f>SUM('[2]D3 Gallon Forecast'!K$156:K$158)</f>
        <v>10626664</v>
      </c>
      <c r="K20" s="16">
        <f>SUM('[2]D3 Gallon Forecast'!L$156:L$158)</f>
        <v>19922873</v>
      </c>
      <c r="L20" s="16">
        <f>SUM('[2]D3 Gallon Forecast'!M$156:M$158)</f>
        <v>18744100</v>
      </c>
      <c r="M20" s="16">
        <f>SUM('[2]D3 Gallon Forecast'!N$156:N$158)</f>
        <v>21803770</v>
      </c>
      <c r="N20" s="16">
        <f>SUM('[2]D3 Gallon Forecast'!O$156:O$158)</f>
        <v>13865642</v>
      </c>
      <c r="O20" s="16">
        <f>SUM('[2]D3 Gallon Forecast'!P$156:P$158)</f>
        <v>9585712</v>
      </c>
      <c r="P20" s="17">
        <f>SUM('[2]D3 Gallon Forecast'!Q$156:Q$158)</f>
        <v>9352873.9051337428</v>
      </c>
      <c r="Q20" s="17">
        <f>SUM('[2]D3 Gallon Forecast'!R$156:R$158)</f>
        <v>2670883.3386790063</v>
      </c>
      <c r="R20" s="17">
        <f>SUM('[2]D3 Gallon Forecast'!S$156:S$158)</f>
        <v>3004360.1817394868</v>
      </c>
      <c r="S20" s="17">
        <f>SUM('[2]D3 Gallon Forecast'!T$156:T$158)</f>
        <v>7540193.1375914067</v>
      </c>
      <c r="T20" s="17" t="e">
        <f>SUM('[2]D3 Gallon Forecast'!U$156:U$158)</f>
        <v>#NUM!</v>
      </c>
      <c r="U20" s="17" t="e">
        <f>SUM('[2]D3 Gallon Forecast'!V$156:V$158)</f>
        <v>#NUM!</v>
      </c>
      <c r="V20" s="17" t="e">
        <f>SUM('[2]D3 Gallon Forecast'!W$156:W$158)</f>
        <v>#NUM!</v>
      </c>
      <c r="W20" s="17" t="e">
        <f>SUM('[2]D3 Gallon Forecast'!X$156:X$158)</f>
        <v>#NUM!</v>
      </c>
      <c r="X20" s="17" t="e">
        <f>SUM('[2]D3 Gallon Forecast'!Y$156:Y$158)</f>
        <v>#NUM!</v>
      </c>
      <c r="Y20" s="17" t="e">
        <f>SUM('[2]D3 Gallon Forecast'!Z$156:Z$158)</f>
        <v>#NUM!</v>
      </c>
      <c r="Z20" s="17" t="e">
        <f>SUM('[2]D3 Gallon Forecast'!AA$156:AA$158)</f>
        <v>#NUM!</v>
      </c>
      <c r="AA20" s="17" t="e">
        <f>SUM('[2]D3 Gallon Forecast'!AB$156:AB$158)</f>
        <v>#NUM!</v>
      </c>
      <c r="AB20" s="17" t="e">
        <f>SUM('[2]D3 Gallon Forecast'!AC$156:AC$158)</f>
        <v>#NUM!</v>
      </c>
      <c r="AC20" s="17" t="e">
        <f>SUM('[2]D3 Gallon Forecast'!AD$156:AD$158)</f>
        <v>#NUM!</v>
      </c>
      <c r="AD20" s="17" t="e">
        <f>SUM('[2]D3 Gallon Forecast'!AE$156:AE$158)</f>
        <v>#NUM!</v>
      </c>
      <c r="AE20" s="17" t="e">
        <f>SUM('[2]D3 Gallon Forecast'!AF$156:AF$158)</f>
        <v>#NUM!</v>
      </c>
      <c r="AF20" s="17" t="e">
        <f>SUM('[2]D3 Gallon Forecast'!AG$156:AG$158)</f>
        <v>#NUM!</v>
      </c>
      <c r="AG20" s="17" t="e">
        <f>SUM('[2]D3 Gallon Forecast'!AH$156:AH$158)</f>
        <v>#NUM!</v>
      </c>
      <c r="AH20" s="17" t="e">
        <f>SUM('[2]D3 Gallon Forecast'!AI$156:AI$158)</f>
        <v>#NUM!</v>
      </c>
      <c r="AI20" s="17" t="e">
        <f>SUM('[2]D3 Gallon Forecast'!AJ$156:AJ$158)</f>
        <v>#NUM!</v>
      </c>
      <c r="AJ20" s="17" t="e">
        <f>SUM('[2]D3 Gallon Forecast'!AK$156:AK$158)</f>
        <v>#NUM!</v>
      </c>
      <c r="AK20" s="17" t="e">
        <f>SUM('[2]D3 Gallon Forecast'!AL$156:AL$158)</f>
        <v>#NUM!</v>
      </c>
      <c r="AL20" s="17" t="e">
        <f>SUM('[2]D3 Gallon Forecast'!AM$156:AM$158)</f>
        <v>#NUM!</v>
      </c>
      <c r="AM20" s="17" t="e">
        <f>SUM('[2]D3 Gallon Forecast'!AN$156:AN$158)</f>
        <v>#NUM!</v>
      </c>
      <c r="AN20" s="17" t="e">
        <f>SUM('[2]D3 Gallon Forecast'!AO$156:AO$158)</f>
        <v>#NUM!</v>
      </c>
      <c r="AO20" s="17" t="e">
        <f>SUM('[2]D3 Gallon Forecast'!AP$156:AP$158)</f>
        <v>#NUM!</v>
      </c>
      <c r="AP20" s="17"/>
      <c r="AQ20" s="17"/>
      <c r="AR20" s="17"/>
      <c r="AS20" s="17"/>
      <c r="AT20" s="17"/>
      <c r="AU20" s="17"/>
      <c r="AV20" s="17"/>
      <c r="AW20" s="17"/>
      <c r="AX20" s="17"/>
      <c r="AY20" s="17"/>
      <c r="AZ20" s="17"/>
      <c r="BA20" s="17"/>
      <c r="BB20" s="17"/>
    </row>
    <row r="21" spans="1:54" x14ac:dyDescent="0.25">
      <c r="A21" s="15" t="s">
        <v>70</v>
      </c>
      <c r="B21" s="16">
        <f>SUM('[2]D3 Gallon Forecast'!C$159:C$161)</f>
        <v>0</v>
      </c>
      <c r="C21" s="16">
        <f>SUM('[2]D3 Gallon Forecast'!D$159:D$161)</f>
        <v>0</v>
      </c>
      <c r="D21" s="16">
        <f>SUM('[2]D3 Gallon Forecast'!E$159:E$161)</f>
        <v>0</v>
      </c>
      <c r="E21" s="16">
        <f>SUM('[2]D3 Gallon Forecast'!F$159:F$161)</f>
        <v>5927176</v>
      </c>
      <c r="F21" s="16">
        <f>SUM('[2]D3 Gallon Forecast'!G$159:G$161)</f>
        <v>9647053</v>
      </c>
      <c r="G21" s="16">
        <f>SUM('[2]D3 Gallon Forecast'!H$159:H$161)</f>
        <v>12331458</v>
      </c>
      <c r="H21" s="16">
        <f>SUM('[2]D3 Gallon Forecast'!I$159:I$161)</f>
        <v>12469503</v>
      </c>
      <c r="I21" s="16">
        <f>SUM('[2]D3 Gallon Forecast'!J$159:J$161)</f>
        <v>14922765</v>
      </c>
      <c r="J21" s="16">
        <f>SUM('[2]D3 Gallon Forecast'!K$159:K$161)</f>
        <v>13726206</v>
      </c>
      <c r="K21" s="16">
        <f>SUM('[2]D3 Gallon Forecast'!L$159:L$161)</f>
        <v>21196483</v>
      </c>
      <c r="L21" s="16">
        <f>SUM('[2]D3 Gallon Forecast'!M$159:M$161)</f>
        <v>21157257</v>
      </c>
      <c r="M21" s="16">
        <f>SUM('[2]D3 Gallon Forecast'!N$159:N$161)</f>
        <v>21646127</v>
      </c>
      <c r="N21" s="16">
        <f>SUM('[2]D3 Gallon Forecast'!O$159:O$161)</f>
        <v>13645325</v>
      </c>
      <c r="O21" s="16">
        <f>SUM('[2]D3 Gallon Forecast'!P$159:P$161)</f>
        <v>9514842</v>
      </c>
      <c r="P21" s="17">
        <f>SUM('[2]D3 Gallon Forecast'!Q$159:Q$161)</f>
        <v>11609680.12788173</v>
      </c>
      <c r="Q21" s="17">
        <f>SUM('[2]D3 Gallon Forecast'!R$159:R$161)</f>
        <v>3369305.7634711238</v>
      </c>
      <c r="R21" s="17">
        <f>SUM('[2]D3 Gallon Forecast'!S$159:S$161)</f>
        <v>3738219.9998401911</v>
      </c>
      <c r="S21" s="17">
        <f>SUM('[2]D3 Gallon Forecast'!T$159:T$161)</f>
        <v>9721334.3478112053</v>
      </c>
      <c r="T21" s="17" t="e">
        <f>SUM('[2]D3 Gallon Forecast'!U$159:U$161)</f>
        <v>#NUM!</v>
      </c>
      <c r="U21" s="17" t="e">
        <f>SUM('[2]D3 Gallon Forecast'!V$159:V$161)</f>
        <v>#NUM!</v>
      </c>
      <c r="V21" s="17" t="e">
        <f>SUM('[2]D3 Gallon Forecast'!W$159:W$161)</f>
        <v>#NUM!</v>
      </c>
      <c r="W21" s="17" t="e">
        <f>SUM('[2]D3 Gallon Forecast'!X$159:X$161)</f>
        <v>#NUM!</v>
      </c>
      <c r="X21" s="17" t="e">
        <f>SUM('[2]D3 Gallon Forecast'!Y$159:Y$161)</f>
        <v>#NUM!</v>
      </c>
      <c r="Y21" s="17" t="e">
        <f>SUM('[2]D3 Gallon Forecast'!Z$159:Z$161)</f>
        <v>#NUM!</v>
      </c>
      <c r="Z21" s="17" t="e">
        <f>SUM('[2]D3 Gallon Forecast'!AA$159:AA$161)</f>
        <v>#NUM!</v>
      </c>
      <c r="AA21" s="17" t="e">
        <f>SUM('[2]D3 Gallon Forecast'!AB$159:AB$161)</f>
        <v>#NUM!</v>
      </c>
      <c r="AB21" s="17" t="e">
        <f>SUM('[2]D3 Gallon Forecast'!AC$159:AC$161)</f>
        <v>#NUM!</v>
      </c>
      <c r="AC21" s="17" t="e">
        <f>SUM('[2]D3 Gallon Forecast'!AD$159:AD$161)</f>
        <v>#NUM!</v>
      </c>
      <c r="AD21" s="17" t="e">
        <f>SUM('[2]D3 Gallon Forecast'!AE$159:AE$161)</f>
        <v>#NUM!</v>
      </c>
      <c r="AE21" s="17" t="e">
        <f>SUM('[2]D3 Gallon Forecast'!AF$159:AF$161)</f>
        <v>#NUM!</v>
      </c>
      <c r="AF21" s="17" t="e">
        <f>SUM('[2]D3 Gallon Forecast'!AG$159:AG$161)</f>
        <v>#NUM!</v>
      </c>
      <c r="AG21" s="17" t="e">
        <f>SUM('[2]D3 Gallon Forecast'!AH$159:AH$161)</f>
        <v>#NUM!</v>
      </c>
      <c r="AH21" s="17" t="e">
        <f>SUM('[2]D3 Gallon Forecast'!AI$159:AI$161)</f>
        <v>#NUM!</v>
      </c>
      <c r="AI21" s="17" t="e">
        <f>SUM('[2]D3 Gallon Forecast'!AJ$159:AJ$161)</f>
        <v>#NUM!</v>
      </c>
      <c r="AJ21" s="17" t="e">
        <f>SUM('[2]D3 Gallon Forecast'!AK$159:AK$161)</f>
        <v>#NUM!</v>
      </c>
      <c r="AK21" s="17" t="e">
        <f>SUM('[2]D3 Gallon Forecast'!AL$159:AL$161)</f>
        <v>#NUM!</v>
      </c>
      <c r="AL21" s="17" t="e">
        <f>SUM('[2]D3 Gallon Forecast'!AM$159:AM$161)</f>
        <v>#NUM!</v>
      </c>
      <c r="AM21" s="17" t="e">
        <f>SUM('[2]D3 Gallon Forecast'!AN$159:AN$161)</f>
        <v>#NUM!</v>
      </c>
      <c r="AN21" s="17" t="e">
        <f>SUM('[2]D3 Gallon Forecast'!AO$159:AO$161)</f>
        <v>#NUM!</v>
      </c>
      <c r="AO21" s="17" t="e">
        <f>SUM('[2]D3 Gallon Forecast'!AP$159:AP$161)</f>
        <v>#NUM!</v>
      </c>
      <c r="AP21" s="17"/>
      <c r="AQ21" s="17"/>
      <c r="AR21" s="17"/>
      <c r="AS21" s="17"/>
      <c r="AT21" s="17"/>
      <c r="AU21" s="17"/>
      <c r="AV21" s="17"/>
      <c r="AW21" s="17"/>
      <c r="AX21" s="17"/>
      <c r="AY21" s="17"/>
      <c r="AZ21" s="17"/>
      <c r="BA21" s="17"/>
      <c r="BB21" s="17"/>
    </row>
    <row r="22" spans="1:54" x14ac:dyDescent="0.25">
      <c r="A22" s="15" t="s">
        <v>71</v>
      </c>
      <c r="B22" s="16">
        <f>SUM('[2]D3 Gallon Forecast'!C$162:C$164)</f>
        <v>0</v>
      </c>
      <c r="C22" s="16">
        <f>SUM('[2]D3 Gallon Forecast'!D$162:D$164)</f>
        <v>0</v>
      </c>
      <c r="D22" s="16">
        <f>SUM('[2]D3 Gallon Forecast'!E$162:E$164)</f>
        <v>0</v>
      </c>
      <c r="E22" s="16">
        <f>SUM('[2]D3 Gallon Forecast'!F$162:F$164)</f>
        <v>11452639</v>
      </c>
      <c r="F22" s="16">
        <f>SUM('[2]D3 Gallon Forecast'!G$162:G$164)</f>
        <v>15118720</v>
      </c>
      <c r="G22" s="16">
        <f>SUM('[2]D3 Gallon Forecast'!H$162:H$164)</f>
        <v>14484260</v>
      </c>
      <c r="H22" s="16">
        <f>SUM('[2]D3 Gallon Forecast'!I$162:I$164)</f>
        <v>16297711</v>
      </c>
      <c r="I22" s="16">
        <f>SUM('[2]D3 Gallon Forecast'!J$162:J$164)</f>
        <v>21910168</v>
      </c>
      <c r="J22" s="16">
        <f>SUM('[2]D3 Gallon Forecast'!K$162:K$164)</f>
        <v>18900779</v>
      </c>
      <c r="K22" s="16">
        <f>SUM('[2]D3 Gallon Forecast'!L$162:L$164)</f>
        <v>28810039</v>
      </c>
      <c r="L22" s="16">
        <f>SUM('[2]D3 Gallon Forecast'!M$162:M$164)</f>
        <v>28063370</v>
      </c>
      <c r="M22" s="16">
        <f>SUM('[2]D3 Gallon Forecast'!N$162:N$164)</f>
        <v>27195124</v>
      </c>
      <c r="N22" s="16">
        <f>SUM('[2]D3 Gallon Forecast'!O$162:O$164)</f>
        <v>12686599</v>
      </c>
      <c r="O22" s="17">
        <f>SUM('[2]D3 Gallon Forecast'!P$162:P$164)</f>
        <v>13906107</v>
      </c>
      <c r="P22" s="17">
        <f>SUM('[2]D3 Gallon Forecast'!Q$162:Q$164)</f>
        <v>17554739.198595248</v>
      </c>
      <c r="Q22" s="17">
        <f>SUM('[2]D3 Gallon Forecast'!R$162:R$164)</f>
        <v>4356764.7858889</v>
      </c>
      <c r="R22" s="17">
        <f>SUM('[2]D3 Gallon Forecast'!S$162:S$164)</f>
        <v>4760907.8392930049</v>
      </c>
      <c r="S22" s="17">
        <f>SUM('[2]D3 Gallon Forecast'!T$162:T$164)</f>
        <v>12202560.057755316</v>
      </c>
      <c r="T22" s="17" t="e">
        <f>SUM('[2]D3 Gallon Forecast'!U$162:U$164)</f>
        <v>#NUM!</v>
      </c>
      <c r="U22" s="17" t="e">
        <f>SUM('[2]D3 Gallon Forecast'!V$162:V$164)</f>
        <v>#NUM!</v>
      </c>
      <c r="V22" s="17" t="e">
        <f>SUM('[2]D3 Gallon Forecast'!W$162:W$164)</f>
        <v>#NUM!</v>
      </c>
      <c r="W22" s="17" t="e">
        <f>SUM('[2]D3 Gallon Forecast'!X$162:X$164)</f>
        <v>#NUM!</v>
      </c>
      <c r="X22" s="17" t="e">
        <f>SUM('[2]D3 Gallon Forecast'!Y$162:Y$164)</f>
        <v>#NUM!</v>
      </c>
      <c r="Y22" s="17" t="e">
        <f>SUM('[2]D3 Gallon Forecast'!Z$162:Z$164)</f>
        <v>#NUM!</v>
      </c>
      <c r="Z22" s="17" t="e">
        <f>SUM('[2]D3 Gallon Forecast'!AA$162:AA$164)</f>
        <v>#NUM!</v>
      </c>
      <c r="AA22" s="17" t="e">
        <f>SUM('[2]D3 Gallon Forecast'!AB$162:AB$164)</f>
        <v>#NUM!</v>
      </c>
      <c r="AB22" s="17" t="e">
        <f>SUM('[2]D3 Gallon Forecast'!AC$162:AC$164)</f>
        <v>#NUM!</v>
      </c>
      <c r="AC22" s="17" t="e">
        <f>SUM('[2]D3 Gallon Forecast'!AD$162:AD$164)</f>
        <v>#NUM!</v>
      </c>
      <c r="AD22" s="17" t="e">
        <f>SUM('[2]D3 Gallon Forecast'!AE$162:AE$164)</f>
        <v>#NUM!</v>
      </c>
      <c r="AE22" s="17" t="e">
        <f>SUM('[2]D3 Gallon Forecast'!AF$162:AF$164)</f>
        <v>#NUM!</v>
      </c>
      <c r="AF22" s="17" t="e">
        <f>SUM('[2]D3 Gallon Forecast'!AG$162:AG$164)</f>
        <v>#NUM!</v>
      </c>
      <c r="AG22" s="17" t="e">
        <f>SUM('[2]D3 Gallon Forecast'!AH$162:AH$164)</f>
        <v>#NUM!</v>
      </c>
      <c r="AH22" s="17" t="e">
        <f>SUM('[2]D3 Gallon Forecast'!AI$162:AI$164)</f>
        <v>#NUM!</v>
      </c>
      <c r="AI22" s="17" t="e">
        <f>SUM('[2]D3 Gallon Forecast'!AJ$162:AJ$164)</f>
        <v>#NUM!</v>
      </c>
      <c r="AJ22" s="17" t="e">
        <f>SUM('[2]D3 Gallon Forecast'!AK$162:AK$164)</f>
        <v>#NUM!</v>
      </c>
      <c r="AK22" s="17" t="e">
        <f>SUM('[2]D3 Gallon Forecast'!AL$162:AL$164)</f>
        <v>#NUM!</v>
      </c>
      <c r="AL22" s="17" t="e">
        <f>SUM('[2]D3 Gallon Forecast'!AM$162:AM$164)</f>
        <v>#NUM!</v>
      </c>
      <c r="AM22" s="17" t="e">
        <f>SUM('[2]D3 Gallon Forecast'!AN$162:AN$164)</f>
        <v>#NUM!</v>
      </c>
      <c r="AN22" s="17" t="e">
        <f>SUM('[2]D3 Gallon Forecast'!AO$162:AO$164)</f>
        <v>#NUM!</v>
      </c>
      <c r="AO22" s="17" t="e">
        <f>SUM('[2]D3 Gallon Forecast'!AP$162:AP$164)</f>
        <v>#NUM!</v>
      </c>
      <c r="AP22" s="17"/>
      <c r="AQ22" s="17"/>
      <c r="AR22" s="17"/>
      <c r="AS22" s="17"/>
      <c r="AT22" s="17"/>
      <c r="AU22" s="17"/>
      <c r="AV22" s="17"/>
      <c r="AW22" s="17"/>
      <c r="AX22" s="17"/>
      <c r="AY22" s="17"/>
      <c r="AZ22" s="17"/>
      <c r="BA22" s="17"/>
      <c r="BB22" s="17"/>
    </row>
    <row r="23" spans="1:54" x14ac:dyDescent="0.25">
      <c r="A23" s="15" t="s">
        <v>72</v>
      </c>
      <c r="B23" s="16">
        <f>SUM(B19:B22)</f>
        <v>0</v>
      </c>
      <c r="C23" s="16">
        <f t="shared" ref="C23:AO23" si="6">SUM(C19:C22)</f>
        <v>0</v>
      </c>
      <c r="D23" s="16">
        <f t="shared" si="6"/>
        <v>0</v>
      </c>
      <c r="E23" s="16">
        <f t="shared" si="6"/>
        <v>17379815</v>
      </c>
      <c r="F23" s="16">
        <f t="shared" si="6"/>
        <v>44573469</v>
      </c>
      <c r="G23" s="16">
        <f t="shared" si="6"/>
        <v>51224648</v>
      </c>
      <c r="H23" s="16">
        <f t="shared" si="6"/>
        <v>52723880</v>
      </c>
      <c r="I23" s="16">
        <f t="shared" si="6"/>
        <v>55174291</v>
      </c>
      <c r="J23" s="16">
        <f t="shared" si="6"/>
        <v>51808457</v>
      </c>
      <c r="K23" s="16">
        <f t="shared" si="6"/>
        <v>80944361</v>
      </c>
      <c r="L23" s="16">
        <f t="shared" si="6"/>
        <v>80987739</v>
      </c>
      <c r="M23" s="16">
        <f t="shared" si="6"/>
        <v>84073285</v>
      </c>
      <c r="N23" s="16">
        <f t="shared" si="6"/>
        <v>48315450</v>
      </c>
      <c r="O23" s="17">
        <f t="shared" si="6"/>
        <v>39508677</v>
      </c>
      <c r="P23" s="17">
        <f t="shared" si="6"/>
        <v>40749035.367555067</v>
      </c>
      <c r="Q23" s="17">
        <f t="shared" si="6"/>
        <v>11689907.303787742</v>
      </c>
      <c r="R23" s="17">
        <f t="shared" si="6"/>
        <v>12861023.030381793</v>
      </c>
      <c r="S23" s="17">
        <f t="shared" si="6"/>
        <v>32575763.767208226</v>
      </c>
      <c r="T23" s="17" t="e">
        <f t="shared" si="6"/>
        <v>#NUM!</v>
      </c>
      <c r="U23" s="17" t="e">
        <f t="shared" si="6"/>
        <v>#NUM!</v>
      </c>
      <c r="V23" s="17" t="e">
        <f t="shared" si="6"/>
        <v>#NUM!</v>
      </c>
      <c r="W23" s="17" t="e">
        <f t="shared" si="6"/>
        <v>#NUM!</v>
      </c>
      <c r="X23" s="17" t="e">
        <f t="shared" si="6"/>
        <v>#NUM!</v>
      </c>
      <c r="Y23" s="17" t="e">
        <f t="shared" si="6"/>
        <v>#NUM!</v>
      </c>
      <c r="Z23" s="17" t="e">
        <f t="shared" si="6"/>
        <v>#NUM!</v>
      </c>
      <c r="AA23" s="17" t="e">
        <f t="shared" si="6"/>
        <v>#NUM!</v>
      </c>
      <c r="AB23" s="17" t="e">
        <f t="shared" si="6"/>
        <v>#NUM!</v>
      </c>
      <c r="AC23" s="17" t="e">
        <f t="shared" si="6"/>
        <v>#NUM!</v>
      </c>
      <c r="AD23" s="17" t="e">
        <f t="shared" si="6"/>
        <v>#NUM!</v>
      </c>
      <c r="AE23" s="17" t="e">
        <f t="shared" si="6"/>
        <v>#NUM!</v>
      </c>
      <c r="AF23" s="17" t="e">
        <f t="shared" si="6"/>
        <v>#NUM!</v>
      </c>
      <c r="AG23" s="17" t="e">
        <f t="shared" si="6"/>
        <v>#NUM!</v>
      </c>
      <c r="AH23" s="17" t="e">
        <f t="shared" si="6"/>
        <v>#NUM!</v>
      </c>
      <c r="AI23" s="17" t="e">
        <f t="shared" si="6"/>
        <v>#NUM!</v>
      </c>
      <c r="AJ23" s="17" t="e">
        <f t="shared" si="6"/>
        <v>#NUM!</v>
      </c>
      <c r="AK23" s="17" t="e">
        <f t="shared" si="6"/>
        <v>#NUM!</v>
      </c>
      <c r="AL23" s="17" t="e">
        <f t="shared" si="6"/>
        <v>#NUM!</v>
      </c>
      <c r="AM23" s="17" t="e">
        <f t="shared" si="6"/>
        <v>#NUM!</v>
      </c>
      <c r="AN23" s="17" t="e">
        <f t="shared" si="6"/>
        <v>#NUM!</v>
      </c>
      <c r="AO23" s="17" t="e">
        <f t="shared" si="6"/>
        <v>#NUM!</v>
      </c>
      <c r="AP23" s="17"/>
      <c r="AQ23" s="17"/>
      <c r="AR23" s="17"/>
      <c r="AS23" s="17"/>
      <c r="AT23" s="17"/>
      <c r="AU23" s="17"/>
      <c r="AV23" s="17"/>
      <c r="AW23" s="17"/>
      <c r="AX23" s="17"/>
      <c r="AY23" s="17"/>
      <c r="AZ23" s="17"/>
      <c r="BA23" s="17"/>
      <c r="BB23" s="17"/>
    </row>
    <row r="25" spans="1:54" x14ac:dyDescent="0.25">
      <c r="A25" s="14" t="s">
        <v>73</v>
      </c>
      <c r="B25" s="14">
        <f>B3</f>
        <v>2011</v>
      </c>
      <c r="C25" s="14">
        <f t="shared" ref="C25:AO25" si="7">C3</f>
        <v>2012</v>
      </c>
      <c r="D25" s="14">
        <f t="shared" si="7"/>
        <v>2013</v>
      </c>
      <c r="E25" s="14">
        <f t="shared" si="7"/>
        <v>2014</v>
      </c>
      <c r="F25" s="14">
        <f t="shared" si="7"/>
        <v>2015</v>
      </c>
      <c r="G25" s="14">
        <f t="shared" si="7"/>
        <v>2016</v>
      </c>
      <c r="H25" s="14">
        <f t="shared" si="7"/>
        <v>2017</v>
      </c>
      <c r="I25" s="14">
        <f t="shared" si="7"/>
        <v>2018</v>
      </c>
      <c r="J25" s="14">
        <f t="shared" si="7"/>
        <v>2019</v>
      </c>
      <c r="K25" s="14">
        <f t="shared" si="7"/>
        <v>2020</v>
      </c>
      <c r="L25" s="14">
        <f t="shared" si="7"/>
        <v>2021</v>
      </c>
      <c r="M25" s="14">
        <f t="shared" si="7"/>
        <v>2022</v>
      </c>
      <c r="N25" s="14">
        <f t="shared" si="7"/>
        <v>2023</v>
      </c>
      <c r="O25" s="14">
        <f t="shared" si="7"/>
        <v>2024</v>
      </c>
      <c r="P25" s="14">
        <f t="shared" si="7"/>
        <v>2025</v>
      </c>
      <c r="Q25" s="14">
        <f t="shared" si="7"/>
        <v>2026</v>
      </c>
      <c r="R25" s="14">
        <f t="shared" si="7"/>
        <v>2027</v>
      </c>
      <c r="S25" s="14">
        <f t="shared" si="7"/>
        <v>2028</v>
      </c>
      <c r="T25" s="14">
        <f t="shared" si="7"/>
        <v>2029</v>
      </c>
      <c r="U25" s="14">
        <f t="shared" si="7"/>
        <v>2030</v>
      </c>
      <c r="V25" s="14">
        <f t="shared" si="7"/>
        <v>2031</v>
      </c>
      <c r="W25" s="14">
        <f t="shared" si="7"/>
        <v>2032</v>
      </c>
      <c r="X25" s="14">
        <f t="shared" si="7"/>
        <v>2033</v>
      </c>
      <c r="Y25" s="14">
        <f t="shared" si="7"/>
        <v>2034</v>
      </c>
      <c r="Z25" s="14">
        <f t="shared" si="7"/>
        <v>2035</v>
      </c>
      <c r="AA25" s="14">
        <f t="shared" si="7"/>
        <v>2036</v>
      </c>
      <c r="AB25" s="14">
        <f t="shared" si="7"/>
        <v>2037</v>
      </c>
      <c r="AC25" s="14">
        <f t="shared" si="7"/>
        <v>2038</v>
      </c>
      <c r="AD25" s="14">
        <f t="shared" si="7"/>
        <v>2039</v>
      </c>
      <c r="AE25" s="14">
        <f t="shared" si="7"/>
        <v>2040</v>
      </c>
      <c r="AF25" s="14">
        <f t="shared" si="7"/>
        <v>2041</v>
      </c>
      <c r="AG25" s="14">
        <f t="shared" si="7"/>
        <v>2042</v>
      </c>
      <c r="AH25" s="14">
        <f t="shared" si="7"/>
        <v>2043</v>
      </c>
      <c r="AI25" s="14">
        <f t="shared" si="7"/>
        <v>2044</v>
      </c>
      <c r="AJ25" s="14">
        <f t="shared" si="7"/>
        <v>2045</v>
      </c>
      <c r="AK25" s="14">
        <f t="shared" si="7"/>
        <v>2046</v>
      </c>
      <c r="AL25" s="14">
        <f t="shared" si="7"/>
        <v>2047</v>
      </c>
      <c r="AM25" s="14">
        <f t="shared" si="7"/>
        <v>2048</v>
      </c>
      <c r="AN25" s="14">
        <f t="shared" si="7"/>
        <v>2049</v>
      </c>
      <c r="AO25" s="14">
        <f t="shared" si="7"/>
        <v>2050</v>
      </c>
      <c r="AP25" s="14"/>
      <c r="AQ25" s="14"/>
      <c r="AR25" s="14"/>
      <c r="AS25" s="14"/>
      <c r="AT25" s="14"/>
      <c r="AU25" s="14"/>
      <c r="AV25" s="14"/>
      <c r="AW25" s="14"/>
      <c r="AX25" s="14"/>
      <c r="AY25" s="14"/>
      <c r="AZ25" s="14"/>
      <c r="BA25" s="14"/>
      <c r="BB25" s="14"/>
    </row>
    <row r="26" spans="1:54" x14ac:dyDescent="0.25">
      <c r="A26" s="15" t="s">
        <v>68</v>
      </c>
      <c r="B26" s="16">
        <f>'Fuel Vol and Credit Gen'!C$6</f>
        <v>236835</v>
      </c>
      <c r="C26" s="16">
        <f>'Fuel Vol and Credit Gen'!G$6</f>
        <v>468876</v>
      </c>
      <c r="D26" s="16">
        <f>'Fuel Vol and Credit Gen'!K$6</f>
        <v>439275</v>
      </c>
      <c r="E26" s="16">
        <f>'Fuel Vol and Credit Gen'!O$6</f>
        <v>1639132</v>
      </c>
      <c r="F26" s="16">
        <f>'Fuel Vol and Credit Gen'!S$6</f>
        <v>5277303</v>
      </c>
      <c r="G26" s="16">
        <f>'Fuel Vol and Credit Gen'!W$6</f>
        <v>6595776</v>
      </c>
      <c r="H26" s="16">
        <f>'Fuel Vol and Credit Gen'!AA$6</f>
        <v>6712351</v>
      </c>
      <c r="I26" s="16">
        <f>'Fuel Vol and Credit Gen'!AE$6</f>
        <v>3637857</v>
      </c>
      <c r="J26" s="16">
        <f>'Fuel Vol and Credit Gen'!AI$6</f>
        <v>3621779</v>
      </c>
      <c r="K26" s="16">
        <f>'Fuel Vol and Credit Gen'!AM$6</f>
        <v>4573936</v>
      </c>
      <c r="L26" s="16">
        <f>'Fuel Vol and Credit Gen'!AQ$6</f>
        <v>4123135</v>
      </c>
      <c r="M26" s="16">
        <f>'Fuel Vol and Credit Gen'!AU$6</f>
        <v>3668607</v>
      </c>
      <c r="N26" s="16">
        <f>'Fuel Vol and Credit Gen'!AY$6</f>
        <v>3488791</v>
      </c>
      <c r="O26" s="16">
        <f>'Fuel Vol and Credit Gen'!BC$6</f>
        <v>3416751</v>
      </c>
      <c r="P26" s="17">
        <f t="shared" ref="P26:AO29" si="8">FORECAST(P19,I26:O26,I19:O19)</f>
        <v>3121094.1327310875</v>
      </c>
      <c r="Q26" s="17">
        <f t="shared" si="8"/>
        <v>3039684.4664356532</v>
      </c>
      <c r="R26" s="17">
        <f t="shared" si="8"/>
        <v>3051915.5904042036</v>
      </c>
      <c r="S26" s="17">
        <f t="shared" si="8"/>
        <v>3173426.0639922577</v>
      </c>
      <c r="T26" s="17" t="e">
        <f t="shared" si="8"/>
        <v>#NUM!</v>
      </c>
      <c r="U26" s="17" t="e">
        <f t="shared" si="8"/>
        <v>#NUM!</v>
      </c>
      <c r="V26" s="17" t="e">
        <f t="shared" si="8"/>
        <v>#NUM!</v>
      </c>
      <c r="W26" s="17" t="e">
        <f t="shared" si="8"/>
        <v>#NUM!</v>
      </c>
      <c r="X26" s="17" t="e">
        <f t="shared" si="8"/>
        <v>#NUM!</v>
      </c>
      <c r="Y26" s="17" t="e">
        <f t="shared" si="8"/>
        <v>#NUM!</v>
      </c>
      <c r="Z26" s="17" t="e">
        <f t="shared" si="8"/>
        <v>#NUM!</v>
      </c>
      <c r="AA26" s="17" t="e">
        <f t="shared" si="8"/>
        <v>#NUM!</v>
      </c>
      <c r="AB26" s="17" t="e">
        <f t="shared" si="8"/>
        <v>#NUM!</v>
      </c>
      <c r="AC26" s="17" t="e">
        <f t="shared" si="8"/>
        <v>#NUM!</v>
      </c>
      <c r="AD26" s="17" t="e">
        <f t="shared" si="8"/>
        <v>#NUM!</v>
      </c>
      <c r="AE26" s="17" t="e">
        <f t="shared" si="8"/>
        <v>#NUM!</v>
      </c>
      <c r="AF26" s="17" t="e">
        <f t="shared" si="8"/>
        <v>#NUM!</v>
      </c>
      <c r="AG26" s="17" t="e">
        <f t="shared" si="8"/>
        <v>#NUM!</v>
      </c>
      <c r="AH26" s="17" t="e">
        <f t="shared" si="8"/>
        <v>#NUM!</v>
      </c>
      <c r="AI26" s="17" t="e">
        <f t="shared" si="8"/>
        <v>#NUM!</v>
      </c>
      <c r="AJ26" s="17" t="e">
        <f t="shared" si="8"/>
        <v>#NUM!</v>
      </c>
      <c r="AK26" s="17" t="e">
        <f t="shared" si="8"/>
        <v>#NUM!</v>
      </c>
      <c r="AL26" s="17" t="e">
        <f t="shared" si="8"/>
        <v>#NUM!</v>
      </c>
      <c r="AM26" s="17" t="e">
        <f t="shared" si="8"/>
        <v>#NUM!</v>
      </c>
      <c r="AN26" s="17" t="e">
        <f t="shared" si="8"/>
        <v>#NUM!</v>
      </c>
      <c r="AO26" s="17" t="e">
        <f t="shared" si="8"/>
        <v>#NUM!</v>
      </c>
      <c r="AP26" s="17"/>
      <c r="AQ26" s="17"/>
      <c r="AR26" s="17"/>
      <c r="AS26" s="17"/>
      <c r="AT26" s="17"/>
      <c r="AU26" s="17"/>
      <c r="AV26" s="17"/>
      <c r="AW26" s="17"/>
      <c r="AX26" s="17"/>
      <c r="AY26" s="17"/>
      <c r="AZ26" s="17"/>
      <c r="BA26" s="17"/>
      <c r="BB26" s="17"/>
    </row>
    <row r="27" spans="1:54" x14ac:dyDescent="0.25">
      <c r="A27" s="15" t="s">
        <v>69</v>
      </c>
      <c r="B27" s="16">
        <f>'Fuel Vol and Credit Gen'!D$6</f>
        <v>328532</v>
      </c>
      <c r="C27" s="16">
        <f>'Fuel Vol and Credit Gen'!H$6</f>
        <v>453202</v>
      </c>
      <c r="D27" s="16">
        <f>'Fuel Vol and Credit Gen'!L$6</f>
        <v>612128</v>
      </c>
      <c r="E27" s="16">
        <f>'Fuel Vol and Credit Gen'!P$6</f>
        <v>1064074</v>
      </c>
      <c r="F27" s="16">
        <f>'Fuel Vol and Credit Gen'!T$6</f>
        <v>6367592</v>
      </c>
      <c r="G27" s="16">
        <f>'Fuel Vol and Credit Gen'!X$6</f>
        <v>7661496</v>
      </c>
      <c r="H27" s="16">
        <f>'Fuel Vol and Credit Gen'!AB$6</f>
        <v>6146649</v>
      </c>
      <c r="I27" s="16">
        <f>'Fuel Vol and Credit Gen'!AF$6</f>
        <v>3678466</v>
      </c>
      <c r="J27" s="16">
        <f>'Fuel Vol and Credit Gen'!AJ$6</f>
        <v>3620430</v>
      </c>
      <c r="K27" s="16">
        <f>'Fuel Vol and Credit Gen'!AN$6</f>
        <v>4396610</v>
      </c>
      <c r="L27" s="16">
        <f>'Fuel Vol and Credit Gen'!AR$6</f>
        <v>4146664</v>
      </c>
      <c r="M27" s="16">
        <f>'Fuel Vol and Credit Gen'!AV$6</f>
        <v>3893434</v>
      </c>
      <c r="N27" s="16">
        <f>'Fuel Vol and Credit Gen'!AZ$6</f>
        <v>3664461</v>
      </c>
      <c r="O27" s="16">
        <f>'Fuel Vol and Credit Gen'!BD$6</f>
        <v>3233384</v>
      </c>
      <c r="P27" s="17">
        <f t="shared" si="8"/>
        <v>3467909.0983223375</v>
      </c>
      <c r="Q27" s="17">
        <f t="shared" si="8"/>
        <v>2988210.2689770497</v>
      </c>
      <c r="R27" s="17">
        <f t="shared" si="8"/>
        <v>2979320.1781498957</v>
      </c>
      <c r="S27" s="17">
        <f t="shared" si="8"/>
        <v>3265296.6592040691</v>
      </c>
      <c r="T27" s="17" t="e">
        <f t="shared" si="8"/>
        <v>#NUM!</v>
      </c>
      <c r="U27" s="17" t="e">
        <f t="shared" si="8"/>
        <v>#NUM!</v>
      </c>
      <c r="V27" s="17" t="e">
        <f t="shared" si="8"/>
        <v>#NUM!</v>
      </c>
      <c r="W27" s="17" t="e">
        <f t="shared" si="8"/>
        <v>#NUM!</v>
      </c>
      <c r="X27" s="17" t="e">
        <f t="shared" si="8"/>
        <v>#NUM!</v>
      </c>
      <c r="Y27" s="17" t="e">
        <f t="shared" si="8"/>
        <v>#NUM!</v>
      </c>
      <c r="Z27" s="17" t="e">
        <f t="shared" si="8"/>
        <v>#NUM!</v>
      </c>
      <c r="AA27" s="17" t="e">
        <f t="shared" si="8"/>
        <v>#NUM!</v>
      </c>
      <c r="AB27" s="17" t="e">
        <f t="shared" si="8"/>
        <v>#NUM!</v>
      </c>
      <c r="AC27" s="17" t="e">
        <f t="shared" si="8"/>
        <v>#NUM!</v>
      </c>
      <c r="AD27" s="17" t="e">
        <f t="shared" si="8"/>
        <v>#NUM!</v>
      </c>
      <c r="AE27" s="17" t="e">
        <f t="shared" si="8"/>
        <v>#NUM!</v>
      </c>
      <c r="AF27" s="17" t="e">
        <f t="shared" si="8"/>
        <v>#NUM!</v>
      </c>
      <c r="AG27" s="17" t="e">
        <f t="shared" si="8"/>
        <v>#NUM!</v>
      </c>
      <c r="AH27" s="17" t="e">
        <f t="shared" si="8"/>
        <v>#NUM!</v>
      </c>
      <c r="AI27" s="17" t="e">
        <f t="shared" si="8"/>
        <v>#NUM!</v>
      </c>
      <c r="AJ27" s="17" t="e">
        <f t="shared" si="8"/>
        <v>#NUM!</v>
      </c>
      <c r="AK27" s="17" t="e">
        <f t="shared" si="8"/>
        <v>#NUM!</v>
      </c>
      <c r="AL27" s="17" t="e">
        <f t="shared" si="8"/>
        <v>#NUM!</v>
      </c>
      <c r="AM27" s="17" t="e">
        <f t="shared" si="8"/>
        <v>#NUM!</v>
      </c>
      <c r="AN27" s="17" t="e">
        <f t="shared" si="8"/>
        <v>#NUM!</v>
      </c>
      <c r="AO27" s="17" t="e">
        <f t="shared" si="8"/>
        <v>#NUM!</v>
      </c>
      <c r="AP27" s="17"/>
      <c r="AQ27" s="17"/>
      <c r="AR27" s="17"/>
      <c r="AS27" s="17"/>
      <c r="AT27" s="17"/>
      <c r="AU27" s="17"/>
      <c r="AV27" s="17"/>
      <c r="AW27" s="17"/>
      <c r="AX27" s="17"/>
      <c r="AY27" s="17"/>
      <c r="AZ27" s="17"/>
      <c r="BA27" s="17"/>
      <c r="BB27" s="17"/>
    </row>
    <row r="28" spans="1:54" x14ac:dyDescent="0.25">
      <c r="A28" s="15" t="s">
        <v>70</v>
      </c>
      <c r="B28" s="16">
        <f>'Fuel Vol and Credit Gen'!E$6</f>
        <v>530962</v>
      </c>
      <c r="C28" s="16">
        <f>'Fuel Vol and Credit Gen'!I$6</f>
        <v>384063</v>
      </c>
      <c r="D28" s="16">
        <f>'Fuel Vol and Credit Gen'!M$6</f>
        <v>2546125</v>
      </c>
      <c r="E28" s="16">
        <f>'Fuel Vol and Credit Gen'!Q$6</f>
        <v>4714630</v>
      </c>
      <c r="F28" s="16">
        <f>'Fuel Vol and Credit Gen'!U$6</f>
        <v>7259890</v>
      </c>
      <c r="G28" s="16">
        <f>'Fuel Vol and Credit Gen'!Y$6</f>
        <v>7645395</v>
      </c>
      <c r="H28" s="16">
        <f>'Fuel Vol and Credit Gen'!AC$6</f>
        <v>3943161</v>
      </c>
      <c r="I28" s="16">
        <f>'Fuel Vol and Credit Gen'!AG$6</f>
        <v>3844316</v>
      </c>
      <c r="J28" s="16">
        <f>'Fuel Vol and Credit Gen'!AK$6</f>
        <v>4599876</v>
      </c>
      <c r="K28" s="16">
        <f>'Fuel Vol and Credit Gen'!AO$6</f>
        <v>4566252</v>
      </c>
      <c r="L28" s="16">
        <f>'Fuel Vol and Credit Gen'!AS$6</f>
        <v>4033042</v>
      </c>
      <c r="M28" s="16">
        <f>'Fuel Vol and Credit Gen'!AW$6</f>
        <v>3960769</v>
      </c>
      <c r="N28" s="16">
        <f>'Fuel Vol and Credit Gen'!BA$6</f>
        <v>3463640</v>
      </c>
      <c r="O28" s="17">
        <f t="shared" ref="O28:O29" si="9">FORECAST(O21,H28:N28,H21:N21)</f>
        <v>3859488.103468447</v>
      </c>
      <c r="P28" s="17">
        <f t="shared" si="8"/>
        <v>3914148.2333356296</v>
      </c>
      <c r="Q28" s="17">
        <f t="shared" si="8"/>
        <v>3730083.576892707</v>
      </c>
      <c r="R28" s="17">
        <f t="shared" si="8"/>
        <v>3634355.2145237084</v>
      </c>
      <c r="S28" s="17">
        <f t="shared" si="8"/>
        <v>3763851.400979212</v>
      </c>
      <c r="T28" s="17" t="e">
        <f t="shared" si="8"/>
        <v>#NUM!</v>
      </c>
      <c r="U28" s="17" t="e">
        <f t="shared" si="8"/>
        <v>#NUM!</v>
      </c>
      <c r="V28" s="17" t="e">
        <f t="shared" si="8"/>
        <v>#NUM!</v>
      </c>
      <c r="W28" s="17" t="e">
        <f t="shared" si="8"/>
        <v>#NUM!</v>
      </c>
      <c r="X28" s="17" t="e">
        <f t="shared" si="8"/>
        <v>#NUM!</v>
      </c>
      <c r="Y28" s="17" t="e">
        <f t="shared" si="8"/>
        <v>#NUM!</v>
      </c>
      <c r="Z28" s="17" t="e">
        <f t="shared" si="8"/>
        <v>#NUM!</v>
      </c>
      <c r="AA28" s="17" t="e">
        <f t="shared" si="8"/>
        <v>#NUM!</v>
      </c>
      <c r="AB28" s="17" t="e">
        <f t="shared" si="8"/>
        <v>#NUM!</v>
      </c>
      <c r="AC28" s="17" t="e">
        <f t="shared" si="8"/>
        <v>#NUM!</v>
      </c>
      <c r="AD28" s="17" t="e">
        <f t="shared" si="8"/>
        <v>#NUM!</v>
      </c>
      <c r="AE28" s="17" t="e">
        <f t="shared" si="8"/>
        <v>#NUM!</v>
      </c>
      <c r="AF28" s="17" t="e">
        <f t="shared" si="8"/>
        <v>#NUM!</v>
      </c>
      <c r="AG28" s="17" t="e">
        <f t="shared" si="8"/>
        <v>#NUM!</v>
      </c>
      <c r="AH28" s="17" t="e">
        <f t="shared" si="8"/>
        <v>#NUM!</v>
      </c>
      <c r="AI28" s="17" t="e">
        <f t="shared" si="8"/>
        <v>#NUM!</v>
      </c>
      <c r="AJ28" s="17" t="e">
        <f t="shared" si="8"/>
        <v>#NUM!</v>
      </c>
      <c r="AK28" s="17" t="e">
        <f t="shared" si="8"/>
        <v>#NUM!</v>
      </c>
      <c r="AL28" s="17" t="e">
        <f t="shared" si="8"/>
        <v>#NUM!</v>
      </c>
      <c r="AM28" s="17" t="e">
        <f t="shared" si="8"/>
        <v>#NUM!</v>
      </c>
      <c r="AN28" s="17" t="e">
        <f t="shared" si="8"/>
        <v>#NUM!</v>
      </c>
      <c r="AO28" s="17" t="e">
        <f t="shared" si="8"/>
        <v>#NUM!</v>
      </c>
      <c r="AP28" s="17"/>
      <c r="AQ28" s="17"/>
      <c r="AR28" s="17"/>
      <c r="AS28" s="17"/>
      <c r="AT28" s="17"/>
      <c r="AU28" s="17"/>
      <c r="AV28" s="17"/>
      <c r="AW28" s="17"/>
      <c r="AX28" s="17"/>
      <c r="AY28" s="17"/>
      <c r="AZ28" s="17"/>
      <c r="BA28" s="17"/>
      <c r="BB28" s="17"/>
    </row>
    <row r="29" spans="1:54" x14ac:dyDescent="0.25">
      <c r="A29" s="15" t="s">
        <v>71</v>
      </c>
      <c r="B29" s="16">
        <f>'Fuel Vol and Credit Gen'!F$6</f>
        <v>478928</v>
      </c>
      <c r="C29" s="16">
        <f>'Fuel Vol and Credit Gen'!J$6</f>
        <v>287824</v>
      </c>
      <c r="D29" s="16">
        <f>'Fuel Vol and Credit Gen'!N$6</f>
        <v>1052125</v>
      </c>
      <c r="E29" s="16">
        <f>'Fuel Vol and Credit Gen'!R$6</f>
        <v>5841140</v>
      </c>
      <c r="F29" s="16">
        <f>'Fuel Vol and Credit Gen'!V$6</f>
        <v>8307511</v>
      </c>
      <c r="G29" s="16">
        <f>'Fuel Vol and Credit Gen'!Z$6</f>
        <v>7035914</v>
      </c>
      <c r="H29" s="16">
        <f>'Fuel Vol and Credit Gen'!AD$6</f>
        <v>3529130</v>
      </c>
      <c r="I29" s="16">
        <f>'Fuel Vol and Credit Gen'!AH$6</f>
        <v>3532362</v>
      </c>
      <c r="J29" s="16">
        <f>'Fuel Vol and Credit Gen'!AL$6</f>
        <v>4554189</v>
      </c>
      <c r="K29" s="16">
        <f>'Fuel Vol and Credit Gen'!AP$6</f>
        <v>4446816</v>
      </c>
      <c r="L29" s="16">
        <f>'Fuel Vol and Credit Gen'!AT$6</f>
        <v>3968462</v>
      </c>
      <c r="M29" s="16">
        <f>'Fuel Vol and Credit Gen'!AX$6</f>
        <v>3224680</v>
      </c>
      <c r="N29" s="16">
        <f>'Fuel Vol and Credit Gen'!BB$6</f>
        <v>3490514</v>
      </c>
      <c r="O29" s="17">
        <f t="shared" si="9"/>
        <v>3667027.8726131902</v>
      </c>
      <c r="P29" s="17">
        <f t="shared" si="8"/>
        <v>3777522.7631740253</v>
      </c>
      <c r="Q29" s="17">
        <f t="shared" si="8"/>
        <v>3602067.8118842319</v>
      </c>
      <c r="R29" s="17">
        <f t="shared" si="8"/>
        <v>3506067.7295159204</v>
      </c>
      <c r="S29" s="17">
        <f t="shared" si="8"/>
        <v>3594417.9269923125</v>
      </c>
      <c r="T29" s="17" t="e">
        <f t="shared" si="8"/>
        <v>#NUM!</v>
      </c>
      <c r="U29" s="17" t="e">
        <f t="shared" si="8"/>
        <v>#NUM!</v>
      </c>
      <c r="V29" s="17" t="e">
        <f t="shared" si="8"/>
        <v>#NUM!</v>
      </c>
      <c r="W29" s="17" t="e">
        <f t="shared" si="8"/>
        <v>#NUM!</v>
      </c>
      <c r="X29" s="17" t="e">
        <f t="shared" si="8"/>
        <v>#NUM!</v>
      </c>
      <c r="Y29" s="17" t="e">
        <f t="shared" si="8"/>
        <v>#NUM!</v>
      </c>
      <c r="Z29" s="17" t="e">
        <f t="shared" si="8"/>
        <v>#NUM!</v>
      </c>
      <c r="AA29" s="17" t="e">
        <f t="shared" si="8"/>
        <v>#NUM!</v>
      </c>
      <c r="AB29" s="17" t="e">
        <f t="shared" si="8"/>
        <v>#NUM!</v>
      </c>
      <c r="AC29" s="17" t="e">
        <f t="shared" si="8"/>
        <v>#NUM!</v>
      </c>
      <c r="AD29" s="17" t="e">
        <f t="shared" si="8"/>
        <v>#NUM!</v>
      </c>
      <c r="AE29" s="17" t="e">
        <f t="shared" si="8"/>
        <v>#NUM!</v>
      </c>
      <c r="AF29" s="17" t="e">
        <f t="shared" si="8"/>
        <v>#NUM!</v>
      </c>
      <c r="AG29" s="17" t="e">
        <f t="shared" si="8"/>
        <v>#NUM!</v>
      </c>
      <c r="AH29" s="17" t="e">
        <f t="shared" si="8"/>
        <v>#NUM!</v>
      </c>
      <c r="AI29" s="17" t="e">
        <f t="shared" si="8"/>
        <v>#NUM!</v>
      </c>
      <c r="AJ29" s="17" t="e">
        <f t="shared" si="8"/>
        <v>#NUM!</v>
      </c>
      <c r="AK29" s="17" t="e">
        <f t="shared" si="8"/>
        <v>#NUM!</v>
      </c>
      <c r="AL29" s="17" t="e">
        <f t="shared" si="8"/>
        <v>#NUM!</v>
      </c>
      <c r="AM29" s="17" t="e">
        <f t="shared" si="8"/>
        <v>#NUM!</v>
      </c>
      <c r="AN29" s="17" t="e">
        <f t="shared" si="8"/>
        <v>#NUM!</v>
      </c>
      <c r="AO29" s="17" t="e">
        <f t="shared" si="8"/>
        <v>#NUM!</v>
      </c>
      <c r="AP29" s="17"/>
      <c r="AQ29" s="17"/>
      <c r="AR29" s="17"/>
      <c r="AS29" s="17"/>
      <c r="AT29" s="17"/>
      <c r="AU29" s="17"/>
      <c r="AV29" s="17"/>
      <c r="AW29" s="17"/>
      <c r="AX29" s="17"/>
      <c r="AY29" s="17"/>
      <c r="AZ29" s="17"/>
      <c r="BA29" s="17"/>
      <c r="BB29" s="17"/>
    </row>
    <row r="30" spans="1:54" x14ac:dyDescent="0.25">
      <c r="A30" s="15" t="s">
        <v>72</v>
      </c>
      <c r="B30" s="16">
        <f>SUM(B26:B29)</f>
        <v>1575257</v>
      </c>
      <c r="C30" s="16">
        <f t="shared" ref="C30:AO30" si="10">SUM(C26:C29)</f>
        <v>1593965</v>
      </c>
      <c r="D30" s="16">
        <f t="shared" si="10"/>
        <v>4649653</v>
      </c>
      <c r="E30" s="16">
        <f t="shared" si="10"/>
        <v>13258976</v>
      </c>
      <c r="F30" s="16">
        <f t="shared" si="10"/>
        <v>27212296</v>
      </c>
      <c r="G30" s="16">
        <f t="shared" si="10"/>
        <v>28938581</v>
      </c>
      <c r="H30" s="16">
        <f t="shared" si="10"/>
        <v>20331291</v>
      </c>
      <c r="I30" s="16">
        <f t="shared" si="10"/>
        <v>14693001</v>
      </c>
      <c r="J30" s="16">
        <f t="shared" si="10"/>
        <v>16396274</v>
      </c>
      <c r="K30" s="16">
        <f t="shared" si="10"/>
        <v>17983614</v>
      </c>
      <c r="L30" s="16">
        <f t="shared" si="10"/>
        <v>16271303</v>
      </c>
      <c r="M30" s="16">
        <f t="shared" si="10"/>
        <v>14747490</v>
      </c>
      <c r="N30" s="16">
        <f t="shared" si="10"/>
        <v>14107406</v>
      </c>
      <c r="O30" s="17">
        <f t="shared" si="10"/>
        <v>14176650.976081638</v>
      </c>
      <c r="P30" s="17">
        <f t="shared" si="10"/>
        <v>14280674.227563079</v>
      </c>
      <c r="Q30" s="17">
        <f t="shared" si="10"/>
        <v>13360046.124189641</v>
      </c>
      <c r="R30" s="17">
        <f t="shared" si="10"/>
        <v>13171658.712593727</v>
      </c>
      <c r="S30" s="17">
        <f t="shared" si="10"/>
        <v>13796992.051167851</v>
      </c>
      <c r="T30" s="17" t="e">
        <f t="shared" si="10"/>
        <v>#NUM!</v>
      </c>
      <c r="U30" s="17" t="e">
        <f t="shared" si="10"/>
        <v>#NUM!</v>
      </c>
      <c r="V30" s="17" t="e">
        <f t="shared" si="10"/>
        <v>#NUM!</v>
      </c>
      <c r="W30" s="17" t="e">
        <f t="shared" si="10"/>
        <v>#NUM!</v>
      </c>
      <c r="X30" s="17" t="e">
        <f t="shared" si="10"/>
        <v>#NUM!</v>
      </c>
      <c r="Y30" s="17" t="e">
        <f t="shared" si="10"/>
        <v>#NUM!</v>
      </c>
      <c r="Z30" s="17" t="e">
        <f t="shared" si="10"/>
        <v>#NUM!</v>
      </c>
      <c r="AA30" s="17" t="e">
        <f t="shared" si="10"/>
        <v>#NUM!</v>
      </c>
      <c r="AB30" s="17" t="e">
        <f t="shared" si="10"/>
        <v>#NUM!</v>
      </c>
      <c r="AC30" s="17" t="e">
        <f t="shared" si="10"/>
        <v>#NUM!</v>
      </c>
      <c r="AD30" s="17" t="e">
        <f t="shared" si="10"/>
        <v>#NUM!</v>
      </c>
      <c r="AE30" s="17" t="e">
        <f t="shared" si="10"/>
        <v>#NUM!</v>
      </c>
      <c r="AF30" s="17" t="e">
        <f t="shared" si="10"/>
        <v>#NUM!</v>
      </c>
      <c r="AG30" s="17" t="e">
        <f t="shared" si="10"/>
        <v>#NUM!</v>
      </c>
      <c r="AH30" s="17" t="e">
        <f t="shared" si="10"/>
        <v>#NUM!</v>
      </c>
      <c r="AI30" s="17" t="e">
        <f t="shared" si="10"/>
        <v>#NUM!</v>
      </c>
      <c r="AJ30" s="17" t="e">
        <f t="shared" si="10"/>
        <v>#NUM!</v>
      </c>
      <c r="AK30" s="17" t="e">
        <f t="shared" si="10"/>
        <v>#NUM!</v>
      </c>
      <c r="AL30" s="17" t="e">
        <f t="shared" si="10"/>
        <v>#NUM!</v>
      </c>
      <c r="AM30" s="17" t="e">
        <f t="shared" si="10"/>
        <v>#NUM!</v>
      </c>
      <c r="AN30" s="17" t="e">
        <f t="shared" si="10"/>
        <v>#NUM!</v>
      </c>
      <c r="AO30" s="17" t="e">
        <f t="shared" si="10"/>
        <v>#NUM!</v>
      </c>
      <c r="AP30" s="17"/>
      <c r="AQ30" s="17"/>
      <c r="AR30" s="17"/>
      <c r="AS30" s="17"/>
      <c r="AT30" s="17"/>
      <c r="AU30" s="17"/>
      <c r="AV30" s="17"/>
      <c r="AW30" s="17"/>
      <c r="AX30" s="17"/>
      <c r="AY30" s="17"/>
      <c r="AZ30" s="17"/>
      <c r="BA30" s="17"/>
      <c r="BB30" s="17"/>
    </row>
    <row r="32" spans="1:54" ht="18" x14ac:dyDescent="0.25">
      <c r="A32" s="11" t="s">
        <v>75</v>
      </c>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row>
    <row r="33" spans="1:54" x14ac:dyDescent="0.25">
      <c r="A33" s="14" t="s">
        <v>67</v>
      </c>
      <c r="B33" s="14">
        <f>B3</f>
        <v>2011</v>
      </c>
      <c r="C33" s="14">
        <f t="shared" ref="C33:AO33" si="11">C3</f>
        <v>2012</v>
      </c>
      <c r="D33" s="14">
        <f t="shared" si="11"/>
        <v>2013</v>
      </c>
      <c r="E33" s="14">
        <f t="shared" si="11"/>
        <v>2014</v>
      </c>
      <c r="F33" s="14">
        <f t="shared" si="11"/>
        <v>2015</v>
      </c>
      <c r="G33" s="14">
        <f t="shared" si="11"/>
        <v>2016</v>
      </c>
      <c r="H33" s="14">
        <f t="shared" si="11"/>
        <v>2017</v>
      </c>
      <c r="I33" s="14">
        <f t="shared" si="11"/>
        <v>2018</v>
      </c>
      <c r="J33" s="14">
        <f t="shared" si="11"/>
        <v>2019</v>
      </c>
      <c r="K33" s="14">
        <f t="shared" si="11"/>
        <v>2020</v>
      </c>
      <c r="L33" s="14">
        <f t="shared" si="11"/>
        <v>2021</v>
      </c>
      <c r="M33" s="14">
        <f t="shared" si="11"/>
        <v>2022</v>
      </c>
      <c r="N33" s="14">
        <f t="shared" si="11"/>
        <v>2023</v>
      </c>
      <c r="O33" s="14">
        <f t="shared" si="11"/>
        <v>2024</v>
      </c>
      <c r="P33" s="14">
        <f t="shared" si="11"/>
        <v>2025</v>
      </c>
      <c r="Q33" s="14">
        <f t="shared" si="11"/>
        <v>2026</v>
      </c>
      <c r="R33" s="14">
        <f t="shared" si="11"/>
        <v>2027</v>
      </c>
      <c r="S33" s="14">
        <f t="shared" si="11"/>
        <v>2028</v>
      </c>
      <c r="T33" s="14">
        <f t="shared" si="11"/>
        <v>2029</v>
      </c>
      <c r="U33" s="14">
        <f t="shared" si="11"/>
        <v>2030</v>
      </c>
      <c r="V33" s="14">
        <f t="shared" si="11"/>
        <v>2031</v>
      </c>
      <c r="W33" s="14">
        <f t="shared" si="11"/>
        <v>2032</v>
      </c>
      <c r="X33" s="14">
        <f t="shared" si="11"/>
        <v>2033</v>
      </c>
      <c r="Y33" s="14">
        <f t="shared" si="11"/>
        <v>2034</v>
      </c>
      <c r="Z33" s="14">
        <f t="shared" si="11"/>
        <v>2035</v>
      </c>
      <c r="AA33" s="14">
        <f t="shared" si="11"/>
        <v>2036</v>
      </c>
      <c r="AB33" s="14">
        <f t="shared" si="11"/>
        <v>2037</v>
      </c>
      <c r="AC33" s="14">
        <f t="shared" si="11"/>
        <v>2038</v>
      </c>
      <c r="AD33" s="14">
        <f t="shared" si="11"/>
        <v>2039</v>
      </c>
      <c r="AE33" s="14">
        <f t="shared" si="11"/>
        <v>2040</v>
      </c>
      <c r="AF33" s="14">
        <f t="shared" si="11"/>
        <v>2041</v>
      </c>
      <c r="AG33" s="14">
        <f t="shared" si="11"/>
        <v>2042</v>
      </c>
      <c r="AH33" s="14">
        <f t="shared" si="11"/>
        <v>2043</v>
      </c>
      <c r="AI33" s="14">
        <f t="shared" si="11"/>
        <v>2044</v>
      </c>
      <c r="AJ33" s="14">
        <f t="shared" si="11"/>
        <v>2045</v>
      </c>
      <c r="AK33" s="14">
        <f t="shared" si="11"/>
        <v>2046</v>
      </c>
      <c r="AL33" s="14">
        <f t="shared" si="11"/>
        <v>2047</v>
      </c>
      <c r="AM33" s="14">
        <f t="shared" si="11"/>
        <v>2048</v>
      </c>
      <c r="AN33" s="14">
        <f t="shared" si="11"/>
        <v>2049</v>
      </c>
      <c r="AO33" s="14">
        <f t="shared" si="11"/>
        <v>2050</v>
      </c>
      <c r="AP33" s="14"/>
      <c r="AQ33" s="14"/>
      <c r="AR33" s="14"/>
      <c r="AS33" s="14"/>
      <c r="AT33" s="14"/>
      <c r="AU33" s="14"/>
      <c r="AV33" s="14"/>
      <c r="AW33" s="14"/>
      <c r="AX33" s="14"/>
      <c r="AY33" s="14"/>
      <c r="AZ33" s="14"/>
      <c r="BA33" s="14"/>
      <c r="BB33" s="14"/>
    </row>
    <row r="34" spans="1:54" x14ac:dyDescent="0.25">
      <c r="A34" s="15" t="s">
        <v>68</v>
      </c>
      <c r="B34" s="16">
        <f>SUM('[2]D6 Gallon Forecast'!C$106:C$108)</f>
        <v>3423730827</v>
      </c>
      <c r="C34" s="16">
        <f>SUM('[2]D6 Gallon Forecast'!D$106:D$108)</f>
        <v>3139093639</v>
      </c>
      <c r="D34" s="16">
        <f>SUM('[2]D6 Gallon Forecast'!E$106:E$108)</f>
        <v>3476087103</v>
      </c>
      <c r="E34" s="16">
        <f>SUM('[2]D6 Gallon Forecast'!F$106:F$108)</f>
        <v>3560910822</v>
      </c>
      <c r="F34" s="16">
        <f>SUM('[2]D6 Gallon Forecast'!G$106:G$108)</f>
        <v>3710178925</v>
      </c>
      <c r="G34" s="16">
        <f>SUM('[2]D6 Gallon Forecast'!H$106:H$108)</f>
        <v>3714618777</v>
      </c>
      <c r="H34" s="16">
        <f>SUM('[2]D6 Gallon Forecast'!I$106:I$108)</f>
        <v>3809147158</v>
      </c>
      <c r="I34" s="16">
        <f>SUM('[2]D6 Gallon Forecast'!J$106:J$108)</f>
        <v>3736010400</v>
      </c>
      <c r="J34" s="16">
        <f>SUM('[2]D6 Gallon Forecast'!K$106:K$108)</f>
        <v>3724405829</v>
      </c>
      <c r="K34" s="16">
        <f>SUM('[2]D6 Gallon Forecast'!L$106:L$108)</f>
        <v>3417492850</v>
      </c>
      <c r="L34" s="16">
        <f>SUM('[2]D6 Gallon Forecast'!M$106:M$108)</f>
        <v>3718583681</v>
      </c>
      <c r="M34" s="16">
        <f>SUM('[2]D6 Gallon Forecast'!N$106:N$108)</f>
        <v>3661827639</v>
      </c>
      <c r="N34" s="16">
        <f>SUM('[2]D6 Gallon Forecast'!O$106:O$108)</f>
        <v>3775419713</v>
      </c>
      <c r="O34" s="16">
        <f>SUM('[2]D6 Gallon Forecast'!P$106:P$108)</f>
        <v>3756196437</v>
      </c>
      <c r="P34" s="17">
        <f>SUM('[2]D6 Gallon Forecast'!Q$106:Q$108)</f>
        <v>3749201498.018095</v>
      </c>
      <c r="Q34" s="17">
        <f>SUM('[2]D6 Gallon Forecast'!R$106:R$108)</f>
        <v>3765602797.6959162</v>
      </c>
      <c r="R34" s="17">
        <f>SUM('[2]D6 Gallon Forecast'!S$106:S$108)</f>
        <v>3755144056.9619422</v>
      </c>
      <c r="S34" s="17">
        <f>SUM('[2]D6 Gallon Forecast'!T$106:T$108)</f>
        <v>3797199683.7532415</v>
      </c>
      <c r="T34" s="17">
        <f>SUM('[2]D6 Gallon Forecast'!U$106:U$108)</f>
        <v>3821477114.1153474</v>
      </c>
      <c r="U34" s="17">
        <f>SUM('[2]D6 Gallon Forecast'!V$106:V$108)</f>
        <v>3855227873.0752053</v>
      </c>
      <c r="V34" s="17">
        <f>SUM('[2]D6 Gallon Forecast'!W$106:W$108)</f>
        <v>3893847336.2931671</v>
      </c>
      <c r="W34" s="17">
        <f>SUM('[2]D6 Gallon Forecast'!X$106:X$108)</f>
        <v>3920029412.7453213</v>
      </c>
      <c r="X34" s="17">
        <f>SUM('[2]D6 Gallon Forecast'!Y$106:Y$108)</f>
        <v>3953815705.6622062</v>
      </c>
      <c r="Y34" s="17">
        <f>SUM('[2]D6 Gallon Forecast'!Z$106:Z$108)</f>
        <v>3985878716.0874767</v>
      </c>
      <c r="Z34" s="17">
        <f>SUM('[2]D6 Gallon Forecast'!AA$106:AA$108)</f>
        <v>4019547823.0666947</v>
      </c>
      <c r="AA34" s="17">
        <f>SUM('[2]D6 Gallon Forecast'!AB$106:AB$108)</f>
        <v>4053230241.2310858</v>
      </c>
      <c r="AB34" s="17">
        <f>SUM('[2]D6 Gallon Forecast'!AC$106:AC$108)</f>
        <v>4085861867.0591068</v>
      </c>
      <c r="AC34" s="17">
        <f>SUM('[2]D6 Gallon Forecast'!AD$106:AD$108)</f>
        <v>4119829521.4471836</v>
      </c>
      <c r="AD34" s="17">
        <f>SUM('[2]D6 Gallon Forecast'!AE$106:AE$108)</f>
        <v>4153831681.994854</v>
      </c>
      <c r="AE34" s="17">
        <f>SUM('[2]D6 Gallon Forecast'!AF$106:AF$108)</f>
        <v>4188234019.9454622</v>
      </c>
      <c r="AF34" s="17">
        <f>SUM('[2]D6 Gallon Forecast'!AG$106:AG$108)</f>
        <v>4222787772.2543306</v>
      </c>
      <c r="AG34" s="17">
        <f>SUM('[2]D6 Gallon Forecast'!AH$106:AH$108)</f>
        <v>4257515167.5234413</v>
      </c>
      <c r="AH34" s="17">
        <f>SUM('[2]D6 Gallon Forecast'!AI$106:AI$108)</f>
        <v>4292674291.9373431</v>
      </c>
      <c r="AI34" s="17">
        <f>SUM('[2]D6 Gallon Forecast'!AJ$106:AJ$108)</f>
        <v>4328077296.463644</v>
      </c>
      <c r="AJ34" s="17">
        <f>SUM('[2]D6 Gallon Forecast'!AK$106:AK$108)</f>
        <v>4363767584.8321171</v>
      </c>
      <c r="AK34" s="17">
        <f>SUM('[2]D6 Gallon Forecast'!AL$106:AL$108)</f>
        <v>4399721480.5921383</v>
      </c>
      <c r="AL34" s="17">
        <f>SUM('[2]D6 Gallon Forecast'!AM$106:AM$108)</f>
        <v>4435961662.5255909</v>
      </c>
      <c r="AM34" s="17">
        <f>SUM('[2]D6 Gallon Forecast'!AN$106:AN$108)</f>
        <v>4472512112.3907127</v>
      </c>
      <c r="AN34" s="17">
        <f>SUM('[2]D6 Gallon Forecast'!AO$106:AO$108)</f>
        <v>4509347521.852685</v>
      </c>
      <c r="AO34" s="17">
        <f>SUM('[2]D6 Gallon Forecast'!AP$106:AP$108)</f>
        <v>4546476334.9351025</v>
      </c>
      <c r="AP34" s="17"/>
      <c r="AQ34" s="17"/>
      <c r="AR34" s="17"/>
      <c r="AS34" s="17"/>
      <c r="AT34" s="17"/>
      <c r="AU34" s="17"/>
      <c r="AV34" s="17"/>
      <c r="AW34" s="17"/>
      <c r="AX34" s="17"/>
      <c r="AY34" s="17"/>
      <c r="AZ34" s="17"/>
      <c r="BA34" s="17"/>
      <c r="BB34" s="17"/>
    </row>
    <row r="35" spans="1:54" x14ac:dyDescent="0.25">
      <c r="A35" s="15" t="s">
        <v>69</v>
      </c>
      <c r="B35" s="16">
        <f>SUM('[2]D6 Gallon Forecast'!C$109:C$111)</f>
        <v>13609057120</v>
      </c>
      <c r="C35" s="16">
        <f>SUM('[2]D6 Gallon Forecast'!D$109:D$111)</f>
        <v>12986723081.954397</v>
      </c>
      <c r="D35" s="16">
        <f>SUM('[2]D6 Gallon Forecast'!E$109:E$111)</f>
        <v>13098970936.10932</v>
      </c>
      <c r="E35" s="16">
        <f>SUM('[2]D6 Gallon Forecast'!F$109:F$111)</f>
        <v>14021921395.097662</v>
      </c>
      <c r="F35" s="16">
        <f>SUM('[2]D6 Gallon Forecast'!G$109:G$111)</f>
        <v>14393318940.084833</v>
      </c>
      <c r="G35" s="16">
        <f>SUM('[2]D6 Gallon Forecast'!H$109:H$111)</f>
        <v>14724613295.040527</v>
      </c>
      <c r="H35" s="16">
        <f>SUM('[2]D6 Gallon Forecast'!I$109:I$111)</f>
        <v>14864220246.018301</v>
      </c>
      <c r="I35" s="16">
        <f>SUM('[2]D6 Gallon Forecast'!J$109:J$111)</f>
        <v>14967243349.987835</v>
      </c>
      <c r="J35" s="16">
        <f>SUM('[2]D6 Gallon Forecast'!K$109:K$111)</f>
        <v>14730393612.05583</v>
      </c>
      <c r="K35" s="16">
        <f>SUM('[2]D6 Gallon Forecast'!L$109:L$111)</f>
        <v>12857192617.071236</v>
      </c>
      <c r="L35" s="16">
        <f>SUM('[2]D6 Gallon Forecast'!M$109:M$111)</f>
        <v>14123603899.107668</v>
      </c>
      <c r="M35" s="16">
        <f>SUM('[2]D6 Gallon Forecast'!N$109:N$111)</f>
        <v>14423503829.993008</v>
      </c>
      <c r="N35" s="16">
        <f>SUM('[2]D6 Gallon Forecast'!O$109:O$111)</f>
        <v>14678741531.027523</v>
      </c>
      <c r="O35" s="16">
        <f>SUM('[2]D6 Gallon Forecast'!P$109:P$111)</f>
        <v>14864396929.940933</v>
      </c>
      <c r="P35" s="17">
        <f>SUM('[2]D6 Gallon Forecast'!Q$109:Q$111)</f>
        <v>14595688774.088146</v>
      </c>
      <c r="Q35" s="17">
        <f>SUM('[2]D6 Gallon Forecast'!R$109:R$111)</f>
        <v>14667793890.620512</v>
      </c>
      <c r="R35" s="17">
        <f>SUM('[2]D6 Gallon Forecast'!S$109:S$111)</f>
        <v>14699514784.203907</v>
      </c>
      <c r="S35" s="17">
        <f>SUM('[2]D6 Gallon Forecast'!T$109:T$111)</f>
        <v>14846102876.012688</v>
      </c>
      <c r="T35" s="17">
        <f>SUM('[2]D6 Gallon Forecast'!U$109:U$111)</f>
        <v>14957696786.482641</v>
      </c>
      <c r="U35" s="17">
        <f>SUM('[2]D6 Gallon Forecast'!V$109:V$111)</f>
        <v>15056049140.126474</v>
      </c>
      <c r="V35" s="17">
        <f>SUM('[2]D6 Gallon Forecast'!W$109:W$111)</f>
        <v>15216356925.802042</v>
      </c>
      <c r="W35" s="17">
        <f>SUM('[2]D6 Gallon Forecast'!X$109:X$111)</f>
        <v>15328389301.091822</v>
      </c>
      <c r="X35" s="17">
        <f>SUM('[2]D6 Gallon Forecast'!Y$109:Y$111)</f>
        <v>15457248807.180267</v>
      </c>
      <c r="Y35" s="17">
        <f>SUM('[2]D6 Gallon Forecast'!Z$109:Z$111)</f>
        <v>15582363954.768641</v>
      </c>
      <c r="Z35" s="17">
        <f>SUM('[2]D6 Gallon Forecast'!AA$109:AA$111)</f>
        <v>15710291497.70624</v>
      </c>
      <c r="AA35" s="17">
        <f>SUM('[2]D6 Gallon Forecast'!AB$109:AB$111)</f>
        <v>15844398914.029871</v>
      </c>
      <c r="AB35" s="17">
        <f>SUM('[2]D6 Gallon Forecast'!AC$109:AC$111)</f>
        <v>15972983623.555958</v>
      </c>
      <c r="AC35" s="17">
        <f>SUM('[2]D6 Gallon Forecast'!AD$109:AD$111)</f>
        <v>16105015961.298561</v>
      </c>
      <c r="AD35" s="17">
        <f>SUM('[2]D6 Gallon Forecast'!AE$109:AE$111)</f>
        <v>16237688318.03793</v>
      </c>
      <c r="AE35" s="17">
        <f>SUM('[2]D6 Gallon Forecast'!AF$109:AF$111)</f>
        <v>16371920385.928848</v>
      </c>
      <c r="AF35" s="17">
        <f>SUM('[2]D6 Gallon Forecast'!AG$109:AG$111)</f>
        <v>16507449056.589115</v>
      </c>
      <c r="AG35" s="17">
        <f>SUM('[2]D6 Gallon Forecast'!AH$109:AH$111)</f>
        <v>16643249598.229235</v>
      </c>
      <c r="AH35" s="17">
        <f>SUM('[2]D6 Gallon Forecast'!AI$109:AI$111)</f>
        <v>16780537625.081625</v>
      </c>
      <c r="AI35" s="17">
        <f>SUM('[2]D6 Gallon Forecast'!AJ$109:AJ$111)</f>
        <v>16918901622.124741</v>
      </c>
      <c r="AJ35" s="17">
        <f>SUM('[2]D6 Gallon Forecast'!AK$109:AK$111)</f>
        <v>17058432840.526545</v>
      </c>
      <c r="AK35" s="17">
        <f>SUM('[2]D6 Gallon Forecast'!AL$109:AL$111)</f>
        <v>17199048711.74839</v>
      </c>
      <c r="AL35" s="17">
        <f>SUM('[2]D6 Gallon Forecast'!AM$109:AM$111)</f>
        <v>17340704559.461739</v>
      </c>
      <c r="AM35" s="17">
        <f>SUM('[2]D6 Gallon Forecast'!AN$109:AN$111)</f>
        <v>17483561325.822472</v>
      </c>
      <c r="AN35" s="17">
        <f>SUM('[2]D6 Gallon Forecast'!AO$109:AO$111)</f>
        <v>17627558657.816719</v>
      </c>
      <c r="AO35" s="17">
        <f>SUM('[2]D6 Gallon Forecast'!AP$109:AP$111)</f>
        <v>17772709885.846157</v>
      </c>
      <c r="AP35" s="17"/>
      <c r="AQ35" s="17"/>
      <c r="AR35" s="17"/>
      <c r="AS35" s="17"/>
      <c r="AT35" s="17"/>
      <c r="AU35" s="17"/>
      <c r="AV35" s="17"/>
      <c r="AW35" s="17"/>
      <c r="AX35" s="17"/>
      <c r="AY35" s="17"/>
      <c r="AZ35" s="17"/>
      <c r="BA35" s="17"/>
      <c r="BB35" s="17"/>
    </row>
    <row r="36" spans="1:54" x14ac:dyDescent="0.25">
      <c r="A36" s="15" t="s">
        <v>70</v>
      </c>
      <c r="B36" s="16">
        <f>SUM('[2]D6 Gallon Forecast'!C$112:C$114)</f>
        <v>2214375968</v>
      </c>
      <c r="C36" s="16">
        <f>SUM('[2]D6 Gallon Forecast'!D$112:D$114)</f>
        <v>2257984896</v>
      </c>
      <c r="D36" s="16">
        <f>SUM('[2]D6 Gallon Forecast'!E$112:E$114)</f>
        <v>1967676776</v>
      </c>
      <c r="E36" s="16">
        <f>SUM('[2]D6 Gallon Forecast'!F$112:F$114)</f>
        <v>2170741905</v>
      </c>
      <c r="F36" s="16">
        <f>SUM('[2]D6 Gallon Forecast'!G$112:G$114)</f>
        <v>2270207336</v>
      </c>
      <c r="G36" s="16">
        <f>SUM('[2]D6 Gallon Forecast'!H$112:H$114)</f>
        <v>2378095946</v>
      </c>
      <c r="H36" s="16">
        <f>SUM('[2]D6 Gallon Forecast'!I$112:I$114)</f>
        <v>2368741243</v>
      </c>
      <c r="I36" s="16">
        <f>SUM('[2]D6 Gallon Forecast'!J$112:J$114)</f>
        <v>2354227525</v>
      </c>
      <c r="J36" s="16">
        <f>SUM('[2]D6 Gallon Forecast'!K$112:K$114)</f>
        <v>2322335433</v>
      </c>
      <c r="K36" s="16">
        <f>SUM('[2]D6 Gallon Forecast'!L$112:L$114)</f>
        <v>2380032748</v>
      </c>
      <c r="L36" s="16">
        <f>SUM('[2]D6 Gallon Forecast'!M$112:M$114)</f>
        <v>1961680297</v>
      </c>
      <c r="M36" s="16">
        <f>SUM('[2]D6 Gallon Forecast'!N$112:N$114)</f>
        <v>2271603728</v>
      </c>
      <c r="N36" s="16">
        <f>SUM('[2]D6 Gallon Forecast'!O$112:O$114)</f>
        <v>2319039741</v>
      </c>
      <c r="O36" s="16">
        <f>SUM('[2]D6 Gallon Forecast'!P$112:P$114)</f>
        <v>2409852546</v>
      </c>
      <c r="P36" s="17">
        <f>SUM('[2]D6 Gallon Forecast'!Q$112:Q$114)</f>
        <v>2363138942</v>
      </c>
      <c r="Q36" s="17">
        <f>SUM('[2]D6 Gallon Forecast'!R$112:R$114)</f>
        <v>2285526460.3855543</v>
      </c>
      <c r="R36" s="17">
        <f>SUM('[2]D6 Gallon Forecast'!S$112:S$114)</f>
        <v>2338416176.2704296</v>
      </c>
      <c r="S36" s="17">
        <f>SUM('[2]D6 Gallon Forecast'!T$112:T$114)</f>
        <v>2366322399.6157093</v>
      </c>
      <c r="T36" s="17">
        <f>SUM('[2]D6 Gallon Forecast'!U$112:U$114)</f>
        <v>2388305250.9117184</v>
      </c>
      <c r="U36" s="17">
        <f>SUM('[2]D6 Gallon Forecast'!V$112:V$114)</f>
        <v>2396619707.8792267</v>
      </c>
      <c r="V36" s="17">
        <f>SUM('[2]D6 Gallon Forecast'!W$112:W$114)</f>
        <v>2413930118.5988941</v>
      </c>
      <c r="W36" s="17">
        <f>SUM('[2]D6 Gallon Forecast'!X$112:X$114)</f>
        <v>2440185523.5982914</v>
      </c>
      <c r="X36" s="17">
        <f>SUM('[2]D6 Gallon Forecast'!Y$112:Y$114)</f>
        <v>2461038709.0640612</v>
      </c>
      <c r="Y36" s="17">
        <f>SUM('[2]D6 Gallon Forecast'!Z$112:Z$114)</f>
        <v>2480428520.1453018</v>
      </c>
      <c r="Z36" s="17">
        <f>SUM('[2]D6 Gallon Forecast'!AA$112:AA$114)</f>
        <v>2499293268.9095373</v>
      </c>
      <c r="AA36" s="17">
        <f>SUM('[2]D6 Gallon Forecast'!AB$112:AB$114)</f>
        <v>2520339409.1856732</v>
      </c>
      <c r="AB36" s="17">
        <f>SUM('[2]D6 Gallon Forecast'!AC$112:AC$114)</f>
        <v>2542127151.5374489</v>
      </c>
      <c r="AC36" s="17">
        <f>SUM('[2]D6 Gallon Forecast'!AD$112:AD$114)</f>
        <v>2563007753.695756</v>
      </c>
      <c r="AD36" s="17">
        <f>SUM('[2]D6 Gallon Forecast'!AE$112:AE$114)</f>
        <v>2583892326.5821824</v>
      </c>
      <c r="AE36" s="17">
        <f>SUM('[2]D6 Gallon Forecast'!AF$112:AF$114)</f>
        <v>2605084993.9371786</v>
      </c>
      <c r="AF36" s="17">
        <f>SUM('[2]D6 Gallon Forecast'!AG$112:AG$114)</f>
        <v>2626755530.2448201</v>
      </c>
      <c r="AG36" s="17">
        <f>SUM('[2]D6 Gallon Forecast'!AH$112:AH$114)</f>
        <v>2648550956.3843603</v>
      </c>
      <c r="AH36" s="17">
        <f>SUM('[2]D6 Gallon Forecast'!AI$112:AI$114)</f>
        <v>2670349289.2440929</v>
      </c>
      <c r="AI36" s="17">
        <f>SUM('[2]D6 Gallon Forecast'!AJ$112:AJ$114)</f>
        <v>2692335525.8266106</v>
      </c>
      <c r="AJ36" s="17">
        <f>SUM('[2]D6 Gallon Forecast'!AK$112:AK$114)</f>
        <v>2714547669.2092581</v>
      </c>
      <c r="AK36" s="17">
        <f>SUM('[2]D6 Gallon Forecast'!AL$112:AL$114)</f>
        <v>2736968534.9090528</v>
      </c>
      <c r="AL36" s="17">
        <f>SUM('[2]D6 Gallon Forecast'!AM$112:AM$114)</f>
        <v>2759542757.4891901</v>
      </c>
      <c r="AM36" s="17">
        <f>SUM('[2]D6 Gallon Forecast'!AN$112:AN$114)</f>
        <v>2782276729.5200329</v>
      </c>
      <c r="AN36" s="17">
        <f>SUM('[2]D6 Gallon Forecast'!AO$112:AO$114)</f>
        <v>2805202343.1023388</v>
      </c>
      <c r="AO36" s="17">
        <f>SUM('[2]D6 Gallon Forecast'!AP$112:AP$114)</f>
        <v>2828320378.5592194</v>
      </c>
      <c r="AP36" s="17"/>
      <c r="AQ36" s="17"/>
      <c r="AR36" s="17"/>
      <c r="AS36" s="17"/>
      <c r="AT36" s="17"/>
      <c r="AU36" s="17"/>
      <c r="AV36" s="17"/>
      <c r="AW36" s="17"/>
      <c r="AX36" s="17"/>
      <c r="AY36" s="17"/>
      <c r="AZ36" s="17"/>
      <c r="BA36" s="17"/>
      <c r="BB36" s="17"/>
    </row>
    <row r="37" spans="1:54" x14ac:dyDescent="0.25">
      <c r="A37" s="15" t="s">
        <v>71</v>
      </c>
      <c r="B37" s="16">
        <f>SUM('[2]D6 Gallon Forecast'!C$115:C$117)</f>
        <v>3435283055</v>
      </c>
      <c r="C37" s="16">
        <f>SUM('[2]D6 Gallon Forecast'!D$115:D$117)</f>
        <v>3364985786</v>
      </c>
      <c r="D37" s="16">
        <f>SUM('[2]D6 Gallon Forecast'!E$115:E$117)</f>
        <v>3260761189</v>
      </c>
      <c r="E37" s="16">
        <f>SUM('[2]D6 Gallon Forecast'!F$115:F$117)</f>
        <v>3522503268</v>
      </c>
      <c r="F37" s="16">
        <f>SUM('[2]D6 Gallon Forecast'!G$115:G$117)</f>
        <v>3556734847</v>
      </c>
      <c r="G37" s="16">
        <f>SUM('[2]D6 Gallon Forecast'!H$115:H$117)</f>
        <v>3612391732</v>
      </c>
      <c r="H37" s="16">
        <f>SUM('[2]D6 Gallon Forecast'!I$115:I$117)</f>
        <v>3678597704</v>
      </c>
      <c r="I37" s="16">
        <f>SUM('[2]D6 Gallon Forecast'!J$115:J$117)</f>
        <v>3726526946</v>
      </c>
      <c r="J37" s="16">
        <f>SUM('[2]D6 Gallon Forecast'!K$115:K$117)</f>
        <v>3698018499</v>
      </c>
      <c r="K37" s="16">
        <f>SUM('[2]D6 Gallon Forecast'!L$115:L$117)</f>
        <v>2575736310</v>
      </c>
      <c r="L37" s="16">
        <f>SUM('[2]D6 Gallon Forecast'!M$115:M$117)</f>
        <v>3546350198</v>
      </c>
      <c r="M37" s="16">
        <f>SUM('[2]D6 Gallon Forecast'!N$115:N$117)</f>
        <v>3608307512</v>
      </c>
      <c r="N37" s="16">
        <f>SUM('[2]D6 Gallon Forecast'!O$115:O$117)</f>
        <v>3599877544</v>
      </c>
      <c r="O37" s="17">
        <f>SUM('[2]D6 Gallon Forecast'!P$115:P$117)</f>
        <v>3633045565</v>
      </c>
      <c r="P37" s="17">
        <f>SUM('[2]D6 Gallon Forecast'!Q$115:Q$117)</f>
        <v>3480830314.2150097</v>
      </c>
      <c r="Q37" s="17">
        <f>SUM('[2]D6 Gallon Forecast'!R$115:R$117)</f>
        <v>3605968205.4814587</v>
      </c>
      <c r="R37" s="17">
        <f>SUM('[2]D6 Gallon Forecast'!S$115:S$117)</f>
        <v>3598816423.6948419</v>
      </c>
      <c r="S37" s="17">
        <f>SUM('[2]D6 Gallon Forecast'!T$115:T$117)</f>
        <v>3619079280.3333454</v>
      </c>
      <c r="T37" s="17">
        <f>SUM('[2]D6 Gallon Forecast'!U$115:U$117)</f>
        <v>3641916550.5269985</v>
      </c>
      <c r="U37" s="17">
        <f>SUM('[2]D6 Gallon Forecast'!V$115:V$117)</f>
        <v>3663112492.8841114</v>
      </c>
      <c r="V37" s="17">
        <f>SUM('[2]D6 Gallon Forecast'!W$115:W$117)</f>
        <v>3716448023.2812786</v>
      </c>
      <c r="W37" s="17">
        <f>SUM('[2]D6 Gallon Forecast'!X$115:X$117)</f>
        <v>3738993077.2759242</v>
      </c>
      <c r="X37" s="17">
        <f>SUM('[2]D6 Gallon Forecast'!Y$115:Y$117)</f>
        <v>3767714767.3725705</v>
      </c>
      <c r="Y37" s="17">
        <f>SUM('[2]D6 Gallon Forecast'!Z$115:Z$117)</f>
        <v>3798143630.8650122</v>
      </c>
      <c r="Z37" s="17">
        <f>SUM('[2]D6 Gallon Forecast'!AA$115:AA$117)</f>
        <v>3830138624.427393</v>
      </c>
      <c r="AA37" s="17">
        <f>SUM('[2]D6 Gallon Forecast'!AB$115:AB$117)</f>
        <v>3864375922.0834093</v>
      </c>
      <c r="AB37" s="17">
        <f>SUM('[2]D6 Gallon Forecast'!AC$115:AC$117)</f>
        <v>3894661194.8165975</v>
      </c>
      <c r="AC37" s="17">
        <f>SUM('[2]D6 Gallon Forecast'!AD$115:AD$117)</f>
        <v>3926546459.2154231</v>
      </c>
      <c r="AD37" s="17">
        <f>SUM('[2]D6 Gallon Forecast'!AE$115:AE$117)</f>
        <v>3959077687.5814109</v>
      </c>
      <c r="AE37" s="17">
        <f>SUM('[2]D6 Gallon Forecast'!AF$115:AF$117)</f>
        <v>3992042452.8221874</v>
      </c>
      <c r="AF37" s="17">
        <f>SUM('[2]D6 Gallon Forecast'!AG$115:AG$117)</f>
        <v>4025207046.7736015</v>
      </c>
      <c r="AG37" s="17">
        <f>SUM('[2]D6 Gallon Forecast'!AH$115:AH$117)</f>
        <v>4058147004.8435144</v>
      </c>
      <c r="AH37" s="17">
        <f>SUM('[2]D6 Gallon Forecast'!AI$115:AI$117)</f>
        <v>4091633169.7924833</v>
      </c>
      <c r="AI37" s="17">
        <f>SUM('[2]D6 Gallon Forecast'!AJ$115:AJ$117)</f>
        <v>4125447160.3106279</v>
      </c>
      <c r="AJ37" s="17">
        <f>SUM('[2]D6 Gallon Forecast'!AK$115:AK$117)</f>
        <v>4159524224.9314022</v>
      </c>
      <c r="AK37" s="17">
        <f>SUM('[2]D6 Gallon Forecast'!AL$115:AL$117)</f>
        <v>4193828906.4601293</v>
      </c>
      <c r="AL37" s="17">
        <f>SUM('[2]D6 Gallon Forecast'!AM$115:AM$117)</f>
        <v>4228366600.9485741</v>
      </c>
      <c r="AM37" s="17">
        <f>SUM('[2]D6 Gallon Forecast'!AN$115:AN$117)</f>
        <v>4263231969.2601061</v>
      </c>
      <c r="AN37" s="17">
        <f>SUM('[2]D6 Gallon Forecast'!AO$115:AO$117)</f>
        <v>4298379823.3020439</v>
      </c>
      <c r="AO37" s="17">
        <f>SUM('[2]D6 Gallon Forecast'!AP$115:AP$117)</f>
        <v>4333800891.5721121</v>
      </c>
      <c r="AP37" s="17"/>
      <c r="AQ37" s="17"/>
      <c r="AR37" s="17"/>
      <c r="AS37" s="17"/>
      <c r="AT37" s="17"/>
      <c r="AU37" s="17"/>
      <c r="AV37" s="17"/>
      <c r="AW37" s="17"/>
      <c r="AX37" s="17"/>
      <c r="AY37" s="17"/>
      <c r="AZ37" s="17"/>
      <c r="BA37" s="17"/>
      <c r="BB37" s="17"/>
    </row>
    <row r="38" spans="1:54" x14ac:dyDescent="0.25">
      <c r="A38" s="15" t="s">
        <v>72</v>
      </c>
      <c r="B38" s="16">
        <f>SUM(B34:B37)</f>
        <v>22682446970</v>
      </c>
      <c r="C38" s="16">
        <f t="shared" ref="C38:AO38" si="12">SUM(C34:C37)</f>
        <v>21748787402.954399</v>
      </c>
      <c r="D38" s="16">
        <f t="shared" si="12"/>
        <v>21803496004.109322</v>
      </c>
      <c r="E38" s="16">
        <f t="shared" si="12"/>
        <v>23276077390.097664</v>
      </c>
      <c r="F38" s="16">
        <f t="shared" si="12"/>
        <v>23930440048.084831</v>
      </c>
      <c r="G38" s="16">
        <f t="shared" si="12"/>
        <v>24429719750.040527</v>
      </c>
      <c r="H38" s="16">
        <f t="shared" si="12"/>
        <v>24720706351.018303</v>
      </c>
      <c r="I38" s="16">
        <f t="shared" si="12"/>
        <v>24784008220.987835</v>
      </c>
      <c r="J38" s="16">
        <f t="shared" si="12"/>
        <v>24475153373.055832</v>
      </c>
      <c r="K38" s="16">
        <f t="shared" si="12"/>
        <v>21230454525.071236</v>
      </c>
      <c r="L38" s="16">
        <f t="shared" si="12"/>
        <v>23350218075.107666</v>
      </c>
      <c r="M38" s="16">
        <f t="shared" si="12"/>
        <v>23965242708.993008</v>
      </c>
      <c r="N38" s="16">
        <f t="shared" si="12"/>
        <v>24373078529.027523</v>
      </c>
      <c r="O38" s="17">
        <f t="shared" si="12"/>
        <v>24663491477.940933</v>
      </c>
      <c r="P38" s="17">
        <f t="shared" si="12"/>
        <v>24188859528.321251</v>
      </c>
      <c r="Q38" s="17">
        <f t="shared" si="12"/>
        <v>24324891354.183441</v>
      </c>
      <c r="R38" s="17">
        <f t="shared" si="12"/>
        <v>24391891441.131123</v>
      </c>
      <c r="S38" s="17">
        <f t="shared" si="12"/>
        <v>24628704239.714981</v>
      </c>
      <c r="T38" s="17">
        <f t="shared" si="12"/>
        <v>24809395702.036705</v>
      </c>
      <c r="U38" s="17">
        <f t="shared" si="12"/>
        <v>24971009213.965019</v>
      </c>
      <c r="V38" s="17">
        <f t="shared" si="12"/>
        <v>25240582403.97538</v>
      </c>
      <c r="W38" s="17">
        <f t="shared" si="12"/>
        <v>25427597314.711357</v>
      </c>
      <c r="X38" s="17">
        <f t="shared" si="12"/>
        <v>25639817989.279102</v>
      </c>
      <c r="Y38" s="17">
        <f t="shared" si="12"/>
        <v>25846814821.866432</v>
      </c>
      <c r="Z38" s="17">
        <f t="shared" si="12"/>
        <v>26059271214.109863</v>
      </c>
      <c r="AA38" s="17">
        <f t="shared" si="12"/>
        <v>26282344486.530037</v>
      </c>
      <c r="AB38" s="17">
        <f t="shared" si="12"/>
        <v>26495633836.969112</v>
      </c>
      <c r="AC38" s="17">
        <f t="shared" si="12"/>
        <v>26714399695.656921</v>
      </c>
      <c r="AD38" s="17">
        <f t="shared" si="12"/>
        <v>26934490014.196377</v>
      </c>
      <c r="AE38" s="17">
        <f t="shared" si="12"/>
        <v>27157281852.633675</v>
      </c>
      <c r="AF38" s="17">
        <f t="shared" si="12"/>
        <v>27382199405.861866</v>
      </c>
      <c r="AG38" s="17">
        <f t="shared" si="12"/>
        <v>27607462726.980553</v>
      </c>
      <c r="AH38" s="17">
        <f t="shared" si="12"/>
        <v>27835194376.055546</v>
      </c>
      <c r="AI38" s="17">
        <f t="shared" si="12"/>
        <v>28064761604.725624</v>
      </c>
      <c r="AJ38" s="17">
        <f t="shared" si="12"/>
        <v>28296272319.499321</v>
      </c>
      <c r="AK38" s="17">
        <f t="shared" si="12"/>
        <v>28529567633.709713</v>
      </c>
      <c r="AL38" s="17">
        <f t="shared" si="12"/>
        <v>28764575580.425091</v>
      </c>
      <c r="AM38" s="17">
        <f t="shared" si="12"/>
        <v>29001582136.99332</v>
      </c>
      <c r="AN38" s="17">
        <f t="shared" si="12"/>
        <v>29240488346.073788</v>
      </c>
      <c r="AO38" s="17">
        <f t="shared" si="12"/>
        <v>29481307490.91259</v>
      </c>
      <c r="AP38" s="17"/>
      <c r="AQ38" s="17"/>
      <c r="AR38" s="17"/>
      <c r="AS38" s="17"/>
      <c r="AT38" s="17"/>
      <c r="AU38" s="17"/>
      <c r="AV38" s="17"/>
      <c r="AW38" s="17"/>
      <c r="AX38" s="17"/>
      <c r="AY38" s="17"/>
      <c r="AZ38" s="17"/>
      <c r="BA38" s="17"/>
      <c r="BB38" s="17"/>
    </row>
    <row r="39" spans="1:54" x14ac:dyDescent="0.25">
      <c r="A39" s="20">
        <f>N42/N35</f>
        <v>2.0198024971916383E-2</v>
      </c>
      <c r="B39" s="18"/>
      <c r="C39" s="18"/>
      <c r="D39" s="18"/>
      <c r="E39" s="18"/>
      <c r="F39" s="19"/>
      <c r="G39" s="19"/>
      <c r="H39" s="19"/>
      <c r="I39" s="19"/>
      <c r="J39" s="19"/>
      <c r="K39" s="19"/>
      <c r="L39" s="19"/>
      <c r="M39" s="19"/>
      <c r="N39" s="19"/>
      <c r="O39" s="19"/>
      <c r="P39" s="19"/>
      <c r="Q39" s="19"/>
      <c r="R39" s="19"/>
      <c r="S39" s="19"/>
      <c r="T39" s="19"/>
      <c r="U39" s="19"/>
      <c r="V39" s="19"/>
      <c r="W39" s="19"/>
      <c r="X39" s="19"/>
      <c r="Y39" s="19"/>
      <c r="Z39" s="19"/>
      <c r="AA39" s="19"/>
      <c r="AB39" s="19"/>
      <c r="AC39" s="19"/>
      <c r="AD39" s="19"/>
      <c r="AE39" s="19"/>
      <c r="AF39" s="19"/>
      <c r="AG39" s="19"/>
      <c r="AH39" s="19"/>
      <c r="AI39" s="19"/>
      <c r="AJ39" s="19"/>
      <c r="AK39" s="19"/>
      <c r="AL39" s="19"/>
      <c r="AM39" s="19"/>
      <c r="AN39" s="19"/>
      <c r="AO39" s="19"/>
      <c r="AP39" s="19"/>
      <c r="AQ39" s="19"/>
      <c r="AR39" s="19"/>
      <c r="AS39" s="19"/>
      <c r="AT39" s="19"/>
      <c r="AU39" s="19"/>
      <c r="AV39" s="19"/>
      <c r="AW39" s="19"/>
      <c r="AX39" s="19"/>
      <c r="AY39" s="19"/>
      <c r="AZ39" s="19"/>
      <c r="BA39" s="19"/>
      <c r="BB39" s="19"/>
    </row>
    <row r="40" spans="1:54" x14ac:dyDescent="0.25">
      <c r="A40" s="14" t="s">
        <v>73</v>
      </c>
      <c r="B40" s="14">
        <f>B3</f>
        <v>2011</v>
      </c>
      <c r="C40" s="14">
        <f t="shared" ref="C40:AO40" si="13">C3</f>
        <v>2012</v>
      </c>
      <c r="D40" s="14">
        <f t="shared" si="13"/>
        <v>2013</v>
      </c>
      <c r="E40" s="14">
        <f t="shared" si="13"/>
        <v>2014</v>
      </c>
      <c r="F40" s="14">
        <f t="shared" si="13"/>
        <v>2015</v>
      </c>
      <c r="G40" s="14">
        <f t="shared" si="13"/>
        <v>2016</v>
      </c>
      <c r="H40" s="14">
        <f t="shared" si="13"/>
        <v>2017</v>
      </c>
      <c r="I40" s="14">
        <f t="shared" si="13"/>
        <v>2018</v>
      </c>
      <c r="J40" s="14">
        <f t="shared" si="13"/>
        <v>2019</v>
      </c>
      <c r="K40" s="14">
        <f t="shared" si="13"/>
        <v>2020</v>
      </c>
      <c r="L40" s="14">
        <f t="shared" si="13"/>
        <v>2021</v>
      </c>
      <c r="M40" s="14">
        <f t="shared" si="13"/>
        <v>2022</v>
      </c>
      <c r="N40" s="14">
        <f t="shared" si="13"/>
        <v>2023</v>
      </c>
      <c r="O40" s="14">
        <f t="shared" si="13"/>
        <v>2024</v>
      </c>
      <c r="P40" s="14">
        <f t="shared" si="13"/>
        <v>2025</v>
      </c>
      <c r="Q40" s="14">
        <f t="shared" si="13"/>
        <v>2026</v>
      </c>
      <c r="R40" s="14">
        <f t="shared" si="13"/>
        <v>2027</v>
      </c>
      <c r="S40" s="14">
        <f t="shared" si="13"/>
        <v>2028</v>
      </c>
      <c r="T40" s="14">
        <f t="shared" si="13"/>
        <v>2029</v>
      </c>
      <c r="U40" s="14">
        <f t="shared" si="13"/>
        <v>2030</v>
      </c>
      <c r="V40" s="14">
        <f t="shared" si="13"/>
        <v>2031</v>
      </c>
      <c r="W40" s="14">
        <f t="shared" si="13"/>
        <v>2032</v>
      </c>
      <c r="X40" s="14">
        <f t="shared" si="13"/>
        <v>2033</v>
      </c>
      <c r="Y40" s="14">
        <f t="shared" si="13"/>
        <v>2034</v>
      </c>
      <c r="Z40" s="14">
        <f t="shared" si="13"/>
        <v>2035</v>
      </c>
      <c r="AA40" s="14">
        <f t="shared" si="13"/>
        <v>2036</v>
      </c>
      <c r="AB40" s="14">
        <f t="shared" si="13"/>
        <v>2037</v>
      </c>
      <c r="AC40" s="14">
        <f t="shared" si="13"/>
        <v>2038</v>
      </c>
      <c r="AD40" s="14">
        <f t="shared" si="13"/>
        <v>2039</v>
      </c>
      <c r="AE40" s="14">
        <f t="shared" si="13"/>
        <v>2040</v>
      </c>
      <c r="AF40" s="14">
        <f t="shared" si="13"/>
        <v>2041</v>
      </c>
      <c r="AG40" s="14">
        <f t="shared" si="13"/>
        <v>2042</v>
      </c>
      <c r="AH40" s="14">
        <f t="shared" si="13"/>
        <v>2043</v>
      </c>
      <c r="AI40" s="14">
        <f t="shared" si="13"/>
        <v>2044</v>
      </c>
      <c r="AJ40" s="14">
        <f t="shared" si="13"/>
        <v>2045</v>
      </c>
      <c r="AK40" s="14">
        <f t="shared" si="13"/>
        <v>2046</v>
      </c>
      <c r="AL40" s="14">
        <f t="shared" si="13"/>
        <v>2047</v>
      </c>
      <c r="AM40" s="14">
        <f t="shared" si="13"/>
        <v>2048</v>
      </c>
      <c r="AN40" s="14">
        <f t="shared" si="13"/>
        <v>2049</v>
      </c>
      <c r="AO40" s="14">
        <f t="shared" si="13"/>
        <v>2050</v>
      </c>
      <c r="AP40" s="14"/>
      <c r="AQ40" s="14"/>
      <c r="AR40" s="14"/>
      <c r="AS40" s="14"/>
      <c r="AT40" s="14"/>
      <c r="AU40" s="14"/>
      <c r="AV40" s="14"/>
      <c r="AW40" s="14"/>
      <c r="AX40" s="14"/>
      <c r="AY40" s="14"/>
      <c r="AZ40" s="14"/>
      <c r="BA40" s="14"/>
      <c r="BB40" s="14"/>
    </row>
    <row r="41" spans="1:54" x14ac:dyDescent="0.25">
      <c r="A41" s="15" t="s">
        <v>68</v>
      </c>
      <c r="B41" s="16">
        <f>'Fuel Vol and Credit Gen'!C$11</f>
        <v>355943296</v>
      </c>
      <c r="C41" s="16">
        <f>'Fuel Vol and Credit Gen'!G$11</f>
        <v>370292343</v>
      </c>
      <c r="D41" s="16">
        <f>'Fuel Vol and Credit Gen'!K$11</f>
        <v>368807852</v>
      </c>
      <c r="E41" s="16">
        <f>'Fuel Vol and Credit Gen'!O$11</f>
        <v>350786119</v>
      </c>
      <c r="F41" s="16">
        <f>'Fuel Vol and Credit Gen'!S$11</f>
        <v>372469285</v>
      </c>
      <c r="G41" s="16">
        <f>'Fuel Vol and Credit Gen'!W$11</f>
        <v>414527490</v>
      </c>
      <c r="H41" s="16">
        <f>'Fuel Vol and Credit Gen'!AA$11</f>
        <v>376822538</v>
      </c>
      <c r="I41" s="16">
        <f>'Fuel Vol and Credit Gen'!AE$11</f>
        <v>380940912</v>
      </c>
      <c r="J41" s="16">
        <f>'Fuel Vol and Credit Gen'!AI$11</f>
        <v>355104114</v>
      </c>
      <c r="K41" s="16">
        <f>'Fuel Vol and Credit Gen'!AM$11</f>
        <v>375148591</v>
      </c>
      <c r="L41" s="16">
        <f>'Fuel Vol and Credit Gen'!AQ$11</f>
        <v>285646782</v>
      </c>
      <c r="M41" s="16">
        <f>'Fuel Vol and Credit Gen'!AU$11</f>
        <v>350873873</v>
      </c>
      <c r="N41" s="16">
        <f>'Fuel Vol and Credit Gen'!AY$11</f>
        <v>347939242</v>
      </c>
      <c r="O41" s="16">
        <f>'Fuel Vol and Credit Gen'!BC$11</f>
        <v>344225384</v>
      </c>
      <c r="P41" s="17">
        <f t="shared" ref="P41:P44" si="14">FORECAST(P34,I41:O41,I34:O34)-25000000</f>
        <v>318012965.26576495</v>
      </c>
      <c r="Q41" s="17">
        <f>FORECAST(Q34,J41:P41,J34:P34)-12500000</f>
        <v>317343574.626625</v>
      </c>
      <c r="R41" s="17">
        <f>FORECAST(R34,K41:Q41,K34:Q34)-12500000</f>
        <v>312922686.67367035</v>
      </c>
      <c r="S41" s="17">
        <f t="shared" ref="S41:T44" si="15">FORECAST(S34,L41:R41,L34:R34)-12500000</f>
        <v>309639751.86580449</v>
      </c>
      <c r="T41" s="17">
        <f t="shared" si="15"/>
        <v>300097826.27788377</v>
      </c>
      <c r="U41" s="17">
        <f>FORECAST(U34,N41:T41,N34:T34)-5000000</f>
        <v>289655798.25375533</v>
      </c>
      <c r="V41" s="17">
        <f>FORECAST(V34,O41:U41,O34:U34)-5000000</f>
        <v>271530370.23423624</v>
      </c>
      <c r="W41" s="17">
        <f>FORECAST(W34,P41:V41,P34:V34)</f>
        <v>267755165.53217721</v>
      </c>
      <c r="X41" s="17">
        <f t="shared" ref="X41:AA44" si="16">FORECAST(X34,Q41:W41,Q34:W34)</f>
        <v>256920978.12987852</v>
      </c>
      <c r="Y41" s="17">
        <f t="shared" si="16"/>
        <v>247377259.91447663</v>
      </c>
      <c r="Z41" s="17">
        <f t="shared" si="16"/>
        <v>234696256.62850738</v>
      </c>
      <c r="AA41" s="17">
        <f t="shared" si="16"/>
        <v>224212044.49596286</v>
      </c>
      <c r="AB41" s="17">
        <f>FORECAST(AB34,U41:AA41,U34:AA34)</f>
        <v>214058940.94452095</v>
      </c>
      <c r="AC41" s="17">
        <f t="shared" ref="AC41:AO44" si="17">FORECAST(AC34,V41:AB41,V34:AB34)</f>
        <v>204071669.38208508</v>
      </c>
      <c r="AD41" s="17">
        <f t="shared" si="17"/>
        <v>192377288.18427658</v>
      </c>
      <c r="AE41" s="17">
        <f t="shared" si="17"/>
        <v>181309511.04612231</v>
      </c>
      <c r="AF41" s="17">
        <f t="shared" si="17"/>
        <v>170230985.38175535</v>
      </c>
      <c r="AG41" s="17">
        <f t="shared" si="17"/>
        <v>159480389.61086154</v>
      </c>
      <c r="AH41" s="17">
        <f t="shared" si="17"/>
        <v>148168805.46081567</v>
      </c>
      <c r="AI41" s="17">
        <f t="shared" si="17"/>
        <v>136738174.43479633</v>
      </c>
      <c r="AJ41" s="17">
        <f t="shared" si="17"/>
        <v>125197459.23671794</v>
      </c>
      <c r="AK41" s="17">
        <f t="shared" si="17"/>
        <v>113855564.54757142</v>
      </c>
      <c r="AL41" s="17">
        <f t="shared" si="17"/>
        <v>102282912.67076635</v>
      </c>
      <c r="AM41" s="17">
        <f t="shared" si="17"/>
        <v>90576225.767132998</v>
      </c>
      <c r="AN41" s="17">
        <f t="shared" si="17"/>
        <v>78728052.886768579</v>
      </c>
      <c r="AO41" s="17">
        <f t="shared" si="17"/>
        <v>66869664.518149614</v>
      </c>
      <c r="AP41" s="17"/>
      <c r="AQ41" s="17"/>
      <c r="AR41" s="17"/>
      <c r="AS41" s="17"/>
      <c r="AT41" s="17"/>
      <c r="AU41" s="17"/>
      <c r="AV41" s="17"/>
      <c r="AW41" s="17"/>
      <c r="AX41" s="17"/>
      <c r="AY41" s="17"/>
      <c r="AZ41" s="17"/>
      <c r="BA41" s="17"/>
      <c r="BB41" s="17"/>
    </row>
    <row r="42" spans="1:54" x14ac:dyDescent="0.25">
      <c r="A42" s="15" t="s">
        <v>69</v>
      </c>
      <c r="B42" s="16">
        <f>'Fuel Vol and Credit Gen'!D$11</f>
        <v>387851229</v>
      </c>
      <c r="C42" s="16">
        <f>'Fuel Vol and Credit Gen'!H$11</f>
        <v>374917388</v>
      </c>
      <c r="D42" s="16">
        <f>'Fuel Vol and Credit Gen'!L$11</f>
        <v>358046201</v>
      </c>
      <c r="E42" s="16">
        <f>'Fuel Vol and Credit Gen'!P$11</f>
        <v>364681336</v>
      </c>
      <c r="F42" s="16">
        <f>'Fuel Vol and Credit Gen'!T$11</f>
        <v>390499794</v>
      </c>
      <c r="G42" s="16">
        <f>'Fuel Vol and Credit Gen'!X$11</f>
        <v>397227736</v>
      </c>
      <c r="H42" s="16">
        <f>'Fuel Vol and Credit Gen'!AB$11</f>
        <v>401825385</v>
      </c>
      <c r="I42" s="16">
        <f>'Fuel Vol and Credit Gen'!AF$11</f>
        <v>386000352</v>
      </c>
      <c r="J42" s="16">
        <f>'Fuel Vol and Credit Gen'!AJ$11</f>
        <v>416323940</v>
      </c>
      <c r="K42" s="16">
        <f>'Fuel Vol and Credit Gen'!AN$11</f>
        <v>228754963</v>
      </c>
      <c r="L42" s="16">
        <f>'Fuel Vol and Credit Gen'!AR$11</f>
        <v>402071258</v>
      </c>
      <c r="M42" s="16">
        <f>'Fuel Vol and Credit Gen'!AV$11</f>
        <v>366259568</v>
      </c>
      <c r="N42" s="16">
        <f>'Fuel Vol and Credit Gen'!AZ$11</f>
        <v>296481588</v>
      </c>
      <c r="O42" s="16">
        <f>'Fuel Vol and Credit Gen'!BD$11</f>
        <v>365945518</v>
      </c>
      <c r="P42" s="17">
        <f t="shared" si="14"/>
        <v>340956090.27000201</v>
      </c>
      <c r="Q42" s="17">
        <f t="shared" ref="Q42:R44" si="18">FORECAST(Q35,J42:P42,J35:P35)-12500000</f>
        <v>354737457.45018589</v>
      </c>
      <c r="R42" s="17">
        <f t="shared" si="18"/>
        <v>345394465.2768262</v>
      </c>
      <c r="S42" s="17">
        <f t="shared" si="15"/>
        <v>319516146.77306676</v>
      </c>
      <c r="T42" s="17">
        <f t="shared" si="15"/>
        <v>317655283.19427729</v>
      </c>
      <c r="U42" s="17">
        <f t="shared" ref="U42:V44" si="19">FORECAST(U35,N42:T42,N35:T35)-5000000</f>
        <v>324090948.12714732</v>
      </c>
      <c r="V42" s="17">
        <f t="shared" si="19"/>
        <v>310282897.04054928</v>
      </c>
      <c r="W42" s="17">
        <f>FORECAST(W35,P42:V42,P35:V35)</f>
        <v>301055233.54618275</v>
      </c>
      <c r="X42" s="17">
        <f t="shared" si="16"/>
        <v>290816004.76495421</v>
      </c>
      <c r="Y42" s="17">
        <f t="shared" si="16"/>
        <v>285256357.13163936</v>
      </c>
      <c r="Z42" s="17">
        <f t="shared" si="16"/>
        <v>280615310.36734605</v>
      </c>
      <c r="AA42" s="17">
        <f t="shared" si="16"/>
        <v>271045969.13033986</v>
      </c>
      <c r="AB42" s="17">
        <f>FORECAST(AB35,U42:AA42,U35:AA35)</f>
        <v>261126844.64816535</v>
      </c>
      <c r="AC42" s="17">
        <f t="shared" si="17"/>
        <v>254074378.30157614</v>
      </c>
      <c r="AD42" s="17">
        <f t="shared" si="17"/>
        <v>246714922.81481087</v>
      </c>
      <c r="AE42" s="17">
        <f t="shared" si="17"/>
        <v>238968883.52570641</v>
      </c>
      <c r="AF42" s="17">
        <f t="shared" si="17"/>
        <v>230219247.28201091</v>
      </c>
      <c r="AG42" s="17">
        <f t="shared" si="17"/>
        <v>221496110.37438774</v>
      </c>
      <c r="AH42" s="17">
        <f t="shared" si="17"/>
        <v>213592839.43776178</v>
      </c>
      <c r="AI42" s="17">
        <f t="shared" si="17"/>
        <v>205606303.57075965</v>
      </c>
      <c r="AJ42" s="17">
        <f t="shared" si="17"/>
        <v>196970962.97189081</v>
      </c>
      <c r="AK42" s="17">
        <f t="shared" si="17"/>
        <v>188316247.34270918</v>
      </c>
      <c r="AL42" s="17">
        <f t="shared" si="17"/>
        <v>179717605.28234613</v>
      </c>
      <c r="AM42" s="17">
        <f t="shared" si="17"/>
        <v>171224646.20001936</v>
      </c>
      <c r="AN42" s="17">
        <f t="shared" si="17"/>
        <v>162603776.14586151</v>
      </c>
      <c r="AO42" s="17">
        <f t="shared" si="17"/>
        <v>153739191.08679843</v>
      </c>
      <c r="AP42" s="17"/>
      <c r="AQ42" s="17"/>
      <c r="AR42" s="17"/>
      <c r="AS42" s="17"/>
      <c r="AT42" s="17"/>
      <c r="AU42" s="17"/>
      <c r="AV42" s="17"/>
      <c r="AW42" s="17"/>
      <c r="AX42" s="17"/>
      <c r="AY42" s="17"/>
      <c r="AZ42" s="17"/>
      <c r="BA42" s="17"/>
      <c r="BB42" s="17"/>
    </row>
    <row r="43" spans="1:54" x14ac:dyDescent="0.25">
      <c r="A43" s="15" t="s">
        <v>70</v>
      </c>
      <c r="B43" s="16">
        <f>'Fuel Vol and Credit Gen'!E$11</f>
        <v>388872431</v>
      </c>
      <c r="C43" s="16">
        <f>'Fuel Vol and Credit Gen'!I$11</f>
        <v>366019124</v>
      </c>
      <c r="D43" s="16">
        <f>'Fuel Vol and Credit Gen'!M$11</f>
        <v>389863889</v>
      </c>
      <c r="E43" s="16">
        <f>'Fuel Vol and Credit Gen'!Q$11</f>
        <v>392531450</v>
      </c>
      <c r="F43" s="16">
        <f>'Fuel Vol and Credit Gen'!U$11</f>
        <v>383972772</v>
      </c>
      <c r="G43" s="16">
        <f>'Fuel Vol and Credit Gen'!Y$11</f>
        <v>404071329</v>
      </c>
      <c r="H43" s="16">
        <f>'Fuel Vol and Credit Gen'!AC$11</f>
        <v>418522596</v>
      </c>
      <c r="I43" s="16">
        <f>'Fuel Vol and Credit Gen'!AG$11</f>
        <v>433159405</v>
      </c>
      <c r="J43" s="16">
        <f>'Fuel Vol and Credit Gen'!AK$11</f>
        <v>392894297</v>
      </c>
      <c r="K43" s="16">
        <f>'Fuel Vol and Credit Gen'!AO$11</f>
        <v>365721128</v>
      </c>
      <c r="L43" s="16">
        <f>'Fuel Vol and Credit Gen'!AS$11</f>
        <v>379076451</v>
      </c>
      <c r="M43" s="16">
        <f>'Fuel Vol and Credit Gen'!AW$11</f>
        <v>383805193</v>
      </c>
      <c r="N43" s="16">
        <f>'Fuel Vol and Credit Gen'!BA$11</f>
        <v>382422796</v>
      </c>
      <c r="O43" s="17">
        <f t="shared" ref="O43:O44" si="20">FORECAST(O36,H43:N43,H36:N36)-25000000</f>
        <v>375217111.44817615</v>
      </c>
      <c r="P43" s="17">
        <f t="shared" si="14"/>
        <v>363762175.81822312</v>
      </c>
      <c r="Q43" s="17">
        <f t="shared" si="18"/>
        <v>365127093.8308748</v>
      </c>
      <c r="R43" s="17">
        <f t="shared" si="18"/>
        <v>359933006.54471129</v>
      </c>
      <c r="S43" s="17">
        <f t="shared" si="15"/>
        <v>358273886.34875166</v>
      </c>
      <c r="T43" s="17">
        <f t="shared" si="15"/>
        <v>353537055.76496392</v>
      </c>
      <c r="U43" s="17">
        <f t="shared" si="19"/>
        <v>358618003.26975644</v>
      </c>
      <c r="V43" s="17">
        <f t="shared" si="19"/>
        <v>357478977.21922159</v>
      </c>
      <c r="W43" s="17">
        <f>FORECAST(W36,P43:V43,P36:V36)</f>
        <v>354473783.16909349</v>
      </c>
      <c r="X43" s="17">
        <f t="shared" si="16"/>
        <v>352765937.67859387</v>
      </c>
      <c r="Y43" s="17">
        <f t="shared" si="16"/>
        <v>352387116.91810173</v>
      </c>
      <c r="Z43" s="17">
        <f t="shared" si="16"/>
        <v>351589118.36449325</v>
      </c>
      <c r="AA43" s="17">
        <f t="shared" si="16"/>
        <v>350687811.67417681</v>
      </c>
      <c r="AB43" s="17">
        <f>FORECAST(AB36,U43:AA43,U36:AA36)</f>
        <v>348565458.47244167</v>
      </c>
      <c r="AC43" s="17">
        <f t="shared" si="17"/>
        <v>347440999.27224892</v>
      </c>
      <c r="AD43" s="17">
        <f t="shared" si="17"/>
        <v>346577870.25816357</v>
      </c>
      <c r="AE43" s="17">
        <f t="shared" si="17"/>
        <v>345420314.38727194</v>
      </c>
      <c r="AF43" s="17">
        <f t="shared" si="17"/>
        <v>344005899.37244999</v>
      </c>
      <c r="AG43" s="17">
        <f t="shared" si="17"/>
        <v>342665792.37132931</v>
      </c>
      <c r="AH43" s="17">
        <f t="shared" si="17"/>
        <v>341392244.03392041</v>
      </c>
      <c r="AI43" s="17">
        <f t="shared" si="17"/>
        <v>340279923.74999583</v>
      </c>
      <c r="AJ43" s="17">
        <f t="shared" si="17"/>
        <v>338962212.68442667</v>
      </c>
      <c r="AK43" s="17">
        <f t="shared" si="17"/>
        <v>337592048.7006886</v>
      </c>
      <c r="AL43" s="17">
        <f t="shared" si="17"/>
        <v>336277530.34695816</v>
      </c>
      <c r="AM43" s="17">
        <f t="shared" si="17"/>
        <v>334996943.98958099</v>
      </c>
      <c r="AN43" s="17">
        <f t="shared" si="17"/>
        <v>333685647.77409661</v>
      </c>
      <c r="AO43" s="17">
        <f t="shared" si="17"/>
        <v>332339523.246333</v>
      </c>
      <c r="AP43" s="17"/>
      <c r="AQ43" s="17"/>
      <c r="AR43" s="17"/>
      <c r="AS43" s="17"/>
      <c r="AT43" s="17"/>
      <c r="AU43" s="17"/>
      <c r="AV43" s="17"/>
      <c r="AW43" s="17"/>
      <c r="AX43" s="17"/>
      <c r="AY43" s="17"/>
      <c r="AZ43" s="17"/>
      <c r="BA43" s="17"/>
      <c r="BB43" s="17"/>
    </row>
    <row r="44" spans="1:54" x14ac:dyDescent="0.25">
      <c r="A44" s="15" t="s">
        <v>71</v>
      </c>
      <c r="B44" s="16">
        <f>'Fuel Vol and Credit Gen'!F$11</f>
        <v>357487052</v>
      </c>
      <c r="C44" s="16">
        <f>'Fuel Vol and Credit Gen'!J$11</f>
        <v>363269339</v>
      </c>
      <c r="D44" s="16">
        <f>'Fuel Vol and Credit Gen'!N$11</f>
        <v>362161026</v>
      </c>
      <c r="E44" s="16">
        <f>'Fuel Vol and Credit Gen'!R$11</f>
        <v>376855202</v>
      </c>
      <c r="F44" s="16">
        <f>'Fuel Vol and Credit Gen'!V$11</f>
        <v>352283939</v>
      </c>
      <c r="G44" s="16">
        <f>'Fuel Vol and Credit Gen'!Z$11</f>
        <v>381748251</v>
      </c>
      <c r="H44" s="16">
        <f>'Fuel Vol and Credit Gen'!AD$11</f>
        <v>377787880</v>
      </c>
      <c r="I44" s="16">
        <f>'Fuel Vol and Credit Gen'!AH$11</f>
        <v>400757236</v>
      </c>
      <c r="J44" s="16">
        <f>'Fuel Vol and Credit Gen'!AL$11</f>
        <v>393077295</v>
      </c>
      <c r="K44" s="16">
        <f>'Fuel Vol and Credit Gen'!AP$11</f>
        <v>329435151</v>
      </c>
      <c r="L44" s="16">
        <f>'Fuel Vol and Credit Gen'!AT$11</f>
        <v>354054243</v>
      </c>
      <c r="M44" s="16">
        <f>'Fuel Vol and Credit Gen'!AX$11</f>
        <v>355730406</v>
      </c>
      <c r="N44" s="16">
        <f>'Fuel Vol and Credit Gen'!BB$11</f>
        <v>354633081</v>
      </c>
      <c r="O44" s="17">
        <f t="shared" si="20"/>
        <v>348107186.76912266</v>
      </c>
      <c r="P44" s="17">
        <f t="shared" si="14"/>
        <v>337123818.90572727</v>
      </c>
      <c r="Q44" s="17">
        <f t="shared" si="18"/>
        <v>345793605.8709628</v>
      </c>
      <c r="R44" s="17">
        <f t="shared" si="18"/>
        <v>337292198.13793689</v>
      </c>
      <c r="S44" s="17">
        <f t="shared" si="15"/>
        <v>337311147.11507976</v>
      </c>
      <c r="T44" s="17">
        <f t="shared" si="15"/>
        <v>335889654.85018325</v>
      </c>
      <c r="U44" s="17">
        <f t="shared" si="19"/>
        <v>339092892.10307622</v>
      </c>
      <c r="V44" s="17">
        <f t="shared" si="19"/>
        <v>336983407.45818347</v>
      </c>
      <c r="W44" s="17">
        <f>FORECAST(W37,P44:V44,P37:V37)</f>
        <v>338260642.6886214</v>
      </c>
      <c r="X44" s="17">
        <f t="shared" si="16"/>
        <v>336637816.71272993</v>
      </c>
      <c r="Y44" s="17">
        <f t="shared" si="16"/>
        <v>337407268.51154101</v>
      </c>
      <c r="Z44" s="17">
        <f t="shared" si="16"/>
        <v>337413347.52087593</v>
      </c>
      <c r="AA44" s="17">
        <f t="shared" si="16"/>
        <v>337415363.27743697</v>
      </c>
      <c r="AB44" s="17">
        <f>FORECAST(AB37,U44:AA44,U37:AA37)</f>
        <v>336810697.50400323</v>
      </c>
      <c r="AC44" s="17">
        <f t="shared" si="17"/>
        <v>337051146.08155334</v>
      </c>
      <c r="AD44" s="17">
        <f t="shared" si="17"/>
        <v>336821889.86073953</v>
      </c>
      <c r="AE44" s="17">
        <f t="shared" si="17"/>
        <v>336968114.49063861</v>
      </c>
      <c r="AF44" s="17">
        <f t="shared" si="17"/>
        <v>336715263.50446463</v>
      </c>
      <c r="AG44" s="17">
        <f t="shared" si="17"/>
        <v>336599967.90124732</v>
      </c>
      <c r="AH44" s="17">
        <f t="shared" si="17"/>
        <v>336519548.39158958</v>
      </c>
      <c r="AI44" s="17">
        <f t="shared" si="17"/>
        <v>336510669.90428191</v>
      </c>
      <c r="AJ44" s="17">
        <f t="shared" si="17"/>
        <v>336366305.57970846</v>
      </c>
      <c r="AK44" s="17">
        <f t="shared" si="17"/>
        <v>336285007.53605461</v>
      </c>
      <c r="AL44" s="17">
        <f t="shared" si="17"/>
        <v>336156769.96240354</v>
      </c>
      <c r="AM44" s="17">
        <f t="shared" si="17"/>
        <v>336094761.92318803</v>
      </c>
      <c r="AN44" s="17">
        <f t="shared" si="17"/>
        <v>336005077.29083782</v>
      </c>
      <c r="AO44" s="17">
        <f t="shared" si="17"/>
        <v>335903183.47133726</v>
      </c>
      <c r="AP44" s="17"/>
      <c r="AQ44" s="17"/>
      <c r="AR44" s="17"/>
      <c r="AS44" s="17"/>
      <c r="AT44" s="17"/>
      <c r="AU44" s="17"/>
      <c r="AV44" s="17"/>
      <c r="AW44" s="17"/>
      <c r="AX44" s="17"/>
      <c r="AY44" s="17"/>
      <c r="AZ44" s="17"/>
      <c r="BA44" s="17"/>
      <c r="BB44" s="17"/>
    </row>
    <row r="45" spans="1:54" x14ac:dyDescent="0.25">
      <c r="A45" s="15" t="s">
        <v>72</v>
      </c>
      <c r="B45" s="16">
        <f>SUM(B41:B44)</f>
        <v>1490154008</v>
      </c>
      <c r="C45" s="16">
        <f t="shared" ref="C45:AO45" si="21">SUM(C41:C44)</f>
        <v>1474498194</v>
      </c>
      <c r="D45" s="16">
        <f t="shared" si="21"/>
        <v>1478878968</v>
      </c>
      <c r="E45" s="16">
        <f t="shared" si="21"/>
        <v>1484854107</v>
      </c>
      <c r="F45" s="16">
        <f t="shared" si="21"/>
        <v>1499225790</v>
      </c>
      <c r="G45" s="16">
        <f t="shared" si="21"/>
        <v>1597574806</v>
      </c>
      <c r="H45" s="16">
        <f t="shared" si="21"/>
        <v>1574958399</v>
      </c>
      <c r="I45" s="16">
        <f t="shared" si="21"/>
        <v>1600857905</v>
      </c>
      <c r="J45" s="16">
        <f t="shared" si="21"/>
        <v>1557399646</v>
      </c>
      <c r="K45" s="16">
        <f t="shared" si="21"/>
        <v>1299059833</v>
      </c>
      <c r="L45" s="16">
        <f t="shared" si="21"/>
        <v>1420848734</v>
      </c>
      <c r="M45" s="16">
        <f t="shared" si="21"/>
        <v>1456669040</v>
      </c>
      <c r="N45" s="16">
        <f t="shared" si="21"/>
        <v>1381476707</v>
      </c>
      <c r="O45" s="17">
        <f t="shared" si="21"/>
        <v>1433495200.2172987</v>
      </c>
      <c r="P45" s="17">
        <f t="shared" si="21"/>
        <v>1359855050.2597175</v>
      </c>
      <c r="Q45" s="17">
        <f t="shared" si="21"/>
        <v>1383001731.7786484</v>
      </c>
      <c r="R45" s="17">
        <f t="shared" si="21"/>
        <v>1355542356.6331446</v>
      </c>
      <c r="S45" s="17">
        <f t="shared" si="21"/>
        <v>1324740932.1027026</v>
      </c>
      <c r="T45" s="17">
        <f t="shared" si="21"/>
        <v>1307179820.0873082</v>
      </c>
      <c r="U45" s="17">
        <f t="shared" si="21"/>
        <v>1311457641.7537353</v>
      </c>
      <c r="V45" s="17">
        <f t="shared" si="21"/>
        <v>1276275651.9521906</v>
      </c>
      <c r="W45" s="17">
        <f t="shared" si="21"/>
        <v>1261544824.9360747</v>
      </c>
      <c r="X45" s="17">
        <f t="shared" si="21"/>
        <v>1237140737.2861567</v>
      </c>
      <c r="Y45" s="17">
        <f t="shared" si="21"/>
        <v>1222428002.4757586</v>
      </c>
      <c r="Z45" s="17">
        <f t="shared" si="21"/>
        <v>1204314032.8812227</v>
      </c>
      <c r="AA45" s="17">
        <f t="shared" si="21"/>
        <v>1183361188.5779166</v>
      </c>
      <c r="AB45" s="17">
        <f t="shared" si="21"/>
        <v>1160561941.5691311</v>
      </c>
      <c r="AC45" s="17">
        <f t="shared" si="21"/>
        <v>1142638193.0374637</v>
      </c>
      <c r="AD45" s="17">
        <f t="shared" si="21"/>
        <v>1122491971.1179905</v>
      </c>
      <c r="AE45" s="17">
        <f t="shared" si="21"/>
        <v>1102666823.4497395</v>
      </c>
      <c r="AF45" s="17">
        <f t="shared" si="21"/>
        <v>1081171395.5406809</v>
      </c>
      <c r="AG45" s="17">
        <f t="shared" si="21"/>
        <v>1060242260.2578259</v>
      </c>
      <c r="AH45" s="17">
        <f t="shared" si="21"/>
        <v>1039673437.3240874</v>
      </c>
      <c r="AI45" s="17">
        <f t="shared" si="21"/>
        <v>1019135071.6598337</v>
      </c>
      <c r="AJ45" s="17">
        <f t="shared" si="21"/>
        <v>997496940.47274387</v>
      </c>
      <c r="AK45" s="17">
        <f t="shared" si="21"/>
        <v>976048868.12702382</v>
      </c>
      <c r="AL45" s="17">
        <f t="shared" si="21"/>
        <v>954434818.26247418</v>
      </c>
      <c r="AM45" s="17">
        <f t="shared" si="21"/>
        <v>932892577.87992144</v>
      </c>
      <c r="AN45" s="17">
        <f t="shared" si="21"/>
        <v>911022554.09756446</v>
      </c>
      <c r="AO45" s="17">
        <f t="shared" si="21"/>
        <v>888851562.32261825</v>
      </c>
      <c r="AP45" s="17"/>
      <c r="AQ45" s="17"/>
      <c r="AR45" s="17"/>
      <c r="AS45" s="17"/>
      <c r="AT45" s="17"/>
      <c r="AU45" s="17"/>
      <c r="AV45" s="17"/>
      <c r="AW45" s="17"/>
      <c r="AX45" s="17"/>
      <c r="AY45" s="17"/>
      <c r="AZ45" s="17"/>
      <c r="BA45" s="17"/>
      <c r="BB45" s="17"/>
    </row>
    <row r="46" spans="1:54" x14ac:dyDescent="0.25">
      <c r="B46" s="21">
        <f>B45/B38</f>
        <v>6.5696351454977084E-2</v>
      </c>
      <c r="C46" s="21">
        <f t="shared" ref="C46:AO46" si="22">C45/C38</f>
        <v>6.779680019308576E-2</v>
      </c>
      <c r="D46" s="21">
        <f t="shared" si="22"/>
        <v>6.7827607449799543E-2</v>
      </c>
      <c r="E46" s="21">
        <f t="shared" si="22"/>
        <v>6.3793141864689845E-2</v>
      </c>
      <c r="F46" s="21">
        <f t="shared" si="22"/>
        <v>6.2649319736181958E-2</v>
      </c>
      <c r="G46" s="21">
        <f t="shared" si="22"/>
        <v>6.5394725045806137E-2</v>
      </c>
      <c r="H46" s="21">
        <f t="shared" si="22"/>
        <v>6.371008888810023E-2</v>
      </c>
      <c r="I46" s="21">
        <f t="shared" si="22"/>
        <v>6.4592373062737532E-2</v>
      </c>
      <c r="J46" s="21">
        <f t="shared" si="22"/>
        <v>6.3631864620489267E-2</v>
      </c>
      <c r="K46" s="21">
        <f t="shared" si="22"/>
        <v>6.1188507832742274E-2</v>
      </c>
      <c r="L46" s="21">
        <f t="shared" si="22"/>
        <v>6.0849484549983096E-2</v>
      </c>
      <c r="M46" s="21">
        <f t="shared" si="22"/>
        <v>6.0782569894582451E-2</v>
      </c>
      <c r="N46" s="21">
        <f t="shared" si="22"/>
        <v>5.668043556150313E-2</v>
      </c>
      <c r="O46" s="21">
        <f>O45/O38</f>
        <v>5.8122151987256919E-2</v>
      </c>
      <c r="P46" s="21">
        <f t="shared" si="22"/>
        <v>5.6218237518290047E-2</v>
      </c>
      <c r="Q46" s="21">
        <f t="shared" si="22"/>
        <v>5.685541249255352E-2</v>
      </c>
      <c r="R46" s="21">
        <f t="shared" si="22"/>
        <v>5.5573482683976889E-2</v>
      </c>
      <c r="S46" s="21">
        <f t="shared" si="22"/>
        <v>5.3788494888273232E-2</v>
      </c>
      <c r="T46" s="21">
        <f t="shared" si="22"/>
        <v>5.2688902050927279E-2</v>
      </c>
      <c r="U46" s="21">
        <f t="shared" si="22"/>
        <v>5.2519208595714406E-2</v>
      </c>
      <c r="V46" s="21">
        <f t="shared" si="22"/>
        <v>5.0564429596964361E-2</v>
      </c>
      <c r="W46" s="21">
        <f t="shared" si="22"/>
        <v>4.9613213915661508E-2</v>
      </c>
      <c r="X46" s="21">
        <f t="shared" si="22"/>
        <v>4.8250761288689652E-2</v>
      </c>
      <c r="Y46" s="21">
        <f t="shared" si="22"/>
        <v>4.7295112024464354E-2</v>
      </c>
      <c r="Z46" s="21">
        <f t="shared" si="22"/>
        <v>4.621441724084531E-2</v>
      </c>
      <c r="AA46" s="21">
        <f t="shared" si="22"/>
        <v>4.5024947800391284E-2</v>
      </c>
      <c r="AB46" s="21">
        <f t="shared" si="22"/>
        <v>4.3802007104650195E-2</v>
      </c>
      <c r="AC46" s="21">
        <f t="shared" si="22"/>
        <v>4.2772370184430065E-2</v>
      </c>
      <c r="AD46" s="21">
        <f t="shared" si="22"/>
        <v>4.1674892323053381E-2</v>
      </c>
      <c r="AE46" s="21">
        <f t="shared" si="22"/>
        <v>4.0602989262079052E-2</v>
      </c>
      <c r="AF46" s="21">
        <f t="shared" si="22"/>
        <v>3.9484461401929176E-2</v>
      </c>
      <c r="AG46" s="21">
        <f t="shared" si="22"/>
        <v>3.8404190589440133E-2</v>
      </c>
      <c r="AH46" s="21">
        <f t="shared" si="22"/>
        <v>3.7351039237521463E-2</v>
      </c>
      <c r="AI46" s="21">
        <f t="shared" si="22"/>
        <v>3.6313690670660419E-2</v>
      </c>
      <c r="AJ46" s="21">
        <f t="shared" si="22"/>
        <v>3.5251885096729017E-2</v>
      </c>
      <c r="AK46" s="21">
        <f t="shared" si="22"/>
        <v>3.4211835267133617E-2</v>
      </c>
      <c r="AL46" s="21">
        <f t="shared" si="22"/>
        <v>3.3180910860092352E-2</v>
      </c>
      <c r="AM46" s="21">
        <f t="shared" si="22"/>
        <v>3.216695466727517E-2</v>
      </c>
      <c r="AN46" s="21">
        <f t="shared" si="22"/>
        <v>3.1156201747221855E-2</v>
      </c>
      <c r="AO46" s="21">
        <f t="shared" si="22"/>
        <v>3.0149665600706501E-2</v>
      </c>
      <c r="AP46" s="21"/>
      <c r="AQ46" s="21"/>
      <c r="AR46" s="21"/>
      <c r="AS46" s="21"/>
      <c r="AT46" s="21"/>
      <c r="AU46" s="21"/>
      <c r="AV46" s="21"/>
      <c r="AW46" s="21"/>
      <c r="AX46" s="21"/>
      <c r="AY46" s="21"/>
      <c r="AZ46" s="21"/>
      <c r="BA46" s="21"/>
      <c r="BB46" s="21"/>
    </row>
    <row r="47" spans="1:54" ht="18" x14ac:dyDescent="0.25">
      <c r="A47" s="11" t="s">
        <v>76</v>
      </c>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row>
    <row r="48" spans="1:54" x14ac:dyDescent="0.25">
      <c r="A48" s="14" t="s">
        <v>67</v>
      </c>
      <c r="B48" s="14">
        <f>B3</f>
        <v>2011</v>
      </c>
      <c r="C48" s="14">
        <f t="shared" ref="C48:AO48" si="23">C3</f>
        <v>2012</v>
      </c>
      <c r="D48" s="14">
        <f t="shared" si="23"/>
        <v>2013</v>
      </c>
      <c r="E48" s="14">
        <f t="shared" si="23"/>
        <v>2014</v>
      </c>
      <c r="F48" s="14">
        <f t="shared" si="23"/>
        <v>2015</v>
      </c>
      <c r="G48" s="14">
        <f t="shared" si="23"/>
        <v>2016</v>
      </c>
      <c r="H48" s="14">
        <f t="shared" si="23"/>
        <v>2017</v>
      </c>
      <c r="I48" s="14">
        <f t="shared" si="23"/>
        <v>2018</v>
      </c>
      <c r="J48" s="14">
        <f t="shared" si="23"/>
        <v>2019</v>
      </c>
      <c r="K48" s="14">
        <f t="shared" si="23"/>
        <v>2020</v>
      </c>
      <c r="L48" s="14">
        <f t="shared" si="23"/>
        <v>2021</v>
      </c>
      <c r="M48" s="14">
        <f t="shared" si="23"/>
        <v>2022</v>
      </c>
      <c r="N48" s="14">
        <f t="shared" si="23"/>
        <v>2023</v>
      </c>
      <c r="O48" s="14">
        <f t="shared" si="23"/>
        <v>2024</v>
      </c>
      <c r="P48" s="14">
        <f t="shared" si="23"/>
        <v>2025</v>
      </c>
      <c r="Q48" s="14">
        <f t="shared" si="23"/>
        <v>2026</v>
      </c>
      <c r="R48" s="14">
        <f t="shared" si="23"/>
        <v>2027</v>
      </c>
      <c r="S48" s="14">
        <f t="shared" si="23"/>
        <v>2028</v>
      </c>
      <c r="T48" s="14">
        <f t="shared" si="23"/>
        <v>2029</v>
      </c>
      <c r="U48" s="14">
        <f t="shared" si="23"/>
        <v>2030</v>
      </c>
      <c r="V48" s="14">
        <f t="shared" si="23"/>
        <v>2031</v>
      </c>
      <c r="W48" s="14">
        <f t="shared" si="23"/>
        <v>2032</v>
      </c>
      <c r="X48" s="14">
        <f t="shared" si="23"/>
        <v>2033</v>
      </c>
      <c r="Y48" s="14">
        <f t="shared" si="23"/>
        <v>2034</v>
      </c>
      <c r="Z48" s="14">
        <f t="shared" si="23"/>
        <v>2035</v>
      </c>
      <c r="AA48" s="14">
        <f t="shared" si="23"/>
        <v>2036</v>
      </c>
      <c r="AB48" s="14">
        <f t="shared" si="23"/>
        <v>2037</v>
      </c>
      <c r="AC48" s="14">
        <f t="shared" si="23"/>
        <v>2038</v>
      </c>
      <c r="AD48" s="14">
        <f t="shared" si="23"/>
        <v>2039</v>
      </c>
      <c r="AE48" s="14">
        <f t="shared" si="23"/>
        <v>2040</v>
      </c>
      <c r="AF48" s="14">
        <f t="shared" si="23"/>
        <v>2041</v>
      </c>
      <c r="AG48" s="14">
        <f t="shared" si="23"/>
        <v>2042</v>
      </c>
      <c r="AH48" s="14">
        <f t="shared" si="23"/>
        <v>2043</v>
      </c>
      <c r="AI48" s="14">
        <f t="shared" si="23"/>
        <v>2044</v>
      </c>
      <c r="AJ48" s="14">
        <f t="shared" si="23"/>
        <v>2045</v>
      </c>
      <c r="AK48" s="14">
        <f t="shared" si="23"/>
        <v>2046</v>
      </c>
      <c r="AL48" s="14">
        <f t="shared" si="23"/>
        <v>2047</v>
      </c>
      <c r="AM48" s="14">
        <f t="shared" si="23"/>
        <v>2048</v>
      </c>
      <c r="AN48" s="14">
        <f t="shared" si="23"/>
        <v>2049</v>
      </c>
      <c r="AO48" s="14">
        <f t="shared" si="23"/>
        <v>2050</v>
      </c>
      <c r="AP48" s="14"/>
      <c r="AQ48" s="14"/>
      <c r="AR48" s="14"/>
      <c r="AS48" s="14"/>
      <c r="AT48" s="14"/>
      <c r="AU48" s="14"/>
      <c r="AV48" s="14"/>
      <c r="AW48" s="14"/>
      <c r="AX48" s="14"/>
      <c r="AY48" s="14"/>
      <c r="AZ48" s="14"/>
      <c r="BA48" s="14"/>
      <c r="BB48" s="14"/>
    </row>
    <row r="49" spans="1:55" x14ac:dyDescent="0.25">
      <c r="A49" s="15" t="s">
        <v>68</v>
      </c>
      <c r="B49" s="16">
        <f>SUM('[2]D4 Gallon Forecast'!C$69:C$71)</f>
        <v>137756014</v>
      </c>
      <c r="C49" s="16">
        <f>SUM('[2]D4 Gallon Forecast'!D$69:D$71)</f>
        <v>227779932</v>
      </c>
      <c r="D49" s="16">
        <f>SUM('[2]D4 Gallon Forecast'!E$69:E$71)</f>
        <v>246699633</v>
      </c>
      <c r="E49" s="16">
        <f>SUM('[2]D4 Gallon Forecast'!F$69:F$71)</f>
        <v>217366175</v>
      </c>
      <c r="F49" s="16">
        <f>SUM('[2]D4 Gallon Forecast'!G$69:G$71)</f>
        <v>211086333</v>
      </c>
      <c r="G49" s="16">
        <f>SUM('[2]D4 Gallon Forecast'!H$69:H$71)</f>
        <v>312534835</v>
      </c>
      <c r="H49" s="16">
        <f>SUM('[2]D4 Gallon Forecast'!I$69:I$71)</f>
        <v>255907141</v>
      </c>
      <c r="I49" s="16">
        <f>SUM('[2]D4 Gallon Forecast'!J$69:J$71)</f>
        <v>371227062</v>
      </c>
      <c r="J49" s="16">
        <f>SUM('[2]D4 Gallon Forecast'!K$69:K$71)</f>
        <v>372658226</v>
      </c>
      <c r="K49" s="16">
        <f>SUM('[2]D4 Gallon Forecast'!L$69:L$71)</f>
        <v>396527478</v>
      </c>
      <c r="L49" s="16">
        <f>SUM('[2]D4 Gallon Forecast'!M$69:M$71)</f>
        <v>367520545</v>
      </c>
      <c r="M49" s="16">
        <f>SUM('[2]D4 Gallon Forecast'!N$69:N$71)</f>
        <v>337025081</v>
      </c>
      <c r="N49" s="16">
        <f>SUM('[2]D4 Gallon Forecast'!O$69:O$71)</f>
        <v>365178201</v>
      </c>
      <c r="O49" s="16">
        <f>SUM('[2]D4 Gallon Forecast'!P$69:P$71)</f>
        <v>379999977</v>
      </c>
      <c r="P49" s="17">
        <f>SUM('[2]D4 Gallon Forecast'!Q$69:Q$71)</f>
        <v>235191099</v>
      </c>
      <c r="Q49" s="17">
        <f>SUM('[2]D4 Gallon Forecast'!R$69:R$71)</f>
        <v>316298282.44135076</v>
      </c>
      <c r="R49" s="17">
        <f>SUM('[2]D4 Gallon Forecast'!S$69:S$71)</f>
        <v>301502820.1426391</v>
      </c>
      <c r="S49" s="17">
        <f>SUM('[2]D4 Gallon Forecast'!T$69:T$71)</f>
        <v>242545965.88329908</v>
      </c>
      <c r="T49" s="17">
        <f>SUM('[2]D4 Gallon Forecast'!U$69:U$71)</f>
        <v>279337295.20039624</v>
      </c>
      <c r="U49" s="17">
        <f>SUM('[2]D4 Gallon Forecast'!V$69:V$71)</f>
        <v>277405121.88493192</v>
      </c>
      <c r="V49" s="17">
        <f>SUM('[2]D4 Gallon Forecast'!W$69:W$71)</f>
        <v>293067093.23845756</v>
      </c>
      <c r="W49" s="17">
        <f>SUM('[2]D4 Gallon Forecast'!X$69:X$71)</f>
        <v>300166422.44037676</v>
      </c>
      <c r="X49" s="17">
        <f>SUM('[2]D4 Gallon Forecast'!Y$69:Y$71)</f>
        <v>298117247.48534369</v>
      </c>
      <c r="Y49" s="17">
        <f>SUM('[2]D4 Gallon Forecast'!Z$69:Z$71)</f>
        <v>285854559.99425811</v>
      </c>
      <c r="Z49" s="17">
        <f>SUM('[2]D4 Gallon Forecast'!AA$69:AA$71)</f>
        <v>277328208.32683671</v>
      </c>
      <c r="AA49" s="17">
        <f>SUM('[2]D4 Gallon Forecast'!AB$69:AB$71)</f>
        <v>231947031.98141584</v>
      </c>
      <c r="AB49" s="17">
        <f>SUM('[2]D4 Gallon Forecast'!AC$69:AC$71)</f>
        <v>187760057.78421283</v>
      </c>
      <c r="AC49" s="17">
        <f>SUM('[2]D4 Gallon Forecast'!AD$69:AD$71)</f>
        <v>184410808.68497771</v>
      </c>
      <c r="AD49" s="17">
        <f>SUM('[2]D4 Gallon Forecast'!AE$69:AE$71)</f>
        <v>150602788.31602111</v>
      </c>
      <c r="AE49" s="17">
        <f>SUM('[2]D4 Gallon Forecast'!AF$69:AF$71)</f>
        <v>88489585.398699433</v>
      </c>
      <c r="AF49" s="17">
        <f>SUM('[2]D4 Gallon Forecast'!AG$69:AG$71)</f>
        <v>97914940.85959366</v>
      </c>
      <c r="AG49" s="17">
        <f>SUM('[2]D4 Gallon Forecast'!AH$69:AH$71)</f>
        <v>96319277.037151128</v>
      </c>
      <c r="AH49" s="17">
        <f>SUM('[2]D4 Gallon Forecast'!AI$69:AI$71)</f>
        <v>79127172.214027554</v>
      </c>
      <c r="AI49" s="17">
        <f>SUM('[2]D4 Gallon Forecast'!AJ$69:AJ$71)</f>
        <v>80252120.318688303</v>
      </c>
      <c r="AJ49" s="17">
        <f>SUM('[2]D4 Gallon Forecast'!AK$69:AK$71)</f>
        <v>81084025.615429029</v>
      </c>
      <c r="AK49" s="17">
        <f>SUM('[2]D4 Gallon Forecast'!AL$69:AL$71)</f>
        <v>80990634.148369476</v>
      </c>
      <c r="AL49" s="17">
        <f>SUM('[2]D4 Gallon Forecast'!AM$69:AM$71)</f>
        <v>81246556.94049792</v>
      </c>
      <c r="AM49" s="17">
        <f>SUM('[2]D4 Gallon Forecast'!AN$69:AN$71)</f>
        <v>82826115.007050574</v>
      </c>
      <c r="AN49" s="17">
        <f>SUM('[2]D4 Gallon Forecast'!AO$69:AO$71)</f>
        <v>84467093.761450782</v>
      </c>
      <c r="AO49" s="17">
        <f>SUM('[2]D4 Gallon Forecast'!AP$69:AP$71)</f>
        <v>86532434.753869891</v>
      </c>
      <c r="AP49" s="17"/>
      <c r="AQ49" s="17"/>
      <c r="AR49" s="17"/>
      <c r="AS49" s="17"/>
      <c r="AT49" s="17"/>
      <c r="AU49" s="17"/>
      <c r="AV49" s="17"/>
      <c r="AW49" s="17"/>
      <c r="AX49" s="17"/>
      <c r="AY49" s="17"/>
      <c r="AZ49" s="17"/>
      <c r="BA49" s="17"/>
      <c r="BB49" s="17"/>
    </row>
    <row r="50" spans="1:55" x14ac:dyDescent="0.25">
      <c r="A50" s="15" t="s">
        <v>69</v>
      </c>
      <c r="B50" s="16">
        <f>SUM('[2]D4 Gallon Forecast'!C$72:C$74)</f>
        <v>225644132</v>
      </c>
      <c r="C50" s="16">
        <f>SUM('[2]D4 Gallon Forecast'!D$72:D$74)</f>
        <v>306750001</v>
      </c>
      <c r="D50" s="16">
        <f>SUM('[2]D4 Gallon Forecast'!E$72:E$74)</f>
        <v>347357820</v>
      </c>
      <c r="E50" s="16">
        <f>SUM('[2]D4 Gallon Forecast'!F$72:F$74)</f>
        <v>326456435</v>
      </c>
      <c r="F50" s="16">
        <f>SUM('[2]D4 Gallon Forecast'!G$72:G$74)</f>
        <v>358942587</v>
      </c>
      <c r="G50" s="16">
        <f>SUM('[2]D4 Gallon Forecast'!H$72:H$74)</f>
        <v>404080273</v>
      </c>
      <c r="H50" s="16">
        <f>SUM('[2]D4 Gallon Forecast'!I$72:I$74)</f>
        <v>416409298</v>
      </c>
      <c r="I50" s="16">
        <f>SUM('[2]D4 Gallon Forecast'!J$72:J$74)</f>
        <v>471421342</v>
      </c>
      <c r="J50" s="16">
        <f>SUM('[2]D4 Gallon Forecast'!K$72:K$74)</f>
        <v>469033415</v>
      </c>
      <c r="K50" s="16">
        <f>SUM('[2]D4 Gallon Forecast'!L$72:L$74)</f>
        <v>458049679</v>
      </c>
      <c r="L50" s="16">
        <f>SUM('[2]D4 Gallon Forecast'!M$72:M$74)</f>
        <v>449355562</v>
      </c>
      <c r="M50" s="16">
        <f>SUM('[2]D4 Gallon Forecast'!N$72:N$74)</f>
        <v>427016846</v>
      </c>
      <c r="N50" s="16">
        <f>SUM('[2]D4 Gallon Forecast'!O$72:O$74)</f>
        <v>450435348</v>
      </c>
      <c r="O50" s="16">
        <f>SUM('[2]D4 Gallon Forecast'!P$72:P$74)</f>
        <v>410043433</v>
      </c>
      <c r="P50" s="17">
        <f>SUM('[2]D4 Gallon Forecast'!Q$72:Q$74)</f>
        <v>409205938.33556986</v>
      </c>
      <c r="Q50" s="17">
        <f>SUM('[2]D4 Gallon Forecast'!R$72:R$74)</f>
        <v>379476363.51044178</v>
      </c>
      <c r="R50" s="17">
        <f>SUM('[2]D4 Gallon Forecast'!S$72:S$74)</f>
        <v>383164791.93776983</v>
      </c>
      <c r="S50" s="17">
        <f>SUM('[2]D4 Gallon Forecast'!T$72:T$74)</f>
        <v>308435476.33348417</v>
      </c>
      <c r="T50" s="17">
        <f>SUM('[2]D4 Gallon Forecast'!U$72:U$74)</f>
        <v>357861675.57761765</v>
      </c>
      <c r="U50" s="17">
        <f>SUM('[2]D4 Gallon Forecast'!V$72:V$74)</f>
        <v>370877684.82658815</v>
      </c>
      <c r="V50" s="17">
        <f>SUM('[2]D4 Gallon Forecast'!W$72:W$74)</f>
        <v>372218442.49893528</v>
      </c>
      <c r="W50" s="17">
        <f>SUM('[2]D4 Gallon Forecast'!X$72:X$74)</f>
        <v>386026143.86996329</v>
      </c>
      <c r="X50" s="17">
        <f>SUM('[2]D4 Gallon Forecast'!Y$72:Y$74)</f>
        <v>358584743.63751674</v>
      </c>
      <c r="Y50" s="17">
        <f>SUM('[2]D4 Gallon Forecast'!Z$72:Z$74)</f>
        <v>355395116.91848421</v>
      </c>
      <c r="Z50" s="17">
        <f>SUM('[2]D4 Gallon Forecast'!AA$72:AA$74)</f>
        <v>343793488.40479064</v>
      </c>
      <c r="AA50" s="17">
        <f>SUM('[2]D4 Gallon Forecast'!AB$72:AB$74)</f>
        <v>289591103.26911378</v>
      </c>
      <c r="AB50" s="17">
        <f>SUM('[2]D4 Gallon Forecast'!AC$72:AC$74)</f>
        <v>233571388.13435912</v>
      </c>
      <c r="AC50" s="17">
        <f>SUM('[2]D4 Gallon Forecast'!AD$72:AD$74)</f>
        <v>227587852.97326148</v>
      </c>
      <c r="AD50" s="17">
        <f>SUM('[2]D4 Gallon Forecast'!AE$72:AE$74)</f>
        <v>187068212.09717679</v>
      </c>
      <c r="AE50" s="17">
        <f>SUM('[2]D4 Gallon Forecast'!AF$72:AF$74)</f>
        <v>109887544.11972423</v>
      </c>
      <c r="AF50" s="17">
        <f>SUM('[2]D4 Gallon Forecast'!AG$72:AG$74)</f>
        <v>121661327.26825632</v>
      </c>
      <c r="AG50" s="17">
        <f>SUM('[2]D4 Gallon Forecast'!AH$72:AH$74)</f>
        <v>119489603.32435834</v>
      </c>
      <c r="AH50" s="17">
        <f>SUM('[2]D4 Gallon Forecast'!AI$72:AI$74)</f>
        <v>98079286.900319546</v>
      </c>
      <c r="AI50" s="17">
        <f>SUM('[2]D4 Gallon Forecast'!AJ$72:AJ$74)</f>
        <v>99629033.702657223</v>
      </c>
      <c r="AJ50" s="17">
        <f>SUM('[2]D4 Gallon Forecast'!AK$72:AK$74)</f>
        <v>100643039.20872369</v>
      </c>
      <c r="AK50" s="17">
        <f>SUM('[2]D4 Gallon Forecast'!AL$72:AL$74)</f>
        <v>100517322.96874827</v>
      </c>
      <c r="AL50" s="17">
        <f>SUM('[2]D4 Gallon Forecast'!AM$72:AM$74)</f>
        <v>100807861.89858279</v>
      </c>
      <c r="AM50" s="17">
        <f>SUM('[2]D4 Gallon Forecast'!AN$72:AN$74)</f>
        <v>102771826.7213636</v>
      </c>
      <c r="AN50" s="17">
        <f>SUM('[2]D4 Gallon Forecast'!AO$72:AO$74)</f>
        <v>104829350.87150756</v>
      </c>
      <c r="AO50" s="17">
        <f>SUM('[2]D4 Gallon Forecast'!AP$72:AP$74)</f>
        <v>107386098.16669965</v>
      </c>
      <c r="AP50" s="17"/>
      <c r="AQ50" s="17"/>
      <c r="AR50" s="17"/>
      <c r="AS50" s="17"/>
      <c r="AT50" s="17"/>
      <c r="AU50" s="17"/>
      <c r="AV50" s="17"/>
      <c r="AW50" s="17"/>
      <c r="AX50" s="17"/>
      <c r="AY50" s="17"/>
      <c r="AZ50" s="17"/>
      <c r="BA50" s="17"/>
      <c r="BB50" s="17"/>
    </row>
    <row r="51" spans="1:55" x14ac:dyDescent="0.25">
      <c r="A51" s="15" t="s">
        <v>70</v>
      </c>
      <c r="B51" s="16">
        <f>SUM('[2]D4 Gallon Forecast'!C$75:C$77)</f>
        <v>301706279</v>
      </c>
      <c r="C51" s="16">
        <f>SUM('[2]D4 Gallon Forecast'!D$75:D$77)</f>
        <v>274935859</v>
      </c>
      <c r="D51" s="16">
        <f>SUM('[2]D4 Gallon Forecast'!E$75:E$77)</f>
        <v>385745942</v>
      </c>
      <c r="E51" s="16">
        <f>SUM('[2]D4 Gallon Forecast'!F$75:F$77)</f>
        <v>379930478</v>
      </c>
      <c r="F51" s="16">
        <f>SUM('[2]D4 Gallon Forecast'!G$75:G$77)</f>
        <v>372603090</v>
      </c>
      <c r="G51" s="16">
        <f>SUM('[2]D4 Gallon Forecast'!H$75:H$77)</f>
        <v>446206361</v>
      </c>
      <c r="H51" s="16">
        <f>SUM('[2]D4 Gallon Forecast'!I$75:I$77)</f>
        <v>456160275</v>
      </c>
      <c r="I51" s="16">
        <f>SUM('[2]D4 Gallon Forecast'!J$75:J$77)</f>
        <v>507417523</v>
      </c>
      <c r="J51" s="16">
        <f>SUM('[2]D4 Gallon Forecast'!K$75:K$77)</f>
        <v>466711139</v>
      </c>
      <c r="K51" s="16">
        <f>SUM('[2]D4 Gallon Forecast'!L$75:L$77)</f>
        <v>502096983</v>
      </c>
      <c r="L51" s="16">
        <f>SUM('[2]D4 Gallon Forecast'!M$75:M$77)</f>
        <v>441407357</v>
      </c>
      <c r="M51" s="16">
        <f>SUM('[2]D4 Gallon Forecast'!N$75:N$77)</f>
        <v>431239929</v>
      </c>
      <c r="N51" s="16">
        <f>SUM('[2]D4 Gallon Forecast'!O$75:O$77)</f>
        <v>438809606</v>
      </c>
      <c r="O51" s="16">
        <f>SUM('[2]D4 Gallon Forecast'!P$75:P$77)</f>
        <v>415488159</v>
      </c>
      <c r="P51" s="17">
        <f>SUM('[2]D4 Gallon Forecast'!Q$75:Q$77)</f>
        <v>415571040.31925571</v>
      </c>
      <c r="Q51" s="17">
        <f>SUM('[2]D4 Gallon Forecast'!R$75:R$77)</f>
        <v>378850220.12711126</v>
      </c>
      <c r="R51" s="17">
        <f>SUM('[2]D4 Gallon Forecast'!S$75:S$77)</f>
        <v>383862591.42178458</v>
      </c>
      <c r="S51" s="17">
        <f>SUM('[2]D4 Gallon Forecast'!T$75:T$77)</f>
        <v>308474288.97302675</v>
      </c>
      <c r="T51" s="17">
        <f>SUM('[2]D4 Gallon Forecast'!U$75:U$77)</f>
        <v>360118332.55211151</v>
      </c>
      <c r="U51" s="17">
        <f>SUM('[2]D4 Gallon Forecast'!V$75:V$77)</f>
        <v>372639564.17841208</v>
      </c>
      <c r="V51" s="17">
        <f>SUM('[2]D4 Gallon Forecast'!W$75:W$77)</f>
        <v>373072358.58903122</v>
      </c>
      <c r="W51" s="17">
        <f>SUM('[2]D4 Gallon Forecast'!X$75:X$77)</f>
        <v>387234052.04872829</v>
      </c>
      <c r="X51" s="17">
        <f>SUM('[2]D4 Gallon Forecast'!Y$75:Y$77)</f>
        <v>359806877.10527742</v>
      </c>
      <c r="Y51" s="17">
        <f>SUM('[2]D4 Gallon Forecast'!Z$75:Z$77)</f>
        <v>356801334.27835798</v>
      </c>
      <c r="Z51" s="17">
        <f>SUM('[2]D4 Gallon Forecast'!AA$75:AA$77)</f>
        <v>344996988.887999</v>
      </c>
      <c r="AA51" s="17">
        <f>SUM('[2]D4 Gallon Forecast'!AB$75:AB$77)</f>
        <v>290530937.60677779</v>
      </c>
      <c r="AB51" s="17">
        <f>SUM('[2]D4 Gallon Forecast'!AC$75:AC$77)</f>
        <v>234377128.0719462</v>
      </c>
      <c r="AC51" s="17">
        <f>SUM('[2]D4 Gallon Forecast'!AD$75:AD$77)</f>
        <v>228390766.21100852</v>
      </c>
      <c r="AD51" s="17">
        <f>SUM('[2]D4 Gallon Forecast'!AE$75:AE$77)</f>
        <v>187733713.39555329</v>
      </c>
      <c r="AE51" s="17">
        <f>SUM('[2]D4 Gallon Forecast'!AF$75:AF$77)</f>
        <v>110266306.98458388</v>
      </c>
      <c r="AF51" s="17">
        <f>SUM('[2]D4 Gallon Forecast'!AG$75:AG$77)</f>
        <v>122078523.40487155</v>
      </c>
      <c r="AG51" s="17">
        <f>SUM('[2]D4 Gallon Forecast'!AH$75:AH$77)</f>
        <v>119906580.49350473</v>
      </c>
      <c r="AH51" s="17">
        <f>SUM('[2]D4 Gallon Forecast'!AI$75:AI$77)</f>
        <v>98422746.2716268</v>
      </c>
      <c r="AI51" s="17">
        <f>SUM('[2]D4 Gallon Forecast'!AJ$75:AJ$77)</f>
        <v>99976990.816354215</v>
      </c>
      <c r="AJ51" s="17">
        <f>SUM('[2]D4 Gallon Forecast'!AK$75:AK$77)</f>
        <v>100992307.46982984</v>
      </c>
      <c r="AK51" s="17">
        <f>SUM('[2]D4 Gallon Forecast'!AL$75:AL$77)</f>
        <v>100866636.98589425</v>
      </c>
      <c r="AL51" s="17">
        <f>SUM('[2]D4 Gallon Forecast'!AM$75:AM$77)</f>
        <v>101159274.01088169</v>
      </c>
      <c r="AM51" s="17">
        <f>SUM('[2]D4 Gallon Forecast'!AN$75:AN$77)</f>
        <v>103129994.37733838</v>
      </c>
      <c r="AN51" s="17">
        <f>SUM('[2]D4 Gallon Forecast'!AO$75:AO$77)</f>
        <v>105194347.13570493</v>
      </c>
      <c r="AO51" s="17">
        <f>SUM('[2]D4 Gallon Forecast'!AP$75:AP$77)</f>
        <v>107759771.60901546</v>
      </c>
      <c r="AP51" s="17"/>
      <c r="AQ51" s="17"/>
      <c r="AR51" s="17"/>
      <c r="AS51" s="17"/>
      <c r="AT51" s="17"/>
      <c r="AU51" s="17"/>
      <c r="AV51" s="17"/>
      <c r="AW51" s="17"/>
      <c r="AX51" s="17"/>
      <c r="AY51" s="17"/>
      <c r="AZ51" s="17"/>
      <c r="BA51" s="17"/>
      <c r="BB51" s="17"/>
    </row>
    <row r="52" spans="1:55" x14ac:dyDescent="0.25">
      <c r="A52" s="15" t="s">
        <v>71</v>
      </c>
      <c r="B52" s="16">
        <f>SUM('[2]D4 Gallon Forecast'!C$78:C$80)</f>
        <v>367811522</v>
      </c>
      <c r="C52" s="16">
        <f>SUM('[2]D4 Gallon Forecast'!D$78:D$80)</f>
        <v>206736209</v>
      </c>
      <c r="D52" s="16">
        <f>SUM('[2]D4 Gallon Forecast'!E$78:E$80)</f>
        <v>398782967</v>
      </c>
      <c r="E52" s="16">
        <f>SUM('[2]D4 Gallon Forecast'!F$78:F$80)</f>
        <v>382156602</v>
      </c>
      <c r="F52" s="16">
        <f>SUM('[2]D4 Gallon Forecast'!G$78:G$80)</f>
        <v>311596284</v>
      </c>
      <c r="G52" s="16">
        <f>SUM('[2]D4 Gallon Forecast'!H$78:H$80)</f>
        <v>469931153</v>
      </c>
      <c r="H52" s="16">
        <f>SUM('[2]D4 Gallon Forecast'!I$78:I$80)</f>
        <v>459773026</v>
      </c>
      <c r="I52" s="16">
        <f>SUM('[2]D4 Gallon Forecast'!J$78:J$80)</f>
        <v>505054896</v>
      </c>
      <c r="J52" s="16">
        <f>SUM('[2]D4 Gallon Forecast'!K$78:K$80)</f>
        <v>405359619</v>
      </c>
      <c r="K52" s="16">
        <f>SUM('[2]D4 Gallon Forecast'!L$78:L$80)</f>
        <v>468199498</v>
      </c>
      <c r="L52" s="16">
        <f>SUM('[2]D4 Gallon Forecast'!M$78:M$80)</f>
        <v>446343870</v>
      </c>
      <c r="M52" s="16">
        <f>SUM('[2]D4 Gallon Forecast'!N$78:N$80)</f>
        <v>424927207</v>
      </c>
      <c r="N52" s="16">
        <f>SUM('[2]D4 Gallon Forecast'!O$78:O$80)</f>
        <v>414825722</v>
      </c>
      <c r="O52" s="17">
        <f>SUM('[2]D4 Gallon Forecast'!P$78:P$80)</f>
        <v>455234923</v>
      </c>
      <c r="P52" s="17">
        <f>SUM('[2]D4 Gallon Forecast'!Q$78:Q$80)</f>
        <v>520947963.41158563</v>
      </c>
      <c r="Q52" s="17">
        <f>SUM('[2]D4 Gallon Forecast'!R$78:R$80)</f>
        <v>381664054.81394637</v>
      </c>
      <c r="R52" s="17">
        <f>SUM('[2]D4 Gallon Forecast'!S$78:S$80)</f>
        <v>405573571.19457638</v>
      </c>
      <c r="S52" s="17">
        <f>SUM('[2]D4 Gallon Forecast'!T$78:T$80)</f>
        <v>330581046.68202478</v>
      </c>
      <c r="T52" s="17">
        <f>SUM('[2]D4 Gallon Forecast'!U$78:U$80)</f>
        <v>396419932.52311343</v>
      </c>
      <c r="U52" s="17">
        <f>SUM('[2]D4 Gallon Forecast'!V$78:V$80)</f>
        <v>410634412.68536401</v>
      </c>
      <c r="V52" s="17">
        <f>SUM('[2]D4 Gallon Forecast'!W$78:W$80)</f>
        <v>398081381.56414187</v>
      </c>
      <c r="W52" s="17">
        <f>SUM('[2]D4 Gallon Forecast'!X$78:X$80)</f>
        <v>418055536.3464281</v>
      </c>
      <c r="X52" s="17">
        <f>SUM('[2]D4 Gallon Forecast'!Y$78:Y$80)</f>
        <v>370211297.6052528</v>
      </c>
      <c r="Y52" s="17">
        <f>SUM('[2]D4 Gallon Forecast'!Z$78:Z$80)</f>
        <v>376863001.04419088</v>
      </c>
      <c r="Z52" s="17">
        <f>SUM('[2]D4 Gallon Forecast'!AA$78:AA$80)</f>
        <v>362181048.00625038</v>
      </c>
      <c r="AA52" s="17">
        <f>SUM('[2]D4 Gallon Forecast'!AB$78:AB$80)</f>
        <v>307032468.8287487</v>
      </c>
      <c r="AB52" s="17">
        <f>SUM('[2]D4 Gallon Forecast'!AC$78:AC$80)</f>
        <v>247174597.55820924</v>
      </c>
      <c r="AC52" s="17">
        <f>SUM('[2]D4 Gallon Forecast'!AD$78:AD$80)</f>
        <v>239468186.7664333</v>
      </c>
      <c r="AD52" s="17">
        <f>SUM('[2]D4 Gallon Forecast'!AE$78:AE$80)</f>
        <v>197748366.97050312</v>
      </c>
      <c r="AE52" s="17">
        <f>SUM('[2]D4 Gallon Forecast'!AF$78:AF$80)</f>
        <v>116060311.14032944</v>
      </c>
      <c r="AF52" s="17">
        <f>SUM('[2]D4 Gallon Forecast'!AG$78:AG$80)</f>
        <v>128602825.66793172</v>
      </c>
      <c r="AG52" s="17">
        <f>SUM('[2]D4 Gallon Forecast'!AH$78:AH$80)</f>
        <v>126182445.75250936</v>
      </c>
      <c r="AH52" s="17">
        <f>SUM('[2]D4 Gallon Forecast'!AI$78:AI$80)</f>
        <v>103506233.85888554</v>
      </c>
      <c r="AI52" s="17">
        <f>SUM('[2]D4 Gallon Forecast'!AJ$78:AJ$80)</f>
        <v>105253329.35598652</v>
      </c>
      <c r="AJ52" s="17">
        <f>SUM('[2]D4 Gallon Forecast'!AK$78:AK$80)</f>
        <v>106302622.46608128</v>
      </c>
      <c r="AK52" s="17">
        <f>SUM('[2]D4 Gallon Forecast'!AL$78:AL$80)</f>
        <v>106171080.099501</v>
      </c>
      <c r="AL52" s="17">
        <f>SUM('[2]D4 Gallon Forecast'!AM$78:AM$80)</f>
        <v>106458812.23199326</v>
      </c>
      <c r="AM52" s="17">
        <f>SUM('[2]D4 Gallon Forecast'!AN$78:AN$80)</f>
        <v>108533969.38727139</v>
      </c>
      <c r="AN52" s="17">
        <f>SUM('[2]D4 Gallon Forecast'!AO$78:AO$80)</f>
        <v>110721838.36411911</v>
      </c>
      <c r="AO52" s="17">
        <f>SUM('[2]D4 Gallon Forecast'!AP$78:AP$80)</f>
        <v>113417218.23981144</v>
      </c>
      <c r="AP52" s="17"/>
      <c r="AQ52" s="17"/>
      <c r="AR52" s="17"/>
      <c r="AS52" s="17"/>
      <c r="AT52" s="17"/>
      <c r="AU52" s="17"/>
      <c r="AV52" s="17"/>
      <c r="AW52" s="17"/>
      <c r="AX52" s="17"/>
      <c r="AY52" s="17"/>
      <c r="AZ52" s="17"/>
      <c r="BA52" s="17"/>
      <c r="BB52" s="17"/>
    </row>
    <row r="53" spans="1:55" x14ac:dyDescent="0.25">
      <c r="A53" s="15" t="s">
        <v>72</v>
      </c>
      <c r="B53" s="16">
        <f>SUM(B49:B52)</f>
        <v>1032917947</v>
      </c>
      <c r="C53" s="16">
        <f t="shared" ref="C53:AO53" si="24">SUM(C49:C52)</f>
        <v>1016202001</v>
      </c>
      <c r="D53" s="16">
        <f t="shared" si="24"/>
        <v>1378586362</v>
      </c>
      <c r="E53" s="16">
        <f t="shared" si="24"/>
        <v>1305909690</v>
      </c>
      <c r="F53" s="16">
        <f t="shared" si="24"/>
        <v>1254228294</v>
      </c>
      <c r="G53" s="16">
        <f t="shared" si="24"/>
        <v>1632752622</v>
      </c>
      <c r="H53" s="16">
        <f t="shared" si="24"/>
        <v>1588249740</v>
      </c>
      <c r="I53" s="16">
        <f t="shared" si="24"/>
        <v>1855120823</v>
      </c>
      <c r="J53" s="16">
        <f t="shared" si="24"/>
        <v>1713762399</v>
      </c>
      <c r="K53" s="16">
        <f t="shared" si="24"/>
        <v>1824873638</v>
      </c>
      <c r="L53" s="16">
        <f t="shared" si="24"/>
        <v>1704627334</v>
      </c>
      <c r="M53" s="16">
        <f t="shared" si="24"/>
        <v>1620209063</v>
      </c>
      <c r="N53" s="16">
        <f t="shared" si="24"/>
        <v>1669248877</v>
      </c>
      <c r="O53" s="17">
        <f t="shared" si="24"/>
        <v>1660766492</v>
      </c>
      <c r="P53" s="17">
        <f t="shared" si="24"/>
        <v>1580916041.0664113</v>
      </c>
      <c r="Q53" s="17">
        <f t="shared" si="24"/>
        <v>1456288920.8928499</v>
      </c>
      <c r="R53" s="17">
        <f t="shared" si="24"/>
        <v>1474103774.6967697</v>
      </c>
      <c r="S53" s="17">
        <f t="shared" si="24"/>
        <v>1190036777.8718348</v>
      </c>
      <c r="T53" s="17">
        <f t="shared" si="24"/>
        <v>1393737235.8532388</v>
      </c>
      <c r="U53" s="17">
        <f t="shared" si="24"/>
        <v>1431556783.5752962</v>
      </c>
      <c r="V53" s="17">
        <f t="shared" si="24"/>
        <v>1436439275.8905659</v>
      </c>
      <c r="W53" s="17">
        <f t="shared" si="24"/>
        <v>1491482154.7054965</v>
      </c>
      <c r="X53" s="17">
        <f t="shared" si="24"/>
        <v>1386720165.8333907</v>
      </c>
      <c r="Y53" s="17">
        <f t="shared" si="24"/>
        <v>1374914012.2352912</v>
      </c>
      <c r="Z53" s="17">
        <f t="shared" si="24"/>
        <v>1328299733.6258767</v>
      </c>
      <c r="AA53" s="17">
        <f t="shared" si="24"/>
        <v>1119101541.6860561</v>
      </c>
      <c r="AB53" s="17">
        <f t="shared" si="24"/>
        <v>902883171.54872727</v>
      </c>
      <c r="AC53" s="17">
        <f t="shared" si="24"/>
        <v>879857614.63568091</v>
      </c>
      <c r="AD53" s="17">
        <f t="shared" si="24"/>
        <v>723153080.77925432</v>
      </c>
      <c r="AE53" s="17">
        <f t="shared" si="24"/>
        <v>424703747.64333695</v>
      </c>
      <c r="AF53" s="17">
        <f t="shared" si="24"/>
        <v>470257617.20065325</v>
      </c>
      <c r="AG53" s="17">
        <f t="shared" si="24"/>
        <v>461897906.60752356</v>
      </c>
      <c r="AH53" s="17">
        <f t="shared" si="24"/>
        <v>379135439.24485946</v>
      </c>
      <c r="AI53" s="17">
        <f t="shared" si="24"/>
        <v>385111474.19368631</v>
      </c>
      <c r="AJ53" s="17">
        <f t="shared" si="24"/>
        <v>389021994.76006383</v>
      </c>
      <c r="AK53" s="17">
        <f t="shared" si="24"/>
        <v>388545674.20251304</v>
      </c>
      <c r="AL53" s="17">
        <f t="shared" si="24"/>
        <v>389672505.08195561</v>
      </c>
      <c r="AM53" s="17">
        <f t="shared" si="24"/>
        <v>397261905.49302399</v>
      </c>
      <c r="AN53" s="17">
        <f t="shared" si="24"/>
        <v>405212630.1327824</v>
      </c>
      <c r="AO53" s="17">
        <f t="shared" si="24"/>
        <v>415095522.76939642</v>
      </c>
      <c r="AP53" s="17"/>
      <c r="AQ53" s="17"/>
      <c r="AR53" s="17"/>
      <c r="AS53" s="17"/>
      <c r="AT53" s="17"/>
      <c r="AU53" s="17"/>
      <c r="AV53" s="17"/>
      <c r="AW53" s="17"/>
      <c r="AX53" s="17"/>
      <c r="AY53" s="17"/>
      <c r="AZ53" s="17"/>
      <c r="BA53" s="17"/>
      <c r="BB53" s="17"/>
    </row>
    <row r="54" spans="1:55" x14ac:dyDescent="0.25">
      <c r="A54" s="20">
        <f>N57/N50</f>
        <v>0.13381691571861273</v>
      </c>
      <c r="B54" s="21">
        <f t="shared" ref="B54:L54" si="25">B56/B49</f>
        <v>1.4187032153819433E-2</v>
      </c>
      <c r="C54" s="21">
        <f t="shared" si="25"/>
        <v>2.1978239944333639E-2</v>
      </c>
      <c r="D54" s="21">
        <f t="shared" si="25"/>
        <v>2.2219457456590541E-2</v>
      </c>
      <c r="E54" s="21">
        <f t="shared" si="25"/>
        <v>7.3780642273343591E-2</v>
      </c>
      <c r="F54" s="21">
        <f t="shared" si="25"/>
        <v>9.3008442190333565E-2</v>
      </c>
      <c r="G54" s="21">
        <f t="shared" si="25"/>
        <v>9.241292414651954E-2</v>
      </c>
      <c r="H54" s="21">
        <f t="shared" si="25"/>
        <v>0.14918423085348759</v>
      </c>
      <c r="I54" s="21">
        <f t="shared" si="25"/>
        <v>9.8581026940325805E-2</v>
      </c>
      <c r="J54" s="21">
        <f t="shared" si="25"/>
        <v>0.11224192324685194</v>
      </c>
      <c r="K54" s="21">
        <f t="shared" si="25"/>
        <v>0.14210851738249525</v>
      </c>
      <c r="L54" s="21">
        <f t="shared" si="25"/>
        <v>0.1671254215189521</v>
      </c>
      <c r="M54" s="21">
        <f>M56/M49</f>
        <v>0.20667516433294766</v>
      </c>
      <c r="N54" s="19">
        <f>N53/M53</f>
        <v>1.0302675840543671</v>
      </c>
      <c r="O54" s="19"/>
      <c r="P54" s="19"/>
      <c r="Q54" s="19"/>
      <c r="R54" s="19"/>
      <c r="S54" s="19"/>
      <c r="T54" s="19"/>
      <c r="U54" s="19"/>
      <c r="V54" s="19"/>
      <c r="W54" s="19"/>
      <c r="X54" s="19"/>
      <c r="Y54" s="19"/>
      <c r="Z54" s="19"/>
      <c r="AA54" s="19"/>
      <c r="AB54" s="19"/>
      <c r="AC54" s="19"/>
      <c r="AD54" s="19"/>
      <c r="AE54" s="19"/>
      <c r="AF54" s="19"/>
      <c r="AG54" s="19"/>
      <c r="AH54" s="19"/>
      <c r="AI54" s="19"/>
      <c r="AJ54" s="19"/>
      <c r="AK54" s="19"/>
      <c r="AL54" s="19"/>
      <c r="AM54" s="19"/>
      <c r="AN54" s="19"/>
      <c r="AO54" s="19"/>
      <c r="AP54" s="19"/>
      <c r="AQ54" s="19"/>
      <c r="AR54" s="19"/>
      <c r="AS54" s="19"/>
      <c r="AT54" s="19"/>
      <c r="AU54" s="19"/>
      <c r="AV54" s="19"/>
      <c r="AW54" s="19"/>
      <c r="AX54" s="19"/>
      <c r="AY54" s="19"/>
      <c r="AZ54" s="19"/>
      <c r="BA54" s="19"/>
      <c r="BB54" s="19"/>
    </row>
    <row r="55" spans="1:55" x14ac:dyDescent="0.25">
      <c r="A55" s="14" t="s">
        <v>73</v>
      </c>
      <c r="B55" s="14">
        <f>B3</f>
        <v>2011</v>
      </c>
      <c r="C55" s="14">
        <f t="shared" ref="C55:AO55" si="26">C3</f>
        <v>2012</v>
      </c>
      <c r="D55" s="14">
        <f t="shared" si="26"/>
        <v>2013</v>
      </c>
      <c r="E55" s="14">
        <f t="shared" si="26"/>
        <v>2014</v>
      </c>
      <c r="F55" s="14">
        <f t="shared" si="26"/>
        <v>2015</v>
      </c>
      <c r="G55" s="14">
        <f t="shared" si="26"/>
        <v>2016</v>
      </c>
      <c r="H55" s="14">
        <f t="shared" si="26"/>
        <v>2017</v>
      </c>
      <c r="I55" s="14">
        <f t="shared" si="26"/>
        <v>2018</v>
      </c>
      <c r="J55" s="14">
        <f t="shared" si="26"/>
        <v>2019</v>
      </c>
      <c r="K55" s="14">
        <f t="shared" si="26"/>
        <v>2020</v>
      </c>
      <c r="L55" s="14">
        <f t="shared" si="26"/>
        <v>2021</v>
      </c>
      <c r="M55" s="14">
        <f t="shared" si="26"/>
        <v>2022</v>
      </c>
      <c r="N55" s="14">
        <f t="shared" si="26"/>
        <v>2023</v>
      </c>
      <c r="O55" s="14">
        <f t="shared" si="26"/>
        <v>2024</v>
      </c>
      <c r="P55" s="14">
        <f t="shared" si="26"/>
        <v>2025</v>
      </c>
      <c r="Q55" s="14">
        <f t="shared" si="26"/>
        <v>2026</v>
      </c>
      <c r="R55" s="14">
        <f t="shared" si="26"/>
        <v>2027</v>
      </c>
      <c r="S55" s="14">
        <f t="shared" si="26"/>
        <v>2028</v>
      </c>
      <c r="T55" s="14">
        <f t="shared" si="26"/>
        <v>2029</v>
      </c>
      <c r="U55" s="14">
        <f t="shared" si="26"/>
        <v>2030</v>
      </c>
      <c r="V55" s="14">
        <f t="shared" si="26"/>
        <v>2031</v>
      </c>
      <c r="W55" s="14">
        <f t="shared" si="26"/>
        <v>2032</v>
      </c>
      <c r="X55" s="14">
        <f t="shared" si="26"/>
        <v>2033</v>
      </c>
      <c r="Y55" s="14">
        <f t="shared" si="26"/>
        <v>2034</v>
      </c>
      <c r="Z55" s="14">
        <f t="shared" si="26"/>
        <v>2035</v>
      </c>
      <c r="AA55" s="14">
        <f t="shared" si="26"/>
        <v>2036</v>
      </c>
      <c r="AB55" s="14">
        <f t="shared" si="26"/>
        <v>2037</v>
      </c>
      <c r="AC55" s="14">
        <f t="shared" si="26"/>
        <v>2038</v>
      </c>
      <c r="AD55" s="14">
        <f t="shared" si="26"/>
        <v>2039</v>
      </c>
      <c r="AE55" s="14">
        <f t="shared" si="26"/>
        <v>2040</v>
      </c>
      <c r="AF55" s="14">
        <f t="shared" si="26"/>
        <v>2041</v>
      </c>
      <c r="AG55" s="14">
        <f t="shared" si="26"/>
        <v>2042</v>
      </c>
      <c r="AH55" s="14">
        <f t="shared" si="26"/>
        <v>2043</v>
      </c>
      <c r="AI55" s="14">
        <f t="shared" si="26"/>
        <v>2044</v>
      </c>
      <c r="AJ55" s="14">
        <f t="shared" si="26"/>
        <v>2045</v>
      </c>
      <c r="AK55" s="14">
        <f t="shared" si="26"/>
        <v>2046</v>
      </c>
      <c r="AL55" s="14">
        <f t="shared" si="26"/>
        <v>2047</v>
      </c>
      <c r="AM55" s="14">
        <f t="shared" si="26"/>
        <v>2048</v>
      </c>
      <c r="AN55" s="14">
        <f t="shared" si="26"/>
        <v>2049</v>
      </c>
      <c r="AO55" s="14">
        <f t="shared" si="26"/>
        <v>2050</v>
      </c>
      <c r="AP55" s="14"/>
      <c r="AQ55" s="14"/>
      <c r="AR55" s="14"/>
      <c r="AS55" s="14"/>
      <c r="AT55" s="14"/>
      <c r="AU55" s="14"/>
      <c r="AV55" s="14"/>
      <c r="AW55" s="14"/>
      <c r="AX55" s="14"/>
      <c r="AY55" s="14"/>
      <c r="AZ55" s="14"/>
      <c r="BA55" s="14"/>
      <c r="BB55" s="14"/>
    </row>
    <row r="56" spans="1:55" x14ac:dyDescent="0.25">
      <c r="A56" s="15" t="s">
        <v>68</v>
      </c>
      <c r="B56" s="16">
        <f>'Fuel Vol and Credit Gen'!C$12</f>
        <v>1954349</v>
      </c>
      <c r="C56" s="16">
        <f>'Fuel Vol and Credit Gen'!G$12</f>
        <v>5006202</v>
      </c>
      <c r="D56" s="16">
        <f>'Fuel Vol and Credit Gen'!K$12</f>
        <v>5481532</v>
      </c>
      <c r="E56" s="16">
        <f>'Fuel Vol and Credit Gen'!O$12</f>
        <v>16037416</v>
      </c>
      <c r="F56" s="16">
        <f>'Fuel Vol and Credit Gen'!S$12</f>
        <v>19632811</v>
      </c>
      <c r="G56" s="16">
        <f>'Fuel Vol and Credit Gen'!W$12</f>
        <v>28882258</v>
      </c>
      <c r="H56" s="16">
        <f>'Fuel Vol and Credit Gen'!AA$12</f>
        <v>38177310</v>
      </c>
      <c r="I56" s="16">
        <f>'Fuel Vol and Credit Gen'!AE$12</f>
        <v>36595945</v>
      </c>
      <c r="J56" s="16">
        <f>'Fuel Vol and Credit Gen'!AI$12</f>
        <v>41827876</v>
      </c>
      <c r="K56" s="16">
        <f>'Fuel Vol and Credit Gen'!AM$12</f>
        <v>56349932</v>
      </c>
      <c r="L56" s="16">
        <f>'Fuel Vol and Credit Gen'!AQ$12</f>
        <v>61422026</v>
      </c>
      <c r="M56" s="16">
        <f>'Fuel Vol and Credit Gen'!AU$12</f>
        <v>69654714</v>
      </c>
      <c r="N56" s="16">
        <f>'Fuel Vol and Credit Gen'!AY$12</f>
        <v>68541019</v>
      </c>
      <c r="O56" s="16">
        <f>'Fuel Vol and Credit Gen'!BC$12</f>
        <v>64404789</v>
      </c>
      <c r="P56" s="17">
        <f>FORECAST(P49,I56:O56,I49:O49)-2500000-10000000</f>
        <v>78891431.171170473</v>
      </c>
      <c r="Q56" s="17">
        <f>FORECAST(Q49,J56:P56,J49:P49)-7000000</f>
        <v>61120943.765449136</v>
      </c>
      <c r="R56" s="17">
        <f>FORECAST(R49,K56:Q56,K49:Q49)-5000000</f>
        <v>65205969.378807083</v>
      </c>
      <c r="S56" s="17">
        <f>FORECAST(S49,L56:R56,L49:R49)-5000000</f>
        <v>69218674.756625339</v>
      </c>
      <c r="T56" s="17">
        <f>FORECAST(T49,M56:S56,M49:S49)-5000000</f>
        <v>64986054.491051331</v>
      </c>
      <c r="U56" s="17">
        <f>FORECAST(U49,N56:T56,N49:T49)-5000000</f>
        <v>63933861.510896251</v>
      </c>
      <c r="V56" s="17">
        <f>FORECAST(V49,O56:U56,O49:U49)-5000000</f>
        <v>61613426.512063392</v>
      </c>
      <c r="W56" s="17">
        <f>FORECAST(W49,P56:V56,P49:V49)</f>
        <v>62515030.887064777</v>
      </c>
      <c r="X56" s="17">
        <f t="shared" ref="X56:AO56" si="27">FORECAST(X49,Q56:W56,Q49:W49)+2000000</f>
        <v>64994081.013200119</v>
      </c>
      <c r="Y56" s="17">
        <f t="shared" si="27"/>
        <v>66525986.030507751</v>
      </c>
      <c r="Z56" s="17">
        <f t="shared" si="27"/>
        <v>67344341.382877618</v>
      </c>
      <c r="AA56" s="17">
        <f t="shared" si="27"/>
        <v>72914767.115726739</v>
      </c>
      <c r="AB56" s="17">
        <f t="shared" si="27"/>
        <v>81125386.872185379</v>
      </c>
      <c r="AC56" s="17">
        <f t="shared" si="27"/>
        <v>83290336.138409302</v>
      </c>
      <c r="AD56" s="17">
        <f t="shared" si="27"/>
        <v>89481839.256546348</v>
      </c>
      <c r="AE56" s="17">
        <f t="shared" si="27"/>
        <v>100454903.39792667</v>
      </c>
      <c r="AF56" s="17">
        <f t="shared" si="27"/>
        <v>100157513.05448091</v>
      </c>
      <c r="AG56" s="17">
        <f t="shared" si="27"/>
        <v>101347107.01484706</v>
      </c>
      <c r="AH56" s="17">
        <f t="shared" si="27"/>
        <v>105690800.53245808</v>
      </c>
      <c r="AI56" s="17">
        <f t="shared" si="27"/>
        <v>106060304.1169761</v>
      </c>
      <c r="AJ56" s="17">
        <f t="shared" si="27"/>
        <v>106300564.44894902</v>
      </c>
      <c r="AK56" s="17">
        <f t="shared" si="27"/>
        <v>106833766.87392032</v>
      </c>
      <c r="AL56" s="17">
        <f t="shared" si="27"/>
        <v>107559588.91235004</v>
      </c>
      <c r="AM56" s="17">
        <f t="shared" si="27"/>
        <v>107681745.43115212</v>
      </c>
      <c r="AN56" s="17">
        <f t="shared" si="27"/>
        <v>107502067.88870451</v>
      </c>
      <c r="AO56" s="17">
        <f t="shared" si="27"/>
        <v>110712468.06689586</v>
      </c>
      <c r="AP56" s="17"/>
      <c r="AQ56" s="17"/>
      <c r="AR56" s="17"/>
      <c r="AS56" s="17"/>
      <c r="AT56" s="17"/>
      <c r="AU56" s="17"/>
      <c r="AV56" s="17"/>
      <c r="AW56" s="17"/>
      <c r="AX56" s="17"/>
      <c r="AY56" s="17"/>
      <c r="AZ56" s="17"/>
      <c r="BA56" s="17"/>
      <c r="BB56" s="17"/>
    </row>
    <row r="57" spans="1:55" x14ac:dyDescent="0.25">
      <c r="A57" s="15" t="s">
        <v>69</v>
      </c>
      <c r="B57" s="16">
        <f>'Fuel Vol and Credit Gen'!D$12</f>
        <v>2623187</v>
      </c>
      <c r="C57" s="16">
        <f>'Fuel Vol and Credit Gen'!H$12</f>
        <v>6502404</v>
      </c>
      <c r="D57" s="16">
        <f>'Fuel Vol and Credit Gen'!L$12</f>
        <v>13975203</v>
      </c>
      <c r="E57" s="16">
        <f>'Fuel Vol and Credit Gen'!P$12</f>
        <v>16122376</v>
      </c>
      <c r="F57" s="16">
        <f>'Fuel Vol and Credit Gen'!T$12</f>
        <v>28502517</v>
      </c>
      <c r="G57" s="16">
        <f>'Fuel Vol and Credit Gen'!X$12</f>
        <v>35790526</v>
      </c>
      <c r="H57" s="16">
        <f>'Fuel Vol and Credit Gen'!AB$12</f>
        <v>37575247</v>
      </c>
      <c r="I57" s="16">
        <f>'Fuel Vol and Credit Gen'!AF$12</f>
        <v>40693700</v>
      </c>
      <c r="J57" s="16">
        <f>'Fuel Vol and Credit Gen'!AJ$12</f>
        <v>57413156</v>
      </c>
      <c r="K57" s="16">
        <f>'Fuel Vol and Credit Gen'!AN$12</f>
        <v>59271313</v>
      </c>
      <c r="L57" s="16">
        <f>'Fuel Vol and Credit Gen'!AR$12</f>
        <v>78153595</v>
      </c>
      <c r="M57" s="16">
        <f>'Fuel Vol and Credit Gen'!AV$12</f>
        <v>68309582</v>
      </c>
      <c r="N57" s="16">
        <f>'Fuel Vol and Credit Gen'!AZ$12</f>
        <v>60275869</v>
      </c>
      <c r="O57" s="16">
        <f>'Fuel Vol and Credit Gen'!BD$12</f>
        <v>55754578</v>
      </c>
      <c r="P57" s="17">
        <f>FORECAST(P50,I57:O57,I50:O50)-2500000-15000000</f>
        <v>48998068.276747525</v>
      </c>
      <c r="Q57" s="17">
        <f t="shared" ref="Q57:U57" si="28">FORECAST(Q50,J57:P57,J50:P50)-1250000</f>
        <v>51963504.182742245</v>
      </c>
      <c r="R57" s="17">
        <f t="shared" si="28"/>
        <v>49932351.879483439</v>
      </c>
      <c r="S57" s="17">
        <f t="shared" si="28"/>
        <v>26680625.134341978</v>
      </c>
      <c r="T57" s="17">
        <f t="shared" si="28"/>
        <v>40727703.088250123</v>
      </c>
      <c r="U57" s="17">
        <f t="shared" si="28"/>
        <v>43098928.978547812</v>
      </c>
      <c r="V57" s="17">
        <f>FORECAST(V50,O57:U57,O50:U50)+2000000</f>
        <v>46802554.485772371</v>
      </c>
      <c r="W57" s="17">
        <f t="shared" ref="W57:AO57" si="29">FORECAST(W50,P57:V57,P50:V50)</f>
        <v>48433051.585389882</v>
      </c>
      <c r="X57" s="17">
        <f t="shared" si="29"/>
        <v>41830532.809001595</v>
      </c>
      <c r="Y57" s="17">
        <f t="shared" si="29"/>
        <v>40427168.401841566</v>
      </c>
      <c r="Z57" s="17">
        <f t="shared" si="29"/>
        <v>36961092.763620287</v>
      </c>
      <c r="AA57" s="17">
        <f t="shared" si="29"/>
        <v>22332641.13430091</v>
      </c>
      <c r="AB57" s="17">
        <f t="shared" si="29"/>
        <v>6989393.2310535535</v>
      </c>
      <c r="AC57" s="17">
        <f t="shared" si="29"/>
        <v>5217502.9623537585</v>
      </c>
      <c r="AD57" s="17">
        <f t="shared" si="29"/>
        <v>-5809937.3122376055</v>
      </c>
      <c r="AE57" s="17">
        <f t="shared" si="29"/>
        <v>-27148926.785798285</v>
      </c>
      <c r="AF57" s="17">
        <f t="shared" si="29"/>
        <v>-23833330.295533214</v>
      </c>
      <c r="AG57" s="17">
        <f t="shared" si="29"/>
        <v>-24414902.717421491</v>
      </c>
      <c r="AH57" s="17">
        <f t="shared" si="29"/>
        <v>-30335275.640684377</v>
      </c>
      <c r="AI57" s="17">
        <f t="shared" si="29"/>
        <v>-29911924.550840776</v>
      </c>
      <c r="AJ57" s="17">
        <f t="shared" si="29"/>
        <v>-29628549.695790455</v>
      </c>
      <c r="AK57" s="17">
        <f t="shared" si="29"/>
        <v>-29672740.761532567</v>
      </c>
      <c r="AL57" s="17">
        <f t="shared" si="29"/>
        <v>-29593609.860298168</v>
      </c>
      <c r="AM57" s="17">
        <f t="shared" si="29"/>
        <v>-29044308.173475161</v>
      </c>
      <c r="AN57" s="17">
        <f t="shared" si="29"/>
        <v>-28473793.771605182</v>
      </c>
      <c r="AO57" s="17">
        <f t="shared" si="29"/>
        <v>-27770932.859006278</v>
      </c>
      <c r="AP57" s="17"/>
      <c r="AQ57" s="17"/>
      <c r="AR57" s="17"/>
      <c r="AS57" s="17"/>
      <c r="AT57" s="17"/>
      <c r="AU57" s="17"/>
      <c r="AV57" s="17"/>
      <c r="AW57" s="17"/>
      <c r="AX57" s="17"/>
      <c r="AY57" s="17"/>
      <c r="AZ57" s="17"/>
      <c r="BA57" s="17"/>
      <c r="BB57" s="17"/>
    </row>
    <row r="58" spans="1:55" x14ac:dyDescent="0.25">
      <c r="A58" s="15" t="s">
        <v>70</v>
      </c>
      <c r="B58" s="16">
        <f>'Fuel Vol and Credit Gen'!E$12</f>
        <v>3477614</v>
      </c>
      <c r="C58" s="16">
        <f>'Fuel Vol and Credit Gen'!I$12</f>
        <v>4240695</v>
      </c>
      <c r="D58" s="16">
        <f>'Fuel Vol and Credit Gen'!M$12</f>
        <v>13936349</v>
      </c>
      <c r="E58" s="16">
        <f>'Fuel Vol and Credit Gen'!Q$12</f>
        <v>13880356</v>
      </c>
      <c r="F58" s="16">
        <f>'Fuel Vol and Credit Gen'!U$12</f>
        <v>42889152</v>
      </c>
      <c r="G58" s="16">
        <f>'Fuel Vol and Credit Gen'!Y$12</f>
        <v>45225506</v>
      </c>
      <c r="H58" s="16">
        <f>'Fuel Vol and Credit Gen'!AC$12</f>
        <v>50257498</v>
      </c>
      <c r="I58" s="16">
        <f>'Fuel Vol and Credit Gen'!AG$12</f>
        <v>49904077</v>
      </c>
      <c r="J58" s="16">
        <f>'Fuel Vol and Credit Gen'!AK$12</f>
        <v>56880071</v>
      </c>
      <c r="K58" s="16">
        <f>'Fuel Vol and Credit Gen'!AO$12</f>
        <v>69710273</v>
      </c>
      <c r="L58" s="16">
        <f>'Fuel Vol and Credit Gen'!AS$12</f>
        <v>77619602</v>
      </c>
      <c r="M58" s="16">
        <f>'Fuel Vol and Credit Gen'!AW$12</f>
        <v>72306900</v>
      </c>
      <c r="N58" s="16">
        <f>'Fuel Vol and Credit Gen'!BA$12</f>
        <v>67129512</v>
      </c>
      <c r="O58" s="17">
        <f>FORECAST(O51,H58:N58,H51:N51)+5000000-15000000</f>
        <v>61646249.053968921</v>
      </c>
      <c r="P58" s="17">
        <f>FORECAST(P51,I58:O58,I51:O51)-2500000-15000000</f>
        <v>52553264.619507283</v>
      </c>
      <c r="Q58" s="17">
        <f>FORECAST(Q51,J58:P58,J51:P51)-3500000</f>
        <v>57303008.875407279</v>
      </c>
      <c r="R58" s="17">
        <f>FORECAST(R51,K58:Q58,K51:Q51)-3500000</f>
        <v>55531148.196585611</v>
      </c>
      <c r="S58" s="17">
        <f>FORECAST(S51,L58:R58,L51:R51)-1500000</f>
        <v>32050652.939088725</v>
      </c>
      <c r="T58" s="17">
        <f>FORECAST(T51,M58:S58,M51:S51)-1500000</f>
        <v>45884708.550418407</v>
      </c>
      <c r="U58" s="17">
        <f>FORECAST(U51,N58:T58,N51:T51)-1500000</f>
        <v>48413286.711739562</v>
      </c>
      <c r="V58" s="17">
        <f>FORECAST(V51,O58:U58,O51:U51)-1500000</f>
        <v>48184918.358182698</v>
      </c>
      <c r="W58" s="17">
        <f>FORECAST(W51,P58:V58,P51:V51)+1000000</f>
        <v>53331248.023169942</v>
      </c>
      <c r="X58" s="17">
        <f>FORECAST(X51,Q58:W58,Q51:W51)+5000000</f>
        <v>51734623.423499003</v>
      </c>
      <c r="Y58" s="17">
        <f>FORECAST(Y51,R58:X58,R51:X51)+4000000</f>
        <v>50006051.524138734</v>
      </c>
      <c r="Z58" s="17">
        <f>FORECAST(Z51,S58:Y58,S51:Y51)+3000000</f>
        <v>46278506.76491987</v>
      </c>
      <c r="AA58" s="17">
        <f>FORECAST(AA51,T58:Z58,T51:Z51)+2000000</f>
        <v>42440328.110824876</v>
      </c>
      <c r="AB58" s="17">
        <f>FORECAST(AB51,U58:AA58,U51:AA51)+1000000</f>
        <v>37893611.210520148</v>
      </c>
      <c r="AC58" s="17">
        <f>FORECAST(AC51,V58:AB58,V51:AB51)+2000000</f>
        <v>38905882.681057587</v>
      </c>
      <c r="AD58" s="17">
        <f>FORECAST(AD51,W58:AC58,W51:AC51)+2000000</f>
        <v>35788352.602647334</v>
      </c>
      <c r="AE58" s="17">
        <f>FORECAST(AE51,X58:AD58,X51:AD51)+2000000</f>
        <v>30208260.948240448</v>
      </c>
      <c r="AF58" s="17">
        <f t="shared" ref="AF58:AN58" si="30">FORECAST(AF51,Y58:AE58,Y51:AE51)+2000000</f>
        <v>32627739.716587987</v>
      </c>
      <c r="AG58" s="17">
        <f t="shared" si="30"/>
        <v>33486260.402225092</v>
      </c>
      <c r="AH58" s="17">
        <f t="shared" si="30"/>
        <v>32867807.088389475</v>
      </c>
      <c r="AI58" s="17">
        <f t="shared" si="30"/>
        <v>33662034.2242871</v>
      </c>
      <c r="AJ58" s="17">
        <f t="shared" si="30"/>
        <v>34138381.197100908</v>
      </c>
      <c r="AK58" s="17">
        <f t="shared" si="30"/>
        <v>34663800.389632963</v>
      </c>
      <c r="AL58" s="17">
        <f t="shared" si="30"/>
        <v>35403919.101779491</v>
      </c>
      <c r="AM58" s="17">
        <f t="shared" si="30"/>
        <v>35980567.172606468</v>
      </c>
      <c r="AN58" s="17">
        <f t="shared" si="30"/>
        <v>36275110.125933588</v>
      </c>
      <c r="AO58" s="17">
        <f>FORECAST(AO51,AH58:AN58,AH51:AN51)+2000000</f>
        <v>40076243.671261631</v>
      </c>
      <c r="AP58" s="17"/>
      <c r="AQ58" s="17"/>
      <c r="AR58" s="17"/>
      <c r="AS58" s="17"/>
      <c r="AT58" s="17"/>
      <c r="AU58" s="17"/>
      <c r="AV58" s="17"/>
      <c r="AW58" s="17"/>
      <c r="AX58" s="17"/>
      <c r="AY58" s="17"/>
      <c r="AZ58" s="17"/>
      <c r="BA58" s="17"/>
      <c r="BB58" s="17"/>
    </row>
    <row r="59" spans="1:55" x14ac:dyDescent="0.25">
      <c r="A59" s="15" t="s">
        <v>71</v>
      </c>
      <c r="B59" s="16">
        <f>'Fuel Vol and Credit Gen'!F$12</f>
        <v>4482442</v>
      </c>
      <c r="C59" s="16">
        <f>'Fuel Vol and Credit Gen'!J$12</f>
        <v>4226644</v>
      </c>
      <c r="D59" s="16">
        <f>'Fuel Vol and Credit Gen'!N$12</f>
        <v>26508045</v>
      </c>
      <c r="E59" s="16">
        <f>'Fuel Vol and Credit Gen'!R$12</f>
        <v>20757948</v>
      </c>
      <c r="F59" s="16">
        <f>'Fuel Vol and Credit Gen'!V$12</f>
        <v>35425955</v>
      </c>
      <c r="G59" s="16">
        <f>'Fuel Vol and Credit Gen'!Z$12</f>
        <v>53450453</v>
      </c>
      <c r="H59" s="16">
        <f>'Fuel Vol and Credit Gen'!AD$12</f>
        <v>43756532</v>
      </c>
      <c r="I59" s="16">
        <f>'Fuel Vol and Credit Gen'!AH$12</f>
        <v>57231365</v>
      </c>
      <c r="J59" s="16">
        <f>'Fuel Vol and Credit Gen'!AL$12</f>
        <v>55445419</v>
      </c>
      <c r="K59" s="16">
        <f>'Fuel Vol and Credit Gen'!AP$12</f>
        <v>81113099</v>
      </c>
      <c r="L59" s="16">
        <f>'Fuel Vol and Credit Gen'!AT$12</f>
        <v>72876457</v>
      </c>
      <c r="M59" s="16">
        <f>'Fuel Vol and Credit Gen'!AX$12</f>
        <v>70892771</v>
      </c>
      <c r="N59" s="16">
        <f>'Fuel Vol and Credit Gen'!BB$12</f>
        <v>72940256</v>
      </c>
      <c r="O59" s="17">
        <f>FORECAST(O52,H59:N59,H52:N52)+5000000-15000000</f>
        <v>54434656.190726638</v>
      </c>
      <c r="P59" s="17">
        <f>FORECAST(P52,I59:O59,I52:O52)-2500000-5000000</f>
        <v>57058039.938386612</v>
      </c>
      <c r="Q59" s="17">
        <f>FORECAST(Q52,J59:P59,J52:P52)</f>
        <v>68800425.817226037</v>
      </c>
      <c r="R59" s="17">
        <f t="shared" ref="R59:T59" si="31">FORECAST(R52,K59:Q59,K52:Q52)</f>
        <v>71347684.719060674</v>
      </c>
      <c r="S59" s="17">
        <f t="shared" si="31"/>
        <v>79235565.132404864</v>
      </c>
      <c r="T59" s="17">
        <f t="shared" si="31"/>
        <v>70688919.647427604</v>
      </c>
      <c r="U59" s="17">
        <f>FORECAST(U52,N59:T59,N52:T52)+15000000</f>
        <v>83351574.160884947</v>
      </c>
      <c r="V59" s="17">
        <f>FORECAST(V52,O59:U59,O52:U52)+7000000</f>
        <v>78418645.009344265</v>
      </c>
      <c r="W59" s="17">
        <f>FORECAST(W52,P59:V59,P52:V52)+2000000</f>
        <v>73398806.771944821</v>
      </c>
      <c r="X59" s="17">
        <f>FORECAST(X52,Q59:W59,Q52:W52)+2000000</f>
        <v>77573857.302446097</v>
      </c>
      <c r="Y59" s="17">
        <f>FORECAST(Y52,R59:X59,R52:X52)+2000000</f>
        <v>78839879.603995889</v>
      </c>
      <c r="Z59" s="17">
        <f>FORECAST(Z52,S59:Y59,S52:Y52)+2000000</f>
        <v>80059581.280127823</v>
      </c>
      <c r="AA59" s="17">
        <f>FORECAST(AA52,T59:Z59,T52:Z52)</f>
        <v>81265345.000448033</v>
      </c>
      <c r="AB59" s="17">
        <f>FORECAST(AB52,U59:AA59,U52:AA52)</f>
        <v>83018171.295584053</v>
      </c>
      <c r="AC59" s="17">
        <f>FORECAST(AC52,V59:AB59,V52:AB52)</f>
        <v>84186464.808131129</v>
      </c>
      <c r="AD59" s="17">
        <f>FORECAST(AD52,W59:AC59,W52:AC52)</f>
        <v>86351066.384441853</v>
      </c>
      <c r="AE59" s="17">
        <f>FORECAST(AE52,X59:AD59,X52:AD52)</f>
        <v>89229089.262383759</v>
      </c>
      <c r="AF59" s="17">
        <f t="shared" ref="AF59:AN59" si="32">FORECAST(AF52,Y59:AE59,Y52:AE52)</f>
        <v>88554017.787106469</v>
      </c>
      <c r="AG59" s="17">
        <f t="shared" si="32"/>
        <v>88643964.060429513</v>
      </c>
      <c r="AH59" s="17">
        <f t="shared" si="32"/>
        <v>89724022.442627504</v>
      </c>
      <c r="AI59" s="17">
        <f t="shared" si="32"/>
        <v>89674564.389994174</v>
      </c>
      <c r="AJ59" s="17">
        <f t="shared" si="32"/>
        <v>89571086.620865718</v>
      </c>
      <c r="AK59" s="17">
        <f t="shared" si="32"/>
        <v>89537390.949337184</v>
      </c>
      <c r="AL59" s="17">
        <f t="shared" si="32"/>
        <v>89585415.346719041</v>
      </c>
      <c r="AM59" s="17">
        <f t="shared" si="32"/>
        <v>89478934.68917495</v>
      </c>
      <c r="AN59" s="17">
        <f t="shared" si="32"/>
        <v>89373749.522678316</v>
      </c>
      <c r="AO59" s="17">
        <f>FORECAST(AO52,AH59:AN59,AH52:AN52)</f>
        <v>89234361.554986209</v>
      </c>
      <c r="AP59" s="17"/>
      <c r="AQ59" s="17"/>
      <c r="AR59" s="17"/>
      <c r="AS59" s="17"/>
      <c r="AT59" s="17"/>
      <c r="AU59" s="17"/>
      <c r="AV59" s="17"/>
      <c r="AW59" s="17"/>
      <c r="AX59" s="17"/>
      <c r="AY59" s="17"/>
      <c r="AZ59" s="17"/>
      <c r="BA59" s="17"/>
      <c r="BB59" s="17"/>
    </row>
    <row r="60" spans="1:55" x14ac:dyDescent="0.25">
      <c r="A60" s="15" t="s">
        <v>72</v>
      </c>
      <c r="B60" s="16">
        <f>SUM(B56:B59)</f>
        <v>12537592</v>
      </c>
      <c r="C60" s="16">
        <f t="shared" ref="C60:AO60" si="33">SUM(C56:C59)</f>
        <v>19975945</v>
      </c>
      <c r="D60" s="16">
        <f t="shared" si="33"/>
        <v>59901129</v>
      </c>
      <c r="E60" s="16">
        <f t="shared" si="33"/>
        <v>66798096</v>
      </c>
      <c r="F60" s="16">
        <f t="shared" si="33"/>
        <v>126450435</v>
      </c>
      <c r="G60" s="16">
        <f t="shared" si="33"/>
        <v>163348743</v>
      </c>
      <c r="H60" s="16">
        <f t="shared" si="33"/>
        <v>169766587</v>
      </c>
      <c r="I60" s="16">
        <f t="shared" si="33"/>
        <v>184425087</v>
      </c>
      <c r="J60" s="16">
        <f t="shared" si="33"/>
        <v>211566522</v>
      </c>
      <c r="K60" s="16">
        <f t="shared" si="33"/>
        <v>266444617</v>
      </c>
      <c r="L60" s="16">
        <f t="shared" si="33"/>
        <v>290071680</v>
      </c>
      <c r="M60" s="16">
        <f t="shared" si="33"/>
        <v>281163967</v>
      </c>
      <c r="N60" s="16">
        <f t="shared" si="33"/>
        <v>268886656</v>
      </c>
      <c r="O60" s="17">
        <f t="shared" si="33"/>
        <v>236240272.24469554</v>
      </c>
      <c r="P60" s="17">
        <f t="shared" si="33"/>
        <v>237500804.0058119</v>
      </c>
      <c r="Q60" s="17">
        <f t="shared" si="33"/>
        <v>239187882.64082468</v>
      </c>
      <c r="R60" s="17">
        <f t="shared" si="33"/>
        <v>242017154.17393678</v>
      </c>
      <c r="S60" s="17">
        <f t="shared" si="33"/>
        <v>207185517.96246091</v>
      </c>
      <c r="T60" s="17">
        <f t="shared" si="33"/>
        <v>222287385.77714747</v>
      </c>
      <c r="U60" s="17">
        <f t="shared" si="33"/>
        <v>238797651.36206856</v>
      </c>
      <c r="V60" s="17">
        <f>SUM(V56:V59)</f>
        <v>235019544.3653627</v>
      </c>
      <c r="W60" s="17">
        <f t="shared" si="33"/>
        <v>237678137.26756942</v>
      </c>
      <c r="X60" s="17">
        <f t="shared" si="33"/>
        <v>236133094.54814681</v>
      </c>
      <c r="Y60" s="17">
        <f t="shared" si="33"/>
        <v>235799085.56048396</v>
      </c>
      <c r="Z60" s="17">
        <f t="shared" si="33"/>
        <v>230643522.19154561</v>
      </c>
      <c r="AA60" s="17">
        <f t="shared" si="33"/>
        <v>218953081.36130059</v>
      </c>
      <c r="AB60" s="17">
        <f t="shared" si="33"/>
        <v>209026562.60934314</v>
      </c>
      <c r="AC60" s="17">
        <f t="shared" si="33"/>
        <v>211600186.58995175</v>
      </c>
      <c r="AD60" s="17">
        <f t="shared" si="33"/>
        <v>205811320.93139791</v>
      </c>
      <c r="AE60" s="17">
        <f t="shared" si="33"/>
        <v>192743326.82275259</v>
      </c>
      <c r="AF60" s="17">
        <f t="shared" si="33"/>
        <v>197505940.26264215</v>
      </c>
      <c r="AG60" s="17">
        <f t="shared" si="33"/>
        <v>199062428.76008016</v>
      </c>
      <c r="AH60" s="17">
        <f t="shared" si="33"/>
        <v>197947354.42279068</v>
      </c>
      <c r="AI60" s="17">
        <f t="shared" si="33"/>
        <v>199484978.18041658</v>
      </c>
      <c r="AJ60" s="17">
        <f t="shared" si="33"/>
        <v>200381482.57112521</v>
      </c>
      <c r="AK60" s="17">
        <f t="shared" si="33"/>
        <v>201362217.4513579</v>
      </c>
      <c r="AL60" s="17">
        <f t="shared" si="33"/>
        <v>202955313.50055039</v>
      </c>
      <c r="AM60" s="17">
        <f t="shared" si="33"/>
        <v>204096939.11945838</v>
      </c>
      <c r="AN60" s="17">
        <f t="shared" si="33"/>
        <v>204677133.76571125</v>
      </c>
      <c r="AO60" s="17">
        <f t="shared" si="33"/>
        <v>212252140.43413743</v>
      </c>
      <c r="AP60" s="17"/>
      <c r="AQ60" s="17"/>
      <c r="AR60" s="17"/>
      <c r="AS60" s="17"/>
      <c r="AT60" s="17"/>
      <c r="AU60" s="17"/>
      <c r="AV60" s="17"/>
      <c r="AW60" s="17"/>
      <c r="AX60" s="17"/>
      <c r="AY60" s="17"/>
      <c r="AZ60" s="17"/>
      <c r="BA60" s="17"/>
      <c r="BB60" s="17"/>
      <c r="BC60" s="22">
        <f>(X60/O60)^(1/10)-1</f>
        <v>-4.5377353671272047E-5</v>
      </c>
    </row>
    <row r="61" spans="1:55" x14ac:dyDescent="0.25">
      <c r="B61" s="21">
        <f>B60/B53</f>
        <v>1.2138032877068404E-2</v>
      </c>
      <c r="C61" s="21">
        <f t="shared" ref="C61:F61" si="34">C60/C53</f>
        <v>1.9657454896115679E-2</v>
      </c>
      <c r="D61" s="21">
        <f t="shared" si="34"/>
        <v>4.3451125479797834E-2</v>
      </c>
      <c r="E61" s="21">
        <f t="shared" si="34"/>
        <v>5.1150624359024399E-2</v>
      </c>
      <c r="F61" s="21">
        <f t="shared" si="34"/>
        <v>0.1008193130428614</v>
      </c>
      <c r="G61" s="21">
        <f t="shared" ref="G61:L61" si="35">G58/G51</f>
        <v>0.10135558331944085</v>
      </c>
      <c r="H61" s="21">
        <f t="shared" si="35"/>
        <v>0.11017508703492429</v>
      </c>
      <c r="I61" s="21">
        <f t="shared" si="35"/>
        <v>9.8349139984272874E-2</v>
      </c>
      <c r="J61" s="21">
        <f t="shared" si="35"/>
        <v>0.12187425207350794</v>
      </c>
      <c r="K61" s="21">
        <f t="shared" si="35"/>
        <v>0.13883826304528901</v>
      </c>
      <c r="L61" s="21">
        <f t="shared" si="35"/>
        <v>0.17584573697986641</v>
      </c>
      <c r="M61" s="21">
        <f t="shared" ref="M61:T61" si="36">M60/M53</f>
        <v>0.17353560933636131</v>
      </c>
      <c r="N61" s="21">
        <f t="shared" si="36"/>
        <v>0.16108242437954925</v>
      </c>
      <c r="O61" s="21">
        <f t="shared" si="36"/>
        <v>0.14224773523711939</v>
      </c>
      <c r="P61" s="21">
        <f t="shared" si="36"/>
        <v>0.15022986536692048</v>
      </c>
      <c r="Q61" s="21">
        <f t="shared" si="36"/>
        <v>0.16424480005944062</v>
      </c>
      <c r="R61" s="21">
        <f t="shared" si="36"/>
        <v>0.16417918353388714</v>
      </c>
      <c r="S61" s="21">
        <f t="shared" si="36"/>
        <v>0.17410009658102726</v>
      </c>
      <c r="T61" s="21">
        <f t="shared" si="36"/>
        <v>0.15949016791609522</v>
      </c>
      <c r="U61" s="21">
        <f>U60/U53</f>
        <v>0.16680976549576626</v>
      </c>
      <c r="V61" s="21">
        <f>V60/V53</f>
        <v>0.16361258586420571</v>
      </c>
      <c r="W61" s="21">
        <f t="shared" ref="W61:AO61" si="37">W60/W53</f>
        <v>0.15935701041927694</v>
      </c>
      <c r="X61" s="21">
        <f t="shared" si="37"/>
        <v>0.1702817196764681</v>
      </c>
      <c r="Y61" s="21">
        <f t="shared" si="37"/>
        <v>0.17150096912397406</v>
      </c>
      <c r="Z61" s="21">
        <f t="shared" si="37"/>
        <v>0.17363816038866095</v>
      </c>
      <c r="AA61" s="21">
        <f t="shared" si="37"/>
        <v>0.19565077270059195</v>
      </c>
      <c r="AB61" s="21">
        <f t="shared" si="37"/>
        <v>0.2315100881222508</v>
      </c>
      <c r="AC61" s="21">
        <f t="shared" si="37"/>
        <v>0.24049366973719741</v>
      </c>
      <c r="AD61" s="21">
        <f t="shared" si="37"/>
        <v>0.28460270225167267</v>
      </c>
      <c r="AE61" s="21">
        <f t="shared" si="37"/>
        <v>0.45383005893467415</v>
      </c>
      <c r="AF61" s="21">
        <f t="shared" si="37"/>
        <v>0.41999519633164972</v>
      </c>
      <c r="AG61" s="21">
        <f t="shared" si="37"/>
        <v>0.43096629344376802</v>
      </c>
      <c r="AH61" s="21">
        <f t="shared" si="37"/>
        <v>0.52210195601089426</v>
      </c>
      <c r="AI61" s="21">
        <f t="shared" si="37"/>
        <v>0.51799281908720396</v>
      </c>
      <c r="AJ61" s="21">
        <f t="shared" si="37"/>
        <v>0.51509036833435096</v>
      </c>
      <c r="AK61" s="21">
        <f t="shared" si="37"/>
        <v>0.51824593817612896</v>
      </c>
      <c r="AL61" s="21">
        <f t="shared" si="37"/>
        <v>0.52083560131568685</v>
      </c>
      <c r="AM61" s="21">
        <f t="shared" si="37"/>
        <v>0.51375915056884902</v>
      </c>
      <c r="AN61" s="21">
        <f t="shared" si="37"/>
        <v>0.50511044954013762</v>
      </c>
      <c r="AO61" s="21">
        <f t="shared" si="37"/>
        <v>0.51133324449768325</v>
      </c>
      <c r="AP61" s="21"/>
      <c r="AQ61" s="21"/>
      <c r="AR61" s="21"/>
      <c r="AS61" s="21"/>
      <c r="AT61" s="21"/>
      <c r="AU61" s="21"/>
      <c r="AV61" s="21"/>
      <c r="AW61" s="21"/>
      <c r="AX61" s="21"/>
      <c r="AY61" s="21"/>
      <c r="AZ61" s="21"/>
      <c r="BA61" s="21"/>
      <c r="BB61" s="21"/>
    </row>
    <row r="62" spans="1:55" ht="18" x14ac:dyDescent="0.25">
      <c r="A62" s="11" t="s">
        <v>77</v>
      </c>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c r="AX62" s="12"/>
      <c r="AY62" s="12"/>
      <c r="AZ62" s="12"/>
      <c r="BA62" s="12"/>
      <c r="BB62" s="12"/>
    </row>
    <row r="63" spans="1:55" x14ac:dyDescent="0.25">
      <c r="A63" s="14" t="s">
        <v>67</v>
      </c>
      <c r="B63" s="14">
        <f>B3</f>
        <v>2011</v>
      </c>
      <c r="C63" s="14">
        <f t="shared" ref="C63:AO63" si="38">C3</f>
        <v>2012</v>
      </c>
      <c r="D63" s="14">
        <f t="shared" si="38"/>
        <v>2013</v>
      </c>
      <c r="E63" s="14">
        <f t="shared" si="38"/>
        <v>2014</v>
      </c>
      <c r="F63" s="14">
        <f t="shared" si="38"/>
        <v>2015</v>
      </c>
      <c r="G63" s="14">
        <f t="shared" si="38"/>
        <v>2016</v>
      </c>
      <c r="H63" s="14">
        <f t="shared" si="38"/>
        <v>2017</v>
      </c>
      <c r="I63" s="14">
        <f t="shared" si="38"/>
        <v>2018</v>
      </c>
      <c r="J63" s="14">
        <f t="shared" si="38"/>
        <v>2019</v>
      </c>
      <c r="K63" s="14">
        <f t="shared" si="38"/>
        <v>2020</v>
      </c>
      <c r="L63" s="14">
        <f t="shared" si="38"/>
        <v>2021</v>
      </c>
      <c r="M63" s="14">
        <f t="shared" si="38"/>
        <v>2022</v>
      </c>
      <c r="N63" s="14">
        <f t="shared" si="38"/>
        <v>2023</v>
      </c>
      <c r="O63" s="14">
        <f t="shared" si="38"/>
        <v>2024</v>
      </c>
      <c r="P63" s="14">
        <f t="shared" si="38"/>
        <v>2025</v>
      </c>
      <c r="Q63" s="14">
        <f t="shared" si="38"/>
        <v>2026</v>
      </c>
      <c r="R63" s="14">
        <f t="shared" si="38"/>
        <v>2027</v>
      </c>
      <c r="S63" s="14">
        <f t="shared" si="38"/>
        <v>2028</v>
      </c>
      <c r="T63" s="14">
        <f t="shared" si="38"/>
        <v>2029</v>
      </c>
      <c r="U63" s="14">
        <f t="shared" si="38"/>
        <v>2030</v>
      </c>
      <c r="V63" s="14">
        <f t="shared" si="38"/>
        <v>2031</v>
      </c>
      <c r="W63" s="14">
        <f t="shared" si="38"/>
        <v>2032</v>
      </c>
      <c r="X63" s="14">
        <f t="shared" si="38"/>
        <v>2033</v>
      </c>
      <c r="Y63" s="14">
        <f t="shared" si="38"/>
        <v>2034</v>
      </c>
      <c r="Z63" s="14">
        <f t="shared" si="38"/>
        <v>2035</v>
      </c>
      <c r="AA63" s="14">
        <f t="shared" si="38"/>
        <v>2036</v>
      </c>
      <c r="AB63" s="14">
        <f t="shared" si="38"/>
        <v>2037</v>
      </c>
      <c r="AC63" s="14">
        <f t="shared" si="38"/>
        <v>2038</v>
      </c>
      <c r="AD63" s="14">
        <f t="shared" si="38"/>
        <v>2039</v>
      </c>
      <c r="AE63" s="14">
        <f t="shared" si="38"/>
        <v>2040</v>
      </c>
      <c r="AF63" s="14">
        <f t="shared" si="38"/>
        <v>2041</v>
      </c>
      <c r="AG63" s="14">
        <f t="shared" si="38"/>
        <v>2042</v>
      </c>
      <c r="AH63" s="14">
        <f t="shared" si="38"/>
        <v>2043</v>
      </c>
      <c r="AI63" s="14">
        <f t="shared" si="38"/>
        <v>2044</v>
      </c>
      <c r="AJ63" s="14">
        <f t="shared" si="38"/>
        <v>2045</v>
      </c>
      <c r="AK63" s="14">
        <f t="shared" si="38"/>
        <v>2046</v>
      </c>
      <c r="AL63" s="14">
        <f t="shared" si="38"/>
        <v>2047</v>
      </c>
      <c r="AM63" s="14">
        <f t="shared" si="38"/>
        <v>2048</v>
      </c>
      <c r="AN63" s="14">
        <f t="shared" si="38"/>
        <v>2049</v>
      </c>
      <c r="AO63" s="14">
        <f t="shared" si="38"/>
        <v>2050</v>
      </c>
      <c r="AP63" s="14"/>
      <c r="AQ63" s="14"/>
      <c r="AR63" s="14"/>
      <c r="AS63" s="14"/>
      <c r="AT63" s="14"/>
      <c r="AU63" s="14"/>
      <c r="AV63" s="14"/>
      <c r="AW63" s="14"/>
      <c r="AX63" s="14"/>
      <c r="AY63" s="14"/>
      <c r="AZ63" s="14"/>
      <c r="BA63" s="14"/>
      <c r="BB63" s="14"/>
    </row>
    <row r="64" spans="1:55" x14ac:dyDescent="0.25">
      <c r="A64" s="15" t="s">
        <v>68</v>
      </c>
      <c r="B64" s="16">
        <f>SUM('[2]D4 Gallon Forecast'!C$133:C$135)+SUM('[2]D5 Gallon Forecast'!C$120:C$122)+SUM('[2]D6 Gallon Forecast'!C$218:C$220)+SUM('[2]D4 Gallon Forecast'!C$197:C$199)</f>
        <v>8541444</v>
      </c>
      <c r="C64" s="16">
        <f>SUM('[2]D4 Gallon Forecast'!D$133:D$135)+SUM('[2]D5 Gallon Forecast'!D$120:D$122)+SUM('[2]D6 Gallon Forecast'!D$218:D$220)+SUM('[2]D4 Gallon Forecast'!D$197:D$199)</f>
        <v>15879546</v>
      </c>
      <c r="D64" s="16">
        <f>SUM('[2]D4 Gallon Forecast'!E$133:E$135)+SUM('[2]D5 Gallon Forecast'!E$120:E$122)+SUM('[2]D6 Gallon Forecast'!E$218:E$220)+SUM('[2]D4 Gallon Forecast'!E$197:E$199)</f>
        <v>24175969</v>
      </c>
      <c r="E64" s="16">
        <f>SUM('[2]D4 Gallon Forecast'!F$133:F$135)+SUM('[2]D5 Gallon Forecast'!F$120:F$122)+SUM('[2]D6 Gallon Forecast'!F$218:F$220)+SUM('[2]D4 Gallon Forecast'!F$197:F$199)</f>
        <v>92593746</v>
      </c>
      <c r="F64" s="16">
        <f>SUM('[2]D4 Gallon Forecast'!G$133:G$135)+SUM('[2]D5 Gallon Forecast'!G$120:G$122)+SUM('[2]D6 Gallon Forecast'!G$218:G$220)+SUM('[2]D4 Gallon Forecast'!G$197:G$199)</f>
        <v>73535181</v>
      </c>
      <c r="G64" s="16">
        <f>SUM('[2]D4 Gallon Forecast'!H$133:H$135)+SUM('[2]D5 Gallon Forecast'!H$120:H$122)+SUM('[2]D6 Gallon Forecast'!H$218:H$220)+SUM('[2]D4 Gallon Forecast'!H$197:H$199)</f>
        <v>69724240</v>
      </c>
      <c r="H64" s="16">
        <f>SUM('[2]D4 Gallon Forecast'!I$133:I$135)+SUM('[2]D5 Gallon Forecast'!I$120:I$122)+SUM('[2]D6 Gallon Forecast'!I$218:I$220)+SUM('[2]D4 Gallon Forecast'!I$197:I$199)</f>
        <v>102422003</v>
      </c>
      <c r="I64" s="16">
        <f>SUM('[2]D4 Gallon Forecast'!J$133:J$135)+SUM('[2]D5 Gallon Forecast'!J$120:J$122)+SUM('[2]D6 Gallon Forecast'!J$218:J$220)+SUM('[2]D4 Gallon Forecast'!J$197:J$199)</f>
        <v>105722953</v>
      </c>
      <c r="J64" s="16">
        <f>SUM('[2]D4 Gallon Forecast'!K$133:K$135)+SUM('[2]D5 Gallon Forecast'!K$120:K$122)+SUM('[2]D6 Gallon Forecast'!K$218:K$220)+SUM('[2]D4 Gallon Forecast'!K$197:K$199)</f>
        <v>169117957</v>
      </c>
      <c r="K64" s="16">
        <f>SUM('[2]D4 Gallon Forecast'!L$133:L$135)+SUM('[2]D5 Gallon Forecast'!L$120:L$122)+SUM('[2]D6 Gallon Forecast'!L$218:L$220)+SUM('[2]D4 Gallon Forecast'!L$197:L$199)</f>
        <v>203014097</v>
      </c>
      <c r="L64" s="16">
        <f>SUM('[2]D4 Gallon Forecast'!M$133:M$135)+SUM('[2]D5 Gallon Forecast'!M$120:M$122)+SUM('[2]D6 Gallon Forecast'!M$218:M$220)+SUM('[2]D4 Gallon Forecast'!M$197:M$199)</f>
        <v>258541578</v>
      </c>
      <c r="M64" s="16">
        <f>SUM('[2]D4 Gallon Forecast'!N$133:N$135)+SUM('[2]D5 Gallon Forecast'!N$120:N$122)+SUM('[2]D6 Gallon Forecast'!N$218:N$220)+SUM('[2]D4 Gallon Forecast'!N$197:N$199)</f>
        <v>403899703</v>
      </c>
      <c r="N64" s="16">
        <f>SUM('[2]D4 Gallon Forecast'!O$133:O$135)+SUM('[2]D5 Gallon Forecast'!O$120:O$122)+SUM('[2]D6 Gallon Forecast'!O$218:O$220)+SUM('[2]D4 Gallon Forecast'!O$197:O$199)</f>
        <v>574934279</v>
      </c>
      <c r="O64" s="16">
        <f>SUM('[2]D4 Gallon Forecast'!P$133:P$135)+SUM('[2]D5 Gallon Forecast'!P$120:P$122)+SUM('[2]D6 Gallon Forecast'!P$218:P$220)+SUM('[2]D4 Gallon Forecast'!P$197:P$199)</f>
        <v>782601500</v>
      </c>
      <c r="P64" s="17">
        <f>SUM('[2]D4 Gallon Forecast'!Q$133:Q$135)+SUM('[2]D5 Gallon Forecast'!Q$120:Q$122)+SUM('[2]D6 Gallon Forecast'!Q$218:Q$220)+SUM('[2]D4 Gallon Forecast'!Q$197:Q$199)</f>
        <v>640303177</v>
      </c>
      <c r="Q64" s="17">
        <f>SUM('[2]D4 Gallon Forecast'!R$133:R$135)+SUM('[2]D5 Gallon Forecast'!R$120:R$122)+SUM('[2]D6 Gallon Forecast'!R$218:R$220)+SUM('[2]D4 Gallon Forecast'!R$197:R$199)</f>
        <v>630522994.55303669</v>
      </c>
      <c r="R64" s="17">
        <f>SUM('[2]D4 Gallon Forecast'!S$133:S$135)+SUM('[2]D5 Gallon Forecast'!S$120:S$122)+SUM('[2]D6 Gallon Forecast'!S$218:S$220)+SUM('[2]D4 Gallon Forecast'!S$197:S$199)</f>
        <v>682041615.56697392</v>
      </c>
      <c r="S64" s="17">
        <f>SUM('[2]Monthly Gallon Summary'!T$83:T$85)</f>
        <v>633517927.49372292</v>
      </c>
      <c r="T64" s="17">
        <f>SUM('[2]Monthly Gallon Summary'!U$83:U$85)</f>
        <v>638914060.76201797</v>
      </c>
      <c r="U64" s="17">
        <f>SUM('[2]Monthly Gallon Summary'!V$83:V$85)</f>
        <v>669774061.59295225</v>
      </c>
      <c r="V64" s="17">
        <f>SUM('[2]Monthly Gallon Summary'!W$83:W$85)</f>
        <v>725464539.31088948</v>
      </c>
      <c r="W64" s="17">
        <f>SUM('[2]Monthly Gallon Summary'!X$83:X$85)</f>
        <v>860274122.57709241</v>
      </c>
      <c r="X64" s="17">
        <f>SUM('[2]Monthly Gallon Summary'!Y$83:Y$85)</f>
        <v>856257827.27485991</v>
      </c>
      <c r="Y64" s="17">
        <f>SUM('[2]Monthly Gallon Summary'!Z$83:Z$85)</f>
        <v>832811584.04838288</v>
      </c>
      <c r="Z64" s="17">
        <f>SUM('[2]D4 Gallon Forecast'!AA$133:AA$135)+SUM('[2]D5 Gallon Forecast'!AA$120:AA$122)+SUM('[2]D6 Gallon Forecast'!AA$218:AA$220)+SUM('[2]D4 Gallon Forecast'!AA$197:AA$199)</f>
        <v>916109443.67809188</v>
      </c>
      <c r="AA64" s="17">
        <f>SUM('[2]D4 Gallon Forecast'!AB$133:AB$135)+SUM('[2]D5 Gallon Forecast'!AB$120:AB$122)+SUM('[2]D6 Gallon Forecast'!AB$218:AB$220)+SUM('[2]D4 Gallon Forecast'!AB$197:AB$199)</f>
        <v>967254278.17846096</v>
      </c>
      <c r="AB64" s="17">
        <f>SUM('[2]D4 Gallon Forecast'!AC$133:AC$135)+SUM('[2]D5 Gallon Forecast'!AC$120:AC$122)+SUM('[2]D6 Gallon Forecast'!AC$218:AC$220)+SUM('[2]D4 Gallon Forecast'!AC$197:AC$199)</f>
        <v>1093792679.873704</v>
      </c>
      <c r="AC64" s="17">
        <f>SUM('[2]D4 Gallon Forecast'!AD$133:AD$135)+SUM('[2]D5 Gallon Forecast'!AD$120:AD$122)+SUM('[2]D6 Gallon Forecast'!AD$218:AD$220)+SUM('[2]D4 Gallon Forecast'!AD$197:AD$199)</f>
        <v>1205473049.2227261</v>
      </c>
      <c r="AD64" s="17">
        <f>SUM('[2]D4 Gallon Forecast'!AE$133:AE$135)+SUM('[2]D5 Gallon Forecast'!AE$120:AE$122)+SUM('[2]D6 Gallon Forecast'!AE$218:AE$220)+SUM('[2]D4 Gallon Forecast'!AE$197:AE$199)</f>
        <v>1209726955.9557407</v>
      </c>
      <c r="AE64" s="17">
        <f>SUM('[2]D4 Gallon Forecast'!AF$133:AF$135)+SUM('[2]D5 Gallon Forecast'!AF$120:AF$122)+SUM('[2]D6 Gallon Forecast'!AF$218:AF$220)+SUM('[2]D4 Gallon Forecast'!AF$197:AF$199)</f>
        <v>1065248324.0613304</v>
      </c>
      <c r="AF64" s="17">
        <f>SUM('[2]D4 Gallon Forecast'!AG$133:AG$135)+SUM('[2]D5 Gallon Forecast'!AG$120:AG$122)+SUM('[2]D6 Gallon Forecast'!AG$218:AG$220)+SUM('[2]D4 Gallon Forecast'!AG$197:AG$199)</f>
        <v>1126271815.9553521</v>
      </c>
      <c r="AG64" s="17">
        <f>SUM('[2]D4 Gallon Forecast'!AH$133:AH$135)+SUM('[2]D5 Gallon Forecast'!AH$120:AH$122)+SUM('[2]D6 Gallon Forecast'!AH$218:AH$220)+SUM('[2]D4 Gallon Forecast'!AH$197:AH$199)</f>
        <v>1189874769.5222554</v>
      </c>
      <c r="AH64" s="17">
        <f>SUM('[2]D4 Gallon Forecast'!AI$133:AI$135)+SUM('[2]D5 Gallon Forecast'!AI$120:AI$122)+SUM('[2]D6 Gallon Forecast'!AI$218:AI$220)+SUM('[2]D4 Gallon Forecast'!AI$197:AI$199)</f>
        <v>1292105183.1274185</v>
      </c>
      <c r="AI64" s="17">
        <f>SUM('[2]D4 Gallon Forecast'!AJ$133:AJ$135)+SUM('[2]D5 Gallon Forecast'!AJ$120:AJ$122)+SUM('[2]D6 Gallon Forecast'!AJ$218:AJ$220)+SUM('[2]D4 Gallon Forecast'!AJ$197:AJ$199)</f>
        <v>1317671304.7188938</v>
      </c>
      <c r="AJ64" s="17">
        <f>SUM('[2]D4 Gallon Forecast'!AK$133:AK$135)+SUM('[2]D5 Gallon Forecast'!AK$120:AK$122)+SUM('[2]D6 Gallon Forecast'!AK$218:AK$220)+SUM('[2]D4 Gallon Forecast'!AK$197:AK$199)</f>
        <v>1310253956.6650782</v>
      </c>
      <c r="AK64" s="17">
        <f>SUM('[2]D4 Gallon Forecast'!AL$133:AL$135)+SUM('[2]D5 Gallon Forecast'!AL$120:AL$122)+SUM('[2]D6 Gallon Forecast'!AL$218:AL$220)+SUM('[2]D4 Gallon Forecast'!AL$197:AL$199)</f>
        <v>1249334238.2400069</v>
      </c>
      <c r="AL64" s="17">
        <f>SUM('[2]D4 Gallon Forecast'!AM$133:AM$135)+SUM('[2]D5 Gallon Forecast'!AM$120:AM$122)+SUM('[2]D6 Gallon Forecast'!AM$218:AM$220)+SUM('[2]D4 Gallon Forecast'!AM$197:AM$199)</f>
        <v>1299919380.5991814</v>
      </c>
      <c r="AM64" s="17">
        <f>SUM('[2]D4 Gallon Forecast'!AN$133:AN$135)+SUM('[2]D5 Gallon Forecast'!AN$120:AN$122)+SUM('[2]D6 Gallon Forecast'!AN$218:AN$220)+SUM('[2]D4 Gallon Forecast'!AN$197:AN$199)</f>
        <v>1346212992.1060085</v>
      </c>
      <c r="AN64" s="17">
        <f>SUM('[2]D4 Gallon Forecast'!AO$133:AO$135)+SUM('[2]D5 Gallon Forecast'!AO$120:AO$122)+SUM('[2]D6 Gallon Forecast'!AO$218:AO$220)+SUM('[2]D4 Gallon Forecast'!AO$197:AO$199)</f>
        <v>1394538383.0622029</v>
      </c>
      <c r="AO64" s="17">
        <f>SUM('[2]D4 Gallon Forecast'!AP$133:AP$135)+SUM('[2]D5 Gallon Forecast'!AP$120:AP$122)+SUM('[2]D6 Gallon Forecast'!AP$218:AP$220)+SUM('[2]D4 Gallon Forecast'!AP$197:AP$199)</f>
        <v>1454230203.6381023</v>
      </c>
      <c r="AP64" s="17"/>
      <c r="AQ64" s="17"/>
      <c r="AR64" s="17"/>
      <c r="AS64" s="17"/>
      <c r="AT64" s="17"/>
      <c r="AU64" s="17"/>
      <c r="AV64" s="17"/>
      <c r="AW64" s="17"/>
      <c r="AX64" s="17"/>
      <c r="AY64" s="17"/>
      <c r="AZ64" s="17"/>
      <c r="BA64" s="17"/>
      <c r="BB64" s="17"/>
    </row>
    <row r="65" spans="1:54" x14ac:dyDescent="0.25">
      <c r="A65" s="15" t="s">
        <v>69</v>
      </c>
      <c r="B65" s="16">
        <f>SUM('[2]D4 Gallon Forecast'!C$136:C$138)+SUM('[2]D5 Gallon Forecast'!C$123:C$125)+SUM('[2]D6 Gallon Forecast'!C$221:C$223)+SUM('[2]D4 Gallon Forecast'!C$200:C$202)</f>
        <v>14056277</v>
      </c>
      <c r="C65" s="16">
        <f>SUM('[2]D4 Gallon Forecast'!D$136:D$138)+SUM('[2]D5 Gallon Forecast'!D$123:D$125)+SUM('[2]D6 Gallon Forecast'!D$221:D$223)+SUM('[2]D4 Gallon Forecast'!D$200:D$202)</f>
        <v>17687939</v>
      </c>
      <c r="D65" s="16">
        <f>SUM('[2]D4 Gallon Forecast'!E$136:E$138)+SUM('[2]D5 Gallon Forecast'!E$123:E$125)+SUM('[2]D6 Gallon Forecast'!E$221:E$223)+SUM('[2]D4 Gallon Forecast'!E$200:E$202)</f>
        <v>42942735</v>
      </c>
      <c r="E65" s="16">
        <f>SUM('[2]D4 Gallon Forecast'!F$136:F$138)+SUM('[2]D5 Gallon Forecast'!F$123:F$125)+SUM('[2]D6 Gallon Forecast'!F$221:F$223)+SUM('[2]D4 Gallon Forecast'!F$200:F$202)</f>
        <v>107349936</v>
      </c>
      <c r="F65" s="16">
        <f>SUM('[2]D4 Gallon Forecast'!G$136:G$138)+SUM('[2]D5 Gallon Forecast'!G$123:G$125)+SUM('[2]D6 Gallon Forecast'!G$221:G$223)+SUM('[2]D4 Gallon Forecast'!G$200:G$202)</f>
        <v>90583827</v>
      </c>
      <c r="G65" s="16">
        <f>SUM('[2]D4 Gallon Forecast'!H$136:H$138)+SUM('[2]D5 Gallon Forecast'!H$123:H$125)+SUM('[2]D6 Gallon Forecast'!H$221:H$223)+SUM('[2]D4 Gallon Forecast'!H$200:H$202)</f>
        <v>120453116</v>
      </c>
      <c r="H65" s="16">
        <f>SUM('[2]D4 Gallon Forecast'!I$136:I$138)+SUM('[2]D5 Gallon Forecast'!I$123:I$125)+SUM('[2]D6 Gallon Forecast'!I$221:I$223)+SUM('[2]D4 Gallon Forecast'!I$200:I$202)</f>
        <v>117666041</v>
      </c>
      <c r="I65" s="16">
        <f>SUM('[2]D4 Gallon Forecast'!J$136:J$138)+SUM('[2]D5 Gallon Forecast'!J$123:J$125)+SUM('[2]D6 Gallon Forecast'!J$221:J$223)+SUM('[2]D4 Gallon Forecast'!J$200:J$202)</f>
        <v>125328487</v>
      </c>
      <c r="J65" s="16">
        <f>SUM('[2]D4 Gallon Forecast'!K$136:K$138)+SUM('[2]D5 Gallon Forecast'!K$123:K$125)+SUM('[2]D6 Gallon Forecast'!K$221:K$223)+SUM('[2]D4 Gallon Forecast'!K$200:K$202)</f>
        <v>201515351</v>
      </c>
      <c r="K65" s="16">
        <f>SUM('[2]D4 Gallon Forecast'!L$136:L$138)+SUM('[2]D5 Gallon Forecast'!L$123:L$125)+SUM('[2]D6 Gallon Forecast'!L$221:L$223)+SUM('[2]D4 Gallon Forecast'!L$200:L$202)</f>
        <v>214483767</v>
      </c>
      <c r="L65" s="16">
        <f>SUM('[2]D4 Gallon Forecast'!M$136:M$138)+SUM('[2]D5 Gallon Forecast'!M$123:M$125)+SUM('[2]D6 Gallon Forecast'!M$221:M$223)+SUM('[2]D4 Gallon Forecast'!M$200:M$202)</f>
        <v>282625537</v>
      </c>
      <c r="M65" s="16">
        <f>SUM('[2]D4 Gallon Forecast'!N$136:N$138)+SUM('[2]D5 Gallon Forecast'!N$123:N$125)+SUM('[2]D6 Gallon Forecast'!N$221:N$223)+SUM('[2]D4 Gallon Forecast'!N$200:N$202)</f>
        <v>469919662</v>
      </c>
      <c r="N65" s="16">
        <f>SUM('[2]D4 Gallon Forecast'!O$136:O$138)+SUM('[2]D5 Gallon Forecast'!O$123:O$125)+SUM('[2]D6 Gallon Forecast'!O$221:O$223)+SUM('[2]D4 Gallon Forecast'!O$200:O$202)</f>
        <v>721530196</v>
      </c>
      <c r="O65" s="16">
        <f>SUM('[2]D4 Gallon Forecast'!P$136:P$138)+SUM('[2]D5 Gallon Forecast'!P$123:P$125)+SUM('[2]D6 Gallon Forecast'!P$221:P$223)+SUM('[2]D4 Gallon Forecast'!P$200:P$202)</f>
        <v>899961203</v>
      </c>
      <c r="P65" s="17">
        <f>SUM('[2]D4 Gallon Forecast'!Q$136:Q$138)+SUM('[2]D5 Gallon Forecast'!Q$123:Q$125)+SUM('[2]D6 Gallon Forecast'!Q$221:Q$223)+SUM('[2]D4 Gallon Forecast'!Q$200:Q$202)</f>
        <v>654851574.94845629</v>
      </c>
      <c r="Q65" s="17">
        <f>SUM('[2]D4 Gallon Forecast'!R$136:R$138)+SUM('[2]D5 Gallon Forecast'!R$123:R$125)+SUM('[2]D6 Gallon Forecast'!R$221:R$223)+SUM('[2]D4 Gallon Forecast'!R$200:R$202)</f>
        <v>707150238.38474488</v>
      </c>
      <c r="R65" s="17">
        <f>SUM('[2]D4 Gallon Forecast'!S$136:S$138)+SUM('[2]D5 Gallon Forecast'!S$123:S$125)+SUM('[2]D6 Gallon Forecast'!S$221:S$223)+SUM('[2]D4 Gallon Forecast'!S$200:S$202)</f>
        <v>767937635.04051614</v>
      </c>
      <c r="S65" s="17">
        <f>SUM('[2]Monthly Gallon Summary'!T$86:T$88)</f>
        <v>703680264.43900096</v>
      </c>
      <c r="T65" s="17">
        <f>SUM('[2]Monthly Gallon Summary'!U$86:U$88)</f>
        <v>707925901.20799387</v>
      </c>
      <c r="U65" s="17">
        <f>SUM('[2]Monthly Gallon Summary'!V$86:V$88)</f>
        <v>742522415.34464812</v>
      </c>
      <c r="V65" s="17">
        <f>SUM('[2]Monthly Gallon Summary'!W$86:W$88)</f>
        <v>805104982.72555661</v>
      </c>
      <c r="W65" s="17">
        <f>SUM('[2]Monthly Gallon Summary'!X$86:X$88)</f>
        <v>954965801.79094172</v>
      </c>
      <c r="X65" s="17">
        <f>SUM('[2]Monthly Gallon Summary'!Y$86:Y$88)</f>
        <v>950038047.54952645</v>
      </c>
      <c r="Y65" s="17">
        <f>SUM('[2]Monthly Gallon Summary'!Z$86:Z$88)</f>
        <v>923556253.68506873</v>
      </c>
      <c r="Z65" s="17">
        <f>SUM('[2]D4 Gallon Forecast'!AA$136:AA$138)+SUM('[2]D5 Gallon Forecast'!AA$123:AA$125)+SUM('[2]D6 Gallon Forecast'!AA$221:AA$223)+SUM('[2]D4 Gallon Forecast'!AA$200:AA$202)</f>
        <v>1024930876.570779</v>
      </c>
      <c r="AA65" s="17">
        <f>SUM('[2]D4 Gallon Forecast'!AB$136:AB$138)+SUM('[2]D5 Gallon Forecast'!AB$123:AB$125)+SUM('[2]D6 Gallon Forecast'!AB$221:AB$223)+SUM('[2]D4 Gallon Forecast'!AB$200:AB$202)</f>
        <v>1076782302.7198489</v>
      </c>
      <c r="AB65" s="17">
        <f>SUM('[2]D4 Gallon Forecast'!AC$136:AC$138)+SUM('[2]D5 Gallon Forecast'!AC$123:AC$125)+SUM('[2]D6 Gallon Forecast'!AC$221:AC$223)+SUM('[2]D4 Gallon Forecast'!AC$200:AC$202)</f>
        <v>1216200448.5883508</v>
      </c>
      <c r="AC65" s="17">
        <f>SUM('[2]D4 Gallon Forecast'!AD$136:AD$138)+SUM('[2]D5 Gallon Forecast'!AD$123:AD$125)+SUM('[2]D6 Gallon Forecast'!AD$221:AD$223)+SUM('[2]D4 Gallon Forecast'!AD$200:AD$202)</f>
        <v>1340248370.2268784</v>
      </c>
      <c r="AD65" s="17">
        <f>SUM('[2]D4 Gallon Forecast'!AE$136:AE$138)+SUM('[2]D5 Gallon Forecast'!AE$123:AE$125)+SUM('[2]D6 Gallon Forecast'!AE$221:AE$223)+SUM('[2]D4 Gallon Forecast'!AE$200:AE$202)</f>
        <v>1344607436.4590397</v>
      </c>
      <c r="AE65" s="17">
        <f>SUM('[2]D4 Gallon Forecast'!AF$136:AF$138)+SUM('[2]D5 Gallon Forecast'!AF$123:AF$125)+SUM('[2]D6 Gallon Forecast'!AF$221:AF$223)+SUM('[2]D4 Gallon Forecast'!AF$200:AF$202)</f>
        <v>1183675038.834456</v>
      </c>
      <c r="AF65" s="17">
        <f>SUM('[2]D4 Gallon Forecast'!AG$136:AG$138)+SUM('[2]D5 Gallon Forecast'!AG$123:AG$125)+SUM('[2]D6 Gallon Forecast'!AG$221:AG$223)+SUM('[2]D4 Gallon Forecast'!AG$200:AG$202)</f>
        <v>1251467329.9989552</v>
      </c>
      <c r="AG65" s="17">
        <f>SUM('[2]D4 Gallon Forecast'!AH$136:AH$138)+SUM('[2]D5 Gallon Forecast'!AH$123:AH$125)+SUM('[2]D6 Gallon Forecast'!AH$221:AH$223)+SUM('[2]D4 Gallon Forecast'!AH$200:AH$202)</f>
        <v>1322114146.9001009</v>
      </c>
      <c r="AH65" s="17">
        <f>SUM('[2]D4 Gallon Forecast'!AI$136:AI$138)+SUM('[2]D5 Gallon Forecast'!AI$123:AI$125)+SUM('[2]D6 Gallon Forecast'!AI$221:AI$223)+SUM('[2]D4 Gallon Forecast'!AI$200:AI$202)</f>
        <v>1435571937.0101447</v>
      </c>
      <c r="AI65" s="17">
        <f>SUM('[2]D4 Gallon Forecast'!AJ$136:AJ$138)+SUM('[2]D5 Gallon Forecast'!AJ$123:AJ$125)+SUM('[2]D6 Gallon Forecast'!AJ$221:AJ$223)+SUM('[2]D4 Gallon Forecast'!AJ$200:AJ$202)</f>
        <v>1463910510.5622401</v>
      </c>
      <c r="AJ65" s="17">
        <f>SUM('[2]D4 Gallon Forecast'!AK$136:AK$138)+SUM('[2]D5 Gallon Forecast'!AK$123:AK$125)+SUM('[2]D6 Gallon Forecast'!AK$221:AK$223)+SUM('[2]D4 Gallon Forecast'!AK$200:AK$202)</f>
        <v>1455646063.203373</v>
      </c>
      <c r="AK65" s="17">
        <f>SUM('[2]D4 Gallon Forecast'!AL$136:AL$138)+SUM('[2]D5 Gallon Forecast'!AL$123:AL$125)+SUM('[2]D6 Gallon Forecast'!AL$221:AL$223)+SUM('[2]D4 Gallon Forecast'!AL$200:AL$202)</f>
        <v>1387759826.235888</v>
      </c>
      <c r="AL65" s="17">
        <f>SUM('[2]D4 Gallon Forecast'!AM$136:AM$138)+SUM('[2]D5 Gallon Forecast'!AM$123:AM$125)+SUM('[2]D6 Gallon Forecast'!AM$221:AM$223)+SUM('[2]D4 Gallon Forecast'!AM$200:AM$202)</f>
        <v>1444237844.8798976</v>
      </c>
      <c r="AM65" s="17">
        <f>SUM('[2]D4 Gallon Forecast'!AN$136:AN$138)+SUM('[2]D5 Gallon Forecast'!AN$123:AN$125)+SUM('[2]D6 Gallon Forecast'!AN$221:AN$223)+SUM('[2]D4 Gallon Forecast'!AN$200:AN$202)</f>
        <v>1495603763.1966321</v>
      </c>
      <c r="AN65" s="17">
        <f>SUM('[2]D4 Gallon Forecast'!AO$136:AO$138)+SUM('[2]D5 Gallon Forecast'!AO$123:AO$125)+SUM('[2]D6 Gallon Forecast'!AO$221:AO$223)+SUM('[2]D4 Gallon Forecast'!AO$200:AO$202)</f>
        <v>1549215044.3847876</v>
      </c>
      <c r="AO65" s="17">
        <f>SUM('[2]D4 Gallon Forecast'!AP$136:AP$138)+SUM('[2]D5 Gallon Forecast'!AP$123:AP$125)+SUM('[2]D6 Gallon Forecast'!AP$221:AP$223)+SUM('[2]D4 Gallon Forecast'!AP$200:AP$202)</f>
        <v>1615650777.1715541</v>
      </c>
      <c r="AP65" s="17"/>
      <c r="AQ65" s="17"/>
      <c r="AR65" s="17"/>
      <c r="AS65" s="17"/>
      <c r="AT65" s="17"/>
      <c r="AU65" s="17"/>
      <c r="AV65" s="17"/>
      <c r="AW65" s="17"/>
      <c r="AX65" s="17"/>
      <c r="AY65" s="17"/>
      <c r="AZ65" s="17"/>
      <c r="BA65" s="17"/>
      <c r="BB65" s="17"/>
    </row>
    <row r="66" spans="1:54" x14ac:dyDescent="0.25">
      <c r="A66" s="15" t="s">
        <v>70</v>
      </c>
      <c r="B66" s="16">
        <f>SUM('[2]D4 Gallon Forecast'!C$139:C$141)+SUM('[2]D5 Gallon Forecast'!C$126:C$128)+SUM('[2]D6 Gallon Forecast'!C$224:C$226)+SUM('[2]D4 Gallon Forecast'!C$203:C$205)</f>
        <v>20812802</v>
      </c>
      <c r="C66" s="16">
        <f>SUM('[2]D4 Gallon Forecast'!D$139:D$141)+SUM('[2]D5 Gallon Forecast'!D$126:D$128)+SUM('[2]D6 Gallon Forecast'!D$224:D$226)+SUM('[2]D4 Gallon Forecast'!D$203:D$205)</f>
        <v>28430772</v>
      </c>
      <c r="D66" s="16">
        <f>SUM('[2]D4 Gallon Forecast'!E$139:E$141)+SUM('[2]D5 Gallon Forecast'!E$126:E$128)+SUM('[2]D6 Gallon Forecast'!E$224:E$226)+SUM('[2]D4 Gallon Forecast'!E$203:E$205)</f>
        <v>106605373</v>
      </c>
      <c r="E66" s="16">
        <f>SUM('[2]D4 Gallon Forecast'!F$139:F$141)+SUM('[2]D5 Gallon Forecast'!F$126:F$128)+SUM('[2]D6 Gallon Forecast'!F$224:F$226)+SUM('[2]D4 Gallon Forecast'!F$203:F$205)</f>
        <v>87034577</v>
      </c>
      <c r="F66" s="16">
        <f>SUM('[2]D4 Gallon Forecast'!G$139:G$141)+SUM('[2]D5 Gallon Forecast'!G$126:G$128)+SUM('[2]D6 Gallon Forecast'!G$224:G$226)+SUM('[2]D4 Gallon Forecast'!G$203:G$205)</f>
        <v>116911339</v>
      </c>
      <c r="G66" s="16">
        <f>SUM('[2]D4 Gallon Forecast'!H$139:H$141)+SUM('[2]D5 Gallon Forecast'!H$126:H$128)+SUM('[2]D6 Gallon Forecast'!H$224:H$226)+SUM('[2]D4 Gallon Forecast'!H$203:H$205)</f>
        <v>148583669</v>
      </c>
      <c r="H66" s="16">
        <f>SUM('[2]D4 Gallon Forecast'!I$139:I$141)+SUM('[2]D5 Gallon Forecast'!I$126:I$128)+SUM('[2]D6 Gallon Forecast'!I$224:I$226)+SUM('[2]D4 Gallon Forecast'!I$203:I$205)</f>
        <v>140702116</v>
      </c>
      <c r="I66" s="16">
        <f>SUM('[2]D4 Gallon Forecast'!J$139:J$141)+SUM('[2]D5 Gallon Forecast'!J$126:J$128)+SUM('[2]D6 Gallon Forecast'!J$224:J$226)+SUM('[2]D4 Gallon Forecast'!J$203:J$205)</f>
        <v>148817810</v>
      </c>
      <c r="J66" s="16">
        <f>SUM('[2]D4 Gallon Forecast'!K$139:K$141)+SUM('[2]D5 Gallon Forecast'!K$126:K$128)+SUM('[2]D6 Gallon Forecast'!K$224:K$226)+SUM('[2]D4 Gallon Forecast'!K$203:K$205)</f>
        <v>217263884</v>
      </c>
      <c r="K66" s="16">
        <f>SUM('[2]D4 Gallon Forecast'!L$139:L$141)+SUM('[2]D5 Gallon Forecast'!L$126:L$128)+SUM('[2]D6 Gallon Forecast'!L$224:L$226)+SUM('[2]D4 Gallon Forecast'!L$203:L$205)</f>
        <v>256007798</v>
      </c>
      <c r="L66" s="16">
        <f>SUM('[2]D4 Gallon Forecast'!M$139:M$141)+SUM('[2]D5 Gallon Forecast'!M$126:M$128)+SUM('[2]D6 Gallon Forecast'!M$224:M$226)+SUM('[2]D4 Gallon Forecast'!M$203:M$205)</f>
        <v>290775209</v>
      </c>
      <c r="M66" s="16">
        <f>SUM('[2]D4 Gallon Forecast'!N$139:N$141)+SUM('[2]D5 Gallon Forecast'!N$126:N$128)+SUM('[2]D6 Gallon Forecast'!N$224:N$226)+SUM('[2]D4 Gallon Forecast'!N$203:N$205)</f>
        <v>429126007</v>
      </c>
      <c r="N66" s="16">
        <f>SUM('[2]D4 Gallon Forecast'!O$139:O$141)+SUM('[2]D5 Gallon Forecast'!O$126:O$128)+SUM('[2]D6 Gallon Forecast'!O$224:O$226)+SUM('[2]D4 Gallon Forecast'!O$203:O$205)</f>
        <v>732051875</v>
      </c>
      <c r="O66" s="16">
        <f>SUM('[2]D4 Gallon Forecast'!P$139:P$141)+SUM('[2]D5 Gallon Forecast'!P$126:P$128)+SUM('[2]D6 Gallon Forecast'!P$224:P$226)+SUM('[2]D4 Gallon Forecast'!P$203:P$205)</f>
        <v>874179345</v>
      </c>
      <c r="P66" s="17">
        <f>SUM('[2]D4 Gallon Forecast'!Q$139:Q$141)+SUM('[2]D5 Gallon Forecast'!Q$126:Q$128)+SUM('[2]D6 Gallon Forecast'!Q$224:Q$226)+SUM('[2]D4 Gallon Forecast'!Q$203:Q$205)</f>
        <v>634948281.27844918</v>
      </c>
      <c r="Q66" s="17">
        <f>SUM('[2]D4 Gallon Forecast'!R$139:R$141)+SUM('[2]D5 Gallon Forecast'!R$126:R$128)+SUM('[2]D6 Gallon Forecast'!R$224:R$226)+SUM('[2]D4 Gallon Forecast'!R$203:R$205)</f>
        <v>694901121.79562104</v>
      </c>
      <c r="R66" s="17">
        <f>SUM('[2]D4 Gallon Forecast'!S$139:S$141)+SUM('[2]D5 Gallon Forecast'!S$126:S$128)+SUM('[2]D6 Gallon Forecast'!S$224:S$226)+SUM('[2]D4 Gallon Forecast'!S$203:S$205)</f>
        <v>757858922.16185915</v>
      </c>
      <c r="S66" s="17">
        <f>SUM('[2]Monthly Gallon Summary'!T$89:T$91)</f>
        <v>727030233.5150696</v>
      </c>
      <c r="T66" s="17">
        <f>SUM('[2]Monthly Gallon Summary'!U$89:U$91)</f>
        <v>733526375.49585009</v>
      </c>
      <c r="U66" s="17">
        <f>SUM('[2]Monthly Gallon Summary'!V$89:V$91)</f>
        <v>768115668.4564997</v>
      </c>
      <c r="V66" s="17">
        <f>SUM('[2]Monthly Gallon Summary'!W$89:W$91)</f>
        <v>832634272.7313211</v>
      </c>
      <c r="W66" s="17">
        <f>SUM('[2]Monthly Gallon Summary'!X$89:X$91)</f>
        <v>987184055.07867408</v>
      </c>
      <c r="X66" s="17">
        <f>SUM('[2]Monthly Gallon Summary'!Y$89:Y$91)</f>
        <v>982561728.44709563</v>
      </c>
      <c r="Y66" s="17">
        <f>SUM('[2]Monthly Gallon Summary'!Z$89:Z$91)</f>
        <v>955950937.36619234</v>
      </c>
      <c r="Z66" s="17">
        <f>SUM('[2]D4 Gallon Forecast'!AA$139:AA$141)+SUM('[2]D5 Gallon Forecast'!AA$126:AA$128)+SUM('[2]D6 Gallon Forecast'!AA$224:AA$226)+SUM('[2]D4 Gallon Forecast'!AA$203:AA$205)</f>
        <v>1040877628.6117475</v>
      </c>
      <c r="AA66" s="17">
        <f>SUM('[2]D4 Gallon Forecast'!AB$139:AB$141)+SUM('[2]D5 Gallon Forecast'!AB$126:AB$128)+SUM('[2]D6 Gallon Forecast'!AB$224:AB$226)+SUM('[2]D4 Gallon Forecast'!AB$203:AB$205)</f>
        <v>1105031903.164813</v>
      </c>
      <c r="AB66" s="17">
        <f>SUM('[2]D4 Gallon Forecast'!AC$139:AC$141)+SUM('[2]D5 Gallon Forecast'!AC$126:AC$128)+SUM('[2]D6 Gallon Forecast'!AC$224:AC$226)+SUM('[2]D4 Gallon Forecast'!AC$203:AC$205)</f>
        <v>1251402007.553345</v>
      </c>
      <c r="AC66" s="17">
        <f>SUM('[2]D4 Gallon Forecast'!AD$139:AD$141)+SUM('[2]D5 Gallon Forecast'!AD$126:AD$128)+SUM('[2]D6 Gallon Forecast'!AD$224:AD$226)+SUM('[2]D4 Gallon Forecast'!AD$203:AD$205)</f>
        <v>1379705645.3381236</v>
      </c>
      <c r="AD66" s="17">
        <f>SUM('[2]D4 Gallon Forecast'!AE$139:AE$141)+SUM('[2]D5 Gallon Forecast'!AE$126:AE$128)+SUM('[2]D6 Gallon Forecast'!AE$224:AE$226)+SUM('[2]D4 Gallon Forecast'!AE$203:AE$205)</f>
        <v>1385211140.1227424</v>
      </c>
      <c r="AE66" s="17">
        <f>SUM('[2]D4 Gallon Forecast'!AF$139:AF$141)+SUM('[2]D5 Gallon Forecast'!AF$126:AF$128)+SUM('[2]D6 Gallon Forecast'!AF$224:AF$226)+SUM('[2]D4 Gallon Forecast'!AF$203:AF$205)</f>
        <v>1220190828.9901817</v>
      </c>
      <c r="AF66" s="17">
        <f>SUM('[2]D4 Gallon Forecast'!AG$139:AG$141)+SUM('[2]D5 Gallon Forecast'!AG$126:AG$128)+SUM('[2]D6 Gallon Forecast'!AG$224:AG$226)+SUM('[2]D4 Gallon Forecast'!AG$203:AG$205)</f>
        <v>1289688076.2530522</v>
      </c>
      <c r="AG66" s="17">
        <f>SUM('[2]D4 Gallon Forecast'!AH$139:AH$141)+SUM('[2]D5 Gallon Forecast'!AH$126:AH$128)+SUM('[2]D6 Gallon Forecast'!AH$224:AH$226)+SUM('[2]D4 Gallon Forecast'!AH$203:AH$205)</f>
        <v>1362746381.6203582</v>
      </c>
      <c r="AH66" s="17">
        <f>SUM('[2]D4 Gallon Forecast'!AI$139:AI$141)+SUM('[2]D5 Gallon Forecast'!AI$126:AI$128)+SUM('[2]D6 Gallon Forecast'!AI$224:AI$226)+SUM('[2]D4 Gallon Forecast'!AI$203:AI$205)</f>
        <v>1480097661.4880347</v>
      </c>
      <c r="AI66" s="17">
        <f>SUM('[2]D4 Gallon Forecast'!AJ$139:AJ$141)+SUM('[2]D5 Gallon Forecast'!AJ$126:AJ$128)+SUM('[2]D6 Gallon Forecast'!AJ$224:AJ$226)+SUM('[2]D4 Gallon Forecast'!AJ$203:AJ$205)</f>
        <v>1509493939.2735009</v>
      </c>
      <c r="AJ66" s="17">
        <f>SUM('[2]D4 Gallon Forecast'!AK$139:AK$141)+SUM('[2]D5 Gallon Forecast'!AK$126:AK$128)+SUM('[2]D6 Gallon Forecast'!AK$224:AK$226)+SUM('[2]D4 Gallon Forecast'!AK$203:AK$205)</f>
        <v>1500987721.9792724</v>
      </c>
      <c r="AK66" s="17">
        <f>SUM('[2]D4 Gallon Forecast'!AL$139:AL$141)+SUM('[2]D5 Gallon Forecast'!AL$126:AL$128)+SUM('[2]D6 Gallon Forecast'!AL$224:AL$226)+SUM('[2]D4 Gallon Forecast'!AL$203:AL$205)</f>
        <v>1431304112.9892085</v>
      </c>
      <c r="AL66" s="17">
        <f>SUM('[2]D4 Gallon Forecast'!AM$139:AM$141)+SUM('[2]D5 Gallon Forecast'!AM$126:AM$128)+SUM('[2]D6 Gallon Forecast'!AM$224:AM$226)+SUM('[2]D4 Gallon Forecast'!AM$203:AM$205)</f>
        <v>1488977582.4112382</v>
      </c>
      <c r="AM66" s="17">
        <f>SUM('[2]D4 Gallon Forecast'!AN$139:AN$141)+SUM('[2]D5 Gallon Forecast'!AN$126:AN$128)+SUM('[2]D6 Gallon Forecast'!AN$224:AN$226)+SUM('[2]D4 Gallon Forecast'!AN$203:AN$205)</f>
        <v>1542176904.6797214</v>
      </c>
      <c r="AN66" s="17">
        <f>SUM('[2]D4 Gallon Forecast'!AO$139:AO$141)+SUM('[2]D5 Gallon Forecast'!AO$126:AO$128)+SUM('[2]D6 Gallon Forecast'!AO$224:AO$226)+SUM('[2]D4 Gallon Forecast'!AO$203:AO$205)</f>
        <v>1597657869.8577452</v>
      </c>
      <c r="AO66" s="17">
        <f>SUM('[2]D4 Gallon Forecast'!AP$139:AP$141)+SUM('[2]D5 Gallon Forecast'!AP$126:AP$128)+SUM('[2]D6 Gallon Forecast'!AP$224:AP$226)+SUM('[2]D4 Gallon Forecast'!AP$203:AP$205)</f>
        <v>1665905690.5900381</v>
      </c>
      <c r="AP66" s="17"/>
      <c r="AQ66" s="17"/>
      <c r="AR66" s="17"/>
      <c r="AS66" s="17"/>
      <c r="AT66" s="17"/>
      <c r="AU66" s="17"/>
      <c r="AV66" s="17"/>
      <c r="AW66" s="17"/>
      <c r="AX66" s="17"/>
      <c r="AY66" s="17"/>
      <c r="AZ66" s="17"/>
      <c r="BA66" s="17"/>
      <c r="BB66" s="17"/>
    </row>
    <row r="67" spans="1:54" x14ac:dyDescent="0.25">
      <c r="A67" s="15" t="s">
        <v>71</v>
      </c>
      <c r="B67" s="16">
        <f>SUM('[2]D4 Gallon Forecast'!C$142:C$144)+SUM('[2]D5 Gallon Forecast'!C$129:C$131)+SUM('[2]D6 Gallon Forecast'!C$227:C$229)+SUM('[2]D4 Gallon Forecast'!C$206:C$208)</f>
        <v>18632778</v>
      </c>
      <c r="C67" s="16">
        <f>SUM('[2]D4 Gallon Forecast'!D$142:D$144)+SUM('[2]D5 Gallon Forecast'!D$129:D$131)+SUM('[2]D6 Gallon Forecast'!D$227:D$229)+SUM('[2]D4 Gallon Forecast'!D$206:D$208)</f>
        <v>40677779</v>
      </c>
      <c r="D67" s="16">
        <f>SUM('[2]D4 Gallon Forecast'!E$142:E$144)+SUM('[2]D5 Gallon Forecast'!E$129:E$131)+SUM('[2]D6 Gallon Forecast'!E$227:E$229)+SUM('[2]D4 Gallon Forecast'!E$206:E$208)</f>
        <v>119303125</v>
      </c>
      <c r="E67" s="16">
        <f>SUM('[2]D4 Gallon Forecast'!F$142:F$144)+SUM('[2]D5 Gallon Forecast'!F$129:F$131)+SUM('[2]D6 Gallon Forecast'!F$227:F$229)+SUM('[2]D4 Gallon Forecast'!F$206:F$208)</f>
        <v>114632520</v>
      </c>
      <c r="F67" s="16">
        <f>SUM('[2]D4 Gallon Forecast'!G$142:G$144)+SUM('[2]D5 Gallon Forecast'!G$129:G$131)+SUM('[2]D6 Gallon Forecast'!G$227:G$229)+SUM('[2]D4 Gallon Forecast'!G$206:G$208)</f>
        <v>115051020</v>
      </c>
      <c r="G67" s="16">
        <f>SUM('[2]D4 Gallon Forecast'!H$142:H$144)+SUM('[2]D5 Gallon Forecast'!H$129:H$131)+SUM('[2]D6 Gallon Forecast'!H$227:H$229)+SUM('[2]D4 Gallon Forecast'!H$206:H$208)</f>
        <v>162723745</v>
      </c>
      <c r="H67" s="16">
        <f>SUM('[2]D4 Gallon Forecast'!I$142:I$144)+SUM('[2]D5 Gallon Forecast'!I$129:I$131)+SUM('[2]D6 Gallon Forecast'!I$227:I$229)+SUM('[2]D4 Gallon Forecast'!I$206:I$208)</f>
        <v>156907344</v>
      </c>
      <c r="I67" s="16">
        <f>SUM('[2]D4 Gallon Forecast'!J$142:J$144)+SUM('[2]D5 Gallon Forecast'!J$129:J$131)+SUM('[2]D6 Gallon Forecast'!J$227:J$229)+SUM('[2]D4 Gallon Forecast'!J$206:J$208)</f>
        <v>193027991</v>
      </c>
      <c r="J67" s="16">
        <f>SUM('[2]D4 Gallon Forecast'!K$142:K$144)+SUM('[2]D5 Gallon Forecast'!K$129:K$131)+SUM('[2]D6 Gallon Forecast'!K$227:K$229)+SUM('[2]D4 Gallon Forecast'!K$206:K$208)</f>
        <v>263602471</v>
      </c>
      <c r="K67" s="16">
        <f>SUM('[2]D4 Gallon Forecast'!L$142:L$144)+SUM('[2]D5 Gallon Forecast'!L$129:L$131)+SUM('[2]D6 Gallon Forecast'!L$227:L$229)+SUM('[2]D4 Gallon Forecast'!L$206:L$208)</f>
        <v>267655546</v>
      </c>
      <c r="L67" s="16">
        <f>SUM('[2]D4 Gallon Forecast'!M$142:M$144)+SUM('[2]D5 Gallon Forecast'!M$129:M$131)+SUM('[2]D6 Gallon Forecast'!M$227:M$229)+SUM('[2]D4 Gallon Forecast'!M$206:M$208)</f>
        <v>437612237</v>
      </c>
      <c r="M67" s="16">
        <f>SUM('[2]D4 Gallon Forecast'!N$142:N$144)+SUM('[2]D5 Gallon Forecast'!N$129:N$131)+SUM('[2]D6 Gallon Forecast'!N$227:N$229)+SUM('[2]D4 Gallon Forecast'!N$206:N$208)</f>
        <v>548353139</v>
      </c>
      <c r="N67" s="16">
        <f>SUM('[2]D4 Gallon Forecast'!O$142:O$144)+SUM('[2]D5 Gallon Forecast'!O$129:O$131)+SUM('[2]D6 Gallon Forecast'!O$227:O$229)+SUM('[2]D4 Gallon Forecast'!O$206:O$208)</f>
        <v>867423639</v>
      </c>
      <c r="O67" s="17">
        <f>SUM('[2]D4 Gallon Forecast'!P$142:P$144)+SUM('[2]D5 Gallon Forecast'!P$129:P$131)+SUM('[2]D6 Gallon Forecast'!P$227:P$229)+SUM('[2]D4 Gallon Forecast'!P$206:P$208)</f>
        <v>894707745</v>
      </c>
      <c r="P67" s="17">
        <f>SUM('[2]D4 Gallon Forecast'!Q$142:Q$144)+SUM('[2]D5 Gallon Forecast'!Q$129:Q$131)+SUM('[2]D6 Gallon Forecast'!Q$227:Q$229)+SUM('[2]D4 Gallon Forecast'!Q$206:Q$208)</f>
        <v>831616489.19403136</v>
      </c>
      <c r="Q67" s="17">
        <f>SUM('[2]D4 Gallon Forecast'!R$142:R$144)+SUM('[2]D5 Gallon Forecast'!R$129:R$131)+SUM('[2]D6 Gallon Forecast'!R$227:R$229)+SUM('[2]D4 Gallon Forecast'!R$206:R$208)</f>
        <v>930221206.44025779</v>
      </c>
      <c r="R67" s="17">
        <f>SUM('[2]D4 Gallon Forecast'!S$142:S$144)+SUM('[2]D5 Gallon Forecast'!S$129:S$131)+SUM('[2]D6 Gallon Forecast'!S$227:S$229)+SUM('[2]D4 Gallon Forecast'!S$206:S$208)</f>
        <v>1011075039.7951748</v>
      </c>
      <c r="S67" s="17">
        <f>SUM('[2]Monthly Gallon Summary'!T$92:T$94)</f>
        <v>959035479.73682165</v>
      </c>
      <c r="T67" s="17">
        <f>SUM('[2]Monthly Gallon Summary'!U$92:U$94)</f>
        <v>966981055.07575035</v>
      </c>
      <c r="U67" s="17">
        <f>SUM('[2]Monthly Gallon Summary'!V$92:V$94)</f>
        <v>1012634184.269958</v>
      </c>
      <c r="V67" s="17">
        <f>SUM('[2]Monthly Gallon Summary'!W$92:W$94)</f>
        <v>1098472386.9277477</v>
      </c>
      <c r="W67" s="17">
        <f>SUM('[2]Monthly Gallon Summary'!X$92:X$94)</f>
        <v>1303050205.1785762</v>
      </c>
      <c r="X67" s="17">
        <f>SUM('[2]Monthly Gallon Summary'!Y$92:Y$94)</f>
        <v>1296207858.7035837</v>
      </c>
      <c r="Y67" s="17">
        <f>SUM('[2]Monthly Gallon Summary'!Z$92:Z$94)</f>
        <v>1259785776.3111429</v>
      </c>
      <c r="Z67" s="17">
        <f>SUM('[2]D4 Gallon Forecast'!AA$142:AA$144)+SUM('[2]D5 Gallon Forecast'!AA$129:AA$131)+SUM('[2]D6 Gallon Forecast'!AA$227:AA$229)+SUM('[2]D4 Gallon Forecast'!AA$206:AA$208)</f>
        <v>1377881473.5895081</v>
      </c>
      <c r="AA67" s="17">
        <f>SUM('[2]D4 Gallon Forecast'!AB$142:AB$144)+SUM('[2]D5 Gallon Forecast'!AB$129:AB$131)+SUM('[2]D6 Gallon Forecast'!AB$227:AB$229)+SUM('[2]D4 Gallon Forecast'!AB$206:AB$208)</f>
        <v>1460718019.4777288</v>
      </c>
      <c r="AB67" s="17">
        <f>SUM('[2]D4 Gallon Forecast'!AC$142:AC$144)+SUM('[2]D5 Gallon Forecast'!AC$129:AC$131)+SUM('[2]D6 Gallon Forecast'!AC$227:AC$229)+SUM('[2]D4 Gallon Forecast'!AC$206:AC$208)</f>
        <v>1654228027.5849912</v>
      </c>
      <c r="AC67" s="17">
        <f>SUM('[2]D4 Gallon Forecast'!AD$142:AD$144)+SUM('[2]D5 Gallon Forecast'!AD$129:AD$131)+SUM('[2]D6 Gallon Forecast'!AD$227:AD$229)+SUM('[2]D4 Gallon Forecast'!AD$206:AD$208)</f>
        <v>1823643606.0658622</v>
      </c>
      <c r="AD67" s="17">
        <f>SUM('[2]D4 Gallon Forecast'!AE$142:AE$144)+SUM('[2]D5 Gallon Forecast'!AE$129:AE$131)+SUM('[2]D6 Gallon Forecast'!AE$227:AE$229)+SUM('[2]D4 Gallon Forecast'!AE$206:AE$208)</f>
        <v>1828735683.2618287</v>
      </c>
      <c r="AE67" s="17">
        <f>SUM('[2]D4 Gallon Forecast'!AF$142:AF$144)+SUM('[2]D5 Gallon Forecast'!AF$129:AF$131)+SUM('[2]D6 Gallon Forecast'!AF$227:AF$229)+SUM('[2]D4 Gallon Forecast'!AF$206:AF$208)</f>
        <v>1608163098.7127237</v>
      </c>
      <c r="AF67" s="17">
        <f>SUM('[2]D4 Gallon Forecast'!AG$142:AG$144)+SUM('[2]D5 Gallon Forecast'!AG$129:AG$131)+SUM('[2]D6 Gallon Forecast'!AG$227:AG$229)+SUM('[2]D4 Gallon Forecast'!AG$206:AG$208)</f>
        <v>1700913033.5514739</v>
      </c>
      <c r="AG67" s="17">
        <f>SUM('[2]D4 Gallon Forecast'!AH$142:AH$144)+SUM('[2]D5 Gallon Forecast'!AH$129:AH$131)+SUM('[2]D6 Gallon Forecast'!AH$227:AH$229)+SUM('[2]D4 Gallon Forecast'!AH$206:AH$208)</f>
        <v>1797336840.1718304</v>
      </c>
      <c r="AH67" s="17">
        <f>SUM('[2]D4 Gallon Forecast'!AI$142:AI$144)+SUM('[2]D5 Gallon Forecast'!AI$129:AI$131)+SUM('[2]D6 Gallon Forecast'!AI$227:AI$229)+SUM('[2]D4 Gallon Forecast'!AI$206:AI$208)</f>
        <v>1952177979.1825151</v>
      </c>
      <c r="AI67" s="17">
        <f>SUM('[2]D4 Gallon Forecast'!AJ$142:AJ$144)+SUM('[2]D5 Gallon Forecast'!AJ$129:AJ$131)+SUM('[2]D6 Gallon Forecast'!AJ$227:AJ$229)+SUM('[2]D4 Gallon Forecast'!AJ$206:AJ$208)</f>
        <v>1990786468.5761271</v>
      </c>
      <c r="AJ67" s="17">
        <f>SUM('[2]D4 Gallon Forecast'!AK$142:AK$144)+SUM('[2]D5 Gallon Forecast'!AK$129:AK$131)+SUM('[2]D6 Gallon Forecast'!AK$227:AK$229)+SUM('[2]D4 Gallon Forecast'!AK$206:AK$208)</f>
        <v>1979499240.8599145</v>
      </c>
      <c r="AK67" s="17">
        <f>SUM('[2]D4 Gallon Forecast'!AL$142:AL$144)+SUM('[2]D5 Gallon Forecast'!AL$129:AL$131)+SUM('[2]D6 Gallon Forecast'!AL$227:AL$229)+SUM('[2]D4 Gallon Forecast'!AL$206:AL$208)</f>
        <v>1886315873.9184248</v>
      </c>
      <c r="AL67" s="17">
        <f>SUM('[2]D4 Gallon Forecast'!AM$142:AM$144)+SUM('[2]D5 Gallon Forecast'!AM$129:AM$131)+SUM('[2]D6 Gallon Forecast'!AM$227:AM$229)+SUM('[2]D4 Gallon Forecast'!AM$206:AM$208)</f>
        <v>1964034924.4603078</v>
      </c>
      <c r="AM67" s="17">
        <f>SUM('[2]D4 Gallon Forecast'!AN$142:AN$144)+SUM('[2]D5 Gallon Forecast'!AN$129:AN$131)+SUM('[2]D6 Gallon Forecast'!AN$227:AN$229)+SUM('[2]D4 Gallon Forecast'!AN$206:AN$208)</f>
        <v>2034085480.6913855</v>
      </c>
      <c r="AN67" s="17">
        <f>SUM('[2]D4 Gallon Forecast'!AO$142:AO$144)+SUM('[2]D5 Gallon Forecast'!AO$129:AO$131)+SUM('[2]D6 Gallon Forecast'!AO$227:AO$229)+SUM('[2]D4 Gallon Forecast'!AO$206:AO$208)</f>
        <v>2107221088.3721352</v>
      </c>
      <c r="AO67" s="17">
        <f>SUM('[2]D4 Gallon Forecast'!AP$142:AP$144)+SUM('[2]D5 Gallon Forecast'!AP$129:AP$131)+SUM('[2]D6 Gallon Forecast'!AP$227:AP$229)+SUM('[2]D4 Gallon Forecast'!AP$206:AP$208)</f>
        <v>2198299247.5110898</v>
      </c>
      <c r="AP67" s="17"/>
      <c r="AQ67" s="17"/>
      <c r="AR67" s="17"/>
      <c r="AS67" s="17"/>
      <c r="AT67" s="17"/>
      <c r="AU67" s="17"/>
      <c r="AV67" s="17"/>
      <c r="AW67" s="17"/>
      <c r="AX67" s="17"/>
      <c r="AY67" s="17"/>
      <c r="AZ67" s="17"/>
      <c r="BA67" s="17"/>
      <c r="BB67" s="17"/>
    </row>
    <row r="68" spans="1:54" x14ac:dyDescent="0.25">
      <c r="A68" s="15" t="s">
        <v>72</v>
      </c>
      <c r="B68" s="16">
        <f>SUM(B64:B67)</f>
        <v>62043301</v>
      </c>
      <c r="C68" s="16">
        <f t="shared" ref="C68:AO68" si="39">SUM(C64:C67)</f>
        <v>102676036</v>
      </c>
      <c r="D68" s="16">
        <f t="shared" si="39"/>
        <v>293027202</v>
      </c>
      <c r="E68" s="16">
        <f t="shared" si="39"/>
        <v>401610779</v>
      </c>
      <c r="F68" s="16">
        <f t="shared" si="39"/>
        <v>396081367</v>
      </c>
      <c r="G68" s="16">
        <f t="shared" si="39"/>
        <v>501484770</v>
      </c>
      <c r="H68" s="16">
        <f t="shared" si="39"/>
        <v>517697504</v>
      </c>
      <c r="I68" s="16">
        <f t="shared" si="39"/>
        <v>572897241</v>
      </c>
      <c r="J68" s="16">
        <f t="shared" si="39"/>
        <v>851499663</v>
      </c>
      <c r="K68" s="16">
        <f t="shared" si="39"/>
        <v>941161208</v>
      </c>
      <c r="L68" s="16">
        <f t="shared" si="39"/>
        <v>1269554561</v>
      </c>
      <c r="M68" s="16">
        <f t="shared" si="39"/>
        <v>1851298511</v>
      </c>
      <c r="N68" s="16">
        <f t="shared" si="39"/>
        <v>2895939989</v>
      </c>
      <c r="O68" s="17">
        <f t="shared" si="39"/>
        <v>3451449793</v>
      </c>
      <c r="P68" s="17">
        <f t="shared" si="39"/>
        <v>2761719522.4209366</v>
      </c>
      <c r="Q68" s="17">
        <f t="shared" si="39"/>
        <v>2962795561.1736603</v>
      </c>
      <c r="R68" s="17">
        <f t="shared" si="39"/>
        <v>3218913212.5645237</v>
      </c>
      <c r="S68" s="17">
        <f t="shared" si="39"/>
        <v>3023263905.1846151</v>
      </c>
      <c r="T68" s="17">
        <f t="shared" si="39"/>
        <v>3047347392.5416121</v>
      </c>
      <c r="U68" s="17">
        <f t="shared" si="39"/>
        <v>3193046329.6640582</v>
      </c>
      <c r="V68" s="17">
        <f t="shared" si="39"/>
        <v>3461676181.6955147</v>
      </c>
      <c r="W68" s="17">
        <f t="shared" si="39"/>
        <v>4105474184.6252842</v>
      </c>
      <c r="X68" s="17">
        <f t="shared" si="39"/>
        <v>4085065461.9750657</v>
      </c>
      <c r="Y68" s="17">
        <f t="shared" si="39"/>
        <v>3972104551.4107866</v>
      </c>
      <c r="Z68" s="17">
        <f t="shared" si="39"/>
        <v>4359799422.4501266</v>
      </c>
      <c r="AA68" s="17">
        <f t="shared" si="39"/>
        <v>4609786503.5408516</v>
      </c>
      <c r="AB68" s="17">
        <f t="shared" si="39"/>
        <v>5215623163.6003914</v>
      </c>
      <c r="AC68" s="17">
        <f t="shared" si="39"/>
        <v>5749070670.85359</v>
      </c>
      <c r="AD68" s="17">
        <f t="shared" si="39"/>
        <v>5768281215.7993517</v>
      </c>
      <c r="AE68" s="17">
        <f t="shared" si="39"/>
        <v>5077277290.5986919</v>
      </c>
      <c r="AF68" s="17">
        <f t="shared" si="39"/>
        <v>5368340255.7588339</v>
      </c>
      <c r="AG68" s="17">
        <f t="shared" si="39"/>
        <v>5672072138.2145452</v>
      </c>
      <c r="AH68" s="17">
        <f t="shared" si="39"/>
        <v>6159952760.8081131</v>
      </c>
      <c r="AI68" s="17">
        <f t="shared" si="39"/>
        <v>6281862223.1307621</v>
      </c>
      <c r="AJ68" s="17">
        <f t="shared" si="39"/>
        <v>6246386982.7076378</v>
      </c>
      <c r="AK68" s="17">
        <f t="shared" si="39"/>
        <v>5954714051.3835278</v>
      </c>
      <c r="AL68" s="17">
        <f t="shared" si="39"/>
        <v>6197169732.350625</v>
      </c>
      <c r="AM68" s="17">
        <f t="shared" si="39"/>
        <v>6418079140.673748</v>
      </c>
      <c r="AN68" s="17">
        <f t="shared" si="39"/>
        <v>6648632385.6768703</v>
      </c>
      <c r="AO68" s="17">
        <f t="shared" si="39"/>
        <v>6934085918.9107838</v>
      </c>
      <c r="AP68" s="17"/>
      <c r="AQ68" s="17"/>
      <c r="AR68" s="17"/>
      <c r="AS68" s="17"/>
      <c r="AT68" s="17"/>
      <c r="AU68" s="17"/>
      <c r="AV68" s="17"/>
      <c r="AW68" s="17"/>
      <c r="AX68" s="17"/>
      <c r="AY68" s="17"/>
      <c r="AZ68" s="17"/>
      <c r="BA68" s="17"/>
      <c r="BB68" s="17"/>
    </row>
    <row r="69" spans="1:54" x14ac:dyDescent="0.25">
      <c r="A69" s="20">
        <f>N72/N65</f>
        <v>0.66691632958352309</v>
      </c>
      <c r="B69" s="18"/>
      <c r="C69" s="18"/>
      <c r="D69" s="18"/>
      <c r="E69" s="18"/>
      <c r="F69" s="19"/>
      <c r="G69" s="19"/>
      <c r="H69" s="16">
        <f t="shared" ref="H69:K69" si="40">H60+H75</f>
        <v>505230981</v>
      </c>
      <c r="I69" s="16">
        <f t="shared" si="40"/>
        <v>567991140</v>
      </c>
      <c r="J69" s="16">
        <f t="shared" si="40"/>
        <v>829456712</v>
      </c>
      <c r="K69" s="16">
        <f t="shared" si="40"/>
        <v>855435848</v>
      </c>
      <c r="L69" s="16">
        <f>L60+L75</f>
        <v>1231078520</v>
      </c>
      <c r="M69" s="16">
        <f>M60+M75</f>
        <v>1675209277</v>
      </c>
      <c r="N69" s="16">
        <f t="shared" ref="N69:AO69" si="41">N60+N75</f>
        <v>2234052013</v>
      </c>
      <c r="O69" s="16">
        <f>O60+O75</f>
        <v>2455245507.292006</v>
      </c>
      <c r="P69" s="16">
        <f t="shared" si="41"/>
        <v>2239579491.4462509</v>
      </c>
      <c r="Q69" s="16">
        <f t="shared" si="41"/>
        <v>2251168468.181006</v>
      </c>
      <c r="R69" s="16">
        <f t="shared" si="41"/>
        <v>2416485553.954339</v>
      </c>
      <c r="S69" s="16">
        <f t="shared" si="41"/>
        <v>2256032415.5243683</v>
      </c>
      <c r="T69" s="16">
        <f t="shared" si="41"/>
        <v>2284542468.7312932</v>
      </c>
      <c r="U69" s="16">
        <f t="shared" si="41"/>
        <v>2372778330.2654481</v>
      </c>
      <c r="V69" s="16">
        <f t="shared" si="41"/>
        <v>2484765940.783298</v>
      </c>
      <c r="W69" s="16">
        <f t="shared" si="41"/>
        <v>2747030172.256094</v>
      </c>
      <c r="X69" s="16">
        <f t="shared" si="41"/>
        <v>2747548226.6369824</v>
      </c>
      <c r="Y69" s="16">
        <f t="shared" si="41"/>
        <v>2695843682.0384297</v>
      </c>
      <c r="Z69" s="16">
        <f t="shared" si="41"/>
        <v>2861810447.8076878</v>
      </c>
      <c r="AA69" s="16">
        <f t="shared" si="41"/>
        <v>2951782505.0201631</v>
      </c>
      <c r="AB69" s="16">
        <f t="shared" si="41"/>
        <v>3193439216.8027058</v>
      </c>
      <c r="AC69" s="16">
        <f t="shared" si="41"/>
        <v>3419063343.6794949</v>
      </c>
      <c r="AD69" s="16">
        <f t="shared" si="41"/>
        <v>3421359396.6779385</v>
      </c>
      <c r="AE69" s="16">
        <f t="shared" si="41"/>
        <v>3118055538.2785072</v>
      </c>
      <c r="AF69" s="16">
        <f t="shared" si="41"/>
        <v>3244882880.9374237</v>
      </c>
      <c r="AG69" s="16">
        <f t="shared" si="41"/>
        <v>3373299686.262208</v>
      </c>
      <c r="AH69" s="16">
        <f t="shared" si="41"/>
        <v>3575886447.6131067</v>
      </c>
      <c r="AI69" s="16">
        <f t="shared" si="41"/>
        <v>3628495247.2491202</v>
      </c>
      <c r="AJ69" s="16">
        <f t="shared" si="41"/>
        <v>3614502026.0006585</v>
      </c>
      <c r="AK69" s="16">
        <f t="shared" si="41"/>
        <v>3493263808.4063015</v>
      </c>
      <c r="AL69" s="16">
        <f t="shared" si="41"/>
        <v>3596640919.1615529</v>
      </c>
      <c r="AM69" s="16">
        <f t="shared" si="41"/>
        <v>3690015656.4415607</v>
      </c>
      <c r="AN69" s="16">
        <f t="shared" si="41"/>
        <v>3786899875.1813087</v>
      </c>
      <c r="AO69" s="16">
        <f t="shared" si="41"/>
        <v>3914073748.6958885</v>
      </c>
      <c r="AP69" s="16"/>
      <c r="AQ69" s="16"/>
      <c r="AR69" s="16"/>
      <c r="AS69" s="16"/>
      <c r="AT69" s="16"/>
      <c r="AU69" s="16"/>
      <c r="AV69" s="16"/>
      <c r="AW69" s="16"/>
      <c r="AX69" s="16"/>
      <c r="AY69" s="16"/>
      <c r="AZ69" s="16"/>
      <c r="BA69" s="16"/>
      <c r="BB69" s="16"/>
    </row>
    <row r="70" spans="1:54" x14ac:dyDescent="0.25">
      <c r="A70" s="14" t="s">
        <v>73</v>
      </c>
      <c r="B70" s="14">
        <f>B3</f>
        <v>2011</v>
      </c>
      <c r="C70" s="14">
        <f t="shared" ref="C70:AO70" si="42">C3</f>
        <v>2012</v>
      </c>
      <c r="D70" s="14">
        <f t="shared" si="42"/>
        <v>2013</v>
      </c>
      <c r="E70" s="14">
        <f t="shared" si="42"/>
        <v>2014</v>
      </c>
      <c r="F70" s="14">
        <f t="shared" si="42"/>
        <v>2015</v>
      </c>
      <c r="G70" s="14">
        <f t="shared" si="42"/>
        <v>2016</v>
      </c>
      <c r="H70" s="14">
        <f t="shared" si="42"/>
        <v>2017</v>
      </c>
      <c r="I70" s="14">
        <f t="shared" si="42"/>
        <v>2018</v>
      </c>
      <c r="J70" s="14">
        <f t="shared" si="42"/>
        <v>2019</v>
      </c>
      <c r="K70" s="14">
        <f t="shared" si="42"/>
        <v>2020</v>
      </c>
      <c r="L70" s="14">
        <f t="shared" si="42"/>
        <v>2021</v>
      </c>
      <c r="M70" s="14">
        <f t="shared" si="42"/>
        <v>2022</v>
      </c>
      <c r="N70" s="14">
        <f t="shared" si="42"/>
        <v>2023</v>
      </c>
      <c r="O70" s="14">
        <f t="shared" si="42"/>
        <v>2024</v>
      </c>
      <c r="P70" s="14">
        <f t="shared" si="42"/>
        <v>2025</v>
      </c>
      <c r="Q70" s="14">
        <f t="shared" si="42"/>
        <v>2026</v>
      </c>
      <c r="R70" s="14">
        <f t="shared" si="42"/>
        <v>2027</v>
      </c>
      <c r="S70" s="14">
        <f t="shared" si="42"/>
        <v>2028</v>
      </c>
      <c r="T70" s="14">
        <f t="shared" si="42"/>
        <v>2029</v>
      </c>
      <c r="U70" s="14">
        <f t="shared" si="42"/>
        <v>2030</v>
      </c>
      <c r="V70" s="14">
        <f t="shared" si="42"/>
        <v>2031</v>
      </c>
      <c r="W70" s="14">
        <f t="shared" si="42"/>
        <v>2032</v>
      </c>
      <c r="X70" s="14">
        <f t="shared" si="42"/>
        <v>2033</v>
      </c>
      <c r="Y70" s="14">
        <f t="shared" si="42"/>
        <v>2034</v>
      </c>
      <c r="Z70" s="14">
        <f t="shared" si="42"/>
        <v>2035</v>
      </c>
      <c r="AA70" s="14">
        <f t="shared" si="42"/>
        <v>2036</v>
      </c>
      <c r="AB70" s="14">
        <f t="shared" si="42"/>
        <v>2037</v>
      </c>
      <c r="AC70" s="14">
        <f t="shared" si="42"/>
        <v>2038</v>
      </c>
      <c r="AD70" s="14">
        <f t="shared" si="42"/>
        <v>2039</v>
      </c>
      <c r="AE70" s="14">
        <f t="shared" si="42"/>
        <v>2040</v>
      </c>
      <c r="AF70" s="14">
        <f t="shared" si="42"/>
        <v>2041</v>
      </c>
      <c r="AG70" s="14">
        <f t="shared" si="42"/>
        <v>2042</v>
      </c>
      <c r="AH70" s="14">
        <f t="shared" si="42"/>
        <v>2043</v>
      </c>
      <c r="AI70" s="14">
        <f t="shared" si="42"/>
        <v>2044</v>
      </c>
      <c r="AJ70" s="14">
        <f t="shared" si="42"/>
        <v>2045</v>
      </c>
      <c r="AK70" s="14">
        <f t="shared" si="42"/>
        <v>2046</v>
      </c>
      <c r="AL70" s="14">
        <f t="shared" si="42"/>
        <v>2047</v>
      </c>
      <c r="AM70" s="14">
        <f t="shared" si="42"/>
        <v>2048</v>
      </c>
      <c r="AN70" s="14">
        <f t="shared" si="42"/>
        <v>2049</v>
      </c>
      <c r="AO70" s="14">
        <f t="shared" si="42"/>
        <v>2050</v>
      </c>
      <c r="AP70" s="14"/>
      <c r="AQ70" s="14"/>
      <c r="AR70" s="14"/>
      <c r="AS70" s="14"/>
      <c r="AT70" s="14"/>
      <c r="AU70" s="14"/>
      <c r="AV70" s="14"/>
      <c r="AW70" s="14"/>
      <c r="AX70" s="14"/>
      <c r="AY70" s="14"/>
      <c r="AZ70" s="14"/>
      <c r="BA70" s="14"/>
      <c r="BB70" s="14"/>
    </row>
    <row r="71" spans="1:54" x14ac:dyDescent="0.25">
      <c r="A71" s="15" t="s">
        <v>68</v>
      </c>
      <c r="B71" s="16">
        <f>'Fuel Vol and Credit Gen'!C$13</f>
        <v>325266</v>
      </c>
      <c r="C71" s="16">
        <f>'Fuel Vol and Credit Gen'!G$13</f>
        <v>712233</v>
      </c>
      <c r="D71" s="16">
        <f>'Fuel Vol and Credit Gen'!K$13</f>
        <v>8182191</v>
      </c>
      <c r="E71" s="16">
        <f>'Fuel Vol and Credit Gen'!O$13</f>
        <v>25871987</v>
      </c>
      <c r="F71" s="16">
        <f>'Fuel Vol and Credit Gen'!S$13</f>
        <v>27058770</v>
      </c>
      <c r="G71" s="16">
        <f>'Fuel Vol and Credit Gen'!W$13</f>
        <v>43663408</v>
      </c>
      <c r="H71" s="16">
        <f>'Fuel Vol and Credit Gen'!AA$13</f>
        <v>68700606</v>
      </c>
      <c r="I71" s="16">
        <f>'Fuel Vol and Credit Gen'!AE$13</f>
        <v>93949619</v>
      </c>
      <c r="J71" s="16">
        <f>'Fuel Vol and Credit Gen'!AI$13</f>
        <v>159583033</v>
      </c>
      <c r="K71" s="16">
        <f>'Fuel Vol and Credit Gen'!AM$13</f>
        <v>130973476</v>
      </c>
      <c r="L71" s="16">
        <f>'Fuel Vol and Credit Gen'!AQ$13</f>
        <v>199089761</v>
      </c>
      <c r="M71" s="16">
        <f>'Fuel Vol and Credit Gen'!AU$13</f>
        <v>320411961</v>
      </c>
      <c r="N71" s="16">
        <f>'Fuel Vol and Credit Gen'!AY$13</f>
        <v>404778818</v>
      </c>
      <c r="O71" s="16">
        <f>'Fuel Vol and Credit Gen'!BC$13</f>
        <v>518276102</v>
      </c>
      <c r="P71" s="17">
        <f t="shared" ref="P71:Q74" si="43">FORECAST(P64,K71:O71,K64:O64)</f>
        <v>441392098.30412436</v>
      </c>
      <c r="Q71" s="17">
        <f t="shared" si="43"/>
        <v>435242703.72862172</v>
      </c>
      <c r="R71" s="17">
        <f t="shared" ref="R71:S74" si="44">FORECAST(R64,K71:Q71,K64:Q64)</f>
        <v>468452381.24155182</v>
      </c>
      <c r="S71" s="17">
        <f>FORECAST(S64,L71:R71,L64:R64)</f>
        <v>437499728.24064165</v>
      </c>
      <c r="T71" s="17">
        <f t="shared" ref="T71:V74" si="45">FORECAST(T64,M71:S71,M64:S64)</f>
        <v>441653949.26244438</v>
      </c>
      <c r="U71" s="17">
        <f t="shared" si="45"/>
        <v>457905990.37526339</v>
      </c>
      <c r="V71" s="17">
        <f>FORECAST(V64,O71:U71,O64:U64)</f>
        <v>488363374.53187293</v>
      </c>
      <c r="W71" s="17">
        <f t="shared" ref="W71:Y74" si="46">FORECAST(W64,P71:V71,P64:V64)</f>
        <v>565987488.62687504</v>
      </c>
      <c r="X71" s="17">
        <f t="shared" si="46"/>
        <v>563694208.8733319</v>
      </c>
      <c r="Y71" s="17">
        <f>FORECAST(Y64,R71:X71,R64:X64)</f>
        <v>550423422.69853616</v>
      </c>
      <c r="Z71" s="17">
        <f t="shared" ref="Z71:AO74" si="47">FORECAST(Z64,S71:Y71,S64:Y64)</f>
        <v>597355897.36293328</v>
      </c>
      <c r="AA71" s="17">
        <f t="shared" si="47"/>
        <v>626240549.77102923</v>
      </c>
      <c r="AB71" s="17">
        <f t="shared" si="47"/>
        <v>698352198.17105341</v>
      </c>
      <c r="AC71" s="17">
        <f t="shared" si="47"/>
        <v>762038828.19258916</v>
      </c>
      <c r="AD71" s="17">
        <f t="shared" si="47"/>
        <v>764247987.97750187</v>
      </c>
      <c r="AE71" s="17">
        <f t="shared" si="47"/>
        <v>682211338.46165061</v>
      </c>
      <c r="AF71" s="17">
        <f t="shared" si="47"/>
        <v>716861869.27876437</v>
      </c>
      <c r="AG71" s="17">
        <f t="shared" si="47"/>
        <v>753054729.16776323</v>
      </c>
      <c r="AH71" s="17">
        <f t="shared" si="47"/>
        <v>811278211.00181544</v>
      </c>
      <c r="AI71" s="17">
        <f t="shared" si="47"/>
        <v>825791910.62370121</v>
      </c>
      <c r="AJ71" s="17">
        <f t="shared" si="47"/>
        <v>821566450.25805104</v>
      </c>
      <c r="AK71" s="17">
        <f t="shared" si="47"/>
        <v>786893986.2788527</v>
      </c>
      <c r="AL71" s="17">
        <f t="shared" si="47"/>
        <v>815689401.72945344</v>
      </c>
      <c r="AM71" s="17">
        <f t="shared" si="47"/>
        <v>842043293.55448699</v>
      </c>
      <c r="AN71" s="17">
        <f t="shared" si="47"/>
        <v>869551679.22900116</v>
      </c>
      <c r="AO71" s="17">
        <f t="shared" si="47"/>
        <v>903526331.74664557</v>
      </c>
      <c r="AP71" s="17"/>
      <c r="AQ71" s="17"/>
      <c r="AR71" s="17"/>
      <c r="AS71" s="17"/>
      <c r="AT71" s="17"/>
      <c r="AU71" s="17"/>
      <c r="AV71" s="17"/>
      <c r="AW71" s="17"/>
      <c r="AX71" s="17"/>
      <c r="AY71" s="17"/>
      <c r="AZ71" s="17"/>
      <c r="BA71" s="17"/>
      <c r="BB71" s="17"/>
    </row>
    <row r="72" spans="1:54" x14ac:dyDescent="0.25">
      <c r="A72" s="15" t="s">
        <v>69</v>
      </c>
      <c r="B72" s="16">
        <f>'Fuel Vol and Credit Gen'!D$13</f>
        <v>356935</v>
      </c>
      <c r="C72" s="16">
        <f>'Fuel Vol and Credit Gen'!H$13</f>
        <v>723231</v>
      </c>
      <c r="D72" s="16">
        <f>'Fuel Vol and Credit Gen'!L$13</f>
        <v>23562582</v>
      </c>
      <c r="E72" s="16">
        <f>'Fuel Vol and Credit Gen'!P$13</f>
        <v>26668165</v>
      </c>
      <c r="F72" s="16">
        <f>'Fuel Vol and Credit Gen'!T$13</f>
        <v>40776364</v>
      </c>
      <c r="G72" s="16">
        <f>'Fuel Vol and Credit Gen'!X$13</f>
        <v>75711296</v>
      </c>
      <c r="H72" s="16">
        <f>'Fuel Vol and Credit Gen'!AB$13</f>
        <v>94202959</v>
      </c>
      <c r="I72" s="16">
        <f>'Fuel Vol and Credit Gen'!AF$13</f>
        <v>100488727</v>
      </c>
      <c r="J72" s="16">
        <f>'Fuel Vol and Credit Gen'!AJ$13</f>
        <v>160308777</v>
      </c>
      <c r="K72" s="16">
        <f>'Fuel Vol and Credit Gen'!AN$13</f>
        <v>151994539</v>
      </c>
      <c r="L72" s="16">
        <f>'Fuel Vol and Credit Gen'!AR$13</f>
        <v>218785737</v>
      </c>
      <c r="M72" s="16">
        <f>'Fuel Vol and Credit Gen'!AV$13</f>
        <v>349244307</v>
      </c>
      <c r="N72" s="16">
        <f>'Fuel Vol and Credit Gen'!AZ$13</f>
        <v>481200270</v>
      </c>
      <c r="O72" s="16">
        <f>'Fuel Vol and Credit Gen'!BD$13</f>
        <v>603001119</v>
      </c>
      <c r="P72" s="17">
        <f t="shared" si="43"/>
        <v>448048628.67725605</v>
      </c>
      <c r="Q72" s="17">
        <f t="shared" si="43"/>
        <v>481685510.6530391</v>
      </c>
      <c r="R72" s="17">
        <f t="shared" si="44"/>
        <v>520037290.02228367</v>
      </c>
      <c r="S72" s="17">
        <f t="shared" si="44"/>
        <v>479816959.64220887</v>
      </c>
      <c r="T72" s="17">
        <f t="shared" si="45"/>
        <v>482993915.37878895</v>
      </c>
      <c r="U72" s="17">
        <f t="shared" si="45"/>
        <v>502676386.3842321</v>
      </c>
      <c r="V72" s="17">
        <f t="shared" si="45"/>
        <v>543253020.4204582</v>
      </c>
      <c r="W72" s="17">
        <f t="shared" si="46"/>
        <v>637638770.8849324</v>
      </c>
      <c r="X72" s="17">
        <f t="shared" si="46"/>
        <v>634373282.50756216</v>
      </c>
      <c r="Y72" s="17">
        <f>FORECAST(Y65,R72:X72,R65:X65)</f>
        <v>617728836.34862733</v>
      </c>
      <c r="Z72" s="17">
        <f t="shared" si="47"/>
        <v>681437256.43705606</v>
      </c>
      <c r="AA72" s="17">
        <f t="shared" si="47"/>
        <v>714100472.41606462</v>
      </c>
      <c r="AB72" s="17">
        <f t="shared" si="47"/>
        <v>802391397.03057671</v>
      </c>
      <c r="AC72" s="17">
        <f t="shared" si="47"/>
        <v>880332584.62870514</v>
      </c>
      <c r="AD72" s="17">
        <f t="shared" si="47"/>
        <v>883132983.64518952</v>
      </c>
      <c r="AE72" s="17">
        <f t="shared" si="47"/>
        <v>781661501.14096463</v>
      </c>
      <c r="AF72" s="17">
        <f t="shared" si="47"/>
        <v>824409154.43465614</v>
      </c>
      <c r="AG72" s="17">
        <f t="shared" si="47"/>
        <v>868985733.89157319</v>
      </c>
      <c r="AH72" s="17">
        <f t="shared" si="47"/>
        <v>940555217.43616748</v>
      </c>
      <c r="AI72" s="17">
        <f t="shared" si="47"/>
        <v>958356668.95722461</v>
      </c>
      <c r="AJ72" s="17">
        <f t="shared" si="47"/>
        <v>953165471.61927867</v>
      </c>
      <c r="AK72" s="17">
        <f t="shared" si="47"/>
        <v>910362967.28416407</v>
      </c>
      <c r="AL72" s="17">
        <f t="shared" si="47"/>
        <v>945981114.62157309</v>
      </c>
      <c r="AM72" s="17">
        <f t="shared" si="47"/>
        <v>978370891.46023762</v>
      </c>
      <c r="AN72" s="17">
        <f t="shared" si="47"/>
        <v>1012164689.9985688</v>
      </c>
      <c r="AO72" s="17">
        <f t="shared" si="47"/>
        <v>1054049416.9938188</v>
      </c>
      <c r="AP72" s="17"/>
      <c r="AQ72" s="17"/>
      <c r="AR72" s="17"/>
      <c r="AS72" s="17"/>
      <c r="AT72" s="17"/>
      <c r="AU72" s="17"/>
      <c r="AV72" s="17"/>
      <c r="AW72" s="17"/>
      <c r="AX72" s="17"/>
      <c r="AY72" s="17"/>
      <c r="AZ72" s="17"/>
      <c r="BA72" s="17"/>
      <c r="BB72" s="17"/>
    </row>
    <row r="73" spans="1:54" x14ac:dyDescent="0.25">
      <c r="A73" s="15" t="s">
        <v>70</v>
      </c>
      <c r="B73" s="16">
        <f>'Fuel Vol and Credit Gen'!E$13</f>
        <v>462226</v>
      </c>
      <c r="C73" s="16">
        <f>'Fuel Vol and Credit Gen'!I$13</f>
        <v>843696</v>
      </c>
      <c r="D73" s="16">
        <f>'Fuel Vol and Credit Gen'!M$13</f>
        <v>40409392</v>
      </c>
      <c r="E73" s="16">
        <f>'Fuel Vol and Credit Gen'!Q$13</f>
        <v>36487197</v>
      </c>
      <c r="F73" s="16">
        <f>'Fuel Vol and Credit Gen'!U$13</f>
        <v>51165569</v>
      </c>
      <c r="G73" s="16">
        <f>'Fuel Vol and Credit Gen'!Y$13</f>
        <v>63846512</v>
      </c>
      <c r="H73" s="16">
        <f>'Fuel Vol and Credit Gen'!AC$13</f>
        <v>95429959</v>
      </c>
      <c r="I73" s="16">
        <f>'Fuel Vol and Credit Gen'!AG$13</f>
        <v>79736407</v>
      </c>
      <c r="J73" s="16">
        <f>'Fuel Vol and Credit Gen'!AK$13</f>
        <v>133219894</v>
      </c>
      <c r="K73" s="16">
        <f>'Fuel Vol and Credit Gen'!AO$13</f>
        <v>140072718</v>
      </c>
      <c r="L73" s="16">
        <f>'Fuel Vol and Credit Gen'!AS$13</f>
        <v>250252477</v>
      </c>
      <c r="M73" s="16">
        <f>'Fuel Vol and Credit Gen'!AW$13</f>
        <v>352249753</v>
      </c>
      <c r="N73" s="16">
        <f>'Fuel Vol and Credit Gen'!BA$13</f>
        <v>531797418</v>
      </c>
      <c r="O73" s="17">
        <f>FORECAST(O66,J73:N73,J66:N66)*0+O66*0.6</f>
        <v>524507607</v>
      </c>
      <c r="P73" s="17">
        <f>FORECAST(P66,K73:O73,K66:O66)+150000000</f>
        <v>580142708.42761922</v>
      </c>
      <c r="Q73" s="17">
        <f t="shared" si="43"/>
        <v>501478189.69605738</v>
      </c>
      <c r="R73" s="17">
        <f t="shared" si="44"/>
        <v>539344148.76246023</v>
      </c>
      <c r="S73" s="17">
        <f t="shared" si="44"/>
        <v>519230734.04251754</v>
      </c>
      <c r="T73" s="17">
        <f t="shared" si="45"/>
        <v>522557488.62159789</v>
      </c>
      <c r="U73" s="17">
        <f t="shared" si="45"/>
        <v>526923668.17243147</v>
      </c>
      <c r="V73" s="17">
        <f t="shared" si="45"/>
        <v>518055592.80000424</v>
      </c>
      <c r="W73" s="17">
        <f t="shared" si="46"/>
        <v>476457180.44928277</v>
      </c>
      <c r="X73" s="17">
        <f t="shared" si="46"/>
        <v>488127941.6923871</v>
      </c>
      <c r="Y73" s="17">
        <f t="shared" si="46"/>
        <v>489717428.73218971</v>
      </c>
      <c r="Z73" s="17">
        <f t="shared" si="47"/>
        <v>475454095.57633203</v>
      </c>
      <c r="AA73" s="17">
        <f t="shared" si="47"/>
        <v>462915571.73733294</v>
      </c>
      <c r="AB73" s="17">
        <f t="shared" si="47"/>
        <v>432151022.6796242</v>
      </c>
      <c r="AC73" s="17">
        <f t="shared" si="47"/>
        <v>406235513.54811674</v>
      </c>
      <c r="AD73" s="17">
        <f t="shared" si="47"/>
        <v>406097396.54130715</v>
      </c>
      <c r="AE73" s="17">
        <f t="shared" si="47"/>
        <v>438878970.79290259</v>
      </c>
      <c r="AF73" s="17">
        <f t="shared" si="47"/>
        <v>424887067.17987251</v>
      </c>
      <c r="AG73" s="17">
        <f t="shared" si="47"/>
        <v>410019394.08045232</v>
      </c>
      <c r="AH73" s="17">
        <f t="shared" si="47"/>
        <v>386088752.11267579</v>
      </c>
      <c r="AI73" s="17">
        <f t="shared" si="47"/>
        <v>380356193.97505397</v>
      </c>
      <c r="AJ73" s="17">
        <f t="shared" si="47"/>
        <v>382035989.26604289</v>
      </c>
      <c r="AK73" s="17">
        <f t="shared" si="47"/>
        <v>396211208.41308045</v>
      </c>
      <c r="AL73" s="17">
        <f t="shared" si="47"/>
        <v>384449996.69452965</v>
      </c>
      <c r="AM73" s="17">
        <f t="shared" si="47"/>
        <v>373653632.48190463</v>
      </c>
      <c r="AN73" s="17">
        <f t="shared" si="47"/>
        <v>362414976.47504884</v>
      </c>
      <c r="AO73" s="17">
        <f t="shared" si="47"/>
        <v>348564488.06993872</v>
      </c>
      <c r="AP73" s="17"/>
      <c r="AQ73" s="17"/>
      <c r="AR73" s="17"/>
      <c r="AS73" s="17"/>
      <c r="AT73" s="17"/>
      <c r="AU73" s="17"/>
      <c r="AV73" s="17"/>
      <c r="AW73" s="17"/>
      <c r="AX73" s="17"/>
      <c r="AY73" s="17"/>
      <c r="AZ73" s="17"/>
      <c r="BA73" s="17"/>
      <c r="BB73" s="17"/>
    </row>
    <row r="74" spans="1:54" x14ac:dyDescent="0.25">
      <c r="A74" s="15" t="s">
        <v>71</v>
      </c>
      <c r="B74" s="16">
        <f>'Fuel Vol and Credit Gen'!F$13</f>
        <v>659061</v>
      </c>
      <c r="C74" s="16">
        <f>'Fuel Vol and Credit Gen'!J$13</f>
        <v>6535747</v>
      </c>
      <c r="D74" s="16">
        <f>'Fuel Vol and Credit Gen'!N$13</f>
        <v>44784857</v>
      </c>
      <c r="E74" s="16">
        <f>'Fuel Vol and Credit Gen'!R$13</f>
        <v>23817520</v>
      </c>
      <c r="F74" s="16">
        <f>'Fuel Vol and Credit Gen'!V$13</f>
        <v>46155232</v>
      </c>
      <c r="G74" s="16">
        <f>'Fuel Vol and Credit Gen'!Z$13</f>
        <v>72449941</v>
      </c>
      <c r="H74" s="16">
        <f>'Fuel Vol and Credit Gen'!AD$13</f>
        <v>77130870</v>
      </c>
      <c r="I74" s="16">
        <f>'Fuel Vol and Credit Gen'!AH$13</f>
        <v>109391300</v>
      </c>
      <c r="J74" s="16">
        <f>'Fuel Vol and Credit Gen'!AL$13</f>
        <v>164778486</v>
      </c>
      <c r="K74" s="16">
        <f>'Fuel Vol and Credit Gen'!AP$13</f>
        <v>165950498</v>
      </c>
      <c r="L74" s="16">
        <f>'Fuel Vol and Credit Gen'!AT$13</f>
        <v>272878865</v>
      </c>
      <c r="M74" s="16">
        <f>'Fuel Vol and Credit Gen'!AX$13</f>
        <v>372139289</v>
      </c>
      <c r="N74" s="16">
        <f>'Fuel Vol and Credit Gen'!BB$13</f>
        <v>547388851</v>
      </c>
      <c r="O74" s="17">
        <f t="shared" ref="O74" si="48">FORECAST(O67,J74:N74,J67:N67)</f>
        <v>573220407.04731023</v>
      </c>
      <c r="P74" s="17">
        <f t="shared" si="43"/>
        <v>532495252.03143936</v>
      </c>
      <c r="Q74" s="17">
        <f t="shared" si="43"/>
        <v>593574181.46246314</v>
      </c>
      <c r="R74" s="17">
        <f t="shared" si="44"/>
        <v>646634579.75410664</v>
      </c>
      <c r="S74" s="17">
        <f t="shared" si="44"/>
        <v>612299475.63653946</v>
      </c>
      <c r="T74" s="17">
        <f t="shared" si="45"/>
        <v>615049729.69131458</v>
      </c>
      <c r="U74" s="17">
        <f t="shared" si="45"/>
        <v>646474633.97145259</v>
      </c>
      <c r="V74" s="17">
        <f t="shared" si="45"/>
        <v>700074408.66560018</v>
      </c>
      <c r="W74" s="17">
        <f t="shared" si="46"/>
        <v>829268595.02743423</v>
      </c>
      <c r="X74" s="17">
        <f t="shared" si="46"/>
        <v>825219699.01555443</v>
      </c>
      <c r="Y74" s="17">
        <f t="shared" si="46"/>
        <v>802174908.69859278</v>
      </c>
      <c r="Z74" s="17">
        <f t="shared" si="47"/>
        <v>876919676.23982084</v>
      </c>
      <c r="AA74" s="17">
        <f t="shared" si="47"/>
        <v>929572829.73443615</v>
      </c>
      <c r="AB74" s="17">
        <f t="shared" si="47"/>
        <v>1051518036.3121086</v>
      </c>
      <c r="AC74" s="17">
        <f t="shared" si="47"/>
        <v>1158856230.7201321</v>
      </c>
      <c r="AD74" s="17">
        <f t="shared" si="47"/>
        <v>1162069707.5825419</v>
      </c>
      <c r="AE74" s="17">
        <f t="shared" si="47"/>
        <v>1022560401.0602371</v>
      </c>
      <c r="AF74" s="17">
        <f t="shared" si="47"/>
        <v>1081218849.7814889</v>
      </c>
      <c r="AG74" s="17">
        <f t="shared" si="47"/>
        <v>1142177400.3623388</v>
      </c>
      <c r="AH74" s="17">
        <f t="shared" si="47"/>
        <v>1240016912.6396577</v>
      </c>
      <c r="AI74" s="17">
        <f t="shared" si="47"/>
        <v>1264505495.5127242</v>
      </c>
      <c r="AJ74" s="17">
        <f t="shared" si="47"/>
        <v>1257352632.2861609</v>
      </c>
      <c r="AK74" s="17">
        <f t="shared" si="47"/>
        <v>1198433428.9788465</v>
      </c>
      <c r="AL74" s="17">
        <f t="shared" si="47"/>
        <v>1247565092.6154466</v>
      </c>
      <c r="AM74" s="17">
        <f t="shared" si="47"/>
        <v>1291850899.8254735</v>
      </c>
      <c r="AN74" s="17">
        <f t="shared" si="47"/>
        <v>1338091395.7129784</v>
      </c>
      <c r="AO74" s="17">
        <f t="shared" si="47"/>
        <v>1395681371.4513481</v>
      </c>
      <c r="AP74" s="17"/>
      <c r="AQ74" s="17"/>
      <c r="AR74" s="17"/>
      <c r="AS74" s="17"/>
      <c r="AT74" s="17"/>
      <c r="AU74" s="17"/>
      <c r="AV74" s="17"/>
      <c r="AW74" s="17"/>
      <c r="AX74" s="17"/>
      <c r="AY74" s="17"/>
      <c r="AZ74" s="17"/>
      <c r="BA74" s="17"/>
      <c r="BB74" s="17"/>
    </row>
    <row r="75" spans="1:54" x14ac:dyDescent="0.25">
      <c r="A75" s="15" t="s">
        <v>72</v>
      </c>
      <c r="B75" s="16">
        <f>SUM(B71:B74)</f>
        <v>1803488</v>
      </c>
      <c r="C75" s="16">
        <f t="shared" ref="C75:AO75" si="49">SUM(C71:C74)</f>
        <v>8814907</v>
      </c>
      <c r="D75" s="16">
        <f t="shared" si="49"/>
        <v>116939022</v>
      </c>
      <c r="E75" s="16">
        <f t="shared" si="49"/>
        <v>112844869</v>
      </c>
      <c r="F75" s="16">
        <f t="shared" si="49"/>
        <v>165155935</v>
      </c>
      <c r="G75" s="16">
        <f t="shared" si="49"/>
        <v>255671157</v>
      </c>
      <c r="H75" s="16">
        <f t="shared" si="49"/>
        <v>335464394</v>
      </c>
      <c r="I75" s="16">
        <f t="shared" si="49"/>
        <v>383566053</v>
      </c>
      <c r="J75" s="16">
        <f t="shared" si="49"/>
        <v>617890190</v>
      </c>
      <c r="K75" s="16">
        <f t="shared" si="49"/>
        <v>588991231</v>
      </c>
      <c r="L75" s="16">
        <f t="shared" si="49"/>
        <v>941006840</v>
      </c>
      <c r="M75" s="16">
        <f t="shared" si="49"/>
        <v>1394045310</v>
      </c>
      <c r="N75" s="16">
        <f t="shared" si="49"/>
        <v>1965165357</v>
      </c>
      <c r="O75" s="17">
        <f t="shared" si="49"/>
        <v>2219005235.0473104</v>
      </c>
      <c r="P75" s="17">
        <f t="shared" si="49"/>
        <v>2002078687.440439</v>
      </c>
      <c r="Q75" s="17">
        <f t="shared" si="49"/>
        <v>2011980585.5401814</v>
      </c>
      <c r="R75" s="17">
        <f t="shared" si="49"/>
        <v>2174468399.7804022</v>
      </c>
      <c r="S75" s="17">
        <f t="shared" si="49"/>
        <v>2048846897.5619075</v>
      </c>
      <c r="T75" s="17">
        <f t="shared" si="49"/>
        <v>2062255082.9541459</v>
      </c>
      <c r="U75" s="17">
        <f t="shared" si="49"/>
        <v>2133980678.9033794</v>
      </c>
      <c r="V75" s="17">
        <f t="shared" si="49"/>
        <v>2249746396.4179354</v>
      </c>
      <c r="W75" s="17">
        <f t="shared" si="49"/>
        <v>2509352034.9885244</v>
      </c>
      <c r="X75" s="17">
        <f t="shared" si="49"/>
        <v>2511415132.0888357</v>
      </c>
      <c r="Y75" s="17">
        <f t="shared" si="49"/>
        <v>2460044596.4779458</v>
      </c>
      <c r="Z75" s="17">
        <f t="shared" si="49"/>
        <v>2631166925.6161423</v>
      </c>
      <c r="AA75" s="17">
        <f t="shared" si="49"/>
        <v>2732829423.6588626</v>
      </c>
      <c r="AB75" s="17">
        <f t="shared" si="49"/>
        <v>2984412654.1933627</v>
      </c>
      <c r="AC75" s="17">
        <f t="shared" si="49"/>
        <v>3207463157.0895433</v>
      </c>
      <c r="AD75" s="17">
        <f t="shared" si="49"/>
        <v>3215548075.7465405</v>
      </c>
      <c r="AE75" s="17">
        <f t="shared" si="49"/>
        <v>2925312211.4557548</v>
      </c>
      <c r="AF75" s="17">
        <f t="shared" si="49"/>
        <v>3047376940.6747818</v>
      </c>
      <c r="AG75" s="17">
        <f t="shared" si="49"/>
        <v>3174237257.5021276</v>
      </c>
      <c r="AH75" s="17">
        <f t="shared" si="49"/>
        <v>3377939093.1903162</v>
      </c>
      <c r="AI75" s="17">
        <f t="shared" si="49"/>
        <v>3429010269.0687037</v>
      </c>
      <c r="AJ75" s="17">
        <f t="shared" si="49"/>
        <v>3414120543.4295335</v>
      </c>
      <c r="AK75" s="17">
        <f t="shared" si="49"/>
        <v>3291901590.9549437</v>
      </c>
      <c r="AL75" s="17">
        <f t="shared" si="49"/>
        <v>3393685605.6610026</v>
      </c>
      <c r="AM75" s="17">
        <f t="shared" si="49"/>
        <v>3485918717.3221025</v>
      </c>
      <c r="AN75" s="17">
        <f t="shared" si="49"/>
        <v>3582222741.4155974</v>
      </c>
      <c r="AO75" s="17">
        <f t="shared" si="49"/>
        <v>3701821608.2617512</v>
      </c>
      <c r="AP75" s="17"/>
      <c r="AQ75" s="17"/>
      <c r="AR75" s="17"/>
      <c r="AS75" s="17"/>
      <c r="AT75" s="17"/>
      <c r="AU75" s="17"/>
      <c r="AV75" s="17"/>
      <c r="AW75" s="17"/>
      <c r="AX75" s="17"/>
      <c r="AY75" s="17"/>
      <c r="AZ75" s="17"/>
      <c r="BA75" s="17"/>
      <c r="BB75" s="17"/>
    </row>
    <row r="76" spans="1:54" x14ac:dyDescent="0.25">
      <c r="B76" s="21">
        <f>B75/B68</f>
        <v>2.9068214794051656E-2</v>
      </c>
      <c r="C76" s="21">
        <f t="shared" ref="C76:AO76" si="50">C75/C68</f>
        <v>8.5851648967048166E-2</v>
      </c>
      <c r="D76" s="21">
        <f t="shared" si="50"/>
        <v>0.399072240399033</v>
      </c>
      <c r="E76" s="21">
        <f t="shared" si="50"/>
        <v>0.28098067806093424</v>
      </c>
      <c r="F76" s="21">
        <f t="shared" si="50"/>
        <v>0.41697476518757826</v>
      </c>
      <c r="G76" s="21">
        <f t="shared" si="50"/>
        <v>0.50982835829690298</v>
      </c>
      <c r="H76" s="21">
        <f t="shared" ref="H76:L76" si="51">H73/H66</f>
        <v>0.67824110761774192</v>
      </c>
      <c r="I76" s="21">
        <f t="shared" si="51"/>
        <v>0.53579882004714352</v>
      </c>
      <c r="J76" s="21">
        <f t="shared" si="51"/>
        <v>0.61317091247434385</v>
      </c>
      <c r="K76" s="21">
        <f t="shared" si="51"/>
        <v>0.5471423882174089</v>
      </c>
      <c r="L76" s="21">
        <f t="shared" si="51"/>
        <v>0.86063897214841312</v>
      </c>
      <c r="M76" s="21">
        <f>M73/M66</f>
        <v>0.82085389198981829</v>
      </c>
      <c r="N76" s="21">
        <f>N74/N67</f>
        <v>0.63105134145416109</v>
      </c>
      <c r="O76" s="21">
        <f t="shared" si="50"/>
        <v>0.6429197491291192</v>
      </c>
      <c r="P76" s="21">
        <f t="shared" si="50"/>
        <v>0.72493918053105089</v>
      </c>
      <c r="Q76" s="21">
        <f t="shared" si="50"/>
        <v>0.67908181445471383</v>
      </c>
      <c r="R76" s="21">
        <f t="shared" si="50"/>
        <v>0.6755287440781893</v>
      </c>
      <c r="S76" s="21">
        <f>S75/S68</f>
        <v>0.67769369853830042</v>
      </c>
      <c r="T76" s="21">
        <f t="shared" si="50"/>
        <v>0.67673777134878643</v>
      </c>
      <c r="U76" s="21">
        <f t="shared" si="50"/>
        <v>0.66832123889912254</v>
      </c>
      <c r="V76" s="21">
        <f t="shared" si="50"/>
        <v>0.64990087990148715</v>
      </c>
      <c r="W76" s="21">
        <f t="shared" si="50"/>
        <v>0.61122099960727405</v>
      </c>
      <c r="X76" s="21">
        <f t="shared" si="50"/>
        <v>0.61477965419790492</v>
      </c>
      <c r="Y76" s="21">
        <f t="shared" si="50"/>
        <v>0.61933027306751098</v>
      </c>
      <c r="Z76" s="21">
        <f t="shared" si="50"/>
        <v>0.60350641638864089</v>
      </c>
      <c r="AA76" s="21">
        <f t="shared" si="50"/>
        <v>0.59283210221552174</v>
      </c>
      <c r="AB76" s="21">
        <f t="shared" si="50"/>
        <v>0.57220634247915947</v>
      </c>
      <c r="AC76" s="21">
        <f t="shared" si="50"/>
        <v>0.55790985025642714</v>
      </c>
      <c r="AD76" s="21">
        <f t="shared" si="50"/>
        <v>0.55745341730897902</v>
      </c>
      <c r="AE76" s="21">
        <f t="shared" si="50"/>
        <v>0.57615766168067883</v>
      </c>
      <c r="AF76" s="21">
        <f t="shared" si="50"/>
        <v>0.56765718927851827</v>
      </c>
      <c r="AG76" s="21">
        <f t="shared" si="50"/>
        <v>0.55962568531459367</v>
      </c>
      <c r="AH76" s="21">
        <f t="shared" si="50"/>
        <v>0.54837094119974561</v>
      </c>
      <c r="AI76" s="21">
        <f t="shared" si="50"/>
        <v>0.54585887866858518</v>
      </c>
      <c r="AJ76" s="21">
        <f t="shared" si="50"/>
        <v>0.54657525268304874</v>
      </c>
      <c r="AK76" s="21">
        <f t="shared" si="50"/>
        <v>0.55282278251297357</v>
      </c>
      <c r="AL76" s="21">
        <f t="shared" si="50"/>
        <v>0.54761863112207454</v>
      </c>
      <c r="AM76" s="21">
        <f t="shared" si="50"/>
        <v>0.54314050059472507</v>
      </c>
      <c r="AN76" s="21">
        <f t="shared" si="50"/>
        <v>0.53879091723175576</v>
      </c>
      <c r="AO76" s="21">
        <f t="shared" si="50"/>
        <v>0.53385862989757105</v>
      </c>
      <c r="AP76" s="21"/>
      <c r="AQ76" s="21"/>
      <c r="AR76" s="21"/>
      <c r="AS76" s="21"/>
      <c r="AT76" s="21"/>
      <c r="AU76" s="21"/>
      <c r="AV76" s="21"/>
      <c r="AW76" s="21"/>
      <c r="AX76" s="21"/>
      <c r="AY76" s="21"/>
      <c r="AZ76" s="21"/>
      <c r="BA76" s="21"/>
      <c r="BB76" s="21"/>
    </row>
    <row r="77" spans="1:54" ht="18" x14ac:dyDescent="0.25">
      <c r="A77" s="11" t="s">
        <v>78</v>
      </c>
      <c r="B77" s="12"/>
      <c r="C77" s="12"/>
      <c r="D77" s="12"/>
      <c r="E77" s="12"/>
      <c r="F77" s="12"/>
      <c r="G77" s="12"/>
      <c r="H77" s="12"/>
      <c r="I77" s="12"/>
      <c r="J77" s="12"/>
      <c r="K77" s="12"/>
      <c r="L77" s="12"/>
      <c r="M77" s="23"/>
      <c r="N77" s="24">
        <f>N75/M75-1</f>
        <v>0.40968542622190673</v>
      </c>
      <c r="O77" s="12"/>
      <c r="P77" s="12"/>
      <c r="Q77" s="12"/>
      <c r="R77" s="12"/>
      <c r="S77" s="12"/>
      <c r="T77" s="12"/>
      <c r="U77" s="12"/>
      <c r="V77" s="12"/>
      <c r="W77" s="12"/>
      <c r="X77" s="12"/>
      <c r="Y77" s="12"/>
      <c r="Z77" s="12"/>
      <c r="AA77" s="12"/>
      <c r="AB77" s="12"/>
      <c r="AC77" s="12"/>
      <c r="AD77" s="12"/>
      <c r="AE77" s="12"/>
      <c r="AF77" s="12"/>
      <c r="AG77" s="12"/>
      <c r="AH77" s="12"/>
      <c r="AI77" s="12"/>
      <c r="AJ77" s="12"/>
      <c r="AK77" s="12"/>
      <c r="AL77" s="12"/>
      <c r="AM77" s="12"/>
      <c r="AN77" s="12"/>
      <c r="AO77" s="12"/>
      <c r="AP77" s="12"/>
      <c r="AQ77" s="12"/>
      <c r="AR77" s="12"/>
      <c r="AS77" s="12"/>
      <c r="AT77" s="12"/>
      <c r="AU77" s="12"/>
      <c r="AV77" s="12"/>
      <c r="AW77" s="12"/>
      <c r="AX77" s="12"/>
      <c r="AY77" s="12"/>
      <c r="AZ77" s="12"/>
      <c r="BA77" s="12"/>
      <c r="BB77" s="12"/>
    </row>
    <row r="78" spans="1:54" x14ac:dyDescent="0.25">
      <c r="A78" s="14" t="s">
        <v>67</v>
      </c>
      <c r="B78" s="14">
        <f>B3</f>
        <v>2011</v>
      </c>
      <c r="C78" s="14">
        <f t="shared" ref="C78:AO78" si="52">C3</f>
        <v>2012</v>
      </c>
      <c r="D78" s="14">
        <f t="shared" si="52"/>
        <v>2013</v>
      </c>
      <c r="E78" s="14">
        <f t="shared" si="52"/>
        <v>2014</v>
      </c>
      <c r="F78" s="14">
        <f t="shared" si="52"/>
        <v>2015</v>
      </c>
      <c r="G78" s="14">
        <f t="shared" si="52"/>
        <v>2016</v>
      </c>
      <c r="H78" s="14">
        <f t="shared" si="52"/>
        <v>2017</v>
      </c>
      <c r="I78" s="14">
        <f t="shared" si="52"/>
        <v>2018</v>
      </c>
      <c r="J78" s="14">
        <f t="shared" si="52"/>
        <v>2019</v>
      </c>
      <c r="K78" s="14">
        <f t="shared" si="52"/>
        <v>2020</v>
      </c>
      <c r="L78" s="14">
        <f t="shared" si="52"/>
        <v>2021</v>
      </c>
      <c r="M78" s="14">
        <f t="shared" si="52"/>
        <v>2022</v>
      </c>
      <c r="N78" s="14">
        <f t="shared" si="52"/>
        <v>2023</v>
      </c>
      <c r="O78" s="14">
        <f t="shared" si="52"/>
        <v>2024</v>
      </c>
      <c r="P78" s="14">
        <f t="shared" si="52"/>
        <v>2025</v>
      </c>
      <c r="Q78" s="14">
        <f t="shared" si="52"/>
        <v>2026</v>
      </c>
      <c r="R78" s="14">
        <f t="shared" si="52"/>
        <v>2027</v>
      </c>
      <c r="S78" s="14">
        <f t="shared" si="52"/>
        <v>2028</v>
      </c>
      <c r="T78" s="14">
        <f t="shared" si="52"/>
        <v>2029</v>
      </c>
      <c r="U78" s="14">
        <f t="shared" si="52"/>
        <v>2030</v>
      </c>
      <c r="V78" s="14">
        <f t="shared" si="52"/>
        <v>2031</v>
      </c>
      <c r="W78" s="14">
        <f t="shared" si="52"/>
        <v>2032</v>
      </c>
      <c r="X78" s="14">
        <f t="shared" si="52"/>
        <v>2033</v>
      </c>
      <c r="Y78" s="14">
        <f t="shared" si="52"/>
        <v>2034</v>
      </c>
      <c r="Z78" s="14">
        <f t="shared" si="52"/>
        <v>2035</v>
      </c>
      <c r="AA78" s="14">
        <f t="shared" si="52"/>
        <v>2036</v>
      </c>
      <c r="AB78" s="14">
        <f t="shared" si="52"/>
        <v>2037</v>
      </c>
      <c r="AC78" s="14">
        <f t="shared" si="52"/>
        <v>2038</v>
      </c>
      <c r="AD78" s="14">
        <f t="shared" si="52"/>
        <v>2039</v>
      </c>
      <c r="AE78" s="14">
        <f t="shared" si="52"/>
        <v>2040</v>
      </c>
      <c r="AF78" s="14">
        <f t="shared" si="52"/>
        <v>2041</v>
      </c>
      <c r="AG78" s="14">
        <f t="shared" si="52"/>
        <v>2042</v>
      </c>
      <c r="AH78" s="14">
        <f t="shared" si="52"/>
        <v>2043</v>
      </c>
      <c r="AI78" s="14">
        <f t="shared" si="52"/>
        <v>2044</v>
      </c>
      <c r="AJ78" s="14">
        <f t="shared" si="52"/>
        <v>2045</v>
      </c>
      <c r="AK78" s="14">
        <f t="shared" si="52"/>
        <v>2046</v>
      </c>
      <c r="AL78" s="14">
        <f t="shared" si="52"/>
        <v>2047</v>
      </c>
      <c r="AM78" s="14">
        <f t="shared" si="52"/>
        <v>2048</v>
      </c>
      <c r="AN78" s="14">
        <f t="shared" si="52"/>
        <v>2049</v>
      </c>
      <c r="AO78" s="14">
        <f t="shared" si="52"/>
        <v>2050</v>
      </c>
      <c r="AP78" s="14"/>
      <c r="AQ78" s="14"/>
      <c r="AR78" s="14"/>
      <c r="AS78" s="14"/>
      <c r="AT78" s="14"/>
      <c r="AU78" s="14"/>
      <c r="AV78" s="14"/>
      <c r="AW78" s="14"/>
      <c r="AX78" s="14"/>
      <c r="AY78" s="14"/>
      <c r="AZ78" s="14"/>
      <c r="BA78" s="14"/>
      <c r="BB78" s="14"/>
    </row>
    <row r="79" spans="1:54" x14ac:dyDescent="0.25">
      <c r="A79" s="15" t="s">
        <v>68</v>
      </c>
      <c r="B79" s="16">
        <f>SUM('[2]D4 Gallon Forecast'!C$325:C$327)</f>
        <v>0</v>
      </c>
      <c r="C79" s="16">
        <f>SUM('[2]D4 Gallon Forecast'!D$325:D$327)</f>
        <v>0</v>
      </c>
      <c r="D79" s="16">
        <f>SUM('[2]D4 Gallon Forecast'!E$325:E$327)</f>
        <v>0</v>
      </c>
      <c r="E79" s="16">
        <f>SUM('[2]D4 Gallon Forecast'!F$325:F$327)</f>
        <v>0</v>
      </c>
      <c r="F79" s="16">
        <f>SUM('[2]D4 Gallon Forecast'!G$325:G$327)</f>
        <v>0</v>
      </c>
      <c r="G79" s="16">
        <f>SUM('[2]D4 Gallon Forecast'!H$325:H$327)</f>
        <v>0</v>
      </c>
      <c r="H79" s="16">
        <f>SUM('[2]D4 Gallon Forecast'!I$325:I$327)</f>
        <v>585778</v>
      </c>
      <c r="I79" s="16">
        <f>SUM('[2]D4 Gallon Forecast'!J$325:J$327)</f>
        <v>481500</v>
      </c>
      <c r="J79" s="16">
        <f>SUM('[2]D4 Gallon Forecast'!K$325:K$327)</f>
        <v>566179</v>
      </c>
      <c r="K79" s="16">
        <f>SUM('[2]D4 Gallon Forecast'!L$325:L$327)</f>
        <v>322416</v>
      </c>
      <c r="L79" s="16">
        <f>SUM('[2]D4 Gallon Forecast'!M$325:M$327)</f>
        <v>873456</v>
      </c>
      <c r="M79" s="16">
        <f>SUM('[2]D4 Gallon Forecast'!N$325:N$327)</f>
        <v>5844497</v>
      </c>
      <c r="N79" s="16">
        <f>SUM('[2]D4 Gallon Forecast'!O$325:O$327)</f>
        <v>5377619</v>
      </c>
      <c r="O79" s="16">
        <f>SUM('[2]D4 Gallon Forecast'!P$325:P$327)</f>
        <v>18698263</v>
      </c>
      <c r="P79" s="17">
        <f>SUM('[2]D4 Gallon Forecast'!Q$325:Q$327)</f>
        <v>40927377</v>
      </c>
      <c r="Q79" s="17">
        <f>SUM('[2]D4 Gallon Forecast'!R$325:R$327)</f>
        <v>145532018.69302106</v>
      </c>
      <c r="R79" s="17">
        <f>SUM('[2]D4 Gallon Forecast'!S$325:S$327)</f>
        <v>377851921.16950196</v>
      </c>
      <c r="S79" s="17">
        <f>SUM('[2]D4 Gallon Forecast'!T$325:T$327)</f>
        <v>494088827.55058712</v>
      </c>
      <c r="T79" s="17">
        <f>SUM('[2]D4 Gallon Forecast'!U$325:U$327)</f>
        <v>591892681.15686953</v>
      </c>
      <c r="U79" s="17">
        <f>SUM('[2]D4 Gallon Forecast'!V$325:V$327)</f>
        <v>755093010.41855371</v>
      </c>
      <c r="V79" s="17">
        <f>SUM('[2]D4 Gallon Forecast'!W$325:W$327)</f>
        <v>829925799.17768466</v>
      </c>
      <c r="W79" s="17">
        <f>SUM('[2]D4 Gallon Forecast'!X$325:X$327)</f>
        <v>1038404319.4300194</v>
      </c>
      <c r="X79" s="17">
        <f>SUM('[2]D4 Gallon Forecast'!Y$325:Y$327)</f>
        <v>1111863409.0508282</v>
      </c>
      <c r="Y79" s="17">
        <f>SUM('[2]D4 Gallon Forecast'!Z$325:Z$327)</f>
        <v>1219143387.1294484</v>
      </c>
      <c r="Z79" s="17">
        <f>SUM('[2]D4 Gallon Forecast'!AA$325:AA$327)</f>
        <v>1277882324.3007848</v>
      </c>
      <c r="AA79" s="17">
        <f>SUM('[2]D4 Gallon Forecast'!AB$325:AB$327)</f>
        <v>938459664.37685013</v>
      </c>
      <c r="AB79" s="17">
        <f>SUM('[2]D4 Gallon Forecast'!AC$325:AC$327)</f>
        <v>973970783.78421032</v>
      </c>
      <c r="AC79" s="17">
        <f>SUM('[2]D4 Gallon Forecast'!AD$325:AD$327)</f>
        <v>1020395420.9110626</v>
      </c>
      <c r="AD79" s="17">
        <f>SUM('[2]D4 Gallon Forecast'!AE$325:AE$327)</f>
        <v>1010085175.0797588</v>
      </c>
      <c r="AE79" s="17">
        <f>SUM('[2]D4 Gallon Forecast'!AF$325:AF$327)</f>
        <v>1108561235.514118</v>
      </c>
      <c r="AF79" s="17">
        <f>SUM('[2]D4 Gallon Forecast'!AG$325:AG$327)</f>
        <v>1166864331.0269804</v>
      </c>
      <c r="AG79" s="17">
        <f>SUM('[2]D4 Gallon Forecast'!AH$325:AH$327)</f>
        <v>1193864857.3699141</v>
      </c>
      <c r="AH79" s="17">
        <f>SUM('[2]D4 Gallon Forecast'!AI$325:AI$327)</f>
        <v>1223770686.280211</v>
      </c>
      <c r="AI79" s="17">
        <f>SUM('[2]D4 Gallon Forecast'!AJ$325:AJ$327)</f>
        <v>1243119345.918726</v>
      </c>
      <c r="AJ79" s="17">
        <f>SUM('[2]D4 Gallon Forecast'!AK$325:AK$327)</f>
        <v>1287410816.0162394</v>
      </c>
      <c r="AK79" s="17">
        <f>SUM('[2]D4 Gallon Forecast'!AL$325:AL$327)</f>
        <v>1375105541.6004529</v>
      </c>
      <c r="AL79" s="17">
        <f>SUM('[2]D4 Gallon Forecast'!AM$325:AM$327)</f>
        <v>1439581868.4660807</v>
      </c>
      <c r="AM79" s="17">
        <f>SUM('[2]D4 Gallon Forecast'!AN$325:AN$327)</f>
        <v>1447505046.8648374</v>
      </c>
      <c r="AN79" s="17">
        <f>SUM('[2]D4 Gallon Forecast'!AO$325:AO$327)</f>
        <v>1447405587.7126787</v>
      </c>
      <c r="AO79" s="17">
        <f>SUM('[2]D4 Gallon Forecast'!AP$325:AP$327)</f>
        <v>1450013405.885226</v>
      </c>
      <c r="AP79" s="17"/>
      <c r="AQ79" s="17"/>
      <c r="AR79" s="17"/>
      <c r="AS79" s="17"/>
      <c r="AT79" s="17"/>
      <c r="AU79" s="17"/>
      <c r="AV79" s="17"/>
      <c r="AW79" s="17"/>
      <c r="AX79" s="17"/>
      <c r="AY79" s="17"/>
      <c r="AZ79" s="17"/>
      <c r="BA79" s="17"/>
      <c r="BB79" s="17"/>
    </row>
    <row r="80" spans="1:54" x14ac:dyDescent="0.25">
      <c r="A80" s="15" t="s">
        <v>69</v>
      </c>
      <c r="B80" s="16">
        <f>SUM('[2]D4 Gallon Forecast'!C$328:C$330)</f>
        <v>0</v>
      </c>
      <c r="C80" s="16">
        <f>SUM('[2]D4 Gallon Forecast'!D$328:D$330)</f>
        <v>0</v>
      </c>
      <c r="D80" s="16">
        <f>SUM('[2]D4 Gallon Forecast'!E$328:E$330)</f>
        <v>0</v>
      </c>
      <c r="E80" s="16">
        <f>SUM('[2]D4 Gallon Forecast'!F$328:F$330)</f>
        <v>0</v>
      </c>
      <c r="F80" s="16">
        <f>SUM('[2]D4 Gallon Forecast'!G$328:G$330)</f>
        <v>0</v>
      </c>
      <c r="G80" s="16">
        <f>SUM('[2]D4 Gallon Forecast'!H$328:H$330)</f>
        <v>0</v>
      </c>
      <c r="H80" s="16">
        <f>SUM('[2]D4 Gallon Forecast'!I$328:I$330)</f>
        <v>261956</v>
      </c>
      <c r="I80" s="16">
        <f>SUM('[2]D4 Gallon Forecast'!J$328:J$330)</f>
        <v>389017</v>
      </c>
      <c r="J80" s="16">
        <f>SUM('[2]D4 Gallon Forecast'!K$328:K$330)</f>
        <v>723542</v>
      </c>
      <c r="K80" s="16">
        <f>SUM('[2]D4 Gallon Forecast'!L$328:L$330)</f>
        <v>1742955</v>
      </c>
      <c r="L80" s="16">
        <f>SUM('[2]D4 Gallon Forecast'!M$328:M$330)</f>
        <v>938102</v>
      </c>
      <c r="M80" s="16">
        <f>SUM('[2]D4 Gallon Forecast'!N$328:N$330)</f>
        <v>2943571</v>
      </c>
      <c r="N80" s="16">
        <f>SUM('[2]D4 Gallon Forecast'!O$328:O$330)</f>
        <v>6370150</v>
      </c>
      <c r="O80" s="16">
        <f>SUM('[2]D4 Gallon Forecast'!P$328:P$330)</f>
        <v>32728003</v>
      </c>
      <c r="P80" s="17">
        <f>SUM('[2]D4 Gallon Forecast'!Q$328:Q$330)</f>
        <v>44880945.841896884</v>
      </c>
      <c r="Q80" s="17">
        <f>SUM('[2]D4 Gallon Forecast'!R$328:R$330)</f>
        <v>172287337.62287724</v>
      </c>
      <c r="R80" s="17">
        <f>SUM('[2]D4 Gallon Forecast'!S$328:S$330)</f>
        <v>448434095.95865381</v>
      </c>
      <c r="S80" s="17">
        <f>SUM('[2]D4 Gallon Forecast'!T$328:T$330)</f>
        <v>587568645.36116123</v>
      </c>
      <c r="T80" s="17">
        <f>SUM('[2]D4 Gallon Forecast'!U$328:U$330)</f>
        <v>705299412.5800581</v>
      </c>
      <c r="U80" s="17">
        <f>SUM('[2]D4 Gallon Forecast'!V$328:V$330)</f>
        <v>895957344.63997459</v>
      </c>
      <c r="V80" s="17">
        <f>SUM('[2]D4 Gallon Forecast'!W$328:W$330)</f>
        <v>985917754.09675479</v>
      </c>
      <c r="W80" s="17">
        <f>SUM('[2]D4 Gallon Forecast'!X$328:X$330)</f>
        <v>1233604634.3927295</v>
      </c>
      <c r="X80" s="17">
        <f>SUM('[2]D4 Gallon Forecast'!Y$328:Y$330)</f>
        <v>1321021486.7831156</v>
      </c>
      <c r="Y80" s="17">
        <f>SUM('[2]D4 Gallon Forecast'!Z$328:Z$330)</f>
        <v>1448375639.8040135</v>
      </c>
      <c r="Z80" s="17">
        <f>SUM('[2]D4 Gallon Forecast'!AA$328:AA$330)</f>
        <v>1517742771.2275562</v>
      </c>
      <c r="AA80" s="17">
        <f>SUM('[2]D4 Gallon Forecast'!AB$328:AB$330)</f>
        <v>1114918615.3608766</v>
      </c>
      <c r="AB80" s="17">
        <f>SUM('[2]D4 Gallon Forecast'!AC$328:AC$330)</f>
        <v>1157079016.3421373</v>
      </c>
      <c r="AC80" s="17">
        <f>SUM('[2]D4 Gallon Forecast'!AD$328:AD$330)</f>
        <v>1212162674.8656337</v>
      </c>
      <c r="AD80" s="17">
        <f>SUM('[2]D4 Gallon Forecast'!AE$328:AE$330)</f>
        <v>1199815941.2492449</v>
      </c>
      <c r="AE80" s="17">
        <f>SUM('[2]D4 Gallon Forecast'!AF$328:AF$330)</f>
        <v>1316733448.5129337</v>
      </c>
      <c r="AF80" s="17">
        <f>SUM('[2]D4 Gallon Forecast'!AG$328:AG$330)</f>
        <v>1386018123.2887914</v>
      </c>
      <c r="AG80" s="17">
        <f>SUM('[2]D4 Gallon Forecast'!AH$328:AH$330)</f>
        <v>1418088867.2380922</v>
      </c>
      <c r="AH80" s="17">
        <f>SUM('[2]D4 Gallon Forecast'!AI$328:AI$330)</f>
        <v>1453604395.5227623</v>
      </c>
      <c r="AI80" s="17">
        <f>SUM('[2]D4 Gallon Forecast'!AJ$328:AJ$330)</f>
        <v>1476580191.4953878</v>
      </c>
      <c r="AJ80" s="17">
        <f>SUM('[2]D4 Gallon Forecast'!AK$328:AK$330)</f>
        <v>1529190167.939734</v>
      </c>
      <c r="AK80" s="17">
        <f>SUM('[2]D4 Gallon Forecast'!AL$328:AL$330)</f>
        <v>1633361396.3838429</v>
      </c>
      <c r="AL80" s="17">
        <f>SUM('[2]D4 Gallon Forecast'!AM$328:AM$330)</f>
        <v>1709945231.0829601</v>
      </c>
      <c r="AM80" s="17">
        <f>SUM('[2]D4 Gallon Forecast'!AN$328:AN$330)</f>
        <v>1719354676.2545731</v>
      </c>
      <c r="AN80" s="17">
        <f>SUM('[2]D4 Gallon Forecast'!AO$328:AO$330)</f>
        <v>1719235971.8759799</v>
      </c>
      <c r="AO80" s="17">
        <f>SUM('[2]D4 Gallon Forecast'!AP$328:AP$330)</f>
        <v>1722334278.9187083</v>
      </c>
      <c r="AP80" s="17"/>
      <c r="AQ80" s="17"/>
      <c r="AR80" s="17"/>
      <c r="AS80" s="17"/>
      <c r="AT80" s="17"/>
      <c r="AU80" s="17"/>
      <c r="AV80" s="17"/>
      <c r="AW80" s="17"/>
      <c r="AX80" s="17"/>
      <c r="AY80" s="17"/>
      <c r="AZ80" s="17"/>
      <c r="BA80" s="17"/>
      <c r="BB80" s="17"/>
    </row>
    <row r="81" spans="1:54" x14ac:dyDescent="0.25">
      <c r="A81" s="15" t="s">
        <v>70</v>
      </c>
      <c r="B81" s="16">
        <f>SUM('[2]D4 Gallon Forecast'!C$331:C$333)</f>
        <v>0</v>
      </c>
      <c r="C81" s="16">
        <f>SUM('[2]D4 Gallon Forecast'!D$331:D$333)</f>
        <v>0</v>
      </c>
      <c r="D81" s="16">
        <f>SUM('[2]D4 Gallon Forecast'!E$331:E$333)</f>
        <v>0</v>
      </c>
      <c r="E81" s="16">
        <f>SUM('[2]D4 Gallon Forecast'!F$331:F$333)</f>
        <v>0</v>
      </c>
      <c r="F81" s="16">
        <f>SUM('[2]D4 Gallon Forecast'!G$331:G$333)</f>
        <v>0</v>
      </c>
      <c r="G81" s="16">
        <f>SUM('[2]D4 Gallon Forecast'!H$331:H$333)</f>
        <v>230790</v>
      </c>
      <c r="H81" s="16">
        <f>SUM('[2]D4 Gallon Forecast'!I$331:I$333)</f>
        <v>432788</v>
      </c>
      <c r="I81" s="16">
        <f>SUM('[2]D4 Gallon Forecast'!J$331:J$333)</f>
        <v>303549</v>
      </c>
      <c r="J81" s="16">
        <f>SUM('[2]D4 Gallon Forecast'!K$331:K$333)</f>
        <v>693899</v>
      </c>
      <c r="K81" s="16">
        <f>SUM('[2]D4 Gallon Forecast'!L$331:L$333)</f>
        <v>1971749</v>
      </c>
      <c r="L81" s="16">
        <f>SUM('[2]D4 Gallon Forecast'!M$331:M$333)</f>
        <v>2115339</v>
      </c>
      <c r="M81" s="16">
        <f>SUM('[2]D4 Gallon Forecast'!N$331:N$333)</f>
        <v>3571106</v>
      </c>
      <c r="N81" s="16">
        <f>SUM('[2]D4 Gallon Forecast'!O$331:O$333)</f>
        <v>7409014</v>
      </c>
      <c r="O81" s="16">
        <f>SUM('[2]D4 Gallon Forecast'!P$331:P$333)</f>
        <v>41908181</v>
      </c>
      <c r="P81" s="17">
        <f>SUM('[2]D4 Gallon Forecast'!Q$331:Q$333)</f>
        <v>56326882.312517926</v>
      </c>
      <c r="Q81" s="17">
        <f>SUM('[2]D4 Gallon Forecast'!R$331:R$333)</f>
        <v>226427931.10909653</v>
      </c>
      <c r="R81" s="17">
        <f>SUM('[2]D4 Gallon Forecast'!S$331:S$333)</f>
        <v>588677146.48538697</v>
      </c>
      <c r="S81" s="17">
        <f>SUM('[2]D4 Gallon Forecast'!T$331:T$333)</f>
        <v>771146983.64643359</v>
      </c>
      <c r="T81" s="17">
        <f>SUM('[2]D4 Gallon Forecast'!U$331:U$333)</f>
        <v>924732037.57689905</v>
      </c>
      <c r="U81" s="17">
        <f>SUM('[2]D4 Gallon Forecast'!V$331:V$333)</f>
        <v>1174347917.456363</v>
      </c>
      <c r="V81" s="17">
        <f>SUM('[2]D4 Gallon Forecast'!W$331:W$333)</f>
        <v>1293285779.0687094</v>
      </c>
      <c r="W81" s="17">
        <f>SUM('[2]D4 Gallon Forecast'!X$331:X$333)</f>
        <v>1618113444.8677459</v>
      </c>
      <c r="X81" s="17">
        <f>SUM('[2]D4 Gallon Forecast'!Y$331:Y$333)</f>
        <v>1732631290.0831764</v>
      </c>
      <c r="Y81" s="17">
        <f>SUM('[2]D4 Gallon Forecast'!Z$331:Z$333)</f>
        <v>1899515301.8227019</v>
      </c>
      <c r="Z81" s="17">
        <f>SUM('[2]D4 Gallon Forecast'!AA$331:AA$333)</f>
        <v>1990495838.4726605</v>
      </c>
      <c r="AA81" s="17">
        <f>SUM('[2]D4 Gallon Forecast'!AB$331:AB$333)</f>
        <v>1462295334.4182129</v>
      </c>
      <c r="AB81" s="17">
        <f>SUM('[2]D4 Gallon Forecast'!AC$331:AC$333)</f>
        <v>1517567141.0726347</v>
      </c>
      <c r="AC81" s="17">
        <f>SUM('[2]D4 Gallon Forecast'!AD$331:AD$333)</f>
        <v>1589793985.9006085</v>
      </c>
      <c r="AD81" s="17">
        <f>SUM('[2]D4 Gallon Forecast'!AE$331:AE$333)</f>
        <v>1573599993.3234625</v>
      </c>
      <c r="AE81" s="17">
        <f>SUM('[2]D4 Gallon Forecast'!AF$331:AF$333)</f>
        <v>1726957238.9962726</v>
      </c>
      <c r="AF81" s="17">
        <f>SUM('[2]D4 Gallon Forecast'!AG$331:AG$333)</f>
        <v>1817850613.6724288</v>
      </c>
      <c r="AG81" s="17">
        <f>SUM('[2]D4 Gallon Forecast'!AH$331:AH$333)</f>
        <v>1859902512.1072574</v>
      </c>
      <c r="AH81" s="17">
        <f>SUM('[2]D4 Gallon Forecast'!AI$331:AI$333)</f>
        <v>1906477886.594038</v>
      </c>
      <c r="AI81" s="17">
        <f>SUM('[2]D4 Gallon Forecast'!AJ$331:AJ$333)</f>
        <v>1936612209.5555444</v>
      </c>
      <c r="AJ81" s="17">
        <f>SUM('[2]D4 Gallon Forecast'!AK$331:AK$333)</f>
        <v>2005616105.4198029</v>
      </c>
      <c r="AK81" s="17">
        <f>SUM('[2]D4 Gallon Forecast'!AL$331:AL$333)</f>
        <v>2142244099.2827573</v>
      </c>
      <c r="AL81" s="17">
        <f>SUM('[2]D4 Gallon Forecast'!AM$331:AM$333)</f>
        <v>2242685556.906384</v>
      </c>
      <c r="AM81" s="17">
        <f>SUM('[2]D4 Gallon Forecast'!AN$331:AN$333)</f>
        <v>2255026035.8902245</v>
      </c>
      <c r="AN81" s="17">
        <f>SUM('[2]D4 Gallon Forecast'!AO$331:AO$333)</f>
        <v>2254870855.3877325</v>
      </c>
      <c r="AO81" s="17">
        <f>SUM('[2]D4 Gallon Forecast'!AP$331:AP$333)</f>
        <v>2258934966.5733557</v>
      </c>
      <c r="AP81" s="17"/>
      <c r="AQ81" s="17"/>
      <c r="AR81" s="17"/>
      <c r="AS81" s="17"/>
      <c r="AT81" s="17"/>
      <c r="AU81" s="17"/>
      <c r="AV81" s="17"/>
      <c r="AW81" s="17"/>
      <c r="AX81" s="17"/>
      <c r="AY81" s="17"/>
      <c r="AZ81" s="17"/>
      <c r="BA81" s="17"/>
      <c r="BB81" s="17"/>
    </row>
    <row r="82" spans="1:54" x14ac:dyDescent="0.25">
      <c r="A82" s="15" t="s">
        <v>71</v>
      </c>
      <c r="B82" s="16">
        <f>SUM('[2]D4 Gallon Forecast'!C$334:C$336)</f>
        <v>0</v>
      </c>
      <c r="C82" s="16">
        <f>SUM('[2]D4 Gallon Forecast'!D$334:D$336)</f>
        <v>0</v>
      </c>
      <c r="D82" s="16">
        <f>SUM('[2]D4 Gallon Forecast'!E$334:E$336)</f>
        <v>0</v>
      </c>
      <c r="E82" s="16">
        <f>SUM('[2]D4 Gallon Forecast'!F$334:F$336)</f>
        <v>0</v>
      </c>
      <c r="F82" s="16">
        <f>SUM('[2]D4 Gallon Forecast'!G$334:G$336)</f>
        <v>0</v>
      </c>
      <c r="G82" s="16">
        <f>SUM('[2]D4 Gallon Forecast'!H$334:H$336)</f>
        <v>552856</v>
      </c>
      <c r="H82" s="16">
        <f>SUM('[2]D4 Gallon Forecast'!I$334:I$336)</f>
        <v>430495</v>
      </c>
      <c r="I82" s="16">
        <f>SUM('[2]D4 Gallon Forecast'!J$334:J$336)</f>
        <v>654112</v>
      </c>
      <c r="J82" s="16">
        <f>SUM('[2]D4 Gallon Forecast'!K$334:K$336)</f>
        <v>445082</v>
      </c>
      <c r="K82" s="16">
        <f>SUM('[2]D4 Gallon Forecast'!L$334:L$336)</f>
        <v>571279</v>
      </c>
      <c r="L82" s="16">
        <f>SUM('[2]D4 Gallon Forecast'!M$334:M$336)</f>
        <v>1149726</v>
      </c>
      <c r="M82" s="16">
        <f>SUM('[2]D4 Gallon Forecast'!N$334:N$336)</f>
        <v>3460703</v>
      </c>
      <c r="N82" s="16">
        <f>SUM('[2]D4 Gallon Forecast'!O$334:O$336)</f>
        <v>5318006</v>
      </c>
      <c r="O82" s="17">
        <f>SUM('[2]D4 Gallon Forecast'!P$334:P$336)</f>
        <v>18486740</v>
      </c>
      <c r="P82" s="17">
        <f>SUM('[2]D4 Gallon Forecast'!Q$334:Q$336)</f>
        <v>57409644.621439353</v>
      </c>
      <c r="Q82" s="17">
        <f>SUM('[2]D4 Gallon Forecast'!R$334:R$336)</f>
        <v>226363308.36855569</v>
      </c>
      <c r="R82" s="17">
        <f>SUM('[2]D4 Gallon Forecast'!S$334:S$336)</f>
        <v>586315690.38507354</v>
      </c>
      <c r="S82" s="17">
        <f>SUM('[2]D4 Gallon Forecast'!T$334:T$336)</f>
        <v>769518785.83811188</v>
      </c>
      <c r="T82" s="17">
        <f>SUM('[2]D4 Gallon Forecast'!U$334:U$336)</f>
        <v>916207769.38949823</v>
      </c>
      <c r="U82" s="17">
        <f>SUM('[2]D4 Gallon Forecast'!V$334:V$336)</f>
        <v>1171031810.7583184</v>
      </c>
      <c r="V82" s="17">
        <f>SUM('[2]D4 Gallon Forecast'!W$334:W$336)</f>
        <v>1289220434.2407751</v>
      </c>
      <c r="W82" s="17">
        <f>SUM('[2]D4 Gallon Forecast'!X$334:X$336)</f>
        <v>1613961886.9434185</v>
      </c>
      <c r="X82" s="17">
        <f>SUM('[2]D4 Gallon Forecast'!Y$334:Y$336)</f>
        <v>1728335252.8535676</v>
      </c>
      <c r="Y82" s="17">
        <f>SUM('[2]D4 Gallon Forecast'!Z$334:Z$336)</f>
        <v>1894449402.8794181</v>
      </c>
      <c r="Z82" s="17">
        <f>SUM('[2]D4 Gallon Forecast'!AA$334:AA$336)</f>
        <v>1986065792.3359718</v>
      </c>
      <c r="AA82" s="17">
        <f>SUM('[2]D4 Gallon Forecast'!AB$334:AB$336)</f>
        <v>1458021870.4700165</v>
      </c>
      <c r="AB82" s="17">
        <f>SUM('[2]D4 Gallon Forecast'!AC$334:AC$336)</f>
        <v>1513435165.817585</v>
      </c>
      <c r="AC82" s="17">
        <f>SUM('[2]D4 Gallon Forecast'!AD$334:AD$336)</f>
        <v>1585906502.922039</v>
      </c>
      <c r="AD82" s="17">
        <f>SUM('[2]D4 Gallon Forecast'!AE$334:AE$336)</f>
        <v>1570182256.9876404</v>
      </c>
      <c r="AE82" s="17">
        <f>SUM('[2]D4 Gallon Forecast'!AF$334:AF$336)</f>
        <v>1723462082.9124806</v>
      </c>
      <c r="AF82" s="17">
        <f>SUM('[2]D4 Gallon Forecast'!AG$334:AG$336)</f>
        <v>1814190989.7124949</v>
      </c>
      <c r="AG82" s="17">
        <f>SUM('[2]D4 Gallon Forecast'!AH$334:AH$336)</f>
        <v>1856156911.4881716</v>
      </c>
      <c r="AH82" s="17">
        <f>SUM('[2]D4 Gallon Forecast'!AI$334:AI$336)</f>
        <v>1902650172.573148</v>
      </c>
      <c r="AI82" s="17">
        <f>SUM('[2]D4 Gallon Forecast'!AJ$334:AJ$336)</f>
        <v>1932730528.1223774</v>
      </c>
      <c r="AJ82" s="17">
        <f>SUM('[2]D4 Gallon Forecast'!AK$334:AK$336)</f>
        <v>2001599663.2892032</v>
      </c>
      <c r="AK82" s="17">
        <f>SUM('[2]D4 Gallon Forecast'!AL$334:AL$336)</f>
        <v>2137942038.7138839</v>
      </c>
      <c r="AL82" s="17">
        <f>SUM('[2]D4 Gallon Forecast'!AM$334:AM$336)</f>
        <v>2238183841.0703177</v>
      </c>
      <c r="AM82" s="17">
        <f>SUM('[2]D4 Gallon Forecast'!AN$334:AN$336)</f>
        <v>2250502246.4280248</v>
      </c>
      <c r="AN82" s="17">
        <f>SUM('[2]D4 Gallon Forecast'!AO$334:AO$336)</f>
        <v>2250348047.1988621</v>
      </c>
      <c r="AO82" s="17">
        <f>SUM('[2]D4 Gallon Forecast'!AP$334:AP$336)</f>
        <v>2254403433.5646048</v>
      </c>
      <c r="AP82" s="17"/>
      <c r="AQ82" s="17"/>
      <c r="AR82" s="17"/>
      <c r="AS82" s="17"/>
      <c r="AT82" s="17"/>
      <c r="AU82" s="17"/>
      <c r="AV82" s="17"/>
      <c r="AW82" s="17"/>
      <c r="AX82" s="17"/>
      <c r="AY82" s="17"/>
      <c r="AZ82" s="17"/>
      <c r="BA82" s="17"/>
      <c r="BB82" s="17"/>
    </row>
    <row r="83" spans="1:54" x14ac:dyDescent="0.25">
      <c r="A83" s="15" t="s">
        <v>72</v>
      </c>
      <c r="B83" s="16">
        <f>SUM(B79:B82)</f>
        <v>0</v>
      </c>
      <c r="C83" s="16">
        <f t="shared" ref="C83:AO83" si="53">SUM(C79:C82)</f>
        <v>0</v>
      </c>
      <c r="D83" s="16">
        <f t="shared" si="53"/>
        <v>0</v>
      </c>
      <c r="E83" s="16">
        <f t="shared" si="53"/>
        <v>0</v>
      </c>
      <c r="F83" s="16">
        <f t="shared" si="53"/>
        <v>0</v>
      </c>
      <c r="G83" s="16">
        <f t="shared" si="53"/>
        <v>783646</v>
      </c>
      <c r="H83" s="16">
        <f t="shared" si="53"/>
        <v>1711017</v>
      </c>
      <c r="I83" s="16">
        <f t="shared" si="53"/>
        <v>1828178</v>
      </c>
      <c r="J83" s="16">
        <f t="shared" si="53"/>
        <v>2428702</v>
      </c>
      <c r="K83" s="16">
        <f t="shared" si="53"/>
        <v>4608399</v>
      </c>
      <c r="L83" s="16">
        <f t="shared" si="53"/>
        <v>5076623</v>
      </c>
      <c r="M83" s="16">
        <f t="shared" si="53"/>
        <v>15819877</v>
      </c>
      <c r="N83" s="16">
        <f t="shared" si="53"/>
        <v>24474789</v>
      </c>
      <c r="O83" s="17">
        <f t="shared" si="53"/>
        <v>111821187</v>
      </c>
      <c r="P83" s="17">
        <f t="shared" si="53"/>
        <v>199544849.77585417</v>
      </c>
      <c r="Q83" s="17">
        <f t="shared" si="53"/>
        <v>770610595.79355049</v>
      </c>
      <c r="R83" s="17">
        <f t="shared" si="53"/>
        <v>2001278853.9986162</v>
      </c>
      <c r="S83" s="17">
        <f t="shared" si="53"/>
        <v>2622323242.3962936</v>
      </c>
      <c r="T83" s="17">
        <f t="shared" si="53"/>
        <v>3138131900.7033248</v>
      </c>
      <c r="U83" s="17">
        <f t="shared" si="53"/>
        <v>3996430083.27321</v>
      </c>
      <c r="V83" s="17">
        <f t="shared" si="53"/>
        <v>4398349766.5839233</v>
      </c>
      <c r="W83" s="17">
        <f t="shared" si="53"/>
        <v>5504084285.633913</v>
      </c>
      <c r="X83" s="17">
        <f t="shared" si="53"/>
        <v>5893851438.7706871</v>
      </c>
      <c r="Y83" s="17">
        <f t="shared" si="53"/>
        <v>6461483731.6355829</v>
      </c>
      <c r="Z83" s="17">
        <f t="shared" si="53"/>
        <v>6772186726.3369732</v>
      </c>
      <c r="AA83" s="17">
        <f t="shared" si="53"/>
        <v>4973695484.6259556</v>
      </c>
      <c r="AB83" s="17">
        <f t="shared" si="53"/>
        <v>5162052107.0165672</v>
      </c>
      <c r="AC83" s="17">
        <f t="shared" si="53"/>
        <v>5408258584.5993443</v>
      </c>
      <c r="AD83" s="17">
        <f t="shared" si="53"/>
        <v>5353683366.6401062</v>
      </c>
      <c r="AE83" s="17">
        <f t="shared" si="53"/>
        <v>5875714005.9358053</v>
      </c>
      <c r="AF83" s="17">
        <f t="shared" si="53"/>
        <v>6184924057.700696</v>
      </c>
      <c r="AG83" s="17">
        <f t="shared" si="53"/>
        <v>6328013148.2034349</v>
      </c>
      <c r="AH83" s="17">
        <f t="shared" si="53"/>
        <v>6486503140.9701586</v>
      </c>
      <c r="AI83" s="17">
        <f t="shared" si="53"/>
        <v>6589042275.0920353</v>
      </c>
      <c r="AJ83" s="17">
        <f t="shared" si="53"/>
        <v>6823816752.6649799</v>
      </c>
      <c r="AK83" s="17">
        <f t="shared" si="53"/>
        <v>7288653075.980938</v>
      </c>
      <c r="AL83" s="17">
        <f t="shared" si="53"/>
        <v>7630396497.5257435</v>
      </c>
      <c r="AM83" s="17">
        <f t="shared" si="53"/>
        <v>7672388005.4376602</v>
      </c>
      <c r="AN83" s="17">
        <f t="shared" si="53"/>
        <v>7671860462.1752529</v>
      </c>
      <c r="AO83" s="17">
        <f t="shared" si="53"/>
        <v>7685686084.9418945</v>
      </c>
      <c r="AP83" s="17"/>
      <c r="AQ83" s="17"/>
      <c r="AR83" s="17"/>
      <c r="AS83" s="17"/>
      <c r="AT83" s="17"/>
      <c r="AU83" s="17"/>
      <c r="AV83" s="17"/>
      <c r="AW83" s="17"/>
      <c r="AX83" s="17"/>
      <c r="AY83" s="17"/>
      <c r="AZ83" s="17"/>
      <c r="BA83" s="17"/>
      <c r="BB83" s="17"/>
    </row>
    <row r="84" spans="1:54" x14ac:dyDescent="0.25">
      <c r="B84" s="18"/>
      <c r="C84" s="18"/>
      <c r="D84" s="18"/>
      <c r="E84" s="18"/>
      <c r="F84" s="19"/>
      <c r="G84" s="19"/>
      <c r="H84" s="19"/>
      <c r="I84" s="19"/>
      <c r="J84" s="19"/>
      <c r="K84" s="19"/>
      <c r="L84" s="19"/>
      <c r="M84" s="19"/>
      <c r="N84" s="19">
        <f>(X83/N83)-1</f>
        <v>239.81316651067706</v>
      </c>
      <c r="O84" s="19"/>
      <c r="P84" s="19"/>
      <c r="Q84" s="19"/>
      <c r="R84" s="19"/>
      <c r="S84" s="19"/>
      <c r="T84" s="19"/>
      <c r="U84" s="19"/>
      <c r="V84" s="19"/>
      <c r="W84" s="19"/>
      <c r="X84" s="19"/>
      <c r="Y84" s="19"/>
      <c r="Z84" s="19"/>
      <c r="AA84" s="19"/>
      <c r="AB84" s="19"/>
      <c r="AC84" s="19"/>
      <c r="AD84" s="19"/>
      <c r="AE84" s="19"/>
      <c r="AF84" s="19"/>
      <c r="AG84" s="19"/>
      <c r="AH84" s="19"/>
      <c r="AI84" s="19"/>
      <c r="AJ84" s="19"/>
      <c r="AK84" s="19"/>
      <c r="AL84" s="19"/>
      <c r="AM84" s="19"/>
      <c r="AN84" s="19"/>
      <c r="AO84" s="19"/>
      <c r="AP84" s="19"/>
      <c r="AQ84" s="19"/>
      <c r="AR84" s="19"/>
      <c r="AS84" s="19"/>
      <c r="AT84" s="19"/>
      <c r="AU84" s="19"/>
      <c r="AV84" s="19"/>
      <c r="AW84" s="19"/>
      <c r="AX84" s="19"/>
      <c r="AY84" s="19"/>
      <c r="AZ84" s="19"/>
      <c r="BA84" s="19"/>
      <c r="BB84" s="19"/>
    </row>
    <row r="85" spans="1:54" x14ac:dyDescent="0.25">
      <c r="A85" s="14" t="s">
        <v>73</v>
      </c>
      <c r="B85" s="14">
        <f>B3</f>
        <v>2011</v>
      </c>
      <c r="C85" s="14">
        <f t="shared" ref="C85:AO85" si="54">C3</f>
        <v>2012</v>
      </c>
      <c r="D85" s="14">
        <f t="shared" si="54"/>
        <v>2013</v>
      </c>
      <c r="E85" s="14">
        <f t="shared" si="54"/>
        <v>2014</v>
      </c>
      <c r="F85" s="14">
        <f t="shared" si="54"/>
        <v>2015</v>
      </c>
      <c r="G85" s="14">
        <f t="shared" si="54"/>
        <v>2016</v>
      </c>
      <c r="H85" s="14">
        <f t="shared" si="54"/>
        <v>2017</v>
      </c>
      <c r="I85" s="14">
        <f t="shared" si="54"/>
        <v>2018</v>
      </c>
      <c r="J85" s="14">
        <f t="shared" si="54"/>
        <v>2019</v>
      </c>
      <c r="K85" s="14">
        <f t="shared" si="54"/>
        <v>2020</v>
      </c>
      <c r="L85" s="14">
        <f t="shared" si="54"/>
        <v>2021</v>
      </c>
      <c r="M85" s="14">
        <f t="shared" si="54"/>
        <v>2022</v>
      </c>
      <c r="N85" s="14">
        <f t="shared" si="54"/>
        <v>2023</v>
      </c>
      <c r="O85" s="14">
        <f t="shared" si="54"/>
        <v>2024</v>
      </c>
      <c r="P85" s="14">
        <f t="shared" si="54"/>
        <v>2025</v>
      </c>
      <c r="Q85" s="14">
        <f t="shared" si="54"/>
        <v>2026</v>
      </c>
      <c r="R85" s="14">
        <f t="shared" si="54"/>
        <v>2027</v>
      </c>
      <c r="S85" s="14">
        <f t="shared" si="54"/>
        <v>2028</v>
      </c>
      <c r="T85" s="14">
        <f t="shared" si="54"/>
        <v>2029</v>
      </c>
      <c r="U85" s="14">
        <f t="shared" si="54"/>
        <v>2030</v>
      </c>
      <c r="V85" s="14">
        <f t="shared" si="54"/>
        <v>2031</v>
      </c>
      <c r="W85" s="14">
        <f t="shared" si="54"/>
        <v>2032</v>
      </c>
      <c r="X85" s="14">
        <f t="shared" si="54"/>
        <v>2033</v>
      </c>
      <c r="Y85" s="14">
        <f t="shared" si="54"/>
        <v>2034</v>
      </c>
      <c r="Z85" s="14">
        <f t="shared" si="54"/>
        <v>2035</v>
      </c>
      <c r="AA85" s="14">
        <f t="shared" si="54"/>
        <v>2036</v>
      </c>
      <c r="AB85" s="14">
        <f t="shared" si="54"/>
        <v>2037</v>
      </c>
      <c r="AC85" s="14">
        <f t="shared" si="54"/>
        <v>2038</v>
      </c>
      <c r="AD85" s="14">
        <f t="shared" si="54"/>
        <v>2039</v>
      </c>
      <c r="AE85" s="14">
        <f t="shared" si="54"/>
        <v>2040</v>
      </c>
      <c r="AF85" s="14">
        <f t="shared" si="54"/>
        <v>2041</v>
      </c>
      <c r="AG85" s="14">
        <f t="shared" si="54"/>
        <v>2042</v>
      </c>
      <c r="AH85" s="14">
        <f t="shared" si="54"/>
        <v>2043</v>
      </c>
      <c r="AI85" s="14">
        <f t="shared" si="54"/>
        <v>2044</v>
      </c>
      <c r="AJ85" s="14">
        <f t="shared" si="54"/>
        <v>2045</v>
      </c>
      <c r="AK85" s="14">
        <f t="shared" si="54"/>
        <v>2046</v>
      </c>
      <c r="AL85" s="14">
        <f t="shared" si="54"/>
        <v>2047</v>
      </c>
      <c r="AM85" s="14">
        <f t="shared" si="54"/>
        <v>2048</v>
      </c>
      <c r="AN85" s="14">
        <f t="shared" si="54"/>
        <v>2049</v>
      </c>
      <c r="AO85" s="14">
        <f t="shared" si="54"/>
        <v>2050</v>
      </c>
      <c r="AP85" s="14"/>
      <c r="AQ85" s="14"/>
      <c r="AR85" s="14"/>
      <c r="AS85" s="14"/>
      <c r="AT85" s="14"/>
      <c r="AU85" s="14"/>
      <c r="AV85" s="14"/>
      <c r="AW85" s="14"/>
      <c r="AX85" s="14"/>
      <c r="AY85" s="14"/>
      <c r="AZ85" s="14"/>
      <c r="BA85" s="14"/>
      <c r="BB85" s="14"/>
    </row>
    <row r="86" spans="1:54" x14ac:dyDescent="0.25">
      <c r="A86" s="15" t="s">
        <v>68</v>
      </c>
      <c r="B86" s="16">
        <f>'Fuel Vol and Credit Gen'!C$14</f>
        <v>0</v>
      </c>
      <c r="C86" s="16">
        <f>'Fuel Vol and Credit Gen'!G$14</f>
        <v>0</v>
      </c>
      <c r="D86" s="16">
        <f>'Fuel Vol and Credit Gen'!K$14</f>
        <v>0</v>
      </c>
      <c r="E86" s="16">
        <f>'Fuel Vol and Credit Gen'!O$14</f>
        <v>0</v>
      </c>
      <c r="F86" s="16">
        <f>'Fuel Vol and Credit Gen'!S$14</f>
        <v>0</v>
      </c>
      <c r="G86" s="16">
        <f>'Fuel Vol and Credit Gen'!W$14</f>
        <v>0</v>
      </c>
      <c r="H86" s="16">
        <f>'Fuel Vol and Credit Gen'!AA$14</f>
        <v>0</v>
      </c>
      <c r="I86" s="16">
        <f>'Fuel Vol and Credit Gen'!AE$14</f>
        <v>0</v>
      </c>
      <c r="J86" s="16">
        <f>'Fuel Vol and Credit Gen'!AI$14</f>
        <v>0</v>
      </c>
      <c r="K86" s="16">
        <f>'Fuel Vol and Credit Gen'!AM$14</f>
        <v>284190</v>
      </c>
      <c r="L86" s="16">
        <f>'Fuel Vol and Credit Gen'!AQ$14</f>
        <v>873456</v>
      </c>
      <c r="M86" s="16">
        <f>'Fuel Vol and Credit Gen'!AU$14</f>
        <v>993399</v>
      </c>
      <c r="N86" s="16">
        <f>'Fuel Vol and Credit Gen'!AY$14</f>
        <v>4696266</v>
      </c>
      <c r="O86" s="16">
        <f>'Fuel Vol and Credit Gen'!BC$14</f>
        <v>10703076</v>
      </c>
      <c r="P86" s="17">
        <f>FORECAST(P79,I86:O86,I79:O79)</f>
        <v>23161221.81982087</v>
      </c>
      <c r="Q86" s="17">
        <f>FORECAST(Q79,J86:P86,J79:P79)+20000000</f>
        <v>102481131.31686039</v>
      </c>
      <c r="R86" s="17">
        <f t="shared" ref="R86:AO89" si="55">FORECAST(R79,K86:Q86,K79:Q79)</f>
        <v>265079274.55155081</v>
      </c>
      <c r="S86" s="17">
        <f t="shared" si="55"/>
        <v>347316879.02732968</v>
      </c>
      <c r="T86" s="17">
        <f t="shared" si="55"/>
        <v>416700427.92768747</v>
      </c>
      <c r="U86" s="17">
        <f t="shared" si="55"/>
        <v>532058244.63075501</v>
      </c>
      <c r="V86" s="17">
        <f t="shared" si="55"/>
        <v>585549553.89017856</v>
      </c>
      <c r="W86" s="17">
        <f t="shared" si="55"/>
        <v>733627907.97649038</v>
      </c>
      <c r="X86" s="17">
        <f t="shared" si="55"/>
        <v>784816176.94942629</v>
      </c>
      <c r="Y86" s="17">
        <f t="shared" si="55"/>
        <v>861227995.33215463</v>
      </c>
      <c r="Z86" s="17">
        <f t="shared" si="55"/>
        <v>902881072.55631828</v>
      </c>
      <c r="AA86" s="17">
        <f t="shared" si="55"/>
        <v>662304946.04480863</v>
      </c>
      <c r="AB86" s="17">
        <f t="shared" si="55"/>
        <v>687466690.04211104</v>
      </c>
      <c r="AC86" s="17">
        <f t="shared" si="55"/>
        <v>720429550.38637578</v>
      </c>
      <c r="AD86" s="17">
        <f t="shared" si="55"/>
        <v>713116541.72286069</v>
      </c>
      <c r="AE86" s="17">
        <f t="shared" si="55"/>
        <v>782816611.10978472</v>
      </c>
      <c r="AF86" s="17">
        <f t="shared" si="55"/>
        <v>824187149.09880674</v>
      </c>
      <c r="AG86" s="17">
        <f t="shared" si="55"/>
        <v>843324973.7404536</v>
      </c>
      <c r="AH86" s="17">
        <f t="shared" si="55"/>
        <v>864509164.08881557</v>
      </c>
      <c r="AI86" s="17">
        <f t="shared" si="55"/>
        <v>878215853.60503864</v>
      </c>
      <c r="AJ86" s="17">
        <f t="shared" si="55"/>
        <v>909590779.31123781</v>
      </c>
      <c r="AK86" s="17">
        <f t="shared" si="55"/>
        <v>971731459.98504186</v>
      </c>
      <c r="AL86" s="17">
        <f t="shared" si="55"/>
        <v>1017437965.1028748</v>
      </c>
      <c r="AM86" s="17">
        <f t="shared" si="55"/>
        <v>1023040954.9178798</v>
      </c>
      <c r="AN86" s="17">
        <f t="shared" si="55"/>
        <v>1022970762.5712483</v>
      </c>
      <c r="AO86" s="17">
        <f t="shared" si="55"/>
        <v>1024819628.8074112</v>
      </c>
      <c r="AP86" s="17"/>
      <c r="AQ86" s="17"/>
      <c r="AR86" s="17"/>
      <c r="AS86" s="17"/>
      <c r="AT86" s="17"/>
      <c r="AU86" s="17"/>
      <c r="AV86" s="17"/>
      <c r="AW86" s="17"/>
      <c r="AX86" s="17"/>
      <c r="AY86" s="17"/>
      <c r="AZ86" s="17"/>
      <c r="BA86" s="17"/>
      <c r="BB86" s="17"/>
    </row>
    <row r="87" spans="1:54" x14ac:dyDescent="0.25">
      <c r="A87" s="15" t="s">
        <v>69</v>
      </c>
      <c r="B87" s="16">
        <f>'Fuel Vol and Credit Gen'!D$14</f>
        <v>0</v>
      </c>
      <c r="C87" s="16">
        <f>'Fuel Vol and Credit Gen'!H$14</f>
        <v>0</v>
      </c>
      <c r="D87" s="16">
        <f>'Fuel Vol and Credit Gen'!L$14</f>
        <v>0</v>
      </c>
      <c r="E87" s="16">
        <f>'Fuel Vol and Credit Gen'!P$14</f>
        <v>0</v>
      </c>
      <c r="F87" s="16">
        <f>'Fuel Vol and Credit Gen'!T$14</f>
        <v>0</v>
      </c>
      <c r="G87" s="16">
        <f>'Fuel Vol and Credit Gen'!X$14</f>
        <v>0</v>
      </c>
      <c r="H87" s="16">
        <f>'Fuel Vol and Credit Gen'!AB$14</f>
        <v>0</v>
      </c>
      <c r="I87" s="16">
        <f>'Fuel Vol and Credit Gen'!AF$14</f>
        <v>0</v>
      </c>
      <c r="J87" s="16">
        <f>'Fuel Vol and Credit Gen'!AJ$14</f>
        <v>723542</v>
      </c>
      <c r="K87" s="16">
        <f>'Fuel Vol and Credit Gen'!AN$14</f>
        <v>1315875</v>
      </c>
      <c r="L87" s="16">
        <f>'Fuel Vol and Credit Gen'!AR$14</f>
        <v>2528070</v>
      </c>
      <c r="M87" s="16">
        <f>'Fuel Vol and Credit Gen'!AV$14</f>
        <v>4923344</v>
      </c>
      <c r="N87" s="16">
        <f>'Fuel Vol and Credit Gen'!AZ$14</f>
        <v>6897301</v>
      </c>
      <c r="O87" s="16">
        <f>'Fuel Vol and Credit Gen'!BD$14</f>
        <v>23560446</v>
      </c>
      <c r="P87" s="17">
        <f t="shared" ref="P87:P89" si="56">FORECAST(P80,I87:O87,I80:O80)</f>
        <v>32342158.00301164</v>
      </c>
      <c r="Q87" s="17">
        <f>FORECAST(Q80,J87:P87,J80:P80)</f>
        <v>119629975.49323547</v>
      </c>
      <c r="R87" s="17">
        <f>FORECAST(R80,K87:Q87,K80:Q80)-250000</f>
        <v>308116720.14410704</v>
      </c>
      <c r="S87" s="17">
        <f>FORECAST(S80,L87:R87,L80:R80)</f>
        <v>402959927.21832186</v>
      </c>
      <c r="T87" s="17">
        <f>FORECAST(T80,M87:S87,M80:S80)</f>
        <v>483257592.69399136</v>
      </c>
      <c r="U87" s="17">
        <f>FORECAST(U80,N87:T87,N80:T80)</f>
        <v>613474244.18211341</v>
      </c>
      <c r="V87" s="17">
        <f>FORECAST(V80,O87:U87,O80:U80)</f>
        <v>675011260.28974748</v>
      </c>
      <c r="W87" s="17">
        <f>FORECAST(W80,P87:V87,P80:V80)</f>
        <v>844039930.05627871</v>
      </c>
      <c r="X87" s="17">
        <f t="shared" si="55"/>
        <v>903660132.65637898</v>
      </c>
      <c r="Y87" s="17">
        <f t="shared" si="55"/>
        <v>990617687.39188635</v>
      </c>
      <c r="Z87" s="17">
        <f t="shared" si="55"/>
        <v>1038000181.5394926</v>
      </c>
      <c r="AA87" s="17">
        <f t="shared" si="55"/>
        <v>762979663.61012626</v>
      </c>
      <c r="AB87" s="17">
        <f t="shared" si="55"/>
        <v>791778293.42795312</v>
      </c>
      <c r="AC87" s="17">
        <f t="shared" si="55"/>
        <v>829391686.35854661</v>
      </c>
      <c r="AD87" s="17">
        <f t="shared" si="55"/>
        <v>820949263.32533228</v>
      </c>
      <c r="AE87" s="17">
        <f t="shared" si="55"/>
        <v>900760736.40025377</v>
      </c>
      <c r="AF87" s="17">
        <f t="shared" si="55"/>
        <v>948063890.89983749</v>
      </c>
      <c r="AG87" s="17">
        <f t="shared" si="55"/>
        <v>969963463.16227496</v>
      </c>
      <c r="AH87" s="17">
        <f t="shared" si="55"/>
        <v>994207366.17189384</v>
      </c>
      <c r="AI87" s="17">
        <f t="shared" si="55"/>
        <v>1009889875.5261937</v>
      </c>
      <c r="AJ87" s="17">
        <f t="shared" si="55"/>
        <v>1045804596.4396595</v>
      </c>
      <c r="AK87" s="17">
        <f t="shared" si="55"/>
        <v>1116922520.3022199</v>
      </c>
      <c r="AL87" s="17">
        <f t="shared" si="55"/>
        <v>1169206614.7985559</v>
      </c>
      <c r="AM87" s="17">
        <f t="shared" si="55"/>
        <v>1175629172.7118483</v>
      </c>
      <c r="AN87" s="17">
        <f t="shared" si="55"/>
        <v>1175547829.6345017</v>
      </c>
      <c r="AO87" s="17">
        <f t="shared" si="55"/>
        <v>1177663296.6391499</v>
      </c>
      <c r="AP87" s="17"/>
      <c r="AQ87" s="17"/>
      <c r="AR87" s="17"/>
      <c r="AS87" s="17"/>
      <c r="AT87" s="17"/>
      <c r="AU87" s="17"/>
      <c r="AV87" s="17"/>
      <c r="AW87" s="17"/>
      <c r="AX87" s="17"/>
      <c r="AY87" s="17"/>
      <c r="AZ87" s="17"/>
      <c r="BA87" s="17"/>
      <c r="BB87" s="17"/>
    </row>
    <row r="88" spans="1:54" x14ac:dyDescent="0.25">
      <c r="A88" s="15" t="s">
        <v>70</v>
      </c>
      <c r="B88" s="16">
        <f>'Fuel Vol and Credit Gen'!E$14</f>
        <v>0</v>
      </c>
      <c r="C88" s="16">
        <f>'Fuel Vol and Credit Gen'!I$14</f>
        <v>0</v>
      </c>
      <c r="D88" s="16">
        <f>'Fuel Vol and Credit Gen'!M$14</f>
        <v>0</v>
      </c>
      <c r="E88" s="16">
        <f>'Fuel Vol and Credit Gen'!Q$14</f>
        <v>0</v>
      </c>
      <c r="F88" s="16">
        <f>'Fuel Vol and Credit Gen'!U$14</f>
        <v>0</v>
      </c>
      <c r="G88" s="16">
        <f>'Fuel Vol and Credit Gen'!Y$14</f>
        <v>0</v>
      </c>
      <c r="H88" s="16">
        <f>'Fuel Vol and Credit Gen'!AC$14</f>
        <v>0</v>
      </c>
      <c r="I88" s="16">
        <f>'Fuel Vol and Credit Gen'!AG$14</f>
        <v>0</v>
      </c>
      <c r="J88" s="16">
        <f>'Fuel Vol and Credit Gen'!AK$14</f>
        <v>693621</v>
      </c>
      <c r="K88" s="16">
        <f>'Fuel Vol and Credit Gen'!AO$14</f>
        <v>2388230</v>
      </c>
      <c r="L88" s="16">
        <f>'Fuel Vol and Credit Gen'!AS$14</f>
        <v>1717347</v>
      </c>
      <c r="M88" s="16">
        <f>'Fuel Vol and Credit Gen'!AW$14</f>
        <v>4078887</v>
      </c>
      <c r="N88" s="16">
        <f>'Fuel Vol and Credit Gen'!BA$14</f>
        <v>4177769</v>
      </c>
      <c r="O88" s="17">
        <f>FORECAST(O81,H88:N88,H81:N81)+5000000</f>
        <v>31472071.26035624</v>
      </c>
      <c r="P88" s="17">
        <f t="shared" si="56"/>
        <v>42037597.753064916</v>
      </c>
      <c r="Q88" s="17">
        <f>FORECAST(Q81,J88:P88,J81:P81)-6000000</f>
        <v>161944909.65109289</v>
      </c>
      <c r="R88" s="17">
        <f>FORECAST(R81,K88:Q88,K81:Q81)-450000</f>
        <v>420271105.53213406</v>
      </c>
      <c r="S88" s="17">
        <f>FORECAST(S81,L88:R88,L81:R81)-450000</f>
        <v>549936819.87644911</v>
      </c>
      <c r="T88" s="17">
        <f>FORECAST(T81,M88:S88,M81:S81)</f>
        <v>659432550.45551181</v>
      </c>
      <c r="U88" s="17">
        <f>FORECAST(U81,N88:T88,N81:T81)</f>
        <v>837297167.23157299</v>
      </c>
      <c r="V88" s="17">
        <f>FORECAST(V81,O88:U88,O81:U81)</f>
        <v>921657059.97368312</v>
      </c>
      <c r="W88" s="17">
        <f>FORECAST(W81,P88:V88,P81:V81)</f>
        <v>1152829271.2188623</v>
      </c>
      <c r="X88" s="17">
        <f t="shared" si="55"/>
        <v>1234541683.3926013</v>
      </c>
      <c r="Y88" s="17">
        <f t="shared" si="55"/>
        <v>1353251824.2184956</v>
      </c>
      <c r="Z88" s="17">
        <f t="shared" si="55"/>
        <v>1418029225.3778377</v>
      </c>
      <c r="AA88" s="17">
        <f t="shared" si="55"/>
        <v>1042063159.0761013</v>
      </c>
      <c r="AB88" s="17">
        <f t="shared" si="55"/>
        <v>1081408827.3093681</v>
      </c>
      <c r="AC88" s="17">
        <f t="shared" si="55"/>
        <v>1132779033.589376</v>
      </c>
      <c r="AD88" s="17">
        <f t="shared" si="55"/>
        <v>1121263240.9790411</v>
      </c>
      <c r="AE88" s="17">
        <f t="shared" si="55"/>
        <v>1230444088.6754682</v>
      </c>
      <c r="AF88" s="17">
        <f t="shared" si="55"/>
        <v>1295132190.1537571</v>
      </c>
      <c r="AG88" s="17">
        <f t="shared" si="55"/>
        <v>1325067393.4146848</v>
      </c>
      <c r="AH88" s="17">
        <f t="shared" si="55"/>
        <v>1358215621.6818647</v>
      </c>
      <c r="AI88" s="17">
        <f t="shared" si="55"/>
        <v>1379667623.8410375</v>
      </c>
      <c r="AJ88" s="17">
        <f t="shared" si="55"/>
        <v>1428791517.5435255</v>
      </c>
      <c r="AK88" s="17">
        <f t="shared" si="55"/>
        <v>1526044895.8967421</v>
      </c>
      <c r="AL88" s="17">
        <f t="shared" si="55"/>
        <v>1597536715.3381381</v>
      </c>
      <c r="AM88" s="17">
        <f t="shared" si="55"/>
        <v>1606323255.1766427</v>
      </c>
      <c r="AN88" s="17">
        <f t="shared" si="55"/>
        <v>1606212781.0707161</v>
      </c>
      <c r="AO88" s="17">
        <f t="shared" si="55"/>
        <v>1609105898.9720769</v>
      </c>
      <c r="AP88" s="17"/>
      <c r="AQ88" s="17"/>
      <c r="AR88" s="17"/>
      <c r="AS88" s="17"/>
      <c r="AT88" s="17"/>
      <c r="AU88" s="17"/>
      <c r="AV88" s="17"/>
      <c r="AW88" s="17"/>
      <c r="AX88" s="17"/>
      <c r="AY88" s="17"/>
      <c r="AZ88" s="17"/>
      <c r="BA88" s="17"/>
      <c r="BB88" s="17"/>
    </row>
    <row r="89" spans="1:54" x14ac:dyDescent="0.25">
      <c r="A89" s="15" t="s">
        <v>71</v>
      </c>
      <c r="B89" s="16">
        <f>'Fuel Vol and Credit Gen'!F$14</f>
        <v>0</v>
      </c>
      <c r="C89" s="16">
        <f>'Fuel Vol and Credit Gen'!J$14</f>
        <v>0</v>
      </c>
      <c r="D89" s="16">
        <f>'Fuel Vol and Credit Gen'!N$14</f>
        <v>0</v>
      </c>
      <c r="E89" s="16">
        <f>'Fuel Vol and Credit Gen'!R$14</f>
        <v>0</v>
      </c>
      <c r="F89" s="16">
        <f>'Fuel Vol and Credit Gen'!V$14</f>
        <v>0</v>
      </c>
      <c r="G89" s="16">
        <f>'Fuel Vol and Credit Gen'!Z$14</f>
        <v>0</v>
      </c>
      <c r="H89" s="16">
        <f>'Fuel Vol and Credit Gen'!AD$14</f>
        <v>0</v>
      </c>
      <c r="I89" s="16">
        <f>'Fuel Vol and Credit Gen'!AH$14</f>
        <v>0</v>
      </c>
      <c r="J89" s="16">
        <f>'Fuel Vol and Credit Gen'!AL$14</f>
        <v>445027</v>
      </c>
      <c r="K89" s="16">
        <f>'Fuel Vol and Credit Gen'!AP$14</f>
        <v>570655</v>
      </c>
      <c r="L89" s="16">
        <f>'Fuel Vol and Credit Gen'!AT$14</f>
        <v>3078857</v>
      </c>
      <c r="M89" s="16">
        <f>'Fuel Vol and Credit Gen'!AX$14</f>
        <v>1608959</v>
      </c>
      <c r="N89" s="16">
        <f>'Fuel Vol and Credit Gen'!BB$14</f>
        <v>7266054</v>
      </c>
      <c r="O89" s="17">
        <f>FORECAST(O82,H89:N89,H82:N82)-18000000</f>
        <v>3618110.2311603874</v>
      </c>
      <c r="P89" s="17">
        <f t="shared" si="56"/>
        <v>11506899.384336663</v>
      </c>
      <c r="Q89" s="17">
        <f>FORECAST(Q82,J89:P89,J82:P82)</f>
        <v>39138483.179149926</v>
      </c>
      <c r="R89" s="17">
        <f t="shared" ref="R89:Y89" si="57">FORECAST(R82,K89:Q89,K82:Q82)</f>
        <v>97521340.468161181</v>
      </c>
      <c r="S89" s="17">
        <f t="shared" si="57"/>
        <v>127015633.50561434</v>
      </c>
      <c r="T89" s="17">
        <f t="shared" si="57"/>
        <v>150755027.29880106</v>
      </c>
      <c r="U89" s="17">
        <f t="shared" si="57"/>
        <v>191672244.2675572</v>
      </c>
      <c r="V89" s="17">
        <f t="shared" si="57"/>
        <v>211352285.5464496</v>
      </c>
      <c r="W89" s="17">
        <f t="shared" si="57"/>
        <v>263741268.42656925</v>
      </c>
      <c r="X89" s="17">
        <f t="shared" si="57"/>
        <v>282194168.73011935</v>
      </c>
      <c r="Y89" s="17">
        <f t="shared" si="57"/>
        <v>309069865.17650759</v>
      </c>
      <c r="Z89" s="17">
        <f t="shared" si="55"/>
        <v>323932060.11483788</v>
      </c>
      <c r="AA89" s="17">
        <f t="shared" si="55"/>
        <v>238437342.32049489</v>
      </c>
      <c r="AB89" s="17">
        <f t="shared" si="55"/>
        <v>247398058.45641747</v>
      </c>
      <c r="AC89" s="17">
        <f t="shared" si="55"/>
        <v>259193060.77548698</v>
      </c>
      <c r="AD89" s="17">
        <f t="shared" si="55"/>
        <v>256611654.90151727</v>
      </c>
      <c r="AE89" s="17">
        <f t="shared" si="55"/>
        <v>281414416.70712823</v>
      </c>
      <c r="AF89" s="17">
        <f t="shared" si="55"/>
        <v>296101580.63492602</v>
      </c>
      <c r="AG89" s="17">
        <f t="shared" si="55"/>
        <v>302902380.04113489</v>
      </c>
      <c r="AH89" s="17">
        <f t="shared" si="55"/>
        <v>310430036.84873855</v>
      </c>
      <c r="AI89" s="17">
        <f t="shared" si="55"/>
        <v>315297095.1181584</v>
      </c>
      <c r="AJ89" s="17">
        <f t="shared" si="55"/>
        <v>326436784.48090118</v>
      </c>
      <c r="AK89" s="17">
        <f t="shared" si="55"/>
        <v>348510808.82800335</v>
      </c>
      <c r="AL89" s="17">
        <f t="shared" si="55"/>
        <v>364739057.10436666</v>
      </c>
      <c r="AM89" s="17">
        <f t="shared" si="55"/>
        <v>366731856.40832353</v>
      </c>
      <c r="AN89" s="17">
        <f t="shared" si="55"/>
        <v>366706124.78535867</v>
      </c>
      <c r="AO89" s="17">
        <f t="shared" si="55"/>
        <v>367362631.92442691</v>
      </c>
      <c r="AP89" s="17"/>
      <c r="AQ89" s="17"/>
      <c r="AR89" s="17"/>
      <c r="AS89" s="17"/>
      <c r="AT89" s="17"/>
      <c r="AU89" s="17"/>
      <c r="AV89" s="17"/>
      <c r="AW89" s="17"/>
      <c r="AX89" s="17"/>
      <c r="AY89" s="17"/>
      <c r="AZ89" s="17"/>
      <c r="BA89" s="17"/>
      <c r="BB89" s="17"/>
    </row>
    <row r="90" spans="1:54" x14ac:dyDescent="0.25">
      <c r="A90" s="15" t="s">
        <v>72</v>
      </c>
      <c r="B90" s="16">
        <f>SUM(B86:B89)</f>
        <v>0</v>
      </c>
      <c r="C90" s="16">
        <f t="shared" ref="C90:AO90" si="58">SUM(C86:C89)</f>
        <v>0</v>
      </c>
      <c r="D90" s="16">
        <f t="shared" si="58"/>
        <v>0</v>
      </c>
      <c r="E90" s="16">
        <f t="shared" si="58"/>
        <v>0</v>
      </c>
      <c r="F90" s="16">
        <f t="shared" si="58"/>
        <v>0</v>
      </c>
      <c r="G90" s="16">
        <f t="shared" si="58"/>
        <v>0</v>
      </c>
      <c r="H90" s="16">
        <f t="shared" si="58"/>
        <v>0</v>
      </c>
      <c r="I90" s="16">
        <f t="shared" si="58"/>
        <v>0</v>
      </c>
      <c r="J90" s="16">
        <f t="shared" si="58"/>
        <v>1862190</v>
      </c>
      <c r="K90" s="16">
        <f t="shared" si="58"/>
        <v>4558950</v>
      </c>
      <c r="L90" s="16">
        <f t="shared" si="58"/>
        <v>8197730</v>
      </c>
      <c r="M90" s="16">
        <f t="shared" si="58"/>
        <v>11604589</v>
      </c>
      <c r="N90" s="16">
        <f t="shared" si="58"/>
        <v>23037390</v>
      </c>
      <c r="O90" s="17">
        <f t="shared" si="58"/>
        <v>69353703.49151662</v>
      </c>
      <c r="P90" s="17">
        <f t="shared" si="58"/>
        <v>109047876.96023409</v>
      </c>
      <c r="Q90" s="17">
        <f t="shared" si="58"/>
        <v>423194499.64033866</v>
      </c>
      <c r="R90" s="17">
        <f t="shared" si="58"/>
        <v>1090988440.6959531</v>
      </c>
      <c r="S90" s="17">
        <f t="shared" si="58"/>
        <v>1427229259.6277149</v>
      </c>
      <c r="T90" s="17">
        <f t="shared" si="58"/>
        <v>1710145598.3759918</v>
      </c>
      <c r="U90" s="17">
        <f t="shared" si="58"/>
        <v>2174501900.3119984</v>
      </c>
      <c r="V90" s="17">
        <f t="shared" si="58"/>
        <v>2393570159.7000589</v>
      </c>
      <c r="W90" s="17">
        <f t="shared" si="58"/>
        <v>2994238377.6782012</v>
      </c>
      <c r="X90" s="17">
        <f t="shared" si="58"/>
        <v>3205212161.7285256</v>
      </c>
      <c r="Y90" s="17">
        <f t="shared" si="58"/>
        <v>3514167372.1190438</v>
      </c>
      <c r="Z90" s="17">
        <f t="shared" si="58"/>
        <v>3682842539.5884867</v>
      </c>
      <c r="AA90" s="17">
        <f t="shared" si="58"/>
        <v>2705785111.0515308</v>
      </c>
      <c r="AB90" s="17">
        <f t="shared" si="58"/>
        <v>2808051869.2358499</v>
      </c>
      <c r="AC90" s="17">
        <f t="shared" si="58"/>
        <v>2941793331.1097851</v>
      </c>
      <c r="AD90" s="17">
        <f t="shared" si="58"/>
        <v>2911940700.9287515</v>
      </c>
      <c r="AE90" s="17">
        <f t="shared" si="58"/>
        <v>3195435852.8926349</v>
      </c>
      <c r="AF90" s="17">
        <f t="shared" si="58"/>
        <v>3363484810.7873273</v>
      </c>
      <c r="AG90" s="17">
        <f t="shared" si="58"/>
        <v>3441258210.3585482</v>
      </c>
      <c r="AH90" s="17">
        <f t="shared" si="58"/>
        <v>3527362188.7913127</v>
      </c>
      <c r="AI90" s="17">
        <f t="shared" si="58"/>
        <v>3583070448.0904284</v>
      </c>
      <c r="AJ90" s="17">
        <f t="shared" si="58"/>
        <v>3710623677.7753243</v>
      </c>
      <c r="AK90" s="17">
        <f t="shared" si="58"/>
        <v>3963209685.0120072</v>
      </c>
      <c r="AL90" s="17">
        <f t="shared" si="58"/>
        <v>4148920352.3439355</v>
      </c>
      <c r="AM90" s="17">
        <f t="shared" si="58"/>
        <v>4171725239.214694</v>
      </c>
      <c r="AN90" s="17">
        <f t="shared" si="58"/>
        <v>4171437498.0618248</v>
      </c>
      <c r="AO90" s="17">
        <f t="shared" si="58"/>
        <v>4178951456.3430648</v>
      </c>
      <c r="AP90" s="17"/>
      <c r="AQ90" s="17"/>
      <c r="AR90" s="17"/>
      <c r="AS90" s="17"/>
      <c r="AT90" s="17"/>
      <c r="AU90" s="17"/>
      <c r="AV90" s="17"/>
      <c r="AW90" s="17"/>
      <c r="AX90" s="17"/>
      <c r="AY90" s="17"/>
      <c r="AZ90" s="17"/>
      <c r="BA90" s="17"/>
      <c r="BB90" s="17"/>
    </row>
    <row r="91" spans="1:54" x14ac:dyDescent="0.25">
      <c r="J91" s="21">
        <f t="shared" ref="J91:AO91" si="59">J90/J83</f>
        <v>0.76674289394087869</v>
      </c>
      <c r="K91" s="21">
        <f t="shared" si="59"/>
        <v>0.98926980931989617</v>
      </c>
      <c r="L91" s="21">
        <f t="shared" si="59"/>
        <v>1.6147998383965088</v>
      </c>
      <c r="M91" s="21">
        <f t="shared" si="59"/>
        <v>0.73354483097434953</v>
      </c>
      <c r="N91" s="21">
        <f t="shared" si="59"/>
        <v>0.94127021891792406</v>
      </c>
      <c r="O91" s="21">
        <f t="shared" si="59"/>
        <v>0.62021970390563486</v>
      </c>
      <c r="P91" s="21">
        <f t="shared" si="59"/>
        <v>0.54648304420147142</v>
      </c>
      <c r="Q91" s="21">
        <f t="shared" si="59"/>
        <v>0.54916776637952447</v>
      </c>
      <c r="R91" s="21">
        <f t="shared" si="59"/>
        <v>0.54514563950752037</v>
      </c>
      <c r="S91" s="21">
        <f t="shared" si="59"/>
        <v>0.54426137729821011</v>
      </c>
      <c r="T91" s="21">
        <f t="shared" si="59"/>
        <v>0.54495657049747026</v>
      </c>
      <c r="U91" s="21">
        <f t="shared" si="59"/>
        <v>0.5441110828920116</v>
      </c>
      <c r="V91" s="21">
        <f t="shared" si="59"/>
        <v>0.54419732097819917</v>
      </c>
      <c r="W91" s="21">
        <f t="shared" si="59"/>
        <v>0.54400300255092304</v>
      </c>
      <c r="X91" s="21">
        <f t="shared" si="59"/>
        <v>0.54382303236286766</v>
      </c>
      <c r="Y91" s="21">
        <f t="shared" si="59"/>
        <v>0.54386384274459965</v>
      </c>
      <c r="Z91" s="21">
        <f t="shared" si="59"/>
        <v>0.54381881191579451</v>
      </c>
      <c r="AA91" s="21">
        <f t="shared" si="59"/>
        <v>0.54401905372279102</v>
      </c>
      <c r="AB91" s="21">
        <f t="shared" si="59"/>
        <v>0.54397976057215292</v>
      </c>
      <c r="AC91" s="21">
        <f t="shared" si="59"/>
        <v>0.54394465151627358</v>
      </c>
      <c r="AD91" s="21">
        <f t="shared" si="59"/>
        <v>0.54391350804824368</v>
      </c>
      <c r="AE91" s="21">
        <f t="shared" si="59"/>
        <v>0.5438378807519425</v>
      </c>
      <c r="AF91" s="21">
        <f t="shared" si="59"/>
        <v>0.54381990456285967</v>
      </c>
      <c r="AG91" s="21">
        <f t="shared" si="59"/>
        <v>0.54381337866460411</v>
      </c>
      <c r="AH91" s="21">
        <f t="shared" si="59"/>
        <v>0.54380027452877178</v>
      </c>
      <c r="AI91" s="21">
        <f t="shared" si="59"/>
        <v>0.5437922991684524</v>
      </c>
      <c r="AJ91" s="21">
        <f t="shared" si="59"/>
        <v>0.54377539905745176</v>
      </c>
      <c r="AK91" s="21">
        <f t="shared" si="59"/>
        <v>0.54375062768076965</v>
      </c>
      <c r="AL91" s="21">
        <f t="shared" si="59"/>
        <v>0.54373587973957549</v>
      </c>
      <c r="AM91" s="21">
        <f t="shared" si="59"/>
        <v>0.54373230814943962</v>
      </c>
      <c r="AN91" s="21">
        <f t="shared" si="59"/>
        <v>0.54373219098918146</v>
      </c>
      <c r="AO91" s="21">
        <f t="shared" si="59"/>
        <v>0.54373173847558443</v>
      </c>
      <c r="AP91" s="21"/>
      <c r="AQ91" s="21"/>
      <c r="AR91" s="21"/>
      <c r="AS91" s="21"/>
      <c r="AT91" s="21"/>
      <c r="AU91" s="21"/>
      <c r="AV91" s="21"/>
      <c r="AW91" s="21"/>
      <c r="AX91" s="21"/>
      <c r="AY91" s="21"/>
      <c r="AZ91" s="21"/>
      <c r="BA91" s="21"/>
      <c r="BB91" s="21"/>
    </row>
    <row r="92" spans="1:54" ht="18" x14ac:dyDescent="0.25">
      <c r="A92" s="11" t="s">
        <v>79</v>
      </c>
      <c r="B92" s="12"/>
      <c r="C92" s="12"/>
      <c r="D92" s="12"/>
      <c r="E92" s="12"/>
      <c r="F92" s="12"/>
      <c r="G92" s="12"/>
      <c r="H92" s="12"/>
      <c r="I92" s="12"/>
      <c r="J92" s="12"/>
      <c r="K92" s="12"/>
      <c r="L92" s="12"/>
      <c r="M92" s="12"/>
      <c r="N92" s="12"/>
      <c r="O92" s="12"/>
      <c r="P92" s="12"/>
      <c r="Q92" s="12"/>
      <c r="R92" s="12"/>
      <c r="S92" s="12"/>
      <c r="T92" s="12"/>
      <c r="U92" s="12"/>
      <c r="V92" s="12"/>
      <c r="W92" s="12"/>
      <c r="X92" s="12"/>
      <c r="Y92" s="12"/>
      <c r="Z92" s="12"/>
      <c r="AA92" s="12"/>
      <c r="AB92" s="12"/>
      <c r="AC92" s="12"/>
      <c r="AD92" s="12"/>
      <c r="AE92" s="12"/>
      <c r="AF92" s="12"/>
      <c r="AG92" s="12"/>
      <c r="AH92" s="12"/>
      <c r="AI92" s="12"/>
      <c r="AJ92" s="12"/>
      <c r="AK92" s="12"/>
      <c r="AL92" s="12"/>
      <c r="AM92" s="12"/>
      <c r="AN92" s="12"/>
      <c r="AO92" s="12"/>
      <c r="AP92" s="12"/>
      <c r="AQ92" s="12"/>
      <c r="AR92" s="12"/>
      <c r="AS92" s="12"/>
      <c r="AT92" s="12"/>
      <c r="AU92" s="12"/>
      <c r="AV92" s="12"/>
      <c r="AW92" s="12"/>
      <c r="AX92" s="12"/>
      <c r="AY92" s="12"/>
      <c r="AZ92" s="12"/>
      <c r="BA92" s="12"/>
      <c r="BB92" s="12"/>
    </row>
    <row r="93" spans="1:54" x14ac:dyDescent="0.25">
      <c r="A93" s="14" t="s">
        <v>67</v>
      </c>
      <c r="B93" s="14">
        <f>B3</f>
        <v>2011</v>
      </c>
      <c r="C93" s="14">
        <f t="shared" ref="C93:AO93" si="60">C3</f>
        <v>2012</v>
      </c>
      <c r="D93" s="14">
        <f t="shared" si="60"/>
        <v>2013</v>
      </c>
      <c r="E93" s="14">
        <f t="shared" si="60"/>
        <v>2014</v>
      </c>
      <c r="F93" s="14">
        <f t="shared" si="60"/>
        <v>2015</v>
      </c>
      <c r="G93" s="14">
        <f t="shared" si="60"/>
        <v>2016</v>
      </c>
      <c r="H93" s="14">
        <f t="shared" si="60"/>
        <v>2017</v>
      </c>
      <c r="I93" s="14">
        <f t="shared" si="60"/>
        <v>2018</v>
      </c>
      <c r="J93" s="14">
        <f t="shared" si="60"/>
        <v>2019</v>
      </c>
      <c r="K93" s="14">
        <f t="shared" si="60"/>
        <v>2020</v>
      </c>
      <c r="L93" s="14">
        <f t="shared" si="60"/>
        <v>2021</v>
      </c>
      <c r="M93" s="14">
        <f t="shared" si="60"/>
        <v>2022</v>
      </c>
      <c r="N93" s="14">
        <f t="shared" si="60"/>
        <v>2023</v>
      </c>
      <c r="O93" s="14">
        <f t="shared" si="60"/>
        <v>2024</v>
      </c>
      <c r="P93" s="14">
        <f t="shared" si="60"/>
        <v>2025</v>
      </c>
      <c r="Q93" s="14">
        <f t="shared" si="60"/>
        <v>2026</v>
      </c>
      <c r="R93" s="14">
        <f t="shared" si="60"/>
        <v>2027</v>
      </c>
      <c r="S93" s="14">
        <f t="shared" si="60"/>
        <v>2028</v>
      </c>
      <c r="T93" s="14">
        <f t="shared" si="60"/>
        <v>2029</v>
      </c>
      <c r="U93" s="14">
        <f t="shared" si="60"/>
        <v>2030</v>
      </c>
      <c r="V93" s="14">
        <f t="shared" si="60"/>
        <v>2031</v>
      </c>
      <c r="W93" s="14">
        <f t="shared" si="60"/>
        <v>2032</v>
      </c>
      <c r="X93" s="14">
        <f t="shared" si="60"/>
        <v>2033</v>
      </c>
      <c r="Y93" s="14">
        <f t="shared" si="60"/>
        <v>2034</v>
      </c>
      <c r="Z93" s="14">
        <f t="shared" si="60"/>
        <v>2035</v>
      </c>
      <c r="AA93" s="14">
        <f t="shared" si="60"/>
        <v>2036</v>
      </c>
      <c r="AB93" s="14">
        <f t="shared" si="60"/>
        <v>2037</v>
      </c>
      <c r="AC93" s="14">
        <f t="shared" si="60"/>
        <v>2038</v>
      </c>
      <c r="AD93" s="14">
        <f t="shared" si="60"/>
        <v>2039</v>
      </c>
      <c r="AE93" s="14">
        <f t="shared" si="60"/>
        <v>2040</v>
      </c>
      <c r="AF93" s="14">
        <f t="shared" si="60"/>
        <v>2041</v>
      </c>
      <c r="AG93" s="14">
        <f t="shared" si="60"/>
        <v>2042</v>
      </c>
      <c r="AH93" s="14">
        <f t="shared" si="60"/>
        <v>2043</v>
      </c>
      <c r="AI93" s="14">
        <f t="shared" si="60"/>
        <v>2044</v>
      </c>
      <c r="AJ93" s="14">
        <f t="shared" si="60"/>
        <v>2045</v>
      </c>
      <c r="AK93" s="14">
        <f t="shared" si="60"/>
        <v>2046</v>
      </c>
      <c r="AL93" s="14">
        <f t="shared" si="60"/>
        <v>2047</v>
      </c>
      <c r="AM93" s="14">
        <f t="shared" si="60"/>
        <v>2048</v>
      </c>
      <c r="AN93" s="14">
        <f t="shared" si="60"/>
        <v>2049</v>
      </c>
      <c r="AO93" s="14">
        <f t="shared" si="60"/>
        <v>2050</v>
      </c>
      <c r="AP93" s="14"/>
      <c r="AQ93" s="14"/>
      <c r="AR93" s="14"/>
      <c r="AS93" s="14"/>
      <c r="AT93" s="14"/>
      <c r="AU93" s="14"/>
      <c r="AV93" s="14"/>
      <c r="AW93" s="14"/>
      <c r="AX93" s="14"/>
      <c r="AY93" s="14"/>
      <c r="AZ93" s="14"/>
      <c r="BA93" s="14"/>
      <c r="BB93" s="14"/>
    </row>
    <row r="94" spans="1:54" x14ac:dyDescent="0.25">
      <c r="A94" s="15" t="s">
        <v>68</v>
      </c>
      <c r="B94" s="16">
        <f>SUM('[2]D5 Gallon Forecast'!C$312:C$314)+SUM('[2]D5 Gallon Forecast'!C$296:C$298)</f>
        <v>0</v>
      </c>
      <c r="C94" s="16">
        <f>SUM('[2]D5 Gallon Forecast'!D$312:D$314)+SUM('[2]D5 Gallon Forecast'!D$296:D$298)</f>
        <v>0</v>
      </c>
      <c r="D94" s="16">
        <f>SUM('[2]D5 Gallon Forecast'!E$312:E$314)+SUM('[2]D5 Gallon Forecast'!E$296:E$298)</f>
        <v>0</v>
      </c>
      <c r="E94" s="16">
        <f>SUM('[2]D5 Gallon Forecast'!F$312:F$314)+SUM('[2]D5 Gallon Forecast'!F$296:F$298)</f>
        <v>2795339</v>
      </c>
      <c r="F94" s="16">
        <f>SUM('[2]D5 Gallon Forecast'!G$312:G$314)+SUM('[2]D5 Gallon Forecast'!G$296:G$298)</f>
        <v>4123200</v>
      </c>
      <c r="G94" s="16">
        <f>SUM('[2]D5 Gallon Forecast'!H$312:H$314)+SUM('[2]D5 Gallon Forecast'!H$296:H$298)</f>
        <v>2768038</v>
      </c>
      <c r="H94" s="16">
        <f>SUM('[2]D5 Gallon Forecast'!I$312:I$314)+SUM('[2]D5 Gallon Forecast'!I$296:I$298)</f>
        <v>4269904</v>
      </c>
      <c r="I94" s="16">
        <f>SUM('[2]D5 Gallon Forecast'!J$312:J$314)+SUM('[2]D5 Gallon Forecast'!J$296:J$298)</f>
        <v>6080337</v>
      </c>
      <c r="J94" s="16">
        <f>SUM('[2]D5 Gallon Forecast'!K$312:K$314)+SUM('[2]D5 Gallon Forecast'!K$296:K$298)</f>
        <v>6149852</v>
      </c>
      <c r="K94" s="16">
        <f>SUM('[2]D5 Gallon Forecast'!L$312:L$314)+SUM('[2]D5 Gallon Forecast'!L$296:L$298)</f>
        <v>6203206</v>
      </c>
      <c r="L94" s="16">
        <f>SUM('[2]D5 Gallon Forecast'!M$312:M$314)+SUM('[2]D5 Gallon Forecast'!M$296:M$298)</f>
        <v>4856087</v>
      </c>
      <c r="M94" s="16">
        <f>SUM('[2]D5 Gallon Forecast'!N$312:N$314)+SUM('[2]D5 Gallon Forecast'!N$296:N$298)</f>
        <v>12871298</v>
      </c>
      <c r="N94" s="16">
        <f>SUM('[2]D5 Gallon Forecast'!O$312:O$314)+SUM('[2]D5 Gallon Forecast'!O$296:O$298)</f>
        <v>14819791</v>
      </c>
      <c r="O94" s="16">
        <f>SUM('[2]D5 Gallon Forecast'!P$312:P$314)+SUM('[2]D5 Gallon Forecast'!P$296:P$298)</f>
        <v>11323837</v>
      </c>
      <c r="P94" s="17">
        <f>SUM('[2]D5 Gallon Forecast'!Q$312:Q$314)+SUM('[2]D5 Gallon Forecast'!Q$296:Q$298)</f>
        <v>25500769</v>
      </c>
      <c r="Q94" s="17">
        <f>SUM('[2]D5 Gallon Forecast'!R$312:R$314)+SUM('[2]D5 Gallon Forecast'!R$296:R$298)</f>
        <v>21947618.947678979</v>
      </c>
      <c r="R94" s="17">
        <f>SUM('[2]D5 Gallon Forecast'!S$312:S$314)+SUM('[2]D5 Gallon Forecast'!S$296:S$298)</f>
        <v>24176024.259818841</v>
      </c>
      <c r="S94" s="17">
        <f>SUM('[2]D5 Gallon Forecast'!T$312:T$314)+SUM('[2]D5 Gallon Forecast'!T$296:T$298)</f>
        <v>25821102.841316309</v>
      </c>
      <c r="T94" s="17">
        <f>SUM('[2]D5 Gallon Forecast'!U$312:U$314)+SUM('[2]D5 Gallon Forecast'!U$296:U$298)</f>
        <v>25283899.194607519</v>
      </c>
      <c r="U94" s="17">
        <f>SUM('[2]D5 Gallon Forecast'!V$312:V$314)+SUM('[2]D5 Gallon Forecast'!V$296:V$298)</f>
        <v>28067628.103677802</v>
      </c>
      <c r="V94" s="17">
        <f>SUM('[2]D5 Gallon Forecast'!W$312:W$314)+SUM('[2]D5 Gallon Forecast'!W$296:W$298)</f>
        <v>30641542.879118856</v>
      </c>
      <c r="W94" s="17">
        <f>SUM('[2]D5 Gallon Forecast'!X$312:X$314)+SUM('[2]D5 Gallon Forecast'!X$296:X$298)</f>
        <v>32619250.243731074</v>
      </c>
      <c r="X94" s="17">
        <f>SUM('[2]D5 Gallon Forecast'!Y$312:Y$314)+SUM('[2]D5 Gallon Forecast'!Y$296:Y$298)</f>
        <v>35147580.458498582</v>
      </c>
      <c r="Y94" s="17">
        <f>SUM('[2]D5 Gallon Forecast'!Z$312:Z$314)+SUM('[2]D5 Gallon Forecast'!Z$296:Z$298)</f>
        <v>38105861.068970807</v>
      </c>
      <c r="Z94" s="17">
        <f>SUM('[2]D5 Gallon Forecast'!AA$312:AA$314)+SUM('[2]D5 Gallon Forecast'!AA$296:AA$298)</f>
        <v>39644857.533287495</v>
      </c>
      <c r="AA94" s="17">
        <f>SUM('[2]D5 Gallon Forecast'!AB$312:AB$314)+SUM('[2]D5 Gallon Forecast'!AB$296:AB$298)</f>
        <v>37963797.246752925</v>
      </c>
      <c r="AB94" s="17">
        <f>SUM('[2]D5 Gallon Forecast'!AC$312:AC$314)+SUM('[2]D5 Gallon Forecast'!AC$296:AC$298)</f>
        <v>38572985.9700692</v>
      </c>
      <c r="AC94" s="17">
        <f>SUM('[2]D5 Gallon Forecast'!AD$312:AD$314)+SUM('[2]D5 Gallon Forecast'!AD$296:AD$298)</f>
        <v>38644798.595602721</v>
      </c>
      <c r="AD94" s="17">
        <f>SUM('[2]D5 Gallon Forecast'!AE$312:AE$314)+SUM('[2]D5 Gallon Forecast'!AE$296:AE$298)</f>
        <v>39983668.449868038</v>
      </c>
      <c r="AE94" s="17">
        <f>SUM('[2]D5 Gallon Forecast'!AF$312:AF$314)+SUM('[2]D5 Gallon Forecast'!AF$296:AF$298)</f>
        <v>44617639.077043116</v>
      </c>
      <c r="AF94" s="17">
        <f>SUM('[2]D5 Gallon Forecast'!AG$312:AG$314)+SUM('[2]D5 Gallon Forecast'!AG$296:AG$298)</f>
        <v>46204356.270480029</v>
      </c>
      <c r="AG94" s="17">
        <f>SUM('[2]D5 Gallon Forecast'!AH$312:AH$314)+SUM('[2]D5 Gallon Forecast'!AH$296:AH$298)</f>
        <v>47689385.709294513</v>
      </c>
      <c r="AH94" s="17">
        <f>SUM('[2]D5 Gallon Forecast'!AI$312:AI$314)+SUM('[2]D5 Gallon Forecast'!AI$296:AI$298)</f>
        <v>49283808.439436175</v>
      </c>
      <c r="AI94" s="17">
        <f>SUM('[2]D5 Gallon Forecast'!AJ$312:AJ$314)+SUM('[2]D5 Gallon Forecast'!AJ$296:AJ$298)</f>
        <v>49116810.098152503</v>
      </c>
      <c r="AJ94" s="17">
        <f>SUM('[2]D5 Gallon Forecast'!AK$312:AK$314)+SUM('[2]D5 Gallon Forecast'!AK$296:AK$298)</f>
        <v>48034693.405627429</v>
      </c>
      <c r="AK94" s="17">
        <f>SUM('[2]D5 Gallon Forecast'!AL$312:AL$314)+SUM('[2]D5 Gallon Forecast'!AL$296:AL$298)</f>
        <v>52767152.97063069</v>
      </c>
      <c r="AL94" s="17">
        <f>SUM('[2]D5 Gallon Forecast'!AM$312:AM$314)+SUM('[2]D5 Gallon Forecast'!AM$296:AM$298)</f>
        <v>56639731.021109536</v>
      </c>
      <c r="AM94" s="17">
        <f>SUM('[2]D5 Gallon Forecast'!AN$312:AN$314)+SUM('[2]D5 Gallon Forecast'!AN$296:AN$298)</f>
        <v>69127881.861974582</v>
      </c>
      <c r="AN94" s="17">
        <f>SUM('[2]D5 Gallon Forecast'!AO$312:AO$314)+SUM('[2]D5 Gallon Forecast'!AO$296:AO$298)</f>
        <v>83593138.324024796</v>
      </c>
      <c r="AO94" s="17">
        <f>SUM('[2]D5 Gallon Forecast'!AP$312:AP$314)+SUM('[2]D5 Gallon Forecast'!AP$296:AP$298)</f>
        <v>99995616.706982464</v>
      </c>
      <c r="AP94" s="17"/>
      <c r="AQ94" s="17"/>
      <c r="AR94" s="17"/>
      <c r="AS94" s="17"/>
      <c r="AT94" s="17"/>
      <c r="AU94" s="17"/>
      <c r="AV94" s="17"/>
      <c r="AW94" s="17"/>
      <c r="AX94" s="17"/>
      <c r="AY94" s="17"/>
      <c r="AZ94" s="17"/>
      <c r="BA94" s="17"/>
      <c r="BB94" s="17"/>
    </row>
    <row r="95" spans="1:54" x14ac:dyDescent="0.25">
      <c r="A95" s="15" t="s">
        <v>69</v>
      </c>
      <c r="B95" s="16">
        <f>SUM('[2]D5 Gallon Forecast'!C$299:C$301,'[2]D5 Gallon Forecast'!C$315:C$317)</f>
        <v>0</v>
      </c>
      <c r="C95" s="16">
        <f>SUM('[2]D5 Gallon Forecast'!D$299:D$301,'[2]D5 Gallon Forecast'!D$315:D$317)</f>
        <v>0</v>
      </c>
      <c r="D95" s="16">
        <f>SUM('[2]D5 Gallon Forecast'!E$299:E$301,'[2]D5 Gallon Forecast'!E$315:E$317)</f>
        <v>0</v>
      </c>
      <c r="E95" s="16">
        <f>SUM('[2]D5 Gallon Forecast'!F$299:F$301,'[2]D5 Gallon Forecast'!F$315:F$317)</f>
        <v>2752617</v>
      </c>
      <c r="F95" s="16">
        <f>SUM('[2]D5 Gallon Forecast'!G$299:G$301,'[2]D5 Gallon Forecast'!G$315:G$317)</f>
        <v>3810900</v>
      </c>
      <c r="G95" s="16">
        <f>SUM('[2]D5 Gallon Forecast'!H$299:H$301,'[2]D5 Gallon Forecast'!H$315:H$317)</f>
        <v>4226884</v>
      </c>
      <c r="H95" s="16">
        <f>SUM('[2]D5 Gallon Forecast'!I$299:I$301,'[2]D5 Gallon Forecast'!I$315:I$317)</f>
        <v>5737694</v>
      </c>
      <c r="I95" s="16">
        <f>SUM('[2]D5 Gallon Forecast'!J$299:J$301,'[2]D5 Gallon Forecast'!J$315:J$317)</f>
        <v>3948079</v>
      </c>
      <c r="J95" s="16">
        <f>SUM('[2]D5 Gallon Forecast'!K$299:K$301,'[2]D5 Gallon Forecast'!K$315:K$317)</f>
        <v>6267362</v>
      </c>
      <c r="K95" s="16">
        <f>SUM('[2]D5 Gallon Forecast'!L$299:L$301,'[2]D5 Gallon Forecast'!L$315:L$317)</f>
        <v>5351874</v>
      </c>
      <c r="L95" s="16">
        <f>SUM('[2]D5 Gallon Forecast'!M$299:M$301,'[2]D5 Gallon Forecast'!M$315:M$317)</f>
        <v>3845107</v>
      </c>
      <c r="M95" s="16">
        <f>SUM('[2]D5 Gallon Forecast'!N$299:N$301,'[2]D5 Gallon Forecast'!N$315:N$317)</f>
        <v>12668730</v>
      </c>
      <c r="N95" s="16">
        <f>SUM('[2]D5 Gallon Forecast'!O$299:O$301,'[2]D5 Gallon Forecast'!O$315:O$317)</f>
        <v>13124746</v>
      </c>
      <c r="O95" s="16">
        <f>SUM('[2]D5 Gallon Forecast'!P$299:P$301,'[2]D5 Gallon Forecast'!P$315:P$317)</f>
        <v>11734377</v>
      </c>
      <c r="P95" s="17">
        <f>SUM('[2]D5 Gallon Forecast'!Q$299:Q$301,'[2]D5 Gallon Forecast'!Q$315:Q$317)</f>
        <v>18240455.826075684</v>
      </c>
      <c r="Q95" s="17">
        <f>SUM('[2]D5 Gallon Forecast'!R$299:R$301,'[2]D5 Gallon Forecast'!R$315:R$317)</f>
        <v>17884905.287024584</v>
      </c>
      <c r="R95" s="17">
        <f>SUM('[2]D5 Gallon Forecast'!S$299:S$301,'[2]D5 Gallon Forecast'!S$315:S$317)</f>
        <v>19754214.722717676</v>
      </c>
      <c r="S95" s="17">
        <f>SUM('[2]D5 Gallon Forecast'!T$299:T$301,'[2]D5 Gallon Forecast'!T$315:T$317)</f>
        <v>20982229.930842649</v>
      </c>
      <c r="T95" s="17">
        <f>SUM('[2]D5 Gallon Forecast'!U$299:U$301,'[2]D5 Gallon Forecast'!U$315:U$317)</f>
        <v>20454273.306042053</v>
      </c>
      <c r="U95" s="17">
        <f>SUM('[2]D5 Gallon Forecast'!V$299:V$301,'[2]D5 Gallon Forecast'!V$315:V$317)</f>
        <v>22445564.04234115</v>
      </c>
      <c r="V95" s="17">
        <f>SUM('[2]D5 Gallon Forecast'!W$299:W$301,'[2]D5 Gallon Forecast'!W$315:W$317)</f>
        <v>25114364.701493073</v>
      </c>
      <c r="W95" s="17">
        <f>SUM('[2]D5 Gallon Forecast'!X$299:X$301,'[2]D5 Gallon Forecast'!X$315:X$317)</f>
        <v>26808081.252256546</v>
      </c>
      <c r="X95" s="17">
        <f>SUM('[2]D5 Gallon Forecast'!Y$299:Y$301,'[2]D5 Gallon Forecast'!Y$315:Y$317)</f>
        <v>28970603.05520384</v>
      </c>
      <c r="Y95" s="17">
        <f>SUM('[2]D5 Gallon Forecast'!Z$299:Z$301,'[2]D5 Gallon Forecast'!Z$315:Z$317)</f>
        <v>31569037.893745266</v>
      </c>
      <c r="Z95" s="17">
        <f>SUM('[2]D5 Gallon Forecast'!AA$299:AA$301,'[2]D5 Gallon Forecast'!AA$315:AA$317)</f>
        <v>32863370.007932443</v>
      </c>
      <c r="AA95" s="17">
        <f>SUM('[2]D5 Gallon Forecast'!AB$299:AB$301,'[2]D5 Gallon Forecast'!AB$315:AB$317)</f>
        <v>31321658.477415614</v>
      </c>
      <c r="AB95" s="17">
        <f>SUM('[2]D5 Gallon Forecast'!AC$299:AC$301,'[2]D5 Gallon Forecast'!AC$315:AC$317)</f>
        <v>31780628.887655102</v>
      </c>
      <c r="AC95" s="17">
        <f>SUM('[2]D5 Gallon Forecast'!AD$299:AD$301,'[2]D5 Gallon Forecast'!AD$315:AD$317)</f>
        <v>31758086.387532577</v>
      </c>
      <c r="AD95" s="17">
        <f>SUM('[2]D5 Gallon Forecast'!AE$299:AE$301,'[2]D5 Gallon Forecast'!AE$315:AE$317)</f>
        <v>32895861.245227106</v>
      </c>
      <c r="AE95" s="17">
        <f>SUM('[2]D5 Gallon Forecast'!AF$299:AF$301,'[2]D5 Gallon Forecast'!AF$315:AF$317)</f>
        <v>37029903.165541708</v>
      </c>
      <c r="AF95" s="17">
        <f>SUM('[2]D5 Gallon Forecast'!AG$299:AG$301,'[2]D5 Gallon Forecast'!AG$315:AG$317)</f>
        <v>38400829.97696761</v>
      </c>
      <c r="AG95" s="17">
        <f>SUM('[2]D5 Gallon Forecast'!AH$299:AH$301,'[2]D5 Gallon Forecast'!AH$315:AH$317)</f>
        <v>39668506.969679289</v>
      </c>
      <c r="AH95" s="17">
        <f>SUM('[2]D5 Gallon Forecast'!AI$299:AI$301,'[2]D5 Gallon Forecast'!AI$315:AI$317)</f>
        <v>41038223.756519228</v>
      </c>
      <c r="AI95" s="17">
        <f>SUM('[2]D5 Gallon Forecast'!AJ$299:AJ$301,'[2]D5 Gallon Forecast'!AJ$315:AJ$317)</f>
        <v>40809881.217573352</v>
      </c>
      <c r="AJ95" s="17">
        <f>SUM('[2]D5 Gallon Forecast'!AK$299:AK$301,'[2]D5 Gallon Forecast'!AK$315:AK$317)</f>
        <v>39750651.602283575</v>
      </c>
      <c r="AK95" s="17">
        <f>SUM('[2]D5 Gallon Forecast'!AL$299:AL$301,'[2]D5 Gallon Forecast'!AL$315:AL$317)</f>
        <v>43111375.731206305</v>
      </c>
      <c r="AL95" s="17">
        <f>SUM('[2]D5 Gallon Forecast'!AM$299:AM$301,'[2]D5 Gallon Forecast'!AM$315:AM$317)</f>
        <v>46242347.566820271</v>
      </c>
      <c r="AM95" s="17">
        <f>SUM('[2]D5 Gallon Forecast'!AN$299:AN$301,'[2]D5 Gallon Forecast'!AN$315:AN$317)</f>
        <v>57199899.596275076</v>
      </c>
      <c r="AN95" s="17">
        <f>SUM('[2]D5 Gallon Forecast'!AO$299:AO$301,'[2]D5 Gallon Forecast'!AO$315:AO$317)</f>
        <v>69760910.149313554</v>
      </c>
      <c r="AO95" s="17">
        <f>SUM('[2]D5 Gallon Forecast'!AP$299:AP$301,'[2]D5 Gallon Forecast'!AP$315:AP$317)</f>
        <v>82732221.058347195</v>
      </c>
      <c r="AP95" s="17"/>
      <c r="AQ95" s="17"/>
      <c r="AR95" s="17"/>
      <c r="AS95" s="17"/>
      <c r="AT95" s="17"/>
      <c r="AU95" s="17"/>
      <c r="AV95" s="17"/>
      <c r="AW95" s="17"/>
      <c r="AX95" s="17"/>
      <c r="AY95" s="17"/>
      <c r="AZ95" s="17"/>
      <c r="BA95" s="17"/>
      <c r="BB95" s="17"/>
    </row>
    <row r="96" spans="1:54" x14ac:dyDescent="0.25">
      <c r="A96" s="15" t="s">
        <v>70</v>
      </c>
      <c r="B96" s="16">
        <f>SUM('[2]D5 Gallon Forecast'!C$302:C$304,'[2]D5 Gallon Forecast'!C$318:C$320)</f>
        <v>0</v>
      </c>
      <c r="C96" s="16">
        <f>SUM('[2]D5 Gallon Forecast'!D$302:D$304,'[2]D5 Gallon Forecast'!D$318:D$320)</f>
        <v>0</v>
      </c>
      <c r="D96" s="16">
        <f>SUM('[2]D5 Gallon Forecast'!E$302:E$304,'[2]D5 Gallon Forecast'!E$318:E$320)</f>
        <v>631775</v>
      </c>
      <c r="E96" s="16">
        <f>SUM('[2]D5 Gallon Forecast'!F$302:F$304,'[2]D5 Gallon Forecast'!F$318:F$320)</f>
        <v>1882945</v>
      </c>
      <c r="F96" s="16">
        <f>SUM('[2]D5 Gallon Forecast'!G$302:G$304,'[2]D5 Gallon Forecast'!G$318:G$320)</f>
        <v>4437089</v>
      </c>
      <c r="G96" s="16">
        <f>SUM('[2]D5 Gallon Forecast'!H$302:H$304,'[2]D5 Gallon Forecast'!H$318:H$320)</f>
        <v>4826074</v>
      </c>
      <c r="H96" s="16">
        <f>SUM('[2]D5 Gallon Forecast'!I$302:I$304,'[2]D5 Gallon Forecast'!I$318:I$320)</f>
        <v>5101244</v>
      </c>
      <c r="I96" s="16">
        <f>SUM('[2]D5 Gallon Forecast'!J$302:J$304,'[2]D5 Gallon Forecast'!J$318:J$320)</f>
        <v>4626604</v>
      </c>
      <c r="J96" s="16">
        <f>SUM('[2]D5 Gallon Forecast'!K$302:K$304,'[2]D5 Gallon Forecast'!K$318:K$320)</f>
        <v>4910090</v>
      </c>
      <c r="K96" s="16">
        <f>SUM('[2]D5 Gallon Forecast'!L$302:L$304,'[2]D5 Gallon Forecast'!L$318:L$320)</f>
        <v>6610690</v>
      </c>
      <c r="L96" s="16">
        <f>SUM('[2]D5 Gallon Forecast'!M$302:M$304,'[2]D5 Gallon Forecast'!M$318:M$320)</f>
        <v>3624109</v>
      </c>
      <c r="M96" s="16">
        <f>SUM('[2]D5 Gallon Forecast'!N$302:N$304,'[2]D5 Gallon Forecast'!N$318:N$320)</f>
        <v>17374048</v>
      </c>
      <c r="N96" s="16">
        <f>SUM('[2]D5 Gallon Forecast'!O$302:O$304,'[2]D5 Gallon Forecast'!O$318:O$320)</f>
        <v>9012427</v>
      </c>
      <c r="O96" s="16">
        <f>SUM('[2]D5 Gallon Forecast'!P$302:P$304,'[2]D5 Gallon Forecast'!P$318:P$320)</f>
        <v>17049387</v>
      </c>
      <c r="P96" s="17">
        <f>SUM('[2]D5 Gallon Forecast'!Q$302:Q$304,'[2]D5 Gallon Forecast'!Q$318:Q$320)</f>
        <v>22975110.919163778</v>
      </c>
      <c r="Q96" s="17">
        <f>SUM('[2]D5 Gallon Forecast'!R$302:R$304,'[2]D5 Gallon Forecast'!R$318:R$320)</f>
        <v>24765649.728150818</v>
      </c>
      <c r="R96" s="17">
        <f>SUM('[2]D5 Gallon Forecast'!S$302:S$304,'[2]D5 Gallon Forecast'!S$318:S$320)</f>
        <v>27144533.275630213</v>
      </c>
      <c r="S96" s="17">
        <f>SUM('[2]D5 Gallon Forecast'!T$302:T$304,'[2]D5 Gallon Forecast'!T$318:T$320)</f>
        <v>27675541.700854462</v>
      </c>
      <c r="T96" s="17">
        <f>SUM('[2]D5 Gallon Forecast'!U$302:U$304,'[2]D5 Gallon Forecast'!U$318:U$320)</f>
        <v>28129192.005364433</v>
      </c>
      <c r="U96" s="17">
        <f>SUM('[2]D5 Gallon Forecast'!V$302:V$304,'[2]D5 Gallon Forecast'!V$318:V$320)</f>
        <v>29673625.31483981</v>
      </c>
      <c r="V96" s="17">
        <f>SUM('[2]D5 Gallon Forecast'!W$302:W$304,'[2]D5 Gallon Forecast'!W$318:W$320)</f>
        <v>32999829.280724101</v>
      </c>
      <c r="W96" s="17">
        <f>SUM('[2]D5 Gallon Forecast'!X$302:X$304,'[2]D5 Gallon Forecast'!X$318:X$320)</f>
        <v>34782829.978193775</v>
      </c>
      <c r="X96" s="17">
        <f>SUM('[2]D5 Gallon Forecast'!Y$302:Y$304,'[2]D5 Gallon Forecast'!Y$318:Y$320)</f>
        <v>37029430.570087314</v>
      </c>
      <c r="Y96" s="17">
        <f>SUM('[2]D5 Gallon Forecast'!Z$302:Z$304,'[2]D5 Gallon Forecast'!Z$318:Z$320)</f>
        <v>39924524.950047374</v>
      </c>
      <c r="Z96" s="17">
        <f>SUM('[2]D5 Gallon Forecast'!AA$302:AA$304,'[2]D5 Gallon Forecast'!AA$318:AA$320)</f>
        <v>41352182.839339919</v>
      </c>
      <c r="AA96" s="17">
        <f>SUM('[2]D5 Gallon Forecast'!AB$302:AB$304,'[2]D5 Gallon Forecast'!AB$318:AB$320)</f>
        <v>40098339.342453763</v>
      </c>
      <c r="AB96" s="17">
        <f>SUM('[2]D5 Gallon Forecast'!AC$302:AC$304,'[2]D5 Gallon Forecast'!AC$318:AC$320)</f>
        <v>40759093.911690354</v>
      </c>
      <c r="AC96" s="17">
        <f>SUM('[2]D5 Gallon Forecast'!AD$302:AD$304,'[2]D5 Gallon Forecast'!AD$318:AD$320)</f>
        <v>40951386.674253225</v>
      </c>
      <c r="AD96" s="17">
        <f>SUM('[2]D5 Gallon Forecast'!AE$302:AE$304,'[2]D5 Gallon Forecast'!AE$318:AE$320)</f>
        <v>42307284.374336489</v>
      </c>
      <c r="AE96" s="17">
        <f>SUM('[2]D5 Gallon Forecast'!AF$302:AF$304,'[2]D5 Gallon Forecast'!AF$318:AF$320)</f>
        <v>46599296.790876247</v>
      </c>
      <c r="AF96" s="17">
        <f>SUM('[2]D5 Gallon Forecast'!AG$302:AG$304,'[2]D5 Gallon Forecast'!AG$318:AG$320)</f>
        <v>48178760.153794624</v>
      </c>
      <c r="AG96" s="17">
        <f>SUM('[2]D5 Gallon Forecast'!AH$302:AH$304,'[2]D5 Gallon Forecast'!AH$318:AH$320)</f>
        <v>49648513.559844255</v>
      </c>
      <c r="AH96" s="17">
        <f>SUM('[2]D5 Gallon Forecast'!AI$302:AI$304,'[2]D5 Gallon Forecast'!AI$318:AI$320)</f>
        <v>51221600.95599293</v>
      </c>
      <c r="AI96" s="17">
        <f>SUM('[2]D5 Gallon Forecast'!AJ$302:AJ$304,'[2]D5 Gallon Forecast'!AJ$318:AJ$320)</f>
        <v>51220297.656887449</v>
      </c>
      <c r="AJ96" s="17">
        <f>SUM('[2]D5 Gallon Forecast'!AK$302:AK$304,'[2]D5 Gallon Forecast'!AK$318:AK$320)</f>
        <v>50397365.861609459</v>
      </c>
      <c r="AK96" s="17">
        <f>SUM('[2]D5 Gallon Forecast'!AL$302:AL$304,'[2]D5 Gallon Forecast'!AL$318:AL$320)</f>
        <v>56421274.10361056</v>
      </c>
      <c r="AL96" s="17">
        <f>SUM('[2]D5 Gallon Forecast'!AM$302:AM$304,'[2]D5 Gallon Forecast'!AM$318:AM$320)</f>
        <v>60620849.4446069</v>
      </c>
      <c r="AM96" s="17">
        <f>SUM('[2]D5 Gallon Forecast'!AN$302:AN$304,'[2]D5 Gallon Forecast'!AN$318:AN$320)</f>
        <v>72539247.839257717</v>
      </c>
      <c r="AN96" s="17">
        <f>SUM('[2]D5 Gallon Forecast'!AO$302:AO$304,'[2]D5 Gallon Forecast'!AO$318:AO$320)</f>
        <v>86595359.474940777</v>
      </c>
      <c r="AO96" s="17">
        <f>SUM('[2]D5 Gallon Forecast'!AP$302:AP$304,'[2]D5 Gallon Forecast'!AP$318:AP$320)</f>
        <v>104949465.69216391</v>
      </c>
      <c r="AP96" s="17"/>
      <c r="AQ96" s="17"/>
      <c r="AR96" s="17"/>
      <c r="AS96" s="17"/>
      <c r="AT96" s="17"/>
      <c r="AU96" s="17"/>
      <c r="AV96" s="17"/>
      <c r="AW96" s="17"/>
      <c r="AX96" s="17"/>
      <c r="AY96" s="17"/>
      <c r="AZ96" s="17"/>
      <c r="BA96" s="17"/>
      <c r="BB96" s="17"/>
    </row>
    <row r="97" spans="1:54" x14ac:dyDescent="0.25">
      <c r="A97" s="15" t="s">
        <v>71</v>
      </c>
      <c r="B97" s="16">
        <f>SUM('[2]D5 Gallon Forecast'!C$305:C$307,'[2]D5 Gallon Forecast'!C$321:C$323)</f>
        <v>0</v>
      </c>
      <c r="C97" s="16">
        <f>SUM('[2]D5 Gallon Forecast'!D$305:D$307,'[2]D5 Gallon Forecast'!D$321:D$323)</f>
        <v>0</v>
      </c>
      <c r="D97" s="16">
        <f>SUM('[2]D5 Gallon Forecast'!E$305:E$307,'[2]D5 Gallon Forecast'!E$321:E$323)</f>
        <v>1679382</v>
      </c>
      <c r="E97" s="16">
        <f>SUM('[2]D5 Gallon Forecast'!F$305:F$307,'[2]D5 Gallon Forecast'!F$321:F$323)</f>
        <v>4663018</v>
      </c>
      <c r="F97" s="16">
        <f>SUM('[2]D5 Gallon Forecast'!G$305:G$307,'[2]D5 Gallon Forecast'!G$321:G$323)</f>
        <v>3621050</v>
      </c>
      <c r="G97" s="16">
        <f>SUM('[2]D5 Gallon Forecast'!H$305:H$307,'[2]D5 Gallon Forecast'!H$321:H$323)</f>
        <v>6290191</v>
      </c>
      <c r="H97" s="16">
        <f>SUM('[2]D5 Gallon Forecast'!I$305:I$307,'[2]D5 Gallon Forecast'!I$321:I$323)</f>
        <v>5910524</v>
      </c>
      <c r="I97" s="16">
        <f>SUM('[2]D5 Gallon Forecast'!J$305:J$307,'[2]D5 Gallon Forecast'!J$321:J$323)</f>
        <v>6746260</v>
      </c>
      <c r="J97" s="16">
        <f>SUM('[2]D5 Gallon Forecast'!K$305:K$307,'[2]D5 Gallon Forecast'!K$321:K$323)</f>
        <v>7210695</v>
      </c>
      <c r="K97" s="16">
        <f>SUM('[2]D5 Gallon Forecast'!L$305:L$307,'[2]D5 Gallon Forecast'!L$321:L$323)</f>
        <v>3989086</v>
      </c>
      <c r="L97" s="16">
        <f>SUM('[2]D5 Gallon Forecast'!M$305:M$307,'[2]D5 Gallon Forecast'!M$321:M$323)</f>
        <v>10082181</v>
      </c>
      <c r="M97" s="16">
        <f>SUM('[2]D5 Gallon Forecast'!N$305:N$307,'[2]D5 Gallon Forecast'!N$321:N$323)</f>
        <v>20608077</v>
      </c>
      <c r="N97" s="16">
        <f>SUM('[2]D5 Gallon Forecast'!O$305:O$307,'[2]D5 Gallon Forecast'!O$321:O$323)</f>
        <v>15351445</v>
      </c>
      <c r="O97" s="17">
        <f>SUM('[2]D5 Gallon Forecast'!P$305:P$307,'[2]D5 Gallon Forecast'!P$321:P$323)</f>
        <v>23918117</v>
      </c>
      <c r="P97" s="17">
        <f>SUM('[2]D5 Gallon Forecast'!Q$305:Q$307,'[2]D5 Gallon Forecast'!Q$321:Q$323)</f>
        <v>28525978.635027241</v>
      </c>
      <c r="Q97" s="17">
        <f>SUM('[2]D5 Gallon Forecast'!R$305:R$307,'[2]D5 Gallon Forecast'!R$321:R$323)</f>
        <v>32507835.389971465</v>
      </c>
      <c r="R97" s="17">
        <f>SUM('[2]D5 Gallon Forecast'!S$305:S$307,'[2]D5 Gallon Forecast'!S$321:S$323)</f>
        <v>34996717.514808714</v>
      </c>
      <c r="S97" s="17">
        <f>SUM('[2]D5 Gallon Forecast'!T$305:T$307,'[2]D5 Gallon Forecast'!T$321:T$323)</f>
        <v>36481965.89638824</v>
      </c>
      <c r="T97" s="17">
        <f>SUM('[2]D5 Gallon Forecast'!U$305:U$307,'[2]D5 Gallon Forecast'!U$321:U$323)</f>
        <v>36592331.373186618</v>
      </c>
      <c r="U97" s="17">
        <f>SUM('[2]D5 Gallon Forecast'!V$305:V$307,'[2]D5 Gallon Forecast'!V$321:V$323)</f>
        <v>38638291.421329126</v>
      </c>
      <c r="V97" s="17">
        <f>SUM('[2]D5 Gallon Forecast'!W$305:W$307,'[2]D5 Gallon Forecast'!W$321:W$323)</f>
        <v>43469099.939638846</v>
      </c>
      <c r="W97" s="17">
        <f>SUM('[2]D5 Gallon Forecast'!X$305:X$307,'[2]D5 Gallon Forecast'!X$321:X$323)</f>
        <v>45890215.07181894</v>
      </c>
      <c r="X97" s="17">
        <f>SUM('[2]D5 Gallon Forecast'!Y$305:Y$307,'[2]D5 Gallon Forecast'!Y$321:Y$323)</f>
        <v>49149346.060957417</v>
      </c>
      <c r="Y97" s="17">
        <f>SUM('[2]D5 Gallon Forecast'!Z$305:Z$307,'[2]D5 Gallon Forecast'!Z$321:Z$323)</f>
        <v>53160793.856507808</v>
      </c>
      <c r="Z97" s="17">
        <f>SUM('[2]D5 Gallon Forecast'!AA$305:AA$307,'[2]D5 Gallon Forecast'!AA$321:AA$323)</f>
        <v>55125297.400235124</v>
      </c>
      <c r="AA97" s="17">
        <f>SUM('[2]D5 Gallon Forecast'!AB$305:AB$307,'[2]D5 Gallon Forecast'!AB$321:AB$323)</f>
        <v>53183269.779102713</v>
      </c>
      <c r="AB97" s="17">
        <f>SUM('[2]D5 Gallon Forecast'!AC$305:AC$307,'[2]D5 Gallon Forecast'!AC$321:AC$323)</f>
        <v>54009036.039094664</v>
      </c>
      <c r="AC97" s="17">
        <f>SUM('[2]D5 Gallon Forecast'!AD$305:AD$307,'[2]D5 Gallon Forecast'!AD$321:AD$323)</f>
        <v>54166801.493623808</v>
      </c>
      <c r="AD97" s="17">
        <f>SUM('[2]D5 Gallon Forecast'!AE$305:AE$307,'[2]D5 Gallon Forecast'!AE$321:AE$323)</f>
        <v>56005256.978669256</v>
      </c>
      <c r="AE97" s="17">
        <f>SUM('[2]D5 Gallon Forecast'!AF$305:AF$307,'[2]D5 Gallon Forecast'!AF$321:AF$323)</f>
        <v>62149982.429683328</v>
      </c>
      <c r="AF97" s="17">
        <f>SUM('[2]D5 Gallon Forecast'!AG$305:AG$307,'[2]D5 Gallon Forecast'!AG$321:AG$323)</f>
        <v>64328950.113601267</v>
      </c>
      <c r="AG97" s="17">
        <f>SUM('[2]D5 Gallon Forecast'!AH$305:AH$307,'[2]D5 Gallon Forecast'!AH$321:AH$323)</f>
        <v>66344358.393606633</v>
      </c>
      <c r="AH97" s="17">
        <f>SUM('[2]D5 Gallon Forecast'!AI$305:AI$307,'[2]D5 Gallon Forecast'!AI$321:AI$323)</f>
        <v>68512413.610415757</v>
      </c>
      <c r="AI97" s="17">
        <f>SUM('[2]D5 Gallon Forecast'!AJ$305:AJ$307,'[2]D5 Gallon Forecast'!AJ$321:AJ$323)</f>
        <v>68377991.694924518</v>
      </c>
      <c r="AJ97" s="17">
        <f>SUM('[2]D5 Gallon Forecast'!AK$305:AK$307,'[2]D5 Gallon Forecast'!AK$321:AK$323)</f>
        <v>67045273.777684212</v>
      </c>
      <c r="AK97" s="17">
        <f>SUM('[2]D5 Gallon Forecast'!AL$305:AL$307,'[2]D5 Gallon Forecast'!AL$321:AL$323)</f>
        <v>74251966.916890889</v>
      </c>
      <c r="AL97" s="17">
        <f>SUM('[2]D5 Gallon Forecast'!AM$305:AM$307,'[2]D5 Gallon Forecast'!AM$321:AM$323)</f>
        <v>79732734.549494088</v>
      </c>
      <c r="AM97" s="17">
        <f>SUM('[2]D5 Gallon Forecast'!AN$305:AN$307,'[2]D5 Gallon Forecast'!AN$321:AN$323)</f>
        <v>96492879.988703012</v>
      </c>
      <c r="AN97" s="17">
        <f>SUM('[2]D5 Gallon Forecast'!AO$305:AO$307,'[2]D5 Gallon Forecast'!AO$321:AO$323)</f>
        <v>116048845.21242231</v>
      </c>
      <c r="AO97" s="17">
        <f>SUM('[2]D5 Gallon Forecast'!AP$305:AP$307,'[2]D5 Gallon Forecast'!AP$321:AP$323)</f>
        <v>139591458.80582607</v>
      </c>
      <c r="AP97" s="17"/>
      <c r="AQ97" s="17"/>
      <c r="AR97" s="17"/>
      <c r="AS97" s="17"/>
      <c r="AT97" s="17"/>
      <c r="AU97" s="17"/>
      <c r="AV97" s="17"/>
      <c r="AW97" s="17"/>
      <c r="AX97" s="17"/>
      <c r="AY97" s="17"/>
      <c r="AZ97" s="17"/>
      <c r="BA97" s="17"/>
      <c r="BB97" s="17"/>
    </row>
    <row r="98" spans="1:54" x14ac:dyDescent="0.25">
      <c r="A98" s="15" t="s">
        <v>72</v>
      </c>
      <c r="B98" s="16">
        <f>SUM(B94:B97)</f>
        <v>0</v>
      </c>
      <c r="C98" s="16">
        <f t="shared" ref="C98:AO98" si="61">SUM(C94:C97)</f>
        <v>0</v>
      </c>
      <c r="D98" s="16">
        <f t="shared" si="61"/>
        <v>2311157</v>
      </c>
      <c r="E98" s="16">
        <f t="shared" si="61"/>
        <v>12093919</v>
      </c>
      <c r="F98" s="16">
        <f t="shared" si="61"/>
        <v>15992239</v>
      </c>
      <c r="G98" s="16">
        <f t="shared" si="61"/>
        <v>18111187</v>
      </c>
      <c r="H98" s="16">
        <f t="shared" si="61"/>
        <v>21019366</v>
      </c>
      <c r="I98" s="16">
        <f t="shared" si="61"/>
        <v>21401280</v>
      </c>
      <c r="J98" s="16">
        <f t="shared" si="61"/>
        <v>24537999</v>
      </c>
      <c r="K98" s="16">
        <f t="shared" si="61"/>
        <v>22154856</v>
      </c>
      <c r="L98" s="16">
        <f t="shared" si="61"/>
        <v>22407484</v>
      </c>
      <c r="M98" s="16">
        <f t="shared" si="61"/>
        <v>63522153</v>
      </c>
      <c r="N98" s="16">
        <f t="shared" si="61"/>
        <v>52308409</v>
      </c>
      <c r="O98" s="17">
        <f t="shared" si="61"/>
        <v>64025718</v>
      </c>
      <c r="P98" s="17">
        <f t="shared" si="61"/>
        <v>95242314.380266711</v>
      </c>
      <c r="Q98" s="17">
        <f t="shared" si="61"/>
        <v>97106009.35282585</v>
      </c>
      <c r="R98" s="17">
        <f t="shared" si="61"/>
        <v>106071489.77297544</v>
      </c>
      <c r="S98" s="17">
        <f t="shared" si="61"/>
        <v>110960840.36940166</v>
      </c>
      <c r="T98" s="17">
        <f t="shared" si="61"/>
        <v>110459695.87920062</v>
      </c>
      <c r="U98" s="17">
        <f t="shared" si="61"/>
        <v>118825108.88218789</v>
      </c>
      <c r="V98" s="17">
        <f t="shared" si="61"/>
        <v>132224836.80097488</v>
      </c>
      <c r="W98" s="17">
        <f t="shared" si="61"/>
        <v>140100376.54600033</v>
      </c>
      <c r="X98" s="17">
        <f t="shared" si="61"/>
        <v>150296960.14474714</v>
      </c>
      <c r="Y98" s="17">
        <f t="shared" si="61"/>
        <v>162760217.76927125</v>
      </c>
      <c r="Z98" s="17">
        <f t="shared" si="61"/>
        <v>168985707.78079498</v>
      </c>
      <c r="AA98" s="17">
        <f t="shared" si="61"/>
        <v>162567064.845725</v>
      </c>
      <c r="AB98" s="17">
        <f t="shared" si="61"/>
        <v>165121744.80850932</v>
      </c>
      <c r="AC98" s="17">
        <f t="shared" si="61"/>
        <v>165521073.15101233</v>
      </c>
      <c r="AD98" s="17">
        <f t="shared" si="61"/>
        <v>171192071.04810089</v>
      </c>
      <c r="AE98" s="17">
        <f t="shared" si="61"/>
        <v>190396821.46314439</v>
      </c>
      <c r="AF98" s="17">
        <f t="shared" si="61"/>
        <v>197112896.51484352</v>
      </c>
      <c r="AG98" s="17">
        <f t="shared" si="61"/>
        <v>203350764.63242468</v>
      </c>
      <c r="AH98" s="17">
        <f t="shared" si="61"/>
        <v>210056046.76236409</v>
      </c>
      <c r="AI98" s="17">
        <f t="shared" si="61"/>
        <v>209524980.66753781</v>
      </c>
      <c r="AJ98" s="17">
        <f t="shared" si="61"/>
        <v>205227984.64720467</v>
      </c>
      <c r="AK98" s="17">
        <f t="shared" si="61"/>
        <v>226551769.72233847</v>
      </c>
      <c r="AL98" s="17">
        <f t="shared" si="61"/>
        <v>243235662.5820308</v>
      </c>
      <c r="AM98" s="17">
        <f t="shared" si="61"/>
        <v>295359909.28621042</v>
      </c>
      <c r="AN98" s="17">
        <f t="shared" si="61"/>
        <v>355998253.16070145</v>
      </c>
      <c r="AO98" s="17">
        <f t="shared" si="61"/>
        <v>427268762.26331961</v>
      </c>
      <c r="AP98" s="17"/>
      <c r="AQ98" s="17"/>
      <c r="AR98" s="17"/>
      <c r="AS98" s="17"/>
      <c r="AT98" s="17"/>
      <c r="AU98" s="17"/>
      <c r="AV98" s="17"/>
      <c r="AW98" s="17"/>
      <c r="AX98" s="17"/>
      <c r="AY98" s="17"/>
      <c r="AZ98" s="17"/>
      <c r="BA98" s="17"/>
      <c r="BB98" s="17"/>
    </row>
    <row r="99" spans="1:54" x14ac:dyDescent="0.25">
      <c r="B99" s="18"/>
      <c r="C99" s="18"/>
      <c r="D99" s="18"/>
      <c r="E99" s="18"/>
      <c r="F99" s="19"/>
      <c r="G99" s="19"/>
      <c r="H99" s="19"/>
      <c r="I99" s="19"/>
      <c r="J99" s="19"/>
      <c r="K99" s="19"/>
      <c r="L99" s="19"/>
      <c r="M99" s="19"/>
      <c r="N99" s="19"/>
      <c r="O99" s="19"/>
      <c r="P99" s="19"/>
      <c r="Q99" s="19"/>
      <c r="R99" s="19"/>
      <c r="S99" s="19"/>
      <c r="T99" s="19"/>
      <c r="U99" s="19"/>
      <c r="V99" s="19"/>
      <c r="W99" s="19"/>
      <c r="X99" s="19"/>
      <c r="Y99" s="19"/>
      <c r="Z99" s="19"/>
      <c r="AA99" s="19"/>
      <c r="AB99" s="19"/>
      <c r="AC99" s="19"/>
      <c r="AD99" s="19"/>
      <c r="AE99" s="19"/>
      <c r="AF99" s="19"/>
      <c r="AG99" s="19"/>
      <c r="AH99" s="19"/>
      <c r="AI99" s="19"/>
      <c r="AJ99" s="19"/>
      <c r="AK99" s="19"/>
      <c r="AL99" s="19"/>
      <c r="AM99" s="19"/>
      <c r="AN99" s="19"/>
      <c r="AO99" s="19"/>
      <c r="AP99" s="19"/>
      <c r="AQ99" s="19"/>
      <c r="AR99" s="19"/>
      <c r="AS99" s="19"/>
      <c r="AT99" s="19"/>
      <c r="AU99" s="19"/>
      <c r="AV99" s="19"/>
      <c r="AW99" s="19"/>
      <c r="AX99" s="19"/>
      <c r="AY99" s="19"/>
      <c r="AZ99" s="19"/>
      <c r="BA99" s="19"/>
      <c r="BB99" s="19"/>
    </row>
    <row r="100" spans="1:54" x14ac:dyDescent="0.25">
      <c r="A100" s="14" t="s">
        <v>73</v>
      </c>
      <c r="B100" s="14">
        <f>B3</f>
        <v>2011</v>
      </c>
      <c r="C100" s="14">
        <f t="shared" ref="C100:AO100" si="62">C3</f>
        <v>2012</v>
      </c>
      <c r="D100" s="14">
        <f t="shared" si="62"/>
        <v>2013</v>
      </c>
      <c r="E100" s="14">
        <f t="shared" si="62"/>
        <v>2014</v>
      </c>
      <c r="F100" s="14">
        <f t="shared" si="62"/>
        <v>2015</v>
      </c>
      <c r="G100" s="14">
        <f t="shared" si="62"/>
        <v>2016</v>
      </c>
      <c r="H100" s="14">
        <f t="shared" si="62"/>
        <v>2017</v>
      </c>
      <c r="I100" s="14">
        <f t="shared" si="62"/>
        <v>2018</v>
      </c>
      <c r="J100" s="14">
        <f t="shared" si="62"/>
        <v>2019</v>
      </c>
      <c r="K100" s="14">
        <f t="shared" si="62"/>
        <v>2020</v>
      </c>
      <c r="L100" s="14">
        <f t="shared" si="62"/>
        <v>2021</v>
      </c>
      <c r="M100" s="14">
        <f t="shared" si="62"/>
        <v>2022</v>
      </c>
      <c r="N100" s="14">
        <f t="shared" si="62"/>
        <v>2023</v>
      </c>
      <c r="O100" s="14">
        <f t="shared" si="62"/>
        <v>2024</v>
      </c>
      <c r="P100" s="14">
        <f t="shared" si="62"/>
        <v>2025</v>
      </c>
      <c r="Q100" s="14">
        <f t="shared" si="62"/>
        <v>2026</v>
      </c>
      <c r="R100" s="14">
        <f t="shared" si="62"/>
        <v>2027</v>
      </c>
      <c r="S100" s="14">
        <f t="shared" si="62"/>
        <v>2028</v>
      </c>
      <c r="T100" s="14">
        <f t="shared" si="62"/>
        <v>2029</v>
      </c>
      <c r="U100" s="14">
        <f t="shared" si="62"/>
        <v>2030</v>
      </c>
      <c r="V100" s="14">
        <f t="shared" si="62"/>
        <v>2031</v>
      </c>
      <c r="W100" s="14">
        <f t="shared" si="62"/>
        <v>2032</v>
      </c>
      <c r="X100" s="14">
        <f t="shared" si="62"/>
        <v>2033</v>
      </c>
      <c r="Y100" s="14">
        <f t="shared" si="62"/>
        <v>2034</v>
      </c>
      <c r="Z100" s="14">
        <f t="shared" si="62"/>
        <v>2035</v>
      </c>
      <c r="AA100" s="14">
        <f t="shared" si="62"/>
        <v>2036</v>
      </c>
      <c r="AB100" s="14">
        <f t="shared" si="62"/>
        <v>2037</v>
      </c>
      <c r="AC100" s="14">
        <f t="shared" si="62"/>
        <v>2038</v>
      </c>
      <c r="AD100" s="14">
        <f t="shared" si="62"/>
        <v>2039</v>
      </c>
      <c r="AE100" s="14">
        <f t="shared" si="62"/>
        <v>2040</v>
      </c>
      <c r="AF100" s="14">
        <f t="shared" si="62"/>
        <v>2041</v>
      </c>
      <c r="AG100" s="14">
        <f t="shared" si="62"/>
        <v>2042</v>
      </c>
      <c r="AH100" s="14">
        <f t="shared" si="62"/>
        <v>2043</v>
      </c>
      <c r="AI100" s="14">
        <f t="shared" si="62"/>
        <v>2044</v>
      </c>
      <c r="AJ100" s="14">
        <f t="shared" si="62"/>
        <v>2045</v>
      </c>
      <c r="AK100" s="14">
        <f t="shared" si="62"/>
        <v>2046</v>
      </c>
      <c r="AL100" s="14">
        <f t="shared" si="62"/>
        <v>2047</v>
      </c>
      <c r="AM100" s="14">
        <f t="shared" si="62"/>
        <v>2048</v>
      </c>
      <c r="AN100" s="14">
        <f t="shared" si="62"/>
        <v>2049</v>
      </c>
      <c r="AO100" s="14">
        <f t="shared" si="62"/>
        <v>2050</v>
      </c>
      <c r="AP100" s="14"/>
      <c r="AQ100" s="14"/>
      <c r="AR100" s="14"/>
      <c r="AS100" s="14"/>
      <c r="AT100" s="14"/>
      <c r="AU100" s="14"/>
      <c r="AV100" s="14"/>
      <c r="AW100" s="14"/>
      <c r="AX100" s="14"/>
      <c r="AY100" s="14"/>
      <c r="AZ100" s="14"/>
      <c r="BA100" s="14"/>
      <c r="BB100" s="14"/>
    </row>
    <row r="101" spans="1:54" x14ac:dyDescent="0.25">
      <c r="A101" s="15" t="s">
        <v>68</v>
      </c>
      <c r="B101" s="16">
        <f>'Fuel Vol and Credit Gen'!C$15</f>
        <v>0</v>
      </c>
      <c r="C101" s="16">
        <f>'Fuel Vol and Credit Gen'!G$15</f>
        <v>0</v>
      </c>
      <c r="D101" s="16">
        <f>'Fuel Vol and Credit Gen'!K$15</f>
        <v>0</v>
      </c>
      <c r="E101" s="16">
        <f>'Fuel Vol and Credit Gen'!O$15</f>
        <v>0</v>
      </c>
      <c r="F101" s="16">
        <f>'Fuel Vol and Credit Gen'!S$15</f>
        <v>0</v>
      </c>
      <c r="G101" s="16">
        <f>'Fuel Vol and Credit Gen'!W$15</f>
        <v>0</v>
      </c>
      <c r="H101" s="16">
        <f>'Fuel Vol and Credit Gen'!AA$15</f>
        <v>0</v>
      </c>
      <c r="I101" s="16">
        <f>'Fuel Vol and Credit Gen'!AE$15</f>
        <v>0</v>
      </c>
      <c r="J101" s="16">
        <f>'Fuel Vol and Credit Gen'!AI$15</f>
        <v>107933</v>
      </c>
      <c r="K101" s="16">
        <f>'Fuel Vol and Credit Gen'!AM$15</f>
        <v>352423</v>
      </c>
      <c r="L101" s="16">
        <f>'Fuel Vol and Credit Gen'!AQ$15</f>
        <v>2427368</v>
      </c>
      <c r="M101" s="16">
        <f>'Fuel Vol and Credit Gen'!AU$15</f>
        <v>3145585</v>
      </c>
      <c r="N101" s="16">
        <f>'Fuel Vol and Credit Gen'!AY$15</f>
        <v>3650982</v>
      </c>
      <c r="O101" s="16">
        <f>'Fuel Vol and Credit Gen'!BC$15</f>
        <v>7520995</v>
      </c>
      <c r="P101" s="17">
        <f t="shared" ref="P101:AE104" si="63">P94*0.5</f>
        <v>12750384.5</v>
      </c>
      <c r="Q101" s="17">
        <f t="shared" si="63"/>
        <v>10973809.47383949</v>
      </c>
      <c r="R101" s="17">
        <f t="shared" si="63"/>
        <v>12088012.12990942</v>
      </c>
      <c r="S101" s="17">
        <f t="shared" si="63"/>
        <v>12910551.420658154</v>
      </c>
      <c r="T101" s="17">
        <f t="shared" si="63"/>
        <v>12641949.597303759</v>
      </c>
      <c r="U101" s="17">
        <f t="shared" si="63"/>
        <v>14033814.051838901</v>
      </c>
      <c r="V101" s="17">
        <f t="shared" si="63"/>
        <v>15320771.439559428</v>
      </c>
      <c r="W101" s="17">
        <f t="shared" si="63"/>
        <v>16309625.121865537</v>
      </c>
      <c r="X101" s="17">
        <f t="shared" si="63"/>
        <v>17573790.229249291</v>
      </c>
      <c r="Y101" s="17">
        <f t="shared" si="63"/>
        <v>19052930.534485403</v>
      </c>
      <c r="Z101" s="17">
        <f t="shared" si="63"/>
        <v>19822428.766643748</v>
      </c>
      <c r="AA101" s="17">
        <f>AA94*0.5</f>
        <v>18981898.623376463</v>
      </c>
      <c r="AB101" s="17">
        <f t="shared" ref="AB101:AD101" si="64">AB94*0.5</f>
        <v>19286492.9850346</v>
      </c>
      <c r="AC101" s="17">
        <f t="shared" si="64"/>
        <v>19322399.29780136</v>
      </c>
      <c r="AD101" s="17">
        <f t="shared" si="64"/>
        <v>19991834.224934019</v>
      </c>
      <c r="AE101" s="17">
        <f>AE94*0.5</f>
        <v>22308819.538521558</v>
      </c>
      <c r="AF101" s="17">
        <f t="shared" ref="AF101:AO104" si="65">AF94*0.5</f>
        <v>23102178.135240015</v>
      </c>
      <c r="AG101" s="17">
        <f t="shared" si="65"/>
        <v>23844692.854647256</v>
      </c>
      <c r="AH101" s="17">
        <f t="shared" si="65"/>
        <v>24641904.219718087</v>
      </c>
      <c r="AI101" s="17">
        <f t="shared" si="65"/>
        <v>24558405.049076252</v>
      </c>
      <c r="AJ101" s="17">
        <f t="shared" si="65"/>
        <v>24017346.702813715</v>
      </c>
      <c r="AK101" s="17">
        <f t="shared" si="65"/>
        <v>26383576.485315345</v>
      </c>
      <c r="AL101" s="17">
        <f t="shared" si="65"/>
        <v>28319865.510554768</v>
      </c>
      <c r="AM101" s="17">
        <f t="shared" si="65"/>
        <v>34563940.930987291</v>
      </c>
      <c r="AN101" s="17">
        <f t="shared" si="65"/>
        <v>41796569.162012398</v>
      </c>
      <c r="AO101" s="17">
        <f t="shared" si="65"/>
        <v>49997808.353491232</v>
      </c>
      <c r="AP101" s="17"/>
      <c r="AQ101" s="17"/>
      <c r="AR101" s="17"/>
      <c r="AS101" s="17"/>
      <c r="AT101" s="17"/>
      <c r="AU101" s="17"/>
      <c r="AV101" s="17"/>
      <c r="AW101" s="17"/>
      <c r="AX101" s="17"/>
      <c r="AY101" s="17"/>
      <c r="AZ101" s="17"/>
      <c r="BA101" s="17"/>
      <c r="BB101" s="17"/>
    </row>
    <row r="102" spans="1:54" x14ac:dyDescent="0.25">
      <c r="A102" s="15" t="s">
        <v>69</v>
      </c>
      <c r="B102" s="16">
        <f>'Fuel Vol and Credit Gen'!D$15</f>
        <v>0</v>
      </c>
      <c r="C102" s="16">
        <f>'Fuel Vol and Credit Gen'!H$15</f>
        <v>0</v>
      </c>
      <c r="D102" s="16">
        <f>'Fuel Vol and Credit Gen'!L$15</f>
        <v>0</v>
      </c>
      <c r="E102" s="16">
        <f>'Fuel Vol and Credit Gen'!P$15</f>
        <v>0</v>
      </c>
      <c r="F102" s="16">
        <f>'Fuel Vol and Credit Gen'!T$15</f>
        <v>0</v>
      </c>
      <c r="G102" s="16">
        <f>'Fuel Vol and Credit Gen'!X$15</f>
        <v>0</v>
      </c>
      <c r="H102" s="16">
        <f>'Fuel Vol and Credit Gen'!AB$15</f>
        <v>0</v>
      </c>
      <c r="I102" s="16">
        <f>'Fuel Vol and Credit Gen'!AF$15</f>
        <v>0</v>
      </c>
      <c r="J102" s="16">
        <f>'Fuel Vol and Credit Gen'!AJ$15</f>
        <v>673134</v>
      </c>
      <c r="K102" s="16">
        <f>'Fuel Vol and Credit Gen'!AN$15</f>
        <v>447211</v>
      </c>
      <c r="L102" s="16">
        <f>'Fuel Vol and Credit Gen'!AR$15</f>
        <v>4222140</v>
      </c>
      <c r="M102" s="16">
        <f>'Fuel Vol and Credit Gen'!AV$15</f>
        <v>5145704</v>
      </c>
      <c r="N102" s="16">
        <f>'Fuel Vol and Credit Gen'!AZ$15</f>
        <v>7593875</v>
      </c>
      <c r="O102" s="16">
        <f>'Fuel Vol and Credit Gen'!BD$15</f>
        <v>7566471</v>
      </c>
      <c r="P102" s="17">
        <f t="shared" si="63"/>
        <v>9120227.9130378421</v>
      </c>
      <c r="Q102" s="17">
        <f t="shared" si="63"/>
        <v>8942452.6435122918</v>
      </c>
      <c r="R102" s="17">
        <f t="shared" si="63"/>
        <v>9877107.3613588382</v>
      </c>
      <c r="S102" s="17">
        <f t="shared" si="63"/>
        <v>10491114.965421325</v>
      </c>
      <c r="T102" s="17">
        <f t="shared" si="63"/>
        <v>10227136.653021026</v>
      </c>
      <c r="U102" s="17">
        <f t="shared" si="63"/>
        <v>11222782.021170575</v>
      </c>
      <c r="V102" s="17">
        <f t="shared" si="63"/>
        <v>12557182.350746537</v>
      </c>
      <c r="W102" s="17">
        <f t="shared" si="63"/>
        <v>13404040.626128273</v>
      </c>
      <c r="X102" s="17">
        <f t="shared" si="63"/>
        <v>14485301.52760192</v>
      </c>
      <c r="Y102" s="17">
        <f t="shared" si="63"/>
        <v>15784518.946872633</v>
      </c>
      <c r="Z102" s="17">
        <f t="shared" si="63"/>
        <v>16431685.003966222</v>
      </c>
      <c r="AA102" s="17">
        <f t="shared" si="63"/>
        <v>15660829.238707807</v>
      </c>
      <c r="AB102" s="17">
        <f t="shared" si="63"/>
        <v>15890314.443827551</v>
      </c>
      <c r="AC102" s="17">
        <f t="shared" si="63"/>
        <v>15879043.193766288</v>
      </c>
      <c r="AD102" s="17">
        <f t="shared" si="63"/>
        <v>16447930.622613553</v>
      </c>
      <c r="AE102" s="17">
        <f t="shared" si="63"/>
        <v>18514951.582770854</v>
      </c>
      <c r="AF102" s="17">
        <f t="shared" si="65"/>
        <v>19200414.988483805</v>
      </c>
      <c r="AG102" s="17">
        <f t="shared" si="65"/>
        <v>19834253.484839644</v>
      </c>
      <c r="AH102" s="17">
        <f t="shared" si="65"/>
        <v>20519111.878259614</v>
      </c>
      <c r="AI102" s="17">
        <f t="shared" si="65"/>
        <v>20404940.608786676</v>
      </c>
      <c r="AJ102" s="17">
        <f t="shared" si="65"/>
        <v>19875325.801141787</v>
      </c>
      <c r="AK102" s="17">
        <f t="shared" si="65"/>
        <v>21555687.865603153</v>
      </c>
      <c r="AL102" s="17">
        <f t="shared" si="65"/>
        <v>23121173.783410136</v>
      </c>
      <c r="AM102" s="17">
        <f t="shared" si="65"/>
        <v>28599949.798137538</v>
      </c>
      <c r="AN102" s="17">
        <f t="shared" si="65"/>
        <v>34880455.074656777</v>
      </c>
      <c r="AO102" s="17">
        <f t="shared" si="65"/>
        <v>41366110.529173598</v>
      </c>
      <c r="AP102" s="17"/>
      <c r="AQ102" s="17"/>
      <c r="AR102" s="17"/>
      <c r="AS102" s="17"/>
      <c r="AT102" s="17"/>
      <c r="AU102" s="17"/>
      <c r="AV102" s="17"/>
      <c r="AW102" s="17"/>
      <c r="AX102" s="17"/>
      <c r="AY102" s="17"/>
      <c r="AZ102" s="17"/>
      <c r="BA102" s="17"/>
      <c r="BB102" s="17"/>
    </row>
    <row r="103" spans="1:54" x14ac:dyDescent="0.25">
      <c r="A103" s="15" t="s">
        <v>70</v>
      </c>
      <c r="B103" s="16">
        <f>'Fuel Vol and Credit Gen'!E$15</f>
        <v>0</v>
      </c>
      <c r="C103" s="16">
        <f>'Fuel Vol and Credit Gen'!I$15</f>
        <v>0</v>
      </c>
      <c r="D103" s="16">
        <f>'Fuel Vol and Credit Gen'!M$15</f>
        <v>0</v>
      </c>
      <c r="E103" s="16">
        <f>'Fuel Vol and Credit Gen'!Q$15</f>
        <v>0</v>
      </c>
      <c r="F103" s="16">
        <f>'Fuel Vol and Credit Gen'!U$15</f>
        <v>0</v>
      </c>
      <c r="G103" s="16">
        <f>'Fuel Vol and Credit Gen'!Y$15</f>
        <v>0</v>
      </c>
      <c r="H103" s="16">
        <f>'Fuel Vol and Credit Gen'!AC$15</f>
        <v>0</v>
      </c>
      <c r="I103" s="16">
        <f>'Fuel Vol and Credit Gen'!AG$15</f>
        <v>0</v>
      </c>
      <c r="J103" s="16">
        <f>'Fuel Vol and Credit Gen'!AK$15</f>
        <v>175948</v>
      </c>
      <c r="K103" s="16">
        <f>'Fuel Vol and Credit Gen'!AO$15</f>
        <v>815855</v>
      </c>
      <c r="L103" s="16">
        <f>'Fuel Vol and Credit Gen'!AS$15</f>
        <v>2350926</v>
      </c>
      <c r="M103" s="16">
        <f>'Fuel Vol and Credit Gen'!AW$15</f>
        <v>1682809</v>
      </c>
      <c r="N103" s="16">
        <f>'Fuel Vol and Credit Gen'!BA$15</f>
        <v>13728337</v>
      </c>
      <c r="O103" s="17">
        <f t="shared" ref="O103:Z104" si="66">O96*0.5</f>
        <v>8524693.5</v>
      </c>
      <c r="P103" s="17">
        <f t="shared" si="66"/>
        <v>11487555.459581889</v>
      </c>
      <c r="Q103" s="17">
        <f t="shared" si="66"/>
        <v>12382824.864075409</v>
      </c>
      <c r="R103" s="17">
        <f t="shared" si="66"/>
        <v>13572266.637815107</v>
      </c>
      <c r="S103" s="17">
        <f t="shared" si="66"/>
        <v>13837770.850427231</v>
      </c>
      <c r="T103" s="17">
        <f t="shared" si="66"/>
        <v>14064596.002682216</v>
      </c>
      <c r="U103" s="17">
        <f t="shared" si="66"/>
        <v>14836812.657419905</v>
      </c>
      <c r="V103" s="17">
        <f t="shared" si="66"/>
        <v>16499914.64036205</v>
      </c>
      <c r="W103" s="17">
        <f t="shared" si="66"/>
        <v>17391414.989096887</v>
      </c>
      <c r="X103" s="17">
        <f t="shared" si="66"/>
        <v>18514715.285043657</v>
      </c>
      <c r="Y103" s="17">
        <f t="shared" si="66"/>
        <v>19962262.475023687</v>
      </c>
      <c r="Z103" s="17">
        <f t="shared" si="66"/>
        <v>20676091.41966996</v>
      </c>
      <c r="AA103" s="17">
        <f t="shared" si="63"/>
        <v>20049169.671226881</v>
      </c>
      <c r="AB103" s="17">
        <f t="shared" si="63"/>
        <v>20379546.955845177</v>
      </c>
      <c r="AC103" s="17">
        <f t="shared" si="63"/>
        <v>20475693.337126613</v>
      </c>
      <c r="AD103" s="17">
        <f t="shared" si="63"/>
        <v>21153642.187168244</v>
      </c>
      <c r="AE103" s="17">
        <f t="shared" si="63"/>
        <v>23299648.395438123</v>
      </c>
      <c r="AF103" s="17">
        <f t="shared" si="65"/>
        <v>24089380.076897312</v>
      </c>
      <c r="AG103" s="17">
        <f t="shared" si="65"/>
        <v>24824256.779922128</v>
      </c>
      <c r="AH103" s="17">
        <f t="shared" si="65"/>
        <v>25610800.477996465</v>
      </c>
      <c r="AI103" s="17">
        <f t="shared" si="65"/>
        <v>25610148.828443725</v>
      </c>
      <c r="AJ103" s="17">
        <f t="shared" si="65"/>
        <v>25198682.930804729</v>
      </c>
      <c r="AK103" s="17">
        <f t="shared" si="65"/>
        <v>28210637.05180528</v>
      </c>
      <c r="AL103" s="17">
        <f t="shared" si="65"/>
        <v>30310424.72230345</v>
      </c>
      <c r="AM103" s="17">
        <f t="shared" si="65"/>
        <v>36269623.919628859</v>
      </c>
      <c r="AN103" s="17">
        <f t="shared" si="65"/>
        <v>43297679.737470388</v>
      </c>
      <c r="AO103" s="17">
        <f t="shared" si="65"/>
        <v>52474732.846081957</v>
      </c>
      <c r="AP103" s="17"/>
      <c r="AQ103" s="17"/>
      <c r="AR103" s="17"/>
      <c r="AS103" s="17"/>
      <c r="AT103" s="17"/>
      <c r="AU103" s="17"/>
      <c r="AV103" s="17"/>
      <c r="AW103" s="17"/>
      <c r="AX103" s="17"/>
      <c r="AY103" s="17"/>
      <c r="AZ103" s="17"/>
      <c r="BA103" s="17"/>
      <c r="BB103" s="17"/>
    </row>
    <row r="104" spans="1:54" x14ac:dyDescent="0.25">
      <c r="A104" s="15" t="s">
        <v>71</v>
      </c>
      <c r="B104" s="16">
        <f>'Fuel Vol and Credit Gen'!F$15</f>
        <v>0</v>
      </c>
      <c r="C104" s="16">
        <f>'Fuel Vol and Credit Gen'!J$15</f>
        <v>0</v>
      </c>
      <c r="D104" s="16">
        <f>'Fuel Vol and Credit Gen'!N$15</f>
        <v>0</v>
      </c>
      <c r="E104" s="16">
        <f>'Fuel Vol and Credit Gen'!R$15</f>
        <v>0</v>
      </c>
      <c r="F104" s="16">
        <f>'Fuel Vol and Credit Gen'!V$15</f>
        <v>0</v>
      </c>
      <c r="G104" s="16">
        <f>'Fuel Vol and Credit Gen'!Z$15</f>
        <v>0</v>
      </c>
      <c r="H104" s="16">
        <f>'Fuel Vol and Credit Gen'!AD$15</f>
        <v>0</v>
      </c>
      <c r="I104" s="16">
        <f>'Fuel Vol and Credit Gen'!AH$15</f>
        <v>170876</v>
      </c>
      <c r="J104" s="16">
        <f>'Fuel Vol and Credit Gen'!AL$15</f>
        <v>290046</v>
      </c>
      <c r="K104" s="16">
        <f>'Fuel Vol and Credit Gen'!AP$15</f>
        <v>591098</v>
      </c>
      <c r="L104" s="16">
        <f>'Fuel Vol and Credit Gen'!AT$15</f>
        <v>2107524</v>
      </c>
      <c r="M104" s="16">
        <f>'Fuel Vol and Credit Gen'!AX$15</f>
        <v>2190902</v>
      </c>
      <c r="N104" s="16">
        <f>'Fuel Vol and Credit Gen'!BB$15</f>
        <v>6221948</v>
      </c>
      <c r="O104" s="17">
        <f t="shared" si="66"/>
        <v>11959058.5</v>
      </c>
      <c r="P104" s="17">
        <f t="shared" si="66"/>
        <v>14262989.31751362</v>
      </c>
      <c r="Q104" s="17">
        <f t="shared" si="66"/>
        <v>16253917.694985732</v>
      </c>
      <c r="R104" s="17">
        <f t="shared" si="66"/>
        <v>17498358.757404357</v>
      </c>
      <c r="S104" s="17">
        <f t="shared" si="66"/>
        <v>18240982.94819412</v>
      </c>
      <c r="T104" s="17">
        <f t="shared" si="66"/>
        <v>18296165.686593309</v>
      </c>
      <c r="U104" s="17">
        <f t="shared" si="66"/>
        <v>19319145.710664563</v>
      </c>
      <c r="V104" s="17">
        <f t="shared" si="66"/>
        <v>21734549.969819423</v>
      </c>
      <c r="W104" s="17">
        <f t="shared" si="66"/>
        <v>22945107.53590947</v>
      </c>
      <c r="X104" s="17">
        <f t="shared" si="66"/>
        <v>24574673.030478708</v>
      </c>
      <c r="Y104" s="17">
        <f t="shared" si="66"/>
        <v>26580396.928253904</v>
      </c>
      <c r="Z104" s="17">
        <f t="shared" si="66"/>
        <v>27562648.700117562</v>
      </c>
      <c r="AA104" s="17">
        <f t="shared" si="63"/>
        <v>26591634.889551356</v>
      </c>
      <c r="AB104" s="17">
        <f t="shared" si="63"/>
        <v>27004518.019547332</v>
      </c>
      <c r="AC104" s="17">
        <f t="shared" si="63"/>
        <v>27083400.746811904</v>
      </c>
      <c r="AD104" s="17">
        <f t="shared" si="63"/>
        <v>28002628.489334628</v>
      </c>
      <c r="AE104" s="17">
        <f t="shared" si="63"/>
        <v>31074991.214841664</v>
      </c>
      <c r="AF104" s="17">
        <f t="shared" si="65"/>
        <v>32164475.056800634</v>
      </c>
      <c r="AG104" s="17">
        <f t="shared" si="65"/>
        <v>33172179.196803316</v>
      </c>
      <c r="AH104" s="17">
        <f t="shared" si="65"/>
        <v>34256206.805207878</v>
      </c>
      <c r="AI104" s="17">
        <f t="shared" si="65"/>
        <v>34188995.847462259</v>
      </c>
      <c r="AJ104" s="17">
        <f t="shared" si="65"/>
        <v>33522636.888842106</v>
      </c>
      <c r="AK104" s="17">
        <f t="shared" si="65"/>
        <v>37125983.458445445</v>
      </c>
      <c r="AL104" s="17">
        <f t="shared" si="65"/>
        <v>39866367.274747044</v>
      </c>
      <c r="AM104" s="17">
        <f t="shared" si="65"/>
        <v>48246439.994351506</v>
      </c>
      <c r="AN104" s="17">
        <f t="shared" si="65"/>
        <v>58024422.606211156</v>
      </c>
      <c r="AO104" s="17">
        <f t="shared" si="65"/>
        <v>69795729.402913034</v>
      </c>
      <c r="AP104" s="17"/>
      <c r="AQ104" s="17"/>
      <c r="AR104" s="17"/>
      <c r="AS104" s="17"/>
      <c r="AT104" s="17"/>
      <c r="AU104" s="17"/>
      <c r="AV104" s="17"/>
      <c r="AW104" s="17"/>
      <c r="AX104" s="17"/>
      <c r="AY104" s="17"/>
      <c r="AZ104" s="17"/>
      <c r="BA104" s="17"/>
      <c r="BB104" s="17"/>
    </row>
    <row r="105" spans="1:54" x14ac:dyDescent="0.25">
      <c r="A105" s="15" t="s">
        <v>72</v>
      </c>
      <c r="B105" s="16">
        <f>SUM(B101:B104)</f>
        <v>0</v>
      </c>
      <c r="C105" s="16">
        <f t="shared" ref="C105:AO105" si="67">SUM(C101:C104)</f>
        <v>0</v>
      </c>
      <c r="D105" s="16">
        <f t="shared" si="67"/>
        <v>0</v>
      </c>
      <c r="E105" s="16">
        <f t="shared" si="67"/>
        <v>0</v>
      </c>
      <c r="F105" s="16">
        <f t="shared" si="67"/>
        <v>0</v>
      </c>
      <c r="G105" s="16">
        <f t="shared" si="67"/>
        <v>0</v>
      </c>
      <c r="H105" s="16">
        <f t="shared" si="67"/>
        <v>0</v>
      </c>
      <c r="I105" s="16">
        <f t="shared" si="67"/>
        <v>170876</v>
      </c>
      <c r="J105" s="16">
        <f t="shared" si="67"/>
        <v>1247061</v>
      </c>
      <c r="K105" s="16">
        <f t="shared" si="67"/>
        <v>2206587</v>
      </c>
      <c r="L105" s="16">
        <f t="shared" si="67"/>
        <v>11107958</v>
      </c>
      <c r="M105" s="16">
        <f t="shared" si="67"/>
        <v>12165000</v>
      </c>
      <c r="N105" s="16">
        <f t="shared" si="67"/>
        <v>31195142</v>
      </c>
      <c r="O105" s="17">
        <f t="shared" si="67"/>
        <v>35571218</v>
      </c>
      <c r="P105" s="17">
        <f t="shared" si="67"/>
        <v>47621157.190133356</v>
      </c>
      <c r="Q105" s="17">
        <f t="shared" si="67"/>
        <v>48553004.676412925</v>
      </c>
      <c r="R105" s="17">
        <f t="shared" si="67"/>
        <v>53035744.886487722</v>
      </c>
      <c r="S105" s="17">
        <f t="shared" si="67"/>
        <v>55480420.184700832</v>
      </c>
      <c r="T105" s="17">
        <f t="shared" si="67"/>
        <v>55229847.939600311</v>
      </c>
      <c r="U105" s="17">
        <f t="shared" si="67"/>
        <v>59412554.441093944</v>
      </c>
      <c r="V105" s="17">
        <f t="shared" si="67"/>
        <v>66112418.400487438</v>
      </c>
      <c r="W105" s="17">
        <f t="shared" si="67"/>
        <v>70050188.273000166</v>
      </c>
      <c r="X105" s="17">
        <f t="shared" si="67"/>
        <v>75148480.072373569</v>
      </c>
      <c r="Y105" s="17">
        <f t="shared" si="67"/>
        <v>81380108.884635627</v>
      </c>
      <c r="Z105" s="17">
        <f t="shared" si="67"/>
        <v>84492853.890397489</v>
      </c>
      <c r="AA105" s="17">
        <f t="shared" si="67"/>
        <v>81283532.4228625</v>
      </c>
      <c r="AB105" s="17">
        <f t="shared" si="67"/>
        <v>82560872.40425466</v>
      </c>
      <c r="AC105" s="17">
        <f t="shared" si="67"/>
        <v>82760536.575506166</v>
      </c>
      <c r="AD105" s="17">
        <f t="shared" si="67"/>
        <v>85596035.524050444</v>
      </c>
      <c r="AE105" s="17">
        <f t="shared" si="67"/>
        <v>95198410.731572196</v>
      </c>
      <c r="AF105" s="17">
        <f t="shared" si="67"/>
        <v>98556448.257421762</v>
      </c>
      <c r="AG105" s="17">
        <f t="shared" si="67"/>
        <v>101675382.31621234</v>
      </c>
      <c r="AH105" s="17">
        <f t="shared" si="67"/>
        <v>105028023.38118204</v>
      </c>
      <c r="AI105" s="17">
        <f t="shared" si="67"/>
        <v>104762490.3337689</v>
      </c>
      <c r="AJ105" s="17">
        <f t="shared" si="67"/>
        <v>102613992.32360233</v>
      </c>
      <c r="AK105" s="17">
        <f t="shared" si="67"/>
        <v>113275884.86116923</v>
      </c>
      <c r="AL105" s="17">
        <f t="shared" si="67"/>
        <v>121617831.2910154</v>
      </c>
      <c r="AM105" s="17">
        <f t="shared" si="67"/>
        <v>147679954.64310521</v>
      </c>
      <c r="AN105" s="17">
        <f t="shared" si="67"/>
        <v>177999126.58035073</v>
      </c>
      <c r="AO105" s="17">
        <f t="shared" si="67"/>
        <v>213634381.13165981</v>
      </c>
      <c r="AP105" s="17"/>
      <c r="AQ105" s="17"/>
      <c r="AR105" s="17"/>
      <c r="AS105" s="17"/>
      <c r="AT105" s="17"/>
      <c r="AU105" s="17"/>
      <c r="AV105" s="17"/>
      <c r="AW105" s="17"/>
      <c r="AX105" s="17"/>
      <c r="AY105" s="17"/>
      <c r="AZ105" s="17"/>
      <c r="BA105" s="17"/>
      <c r="BB105" s="17"/>
    </row>
    <row r="106" spans="1:54" x14ac:dyDescent="0.25">
      <c r="J106" s="21">
        <f t="shared" ref="J106:AO106" si="68">J105/J98</f>
        <v>5.0821625675345407E-2</v>
      </c>
      <c r="K106" s="21">
        <f t="shared" si="68"/>
        <v>9.9598345392089213E-2</v>
      </c>
      <c r="L106" s="21">
        <f t="shared" si="68"/>
        <v>0.49572535676026813</v>
      </c>
      <c r="M106" s="21">
        <f t="shared" si="68"/>
        <v>0.19150799249515363</v>
      </c>
      <c r="N106" s="21">
        <f t="shared" si="68"/>
        <v>0.59636954356612148</v>
      </c>
      <c r="O106" s="21">
        <f t="shared" si="68"/>
        <v>0.55557702609442039</v>
      </c>
      <c r="P106" s="21">
        <f t="shared" si="68"/>
        <v>0.5</v>
      </c>
      <c r="Q106" s="21">
        <f t="shared" si="68"/>
        <v>0.5</v>
      </c>
      <c r="R106" s="21">
        <f t="shared" si="68"/>
        <v>0.5</v>
      </c>
      <c r="S106" s="21">
        <f t="shared" si="68"/>
        <v>0.5</v>
      </c>
      <c r="T106" s="21">
        <f t="shared" si="68"/>
        <v>0.5</v>
      </c>
      <c r="U106" s="21">
        <f t="shared" si="68"/>
        <v>0.5</v>
      </c>
      <c r="V106" s="21">
        <f t="shared" si="68"/>
        <v>0.5</v>
      </c>
      <c r="W106" s="21">
        <f t="shared" si="68"/>
        <v>0.5</v>
      </c>
      <c r="X106" s="21">
        <f t="shared" si="68"/>
        <v>0.5</v>
      </c>
      <c r="Y106" s="21">
        <f t="shared" si="68"/>
        <v>0.5</v>
      </c>
      <c r="Z106" s="21">
        <f t="shared" si="68"/>
        <v>0.5</v>
      </c>
      <c r="AA106" s="21">
        <f t="shared" si="68"/>
        <v>0.5</v>
      </c>
      <c r="AB106" s="21">
        <f t="shared" si="68"/>
        <v>0.5</v>
      </c>
      <c r="AC106" s="21">
        <f t="shared" si="68"/>
        <v>0.5</v>
      </c>
      <c r="AD106" s="21">
        <f t="shared" si="68"/>
        <v>0.5</v>
      </c>
      <c r="AE106" s="21">
        <f t="shared" si="68"/>
        <v>0.5</v>
      </c>
      <c r="AF106" s="21">
        <f t="shared" si="68"/>
        <v>0.5</v>
      </c>
      <c r="AG106" s="21">
        <f t="shared" si="68"/>
        <v>0.5</v>
      </c>
      <c r="AH106" s="21">
        <f t="shared" si="68"/>
        <v>0.5</v>
      </c>
      <c r="AI106" s="21">
        <f t="shared" si="68"/>
        <v>0.5</v>
      </c>
      <c r="AJ106" s="21">
        <f t="shared" si="68"/>
        <v>0.5</v>
      </c>
      <c r="AK106" s="21">
        <f t="shared" si="68"/>
        <v>0.5</v>
      </c>
      <c r="AL106" s="21">
        <f t="shared" si="68"/>
        <v>0.5</v>
      </c>
      <c r="AM106" s="21">
        <f t="shared" si="68"/>
        <v>0.5</v>
      </c>
      <c r="AN106" s="21">
        <f t="shared" si="68"/>
        <v>0.5</v>
      </c>
      <c r="AO106" s="21">
        <f t="shared" si="68"/>
        <v>0.5</v>
      </c>
      <c r="AP106" s="21"/>
      <c r="AQ106" s="21"/>
      <c r="AR106" s="21"/>
      <c r="AS106" s="21"/>
      <c r="AT106" s="21"/>
      <c r="AU106" s="21"/>
      <c r="AV106" s="21"/>
      <c r="AW106" s="21"/>
      <c r="AX106" s="21"/>
      <c r="AY106" s="21"/>
      <c r="AZ106" s="21"/>
      <c r="BA106" s="21"/>
      <c r="BB106" s="21"/>
    </row>
    <row r="107" spans="1:54" ht="18" x14ac:dyDescent="0.25">
      <c r="A107" s="11" t="s">
        <v>80</v>
      </c>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c r="AA107" s="12"/>
      <c r="AB107" s="12"/>
      <c r="AC107" s="12"/>
      <c r="AD107" s="12"/>
      <c r="AE107" s="12"/>
      <c r="AF107" s="12"/>
      <c r="AG107" s="12"/>
      <c r="AH107" s="12"/>
      <c r="AI107" s="12"/>
      <c r="AJ107" s="12"/>
      <c r="AK107" s="12"/>
      <c r="AL107" s="12"/>
      <c r="AM107" s="12"/>
      <c r="AN107" s="12"/>
      <c r="AO107" s="12"/>
      <c r="AP107" s="12"/>
      <c r="AQ107" s="12"/>
      <c r="AR107" s="12"/>
      <c r="AS107" s="12"/>
      <c r="AT107" s="12"/>
      <c r="AU107" s="12"/>
      <c r="AV107" s="12"/>
      <c r="AW107" s="12"/>
      <c r="AX107" s="12"/>
      <c r="AY107" s="12"/>
      <c r="AZ107" s="12"/>
      <c r="BA107" s="12"/>
      <c r="BB107" s="12"/>
    </row>
    <row r="108" spans="1:54" x14ac:dyDescent="0.25">
      <c r="A108" s="14" t="s">
        <v>67</v>
      </c>
      <c r="B108" s="14">
        <f>B3</f>
        <v>2011</v>
      </c>
      <c r="C108" s="14">
        <f t="shared" ref="C108:AO108" si="69">C3</f>
        <v>2012</v>
      </c>
      <c r="D108" s="14">
        <f t="shared" si="69"/>
        <v>2013</v>
      </c>
      <c r="E108" s="14">
        <f t="shared" si="69"/>
        <v>2014</v>
      </c>
      <c r="F108" s="14">
        <f t="shared" si="69"/>
        <v>2015</v>
      </c>
      <c r="G108" s="14">
        <f t="shared" si="69"/>
        <v>2016</v>
      </c>
      <c r="H108" s="14">
        <f t="shared" si="69"/>
        <v>2017</v>
      </c>
      <c r="I108" s="14">
        <f t="shared" si="69"/>
        <v>2018</v>
      </c>
      <c r="J108" s="14">
        <f t="shared" si="69"/>
        <v>2019</v>
      </c>
      <c r="K108" s="14">
        <f t="shared" si="69"/>
        <v>2020</v>
      </c>
      <c r="L108" s="14">
        <f t="shared" si="69"/>
        <v>2021</v>
      </c>
      <c r="M108" s="14">
        <f t="shared" si="69"/>
        <v>2022</v>
      </c>
      <c r="N108" s="14">
        <f t="shared" si="69"/>
        <v>2023</v>
      </c>
      <c r="O108" s="14">
        <f t="shared" si="69"/>
        <v>2024</v>
      </c>
      <c r="P108" s="14">
        <f t="shared" si="69"/>
        <v>2025</v>
      </c>
      <c r="Q108" s="14">
        <f t="shared" si="69"/>
        <v>2026</v>
      </c>
      <c r="R108" s="14">
        <f t="shared" si="69"/>
        <v>2027</v>
      </c>
      <c r="S108" s="14">
        <f t="shared" si="69"/>
        <v>2028</v>
      </c>
      <c r="T108" s="14">
        <f t="shared" si="69"/>
        <v>2029</v>
      </c>
      <c r="U108" s="14">
        <f t="shared" si="69"/>
        <v>2030</v>
      </c>
      <c r="V108" s="14">
        <f t="shared" si="69"/>
        <v>2031</v>
      </c>
      <c r="W108" s="14">
        <f t="shared" si="69"/>
        <v>2032</v>
      </c>
      <c r="X108" s="14">
        <f t="shared" si="69"/>
        <v>2033</v>
      </c>
      <c r="Y108" s="14">
        <f t="shared" si="69"/>
        <v>2034</v>
      </c>
      <c r="Z108" s="14">
        <f t="shared" si="69"/>
        <v>2035</v>
      </c>
      <c r="AA108" s="14">
        <f t="shared" si="69"/>
        <v>2036</v>
      </c>
      <c r="AB108" s="14">
        <f t="shared" si="69"/>
        <v>2037</v>
      </c>
      <c r="AC108" s="14">
        <f t="shared" si="69"/>
        <v>2038</v>
      </c>
      <c r="AD108" s="14">
        <f t="shared" si="69"/>
        <v>2039</v>
      </c>
      <c r="AE108" s="14">
        <f t="shared" si="69"/>
        <v>2040</v>
      </c>
      <c r="AF108" s="14">
        <f t="shared" si="69"/>
        <v>2041</v>
      </c>
      <c r="AG108" s="14">
        <f t="shared" si="69"/>
        <v>2042</v>
      </c>
      <c r="AH108" s="14">
        <f t="shared" si="69"/>
        <v>2043</v>
      </c>
      <c r="AI108" s="14">
        <f t="shared" si="69"/>
        <v>2044</v>
      </c>
      <c r="AJ108" s="14">
        <f t="shared" si="69"/>
        <v>2045</v>
      </c>
      <c r="AK108" s="14">
        <f t="shared" si="69"/>
        <v>2046</v>
      </c>
      <c r="AL108" s="14">
        <f t="shared" si="69"/>
        <v>2047</v>
      </c>
      <c r="AM108" s="14">
        <f t="shared" si="69"/>
        <v>2048</v>
      </c>
      <c r="AN108" s="14">
        <f t="shared" si="69"/>
        <v>2049</v>
      </c>
      <c r="AO108" s="14">
        <f t="shared" si="69"/>
        <v>2050</v>
      </c>
      <c r="AP108" s="14"/>
      <c r="AQ108" s="14"/>
      <c r="AR108" s="14"/>
      <c r="AS108" s="14"/>
      <c r="AT108" s="14"/>
      <c r="AU108" s="14"/>
      <c r="AV108" s="14"/>
      <c r="AW108" s="14"/>
      <c r="AX108" s="14"/>
      <c r="AY108" s="14"/>
      <c r="AZ108" s="14"/>
      <c r="BA108" s="14"/>
      <c r="BB108" s="14"/>
    </row>
    <row r="109" spans="1:54" x14ac:dyDescent="0.25">
      <c r="A109" s="15" t="s">
        <v>68</v>
      </c>
      <c r="B109" s="16">
        <f>SUM('[2]D5 Gallon Forecast'!C$408:C$410)</f>
        <v>0</v>
      </c>
      <c r="C109" s="16">
        <f>SUM('[2]D5 Gallon Forecast'!D$408:D$410)</f>
        <v>0</v>
      </c>
      <c r="D109" s="16">
        <f>SUM('[2]D5 Gallon Forecast'!E$408:E$410)</f>
        <v>0</v>
      </c>
      <c r="E109" s="16">
        <f>SUM('[2]D5 Gallon Forecast'!F$408:F$410)</f>
        <v>0</v>
      </c>
      <c r="F109" s="16">
        <f>SUM('[2]D5 Gallon Forecast'!G$408:G$410)</f>
        <v>0</v>
      </c>
      <c r="G109" s="16">
        <f>SUM('[2]D5 Gallon Forecast'!H$408:H$410)</f>
        <v>0</v>
      </c>
      <c r="H109" s="16">
        <f>SUM('[2]D5 Gallon Forecast'!I$408:I$410)</f>
        <v>0</v>
      </c>
      <c r="I109" s="16">
        <f>SUM('[2]D5 Gallon Forecast'!J$408:J$410)</f>
        <v>0</v>
      </c>
      <c r="J109" s="16">
        <f>SUM('[2]D5 Gallon Forecast'!K$408:K$410)</f>
        <v>955371</v>
      </c>
      <c r="K109" s="16">
        <f>SUM('[2]D5 Gallon Forecast'!L$408:L$410)</f>
        <v>628681</v>
      </c>
      <c r="L109" s="16">
        <f>SUM('[2]D5 Gallon Forecast'!M$408:M$410)</f>
        <v>402174</v>
      </c>
      <c r="M109" s="16">
        <f>SUM('[2]D5 Gallon Forecast'!N$408:N$410)</f>
        <v>911503</v>
      </c>
      <c r="N109" s="25">
        <f>SUM('[2]D5 Gallon Forecast'!O$408:O$410)</f>
        <v>982603</v>
      </c>
      <c r="O109" s="25">
        <f>SUM('[2]D5 Gallon Forecast'!P$408:P$410)</f>
        <v>592238</v>
      </c>
      <c r="P109" s="17">
        <f>SUM('[2]D5 Gallon Forecast'!Q$408:Q$410)</f>
        <v>59839</v>
      </c>
      <c r="Q109" s="17">
        <f>SUM('[2]D5 Gallon Forecast'!R$408:R$410)</f>
        <v>0</v>
      </c>
      <c r="R109" s="17">
        <f>SUM('[2]D5 Gallon Forecast'!S$408:S$410)</f>
        <v>0</v>
      </c>
      <c r="S109" s="17">
        <f>SUM('[2]D5 Gallon Forecast'!T$408:T$410)</f>
        <v>0</v>
      </c>
      <c r="T109" s="17">
        <f>SUM('[2]D5 Gallon Forecast'!U$408:U$410)</f>
        <v>0</v>
      </c>
      <c r="U109" s="17">
        <f>SUM('[2]D5 Gallon Forecast'!V$408:V$410)</f>
        <v>0</v>
      </c>
      <c r="V109" s="17">
        <f>SUM('[2]D5 Gallon Forecast'!W$408:W$410)</f>
        <v>0</v>
      </c>
      <c r="W109" s="17">
        <f>SUM('[2]D5 Gallon Forecast'!X$408:X$410)</f>
        <v>0</v>
      </c>
      <c r="X109" s="17">
        <f>SUM('[2]D5 Gallon Forecast'!Y$408:Y$410)</f>
        <v>0</v>
      </c>
      <c r="Y109" s="17">
        <f>SUM('[2]D5 Gallon Forecast'!Z$408:Z$410)</f>
        <v>0</v>
      </c>
      <c r="Z109" s="17">
        <f>SUM('[2]D5 Gallon Forecast'!AA$408:AA$410)</f>
        <v>0</v>
      </c>
      <c r="AA109" s="17">
        <f>SUM('[2]D5 Gallon Forecast'!AB$408:AB$410)</f>
        <v>0</v>
      </c>
      <c r="AB109" s="17">
        <f>SUM('[2]D5 Gallon Forecast'!AC$408:AC$410)</f>
        <v>0</v>
      </c>
      <c r="AC109" s="17">
        <f>SUM('[2]D5 Gallon Forecast'!AD$408:AD$410)</f>
        <v>0</v>
      </c>
      <c r="AD109" s="17">
        <f>SUM('[2]D5 Gallon Forecast'!AE$408:AE$410)</f>
        <v>0</v>
      </c>
      <c r="AE109" s="17">
        <f>SUM('[2]D5 Gallon Forecast'!AF$408:AF$410)</f>
        <v>0</v>
      </c>
      <c r="AF109" s="17">
        <f>SUM('[2]D5 Gallon Forecast'!AG$408:AG$410)</f>
        <v>0</v>
      </c>
      <c r="AG109" s="17">
        <f>SUM('[2]D5 Gallon Forecast'!AH$408:AH$410)</f>
        <v>0</v>
      </c>
      <c r="AH109" s="17">
        <f>SUM('[2]D5 Gallon Forecast'!AI$408:AI$410)</f>
        <v>0</v>
      </c>
      <c r="AI109" s="17">
        <f>SUM('[2]D5 Gallon Forecast'!AJ$408:AJ$410)</f>
        <v>0</v>
      </c>
      <c r="AJ109" s="17">
        <f>SUM('[2]D5 Gallon Forecast'!AK$408:AK$410)</f>
        <v>0</v>
      </c>
      <c r="AK109" s="17">
        <f>SUM('[2]D5 Gallon Forecast'!AL$408:AL$410)</f>
        <v>0</v>
      </c>
      <c r="AL109" s="17">
        <f>SUM('[2]D5 Gallon Forecast'!AM$408:AM$410)</f>
        <v>0</v>
      </c>
      <c r="AM109" s="17">
        <f>SUM('[2]D5 Gallon Forecast'!AN$408:AN$410)</f>
        <v>0</v>
      </c>
      <c r="AN109" s="17">
        <f>SUM('[2]D5 Gallon Forecast'!AO$408:AO$410)</f>
        <v>0</v>
      </c>
      <c r="AO109" s="17">
        <f>SUM('[2]D5 Gallon Forecast'!AP$408:AP$410)</f>
        <v>0</v>
      </c>
      <c r="AP109" s="17"/>
      <c r="AQ109" s="17"/>
      <c r="AR109" s="17"/>
      <c r="AS109" s="17"/>
      <c r="AT109" s="17"/>
      <c r="AU109" s="17"/>
      <c r="AV109" s="17"/>
      <c r="AW109" s="17"/>
      <c r="AX109" s="17"/>
      <c r="AY109" s="17"/>
      <c r="AZ109" s="17"/>
      <c r="BA109" s="17"/>
      <c r="BB109" s="17"/>
    </row>
    <row r="110" spans="1:54" x14ac:dyDescent="0.25">
      <c r="A110" s="15" t="s">
        <v>69</v>
      </c>
      <c r="B110" s="16">
        <f>SUM('[2]D5 Gallon Forecast'!C$411:C$413)</f>
        <v>0</v>
      </c>
      <c r="C110" s="16">
        <f>SUM('[2]D5 Gallon Forecast'!D$411:D$413)</f>
        <v>0</v>
      </c>
      <c r="D110" s="16">
        <f>SUM('[2]D5 Gallon Forecast'!E$411:E$413)</f>
        <v>0</v>
      </c>
      <c r="E110" s="16">
        <f>SUM('[2]D5 Gallon Forecast'!F$411:F$413)</f>
        <v>0</v>
      </c>
      <c r="F110" s="16">
        <f>SUM('[2]D5 Gallon Forecast'!G$411:G$413)</f>
        <v>0</v>
      </c>
      <c r="G110" s="16">
        <f>SUM('[2]D5 Gallon Forecast'!H$411:H$413)</f>
        <v>0</v>
      </c>
      <c r="H110" s="16">
        <f>SUM('[2]D5 Gallon Forecast'!I$411:I$413)</f>
        <v>0</v>
      </c>
      <c r="I110" s="16">
        <f>SUM('[2]D5 Gallon Forecast'!J$411:J$413)</f>
        <v>0</v>
      </c>
      <c r="J110" s="16">
        <f>SUM('[2]D5 Gallon Forecast'!K$411:K$413)</f>
        <v>868630</v>
      </c>
      <c r="K110" s="16">
        <f>SUM('[2]D5 Gallon Forecast'!L$411:L$413)</f>
        <v>813350</v>
      </c>
      <c r="L110" s="16">
        <f>SUM('[2]D5 Gallon Forecast'!M$411:M$413)</f>
        <v>911182</v>
      </c>
      <c r="M110" s="16">
        <f>SUM('[2]D5 Gallon Forecast'!N$411:N$413)</f>
        <v>855897</v>
      </c>
      <c r="N110" s="25">
        <f>SUM('[2]D5 Gallon Forecast'!O$411:O$413)</f>
        <v>1286911</v>
      </c>
      <c r="O110" s="25">
        <f>SUM('[2]D5 Gallon Forecast'!P$411:P$413)</f>
        <v>308702</v>
      </c>
      <c r="P110" s="17">
        <f>SUM('[2]D5 Gallon Forecast'!Q$411:Q$413)</f>
        <v>0</v>
      </c>
      <c r="Q110" s="17">
        <f>SUM('[2]D5 Gallon Forecast'!R$411:R$413)</f>
        <v>0</v>
      </c>
      <c r="R110" s="17">
        <f>SUM('[2]D5 Gallon Forecast'!S$411:S$413)</f>
        <v>0</v>
      </c>
      <c r="S110" s="17">
        <f>SUM('[2]D5 Gallon Forecast'!T$411:T$413)</f>
        <v>0</v>
      </c>
      <c r="T110" s="17">
        <f>SUM('[2]D5 Gallon Forecast'!U$411:U$413)</f>
        <v>0</v>
      </c>
      <c r="U110" s="17">
        <f>SUM('[2]D5 Gallon Forecast'!V$411:V$413)</f>
        <v>0</v>
      </c>
      <c r="V110" s="17">
        <f>SUM('[2]D5 Gallon Forecast'!W$411:W$413)</f>
        <v>0</v>
      </c>
      <c r="W110" s="17">
        <f>SUM('[2]D5 Gallon Forecast'!X$411:X$413)</f>
        <v>0</v>
      </c>
      <c r="X110" s="17">
        <f>SUM('[2]D5 Gallon Forecast'!Y$411:Y$413)</f>
        <v>0</v>
      </c>
      <c r="Y110" s="17">
        <f>SUM('[2]D5 Gallon Forecast'!Z$411:Z$413)</f>
        <v>0</v>
      </c>
      <c r="Z110" s="17">
        <f>SUM('[2]D5 Gallon Forecast'!AA$411:AA$413)</f>
        <v>0</v>
      </c>
      <c r="AA110" s="17">
        <f>SUM('[2]D5 Gallon Forecast'!AB$411:AB$413)</f>
        <v>0</v>
      </c>
      <c r="AB110" s="17">
        <f>SUM('[2]D5 Gallon Forecast'!AC$411:AC$413)</f>
        <v>0</v>
      </c>
      <c r="AC110" s="17">
        <f>SUM('[2]D5 Gallon Forecast'!AD$411:AD$413)</f>
        <v>0</v>
      </c>
      <c r="AD110" s="17">
        <f>SUM('[2]D5 Gallon Forecast'!AE$411:AE$413)</f>
        <v>0</v>
      </c>
      <c r="AE110" s="17">
        <f>SUM('[2]D5 Gallon Forecast'!AF$411:AF$413)</f>
        <v>0</v>
      </c>
      <c r="AF110" s="17">
        <f>SUM('[2]D5 Gallon Forecast'!AG$411:AG$413)</f>
        <v>0</v>
      </c>
      <c r="AG110" s="17">
        <f>SUM('[2]D5 Gallon Forecast'!AH$411:AH$413)</f>
        <v>0</v>
      </c>
      <c r="AH110" s="17">
        <f>SUM('[2]D5 Gallon Forecast'!AI$411:AI$413)</f>
        <v>0</v>
      </c>
      <c r="AI110" s="17">
        <f>SUM('[2]D5 Gallon Forecast'!AJ$411:AJ$413)</f>
        <v>0</v>
      </c>
      <c r="AJ110" s="17">
        <f>SUM('[2]D5 Gallon Forecast'!AK$411:AK$413)</f>
        <v>0</v>
      </c>
      <c r="AK110" s="17">
        <f>SUM('[2]D5 Gallon Forecast'!AL$411:AL$413)</f>
        <v>0</v>
      </c>
      <c r="AL110" s="17">
        <f>SUM('[2]D5 Gallon Forecast'!AM$411:AM$413)</f>
        <v>0</v>
      </c>
      <c r="AM110" s="17">
        <f>SUM('[2]D5 Gallon Forecast'!AN$411:AN$413)</f>
        <v>0</v>
      </c>
      <c r="AN110" s="17">
        <f>SUM('[2]D5 Gallon Forecast'!AO$411:AO$413)</f>
        <v>0</v>
      </c>
      <c r="AO110" s="17">
        <f>SUM('[2]D5 Gallon Forecast'!AP$411:AP$413)</f>
        <v>0</v>
      </c>
      <c r="AP110" s="17"/>
      <c r="AQ110" s="17"/>
      <c r="AR110" s="17"/>
      <c r="AS110" s="17"/>
      <c r="AT110" s="17"/>
      <c r="AU110" s="17"/>
      <c r="AV110" s="17"/>
      <c r="AW110" s="17"/>
      <c r="AX110" s="17"/>
      <c r="AY110" s="17"/>
      <c r="AZ110" s="17"/>
      <c r="BA110" s="17"/>
      <c r="BB110" s="17"/>
    </row>
    <row r="111" spans="1:54" x14ac:dyDescent="0.25">
      <c r="A111" s="15" t="s">
        <v>70</v>
      </c>
      <c r="B111" s="16">
        <f>SUM('[2]D5 Gallon Forecast'!C$414:C$416)</f>
        <v>0</v>
      </c>
      <c r="C111" s="16">
        <f>SUM('[2]D5 Gallon Forecast'!D$414:D$416)</f>
        <v>0</v>
      </c>
      <c r="D111" s="16">
        <f>SUM('[2]D5 Gallon Forecast'!E$414:E$416)</f>
        <v>0</v>
      </c>
      <c r="E111" s="16">
        <f>SUM('[2]D5 Gallon Forecast'!F$414:F$416)</f>
        <v>0</v>
      </c>
      <c r="F111" s="16">
        <f>SUM('[2]D5 Gallon Forecast'!G$414:G$416)</f>
        <v>0</v>
      </c>
      <c r="G111" s="16">
        <f>SUM('[2]D5 Gallon Forecast'!H$414:H$416)</f>
        <v>0</v>
      </c>
      <c r="H111" s="16">
        <f>SUM('[2]D5 Gallon Forecast'!I$414:I$416)</f>
        <v>0</v>
      </c>
      <c r="I111" s="16">
        <f>SUM('[2]D5 Gallon Forecast'!J$414:J$416)</f>
        <v>0</v>
      </c>
      <c r="J111" s="16">
        <f>SUM('[2]D5 Gallon Forecast'!K$414:K$416)</f>
        <v>1005988</v>
      </c>
      <c r="K111" s="16">
        <f>SUM('[2]D5 Gallon Forecast'!L$414:L$416)</f>
        <v>1158657</v>
      </c>
      <c r="L111" s="16">
        <f>SUM('[2]D5 Gallon Forecast'!M$414:M$416)</f>
        <v>1651743</v>
      </c>
      <c r="M111" s="16">
        <f>SUM('[2]D5 Gallon Forecast'!N$414:N$416)</f>
        <v>1339317</v>
      </c>
      <c r="N111" s="25">
        <f>SUM('[2]D5 Gallon Forecast'!O$414:O$416)</f>
        <v>905151</v>
      </c>
      <c r="O111" s="25">
        <f>SUM('[2]D5 Gallon Forecast'!P$414:P$416)</f>
        <v>0</v>
      </c>
      <c r="P111" s="17">
        <f>SUM('[2]D5 Gallon Forecast'!Q$414:Q$416)</f>
        <v>0</v>
      </c>
      <c r="Q111" s="17">
        <f>SUM('[2]D5 Gallon Forecast'!R$414:R$416)</f>
        <v>0</v>
      </c>
      <c r="R111" s="17">
        <f>SUM('[2]D5 Gallon Forecast'!S$414:S$416)</f>
        <v>0</v>
      </c>
      <c r="S111" s="17">
        <f>SUM('[2]D5 Gallon Forecast'!T$414:T$416)</f>
        <v>0</v>
      </c>
      <c r="T111" s="17">
        <f>SUM('[2]D5 Gallon Forecast'!U$414:U$416)</f>
        <v>0</v>
      </c>
      <c r="U111" s="17">
        <f>SUM('[2]D5 Gallon Forecast'!V$414:V$416)</f>
        <v>0</v>
      </c>
      <c r="V111" s="17">
        <f>SUM('[2]D5 Gallon Forecast'!W$414:W$416)</f>
        <v>0</v>
      </c>
      <c r="W111" s="17">
        <f>SUM('[2]D5 Gallon Forecast'!X$414:X$416)</f>
        <v>0</v>
      </c>
      <c r="X111" s="17">
        <f>SUM('[2]D5 Gallon Forecast'!Y$414:Y$416)</f>
        <v>0</v>
      </c>
      <c r="Y111" s="17">
        <f>SUM('[2]D5 Gallon Forecast'!Z$414:Z$416)</f>
        <v>0</v>
      </c>
      <c r="Z111" s="17">
        <f>SUM('[2]D5 Gallon Forecast'!AA$414:AA$416)</f>
        <v>0</v>
      </c>
      <c r="AA111" s="17">
        <f>SUM('[2]D5 Gallon Forecast'!AB$414:AB$416)</f>
        <v>0</v>
      </c>
      <c r="AB111" s="17">
        <f>SUM('[2]D5 Gallon Forecast'!AC$414:AC$416)</f>
        <v>0</v>
      </c>
      <c r="AC111" s="17">
        <f>SUM('[2]D5 Gallon Forecast'!AD$414:AD$416)</f>
        <v>0</v>
      </c>
      <c r="AD111" s="17">
        <f>SUM('[2]D5 Gallon Forecast'!AE$414:AE$416)</f>
        <v>0</v>
      </c>
      <c r="AE111" s="17">
        <f>SUM('[2]D5 Gallon Forecast'!AF$414:AF$416)</f>
        <v>0</v>
      </c>
      <c r="AF111" s="17">
        <f>SUM('[2]D5 Gallon Forecast'!AG$414:AG$416)</f>
        <v>0</v>
      </c>
      <c r="AG111" s="17">
        <f>SUM('[2]D5 Gallon Forecast'!AH$414:AH$416)</f>
        <v>0</v>
      </c>
      <c r="AH111" s="17">
        <f>SUM('[2]D5 Gallon Forecast'!AI$414:AI$416)</f>
        <v>0</v>
      </c>
      <c r="AI111" s="17">
        <f>SUM('[2]D5 Gallon Forecast'!AJ$414:AJ$416)</f>
        <v>0</v>
      </c>
      <c r="AJ111" s="17">
        <f>SUM('[2]D5 Gallon Forecast'!AK$414:AK$416)</f>
        <v>0</v>
      </c>
      <c r="AK111" s="17">
        <f>SUM('[2]D5 Gallon Forecast'!AL$414:AL$416)</f>
        <v>0</v>
      </c>
      <c r="AL111" s="17">
        <f>SUM('[2]D5 Gallon Forecast'!AM$414:AM$416)</f>
        <v>0</v>
      </c>
      <c r="AM111" s="17">
        <f>SUM('[2]D5 Gallon Forecast'!AN$414:AN$416)</f>
        <v>0</v>
      </c>
      <c r="AN111" s="17">
        <f>SUM('[2]D5 Gallon Forecast'!AO$414:AO$416)</f>
        <v>0</v>
      </c>
      <c r="AO111" s="17">
        <f>SUM('[2]D5 Gallon Forecast'!AP$414:AP$416)</f>
        <v>0</v>
      </c>
      <c r="AP111" s="17"/>
      <c r="AQ111" s="17"/>
      <c r="AR111" s="17"/>
      <c r="AS111" s="17"/>
      <c r="AT111" s="17"/>
      <c r="AU111" s="17"/>
      <c r="AV111" s="17"/>
      <c r="AW111" s="17"/>
      <c r="AX111" s="17"/>
      <c r="AY111" s="17"/>
      <c r="AZ111" s="17"/>
      <c r="BA111" s="17"/>
      <c r="BB111" s="17"/>
    </row>
    <row r="112" spans="1:54" x14ac:dyDescent="0.25">
      <c r="A112" s="15" t="s">
        <v>71</v>
      </c>
      <c r="B112" s="16">
        <f>SUM('[2]D5 Gallon Forecast'!C$417:C$419)</f>
        <v>0</v>
      </c>
      <c r="C112" s="16">
        <f>SUM('[2]D5 Gallon Forecast'!D$417:D$419)</f>
        <v>0</v>
      </c>
      <c r="D112" s="16">
        <f>SUM('[2]D5 Gallon Forecast'!E$417:E$419)</f>
        <v>0</v>
      </c>
      <c r="E112" s="16">
        <f>SUM('[2]D5 Gallon Forecast'!F$417:F$419)</f>
        <v>0</v>
      </c>
      <c r="F112" s="16">
        <f>SUM('[2]D5 Gallon Forecast'!G$417:G$419)</f>
        <v>0</v>
      </c>
      <c r="G112" s="16">
        <f>SUM('[2]D5 Gallon Forecast'!H$417:H$419)</f>
        <v>0</v>
      </c>
      <c r="H112" s="16">
        <f>SUM('[2]D5 Gallon Forecast'!I$417:I$419)</f>
        <v>0</v>
      </c>
      <c r="I112" s="16">
        <f>SUM('[2]D5 Gallon Forecast'!J$417:J$419)</f>
        <v>660061</v>
      </c>
      <c r="J112" s="16">
        <f>SUM('[2]D5 Gallon Forecast'!K$417:K$419)</f>
        <v>1379391</v>
      </c>
      <c r="K112" s="16">
        <f>SUM('[2]D5 Gallon Forecast'!L$417:L$419)</f>
        <v>1706073</v>
      </c>
      <c r="L112" s="16">
        <f>SUM('[2]D5 Gallon Forecast'!M$417:M$419)</f>
        <v>1625216</v>
      </c>
      <c r="M112" s="16">
        <f>SUM('[2]D5 Gallon Forecast'!N$417:N$419)</f>
        <v>1378531</v>
      </c>
      <c r="N112" s="25">
        <f>SUM('[2]D5 Gallon Forecast'!O$417:O$419)</f>
        <v>1544772</v>
      </c>
      <c r="O112" s="26">
        <f>SUM('[2]D5 Gallon Forecast'!P$417:P$419)</f>
        <v>28862</v>
      </c>
      <c r="P112" s="17">
        <f>SUM('[2]D5 Gallon Forecast'!Q$417:Q$419)</f>
        <v>0</v>
      </c>
      <c r="Q112" s="17">
        <f>SUM('[2]D5 Gallon Forecast'!R$417:R$419)</f>
        <v>0</v>
      </c>
      <c r="R112" s="17">
        <f>SUM('[2]D5 Gallon Forecast'!S$417:S$419)</f>
        <v>0</v>
      </c>
      <c r="S112" s="17">
        <f>SUM('[2]D5 Gallon Forecast'!T$417:T$419)</f>
        <v>0</v>
      </c>
      <c r="T112" s="17">
        <f>SUM('[2]D5 Gallon Forecast'!U$417:U$419)</f>
        <v>0</v>
      </c>
      <c r="U112" s="17">
        <f>SUM('[2]D5 Gallon Forecast'!V$417:V$419)</f>
        <v>0</v>
      </c>
      <c r="V112" s="17">
        <f>SUM('[2]D5 Gallon Forecast'!W$417:W$419)</f>
        <v>0</v>
      </c>
      <c r="W112" s="17">
        <f>SUM('[2]D5 Gallon Forecast'!X$417:X$419)</f>
        <v>0</v>
      </c>
      <c r="X112" s="17">
        <f>SUM('[2]D5 Gallon Forecast'!Y$417:Y$419)</f>
        <v>0</v>
      </c>
      <c r="Y112" s="17">
        <f>SUM('[2]D5 Gallon Forecast'!Z$417:Z$419)</f>
        <v>0</v>
      </c>
      <c r="Z112" s="17">
        <f>SUM('[2]D5 Gallon Forecast'!AA$417:AA$419)</f>
        <v>0</v>
      </c>
      <c r="AA112" s="17">
        <f>SUM('[2]D5 Gallon Forecast'!AB$417:AB$419)</f>
        <v>0</v>
      </c>
      <c r="AB112" s="17">
        <f>SUM('[2]D5 Gallon Forecast'!AC$417:AC$419)</f>
        <v>0</v>
      </c>
      <c r="AC112" s="17">
        <f>SUM('[2]D5 Gallon Forecast'!AD$417:AD$419)</f>
        <v>0</v>
      </c>
      <c r="AD112" s="17">
        <f>SUM('[2]D5 Gallon Forecast'!AE$417:AE$419)</f>
        <v>0</v>
      </c>
      <c r="AE112" s="17">
        <f>SUM('[2]D5 Gallon Forecast'!AF$417:AF$419)</f>
        <v>0</v>
      </c>
      <c r="AF112" s="17">
        <f>SUM('[2]D5 Gallon Forecast'!AG$417:AG$419)</f>
        <v>0</v>
      </c>
      <c r="AG112" s="17">
        <f>SUM('[2]D5 Gallon Forecast'!AH$417:AH$419)</f>
        <v>0</v>
      </c>
      <c r="AH112" s="17">
        <f>SUM('[2]D5 Gallon Forecast'!AI$417:AI$419)</f>
        <v>0</v>
      </c>
      <c r="AI112" s="17">
        <f>SUM('[2]D5 Gallon Forecast'!AJ$417:AJ$419)</f>
        <v>0</v>
      </c>
      <c r="AJ112" s="17">
        <f>SUM('[2]D5 Gallon Forecast'!AK$417:AK$419)</f>
        <v>0</v>
      </c>
      <c r="AK112" s="17">
        <f>SUM('[2]D5 Gallon Forecast'!AL$417:AL$419)</f>
        <v>0</v>
      </c>
      <c r="AL112" s="17">
        <f>SUM('[2]D5 Gallon Forecast'!AM$417:AM$419)</f>
        <v>0</v>
      </c>
      <c r="AM112" s="17">
        <f>SUM('[2]D5 Gallon Forecast'!AN$417:AN$419)</f>
        <v>0</v>
      </c>
      <c r="AN112" s="17">
        <f>SUM('[2]D5 Gallon Forecast'!AO$417:AO$419)</f>
        <v>0</v>
      </c>
      <c r="AO112" s="17">
        <f>SUM('[2]D5 Gallon Forecast'!AP$417:AP$419)</f>
        <v>0</v>
      </c>
      <c r="AP112" s="17"/>
      <c r="AQ112" s="17"/>
      <c r="AR112" s="17"/>
      <c r="AS112" s="17"/>
      <c r="AT112" s="17"/>
      <c r="AU112" s="17"/>
      <c r="AV112" s="17"/>
      <c r="AW112" s="17"/>
      <c r="AX112" s="17"/>
      <c r="AY112" s="17"/>
      <c r="AZ112" s="17"/>
      <c r="BA112" s="17"/>
      <c r="BB112" s="17"/>
    </row>
    <row r="113" spans="1:54" x14ac:dyDescent="0.25">
      <c r="A113" s="15" t="s">
        <v>72</v>
      </c>
      <c r="B113" s="16">
        <f>SUM(B109:B112)</f>
        <v>0</v>
      </c>
      <c r="C113" s="16">
        <f t="shared" ref="C113:AO113" si="70">SUM(C109:C112)</f>
        <v>0</v>
      </c>
      <c r="D113" s="16">
        <f t="shared" si="70"/>
        <v>0</v>
      </c>
      <c r="E113" s="16">
        <f t="shared" si="70"/>
        <v>0</v>
      </c>
      <c r="F113" s="16">
        <f t="shared" si="70"/>
        <v>0</v>
      </c>
      <c r="G113" s="16">
        <f t="shared" si="70"/>
        <v>0</v>
      </c>
      <c r="H113" s="16">
        <f t="shared" si="70"/>
        <v>0</v>
      </c>
      <c r="I113" s="16">
        <f t="shared" si="70"/>
        <v>660061</v>
      </c>
      <c r="J113" s="16">
        <f t="shared" si="70"/>
        <v>4209380</v>
      </c>
      <c r="K113" s="16">
        <f t="shared" si="70"/>
        <v>4306761</v>
      </c>
      <c r="L113" s="16">
        <f t="shared" si="70"/>
        <v>4590315</v>
      </c>
      <c r="M113" s="16">
        <f t="shared" si="70"/>
        <v>4485248</v>
      </c>
      <c r="N113" s="16">
        <f t="shared" si="70"/>
        <v>4719437</v>
      </c>
      <c r="O113" s="17">
        <f t="shared" si="70"/>
        <v>929802</v>
      </c>
      <c r="P113" s="17">
        <f t="shared" si="70"/>
        <v>59839</v>
      </c>
      <c r="Q113" s="17">
        <f t="shared" si="70"/>
        <v>0</v>
      </c>
      <c r="R113" s="17">
        <f t="shared" si="70"/>
        <v>0</v>
      </c>
      <c r="S113" s="17">
        <f t="shared" si="70"/>
        <v>0</v>
      </c>
      <c r="T113" s="17">
        <f t="shared" si="70"/>
        <v>0</v>
      </c>
      <c r="U113" s="17">
        <f t="shared" si="70"/>
        <v>0</v>
      </c>
      <c r="V113" s="17">
        <f t="shared" si="70"/>
        <v>0</v>
      </c>
      <c r="W113" s="17">
        <f t="shared" si="70"/>
        <v>0</v>
      </c>
      <c r="X113" s="17">
        <f t="shared" si="70"/>
        <v>0</v>
      </c>
      <c r="Y113" s="17">
        <f t="shared" si="70"/>
        <v>0</v>
      </c>
      <c r="Z113" s="17">
        <f t="shared" si="70"/>
        <v>0</v>
      </c>
      <c r="AA113" s="17">
        <f t="shared" si="70"/>
        <v>0</v>
      </c>
      <c r="AB113" s="17">
        <f t="shared" si="70"/>
        <v>0</v>
      </c>
      <c r="AC113" s="17">
        <f t="shared" si="70"/>
        <v>0</v>
      </c>
      <c r="AD113" s="17">
        <f t="shared" si="70"/>
        <v>0</v>
      </c>
      <c r="AE113" s="17">
        <f t="shared" si="70"/>
        <v>0</v>
      </c>
      <c r="AF113" s="17">
        <f t="shared" si="70"/>
        <v>0</v>
      </c>
      <c r="AG113" s="17">
        <f t="shared" si="70"/>
        <v>0</v>
      </c>
      <c r="AH113" s="17">
        <f t="shared" si="70"/>
        <v>0</v>
      </c>
      <c r="AI113" s="17">
        <f t="shared" si="70"/>
        <v>0</v>
      </c>
      <c r="AJ113" s="17">
        <f t="shared" si="70"/>
        <v>0</v>
      </c>
      <c r="AK113" s="17">
        <f t="shared" si="70"/>
        <v>0</v>
      </c>
      <c r="AL113" s="17">
        <f t="shared" si="70"/>
        <v>0</v>
      </c>
      <c r="AM113" s="17">
        <f t="shared" si="70"/>
        <v>0</v>
      </c>
      <c r="AN113" s="17">
        <f t="shared" si="70"/>
        <v>0</v>
      </c>
      <c r="AO113" s="17">
        <f t="shared" si="70"/>
        <v>0</v>
      </c>
      <c r="AP113" s="17"/>
      <c r="AQ113" s="17"/>
      <c r="AR113" s="17"/>
      <c r="AS113" s="17"/>
      <c r="AT113" s="17"/>
      <c r="AU113" s="17"/>
      <c r="AV113" s="17"/>
      <c r="AW113" s="17"/>
      <c r="AX113" s="17"/>
      <c r="AY113" s="17"/>
      <c r="AZ113" s="17"/>
      <c r="BA113" s="17"/>
      <c r="BB113" s="17"/>
    </row>
    <row r="114" spans="1:54" x14ac:dyDescent="0.25">
      <c r="B114" s="18"/>
      <c r="C114" s="18"/>
      <c r="D114" s="18"/>
      <c r="E114" s="18"/>
      <c r="F114" s="19"/>
      <c r="G114" s="19"/>
      <c r="H114" s="19"/>
      <c r="I114" s="19"/>
      <c r="J114" s="19"/>
      <c r="K114" s="19"/>
      <c r="L114" s="19"/>
      <c r="M114" s="19"/>
      <c r="N114" s="19"/>
      <c r="O114" s="19"/>
      <c r="P114" s="19"/>
      <c r="Q114" s="19"/>
      <c r="R114" s="19"/>
      <c r="S114" s="19"/>
      <c r="T114" s="19"/>
      <c r="U114" s="19"/>
      <c r="V114" s="19"/>
      <c r="W114" s="19"/>
      <c r="X114" s="19"/>
      <c r="Y114" s="19"/>
      <c r="Z114" s="19"/>
      <c r="AA114" s="19"/>
      <c r="AB114" s="19"/>
      <c r="AC114" s="19"/>
      <c r="AD114" s="19"/>
      <c r="AE114" s="19"/>
      <c r="AF114" s="19"/>
      <c r="AG114" s="19"/>
      <c r="AH114" s="19"/>
      <c r="AI114" s="19"/>
      <c r="AJ114" s="19"/>
      <c r="AK114" s="19"/>
      <c r="AL114" s="19"/>
      <c r="AM114" s="19"/>
      <c r="AN114" s="19"/>
      <c r="AO114" s="19"/>
      <c r="AP114" s="19"/>
      <c r="AQ114" s="19"/>
      <c r="AR114" s="19"/>
      <c r="AS114" s="19"/>
      <c r="AT114" s="19"/>
      <c r="AU114" s="19"/>
      <c r="AV114" s="19"/>
      <c r="AW114" s="19"/>
      <c r="AX114" s="19"/>
      <c r="AY114" s="19"/>
      <c r="AZ114" s="19"/>
      <c r="BA114" s="19"/>
      <c r="BB114" s="19"/>
    </row>
    <row r="115" spans="1:54" x14ac:dyDescent="0.25">
      <c r="A115" s="14" t="s">
        <v>73</v>
      </c>
      <c r="B115" s="14">
        <f>B3</f>
        <v>2011</v>
      </c>
      <c r="C115" s="14">
        <f t="shared" ref="C115:AO115" si="71">C3</f>
        <v>2012</v>
      </c>
      <c r="D115" s="14">
        <f t="shared" si="71"/>
        <v>2013</v>
      </c>
      <c r="E115" s="14">
        <f t="shared" si="71"/>
        <v>2014</v>
      </c>
      <c r="F115" s="14">
        <f t="shared" si="71"/>
        <v>2015</v>
      </c>
      <c r="G115" s="14">
        <f t="shared" si="71"/>
        <v>2016</v>
      </c>
      <c r="H115" s="14">
        <f t="shared" si="71"/>
        <v>2017</v>
      </c>
      <c r="I115" s="14">
        <f t="shared" si="71"/>
        <v>2018</v>
      </c>
      <c r="J115" s="14">
        <f t="shared" si="71"/>
        <v>2019</v>
      </c>
      <c r="K115" s="14">
        <f t="shared" si="71"/>
        <v>2020</v>
      </c>
      <c r="L115" s="14">
        <f t="shared" si="71"/>
        <v>2021</v>
      </c>
      <c r="M115" s="14">
        <f t="shared" si="71"/>
        <v>2022</v>
      </c>
      <c r="N115" s="14">
        <f t="shared" si="71"/>
        <v>2023</v>
      </c>
      <c r="O115" s="14">
        <f t="shared" si="71"/>
        <v>2024</v>
      </c>
      <c r="P115" s="14">
        <f t="shared" si="71"/>
        <v>2025</v>
      </c>
      <c r="Q115" s="14">
        <f t="shared" si="71"/>
        <v>2026</v>
      </c>
      <c r="R115" s="14">
        <f t="shared" si="71"/>
        <v>2027</v>
      </c>
      <c r="S115" s="14">
        <f t="shared" si="71"/>
        <v>2028</v>
      </c>
      <c r="T115" s="14">
        <f t="shared" si="71"/>
        <v>2029</v>
      </c>
      <c r="U115" s="14">
        <f t="shared" si="71"/>
        <v>2030</v>
      </c>
      <c r="V115" s="14">
        <f t="shared" si="71"/>
        <v>2031</v>
      </c>
      <c r="W115" s="14">
        <f t="shared" si="71"/>
        <v>2032</v>
      </c>
      <c r="X115" s="14">
        <f t="shared" si="71"/>
        <v>2033</v>
      </c>
      <c r="Y115" s="14">
        <f t="shared" si="71"/>
        <v>2034</v>
      </c>
      <c r="Z115" s="14">
        <f t="shared" si="71"/>
        <v>2035</v>
      </c>
      <c r="AA115" s="14">
        <f t="shared" si="71"/>
        <v>2036</v>
      </c>
      <c r="AB115" s="14">
        <f t="shared" si="71"/>
        <v>2037</v>
      </c>
      <c r="AC115" s="14">
        <f t="shared" si="71"/>
        <v>2038</v>
      </c>
      <c r="AD115" s="14">
        <f t="shared" si="71"/>
        <v>2039</v>
      </c>
      <c r="AE115" s="14">
        <f t="shared" si="71"/>
        <v>2040</v>
      </c>
      <c r="AF115" s="14">
        <f t="shared" si="71"/>
        <v>2041</v>
      </c>
      <c r="AG115" s="14">
        <f t="shared" si="71"/>
        <v>2042</v>
      </c>
      <c r="AH115" s="14">
        <f t="shared" si="71"/>
        <v>2043</v>
      </c>
      <c r="AI115" s="14">
        <f t="shared" si="71"/>
        <v>2044</v>
      </c>
      <c r="AJ115" s="14">
        <f t="shared" si="71"/>
        <v>2045</v>
      </c>
      <c r="AK115" s="14">
        <f t="shared" si="71"/>
        <v>2046</v>
      </c>
      <c r="AL115" s="14">
        <f t="shared" si="71"/>
        <v>2047</v>
      </c>
      <c r="AM115" s="14">
        <f t="shared" si="71"/>
        <v>2048</v>
      </c>
      <c r="AN115" s="14">
        <f t="shared" si="71"/>
        <v>2049</v>
      </c>
      <c r="AO115" s="14">
        <f t="shared" si="71"/>
        <v>2050</v>
      </c>
      <c r="AP115" s="14"/>
      <c r="AQ115" s="14"/>
      <c r="AR115" s="14"/>
      <c r="AS115" s="14"/>
      <c r="AT115" s="14"/>
      <c r="AU115" s="14"/>
      <c r="AV115" s="14"/>
      <c r="AW115" s="14"/>
      <c r="AX115" s="14"/>
      <c r="AY115" s="14"/>
      <c r="AZ115" s="14"/>
      <c r="BA115" s="14"/>
      <c r="BB115" s="14"/>
    </row>
    <row r="116" spans="1:54" x14ac:dyDescent="0.25">
      <c r="A116" s="15" t="s">
        <v>68</v>
      </c>
      <c r="B116" s="16">
        <f>'Fuel Vol and Credit Gen'!C$16</f>
        <v>0</v>
      </c>
      <c r="C116" s="16">
        <f>'Fuel Vol and Credit Gen'!G$16</f>
        <v>0</v>
      </c>
      <c r="D116" s="16">
        <f>'Fuel Vol and Credit Gen'!K$16</f>
        <v>0</v>
      </c>
      <c r="E116" s="16">
        <f>'Fuel Vol and Credit Gen'!O$16</f>
        <v>0</v>
      </c>
      <c r="F116" s="16">
        <f>'Fuel Vol and Credit Gen'!S$16</f>
        <v>0</v>
      </c>
      <c r="G116" s="16">
        <f>'Fuel Vol and Credit Gen'!W$16</f>
        <v>0</v>
      </c>
      <c r="H116" s="16">
        <f>'Fuel Vol and Credit Gen'!AA$16</f>
        <v>0</v>
      </c>
      <c r="I116" s="16">
        <f>'Fuel Vol and Credit Gen'!AE$16</f>
        <v>0</v>
      </c>
      <c r="J116" s="16">
        <f>'Fuel Vol and Credit Gen'!AI$16</f>
        <v>190467</v>
      </c>
      <c r="K116" s="16">
        <f>'Fuel Vol and Credit Gen'!AM$16</f>
        <v>6001038</v>
      </c>
      <c r="L116" s="16">
        <f>'Fuel Vol and Credit Gen'!AQ$16</f>
        <v>9846959</v>
      </c>
      <c r="M116" s="16">
        <f>'Fuel Vol and Credit Gen'!AU$16</f>
        <v>10848871</v>
      </c>
      <c r="N116" s="25">
        <f>'Fuel Vol and Credit Gen'!AY$16</f>
        <v>9925855</v>
      </c>
      <c r="O116" s="25">
        <f>'Fuel Vol and Credit Gen'!BC$16</f>
        <v>9352107</v>
      </c>
      <c r="P116" s="17">
        <f>FORECAST(P109,I116:O116,I109:O109)+3500000</f>
        <v>7349697.1214581039</v>
      </c>
      <c r="Q116" s="26">
        <v>0</v>
      </c>
      <c r="R116" s="26">
        <v>0</v>
      </c>
      <c r="S116" s="26">
        <v>0</v>
      </c>
      <c r="T116" s="26">
        <v>0</v>
      </c>
      <c r="U116" s="26">
        <v>0</v>
      </c>
      <c r="V116" s="26">
        <v>0</v>
      </c>
      <c r="W116" s="26">
        <v>0</v>
      </c>
      <c r="X116" s="26">
        <v>0</v>
      </c>
      <c r="Y116" s="26">
        <v>0</v>
      </c>
      <c r="Z116" s="26">
        <v>0</v>
      </c>
      <c r="AA116" s="26">
        <v>0</v>
      </c>
      <c r="AB116" s="26">
        <v>0</v>
      </c>
      <c r="AC116" s="26">
        <v>0</v>
      </c>
      <c r="AD116" s="26">
        <v>0</v>
      </c>
      <c r="AE116" s="26">
        <v>0</v>
      </c>
      <c r="AF116" s="26">
        <v>0</v>
      </c>
      <c r="AG116" s="26">
        <v>0</v>
      </c>
      <c r="AH116" s="26">
        <v>0</v>
      </c>
      <c r="AI116" s="26">
        <v>0</v>
      </c>
      <c r="AJ116" s="26">
        <v>0</v>
      </c>
      <c r="AK116" s="26">
        <v>0</v>
      </c>
      <c r="AL116" s="26">
        <v>0</v>
      </c>
      <c r="AM116" s="26">
        <v>0</v>
      </c>
      <c r="AN116" s="26">
        <v>0</v>
      </c>
      <c r="AO116" s="26">
        <v>0</v>
      </c>
      <c r="AP116" s="17"/>
      <c r="AQ116" s="17"/>
      <c r="AR116" s="17"/>
      <c r="AS116" s="17"/>
      <c r="AT116" s="17"/>
      <c r="AU116" s="17"/>
      <c r="AV116" s="17"/>
      <c r="AW116" s="17"/>
      <c r="AX116" s="17"/>
      <c r="AY116" s="17"/>
      <c r="AZ116" s="17"/>
      <c r="BA116" s="17"/>
      <c r="BB116" s="17"/>
    </row>
    <row r="117" spans="1:54" x14ac:dyDescent="0.25">
      <c r="A117" s="15" t="s">
        <v>69</v>
      </c>
      <c r="B117" s="16">
        <f>'Fuel Vol and Credit Gen'!D$16</f>
        <v>0</v>
      </c>
      <c r="C117" s="16">
        <f>'Fuel Vol and Credit Gen'!H$16</f>
        <v>0</v>
      </c>
      <c r="D117" s="16">
        <f>'Fuel Vol and Credit Gen'!L$16</f>
        <v>0</v>
      </c>
      <c r="E117" s="16">
        <f>'Fuel Vol and Credit Gen'!P$16</f>
        <v>0</v>
      </c>
      <c r="F117" s="16">
        <f>'Fuel Vol and Credit Gen'!T$16</f>
        <v>0</v>
      </c>
      <c r="G117" s="16">
        <f>'Fuel Vol and Credit Gen'!X$16</f>
        <v>0</v>
      </c>
      <c r="H117" s="16">
        <f>'Fuel Vol and Credit Gen'!AB$16</f>
        <v>0</v>
      </c>
      <c r="I117" s="16">
        <f>'Fuel Vol and Credit Gen'!AF$16</f>
        <v>0</v>
      </c>
      <c r="J117" s="16">
        <f>'Fuel Vol and Credit Gen'!AJ$16</f>
        <v>960366</v>
      </c>
      <c r="K117" s="16">
        <f>'Fuel Vol and Credit Gen'!AN$16</f>
        <v>8440645</v>
      </c>
      <c r="L117" s="16">
        <f>'Fuel Vol and Credit Gen'!AR$16</f>
        <v>9328671</v>
      </c>
      <c r="M117" s="16">
        <f>'Fuel Vol and Credit Gen'!AV$16</f>
        <v>10918742</v>
      </c>
      <c r="N117" s="25">
        <f>'Fuel Vol and Credit Gen'!AZ$16</f>
        <v>9481514</v>
      </c>
      <c r="O117" s="25">
        <f>'Fuel Vol and Credit Gen'!BD$16</f>
        <v>9024625</v>
      </c>
      <c r="P117" s="17">
        <f>FORECAST(P110,I117:O117,I110:O110)+2000000</f>
        <v>5041984.3821920138</v>
      </c>
      <c r="Q117" s="26">
        <v>0</v>
      </c>
      <c r="R117" s="26">
        <v>0</v>
      </c>
      <c r="S117" s="26">
        <v>0</v>
      </c>
      <c r="T117" s="26">
        <v>0</v>
      </c>
      <c r="U117" s="26">
        <v>0</v>
      </c>
      <c r="V117" s="26">
        <v>0</v>
      </c>
      <c r="W117" s="26">
        <v>0</v>
      </c>
      <c r="X117" s="26">
        <v>0</v>
      </c>
      <c r="Y117" s="26">
        <v>0</v>
      </c>
      <c r="Z117" s="26">
        <v>0</v>
      </c>
      <c r="AA117" s="26">
        <v>0</v>
      </c>
      <c r="AB117" s="26">
        <v>0</v>
      </c>
      <c r="AC117" s="26">
        <v>0</v>
      </c>
      <c r="AD117" s="26">
        <v>0</v>
      </c>
      <c r="AE117" s="26">
        <v>0</v>
      </c>
      <c r="AF117" s="26">
        <v>0</v>
      </c>
      <c r="AG117" s="26">
        <v>0</v>
      </c>
      <c r="AH117" s="26">
        <v>0</v>
      </c>
      <c r="AI117" s="26">
        <v>0</v>
      </c>
      <c r="AJ117" s="26">
        <v>0</v>
      </c>
      <c r="AK117" s="26">
        <v>0</v>
      </c>
      <c r="AL117" s="26">
        <v>0</v>
      </c>
      <c r="AM117" s="26">
        <v>0</v>
      </c>
      <c r="AN117" s="26">
        <v>0</v>
      </c>
      <c r="AO117" s="26">
        <v>0</v>
      </c>
      <c r="AP117" s="17"/>
      <c r="AQ117" s="17"/>
      <c r="AR117" s="17"/>
      <c r="AS117" s="17"/>
      <c r="AT117" s="17"/>
      <c r="AU117" s="17"/>
      <c r="AV117" s="17"/>
      <c r="AW117" s="17"/>
      <c r="AX117" s="17"/>
      <c r="AY117" s="17"/>
      <c r="AZ117" s="17"/>
      <c r="BA117" s="17"/>
      <c r="BB117" s="17"/>
    </row>
    <row r="118" spans="1:54" x14ac:dyDescent="0.25">
      <c r="A118" s="15" t="s">
        <v>70</v>
      </c>
      <c r="B118" s="16">
        <f>'Fuel Vol and Credit Gen'!E$16</f>
        <v>0</v>
      </c>
      <c r="C118" s="16">
        <f>'Fuel Vol and Credit Gen'!I$16</f>
        <v>0</v>
      </c>
      <c r="D118" s="16">
        <f>'Fuel Vol and Credit Gen'!M$16</f>
        <v>0</v>
      </c>
      <c r="E118" s="16">
        <f>'Fuel Vol and Credit Gen'!Q$16</f>
        <v>0</v>
      </c>
      <c r="F118" s="16">
        <f>'Fuel Vol and Credit Gen'!U$16</f>
        <v>0</v>
      </c>
      <c r="G118" s="16">
        <f>'Fuel Vol and Credit Gen'!Y$16</f>
        <v>0</v>
      </c>
      <c r="H118" s="16">
        <f>'Fuel Vol and Credit Gen'!AC$16</f>
        <v>0</v>
      </c>
      <c r="I118" s="16">
        <f>'Fuel Vol and Credit Gen'!AG$16</f>
        <v>0</v>
      </c>
      <c r="J118" s="16">
        <f>'Fuel Vol and Credit Gen'!AK$16</f>
        <v>1724129</v>
      </c>
      <c r="K118" s="16">
        <f>'Fuel Vol and Credit Gen'!AO$16</f>
        <v>8606498</v>
      </c>
      <c r="L118" s="16">
        <f>'Fuel Vol and Credit Gen'!AS$16</f>
        <v>10414518</v>
      </c>
      <c r="M118" s="16">
        <f>'Fuel Vol and Credit Gen'!AW$16</f>
        <v>10330318</v>
      </c>
      <c r="N118" s="25">
        <f>'Fuel Vol and Credit Gen'!BA$16</f>
        <v>9739520</v>
      </c>
      <c r="O118" s="25">
        <f>'Fuel Vol and Credit Gen'!BD$16</f>
        <v>9024625</v>
      </c>
      <c r="P118" s="17">
        <f>FORECAST(P111,I118:O118,I111:O111)+1000000</f>
        <v>5146633.0134797962</v>
      </c>
      <c r="Q118" s="26">
        <v>0</v>
      </c>
      <c r="R118" s="26">
        <v>0</v>
      </c>
      <c r="S118" s="26">
        <v>0</v>
      </c>
      <c r="T118" s="26">
        <v>0</v>
      </c>
      <c r="U118" s="26">
        <v>0</v>
      </c>
      <c r="V118" s="26">
        <v>0</v>
      </c>
      <c r="W118" s="26">
        <v>0</v>
      </c>
      <c r="X118" s="26">
        <v>0</v>
      </c>
      <c r="Y118" s="26">
        <v>0</v>
      </c>
      <c r="Z118" s="26">
        <v>0</v>
      </c>
      <c r="AA118" s="26">
        <v>0</v>
      </c>
      <c r="AB118" s="26">
        <v>0</v>
      </c>
      <c r="AC118" s="26">
        <v>0</v>
      </c>
      <c r="AD118" s="26">
        <v>0</v>
      </c>
      <c r="AE118" s="26">
        <v>0</v>
      </c>
      <c r="AF118" s="26">
        <v>0</v>
      </c>
      <c r="AG118" s="26">
        <v>0</v>
      </c>
      <c r="AH118" s="26">
        <v>0</v>
      </c>
      <c r="AI118" s="26">
        <v>0</v>
      </c>
      <c r="AJ118" s="26">
        <v>0</v>
      </c>
      <c r="AK118" s="26">
        <v>0</v>
      </c>
      <c r="AL118" s="26">
        <v>0</v>
      </c>
      <c r="AM118" s="26">
        <v>0</v>
      </c>
      <c r="AN118" s="26">
        <v>0</v>
      </c>
      <c r="AO118" s="26">
        <v>0</v>
      </c>
      <c r="AP118" s="17"/>
      <c r="AQ118" s="17"/>
      <c r="AR118" s="17"/>
      <c r="AS118" s="17"/>
      <c r="AT118" s="17"/>
      <c r="AU118" s="17"/>
      <c r="AV118" s="17"/>
      <c r="AW118" s="17"/>
      <c r="AX118" s="17"/>
      <c r="AY118" s="17"/>
      <c r="AZ118" s="17"/>
      <c r="BA118" s="17"/>
      <c r="BB118" s="17"/>
    </row>
    <row r="119" spans="1:54" x14ac:dyDescent="0.25">
      <c r="A119" s="15" t="s">
        <v>71</v>
      </c>
      <c r="B119" s="16">
        <f>'Fuel Vol and Credit Gen'!F$16</f>
        <v>0</v>
      </c>
      <c r="C119" s="16">
        <f>'Fuel Vol and Credit Gen'!J$16</f>
        <v>0</v>
      </c>
      <c r="D119" s="16">
        <f>'Fuel Vol and Credit Gen'!N$16</f>
        <v>0</v>
      </c>
      <c r="E119" s="16">
        <f>'Fuel Vol and Credit Gen'!R$16</f>
        <v>0</v>
      </c>
      <c r="F119" s="16">
        <f>'Fuel Vol and Credit Gen'!V$16</f>
        <v>0</v>
      </c>
      <c r="G119" s="16">
        <f>'Fuel Vol and Credit Gen'!Z$16</f>
        <v>0</v>
      </c>
      <c r="H119" s="16">
        <f>'Fuel Vol and Credit Gen'!AD$16</f>
        <v>0</v>
      </c>
      <c r="I119" s="16">
        <f>'Fuel Vol and Credit Gen'!AH$16</f>
        <v>0</v>
      </c>
      <c r="J119" s="16">
        <f>'Fuel Vol and Credit Gen'!AL$16</f>
        <v>1798336</v>
      </c>
      <c r="K119" s="16">
        <f>'Fuel Vol and Credit Gen'!AP$16</f>
        <v>8556202</v>
      </c>
      <c r="L119" s="16">
        <f>'Fuel Vol and Credit Gen'!AT$16</f>
        <v>10926053</v>
      </c>
      <c r="M119" s="16">
        <f>'Fuel Vol and Credit Gen'!AX$16</f>
        <v>10876569</v>
      </c>
      <c r="N119" s="25">
        <f>'Fuel Vol and Credit Gen'!BB$16</f>
        <v>9710622</v>
      </c>
      <c r="O119" s="26">
        <f>FORECAST(O112,H119:N119,H112:N112)+10000000</f>
        <v>8492399.68102175</v>
      </c>
      <c r="P119" s="17">
        <f>FORECAST(P112,I119:O119,I112:O112)</f>
        <v>4486518.5804936439</v>
      </c>
      <c r="Q119" s="26">
        <v>0</v>
      </c>
      <c r="R119" s="26">
        <v>0</v>
      </c>
      <c r="S119" s="26">
        <v>0</v>
      </c>
      <c r="T119" s="26">
        <v>0</v>
      </c>
      <c r="U119" s="26">
        <v>0</v>
      </c>
      <c r="V119" s="26">
        <v>0</v>
      </c>
      <c r="W119" s="26">
        <v>0</v>
      </c>
      <c r="X119" s="26">
        <v>0</v>
      </c>
      <c r="Y119" s="26">
        <v>0</v>
      </c>
      <c r="Z119" s="26">
        <v>0</v>
      </c>
      <c r="AA119" s="26">
        <v>0</v>
      </c>
      <c r="AB119" s="26">
        <v>0</v>
      </c>
      <c r="AC119" s="26">
        <v>0</v>
      </c>
      <c r="AD119" s="26">
        <v>0</v>
      </c>
      <c r="AE119" s="26">
        <v>0</v>
      </c>
      <c r="AF119" s="26">
        <v>0</v>
      </c>
      <c r="AG119" s="26">
        <v>0</v>
      </c>
      <c r="AH119" s="26">
        <v>0</v>
      </c>
      <c r="AI119" s="26">
        <v>0</v>
      </c>
      <c r="AJ119" s="26">
        <v>0</v>
      </c>
      <c r="AK119" s="26">
        <v>0</v>
      </c>
      <c r="AL119" s="26">
        <v>0</v>
      </c>
      <c r="AM119" s="26">
        <v>0</v>
      </c>
      <c r="AN119" s="26">
        <v>0</v>
      </c>
      <c r="AO119" s="26">
        <v>0</v>
      </c>
      <c r="AP119" s="17"/>
      <c r="AQ119" s="17"/>
      <c r="AR119" s="17"/>
      <c r="AS119" s="17"/>
      <c r="AT119" s="17"/>
      <c r="AU119" s="17"/>
      <c r="AV119" s="17"/>
      <c r="AW119" s="17"/>
      <c r="AX119" s="17"/>
      <c r="AY119" s="17"/>
      <c r="AZ119" s="17"/>
      <c r="BA119" s="17"/>
      <c r="BB119" s="17"/>
    </row>
    <row r="120" spans="1:54" x14ac:dyDescent="0.25">
      <c r="A120" s="15" t="s">
        <v>72</v>
      </c>
      <c r="B120" s="16">
        <f>SUM(B116:B119)</f>
        <v>0</v>
      </c>
      <c r="C120" s="16">
        <f t="shared" ref="C120:AO120" si="72">SUM(C116:C119)</f>
        <v>0</v>
      </c>
      <c r="D120" s="16">
        <f t="shared" si="72"/>
        <v>0</v>
      </c>
      <c r="E120" s="16">
        <f t="shared" si="72"/>
        <v>0</v>
      </c>
      <c r="F120" s="16">
        <f t="shared" si="72"/>
        <v>0</v>
      </c>
      <c r="G120" s="16">
        <f t="shared" si="72"/>
        <v>0</v>
      </c>
      <c r="H120" s="16">
        <f t="shared" si="72"/>
        <v>0</v>
      </c>
      <c r="I120" s="16">
        <f t="shared" si="72"/>
        <v>0</v>
      </c>
      <c r="J120" s="16">
        <f t="shared" si="72"/>
        <v>4673298</v>
      </c>
      <c r="K120" s="16">
        <f t="shared" si="72"/>
        <v>31604383</v>
      </c>
      <c r="L120" s="16">
        <f t="shared" si="72"/>
        <v>40516201</v>
      </c>
      <c r="M120" s="16">
        <f t="shared" si="72"/>
        <v>42974500</v>
      </c>
      <c r="N120" s="16">
        <f t="shared" si="72"/>
        <v>38857511</v>
      </c>
      <c r="O120" s="17">
        <f>SUM(O116:O119)</f>
        <v>35893756.68102175</v>
      </c>
      <c r="P120" s="17">
        <f t="shared" si="72"/>
        <v>22024833.097623557</v>
      </c>
      <c r="Q120" s="26">
        <f t="shared" si="72"/>
        <v>0</v>
      </c>
      <c r="R120" s="26">
        <f t="shared" si="72"/>
        <v>0</v>
      </c>
      <c r="S120" s="26">
        <f t="shared" si="72"/>
        <v>0</v>
      </c>
      <c r="T120" s="26">
        <f t="shared" si="72"/>
        <v>0</v>
      </c>
      <c r="U120" s="26">
        <f t="shared" si="72"/>
        <v>0</v>
      </c>
      <c r="V120" s="26">
        <f t="shared" si="72"/>
        <v>0</v>
      </c>
      <c r="W120" s="26">
        <f t="shared" si="72"/>
        <v>0</v>
      </c>
      <c r="X120" s="26">
        <f t="shared" si="72"/>
        <v>0</v>
      </c>
      <c r="Y120" s="26">
        <f t="shared" si="72"/>
        <v>0</v>
      </c>
      <c r="Z120" s="26">
        <f t="shared" si="72"/>
        <v>0</v>
      </c>
      <c r="AA120" s="26">
        <f t="shared" si="72"/>
        <v>0</v>
      </c>
      <c r="AB120" s="26">
        <f t="shared" si="72"/>
        <v>0</v>
      </c>
      <c r="AC120" s="26">
        <f t="shared" si="72"/>
        <v>0</v>
      </c>
      <c r="AD120" s="26">
        <f t="shared" si="72"/>
        <v>0</v>
      </c>
      <c r="AE120" s="26">
        <f t="shared" si="72"/>
        <v>0</v>
      </c>
      <c r="AF120" s="26">
        <f t="shared" si="72"/>
        <v>0</v>
      </c>
      <c r="AG120" s="26">
        <f t="shared" si="72"/>
        <v>0</v>
      </c>
      <c r="AH120" s="26">
        <f t="shared" si="72"/>
        <v>0</v>
      </c>
      <c r="AI120" s="26">
        <f t="shared" si="72"/>
        <v>0</v>
      </c>
      <c r="AJ120" s="26">
        <f t="shared" si="72"/>
        <v>0</v>
      </c>
      <c r="AK120" s="26">
        <f t="shared" si="72"/>
        <v>0</v>
      </c>
      <c r="AL120" s="26">
        <f t="shared" si="72"/>
        <v>0</v>
      </c>
      <c r="AM120" s="26">
        <f t="shared" si="72"/>
        <v>0</v>
      </c>
      <c r="AN120" s="26">
        <f t="shared" si="72"/>
        <v>0</v>
      </c>
      <c r="AO120" s="26">
        <f t="shared" si="72"/>
        <v>0</v>
      </c>
      <c r="AP120" s="17"/>
      <c r="AQ120" s="17"/>
      <c r="AR120" s="17"/>
      <c r="AS120" s="17"/>
      <c r="AT120" s="17"/>
      <c r="AU120" s="17"/>
      <c r="AV120" s="17"/>
      <c r="AW120" s="17"/>
      <c r="AX120" s="17"/>
      <c r="AY120" s="17"/>
      <c r="AZ120" s="17"/>
      <c r="BA120" s="17"/>
      <c r="BB120" s="17"/>
    </row>
    <row r="121" spans="1:54" x14ac:dyDescent="0.25">
      <c r="J121" s="21">
        <f t="shared" ref="J121:AO121" si="73">J120/J113</f>
        <v>1.1102105298167426</v>
      </c>
      <c r="K121" s="21">
        <f t="shared" si="73"/>
        <v>7.33831828606231</v>
      </c>
      <c r="L121" s="21">
        <f t="shared" si="73"/>
        <v>8.8264533044028575</v>
      </c>
      <c r="M121" s="21">
        <f t="shared" si="73"/>
        <v>9.5812985145971865</v>
      </c>
      <c r="N121" s="21">
        <f t="shared" si="73"/>
        <v>8.2335056067069026</v>
      </c>
      <c r="O121" s="21">
        <f t="shared" si="73"/>
        <v>38.603656134340163</v>
      </c>
      <c r="P121" s="21">
        <f t="shared" si="73"/>
        <v>368.06820130054911</v>
      </c>
      <c r="Q121" s="21" t="e">
        <f t="shared" si="73"/>
        <v>#DIV/0!</v>
      </c>
      <c r="R121" s="21" t="e">
        <f t="shared" si="73"/>
        <v>#DIV/0!</v>
      </c>
      <c r="S121" s="21" t="e">
        <f t="shared" si="73"/>
        <v>#DIV/0!</v>
      </c>
      <c r="T121" s="21" t="e">
        <f t="shared" si="73"/>
        <v>#DIV/0!</v>
      </c>
      <c r="U121" s="21" t="e">
        <f t="shared" si="73"/>
        <v>#DIV/0!</v>
      </c>
      <c r="V121" s="21" t="e">
        <f t="shared" si="73"/>
        <v>#DIV/0!</v>
      </c>
      <c r="W121" s="21" t="e">
        <f t="shared" si="73"/>
        <v>#DIV/0!</v>
      </c>
      <c r="X121" s="21" t="e">
        <f t="shared" si="73"/>
        <v>#DIV/0!</v>
      </c>
      <c r="Y121" s="21" t="e">
        <f t="shared" si="73"/>
        <v>#DIV/0!</v>
      </c>
      <c r="Z121" s="21" t="e">
        <f t="shared" si="73"/>
        <v>#DIV/0!</v>
      </c>
      <c r="AA121" s="21" t="e">
        <f t="shared" si="73"/>
        <v>#DIV/0!</v>
      </c>
      <c r="AB121" s="21" t="e">
        <f t="shared" si="73"/>
        <v>#DIV/0!</v>
      </c>
      <c r="AC121" s="21" t="e">
        <f t="shared" si="73"/>
        <v>#DIV/0!</v>
      </c>
      <c r="AD121" s="21" t="e">
        <f t="shared" si="73"/>
        <v>#DIV/0!</v>
      </c>
      <c r="AE121" s="21" t="e">
        <f t="shared" si="73"/>
        <v>#DIV/0!</v>
      </c>
      <c r="AF121" s="21" t="e">
        <f t="shared" si="73"/>
        <v>#DIV/0!</v>
      </c>
      <c r="AG121" s="21" t="e">
        <f t="shared" si="73"/>
        <v>#DIV/0!</v>
      </c>
      <c r="AH121" s="21" t="e">
        <f t="shared" si="73"/>
        <v>#DIV/0!</v>
      </c>
      <c r="AI121" s="21" t="e">
        <f t="shared" si="73"/>
        <v>#DIV/0!</v>
      </c>
      <c r="AJ121" s="21" t="e">
        <f t="shared" si="73"/>
        <v>#DIV/0!</v>
      </c>
      <c r="AK121" s="21" t="e">
        <f t="shared" si="73"/>
        <v>#DIV/0!</v>
      </c>
      <c r="AL121" s="21" t="e">
        <f t="shared" si="73"/>
        <v>#DIV/0!</v>
      </c>
      <c r="AM121" s="21" t="e">
        <f t="shared" si="73"/>
        <v>#DIV/0!</v>
      </c>
      <c r="AN121" s="21" t="e">
        <f t="shared" si="73"/>
        <v>#DIV/0!</v>
      </c>
      <c r="AO121" s="21" t="e">
        <f t="shared" si="73"/>
        <v>#DIV/0!</v>
      </c>
      <c r="AP121" s="21"/>
      <c r="AQ121" s="21"/>
      <c r="AR121" s="21"/>
      <c r="AS121" s="21"/>
      <c r="AT121" s="21"/>
      <c r="AU121" s="21"/>
      <c r="AV121" s="21"/>
      <c r="AW121" s="21"/>
      <c r="AX121" s="21"/>
      <c r="AY121" s="21"/>
      <c r="AZ121" s="21"/>
      <c r="BA121" s="21"/>
      <c r="BB121" s="21"/>
    </row>
    <row r="123" spans="1:54" ht="18" x14ac:dyDescent="0.25">
      <c r="A123" s="11" t="s">
        <v>81</v>
      </c>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c r="AA123" s="12"/>
      <c r="AB123" s="12"/>
      <c r="AC123" s="12"/>
      <c r="AD123" s="12"/>
      <c r="AE123" s="12"/>
      <c r="AF123" s="12"/>
      <c r="AG123" s="12"/>
      <c r="AH123" s="12"/>
      <c r="AI123" s="12"/>
      <c r="AJ123" s="12"/>
      <c r="AK123" s="12"/>
      <c r="AL123" s="12"/>
      <c r="AM123" s="12"/>
      <c r="AN123" s="12"/>
      <c r="AO123" s="12"/>
      <c r="AP123" s="12"/>
      <c r="AQ123" s="12"/>
      <c r="AR123" s="12"/>
      <c r="AS123" s="12"/>
      <c r="AT123" s="12"/>
      <c r="AU123" s="12"/>
      <c r="AV123" s="12"/>
      <c r="AW123" s="12"/>
      <c r="AX123" s="12"/>
      <c r="AY123" s="12"/>
      <c r="AZ123" s="12"/>
      <c r="BA123" s="12"/>
      <c r="BB123" s="12"/>
    </row>
    <row r="124" spans="1:54" x14ac:dyDescent="0.25">
      <c r="A124" s="14" t="s">
        <v>76</v>
      </c>
    </row>
    <row r="125" spans="1:54" x14ac:dyDescent="0.25">
      <c r="B125" s="14">
        <f t="shared" ref="B125:AO125" si="74">B3</f>
        <v>2011</v>
      </c>
      <c r="C125" s="14">
        <f t="shared" si="74"/>
        <v>2012</v>
      </c>
      <c r="D125" s="14">
        <f t="shared" si="74"/>
        <v>2013</v>
      </c>
      <c r="E125" s="14">
        <f t="shared" si="74"/>
        <v>2014</v>
      </c>
      <c r="F125" s="14">
        <f t="shared" si="74"/>
        <v>2015</v>
      </c>
      <c r="G125" s="14">
        <f t="shared" si="74"/>
        <v>2016</v>
      </c>
      <c r="H125" s="14">
        <f t="shared" si="74"/>
        <v>2017</v>
      </c>
      <c r="I125" s="14">
        <f t="shared" si="74"/>
        <v>2018</v>
      </c>
      <c r="J125" s="14">
        <f t="shared" si="74"/>
        <v>2019</v>
      </c>
      <c r="K125" s="14">
        <f t="shared" si="74"/>
        <v>2020</v>
      </c>
      <c r="L125" s="14">
        <f t="shared" si="74"/>
        <v>2021</v>
      </c>
      <c r="M125" s="14">
        <f t="shared" si="74"/>
        <v>2022</v>
      </c>
      <c r="N125" s="14">
        <f t="shared" si="74"/>
        <v>2023</v>
      </c>
      <c r="O125" s="14">
        <f t="shared" si="74"/>
        <v>2024</v>
      </c>
      <c r="P125" s="14">
        <f t="shared" si="74"/>
        <v>2025</v>
      </c>
      <c r="Q125" s="14">
        <f t="shared" si="74"/>
        <v>2026</v>
      </c>
      <c r="R125" s="14">
        <f t="shared" si="74"/>
        <v>2027</v>
      </c>
      <c r="S125" s="14">
        <f t="shared" si="74"/>
        <v>2028</v>
      </c>
      <c r="T125" s="14">
        <f t="shared" si="74"/>
        <v>2029</v>
      </c>
      <c r="U125" s="14">
        <f t="shared" si="74"/>
        <v>2030</v>
      </c>
      <c r="V125" s="14">
        <f t="shared" si="74"/>
        <v>2031</v>
      </c>
      <c r="W125" s="14">
        <f t="shared" si="74"/>
        <v>2032</v>
      </c>
      <c r="X125" s="14">
        <f t="shared" si="74"/>
        <v>2033</v>
      </c>
      <c r="Y125" s="14">
        <f t="shared" si="74"/>
        <v>2034</v>
      </c>
      <c r="Z125" s="14">
        <f t="shared" si="74"/>
        <v>2035</v>
      </c>
      <c r="AA125" s="14">
        <f t="shared" si="74"/>
        <v>2036</v>
      </c>
      <c r="AB125" s="14">
        <f t="shared" si="74"/>
        <v>2037</v>
      </c>
      <c r="AC125" s="14">
        <f t="shared" si="74"/>
        <v>2038</v>
      </c>
      <c r="AD125" s="14">
        <f t="shared" si="74"/>
        <v>2039</v>
      </c>
      <c r="AE125" s="14">
        <f t="shared" si="74"/>
        <v>2040</v>
      </c>
      <c r="AF125" s="14">
        <f t="shared" si="74"/>
        <v>2041</v>
      </c>
      <c r="AG125" s="14">
        <f t="shared" si="74"/>
        <v>2042</v>
      </c>
      <c r="AH125" s="14">
        <f t="shared" si="74"/>
        <v>2043</v>
      </c>
      <c r="AI125" s="14">
        <f t="shared" si="74"/>
        <v>2044</v>
      </c>
      <c r="AJ125" s="14">
        <f t="shared" si="74"/>
        <v>2045</v>
      </c>
      <c r="AK125" s="14">
        <f t="shared" si="74"/>
        <v>2046</v>
      </c>
      <c r="AL125" s="14">
        <f t="shared" si="74"/>
        <v>2047</v>
      </c>
      <c r="AM125" s="14">
        <f t="shared" si="74"/>
        <v>2048</v>
      </c>
      <c r="AN125" s="14">
        <f t="shared" si="74"/>
        <v>2049</v>
      </c>
      <c r="AO125" s="14">
        <f t="shared" si="74"/>
        <v>2050</v>
      </c>
      <c r="AP125" s="14"/>
      <c r="AQ125" s="14"/>
      <c r="AR125" s="14"/>
      <c r="AS125" s="14"/>
      <c r="AT125" s="14"/>
      <c r="AU125" s="14"/>
      <c r="AV125" s="14"/>
      <c r="AW125" s="14"/>
      <c r="AX125" s="14"/>
      <c r="AY125" s="14"/>
      <c r="AZ125" s="14"/>
      <c r="BA125" s="14"/>
      <c r="BB125" s="14"/>
    </row>
    <row r="126" spans="1:54" x14ac:dyDescent="0.25">
      <c r="A126" s="15" t="s">
        <v>68</v>
      </c>
      <c r="B126" s="27">
        <f t="shared" ref="B126:AO130" si="75">B56/B49</f>
        <v>1.4187032153819433E-2</v>
      </c>
      <c r="C126" s="27">
        <f t="shared" si="75"/>
        <v>2.1978239944333639E-2</v>
      </c>
      <c r="D126" s="27">
        <f t="shared" si="75"/>
        <v>2.2219457456590541E-2</v>
      </c>
      <c r="E126" s="27">
        <f t="shared" si="75"/>
        <v>7.3780642273343591E-2</v>
      </c>
      <c r="F126" s="27">
        <f t="shared" si="75"/>
        <v>9.3008442190333565E-2</v>
      </c>
      <c r="G126" s="27">
        <f t="shared" si="75"/>
        <v>9.241292414651954E-2</v>
      </c>
      <c r="H126" s="27">
        <f t="shared" si="75"/>
        <v>0.14918423085348759</v>
      </c>
      <c r="I126" s="27">
        <f t="shared" si="75"/>
        <v>9.8581026940325805E-2</v>
      </c>
      <c r="J126" s="27">
        <f t="shared" si="75"/>
        <v>0.11224192324685194</v>
      </c>
      <c r="K126" s="27">
        <f t="shared" si="75"/>
        <v>0.14210851738249525</v>
      </c>
      <c r="L126" s="27">
        <f t="shared" si="75"/>
        <v>0.1671254215189521</v>
      </c>
      <c r="M126" s="27">
        <f t="shared" si="75"/>
        <v>0.20667516433294766</v>
      </c>
      <c r="N126" s="28">
        <f t="shared" si="75"/>
        <v>0.18769197836099752</v>
      </c>
      <c r="O126" s="28">
        <f t="shared" si="75"/>
        <v>0.1694862971004864</v>
      </c>
      <c r="P126" s="28">
        <f t="shared" si="75"/>
        <v>0.33543544592718821</v>
      </c>
      <c r="Q126" s="28">
        <f t="shared" si="75"/>
        <v>0.19323830434261816</v>
      </c>
      <c r="R126" s="28">
        <f t="shared" si="75"/>
        <v>0.21626984897838947</v>
      </c>
      <c r="S126" s="28">
        <f t="shared" si="75"/>
        <v>0.28538373955034108</v>
      </c>
      <c r="T126" s="28">
        <f t="shared" si="75"/>
        <v>0.23264367346447745</v>
      </c>
      <c r="U126" s="28">
        <f t="shared" si="75"/>
        <v>0.23047109251795328</v>
      </c>
      <c r="V126" s="28">
        <f t="shared" si="75"/>
        <v>0.21023659064284944</v>
      </c>
      <c r="W126" s="28">
        <f t="shared" si="75"/>
        <v>0.20826790144884505</v>
      </c>
      <c r="X126" s="28">
        <f t="shared" si="75"/>
        <v>0.21801516538017618</v>
      </c>
      <c r="Y126" s="28">
        <f t="shared" si="75"/>
        <v>0.23272669161493889</v>
      </c>
      <c r="Z126" s="28">
        <f t="shared" si="75"/>
        <v>0.24283264147263015</v>
      </c>
      <c r="AA126" s="28">
        <f t="shared" si="75"/>
        <v>0.31435956085684619</v>
      </c>
      <c r="AB126" s="28">
        <f t="shared" si="75"/>
        <v>0.43206946051018169</v>
      </c>
      <c r="AC126" s="28">
        <f t="shared" si="75"/>
        <v>0.45165647682122123</v>
      </c>
      <c r="AD126" s="28">
        <f t="shared" si="75"/>
        <v>0.59415791870187618</v>
      </c>
      <c r="AE126" s="28">
        <f t="shared" si="75"/>
        <v>1.1352172455698171</v>
      </c>
      <c r="AF126" s="28">
        <f t="shared" si="75"/>
        <v>1.0229032686452113</v>
      </c>
      <c r="AG126" s="28">
        <f t="shared" si="75"/>
        <v>1.0521996232982174</v>
      </c>
      <c r="AH126" s="28">
        <f t="shared" si="75"/>
        <v>1.3357080453548846</v>
      </c>
      <c r="AI126" s="28">
        <f t="shared" si="75"/>
        <v>1.3215888090657444</v>
      </c>
      <c r="AJ126" s="28">
        <f t="shared" si="75"/>
        <v>1.3109926849601519</v>
      </c>
      <c r="AK126" s="28">
        <f t="shared" si="75"/>
        <v>1.3190879167362479</v>
      </c>
      <c r="AL126" s="28">
        <f t="shared" si="75"/>
        <v>1.3238664253935444</v>
      </c>
      <c r="AM126" s="28">
        <f t="shared" si="75"/>
        <v>1.3000941239606096</v>
      </c>
      <c r="AN126" s="28">
        <f t="shared" si="75"/>
        <v>1.2727094434231199</v>
      </c>
      <c r="AO126" s="28">
        <f t="shared" si="75"/>
        <v>1.2794331788051831</v>
      </c>
      <c r="AP126" s="28"/>
      <c r="AQ126" s="28"/>
      <c r="AR126" s="28"/>
      <c r="AS126" s="28"/>
      <c r="AT126" s="28"/>
      <c r="AU126" s="28"/>
      <c r="AV126" s="28"/>
      <c r="AW126" s="28"/>
      <c r="AX126" s="28"/>
      <c r="AY126" s="28"/>
      <c r="AZ126" s="28"/>
      <c r="BA126" s="28"/>
      <c r="BB126" s="28"/>
    </row>
    <row r="127" spans="1:54" x14ac:dyDescent="0.25">
      <c r="A127" s="15" t="s">
        <v>69</v>
      </c>
      <c r="B127" s="27">
        <f t="shared" si="75"/>
        <v>1.1625327797135003E-2</v>
      </c>
      <c r="C127" s="27">
        <f t="shared" si="75"/>
        <v>2.1197730982240485E-2</v>
      </c>
      <c r="D127" s="27">
        <f t="shared" si="75"/>
        <v>4.0232872834128221E-2</v>
      </c>
      <c r="E127" s="27">
        <f t="shared" si="75"/>
        <v>4.9385995408545096E-2</v>
      </c>
      <c r="F127" s="27">
        <f t="shared" si="75"/>
        <v>7.9406896902985774E-2</v>
      </c>
      <c r="G127" s="27">
        <f t="shared" si="75"/>
        <v>8.8572811868002282E-2</v>
      </c>
      <c r="H127" s="27">
        <f t="shared" si="75"/>
        <v>9.0236330409701845E-2</v>
      </c>
      <c r="I127" s="27">
        <f t="shared" si="75"/>
        <v>8.6321293447083697E-2</v>
      </c>
      <c r="J127" s="27">
        <f t="shared" si="75"/>
        <v>0.12240738967393186</v>
      </c>
      <c r="K127" s="27">
        <f t="shared" si="75"/>
        <v>0.12939931129173438</v>
      </c>
      <c r="L127" s="27">
        <f t="shared" si="75"/>
        <v>0.17392372902240832</v>
      </c>
      <c r="M127" s="27">
        <f t="shared" si="75"/>
        <v>0.15996929076657551</v>
      </c>
      <c r="N127" s="28">
        <f t="shared" si="75"/>
        <v>0.13381691571861273</v>
      </c>
      <c r="O127" s="28">
        <f t="shared" si="75"/>
        <v>0.13597237149265601</v>
      </c>
      <c r="P127" s="28">
        <f t="shared" si="75"/>
        <v>0.11973938715563456</v>
      </c>
      <c r="Q127" s="28">
        <f t="shared" si="75"/>
        <v>0.13693475847096442</v>
      </c>
      <c r="R127" s="28">
        <f t="shared" si="75"/>
        <v>0.1303156055308782</v>
      </c>
      <c r="S127" s="28">
        <f t="shared" si="75"/>
        <v>8.6503100912732112E-2</v>
      </c>
      <c r="T127" s="28">
        <f t="shared" si="75"/>
        <v>0.11380850721864061</v>
      </c>
      <c r="U127" s="28">
        <f t="shared" si="75"/>
        <v>0.11620793253899771</v>
      </c>
      <c r="V127" s="28">
        <f t="shared" si="75"/>
        <v>0.12573948290030323</v>
      </c>
      <c r="W127" s="28">
        <f t="shared" si="75"/>
        <v>0.12546572908208267</v>
      </c>
      <c r="X127" s="28">
        <f t="shared" si="75"/>
        <v>0.11665452463110619</v>
      </c>
      <c r="Y127" s="28">
        <f t="shared" si="75"/>
        <v>0.11375274019624251</v>
      </c>
      <c r="Z127" s="28">
        <f t="shared" si="75"/>
        <v>0.10750957772679341</v>
      </c>
      <c r="AA127" s="28">
        <f t="shared" si="75"/>
        <v>7.711784264845814E-2</v>
      </c>
      <c r="AB127" s="28">
        <f t="shared" si="75"/>
        <v>2.9924012897645621E-2</v>
      </c>
      <c r="AC127" s="28">
        <f t="shared" si="75"/>
        <v>2.2925225991594311E-2</v>
      </c>
      <c r="AD127" s="28">
        <f t="shared" si="75"/>
        <v>-3.1057854496516504E-2</v>
      </c>
      <c r="AE127" s="28">
        <f t="shared" si="75"/>
        <v>-0.24706100225717209</v>
      </c>
      <c r="AF127" s="28">
        <f t="shared" si="75"/>
        <v>-0.19589898310892231</v>
      </c>
      <c r="AG127" s="28">
        <f t="shared" si="75"/>
        <v>-0.20432658606411519</v>
      </c>
      <c r="AH127" s="28">
        <f t="shared" si="75"/>
        <v>-0.30929339516420917</v>
      </c>
      <c r="AI127" s="28">
        <f t="shared" si="75"/>
        <v>-0.30023300878449644</v>
      </c>
      <c r="AJ127" s="28">
        <f t="shared" si="75"/>
        <v>-0.29439243815306271</v>
      </c>
      <c r="AK127" s="28">
        <f t="shared" si="75"/>
        <v>-0.2952002688209085</v>
      </c>
      <c r="AL127" s="28">
        <f t="shared" si="75"/>
        <v>-0.29356450283679919</v>
      </c>
      <c r="AM127" s="28">
        <f t="shared" si="75"/>
        <v>-0.28260963242601972</v>
      </c>
      <c r="AN127" s="28">
        <f t="shared" si="75"/>
        <v>-0.27162043392318969</v>
      </c>
      <c r="AO127" s="28">
        <f t="shared" si="75"/>
        <v>-0.25860826804505338</v>
      </c>
      <c r="AP127" s="28"/>
      <c r="AQ127" s="28"/>
      <c r="AR127" s="28"/>
      <c r="AS127" s="28"/>
      <c r="AT127" s="28"/>
      <c r="AU127" s="28"/>
      <c r="AV127" s="28"/>
      <c r="AW127" s="28"/>
      <c r="AX127" s="28"/>
      <c r="AY127" s="28"/>
      <c r="AZ127" s="28"/>
      <c r="BA127" s="28"/>
      <c r="BB127" s="28"/>
    </row>
    <row r="128" spans="1:54" x14ac:dyDescent="0.25">
      <c r="A128" s="15" t="s">
        <v>70</v>
      </c>
      <c r="B128" s="27">
        <f t="shared" si="75"/>
        <v>1.1526488648252495E-2</v>
      </c>
      <c r="C128" s="27">
        <f t="shared" si="75"/>
        <v>1.5424306656193581E-2</v>
      </c>
      <c r="D128" s="27">
        <f t="shared" si="75"/>
        <v>3.6128310067873634E-2</v>
      </c>
      <c r="E128" s="27">
        <f t="shared" si="75"/>
        <v>3.6533936611423949E-2</v>
      </c>
      <c r="F128" s="27">
        <f t="shared" si="75"/>
        <v>0.11510680708525525</v>
      </c>
      <c r="G128" s="27">
        <f t="shared" si="75"/>
        <v>0.10135558331944085</v>
      </c>
      <c r="H128" s="27">
        <f t="shared" si="75"/>
        <v>0.11017508703492429</v>
      </c>
      <c r="I128" s="27">
        <f t="shared" si="75"/>
        <v>9.8349139984272874E-2</v>
      </c>
      <c r="J128" s="27">
        <f t="shared" si="75"/>
        <v>0.12187425207350794</v>
      </c>
      <c r="K128" s="27">
        <f t="shared" si="75"/>
        <v>0.13883826304528901</v>
      </c>
      <c r="L128" s="27">
        <f t="shared" si="75"/>
        <v>0.17584573697986641</v>
      </c>
      <c r="M128" s="27">
        <f t="shared" si="75"/>
        <v>0.16767208956664123</v>
      </c>
      <c r="N128" s="28">
        <f t="shared" si="75"/>
        <v>0.15298095365760978</v>
      </c>
      <c r="O128" s="28">
        <f t="shared" si="75"/>
        <v>0.14837065201169528</v>
      </c>
      <c r="P128" s="28">
        <f t="shared" si="75"/>
        <v>0.12646036302032521</v>
      </c>
      <c r="Q128" s="28">
        <f t="shared" si="75"/>
        <v>0.15125504970323381</v>
      </c>
      <c r="R128" s="28">
        <f t="shared" si="75"/>
        <v>0.14466413096130148</v>
      </c>
      <c r="S128" s="28">
        <f t="shared" si="75"/>
        <v>0.10390056508693747</v>
      </c>
      <c r="T128" s="28">
        <f t="shared" si="75"/>
        <v>0.12741564203421549</v>
      </c>
      <c r="U128" s="28">
        <f t="shared" si="75"/>
        <v>0.12991987798847973</v>
      </c>
      <c r="V128" s="28">
        <f t="shared" si="75"/>
        <v>0.12915703146815605</v>
      </c>
      <c r="W128" s="28">
        <f t="shared" si="75"/>
        <v>0.13772354921012708</v>
      </c>
      <c r="X128" s="28">
        <f t="shared" si="75"/>
        <v>0.14378442079738724</v>
      </c>
      <c r="Y128" s="28">
        <f t="shared" si="75"/>
        <v>0.14015096559343748</v>
      </c>
      <c r="Z128" s="28">
        <f t="shared" si="75"/>
        <v>0.13414177008931485</v>
      </c>
      <c r="AA128" s="28">
        <f t="shared" si="75"/>
        <v>0.14607851563218438</v>
      </c>
      <c r="AB128" s="28">
        <f t="shared" si="75"/>
        <v>0.16167793983245685</v>
      </c>
      <c r="AC128" s="28">
        <f t="shared" si="75"/>
        <v>0.17034787932325046</v>
      </c>
      <c r="AD128" s="28">
        <f t="shared" si="75"/>
        <v>0.19063359454911324</v>
      </c>
      <c r="AE128" s="28">
        <f t="shared" si="75"/>
        <v>0.27395731093509645</v>
      </c>
      <c r="AF128" s="28">
        <f t="shared" si="75"/>
        <v>0.26726846628361145</v>
      </c>
      <c r="AG128" s="28">
        <f t="shared" si="75"/>
        <v>0.27926958023825077</v>
      </c>
      <c r="AH128" s="28">
        <f t="shared" si="75"/>
        <v>0.3339452345465041</v>
      </c>
      <c r="AI128" s="28">
        <f t="shared" si="75"/>
        <v>0.33669781366114765</v>
      </c>
      <c r="AJ128" s="28">
        <f t="shared" si="75"/>
        <v>0.33802951979584495</v>
      </c>
      <c r="AK128" s="28">
        <f t="shared" si="75"/>
        <v>0.34365972164295061</v>
      </c>
      <c r="AL128" s="28">
        <f t="shared" si="75"/>
        <v>0.34998194132918642</v>
      </c>
      <c r="AM128" s="28">
        <f t="shared" si="75"/>
        <v>0.34888557291061756</v>
      </c>
      <c r="AN128" s="28">
        <f t="shared" si="75"/>
        <v>0.34483896819224741</v>
      </c>
      <c r="AO128" s="28">
        <f t="shared" si="75"/>
        <v>0.37190356914146194</v>
      </c>
      <c r="AP128" s="28"/>
      <c r="AQ128" s="28"/>
      <c r="AR128" s="28"/>
      <c r="AS128" s="28"/>
      <c r="AT128" s="28"/>
      <c r="AU128" s="28"/>
      <c r="AV128" s="28"/>
      <c r="AW128" s="28"/>
      <c r="AX128" s="28"/>
      <c r="AY128" s="28"/>
      <c r="AZ128" s="28"/>
      <c r="BA128" s="28"/>
      <c r="BB128" s="28"/>
    </row>
    <row r="129" spans="1:54" x14ac:dyDescent="0.25">
      <c r="A129" s="15" t="s">
        <v>71</v>
      </c>
      <c r="B129" s="27">
        <f t="shared" si="75"/>
        <v>1.2186790603041522E-2</v>
      </c>
      <c r="C129" s="27">
        <f t="shared" si="75"/>
        <v>2.0444623708854019E-2</v>
      </c>
      <c r="D129" s="27">
        <f t="shared" si="75"/>
        <v>6.6472360139694736E-2</v>
      </c>
      <c r="E129" s="27">
        <f t="shared" si="75"/>
        <v>5.4317910226760913E-2</v>
      </c>
      <c r="F129" s="27">
        <f t="shared" si="75"/>
        <v>0.1136918404328596</v>
      </c>
      <c r="G129" s="27">
        <f t="shared" si="75"/>
        <v>0.11374102920986812</v>
      </c>
      <c r="H129" s="27">
        <f t="shared" si="75"/>
        <v>9.5169854527307571E-2</v>
      </c>
      <c r="I129" s="27">
        <f t="shared" si="75"/>
        <v>0.11331711751191498</v>
      </c>
      <c r="J129" s="27">
        <f t="shared" si="75"/>
        <v>0.1367808148645413</v>
      </c>
      <c r="K129" s="27">
        <f t="shared" si="75"/>
        <v>0.17324473722524153</v>
      </c>
      <c r="L129" s="27">
        <f t="shared" si="75"/>
        <v>0.16327424189784437</v>
      </c>
      <c r="M129" s="28">
        <f t="shared" si="75"/>
        <v>0.16683509512253941</v>
      </c>
      <c r="N129" s="28">
        <f t="shared" si="75"/>
        <v>0.17583349375813295</v>
      </c>
      <c r="O129" s="28">
        <f t="shared" si="75"/>
        <v>0.11957486879961236</v>
      </c>
      <c r="P129" s="28">
        <f t="shared" si="75"/>
        <v>0.10952733083881304</v>
      </c>
      <c r="Q129" s="28">
        <f t="shared" si="75"/>
        <v>0.18026435801182503</v>
      </c>
      <c r="R129" s="28">
        <f t="shared" si="75"/>
        <v>0.17591798328701055</v>
      </c>
      <c r="S129" s="28">
        <f t="shared" si="75"/>
        <v>0.23968574704350487</v>
      </c>
      <c r="T129" s="28">
        <f t="shared" si="75"/>
        <v>0.17831827778565615</v>
      </c>
      <c r="U129" s="28">
        <f t="shared" si="75"/>
        <v>0.20298243787169032</v>
      </c>
      <c r="V129" s="28">
        <f t="shared" si="75"/>
        <v>0.196991491290604</v>
      </c>
      <c r="W129" s="28">
        <f t="shared" si="75"/>
        <v>0.1755719046646515</v>
      </c>
      <c r="X129" s="28">
        <f t="shared" si="75"/>
        <v>0.2095394111531442</v>
      </c>
      <c r="Y129" s="28">
        <f t="shared" si="75"/>
        <v>0.20920037091874438</v>
      </c>
      <c r="Z129" s="28">
        <f t="shared" si="75"/>
        <v>0.2210485107402588</v>
      </c>
      <c r="AA129" s="28">
        <f t="shared" si="75"/>
        <v>0.26467997117847109</v>
      </c>
      <c r="AB129" s="28">
        <f t="shared" si="75"/>
        <v>0.33586854035853503</v>
      </c>
      <c r="AC129" s="28">
        <f t="shared" si="75"/>
        <v>0.35155594546779145</v>
      </c>
      <c r="AD129" s="28">
        <f t="shared" si="75"/>
        <v>0.43667145123540918</v>
      </c>
      <c r="AE129" s="28">
        <f t="shared" si="75"/>
        <v>0.76881656085253958</v>
      </c>
      <c r="AF129" s="28">
        <f t="shared" si="75"/>
        <v>0.68858531939075596</v>
      </c>
      <c r="AG129" s="28">
        <f t="shared" si="75"/>
        <v>0.70250630768635802</v>
      </c>
      <c r="AH129" s="28">
        <f t="shared" si="75"/>
        <v>0.8668465569421846</v>
      </c>
      <c r="AI129" s="28">
        <f t="shared" si="75"/>
        <v>0.85198791276899144</v>
      </c>
      <c r="AJ129" s="28">
        <f t="shared" si="75"/>
        <v>0.84260467468190436</v>
      </c>
      <c r="AK129" s="28">
        <f t="shared" si="75"/>
        <v>0.84333126182219187</v>
      </c>
      <c r="AL129" s="28">
        <f t="shared" si="75"/>
        <v>0.84150305144769044</v>
      </c>
      <c r="AM129" s="28">
        <f t="shared" si="75"/>
        <v>0.82443252738592665</v>
      </c>
      <c r="AN129" s="28">
        <f t="shared" si="75"/>
        <v>0.80719170529633355</v>
      </c>
      <c r="AO129" s="28">
        <f t="shared" si="75"/>
        <v>0.78677967014062578</v>
      </c>
      <c r="AP129" s="28"/>
      <c r="AQ129" s="28"/>
      <c r="AR129" s="28"/>
      <c r="AS129" s="28"/>
      <c r="AT129" s="28"/>
      <c r="AU129" s="28"/>
      <c r="AV129" s="28"/>
      <c r="AW129" s="28"/>
      <c r="AX129" s="28"/>
      <c r="AY129" s="28"/>
      <c r="AZ129" s="28"/>
      <c r="BA129" s="28"/>
      <c r="BB129" s="28"/>
    </row>
    <row r="130" spans="1:54" x14ac:dyDescent="0.25">
      <c r="A130" s="15" t="s">
        <v>72</v>
      </c>
      <c r="B130" s="27">
        <f t="shared" si="75"/>
        <v>1.2138032877068404E-2</v>
      </c>
      <c r="C130" s="27">
        <f t="shared" si="75"/>
        <v>1.9657454896115679E-2</v>
      </c>
      <c r="D130" s="27">
        <f t="shared" si="75"/>
        <v>4.3451125479797834E-2</v>
      </c>
      <c r="E130" s="27">
        <f t="shared" si="75"/>
        <v>5.1150624359024399E-2</v>
      </c>
      <c r="F130" s="27">
        <f t="shared" si="75"/>
        <v>0.1008193130428614</v>
      </c>
      <c r="G130" s="27">
        <f t="shared" si="75"/>
        <v>0.10004500424559723</v>
      </c>
      <c r="H130" s="27">
        <f t="shared" si="75"/>
        <v>0.10688910108053913</v>
      </c>
      <c r="I130" s="27">
        <f t="shared" si="75"/>
        <v>9.9414056870839193E-2</v>
      </c>
      <c r="J130" s="27">
        <f t="shared" si="75"/>
        <v>0.12345149019692081</v>
      </c>
      <c r="K130" s="27">
        <f t="shared" si="75"/>
        <v>0.14600715986670415</v>
      </c>
      <c r="L130" s="27">
        <f t="shared" si="75"/>
        <v>0.17016721145690605</v>
      </c>
      <c r="M130" s="28">
        <f t="shared" si="75"/>
        <v>0.17353560933636131</v>
      </c>
      <c r="N130" s="28">
        <f t="shared" si="75"/>
        <v>0.16108242437954925</v>
      </c>
      <c r="O130" s="28">
        <f t="shared" si="75"/>
        <v>0.14224773523711939</v>
      </c>
      <c r="P130" s="28">
        <f t="shared" si="75"/>
        <v>0.15022986536692048</v>
      </c>
      <c r="Q130" s="28">
        <f t="shared" si="75"/>
        <v>0.16424480005944062</v>
      </c>
      <c r="R130" s="28">
        <f t="shared" si="75"/>
        <v>0.16417918353388714</v>
      </c>
      <c r="S130" s="28">
        <f t="shared" si="75"/>
        <v>0.17410009658102726</v>
      </c>
      <c r="T130" s="28">
        <f t="shared" si="75"/>
        <v>0.15949016791609522</v>
      </c>
      <c r="U130" s="28">
        <f t="shared" si="75"/>
        <v>0.16680976549576626</v>
      </c>
      <c r="V130" s="28">
        <f t="shared" si="75"/>
        <v>0.16361258586420571</v>
      </c>
      <c r="W130" s="28">
        <f t="shared" si="75"/>
        <v>0.15935701041927694</v>
      </c>
      <c r="X130" s="28">
        <f t="shared" si="75"/>
        <v>0.1702817196764681</v>
      </c>
      <c r="Y130" s="28">
        <f t="shared" si="75"/>
        <v>0.17150096912397406</v>
      </c>
      <c r="Z130" s="28">
        <f t="shared" si="75"/>
        <v>0.17363816038866095</v>
      </c>
      <c r="AA130" s="28">
        <f t="shared" si="75"/>
        <v>0.19565077270059195</v>
      </c>
      <c r="AB130" s="28">
        <f t="shared" si="75"/>
        <v>0.2315100881222508</v>
      </c>
      <c r="AC130" s="28">
        <f t="shared" si="75"/>
        <v>0.24049366973719741</v>
      </c>
      <c r="AD130" s="28">
        <f t="shared" si="75"/>
        <v>0.28460270225167267</v>
      </c>
      <c r="AE130" s="28">
        <f t="shared" si="75"/>
        <v>0.45383005893467415</v>
      </c>
      <c r="AF130" s="28">
        <f t="shared" si="75"/>
        <v>0.41999519633164972</v>
      </c>
      <c r="AG130" s="28">
        <f t="shared" si="75"/>
        <v>0.43096629344376802</v>
      </c>
      <c r="AH130" s="28">
        <f t="shared" si="75"/>
        <v>0.52210195601089426</v>
      </c>
      <c r="AI130" s="28">
        <f t="shared" si="75"/>
        <v>0.51799281908720396</v>
      </c>
      <c r="AJ130" s="28">
        <f t="shared" si="75"/>
        <v>0.51509036833435096</v>
      </c>
      <c r="AK130" s="28">
        <f t="shared" si="75"/>
        <v>0.51824593817612896</v>
      </c>
      <c r="AL130" s="28">
        <f t="shared" si="75"/>
        <v>0.52083560131568685</v>
      </c>
      <c r="AM130" s="28">
        <f t="shared" si="75"/>
        <v>0.51375915056884902</v>
      </c>
      <c r="AN130" s="28">
        <f t="shared" si="75"/>
        <v>0.50511044954013762</v>
      </c>
      <c r="AO130" s="28">
        <f t="shared" si="75"/>
        <v>0.51133324449768325</v>
      </c>
      <c r="AP130" s="28"/>
      <c r="AQ130" s="28"/>
      <c r="AR130" s="28"/>
      <c r="AS130" s="28"/>
      <c r="AT130" s="28"/>
      <c r="AU130" s="28"/>
      <c r="AV130" s="28"/>
      <c r="AW130" s="28"/>
      <c r="AX130" s="28"/>
      <c r="AY130" s="28"/>
      <c r="AZ130" s="28"/>
      <c r="BA130" s="28"/>
      <c r="BB130" s="28"/>
    </row>
    <row r="131" spans="1:54" x14ac:dyDescent="0.25">
      <c r="A131" s="15"/>
      <c r="B131" s="27"/>
      <c r="C131" s="27"/>
      <c r="D131" s="27"/>
      <c r="E131" s="27"/>
      <c r="F131" s="27"/>
      <c r="G131" s="27"/>
      <c r="H131" s="27"/>
      <c r="I131" s="27"/>
      <c r="J131" s="27"/>
      <c r="K131" s="27"/>
      <c r="L131" s="27"/>
      <c r="M131" s="28"/>
      <c r="N131" s="28"/>
      <c r="O131" s="28"/>
      <c r="P131" s="28"/>
      <c r="Q131" s="28"/>
      <c r="R131" s="28"/>
      <c r="S131" s="28"/>
      <c r="T131" s="28"/>
      <c r="U131" s="28"/>
      <c r="V131" s="28"/>
      <c r="W131" s="28"/>
      <c r="X131" s="28"/>
      <c r="Y131" s="28"/>
      <c r="Z131" s="28"/>
      <c r="AA131" s="28"/>
      <c r="AB131" s="28"/>
      <c r="AC131" s="28"/>
      <c r="AD131" s="28"/>
      <c r="AE131" s="28"/>
      <c r="AF131" s="28"/>
      <c r="AG131" s="28"/>
      <c r="AH131" s="28"/>
      <c r="AI131" s="28"/>
      <c r="AJ131" s="28"/>
      <c r="AK131" s="28"/>
      <c r="AL131" s="28"/>
      <c r="AM131" s="28"/>
      <c r="AN131" s="28"/>
      <c r="AO131" s="28"/>
      <c r="AP131" s="28"/>
      <c r="AQ131" s="28"/>
      <c r="AR131" s="28"/>
      <c r="AS131" s="28"/>
      <c r="AT131" s="28"/>
      <c r="AU131" s="28"/>
      <c r="AV131" s="28"/>
      <c r="AW131" s="28"/>
      <c r="AX131" s="28"/>
      <c r="AY131" s="28"/>
      <c r="AZ131" s="28"/>
      <c r="BA131" s="28"/>
      <c r="BB131" s="28"/>
    </row>
    <row r="132" spans="1:54" x14ac:dyDescent="0.25">
      <c r="A132" s="14" t="s">
        <v>77</v>
      </c>
    </row>
    <row r="133" spans="1:54" x14ac:dyDescent="0.25">
      <c r="B133" s="14">
        <f t="shared" ref="B133:AO133" si="76">B3</f>
        <v>2011</v>
      </c>
      <c r="C133" s="14">
        <f t="shared" si="76"/>
        <v>2012</v>
      </c>
      <c r="D133" s="14">
        <f t="shared" si="76"/>
        <v>2013</v>
      </c>
      <c r="E133" s="14">
        <f t="shared" si="76"/>
        <v>2014</v>
      </c>
      <c r="F133" s="14">
        <f t="shared" si="76"/>
        <v>2015</v>
      </c>
      <c r="G133" s="14">
        <f t="shared" si="76"/>
        <v>2016</v>
      </c>
      <c r="H133" s="14">
        <f t="shared" si="76"/>
        <v>2017</v>
      </c>
      <c r="I133" s="14">
        <f t="shared" si="76"/>
        <v>2018</v>
      </c>
      <c r="J133" s="14">
        <f t="shared" si="76"/>
        <v>2019</v>
      </c>
      <c r="K133" s="14">
        <f t="shared" si="76"/>
        <v>2020</v>
      </c>
      <c r="L133" s="14">
        <f t="shared" si="76"/>
        <v>2021</v>
      </c>
      <c r="M133" s="14">
        <f t="shared" si="76"/>
        <v>2022</v>
      </c>
      <c r="N133" s="14">
        <f t="shared" si="76"/>
        <v>2023</v>
      </c>
      <c r="O133" s="14">
        <f t="shared" si="76"/>
        <v>2024</v>
      </c>
      <c r="P133" s="14">
        <f t="shared" si="76"/>
        <v>2025</v>
      </c>
      <c r="Q133" s="14">
        <f t="shared" si="76"/>
        <v>2026</v>
      </c>
      <c r="R133" s="14">
        <f t="shared" si="76"/>
        <v>2027</v>
      </c>
      <c r="S133" s="14">
        <f t="shared" si="76"/>
        <v>2028</v>
      </c>
      <c r="T133" s="14">
        <f t="shared" si="76"/>
        <v>2029</v>
      </c>
      <c r="U133" s="14">
        <f t="shared" si="76"/>
        <v>2030</v>
      </c>
      <c r="V133" s="14">
        <f t="shared" si="76"/>
        <v>2031</v>
      </c>
      <c r="W133" s="14">
        <f t="shared" si="76"/>
        <v>2032</v>
      </c>
      <c r="X133" s="14">
        <f t="shared" si="76"/>
        <v>2033</v>
      </c>
      <c r="Y133" s="14">
        <f t="shared" si="76"/>
        <v>2034</v>
      </c>
      <c r="Z133" s="14">
        <f t="shared" si="76"/>
        <v>2035</v>
      </c>
      <c r="AA133" s="14">
        <f t="shared" si="76"/>
        <v>2036</v>
      </c>
      <c r="AB133" s="14">
        <f t="shared" si="76"/>
        <v>2037</v>
      </c>
      <c r="AC133" s="14">
        <f t="shared" si="76"/>
        <v>2038</v>
      </c>
      <c r="AD133" s="14">
        <f t="shared" si="76"/>
        <v>2039</v>
      </c>
      <c r="AE133" s="14">
        <f t="shared" si="76"/>
        <v>2040</v>
      </c>
      <c r="AF133" s="14">
        <f t="shared" si="76"/>
        <v>2041</v>
      </c>
      <c r="AG133" s="14">
        <f t="shared" si="76"/>
        <v>2042</v>
      </c>
      <c r="AH133" s="14">
        <f t="shared" si="76"/>
        <v>2043</v>
      </c>
      <c r="AI133" s="14">
        <f t="shared" si="76"/>
        <v>2044</v>
      </c>
      <c r="AJ133" s="14">
        <f t="shared" si="76"/>
        <v>2045</v>
      </c>
      <c r="AK133" s="14">
        <f t="shared" si="76"/>
        <v>2046</v>
      </c>
      <c r="AL133" s="14">
        <f t="shared" si="76"/>
        <v>2047</v>
      </c>
      <c r="AM133" s="14">
        <f t="shared" si="76"/>
        <v>2048</v>
      </c>
      <c r="AN133" s="14">
        <f t="shared" si="76"/>
        <v>2049</v>
      </c>
      <c r="AO133" s="14">
        <f t="shared" si="76"/>
        <v>2050</v>
      </c>
      <c r="AP133" s="14"/>
      <c r="AQ133" s="14"/>
      <c r="AR133" s="14"/>
      <c r="AS133" s="14"/>
      <c r="AT133" s="14"/>
      <c r="AU133" s="14"/>
      <c r="AV133" s="14"/>
      <c r="AW133" s="14"/>
      <c r="AX133" s="14"/>
      <c r="AY133" s="14"/>
      <c r="AZ133" s="14"/>
      <c r="BA133" s="14"/>
      <c r="BB133" s="14"/>
    </row>
    <row r="134" spans="1:54" x14ac:dyDescent="0.25">
      <c r="A134" s="15" t="s">
        <v>68</v>
      </c>
      <c r="B134" s="27">
        <f t="shared" ref="B134:AO138" si="77">B71/B64</f>
        <v>3.808091465564839E-2</v>
      </c>
      <c r="C134" s="27">
        <f t="shared" si="77"/>
        <v>4.4852226883564557E-2</v>
      </c>
      <c r="D134" s="27">
        <f t="shared" si="77"/>
        <v>0.33844314575353734</v>
      </c>
      <c r="E134" s="27">
        <f t="shared" si="77"/>
        <v>0.27941397899594644</v>
      </c>
      <c r="F134" s="27">
        <f t="shared" si="77"/>
        <v>0.36797040045362778</v>
      </c>
      <c r="G134" s="27">
        <f t="shared" si="77"/>
        <v>0.62622995962379802</v>
      </c>
      <c r="H134" s="27">
        <f t="shared" si="77"/>
        <v>0.67076022717501438</v>
      </c>
      <c r="I134" s="27">
        <f t="shared" si="77"/>
        <v>0.88863975451007315</v>
      </c>
      <c r="J134" s="27">
        <f t="shared" si="77"/>
        <v>0.94361968315404854</v>
      </c>
      <c r="K134" s="27">
        <f t="shared" si="77"/>
        <v>0.64514473593427357</v>
      </c>
      <c r="L134" s="27">
        <f t="shared" si="77"/>
        <v>0.77004929938193534</v>
      </c>
      <c r="M134" s="27">
        <f t="shared" si="77"/>
        <v>0.79329585691723081</v>
      </c>
      <c r="N134" s="28">
        <f>N71/N64</f>
        <v>0.70404363208964271</v>
      </c>
      <c r="O134" s="28">
        <f t="shared" si="77"/>
        <v>0.66224777488926356</v>
      </c>
      <c r="P134" s="28">
        <f t="shared" si="77"/>
        <v>0.68934859947465843</v>
      </c>
      <c r="Q134" s="28">
        <f t="shared" si="77"/>
        <v>0.69028839152354038</v>
      </c>
      <c r="R134" s="28">
        <f t="shared" si="77"/>
        <v>0.68683841359464903</v>
      </c>
      <c r="S134" s="28">
        <f t="shared" si="77"/>
        <v>0.69058776279851453</v>
      </c>
      <c r="T134" s="28">
        <f t="shared" si="77"/>
        <v>0.69125720716757111</v>
      </c>
      <c r="U134" s="28">
        <f t="shared" si="77"/>
        <v>0.68367232568876435</v>
      </c>
      <c r="V134" s="28">
        <f t="shared" si="77"/>
        <v>0.67317332284189069</v>
      </c>
      <c r="W134" s="28">
        <f t="shared" si="77"/>
        <v>0.65791527813409822</v>
      </c>
      <c r="X134" s="28">
        <f t="shared" si="77"/>
        <v>0.65832298510759812</v>
      </c>
      <c r="Y134" s="28">
        <f t="shared" si="77"/>
        <v>0.66092190987890831</v>
      </c>
      <c r="Z134" s="28">
        <f t="shared" si="77"/>
        <v>0.65205735131886255</v>
      </c>
      <c r="AA134" s="28">
        <f t="shared" si="77"/>
        <v>0.64744148865422357</v>
      </c>
      <c r="AB134" s="28">
        <f t="shared" si="77"/>
        <v>0.63846852426521039</v>
      </c>
      <c r="AC134" s="28">
        <f t="shared" si="77"/>
        <v>0.63214920373702443</v>
      </c>
      <c r="AD134" s="28">
        <f t="shared" si="77"/>
        <v>0.63175246630237347</v>
      </c>
      <c r="AE134" s="28">
        <f t="shared" si="77"/>
        <v>0.64042470009309593</v>
      </c>
      <c r="AF134" s="28">
        <f t="shared" si="77"/>
        <v>0.63649099544472876</v>
      </c>
      <c r="AG134" s="28">
        <f t="shared" si="77"/>
        <v>0.63288570230808483</v>
      </c>
      <c r="AH134" s="28">
        <f t="shared" si="77"/>
        <v>0.62787319608005376</v>
      </c>
      <c r="AI134" s="28">
        <f t="shared" si="77"/>
        <v>0.62670554307917636</v>
      </c>
      <c r="AJ134" s="28">
        <f t="shared" si="77"/>
        <v>0.62702840627105738</v>
      </c>
      <c r="AK134" s="28">
        <f t="shared" si="77"/>
        <v>0.62985065340671809</v>
      </c>
      <c r="AL134" s="28">
        <f t="shared" si="77"/>
        <v>0.62749229983283406</v>
      </c>
      <c r="AM134" s="28">
        <f t="shared" si="77"/>
        <v>0.62549039304486198</v>
      </c>
      <c r="AN134" s="28">
        <f t="shared" si="77"/>
        <v>0.62354087186872009</v>
      </c>
      <c r="AO134" s="28">
        <f t="shared" si="77"/>
        <v>0.62130901248389681</v>
      </c>
      <c r="AP134" s="28"/>
      <c r="AQ134" s="28"/>
      <c r="AR134" s="28"/>
      <c r="AS134" s="28"/>
      <c r="AT134" s="28"/>
      <c r="AU134" s="28"/>
      <c r="AV134" s="28"/>
      <c r="AW134" s="28"/>
      <c r="AX134" s="28"/>
      <c r="AY134" s="28"/>
      <c r="AZ134" s="28"/>
      <c r="BA134" s="28"/>
      <c r="BB134" s="28"/>
    </row>
    <row r="135" spans="1:54" x14ac:dyDescent="0.25">
      <c r="A135" s="15" t="s">
        <v>69</v>
      </c>
      <c r="B135" s="27">
        <f t="shared" si="77"/>
        <v>2.5393281592273685E-2</v>
      </c>
      <c r="C135" s="27">
        <f t="shared" si="77"/>
        <v>4.0888370318328211E-2</v>
      </c>
      <c r="D135" s="27">
        <f t="shared" si="77"/>
        <v>0.54869774829199869</v>
      </c>
      <c r="E135" s="27">
        <f t="shared" si="77"/>
        <v>0.24842273776483667</v>
      </c>
      <c r="F135" s="27">
        <f t="shared" si="77"/>
        <v>0.45015059917925526</v>
      </c>
      <c r="G135" s="27">
        <f t="shared" si="77"/>
        <v>0.62855406745974096</v>
      </c>
      <c r="H135" s="27">
        <f t="shared" si="77"/>
        <v>0.80059597654007919</v>
      </c>
      <c r="I135" s="27">
        <f t="shared" si="77"/>
        <v>0.80180276172966169</v>
      </c>
      <c r="J135" s="27">
        <f t="shared" si="77"/>
        <v>0.79551645174664631</v>
      </c>
      <c r="K135" s="27">
        <f t="shared" si="77"/>
        <v>0.70865287907779051</v>
      </c>
      <c r="L135" s="27">
        <f t="shared" si="77"/>
        <v>0.77411878389460609</v>
      </c>
      <c r="M135" s="27">
        <f t="shared" si="77"/>
        <v>0.74320003022133596</v>
      </c>
      <c r="N135" s="28">
        <f t="shared" si="77"/>
        <v>0.66691632958352309</v>
      </c>
      <c r="O135" s="28">
        <f t="shared" si="77"/>
        <v>0.67003012684314567</v>
      </c>
      <c r="P135" s="28">
        <f t="shared" si="77"/>
        <v>0.68419874948383863</v>
      </c>
      <c r="Q135" s="28">
        <f t="shared" si="77"/>
        <v>0.6811643191315232</v>
      </c>
      <c r="R135" s="28">
        <f t="shared" si="77"/>
        <v>0.67718687858662729</v>
      </c>
      <c r="S135" s="28">
        <f t="shared" si="77"/>
        <v>0.68186786512299891</v>
      </c>
      <c r="T135" s="28">
        <f t="shared" si="77"/>
        <v>0.68226620124311821</v>
      </c>
      <c r="U135" s="28">
        <f t="shared" si="77"/>
        <v>0.67698479668241474</v>
      </c>
      <c r="V135" s="28">
        <f t="shared" si="77"/>
        <v>0.67476047481579404</v>
      </c>
      <c r="W135" s="28">
        <f t="shared" si="77"/>
        <v>0.66770848724541276</v>
      </c>
      <c r="X135" s="28">
        <f t="shared" si="77"/>
        <v>0.66773460720213063</v>
      </c>
      <c r="Y135" s="28">
        <f t="shared" si="77"/>
        <v>0.66885891777987128</v>
      </c>
      <c r="Z135" s="28">
        <f t="shared" si="77"/>
        <v>0.66486167215199299</v>
      </c>
      <c r="AA135" s="28">
        <f t="shared" si="77"/>
        <v>0.66317998597517369</v>
      </c>
      <c r="AB135" s="28">
        <f t="shared" si="77"/>
        <v>0.65975259091699556</v>
      </c>
      <c r="AC135" s="28">
        <f t="shared" si="77"/>
        <v>0.65684286896740018</v>
      </c>
      <c r="AD135" s="28">
        <f t="shared" si="77"/>
        <v>0.65679614711255696</v>
      </c>
      <c r="AE135" s="28">
        <f t="shared" si="77"/>
        <v>0.66036832364958287</v>
      </c>
      <c r="AF135" s="28">
        <f t="shared" si="77"/>
        <v>0.65875403590067694</v>
      </c>
      <c r="AG135" s="28">
        <f t="shared" si="77"/>
        <v>0.65726982494593478</v>
      </c>
      <c r="AH135" s="28">
        <f t="shared" si="77"/>
        <v>0.65517804659448486</v>
      </c>
      <c r="AI135" s="28">
        <f t="shared" si="77"/>
        <v>0.65465522792725295</v>
      </c>
      <c r="AJ135" s="28">
        <f t="shared" si="77"/>
        <v>0.65480579085391921</v>
      </c>
      <c r="AK135" s="28">
        <f t="shared" si="77"/>
        <v>0.65599461093595801</v>
      </c>
      <c r="AL135" s="28">
        <f t="shared" si="77"/>
        <v>0.65500368791418884</v>
      </c>
      <c r="AM135" s="28">
        <f t="shared" si="77"/>
        <v>0.65416450234727563</v>
      </c>
      <c r="AN135" s="28">
        <f t="shared" si="77"/>
        <v>0.653340343980788</v>
      </c>
      <c r="AO135" s="28">
        <f t="shared" si="77"/>
        <v>0.65239928819215176</v>
      </c>
      <c r="AP135" s="28"/>
      <c r="AQ135" s="28"/>
      <c r="AR135" s="28"/>
      <c r="AS135" s="28"/>
      <c r="AT135" s="28"/>
      <c r="AU135" s="28"/>
      <c r="AV135" s="28"/>
      <c r="AW135" s="28"/>
      <c r="AX135" s="28"/>
      <c r="AY135" s="28"/>
      <c r="AZ135" s="28"/>
      <c r="BA135" s="28"/>
      <c r="BB135" s="28"/>
    </row>
    <row r="136" spans="1:54" x14ac:dyDescent="0.25">
      <c r="A136" s="15" t="s">
        <v>70</v>
      </c>
      <c r="B136" s="27">
        <f t="shared" si="77"/>
        <v>2.220873479697736E-2</v>
      </c>
      <c r="C136" s="27">
        <f t="shared" si="77"/>
        <v>2.9675451654988475E-2</v>
      </c>
      <c r="D136" s="27">
        <f t="shared" si="77"/>
        <v>0.37905586616164272</v>
      </c>
      <c r="E136" s="27">
        <f t="shared" si="77"/>
        <v>0.41922645295329003</v>
      </c>
      <c r="F136" s="27">
        <f t="shared" si="77"/>
        <v>0.4376441963426661</v>
      </c>
      <c r="G136" s="27">
        <f t="shared" si="77"/>
        <v>0.42970073649211071</v>
      </c>
      <c r="H136" s="27">
        <f t="shared" si="77"/>
        <v>0.67824110761774192</v>
      </c>
      <c r="I136" s="27">
        <f t="shared" si="77"/>
        <v>0.53579882004714352</v>
      </c>
      <c r="J136" s="27">
        <f t="shared" si="77"/>
        <v>0.61317091247434385</v>
      </c>
      <c r="K136" s="27">
        <f t="shared" si="77"/>
        <v>0.5471423882174089</v>
      </c>
      <c r="L136" s="27">
        <f t="shared" si="77"/>
        <v>0.86063897214841312</v>
      </c>
      <c r="M136" s="27">
        <f t="shared" si="77"/>
        <v>0.82085389198981829</v>
      </c>
      <c r="N136" s="28">
        <f t="shared" si="77"/>
        <v>0.72644772339391928</v>
      </c>
      <c r="O136" s="28">
        <f t="shared" si="77"/>
        <v>0.6</v>
      </c>
      <c r="P136" s="28">
        <f t="shared" si="77"/>
        <v>0.91368498117597763</v>
      </c>
      <c r="Q136" s="28">
        <f t="shared" si="77"/>
        <v>0.72165402237406129</v>
      </c>
      <c r="R136" s="28">
        <f t="shared" si="77"/>
        <v>0.71166827095461738</v>
      </c>
      <c r="S136" s="28">
        <f t="shared" si="77"/>
        <v>0.71418038770151793</v>
      </c>
      <c r="T136" s="28">
        <f t="shared" si="77"/>
        <v>0.71239086429354204</v>
      </c>
      <c r="U136" s="28">
        <f t="shared" si="77"/>
        <v>0.68599520854881824</v>
      </c>
      <c r="V136" s="28">
        <f t="shared" si="77"/>
        <v>0.62218864844538202</v>
      </c>
      <c r="W136" s="28">
        <f t="shared" si="77"/>
        <v>0.48264270274433402</v>
      </c>
      <c r="X136" s="28">
        <f t="shared" si="77"/>
        <v>0.49679112015064558</v>
      </c>
      <c r="Y136" s="28">
        <f t="shared" si="77"/>
        <v>0.51228301536211118</v>
      </c>
      <c r="Z136" s="28">
        <f t="shared" si="77"/>
        <v>0.4567819333483617</v>
      </c>
      <c r="AA136" s="28">
        <f t="shared" si="77"/>
        <v>0.41891602442566778</v>
      </c>
      <c r="AB136" s="28">
        <f t="shared" si="77"/>
        <v>0.34533349001456065</v>
      </c>
      <c r="AC136" s="28">
        <f t="shared" si="77"/>
        <v>0.29443636395976397</v>
      </c>
      <c r="AD136" s="28">
        <f t="shared" si="77"/>
        <v>0.29316642407692678</v>
      </c>
      <c r="AE136" s="28">
        <f t="shared" si="77"/>
        <v>0.35968060107132149</v>
      </c>
      <c r="AF136" s="28">
        <f t="shared" si="77"/>
        <v>0.32944948084989861</v>
      </c>
      <c r="AG136" s="28">
        <f t="shared" si="77"/>
        <v>0.30087725758106465</v>
      </c>
      <c r="AH136" s="28">
        <f t="shared" si="77"/>
        <v>0.26085356538197391</v>
      </c>
      <c r="AI136" s="28">
        <f t="shared" si="77"/>
        <v>0.25197596630173569</v>
      </c>
      <c r="AJ136" s="28">
        <f t="shared" si="77"/>
        <v>0.25452306082975312</v>
      </c>
      <c r="AK136" s="28">
        <f t="shared" si="77"/>
        <v>0.27681832590113414</v>
      </c>
      <c r="AL136" s="28">
        <f t="shared" si="77"/>
        <v>0.25819730346238956</v>
      </c>
      <c r="AM136" s="28">
        <f t="shared" si="77"/>
        <v>0.24228973430224263</v>
      </c>
      <c r="AN136" s="28">
        <f t="shared" si="77"/>
        <v>0.22684141787335116</v>
      </c>
      <c r="AO136" s="28">
        <f t="shared" si="77"/>
        <v>0.20923422618628704</v>
      </c>
      <c r="AP136" s="28"/>
      <c r="AQ136" s="28"/>
      <c r="AR136" s="28"/>
      <c r="AS136" s="28"/>
      <c r="AT136" s="28"/>
      <c r="AU136" s="28"/>
      <c r="AV136" s="28"/>
      <c r="AW136" s="28"/>
      <c r="AX136" s="28"/>
      <c r="AY136" s="28"/>
      <c r="AZ136" s="28"/>
      <c r="BA136" s="28"/>
      <c r="BB136" s="28"/>
    </row>
    <row r="137" spans="1:54" x14ac:dyDescent="0.25">
      <c r="A137" s="15" t="s">
        <v>71</v>
      </c>
      <c r="B137" s="27">
        <f t="shared" si="77"/>
        <v>3.5371054171310368E-2</v>
      </c>
      <c r="C137" s="27">
        <f t="shared" si="77"/>
        <v>0.16067118610384309</v>
      </c>
      <c r="D137" s="27">
        <f t="shared" si="77"/>
        <v>0.37538712418471853</v>
      </c>
      <c r="E137" s="27">
        <f t="shared" si="77"/>
        <v>0.20777280304053336</v>
      </c>
      <c r="F137" s="27">
        <f t="shared" si="77"/>
        <v>0.40117186270925714</v>
      </c>
      <c r="G137" s="27">
        <f t="shared" si="77"/>
        <v>0.44523275321619471</v>
      </c>
      <c r="H137" s="27">
        <f t="shared" si="77"/>
        <v>0.49156953418318011</v>
      </c>
      <c r="I137" s="27">
        <f t="shared" si="77"/>
        <v>0.56671210964424323</v>
      </c>
      <c r="J137" s="27">
        <f t="shared" si="77"/>
        <v>0.6251022055100538</v>
      </c>
      <c r="K137" s="27">
        <f t="shared" si="77"/>
        <v>0.62001516680696767</v>
      </c>
      <c r="L137" s="27">
        <f t="shared" si="77"/>
        <v>0.62356315004052321</v>
      </c>
      <c r="M137" s="28">
        <f t="shared" si="77"/>
        <v>0.67864896274442588</v>
      </c>
      <c r="N137" s="28">
        <f t="shared" si="77"/>
        <v>0.63105134145416109</v>
      </c>
      <c r="O137" s="28">
        <f t="shared" si="77"/>
        <v>0.64067893706152079</v>
      </c>
      <c r="P137" s="28">
        <f t="shared" si="77"/>
        <v>0.64031348458171145</v>
      </c>
      <c r="Q137" s="28">
        <f t="shared" si="77"/>
        <v>0.63810003185579345</v>
      </c>
      <c r="R137" s="28">
        <f t="shared" si="77"/>
        <v>0.63955152120568903</v>
      </c>
      <c r="S137" s="28">
        <f t="shared" si="77"/>
        <v>0.63845341342800643</v>
      </c>
      <c r="T137" s="28">
        <f t="shared" si="77"/>
        <v>0.63605147842646559</v>
      </c>
      <c r="U137" s="28">
        <f t="shared" si="77"/>
        <v>0.63840885880967757</v>
      </c>
      <c r="V137" s="28">
        <f t="shared" si="77"/>
        <v>0.6373163467709887</v>
      </c>
      <c r="W137" s="28">
        <f t="shared" si="77"/>
        <v>0.63640571309667016</v>
      </c>
      <c r="X137" s="28">
        <f t="shared" si="77"/>
        <v>0.63664148730042947</v>
      </c>
      <c r="Y137" s="28">
        <f t="shared" si="77"/>
        <v>0.63675501325907258</v>
      </c>
      <c r="Z137" s="28">
        <f t="shared" si="77"/>
        <v>0.63642605916992578</v>
      </c>
      <c r="AA137" s="28">
        <f t="shared" si="77"/>
        <v>0.63638075065767963</v>
      </c>
      <c r="AB137" s="28">
        <f t="shared" si="77"/>
        <v>0.63565483039676252</v>
      </c>
      <c r="AC137" s="28">
        <f t="shared" si="77"/>
        <v>0.63546200960840549</v>
      </c>
      <c r="AD137" s="28">
        <f t="shared" si="77"/>
        <v>0.63544979092320963</v>
      </c>
      <c r="AE137" s="28">
        <f t="shared" si="77"/>
        <v>0.6358561528235287</v>
      </c>
      <c r="AF137" s="28">
        <f t="shared" si="77"/>
        <v>0.63566968354867892</v>
      </c>
      <c r="AG137" s="28">
        <f t="shared" si="77"/>
        <v>0.63548321874554325</v>
      </c>
      <c r="AH137" s="28">
        <f t="shared" si="77"/>
        <v>0.63519665003030168</v>
      </c>
      <c r="AI137" s="28">
        <f t="shared" si="77"/>
        <v>0.63517886798634826</v>
      </c>
      <c r="AJ137" s="28">
        <f t="shared" si="77"/>
        <v>0.63518722631080893</v>
      </c>
      <c r="AK137" s="28">
        <f t="shared" si="77"/>
        <v>0.63533019339404329</v>
      </c>
      <c r="AL137" s="28">
        <f t="shared" si="77"/>
        <v>0.63520514685260077</v>
      </c>
      <c r="AM137" s="28">
        <f t="shared" si="77"/>
        <v>0.6351015786152574</v>
      </c>
      <c r="AN137" s="28">
        <f t="shared" si="77"/>
        <v>0.6350028495333051</v>
      </c>
      <c r="AO137" s="28">
        <f t="shared" si="77"/>
        <v>0.63489143847523755</v>
      </c>
      <c r="AP137" s="28"/>
      <c r="AQ137" s="28"/>
      <c r="AR137" s="28"/>
      <c r="AS137" s="28"/>
      <c r="AT137" s="28"/>
      <c r="AU137" s="28"/>
      <c r="AV137" s="28"/>
      <c r="AW137" s="28"/>
      <c r="AX137" s="28"/>
      <c r="AY137" s="28"/>
      <c r="AZ137" s="28"/>
      <c r="BA137" s="28"/>
      <c r="BB137" s="28"/>
    </row>
    <row r="138" spans="1:54" x14ac:dyDescent="0.25">
      <c r="A138" s="15" t="s">
        <v>72</v>
      </c>
      <c r="B138" s="27">
        <f t="shared" si="77"/>
        <v>2.9068214794051656E-2</v>
      </c>
      <c r="C138" s="27">
        <f t="shared" si="77"/>
        <v>8.5851648967048166E-2</v>
      </c>
      <c r="D138" s="27">
        <f t="shared" si="77"/>
        <v>0.399072240399033</v>
      </c>
      <c r="E138" s="27">
        <f t="shared" si="77"/>
        <v>0.28098067806093424</v>
      </c>
      <c r="F138" s="27">
        <f t="shared" si="77"/>
        <v>0.41697476518757826</v>
      </c>
      <c r="G138" s="27">
        <f t="shared" si="77"/>
        <v>0.50982835829690298</v>
      </c>
      <c r="H138" s="27">
        <f t="shared" si="77"/>
        <v>0.64799306816824054</v>
      </c>
      <c r="I138" s="27">
        <f t="shared" si="77"/>
        <v>0.66951981184353448</v>
      </c>
      <c r="J138" s="27">
        <f t="shared" si="77"/>
        <v>0.72564936528929669</v>
      </c>
      <c r="K138" s="27">
        <f t="shared" si="77"/>
        <v>0.62581333143938933</v>
      </c>
      <c r="L138" s="27">
        <f t="shared" si="77"/>
        <v>0.74121023932897356</v>
      </c>
      <c r="M138" s="28">
        <f t="shared" si="77"/>
        <v>0.75300946968676086</v>
      </c>
      <c r="N138" s="28">
        <f t="shared" si="77"/>
        <v>0.67859325968926354</v>
      </c>
      <c r="O138" s="28">
        <f t="shared" si="77"/>
        <v>0.6429197491291192</v>
      </c>
      <c r="P138" s="28">
        <f t="shared" si="77"/>
        <v>0.72493918053105089</v>
      </c>
      <c r="Q138" s="28">
        <f t="shared" si="77"/>
        <v>0.67908181445471383</v>
      </c>
      <c r="R138" s="28">
        <f t="shared" si="77"/>
        <v>0.6755287440781893</v>
      </c>
      <c r="S138" s="28">
        <f t="shared" si="77"/>
        <v>0.67769369853830042</v>
      </c>
      <c r="T138" s="28">
        <f t="shared" si="77"/>
        <v>0.67673777134878643</v>
      </c>
      <c r="U138" s="28">
        <f t="shared" si="77"/>
        <v>0.66832123889912254</v>
      </c>
      <c r="V138" s="28">
        <f t="shared" si="77"/>
        <v>0.64990087990148715</v>
      </c>
      <c r="W138" s="28">
        <f t="shared" si="77"/>
        <v>0.61122099960727405</v>
      </c>
      <c r="X138" s="28">
        <f t="shared" si="77"/>
        <v>0.61477965419790492</v>
      </c>
      <c r="Y138" s="28">
        <f t="shared" si="77"/>
        <v>0.61933027306751098</v>
      </c>
      <c r="Z138" s="28">
        <f t="shared" si="77"/>
        <v>0.60350641638864089</v>
      </c>
      <c r="AA138" s="28">
        <f t="shared" si="77"/>
        <v>0.59283210221552174</v>
      </c>
      <c r="AB138" s="28">
        <f t="shared" si="77"/>
        <v>0.57220634247915947</v>
      </c>
      <c r="AC138" s="28">
        <f t="shared" si="77"/>
        <v>0.55790985025642714</v>
      </c>
      <c r="AD138" s="28">
        <f t="shared" si="77"/>
        <v>0.55745341730897902</v>
      </c>
      <c r="AE138" s="28">
        <f t="shared" si="77"/>
        <v>0.57615766168067883</v>
      </c>
      <c r="AF138" s="28">
        <f t="shared" si="77"/>
        <v>0.56765718927851827</v>
      </c>
      <c r="AG138" s="28">
        <f t="shared" si="77"/>
        <v>0.55962568531459367</v>
      </c>
      <c r="AH138" s="28">
        <f t="shared" si="77"/>
        <v>0.54837094119974561</v>
      </c>
      <c r="AI138" s="28">
        <f t="shared" si="77"/>
        <v>0.54585887866858518</v>
      </c>
      <c r="AJ138" s="28">
        <f t="shared" si="77"/>
        <v>0.54657525268304874</v>
      </c>
      <c r="AK138" s="28">
        <f t="shared" si="77"/>
        <v>0.55282278251297357</v>
      </c>
      <c r="AL138" s="28">
        <f t="shared" si="77"/>
        <v>0.54761863112207454</v>
      </c>
      <c r="AM138" s="28">
        <f t="shared" si="77"/>
        <v>0.54314050059472507</v>
      </c>
      <c r="AN138" s="28">
        <f t="shared" si="77"/>
        <v>0.53879091723175576</v>
      </c>
      <c r="AO138" s="28">
        <f t="shared" si="77"/>
        <v>0.53385862989757105</v>
      </c>
      <c r="AP138" s="28"/>
      <c r="AQ138" s="28"/>
      <c r="AR138" s="28"/>
      <c r="AS138" s="28"/>
      <c r="AT138" s="28"/>
      <c r="AU138" s="28"/>
      <c r="AV138" s="28"/>
      <c r="AW138" s="28"/>
      <c r="AX138" s="28"/>
      <c r="AY138" s="28"/>
      <c r="AZ138" s="28"/>
      <c r="BA138" s="28"/>
      <c r="BB138" s="28"/>
    </row>
    <row r="139" spans="1:54" x14ac:dyDescent="0.25">
      <c r="B139" s="27"/>
      <c r="C139" s="27"/>
      <c r="D139" s="27"/>
      <c r="E139" s="27"/>
      <c r="F139" s="27"/>
      <c r="G139" s="27"/>
      <c r="H139" s="27"/>
      <c r="I139" s="27"/>
      <c r="J139" s="27"/>
      <c r="K139" s="27"/>
      <c r="L139" s="27"/>
      <c r="M139" s="27"/>
      <c r="N139" s="27"/>
      <c r="O139" s="27"/>
      <c r="P139" s="27"/>
      <c r="Q139" s="27"/>
      <c r="R139" s="27"/>
      <c r="S139" s="27"/>
      <c r="T139" s="27"/>
      <c r="U139" s="27"/>
      <c r="V139" s="27"/>
      <c r="W139" s="27"/>
      <c r="X139" s="27"/>
      <c r="Y139" s="27"/>
      <c r="Z139" s="27"/>
      <c r="AA139" s="27"/>
      <c r="AB139" s="27"/>
      <c r="AC139" s="27"/>
      <c r="AD139" s="27"/>
      <c r="AE139" s="27"/>
      <c r="AF139" s="27"/>
      <c r="AG139" s="27"/>
      <c r="AH139" s="27"/>
      <c r="AI139" s="27"/>
      <c r="AJ139" s="27"/>
      <c r="AK139" s="27"/>
      <c r="AL139" s="27"/>
      <c r="AM139" s="27"/>
      <c r="AN139" s="27"/>
      <c r="AO139" s="27"/>
      <c r="AP139" s="27"/>
      <c r="AQ139" s="27"/>
      <c r="AR139" s="27"/>
      <c r="AS139" s="27"/>
      <c r="AT139" s="27"/>
      <c r="AU139" s="27"/>
      <c r="AV139" s="27"/>
      <c r="AW139" s="27"/>
      <c r="AX139" s="27"/>
      <c r="AY139" s="27"/>
      <c r="AZ139" s="27"/>
      <c r="BA139" s="27"/>
      <c r="BB139" s="27"/>
    </row>
    <row r="140" spans="1:54" x14ac:dyDescent="0.25">
      <c r="A140" s="14" t="s">
        <v>78</v>
      </c>
    </row>
    <row r="141" spans="1:54" x14ac:dyDescent="0.25">
      <c r="B141" s="14">
        <f t="shared" ref="B141:AD141" si="78">B3</f>
        <v>2011</v>
      </c>
      <c r="C141" s="14">
        <f t="shared" si="78"/>
        <v>2012</v>
      </c>
      <c r="D141" s="14">
        <f t="shared" si="78"/>
        <v>2013</v>
      </c>
      <c r="E141" s="14">
        <f t="shared" si="78"/>
        <v>2014</v>
      </c>
      <c r="F141" s="14">
        <f t="shared" si="78"/>
        <v>2015</v>
      </c>
      <c r="G141" s="14">
        <f t="shared" si="78"/>
        <v>2016</v>
      </c>
      <c r="H141" s="14">
        <f t="shared" si="78"/>
        <v>2017</v>
      </c>
      <c r="I141" s="14">
        <f t="shared" si="78"/>
        <v>2018</v>
      </c>
      <c r="J141" s="14">
        <f t="shared" si="78"/>
        <v>2019</v>
      </c>
      <c r="K141" s="14">
        <f t="shared" si="78"/>
        <v>2020</v>
      </c>
      <c r="L141" s="14">
        <f t="shared" si="78"/>
        <v>2021</v>
      </c>
      <c r="M141" s="14">
        <f t="shared" si="78"/>
        <v>2022</v>
      </c>
      <c r="N141" s="14">
        <f t="shared" si="78"/>
        <v>2023</v>
      </c>
      <c r="O141" s="14">
        <f t="shared" si="78"/>
        <v>2024</v>
      </c>
      <c r="P141" s="14">
        <f t="shared" si="78"/>
        <v>2025</v>
      </c>
      <c r="Q141" s="14">
        <f t="shared" si="78"/>
        <v>2026</v>
      </c>
      <c r="R141" s="14">
        <f t="shared" si="78"/>
        <v>2027</v>
      </c>
      <c r="S141" s="14">
        <f t="shared" si="78"/>
        <v>2028</v>
      </c>
      <c r="T141" s="14">
        <f t="shared" si="78"/>
        <v>2029</v>
      </c>
      <c r="U141" s="14">
        <f t="shared" si="78"/>
        <v>2030</v>
      </c>
      <c r="V141" s="14">
        <f t="shared" si="78"/>
        <v>2031</v>
      </c>
      <c r="W141" s="14">
        <f t="shared" si="78"/>
        <v>2032</v>
      </c>
      <c r="X141" s="14">
        <f t="shared" si="78"/>
        <v>2033</v>
      </c>
      <c r="Y141" s="14">
        <f t="shared" si="78"/>
        <v>2034</v>
      </c>
      <c r="Z141" s="14">
        <f t="shared" si="78"/>
        <v>2035</v>
      </c>
      <c r="AA141" s="14">
        <f t="shared" si="78"/>
        <v>2036</v>
      </c>
      <c r="AB141" s="14">
        <f t="shared" si="78"/>
        <v>2037</v>
      </c>
      <c r="AC141" s="14">
        <f t="shared" si="78"/>
        <v>2038</v>
      </c>
      <c r="AD141" s="14">
        <f t="shared" si="78"/>
        <v>2039</v>
      </c>
      <c r="AE141" s="14">
        <f>AE3</f>
        <v>2040</v>
      </c>
      <c r="AF141" s="14">
        <f t="shared" ref="AF141:AN141" si="79">AF3</f>
        <v>2041</v>
      </c>
      <c r="AG141" s="14">
        <f t="shared" si="79"/>
        <v>2042</v>
      </c>
      <c r="AH141" s="14">
        <f t="shared" si="79"/>
        <v>2043</v>
      </c>
      <c r="AI141" s="14">
        <f t="shared" si="79"/>
        <v>2044</v>
      </c>
      <c r="AJ141" s="14">
        <f t="shared" si="79"/>
        <v>2045</v>
      </c>
      <c r="AK141" s="14">
        <f t="shared" si="79"/>
        <v>2046</v>
      </c>
      <c r="AL141" s="14">
        <f t="shared" si="79"/>
        <v>2047</v>
      </c>
      <c r="AM141" s="14">
        <f t="shared" si="79"/>
        <v>2048</v>
      </c>
      <c r="AN141" s="14">
        <f t="shared" si="79"/>
        <v>2049</v>
      </c>
      <c r="AO141" s="14">
        <f>AO3</f>
        <v>2050</v>
      </c>
      <c r="AP141" s="14"/>
      <c r="AQ141" s="14"/>
      <c r="AR141" s="14"/>
      <c r="AS141" s="14"/>
      <c r="AT141" s="14"/>
      <c r="AU141" s="14"/>
      <c r="AV141" s="14"/>
      <c r="AW141" s="14"/>
      <c r="AX141" s="14"/>
      <c r="AY141" s="14"/>
      <c r="AZ141" s="14"/>
      <c r="BA141" s="14"/>
      <c r="BB141" s="14"/>
    </row>
    <row r="142" spans="1:54" x14ac:dyDescent="0.25">
      <c r="A142" s="15" t="s">
        <v>68</v>
      </c>
      <c r="K142" s="27">
        <f>K86/K79</f>
        <v>0.88143888640762247</v>
      </c>
      <c r="L142" s="27">
        <f t="shared" ref="L142:AO146" si="80">L86/L79</f>
        <v>1</v>
      </c>
      <c r="M142" s="27">
        <f t="shared" si="80"/>
        <v>0.1699716844751567</v>
      </c>
      <c r="N142" s="28">
        <f t="shared" si="80"/>
        <v>0.87329838726023545</v>
      </c>
      <c r="O142" s="28">
        <f t="shared" si="80"/>
        <v>0.57241017521253179</v>
      </c>
      <c r="P142" s="28">
        <f t="shared" si="80"/>
        <v>0.56591024193465589</v>
      </c>
      <c r="Q142" s="28">
        <f t="shared" si="80"/>
        <v>0.70418271001263066</v>
      </c>
      <c r="R142" s="28">
        <f t="shared" si="80"/>
        <v>0.70154274651057802</v>
      </c>
      <c r="S142" s="28">
        <f t="shared" si="80"/>
        <v>0.70294420691342141</v>
      </c>
      <c r="T142" s="28">
        <f t="shared" si="80"/>
        <v>0.7040134828381992</v>
      </c>
      <c r="U142" s="28">
        <f t="shared" si="80"/>
        <v>0.70462610206897713</v>
      </c>
      <c r="V142" s="28">
        <f t="shared" si="80"/>
        <v>0.70554446490319811</v>
      </c>
      <c r="W142" s="28">
        <f t="shared" si="80"/>
        <v>0.70649543174009433</v>
      </c>
      <c r="X142" s="28">
        <f t="shared" si="80"/>
        <v>0.70585664620387634</v>
      </c>
      <c r="Y142" s="28">
        <f t="shared" si="80"/>
        <v>0.70642059369240506</v>
      </c>
      <c r="Z142" s="28">
        <f t="shared" si="80"/>
        <v>0.70654476972310032</v>
      </c>
      <c r="AA142" s="28">
        <f t="shared" si="80"/>
        <v>0.70573618791020498</v>
      </c>
      <c r="AB142" s="28">
        <f t="shared" si="80"/>
        <v>0.70583912935362114</v>
      </c>
      <c r="AC142" s="28">
        <f t="shared" si="80"/>
        <v>0.7060297759305294</v>
      </c>
      <c r="AD142" s="28">
        <f t="shared" si="80"/>
        <v>0.7059964439796389</v>
      </c>
      <c r="AE142" s="28">
        <f t="shared" si="80"/>
        <v>0.7061554978031841</v>
      </c>
      <c r="AF142" s="28">
        <f t="shared" si="80"/>
        <v>0.70632645731267085</v>
      </c>
      <c r="AG142" s="28">
        <f t="shared" si="80"/>
        <v>0.70638227478971083</v>
      </c>
      <c r="AH142" s="28">
        <f t="shared" si="80"/>
        <v>0.70643068491580618</v>
      </c>
      <c r="AI142" s="28">
        <f t="shared" si="80"/>
        <v>0.70646141618526115</v>
      </c>
      <c r="AJ142" s="28">
        <f t="shared" si="80"/>
        <v>0.70652721570716104</v>
      </c>
      <c r="AK142" s="28">
        <f t="shared" si="80"/>
        <v>0.70665954764029715</v>
      </c>
      <c r="AL142" s="28">
        <f t="shared" si="80"/>
        <v>0.70675936352754054</v>
      </c>
      <c r="AM142" s="28">
        <f t="shared" si="80"/>
        <v>0.70676158064781347</v>
      </c>
      <c r="AN142" s="28">
        <f t="shared" si="80"/>
        <v>0.70676165081540088</v>
      </c>
      <c r="AO142" s="28">
        <f t="shared" si="80"/>
        <v>0.70676562344040117</v>
      </c>
      <c r="AP142" s="28"/>
      <c r="AQ142" s="28"/>
      <c r="AR142" s="28"/>
      <c r="AS142" s="28"/>
      <c r="AT142" s="28"/>
      <c r="AU142" s="28"/>
      <c r="AV142" s="28"/>
      <c r="AW142" s="28"/>
      <c r="AX142" s="28"/>
      <c r="AY142" s="28"/>
      <c r="AZ142" s="28"/>
      <c r="BA142" s="28"/>
      <c r="BB142" s="28"/>
    </row>
    <row r="143" spans="1:54" x14ac:dyDescent="0.25">
      <c r="A143" s="15" t="s">
        <v>69</v>
      </c>
      <c r="J143" s="27">
        <f>J87/J80</f>
        <v>1</v>
      </c>
      <c r="K143" s="27">
        <f>K87/K80</f>
        <v>0.75496785631298569</v>
      </c>
      <c r="L143" s="27">
        <f t="shared" si="80"/>
        <v>2.6948775293091796</v>
      </c>
      <c r="M143" s="27">
        <f t="shared" si="80"/>
        <v>1.6725752495863018</v>
      </c>
      <c r="N143" s="28">
        <f t="shared" si="80"/>
        <v>1.0827533103616085</v>
      </c>
      <c r="O143" s="28">
        <f t="shared" si="80"/>
        <v>0.71988645320033728</v>
      </c>
      <c r="P143" s="28">
        <f t="shared" si="80"/>
        <v>0.72062113211571088</v>
      </c>
      <c r="Q143" s="28">
        <f t="shared" si="80"/>
        <v>0.69436313279792861</v>
      </c>
      <c r="R143" s="28">
        <f t="shared" si="80"/>
        <v>0.68709476581039408</v>
      </c>
      <c r="S143" s="28">
        <f t="shared" si="80"/>
        <v>0.68580910570991105</v>
      </c>
      <c r="T143" s="28">
        <f t="shared" si="80"/>
        <v>0.68518076730871669</v>
      </c>
      <c r="U143" s="28">
        <f t="shared" si="80"/>
        <v>0.68471367286868745</v>
      </c>
      <c r="V143" s="28">
        <f t="shared" si="80"/>
        <v>0.68465270808329926</v>
      </c>
      <c r="W143" s="28">
        <f t="shared" si="80"/>
        <v>0.68420619258760884</v>
      </c>
      <c r="X143" s="28">
        <f t="shared" si="80"/>
        <v>0.68406164600465824</v>
      </c>
      <c r="Y143" s="28">
        <f t="shared" si="80"/>
        <v>0.68395080679894027</v>
      </c>
      <c r="Z143" s="28">
        <f t="shared" si="80"/>
        <v>0.68391047627916157</v>
      </c>
      <c r="AA143" s="28">
        <f t="shared" si="80"/>
        <v>0.68433664403671757</v>
      </c>
      <c r="AB143" s="28">
        <f t="shared" si="80"/>
        <v>0.68429059921162005</v>
      </c>
      <c r="AC143" s="28">
        <f t="shared" si="80"/>
        <v>0.68422473613162804</v>
      </c>
      <c r="AD143" s="28">
        <f t="shared" si="80"/>
        <v>0.68422933476826642</v>
      </c>
      <c r="AE143" s="28">
        <f t="shared" si="80"/>
        <v>0.68408738110020451</v>
      </c>
      <c r="AF143" s="28">
        <f t="shared" si="80"/>
        <v>0.68401983709292269</v>
      </c>
      <c r="AG143" s="28">
        <f t="shared" si="80"/>
        <v>0.6839934263438664</v>
      </c>
      <c r="AH143" s="28">
        <f t="shared" si="80"/>
        <v>0.68396007141567927</v>
      </c>
      <c r="AI143" s="28">
        <f t="shared" si="80"/>
        <v>0.68393838773053062</v>
      </c>
      <c r="AJ143" s="28">
        <f t="shared" si="80"/>
        <v>0.68389440264886336</v>
      </c>
      <c r="AK143" s="28">
        <f t="shared" si="80"/>
        <v>0.68381836547319808</v>
      </c>
      <c r="AL143" s="28">
        <f t="shared" si="80"/>
        <v>0.68376845851259338</v>
      </c>
      <c r="AM143" s="28">
        <f t="shared" si="80"/>
        <v>0.68376187237459829</v>
      </c>
      <c r="AN143" s="28">
        <f t="shared" si="80"/>
        <v>0.68376176910245678</v>
      </c>
      <c r="AO143" s="28">
        <f t="shared" si="80"/>
        <v>0.6837600058558283</v>
      </c>
      <c r="AP143" s="28"/>
      <c r="AQ143" s="28"/>
      <c r="AR143" s="28"/>
      <c r="AS143" s="28"/>
      <c r="AT143" s="28"/>
      <c r="AU143" s="28"/>
      <c r="AV143" s="28"/>
      <c r="AW143" s="28"/>
      <c r="AX143" s="28"/>
      <c r="AY143" s="28"/>
      <c r="AZ143" s="28"/>
      <c r="BA143" s="28"/>
      <c r="BB143" s="28"/>
    </row>
    <row r="144" spans="1:54" x14ac:dyDescent="0.25">
      <c r="A144" s="15" t="s">
        <v>70</v>
      </c>
      <c r="J144" s="27">
        <f t="shared" ref="J144:K146" si="81">J88/J81</f>
        <v>0.99959936532550131</v>
      </c>
      <c r="K144" s="27">
        <f t="shared" si="81"/>
        <v>1.2112241466839846</v>
      </c>
      <c r="L144" s="27">
        <f t="shared" si="80"/>
        <v>0.81185427016662581</v>
      </c>
      <c r="M144" s="27">
        <f t="shared" si="80"/>
        <v>1.1421915227383337</v>
      </c>
      <c r="N144" s="28">
        <f t="shared" si="80"/>
        <v>0.56387651582248322</v>
      </c>
      <c r="O144" s="28">
        <f t="shared" si="80"/>
        <v>0.75097679043517163</v>
      </c>
      <c r="P144" s="28">
        <f t="shared" si="80"/>
        <v>0.74631501029700342</v>
      </c>
      <c r="Q144" s="28">
        <f t="shared" si="80"/>
        <v>0.71521613459015043</v>
      </c>
      <c r="R144" s="28">
        <f t="shared" si="80"/>
        <v>0.71392461562556453</v>
      </c>
      <c r="S144" s="28">
        <f t="shared" si="80"/>
        <v>0.71314137452243731</v>
      </c>
      <c r="T144" s="28">
        <f t="shared" si="80"/>
        <v>0.71310663376975791</v>
      </c>
      <c r="U144" s="28">
        <f t="shared" si="80"/>
        <v>0.71298901695602979</v>
      </c>
      <c r="V144" s="28">
        <f t="shared" si="80"/>
        <v>0.71264764129500069</v>
      </c>
      <c r="W144" s="28">
        <f t="shared" si="80"/>
        <v>0.71245268672314077</v>
      </c>
      <c r="X144" s="28">
        <f t="shared" si="80"/>
        <v>0.71252417664310796</v>
      </c>
      <c r="Y144" s="28">
        <f t="shared" si="80"/>
        <v>0.71241954351195125</v>
      </c>
      <c r="Z144" s="28">
        <f t="shared" si="80"/>
        <v>0.71239999500120244</v>
      </c>
      <c r="AA144" s="28">
        <f t="shared" si="80"/>
        <v>0.71262154405402334</v>
      </c>
      <c r="AB144" s="28">
        <f t="shared" si="80"/>
        <v>0.71259372850219682</v>
      </c>
      <c r="AC144" s="28">
        <f t="shared" si="80"/>
        <v>0.71253196554751308</v>
      </c>
      <c r="AD144" s="28">
        <f t="shared" si="80"/>
        <v>0.71254654660421002</v>
      </c>
      <c r="AE144" s="28">
        <f t="shared" si="80"/>
        <v>0.71249250467291037</v>
      </c>
      <c r="AF144" s="28">
        <f t="shared" si="80"/>
        <v>0.71245248669654215</v>
      </c>
      <c r="AG144" s="28">
        <f t="shared" si="80"/>
        <v>0.71243916538044361</v>
      </c>
      <c r="AH144" s="28">
        <f t="shared" si="80"/>
        <v>0.71242138774992292</v>
      </c>
      <c r="AI144" s="28">
        <f t="shared" si="80"/>
        <v>0.71241295342120836</v>
      </c>
      <c r="AJ144" s="28">
        <f t="shared" si="80"/>
        <v>0.71239531517646038</v>
      </c>
      <c r="AK144" s="28">
        <f t="shared" si="80"/>
        <v>0.71235808113915489</v>
      </c>
      <c r="AL144" s="28">
        <f t="shared" si="80"/>
        <v>0.71233201213540598</v>
      </c>
      <c r="AM144" s="28">
        <f t="shared" si="80"/>
        <v>0.71233024790443666</v>
      </c>
      <c r="AN144" s="28">
        <f t="shared" si="80"/>
        <v>0.71233027702356932</v>
      </c>
      <c r="AO144" s="28">
        <f t="shared" si="80"/>
        <v>0.71232944851572089</v>
      </c>
      <c r="AP144" s="28"/>
      <c r="AQ144" s="28"/>
      <c r="AR144" s="28"/>
      <c r="AS144" s="28"/>
      <c r="AT144" s="28"/>
      <c r="AU144" s="28"/>
      <c r="AV144" s="28"/>
      <c r="AW144" s="28"/>
      <c r="AX144" s="28"/>
      <c r="AY144" s="28"/>
      <c r="AZ144" s="28"/>
      <c r="BA144" s="28"/>
      <c r="BB144" s="28"/>
    </row>
    <row r="145" spans="1:54" x14ac:dyDescent="0.25">
      <c r="A145" s="15" t="s">
        <v>71</v>
      </c>
      <c r="J145" s="27">
        <f t="shared" si="81"/>
        <v>0.99987642726508819</v>
      </c>
      <c r="K145" s="27">
        <f t="shared" si="81"/>
        <v>0.99890771409416412</v>
      </c>
      <c r="L145" s="27">
        <f t="shared" si="80"/>
        <v>2.6779049964948172</v>
      </c>
      <c r="M145" s="27">
        <f t="shared" si="80"/>
        <v>0.46492258942763942</v>
      </c>
      <c r="N145" s="28">
        <f t="shared" si="80"/>
        <v>1.3663117341349371</v>
      </c>
      <c r="O145" s="28">
        <f t="shared" si="80"/>
        <v>0.19571380520093792</v>
      </c>
      <c r="P145" s="28">
        <f t="shared" si="80"/>
        <v>0.20043495235362366</v>
      </c>
      <c r="Q145" s="28">
        <f t="shared" si="80"/>
        <v>0.17290118023644632</v>
      </c>
      <c r="R145" s="28">
        <f t="shared" si="80"/>
        <v>0.16632906481508666</v>
      </c>
      <c r="S145" s="28">
        <f t="shared" si="80"/>
        <v>0.16505852208309227</v>
      </c>
      <c r="T145" s="28">
        <f t="shared" si="80"/>
        <v>0.16454240220998617</v>
      </c>
      <c r="U145" s="28">
        <f t="shared" si="80"/>
        <v>0.16367808500730402</v>
      </c>
      <c r="V145" s="28">
        <f t="shared" si="80"/>
        <v>0.1639380511920876</v>
      </c>
      <c r="W145" s="28">
        <f t="shared" si="80"/>
        <v>0.16341232749061524</v>
      </c>
      <c r="X145" s="28">
        <f t="shared" si="80"/>
        <v>0.16327513326144491</v>
      </c>
      <c r="Y145" s="28">
        <f t="shared" si="80"/>
        <v>0.16314495636924642</v>
      </c>
      <c r="Z145" s="28">
        <f t="shared" si="80"/>
        <v>0.16310238128306681</v>
      </c>
      <c r="AA145" s="28">
        <f t="shared" si="80"/>
        <v>0.16353481874975637</v>
      </c>
      <c r="AB145" s="28">
        <f t="shared" si="80"/>
        <v>0.16346789346788343</v>
      </c>
      <c r="AC145" s="28">
        <f t="shared" si="80"/>
        <v>0.16343527206548603</v>
      </c>
      <c r="AD145" s="28">
        <f t="shared" si="80"/>
        <v>0.16342794204911026</v>
      </c>
      <c r="AE145" s="28">
        <f t="shared" si="80"/>
        <v>0.16328436784148201</v>
      </c>
      <c r="AF145" s="28">
        <f t="shared" si="80"/>
        <v>0.16321411709902214</v>
      </c>
      <c r="AG145" s="28">
        <f t="shared" si="80"/>
        <v>0.16318791701628463</v>
      </c>
      <c r="AH145" s="28">
        <f t="shared" si="80"/>
        <v>0.163156654504129</v>
      </c>
      <c r="AI145" s="28">
        <f t="shared" si="80"/>
        <v>0.16313556935661663</v>
      </c>
      <c r="AJ145" s="28">
        <f t="shared" si="80"/>
        <v>0.16308794933771711</v>
      </c>
      <c r="AK145" s="28">
        <f t="shared" si="80"/>
        <v>0.16301228121116701</v>
      </c>
      <c r="AL145" s="28">
        <f t="shared" si="80"/>
        <v>0.1629620634424496</v>
      </c>
      <c r="AM145" s="28">
        <f t="shared" si="80"/>
        <v>0.16295556113769571</v>
      </c>
      <c r="AN145" s="28">
        <f t="shared" si="80"/>
        <v>0.16295529273430345</v>
      </c>
      <c r="AO145" s="28">
        <f t="shared" si="80"/>
        <v>0.16295336782004566</v>
      </c>
      <c r="AP145" s="28"/>
      <c r="AQ145" s="28"/>
      <c r="AR145" s="28"/>
      <c r="AS145" s="28"/>
      <c r="AT145" s="28"/>
      <c r="AU145" s="28"/>
      <c r="AV145" s="28"/>
      <c r="AW145" s="28"/>
      <c r="AX145" s="28"/>
      <c r="AY145" s="28"/>
      <c r="AZ145" s="28"/>
      <c r="BA145" s="28"/>
      <c r="BB145" s="28"/>
    </row>
    <row r="146" spans="1:54" x14ac:dyDescent="0.25">
      <c r="A146" s="15" t="s">
        <v>72</v>
      </c>
      <c r="J146" s="27">
        <f t="shared" si="81"/>
        <v>0.76674289394087869</v>
      </c>
      <c r="K146" s="27">
        <f t="shared" si="81"/>
        <v>0.98926980931989617</v>
      </c>
      <c r="L146" s="27">
        <f t="shared" si="80"/>
        <v>1.6147998383965088</v>
      </c>
      <c r="M146" s="28">
        <f t="shared" si="80"/>
        <v>0.73354483097434953</v>
      </c>
      <c r="N146" s="28">
        <f t="shared" si="80"/>
        <v>0.94127021891792406</v>
      </c>
      <c r="O146" s="28">
        <f t="shared" si="80"/>
        <v>0.62021970390563486</v>
      </c>
      <c r="P146" s="28">
        <f t="shared" si="80"/>
        <v>0.54648304420147142</v>
      </c>
      <c r="Q146" s="28">
        <f t="shared" si="80"/>
        <v>0.54916776637952447</v>
      </c>
      <c r="R146" s="28">
        <f t="shared" si="80"/>
        <v>0.54514563950752037</v>
      </c>
      <c r="S146" s="28">
        <f t="shared" si="80"/>
        <v>0.54426137729821011</v>
      </c>
      <c r="T146" s="28">
        <f t="shared" si="80"/>
        <v>0.54495657049747026</v>
      </c>
      <c r="U146" s="28">
        <f t="shared" si="80"/>
        <v>0.5441110828920116</v>
      </c>
      <c r="V146" s="28">
        <f t="shared" si="80"/>
        <v>0.54419732097819917</v>
      </c>
      <c r="W146" s="28">
        <f t="shared" si="80"/>
        <v>0.54400300255092304</v>
      </c>
      <c r="X146" s="28">
        <f t="shared" si="80"/>
        <v>0.54382303236286766</v>
      </c>
      <c r="Y146" s="28">
        <f t="shared" si="80"/>
        <v>0.54386384274459965</v>
      </c>
      <c r="Z146" s="28">
        <f t="shared" si="80"/>
        <v>0.54381881191579451</v>
      </c>
      <c r="AA146" s="28">
        <f t="shared" si="80"/>
        <v>0.54401905372279102</v>
      </c>
      <c r="AB146" s="28">
        <f t="shared" si="80"/>
        <v>0.54397976057215292</v>
      </c>
      <c r="AC146" s="28">
        <f t="shared" si="80"/>
        <v>0.54394465151627358</v>
      </c>
      <c r="AD146" s="28">
        <f t="shared" si="80"/>
        <v>0.54391350804824368</v>
      </c>
      <c r="AE146" s="28">
        <f t="shared" si="80"/>
        <v>0.5438378807519425</v>
      </c>
      <c r="AF146" s="28">
        <f t="shared" si="80"/>
        <v>0.54381990456285967</v>
      </c>
      <c r="AG146" s="28">
        <f t="shared" si="80"/>
        <v>0.54381337866460411</v>
      </c>
      <c r="AH146" s="28">
        <f t="shared" si="80"/>
        <v>0.54380027452877178</v>
      </c>
      <c r="AI146" s="28">
        <f t="shared" si="80"/>
        <v>0.5437922991684524</v>
      </c>
      <c r="AJ146" s="28">
        <f t="shared" si="80"/>
        <v>0.54377539905745176</v>
      </c>
      <c r="AK146" s="28">
        <f t="shared" si="80"/>
        <v>0.54375062768076965</v>
      </c>
      <c r="AL146" s="28">
        <f t="shared" si="80"/>
        <v>0.54373587973957549</v>
      </c>
      <c r="AM146" s="28">
        <f t="shared" si="80"/>
        <v>0.54373230814943962</v>
      </c>
      <c r="AN146" s="28">
        <f t="shared" si="80"/>
        <v>0.54373219098918146</v>
      </c>
      <c r="AO146" s="28">
        <f t="shared" si="80"/>
        <v>0.54373173847558443</v>
      </c>
      <c r="AP146" s="28"/>
      <c r="AQ146" s="28"/>
      <c r="AR146" s="28"/>
      <c r="AS146" s="28"/>
      <c r="AT146" s="28"/>
      <c r="AU146" s="28"/>
      <c r="AV146" s="28"/>
      <c r="AW146" s="28"/>
      <c r="AX146" s="28"/>
      <c r="AY146" s="28"/>
      <c r="AZ146" s="28"/>
      <c r="BA146" s="28"/>
      <c r="BB146" s="28"/>
    </row>
    <row r="148" spans="1:54" x14ac:dyDescent="0.25">
      <c r="A148" s="13" t="s">
        <v>82</v>
      </c>
    </row>
    <row r="149" spans="1:54" x14ac:dyDescent="0.25">
      <c r="H149" s="14">
        <f>H141</f>
        <v>2017</v>
      </c>
      <c r="I149" s="14">
        <f t="shared" ref="I149:U149" si="82">I141</f>
        <v>2018</v>
      </c>
      <c r="J149" s="14">
        <f t="shared" si="82"/>
        <v>2019</v>
      </c>
      <c r="K149" s="14">
        <f t="shared" si="82"/>
        <v>2020</v>
      </c>
      <c r="L149" s="14">
        <f t="shared" si="82"/>
        <v>2021</v>
      </c>
      <c r="M149" s="14">
        <f t="shared" si="82"/>
        <v>2022</v>
      </c>
      <c r="N149" s="14">
        <f t="shared" si="82"/>
        <v>2023</v>
      </c>
      <c r="O149" s="14">
        <f t="shared" si="82"/>
        <v>2024</v>
      </c>
      <c r="P149" s="14">
        <f t="shared" si="82"/>
        <v>2025</v>
      </c>
      <c r="Q149" s="14">
        <f t="shared" si="82"/>
        <v>2026</v>
      </c>
      <c r="R149" s="14">
        <f t="shared" si="82"/>
        <v>2027</v>
      </c>
      <c r="S149" s="14">
        <f t="shared" si="82"/>
        <v>2028</v>
      </c>
      <c r="T149" s="14">
        <f t="shared" si="82"/>
        <v>2029</v>
      </c>
      <c r="U149" s="14">
        <f t="shared" si="82"/>
        <v>2030</v>
      </c>
    </row>
    <row r="150" spans="1:54" x14ac:dyDescent="0.25">
      <c r="A150" s="15" t="s">
        <v>68</v>
      </c>
      <c r="J150" s="27">
        <f t="shared" ref="J150:N154" si="83">(J71+J56)/(J49+J64)</f>
        <v>0.37176036031100318</v>
      </c>
      <c r="K150" s="27">
        <f t="shared" si="83"/>
        <v>0.31244440054052963</v>
      </c>
      <c r="L150" s="27">
        <f t="shared" si="83"/>
        <v>0.41611172027412369</v>
      </c>
      <c r="M150" s="27">
        <f>(M71+M56)/(M49+M64)</f>
        <v>0.52645920803750579</v>
      </c>
      <c r="N150" s="27">
        <f>(N71+N56)/(N49+N64)</f>
        <v>0.50347149630435706</v>
      </c>
      <c r="O150" s="28">
        <f t="shared" ref="O150:U154" si="84">(O71+O56)/(O49+O64)</f>
        <v>0.50118712433048118</v>
      </c>
      <c r="P150" s="28">
        <f t="shared" si="84"/>
        <v>0.59427405037116976</v>
      </c>
      <c r="Q150" s="28">
        <f t="shared" si="84"/>
        <v>0.52424217701332165</v>
      </c>
      <c r="R150" s="28">
        <f t="shared" si="84"/>
        <v>0.54258692464192748</v>
      </c>
      <c r="S150" s="28">
        <f t="shared" si="84"/>
        <v>0.57840347813443804</v>
      </c>
      <c r="T150" s="28">
        <f t="shared" si="84"/>
        <v>0.55174435677526346</v>
      </c>
      <c r="U150" s="28">
        <f t="shared" si="84"/>
        <v>0.55094100566067195</v>
      </c>
    </row>
    <row r="151" spans="1:54" x14ac:dyDescent="0.25">
      <c r="A151" s="15" t="s">
        <v>69</v>
      </c>
      <c r="J151" s="27">
        <f t="shared" si="83"/>
        <v>0.32469216862297529</v>
      </c>
      <c r="K151" s="27">
        <f t="shared" si="83"/>
        <v>0.314134342695575</v>
      </c>
      <c r="L151" s="27">
        <f t="shared" si="83"/>
        <v>0.40566529983583632</v>
      </c>
      <c r="M151" s="27">
        <f t="shared" si="83"/>
        <v>0.46553338533523042</v>
      </c>
      <c r="N151" s="27">
        <f t="shared" si="83"/>
        <v>0.46202394069701419</v>
      </c>
      <c r="O151" s="28">
        <f t="shared" si="84"/>
        <v>0.50286516466953934</v>
      </c>
      <c r="P151" s="28">
        <f t="shared" si="84"/>
        <v>0.46712390143269272</v>
      </c>
      <c r="Q151" s="28">
        <f t="shared" si="84"/>
        <v>0.49110615726234153</v>
      </c>
      <c r="R151" s="28">
        <f t="shared" si="84"/>
        <v>0.49515110779322408</v>
      </c>
      <c r="S151" s="28">
        <f t="shared" si="84"/>
        <v>0.50043445069826964</v>
      </c>
      <c r="T151" s="28">
        <f t="shared" si="84"/>
        <v>0.49139399808596967</v>
      </c>
      <c r="U151" s="28">
        <f t="shared" si="84"/>
        <v>0.49018795245199087</v>
      </c>
    </row>
    <row r="152" spans="1:54" x14ac:dyDescent="0.25">
      <c r="A152" s="15" t="s">
        <v>70</v>
      </c>
      <c r="J152" s="27">
        <f t="shared" si="83"/>
        <v>0.27793407450201585</v>
      </c>
      <c r="K152" s="27">
        <f t="shared" si="83"/>
        <v>0.27672031130483005</v>
      </c>
      <c r="L152" s="27">
        <f t="shared" si="83"/>
        <v>0.44780099148113284</v>
      </c>
      <c r="M152" s="27">
        <f t="shared" si="83"/>
        <v>0.4934605558349302</v>
      </c>
      <c r="N152" s="28">
        <f t="shared" si="83"/>
        <v>0.51152671748025502</v>
      </c>
      <c r="O152" s="28">
        <f t="shared" si="84"/>
        <v>0.4544999809919758</v>
      </c>
      <c r="P152" s="28">
        <f t="shared" si="84"/>
        <v>0.602269715596356</v>
      </c>
      <c r="Q152" s="28">
        <f t="shared" si="84"/>
        <v>0.52040093153306144</v>
      </c>
      <c r="R152" s="28">
        <f t="shared" si="84"/>
        <v>0.52103362324482005</v>
      </c>
      <c r="S152" s="28">
        <f t="shared" si="84"/>
        <v>0.53237950680987345</v>
      </c>
      <c r="T152" s="28">
        <f t="shared" si="84"/>
        <v>0.51976861679934838</v>
      </c>
      <c r="U152" s="28">
        <f t="shared" si="84"/>
        <v>0.50434741689087859</v>
      </c>
    </row>
    <row r="153" spans="1:54" x14ac:dyDescent="0.25">
      <c r="A153" s="15" t="s">
        <v>71</v>
      </c>
      <c r="J153" s="27">
        <f t="shared" si="83"/>
        <v>0.32920236930017965</v>
      </c>
      <c r="K153" s="27">
        <f t="shared" si="83"/>
        <v>0.33575036145298204</v>
      </c>
      <c r="L153" s="27">
        <f t="shared" si="83"/>
        <v>0.39114535129287814</v>
      </c>
      <c r="M153" s="27">
        <f t="shared" si="83"/>
        <v>0.45519470502078752</v>
      </c>
      <c r="N153" s="28">
        <f t="shared" si="83"/>
        <v>0.48378195838305432</v>
      </c>
      <c r="O153" s="28">
        <f t="shared" si="84"/>
        <v>0.46494942201355538</v>
      </c>
      <c r="P153" s="28">
        <f t="shared" si="84"/>
        <v>0.43587815045271555</v>
      </c>
      <c r="Q153" s="28">
        <f t="shared" si="84"/>
        <v>0.50490284999957835</v>
      </c>
      <c r="R153" s="28">
        <f t="shared" si="84"/>
        <v>0.50681746969810959</v>
      </c>
      <c r="S153" s="28">
        <f t="shared" si="84"/>
        <v>0.53623307906054629</v>
      </c>
      <c r="T153" s="28">
        <f t="shared" si="84"/>
        <v>0.502961825300143</v>
      </c>
      <c r="U153" s="28">
        <f t="shared" si="84"/>
        <v>0.51278178250654372</v>
      </c>
    </row>
    <row r="154" spans="1:54" x14ac:dyDescent="0.25">
      <c r="A154" s="15" t="s">
        <v>72</v>
      </c>
      <c r="J154" s="27">
        <f t="shared" si="83"/>
        <v>0.32334190112074407</v>
      </c>
      <c r="K154" s="27">
        <f t="shared" si="83"/>
        <v>0.3092643063542953</v>
      </c>
      <c r="L154" s="27">
        <f t="shared" si="83"/>
        <v>0.4139217315758692</v>
      </c>
      <c r="M154" s="27">
        <f>(M75+M60)/(M53+M68)</f>
        <v>0.48255959155801631</v>
      </c>
      <c r="N154" s="28">
        <f>(N75+N60)/(N53+N68)</f>
        <v>0.48936683203590375</v>
      </c>
      <c r="O154" s="28">
        <f t="shared" si="84"/>
        <v>0.48027027230754304</v>
      </c>
      <c r="P154" s="28">
        <f t="shared" si="84"/>
        <v>0.51571895884529617</v>
      </c>
      <c r="Q154" s="28">
        <f t="shared" si="84"/>
        <v>0.50941964954883256</v>
      </c>
      <c r="R154" s="28">
        <f t="shared" si="84"/>
        <v>0.5149108900550835</v>
      </c>
      <c r="S154" s="28">
        <f t="shared" si="84"/>
        <v>0.53545488091957805</v>
      </c>
      <c r="T154" s="28">
        <f t="shared" si="84"/>
        <v>0.51441092883586859</v>
      </c>
      <c r="U154" s="28">
        <f t="shared" si="84"/>
        <v>0.51307718136344227</v>
      </c>
    </row>
    <row r="155" spans="1:54" x14ac:dyDescent="0.25">
      <c r="M155" s="29"/>
    </row>
    <row r="156" spans="1:54" x14ac:dyDescent="0.25">
      <c r="A156" s="13" t="s">
        <v>83</v>
      </c>
    </row>
    <row r="157" spans="1:54" x14ac:dyDescent="0.25">
      <c r="H157" s="14">
        <f>H149</f>
        <v>2017</v>
      </c>
      <c r="I157" s="14">
        <f t="shared" ref="I157:U157" si="85">I149</f>
        <v>2018</v>
      </c>
      <c r="J157" s="14">
        <f t="shared" si="85"/>
        <v>2019</v>
      </c>
      <c r="K157" s="14">
        <f t="shared" si="85"/>
        <v>2020</v>
      </c>
      <c r="L157" s="14">
        <f t="shared" si="85"/>
        <v>2021</v>
      </c>
      <c r="M157" s="14">
        <f t="shared" si="85"/>
        <v>2022</v>
      </c>
      <c r="N157" s="14">
        <f t="shared" si="85"/>
        <v>2023</v>
      </c>
      <c r="O157" s="14">
        <f t="shared" si="85"/>
        <v>2024</v>
      </c>
      <c r="P157" s="14">
        <f t="shared" si="85"/>
        <v>2025</v>
      </c>
      <c r="Q157" s="14">
        <f t="shared" si="85"/>
        <v>2026</v>
      </c>
      <c r="R157" s="14">
        <f t="shared" si="85"/>
        <v>2027</v>
      </c>
      <c r="S157" s="14">
        <f t="shared" si="85"/>
        <v>2028</v>
      </c>
      <c r="T157" s="14">
        <f t="shared" si="85"/>
        <v>2029</v>
      </c>
      <c r="U157" s="14">
        <f t="shared" si="85"/>
        <v>2030</v>
      </c>
    </row>
    <row r="158" spans="1:54" x14ac:dyDescent="0.25">
      <c r="A158" s="15" t="s">
        <v>68</v>
      </c>
    </row>
    <row r="159" spans="1:54" x14ac:dyDescent="0.25">
      <c r="A159" s="15" t="s">
        <v>69</v>
      </c>
      <c r="L159" s="15" t="s">
        <v>68</v>
      </c>
      <c r="M159" s="27">
        <f>M56/M49</f>
        <v>0.20667516433294766</v>
      </c>
      <c r="N159" s="27">
        <f>N56/N49</f>
        <v>0.18769197836099752</v>
      </c>
    </row>
    <row r="160" spans="1:54" x14ac:dyDescent="0.25">
      <c r="A160" s="15" t="s">
        <v>70</v>
      </c>
      <c r="L160" s="15" t="s">
        <v>69</v>
      </c>
      <c r="M160" s="27">
        <f t="shared" ref="M160:N162" si="86">M57/M50</f>
        <v>0.15996929076657551</v>
      </c>
      <c r="N160" s="27">
        <f t="shared" si="86"/>
        <v>0.13381691571861273</v>
      </c>
    </row>
    <row r="161" spans="1:14" x14ac:dyDescent="0.25">
      <c r="A161" s="15" t="s">
        <v>71</v>
      </c>
      <c r="L161" s="15" t="s">
        <v>70</v>
      </c>
      <c r="M161" s="27">
        <f t="shared" si="86"/>
        <v>0.16767208956664123</v>
      </c>
      <c r="N161" s="27">
        <f t="shared" si="86"/>
        <v>0.15298095365760978</v>
      </c>
    </row>
    <row r="162" spans="1:14" x14ac:dyDescent="0.25">
      <c r="A162" s="15" t="s">
        <v>72</v>
      </c>
      <c r="L162" s="15" t="s">
        <v>71</v>
      </c>
      <c r="M162" s="27">
        <f t="shared" si="86"/>
        <v>0.16683509512253941</v>
      </c>
      <c r="N162" s="27">
        <f t="shared" si="86"/>
        <v>0.17583349375813295</v>
      </c>
    </row>
    <row r="163" spans="1:14" x14ac:dyDescent="0.25">
      <c r="L163" s="13" t="s">
        <v>84</v>
      </c>
      <c r="M163" s="27"/>
      <c r="N163" s="27"/>
    </row>
    <row r="165" spans="1:14" x14ac:dyDescent="0.25">
      <c r="L165" s="15" t="s">
        <v>68</v>
      </c>
      <c r="M165" s="20">
        <f>M71/M64</f>
        <v>0.79329585691723081</v>
      </c>
      <c r="N165" s="20">
        <f>N71/N64</f>
        <v>0.70404363208964271</v>
      </c>
    </row>
    <row r="166" spans="1:14" x14ac:dyDescent="0.25">
      <c r="L166" s="15" t="s">
        <v>69</v>
      </c>
      <c r="M166" s="20">
        <f t="shared" ref="M166:N168" si="87">M72/M65</f>
        <v>0.74320003022133596</v>
      </c>
      <c r="N166" s="20">
        <f t="shared" si="87"/>
        <v>0.66691632958352309</v>
      </c>
    </row>
    <row r="167" spans="1:14" x14ac:dyDescent="0.25">
      <c r="L167" s="15" t="s">
        <v>70</v>
      </c>
      <c r="M167" s="20">
        <f t="shared" si="87"/>
        <v>0.82085389198981829</v>
      </c>
      <c r="N167" s="20">
        <f t="shared" si="87"/>
        <v>0.72644772339391928</v>
      </c>
    </row>
    <row r="168" spans="1:14" x14ac:dyDescent="0.25">
      <c r="L168" s="15" t="s">
        <v>71</v>
      </c>
      <c r="M168" s="20">
        <f t="shared" si="87"/>
        <v>0.67864896274442588</v>
      </c>
      <c r="N168" s="20">
        <f t="shared" si="87"/>
        <v>0.63105134145416109</v>
      </c>
    </row>
    <row r="169" spans="1:14" x14ac:dyDescent="0.25">
      <c r="M169" s="20"/>
      <c r="N169" s="20"/>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84FF5-AEC9-468E-A370-357DE0C06578}">
  <sheetPr>
    <tabColor rgb="FF5D803B"/>
  </sheetPr>
  <dimension ref="A1:FJ117"/>
  <sheetViews>
    <sheetView zoomScaleNormal="100" workbookViewId="0">
      <pane xSplit="1" ySplit="4" topLeftCell="EY48" activePane="bottomRight" state="frozen"/>
      <selection activeCell="A6" sqref="A6"/>
      <selection pane="topRight" activeCell="A6" sqref="A6"/>
      <selection pane="bottomLeft" activeCell="A6" sqref="A6"/>
      <selection pane="bottomRight" activeCell="A6" sqref="A6"/>
    </sheetView>
  </sheetViews>
  <sheetFormatPr defaultColWidth="9.140625" defaultRowHeight="14.25" x14ac:dyDescent="0.2"/>
  <cols>
    <col min="1" max="1" width="64.42578125" style="9" customWidth="1"/>
    <col min="2" max="2" width="15.28515625" style="9" bestFit="1" customWidth="1"/>
    <col min="3" max="54" width="15" style="9" customWidth="1"/>
    <col min="55" max="166" width="14.85546875" style="9" customWidth="1"/>
    <col min="167" max="16384" width="9.140625" style="9"/>
  </cols>
  <sheetData>
    <row r="1" spans="1:166" ht="18" x14ac:dyDescent="0.25">
      <c r="A1" s="30" t="s">
        <v>85</v>
      </c>
    </row>
    <row r="2" spans="1:166" ht="15" x14ac:dyDescent="0.25">
      <c r="A2" s="8"/>
    </row>
    <row r="3" spans="1:166" ht="15" x14ac:dyDescent="0.25">
      <c r="A3" s="8" t="s">
        <v>86</v>
      </c>
    </row>
    <row r="4" spans="1:166" x14ac:dyDescent="0.2">
      <c r="A4" s="9" t="s">
        <v>87</v>
      </c>
      <c r="B4" s="9" t="s">
        <v>88</v>
      </c>
      <c r="C4" s="9" t="str">
        <f>'Qrtly Credit-Deficit Generation'!C76</f>
        <v>2011Q1</v>
      </c>
      <c r="D4" s="9" t="str">
        <f>'Qrtly Credit-Deficit Generation'!D76</f>
        <v>Q2</v>
      </c>
      <c r="E4" s="9" t="str">
        <f>'Qrtly Credit-Deficit Generation'!E76</f>
        <v>Q3</v>
      </c>
      <c r="F4" s="9" t="str">
        <f>'Qrtly Credit-Deficit Generation'!F76</f>
        <v>Q4</v>
      </c>
      <c r="G4" s="9" t="str">
        <f>'Qrtly Credit-Deficit Generation'!G76</f>
        <v>2012Q1</v>
      </c>
      <c r="H4" s="9" t="str">
        <f>'Qrtly Credit-Deficit Generation'!H76</f>
        <v>Q2</v>
      </c>
      <c r="I4" s="9" t="str">
        <f>'Qrtly Credit-Deficit Generation'!I76</f>
        <v>Q3</v>
      </c>
      <c r="J4" s="9" t="str">
        <f>'Qrtly Credit-Deficit Generation'!J76</f>
        <v>Q4</v>
      </c>
      <c r="K4" s="9" t="str">
        <f>'Qrtly Credit-Deficit Generation'!K76</f>
        <v>2013Q1</v>
      </c>
      <c r="L4" s="9" t="str">
        <f>'Qrtly Credit-Deficit Generation'!L76</f>
        <v>Q2</v>
      </c>
      <c r="M4" s="9" t="str">
        <f>'Qrtly Credit-Deficit Generation'!M76</f>
        <v>Q3</v>
      </c>
      <c r="N4" s="9" t="str">
        <f>'Qrtly Credit-Deficit Generation'!N76</f>
        <v>Q4</v>
      </c>
      <c r="O4" s="9" t="str">
        <f>'Qrtly Credit-Deficit Generation'!O76</f>
        <v>2014Q1</v>
      </c>
      <c r="P4" s="9" t="str">
        <f>'Qrtly Credit-Deficit Generation'!P76</f>
        <v>Q2</v>
      </c>
      <c r="Q4" s="9" t="str">
        <f>'Qrtly Credit-Deficit Generation'!Q76</f>
        <v>Q3</v>
      </c>
      <c r="R4" s="9" t="str">
        <f>'Qrtly Credit-Deficit Generation'!R76</f>
        <v>Q4</v>
      </c>
      <c r="S4" s="9" t="str">
        <f>'Qrtly Credit-Deficit Generation'!S76</f>
        <v>2015Q1</v>
      </c>
      <c r="T4" s="9" t="str">
        <f>'Qrtly Credit-Deficit Generation'!T76</f>
        <v>Q2</v>
      </c>
      <c r="U4" s="9" t="str">
        <f>'Qrtly Credit-Deficit Generation'!U76</f>
        <v>Q3</v>
      </c>
      <c r="V4" s="9" t="str">
        <f>'Qrtly Credit-Deficit Generation'!V76</f>
        <v>Q4</v>
      </c>
      <c r="W4" s="9" t="str">
        <f>'Qrtly Credit-Deficit Generation'!W76</f>
        <v>2016Q1</v>
      </c>
      <c r="X4" s="9" t="str">
        <f>'Qrtly Credit-Deficit Generation'!X76</f>
        <v>Q2</v>
      </c>
      <c r="Y4" s="9" t="str">
        <f>'Qrtly Credit-Deficit Generation'!Y76</f>
        <v>Q3</v>
      </c>
      <c r="Z4" s="9" t="str">
        <f>'Qrtly Credit-Deficit Generation'!Z76</f>
        <v>Q4</v>
      </c>
      <c r="AA4" s="9" t="str">
        <f>'Qrtly Credit-Deficit Generation'!AA76</f>
        <v>2017Q1</v>
      </c>
      <c r="AB4" s="9" t="str">
        <f>'Qrtly Credit-Deficit Generation'!AB76</f>
        <v>Q2</v>
      </c>
      <c r="AC4" s="9" t="str">
        <f>'Qrtly Credit-Deficit Generation'!AC76</f>
        <v>Q3</v>
      </c>
      <c r="AD4" s="9" t="str">
        <f>'Qrtly Credit-Deficit Generation'!AD76</f>
        <v>Q4</v>
      </c>
      <c r="AE4" s="9" t="str">
        <f>'Qrtly Credit-Deficit Generation'!AE76</f>
        <v>2018Q1</v>
      </c>
      <c r="AF4" s="9" t="str">
        <f>'Qrtly Credit-Deficit Generation'!AF76</f>
        <v>Q2</v>
      </c>
      <c r="AG4" s="9" t="str">
        <f>'Qrtly Credit-Deficit Generation'!AG76</f>
        <v>Q3</v>
      </c>
      <c r="AH4" s="9" t="str">
        <f>'Qrtly Credit-Deficit Generation'!AH76</f>
        <v>Q4</v>
      </c>
      <c r="AI4" s="9" t="str">
        <f>'Qrtly Credit-Deficit Generation'!AI76</f>
        <v>2019Q1</v>
      </c>
      <c r="AJ4" s="9" t="str">
        <f>'Qrtly Credit-Deficit Generation'!AJ76</f>
        <v>Q2</v>
      </c>
      <c r="AK4" s="9" t="str">
        <f>'Qrtly Credit-Deficit Generation'!AK76</f>
        <v>Q3</v>
      </c>
      <c r="AL4" s="9" t="str">
        <f>'Qrtly Credit-Deficit Generation'!AL76</f>
        <v>Q4</v>
      </c>
      <c r="AM4" s="9" t="str">
        <f>'Qrtly Credit-Deficit Generation'!AM76</f>
        <v>2020Q1</v>
      </c>
      <c r="AN4" s="9" t="str">
        <f>'Qrtly Credit-Deficit Generation'!AN76</f>
        <v>Q2</v>
      </c>
      <c r="AO4" s="9" t="str">
        <f>'Qrtly Credit-Deficit Generation'!AO76</f>
        <v>Q3</v>
      </c>
      <c r="AP4" s="9" t="str">
        <f>'Qrtly Credit-Deficit Generation'!AP76</f>
        <v>Q4</v>
      </c>
      <c r="AQ4" s="9" t="str">
        <f>'Qrtly Credit-Deficit Generation'!AQ76</f>
        <v>2021Q1</v>
      </c>
      <c r="AR4" s="9" t="str">
        <f>'Qrtly Credit-Deficit Generation'!AR76</f>
        <v>Q2</v>
      </c>
      <c r="AS4" s="9" t="s">
        <v>70</v>
      </c>
      <c r="AT4" s="9" t="s">
        <v>71</v>
      </c>
      <c r="AU4" s="9" t="s">
        <v>89</v>
      </c>
      <c r="AV4" s="9" t="s">
        <v>69</v>
      </c>
      <c r="AW4" s="9" t="s">
        <v>70</v>
      </c>
      <c r="AX4" s="9" t="s">
        <v>71</v>
      </c>
      <c r="AY4" s="9" t="s">
        <v>90</v>
      </c>
      <c r="AZ4" s="9" t="s">
        <v>69</v>
      </c>
      <c r="BA4" s="9" t="s">
        <v>70</v>
      </c>
      <c r="BB4" s="9" t="s">
        <v>71</v>
      </c>
      <c r="BC4" s="9" t="s">
        <v>91</v>
      </c>
      <c r="BD4" s="9" t="s">
        <v>69</v>
      </c>
      <c r="BE4" s="9" t="s">
        <v>70</v>
      </c>
      <c r="BF4" s="9" t="s">
        <v>71</v>
      </c>
      <c r="BG4" s="9" t="s">
        <v>92</v>
      </c>
      <c r="BH4" s="9" t="str">
        <f>BD4</f>
        <v>Q2</v>
      </c>
      <c r="BI4" s="9" t="str">
        <f>BE4</f>
        <v>Q3</v>
      </c>
      <c r="BJ4" s="9" t="str">
        <f>BF4</f>
        <v>Q4</v>
      </c>
      <c r="BK4" s="9" t="s">
        <v>93</v>
      </c>
      <c r="BL4" s="9" t="str">
        <f>BH4</f>
        <v>Q2</v>
      </c>
      <c r="BM4" s="9" t="str">
        <f t="shared" ref="BM4:BN4" si="0">BI4</f>
        <v>Q3</v>
      </c>
      <c r="BN4" s="9" t="str">
        <f t="shared" si="0"/>
        <v>Q4</v>
      </c>
      <c r="BO4" s="9" t="s">
        <v>94</v>
      </c>
      <c r="BP4" s="9" t="str">
        <f t="shared" ref="BP4:BR4" si="1">BL4</f>
        <v>Q2</v>
      </c>
      <c r="BQ4" s="9" t="str">
        <f t="shared" si="1"/>
        <v>Q3</v>
      </c>
      <c r="BR4" s="9" t="str">
        <f t="shared" si="1"/>
        <v>Q4</v>
      </c>
      <c r="BS4" s="9" t="s">
        <v>95</v>
      </c>
      <c r="BT4" s="9" t="str">
        <f>BP4</f>
        <v>Q2</v>
      </c>
      <c r="BU4" s="9" t="str">
        <f>BQ4</f>
        <v>Q3</v>
      </c>
      <c r="BV4" s="9" t="str">
        <f>BR4</f>
        <v>Q4</v>
      </c>
      <c r="BW4" s="9" t="s">
        <v>96</v>
      </c>
      <c r="BX4" s="9" t="str">
        <f>BT4</f>
        <v>Q2</v>
      </c>
      <c r="BY4" s="9" t="str">
        <f>BU4</f>
        <v>Q3</v>
      </c>
      <c r="BZ4" s="9" t="str">
        <f>BV4</f>
        <v>Q4</v>
      </c>
      <c r="CA4" s="9" t="s">
        <v>97</v>
      </c>
      <c r="CB4" s="9" t="str">
        <f>BX4</f>
        <v>Q2</v>
      </c>
      <c r="CC4" s="9" t="str">
        <f>BY4</f>
        <v>Q3</v>
      </c>
      <c r="CD4" s="9" t="str">
        <f>BZ4</f>
        <v>Q4</v>
      </c>
      <c r="CE4" s="9" t="s">
        <v>98</v>
      </c>
      <c r="CF4" s="9" t="str">
        <f t="shared" ref="CF4:CH4" si="2">CB4</f>
        <v>Q2</v>
      </c>
      <c r="CG4" s="9" t="str">
        <f t="shared" si="2"/>
        <v>Q3</v>
      </c>
      <c r="CH4" s="9" t="str">
        <f t="shared" si="2"/>
        <v>Q4</v>
      </c>
      <c r="CI4" s="9" t="s">
        <v>99</v>
      </c>
      <c r="CJ4" s="9" t="str">
        <f t="shared" ref="CJ4:CL4" si="3">CF4</f>
        <v>Q2</v>
      </c>
      <c r="CK4" s="9" t="str">
        <f t="shared" si="3"/>
        <v>Q3</v>
      </c>
      <c r="CL4" s="9" t="str">
        <f t="shared" si="3"/>
        <v>Q4</v>
      </c>
      <c r="CM4" s="9" t="s">
        <v>100</v>
      </c>
      <c r="CN4" s="9" t="str">
        <f t="shared" ref="CN4:CP4" si="4">CJ4</f>
        <v>Q2</v>
      </c>
      <c r="CO4" s="9" t="str">
        <f t="shared" si="4"/>
        <v>Q3</v>
      </c>
      <c r="CP4" s="9" t="str">
        <f t="shared" si="4"/>
        <v>Q4</v>
      </c>
      <c r="CQ4" s="9" t="s">
        <v>101</v>
      </c>
      <c r="CR4" s="9" t="str">
        <f t="shared" ref="CR4:CT4" si="5">CN4</f>
        <v>Q2</v>
      </c>
      <c r="CS4" s="9" t="str">
        <f t="shared" si="5"/>
        <v>Q3</v>
      </c>
      <c r="CT4" s="9" t="str">
        <f t="shared" si="5"/>
        <v>Q4</v>
      </c>
      <c r="CU4" s="9" t="s">
        <v>102</v>
      </c>
      <c r="CV4" s="9" t="str">
        <f t="shared" ref="CV4:CX4" si="6">CR4</f>
        <v>Q2</v>
      </c>
      <c r="CW4" s="9" t="str">
        <f t="shared" si="6"/>
        <v>Q3</v>
      </c>
      <c r="CX4" s="9" t="str">
        <f t="shared" si="6"/>
        <v>Q4</v>
      </c>
      <c r="CY4" s="9" t="s">
        <v>103</v>
      </c>
      <c r="CZ4" s="9" t="str">
        <f t="shared" ref="CZ4:DB4" si="7">CV4</f>
        <v>Q2</v>
      </c>
      <c r="DA4" s="9" t="str">
        <f t="shared" si="7"/>
        <v>Q3</v>
      </c>
      <c r="DB4" s="9" t="str">
        <f t="shared" si="7"/>
        <v>Q4</v>
      </c>
      <c r="DC4" s="9" t="s">
        <v>104</v>
      </c>
      <c r="DD4" s="9" t="str">
        <f t="shared" ref="DD4:DF4" si="8">CZ4</f>
        <v>Q2</v>
      </c>
      <c r="DE4" s="9" t="str">
        <f t="shared" si="8"/>
        <v>Q3</v>
      </c>
      <c r="DF4" s="9" t="str">
        <f t="shared" si="8"/>
        <v>Q4</v>
      </c>
      <c r="DG4" s="9" t="s">
        <v>105</v>
      </c>
      <c r="DH4" s="9" t="str">
        <f t="shared" ref="DH4:DJ4" si="9">DD4</f>
        <v>Q2</v>
      </c>
      <c r="DI4" s="9" t="str">
        <f t="shared" si="9"/>
        <v>Q3</v>
      </c>
      <c r="DJ4" s="9" t="str">
        <f t="shared" si="9"/>
        <v>Q4</v>
      </c>
      <c r="DK4" s="9" t="s">
        <v>106</v>
      </c>
      <c r="DL4" s="9" t="str">
        <f t="shared" ref="DL4:DN4" si="10">DH4</f>
        <v>Q2</v>
      </c>
      <c r="DM4" s="9" t="str">
        <f t="shared" si="10"/>
        <v>Q3</v>
      </c>
      <c r="DN4" s="9" t="str">
        <f t="shared" si="10"/>
        <v>Q4</v>
      </c>
      <c r="DO4" s="9" t="s">
        <v>107</v>
      </c>
      <c r="DP4" s="9" t="str">
        <f t="shared" ref="DP4:DR4" si="11">DL4</f>
        <v>Q2</v>
      </c>
      <c r="DQ4" s="9" t="str">
        <f t="shared" si="11"/>
        <v>Q3</v>
      </c>
      <c r="DR4" s="9" t="str">
        <f t="shared" si="11"/>
        <v>Q4</v>
      </c>
      <c r="DS4" s="9" t="s">
        <v>108</v>
      </c>
      <c r="DT4" s="9" t="str">
        <f t="shared" ref="DT4:DV4" si="12">DP4</f>
        <v>Q2</v>
      </c>
      <c r="DU4" s="9" t="str">
        <f t="shared" si="12"/>
        <v>Q3</v>
      </c>
      <c r="DV4" s="9" t="str">
        <f t="shared" si="12"/>
        <v>Q4</v>
      </c>
      <c r="DW4" s="9" t="s">
        <v>109</v>
      </c>
      <c r="DX4" s="9" t="str">
        <f t="shared" ref="DX4:DZ4" si="13">DT4</f>
        <v>Q2</v>
      </c>
      <c r="DY4" s="9" t="str">
        <f t="shared" si="13"/>
        <v>Q3</v>
      </c>
      <c r="DZ4" s="9" t="str">
        <f t="shared" si="13"/>
        <v>Q4</v>
      </c>
      <c r="EA4" s="9" t="s">
        <v>110</v>
      </c>
      <c r="EB4" s="9" t="str">
        <f t="shared" ref="EB4:ED4" si="14">DX4</f>
        <v>Q2</v>
      </c>
      <c r="EC4" s="9" t="str">
        <f t="shared" si="14"/>
        <v>Q3</v>
      </c>
      <c r="ED4" s="9" t="str">
        <f t="shared" si="14"/>
        <v>Q4</v>
      </c>
      <c r="EE4" s="9" t="s">
        <v>111</v>
      </c>
      <c r="EF4" s="9" t="str">
        <f t="shared" ref="EF4:EH4" si="15">EB4</f>
        <v>Q2</v>
      </c>
      <c r="EG4" s="9" t="str">
        <f t="shared" si="15"/>
        <v>Q3</v>
      </c>
      <c r="EH4" s="9" t="str">
        <f t="shared" si="15"/>
        <v>Q4</v>
      </c>
      <c r="EI4" s="9" t="s">
        <v>112</v>
      </c>
      <c r="EJ4" s="9" t="str">
        <f t="shared" ref="EJ4:EL4" si="16">EF4</f>
        <v>Q2</v>
      </c>
      <c r="EK4" s="9" t="str">
        <f t="shared" si="16"/>
        <v>Q3</v>
      </c>
      <c r="EL4" s="9" t="str">
        <f t="shared" si="16"/>
        <v>Q4</v>
      </c>
      <c r="EM4" s="9" t="s">
        <v>113</v>
      </c>
      <c r="EN4" s="9" t="str">
        <f t="shared" ref="EN4:EP4" si="17">EJ4</f>
        <v>Q2</v>
      </c>
      <c r="EO4" s="9" t="str">
        <f t="shared" si="17"/>
        <v>Q3</v>
      </c>
      <c r="EP4" s="9" t="str">
        <f t="shared" si="17"/>
        <v>Q4</v>
      </c>
      <c r="EQ4" s="9" t="s">
        <v>114</v>
      </c>
      <c r="ER4" s="9" t="str">
        <f t="shared" ref="ER4:ET4" si="18">EN4</f>
        <v>Q2</v>
      </c>
      <c r="ES4" s="9" t="str">
        <f t="shared" si="18"/>
        <v>Q3</v>
      </c>
      <c r="ET4" s="9" t="str">
        <f t="shared" si="18"/>
        <v>Q4</v>
      </c>
      <c r="EU4" s="9" t="s">
        <v>115</v>
      </c>
      <c r="EV4" s="9" t="str">
        <f t="shared" ref="EV4:EX4" si="19">ER4</f>
        <v>Q2</v>
      </c>
      <c r="EW4" s="9" t="str">
        <f t="shared" si="19"/>
        <v>Q3</v>
      </c>
      <c r="EX4" s="9" t="str">
        <f t="shared" si="19"/>
        <v>Q4</v>
      </c>
      <c r="EY4" s="9" t="s">
        <v>116</v>
      </c>
      <c r="EZ4" s="9" t="str">
        <f t="shared" ref="EZ4:FB4" si="20">EV4</f>
        <v>Q2</v>
      </c>
      <c r="FA4" s="9" t="str">
        <f t="shared" si="20"/>
        <v>Q3</v>
      </c>
      <c r="FB4" s="9" t="str">
        <f t="shared" si="20"/>
        <v>Q4</v>
      </c>
      <c r="FC4" s="9" t="s">
        <v>117</v>
      </c>
      <c r="FD4" s="9" t="str">
        <f t="shared" ref="FD4:FF4" si="21">EZ4</f>
        <v>Q2</v>
      </c>
      <c r="FE4" s="9" t="str">
        <f t="shared" si="21"/>
        <v>Q3</v>
      </c>
      <c r="FF4" s="9" t="str">
        <f t="shared" si="21"/>
        <v>Q4</v>
      </c>
      <c r="FG4" s="9" t="s">
        <v>118</v>
      </c>
      <c r="FH4" s="9" t="str">
        <f t="shared" ref="FH4:FJ4" si="22">FD4</f>
        <v>Q2</v>
      </c>
      <c r="FI4" s="9" t="str">
        <f t="shared" si="22"/>
        <v>Q3</v>
      </c>
      <c r="FJ4" s="9" t="str">
        <f t="shared" si="22"/>
        <v>Q4</v>
      </c>
    </row>
    <row r="5" spans="1:166" x14ac:dyDescent="0.2">
      <c r="A5" s="9" t="s">
        <v>66</v>
      </c>
      <c r="B5" s="9" t="s">
        <v>119</v>
      </c>
      <c r="C5" s="31">
        <v>0</v>
      </c>
      <c r="D5" s="31">
        <v>0</v>
      </c>
      <c r="E5" s="31">
        <v>0</v>
      </c>
      <c r="F5" s="31">
        <v>0</v>
      </c>
      <c r="G5" s="31">
        <v>0</v>
      </c>
      <c r="H5" s="31">
        <v>0</v>
      </c>
      <c r="I5" s="31">
        <v>0</v>
      </c>
      <c r="J5" s="31">
        <v>0</v>
      </c>
      <c r="K5" s="31">
        <v>0</v>
      </c>
      <c r="L5" s="31">
        <v>7532</v>
      </c>
      <c r="M5" s="31">
        <v>2583509</v>
      </c>
      <c r="N5" s="31">
        <v>2995901</v>
      </c>
      <c r="O5" s="31">
        <v>2726000</v>
      </c>
      <c r="P5" s="31">
        <v>2881044</v>
      </c>
      <c r="Q5" s="31">
        <v>4617725</v>
      </c>
      <c r="R5" s="31">
        <v>5258002</v>
      </c>
      <c r="S5" s="31">
        <v>6720568</v>
      </c>
      <c r="T5" s="31">
        <v>9981749</v>
      </c>
      <c r="U5" s="31">
        <v>11049178</v>
      </c>
      <c r="V5" s="31">
        <v>11447850</v>
      </c>
      <c r="W5" s="31">
        <v>14450356</v>
      </c>
      <c r="X5" s="31">
        <v>14575659</v>
      </c>
      <c r="Y5" s="31">
        <v>15378044</v>
      </c>
      <c r="Z5" s="31">
        <v>15905540</v>
      </c>
      <c r="AA5" s="31">
        <v>16917328</v>
      </c>
      <c r="AB5" s="31">
        <v>21283092</v>
      </c>
      <c r="AC5" s="31">
        <v>24185491</v>
      </c>
      <c r="AD5" s="31">
        <v>24066273</v>
      </c>
      <c r="AE5" s="31">
        <v>23996868</v>
      </c>
      <c r="AF5" s="31">
        <v>24647401</v>
      </c>
      <c r="AG5" s="31">
        <v>27435046</v>
      </c>
      <c r="AH5" s="31">
        <v>29113530</v>
      </c>
      <c r="AI5" s="31">
        <v>28550655</v>
      </c>
      <c r="AJ5" s="31">
        <v>31338196</v>
      </c>
      <c r="AK5" s="31">
        <v>32016663</v>
      </c>
      <c r="AL5" s="31">
        <v>30980609</v>
      </c>
      <c r="AM5" s="31">
        <v>32763027</v>
      </c>
      <c r="AN5" s="31">
        <v>28814425</v>
      </c>
      <c r="AO5" s="31">
        <v>35738973</v>
      </c>
      <c r="AP5" s="31">
        <v>36289300</v>
      </c>
      <c r="AQ5" s="31">
        <v>34313995</v>
      </c>
      <c r="AR5" s="31">
        <v>39658233</v>
      </c>
      <c r="AS5" s="31">
        <v>42853248</v>
      </c>
      <c r="AT5" s="31">
        <v>41459320</v>
      </c>
      <c r="AU5" s="31">
        <v>41745891</v>
      </c>
      <c r="AV5" s="31">
        <v>43453489</v>
      </c>
      <c r="AW5" s="32">
        <v>45784675</v>
      </c>
      <c r="AX5" s="32">
        <v>44727479</v>
      </c>
      <c r="AY5" s="32">
        <v>44983298</v>
      </c>
      <c r="AZ5" s="32">
        <v>47131654</v>
      </c>
      <c r="BA5" s="32">
        <v>48708311</v>
      </c>
      <c r="BB5" s="32">
        <v>48171958</v>
      </c>
      <c r="BC5" s="32">
        <v>48258163</v>
      </c>
      <c r="BD5" s="32">
        <v>50933328</v>
      </c>
      <c r="BE5" s="32">
        <v>53533091</v>
      </c>
      <c r="BF5" s="33">
        <f>'EMTS-CARB Forecast'!$M14</f>
        <v>44727479</v>
      </c>
      <c r="BG5" s="33">
        <f>'EMTS-CARB Forecast'!$M11</f>
        <v>41745891</v>
      </c>
      <c r="BH5" s="33">
        <f>'EMTS-CARB Forecast'!$M12</f>
        <v>43453489</v>
      </c>
      <c r="BI5" s="33">
        <f>'EMTS-CARB Forecast'!$M13</f>
        <v>45784675</v>
      </c>
      <c r="BJ5" s="33">
        <f>'EMTS-CARB Forecast'!$M14</f>
        <v>44727479</v>
      </c>
      <c r="BK5" s="33">
        <f>'EMTS-CARB Forecast'!$M11</f>
        <v>41745891</v>
      </c>
      <c r="BL5" s="33">
        <f>'EMTS-CARB Forecast'!$M12</f>
        <v>43453489</v>
      </c>
      <c r="BM5" s="33">
        <f>'EMTS-CARB Forecast'!$M13</f>
        <v>45784675</v>
      </c>
      <c r="BN5" s="33">
        <f>'EMTS-CARB Forecast'!$M14</f>
        <v>44727479</v>
      </c>
      <c r="BO5" s="33">
        <f>'EMTS-CARB Forecast'!$M11</f>
        <v>41745891</v>
      </c>
      <c r="BP5" s="33">
        <f>'EMTS-CARB Forecast'!$M12</f>
        <v>43453489</v>
      </c>
      <c r="BQ5" s="33">
        <f>'EMTS-CARB Forecast'!$M13</f>
        <v>45784675</v>
      </c>
      <c r="BR5" s="33">
        <f>'EMTS-CARB Forecast'!$M14</f>
        <v>44727479</v>
      </c>
      <c r="BS5" s="33">
        <f>'EMTS-CARB Forecast'!$M11</f>
        <v>41745891</v>
      </c>
      <c r="BT5" s="33">
        <f>'EMTS-CARB Forecast'!$M12</f>
        <v>43453489</v>
      </c>
      <c r="BU5" s="33">
        <f>'EMTS-CARB Forecast'!$M13</f>
        <v>45784675</v>
      </c>
      <c r="BV5" s="33">
        <f>'EMTS-CARB Forecast'!$M14</f>
        <v>44727479</v>
      </c>
      <c r="BW5" s="33">
        <f>'EMTS-CARB Forecast'!$M11</f>
        <v>41745891</v>
      </c>
      <c r="BX5" s="33">
        <f>'EMTS-CARB Forecast'!$M12</f>
        <v>43453489</v>
      </c>
      <c r="BY5" s="33">
        <f>'EMTS-CARB Forecast'!$M13</f>
        <v>45784675</v>
      </c>
      <c r="BZ5" s="33">
        <f>'EMTS-CARB Forecast'!$M14</f>
        <v>44727479</v>
      </c>
      <c r="CA5" s="33">
        <f>'EMTS-CARB Forecast'!$M11</f>
        <v>41745891</v>
      </c>
      <c r="CB5" s="33">
        <f>'EMTS-CARB Forecast'!$M12</f>
        <v>43453489</v>
      </c>
      <c r="CC5" s="33">
        <f>'EMTS-CARB Forecast'!$M13</f>
        <v>45784675</v>
      </c>
      <c r="CD5" s="33">
        <f>'EMTS-CARB Forecast'!$M14</f>
        <v>44727479</v>
      </c>
      <c r="CE5" s="33">
        <f>'EMTS-CARB Forecast'!$M11</f>
        <v>41745891</v>
      </c>
      <c r="CF5" s="33">
        <f>'EMTS-CARB Forecast'!$M12</f>
        <v>43453489</v>
      </c>
      <c r="CG5" s="33">
        <f>'EMTS-CARB Forecast'!$M13</f>
        <v>45784675</v>
      </c>
      <c r="CH5" s="33">
        <f>'EMTS-CARB Forecast'!$M14</f>
        <v>44727479</v>
      </c>
      <c r="CI5" s="33">
        <f>'EMTS-CARB Forecast'!$M11</f>
        <v>41745891</v>
      </c>
      <c r="CJ5" s="33">
        <f>'EMTS-CARB Forecast'!$M12</f>
        <v>43453489</v>
      </c>
      <c r="CK5" s="33">
        <f>'EMTS-CARB Forecast'!$M13</f>
        <v>45784675</v>
      </c>
      <c r="CL5" s="33">
        <f>'EMTS-CARB Forecast'!$M14</f>
        <v>44727479</v>
      </c>
      <c r="CM5" s="33">
        <f>'EMTS-CARB Forecast'!$M11</f>
        <v>41745891</v>
      </c>
      <c r="CN5" s="33">
        <f>'EMTS-CARB Forecast'!$M12</f>
        <v>43453489</v>
      </c>
      <c r="CO5" s="33">
        <f>'EMTS-CARB Forecast'!$M13</f>
        <v>45784675</v>
      </c>
      <c r="CP5" s="33">
        <f>'EMTS-CARB Forecast'!$M14</f>
        <v>44727479</v>
      </c>
      <c r="CQ5" s="33">
        <f>'EMTS-CARB Forecast'!$M11</f>
        <v>41745891</v>
      </c>
      <c r="CR5" s="33">
        <f>'EMTS-CARB Forecast'!$M12</f>
        <v>43453489</v>
      </c>
      <c r="CS5" s="33">
        <f>'EMTS-CARB Forecast'!$M13</f>
        <v>45784675</v>
      </c>
      <c r="CT5" s="33">
        <f>'EMTS-CARB Forecast'!$M14</f>
        <v>44727479</v>
      </c>
      <c r="CU5" s="33">
        <f>'EMTS-CARB Forecast'!$M11</f>
        <v>41745891</v>
      </c>
      <c r="CV5" s="33">
        <f>'EMTS-CARB Forecast'!$M12</f>
        <v>43453489</v>
      </c>
      <c r="CW5" s="33">
        <f>'EMTS-CARB Forecast'!$M13</f>
        <v>45784675</v>
      </c>
      <c r="CX5" s="33">
        <f>'EMTS-CARB Forecast'!$M14</f>
        <v>44727479</v>
      </c>
      <c r="CY5" s="33">
        <f>'EMTS-CARB Forecast'!$M11</f>
        <v>41745891</v>
      </c>
      <c r="CZ5" s="33">
        <f>'EMTS-CARB Forecast'!$M12</f>
        <v>43453489</v>
      </c>
      <c r="DA5" s="33">
        <f>'EMTS-CARB Forecast'!$M13</f>
        <v>45784675</v>
      </c>
      <c r="DB5" s="33">
        <f>'EMTS-CARB Forecast'!$M14</f>
        <v>44727479</v>
      </c>
      <c r="DC5" s="33">
        <f>'EMTS-CARB Forecast'!$M11</f>
        <v>41745891</v>
      </c>
      <c r="DD5" s="33">
        <f>'EMTS-CARB Forecast'!$M12</f>
        <v>43453489</v>
      </c>
      <c r="DE5" s="33">
        <f>'EMTS-CARB Forecast'!$M13</f>
        <v>45784675</v>
      </c>
      <c r="DF5" s="33">
        <f>'EMTS-CARB Forecast'!$M14</f>
        <v>44727479</v>
      </c>
      <c r="DG5" s="33">
        <f>'EMTS-CARB Forecast'!$M11</f>
        <v>41745891</v>
      </c>
      <c r="DH5" s="33">
        <f>'EMTS-CARB Forecast'!$M12</f>
        <v>43453489</v>
      </c>
      <c r="DI5" s="33">
        <f>'EMTS-CARB Forecast'!$M13</f>
        <v>45784675</v>
      </c>
      <c r="DJ5" s="33">
        <f>'EMTS-CARB Forecast'!$M14</f>
        <v>44727479</v>
      </c>
      <c r="DK5" s="33">
        <f>'EMTS-CARB Forecast'!$M11</f>
        <v>41745891</v>
      </c>
      <c r="DL5" s="33">
        <f>'EMTS-CARB Forecast'!$M12</f>
        <v>43453489</v>
      </c>
      <c r="DM5" s="33">
        <f>'EMTS-CARB Forecast'!$M13</f>
        <v>45784675</v>
      </c>
      <c r="DN5" s="33">
        <f>'EMTS-CARB Forecast'!$M14</f>
        <v>44727479</v>
      </c>
      <c r="DO5" s="33">
        <f>'EMTS-CARB Forecast'!$M11</f>
        <v>41745891</v>
      </c>
      <c r="DP5" s="33">
        <f>'EMTS-CARB Forecast'!$M12</f>
        <v>43453489</v>
      </c>
      <c r="DQ5" s="33">
        <f>'EMTS-CARB Forecast'!$M13</f>
        <v>45784675</v>
      </c>
      <c r="DR5" s="33">
        <f>'EMTS-CARB Forecast'!$M14</f>
        <v>44727479</v>
      </c>
      <c r="DS5" s="33">
        <f>'EMTS-CARB Forecast'!$M11</f>
        <v>41745891</v>
      </c>
      <c r="DT5" s="33">
        <f>'EMTS-CARB Forecast'!$M12</f>
        <v>43453489</v>
      </c>
      <c r="DU5" s="33">
        <f>'EMTS-CARB Forecast'!$M13</f>
        <v>45784675</v>
      </c>
      <c r="DV5" s="33">
        <f>'EMTS-CARB Forecast'!$M14</f>
        <v>44727479</v>
      </c>
      <c r="DW5" s="33">
        <f>'EMTS-CARB Forecast'!$M11</f>
        <v>41745891</v>
      </c>
      <c r="DX5" s="33">
        <f>'EMTS-CARB Forecast'!$M12</f>
        <v>43453489</v>
      </c>
      <c r="DY5" s="33">
        <f>'EMTS-CARB Forecast'!$M13</f>
        <v>45784675</v>
      </c>
      <c r="DZ5" s="33">
        <f>'EMTS-CARB Forecast'!$M13</f>
        <v>45784675</v>
      </c>
      <c r="EA5" s="33">
        <f>'EMTS-CARB Forecast'!$M11</f>
        <v>41745891</v>
      </c>
      <c r="EB5" s="33">
        <f>'EMTS-CARB Forecast'!$M12</f>
        <v>43453489</v>
      </c>
      <c r="EC5" s="33">
        <f>'EMTS-CARB Forecast'!$M13</f>
        <v>45784675</v>
      </c>
      <c r="ED5" s="33">
        <f>'EMTS-CARB Forecast'!$M13</f>
        <v>45784675</v>
      </c>
      <c r="EE5" s="33">
        <f>'EMTS-CARB Forecast'!$M11</f>
        <v>41745891</v>
      </c>
      <c r="EF5" s="33">
        <f>'EMTS-CARB Forecast'!$M12</f>
        <v>43453489</v>
      </c>
      <c r="EG5" s="33">
        <f>'EMTS-CARB Forecast'!$M13</f>
        <v>45784675</v>
      </c>
      <c r="EH5" s="33">
        <f>'EMTS-CARB Forecast'!$M13</f>
        <v>45784675</v>
      </c>
      <c r="EI5" s="33">
        <f>'EMTS-CARB Forecast'!$M11</f>
        <v>41745891</v>
      </c>
      <c r="EJ5" s="33">
        <f>'EMTS-CARB Forecast'!$M12</f>
        <v>43453489</v>
      </c>
      <c r="EK5" s="33">
        <f>'EMTS-CARB Forecast'!$M13</f>
        <v>45784675</v>
      </c>
      <c r="EL5" s="33">
        <f>'EMTS-CARB Forecast'!$M13</f>
        <v>45784675</v>
      </c>
      <c r="EM5" s="33">
        <f>'EMTS-CARB Forecast'!$M11</f>
        <v>41745891</v>
      </c>
      <c r="EN5" s="33">
        <f>'EMTS-CARB Forecast'!$M12</f>
        <v>43453489</v>
      </c>
      <c r="EO5" s="33">
        <f>'EMTS-CARB Forecast'!$M13</f>
        <v>45784675</v>
      </c>
      <c r="EP5" s="33">
        <f>'EMTS-CARB Forecast'!$M13</f>
        <v>45784675</v>
      </c>
      <c r="EQ5" s="33">
        <f>'EMTS-CARB Forecast'!$M11</f>
        <v>41745891</v>
      </c>
      <c r="ER5" s="33">
        <f>'EMTS-CARB Forecast'!$M12</f>
        <v>43453489</v>
      </c>
      <c r="ES5" s="33">
        <f>'EMTS-CARB Forecast'!$M13</f>
        <v>45784675</v>
      </c>
      <c r="ET5" s="33">
        <f>'EMTS-CARB Forecast'!$M13</f>
        <v>45784675</v>
      </c>
      <c r="EU5" s="33">
        <f>'EMTS-CARB Forecast'!$M11</f>
        <v>41745891</v>
      </c>
      <c r="EV5" s="33">
        <f>'EMTS-CARB Forecast'!$M12</f>
        <v>43453489</v>
      </c>
      <c r="EW5" s="33">
        <f>'EMTS-CARB Forecast'!$M13</f>
        <v>45784675</v>
      </c>
      <c r="EX5" s="33">
        <f>'EMTS-CARB Forecast'!$M13</f>
        <v>45784675</v>
      </c>
      <c r="EY5" s="33">
        <f>'EMTS-CARB Forecast'!$M11</f>
        <v>41745891</v>
      </c>
      <c r="EZ5" s="33">
        <f>'EMTS-CARB Forecast'!$M12</f>
        <v>43453489</v>
      </c>
      <c r="FA5" s="33">
        <f>'EMTS-CARB Forecast'!$M13</f>
        <v>45784675</v>
      </c>
      <c r="FB5" s="33">
        <f>'EMTS-CARB Forecast'!$M13</f>
        <v>45784675</v>
      </c>
      <c r="FC5" s="33">
        <f>'EMTS-CARB Forecast'!$M11</f>
        <v>41745891</v>
      </c>
      <c r="FD5" s="33">
        <f>'EMTS-CARB Forecast'!$M12</f>
        <v>43453489</v>
      </c>
      <c r="FE5" s="33">
        <f>'EMTS-CARB Forecast'!$M13</f>
        <v>45784675</v>
      </c>
      <c r="FF5" s="33">
        <f>'EMTS-CARB Forecast'!$M13</f>
        <v>45784675</v>
      </c>
      <c r="FG5" s="33">
        <f>'EMTS-CARB Forecast'!$M11</f>
        <v>41745891</v>
      </c>
      <c r="FH5" s="33">
        <f>'EMTS-CARB Forecast'!$M12</f>
        <v>43453489</v>
      </c>
      <c r="FI5" s="33">
        <f>'EMTS-CARB Forecast'!$M13</f>
        <v>45784675</v>
      </c>
      <c r="FJ5" s="33">
        <f>'EMTS-CARB Forecast'!$M13</f>
        <v>45784675</v>
      </c>
    </row>
    <row r="6" spans="1:166" x14ac:dyDescent="0.2">
      <c r="A6" s="9" t="s">
        <v>74</v>
      </c>
      <c r="B6" s="9" t="s">
        <v>119</v>
      </c>
      <c r="C6" s="31">
        <v>236835</v>
      </c>
      <c r="D6" s="31">
        <v>328532</v>
      </c>
      <c r="E6" s="31">
        <v>530962</v>
      </c>
      <c r="F6" s="31">
        <v>478928</v>
      </c>
      <c r="G6" s="31">
        <v>468876</v>
      </c>
      <c r="H6" s="31">
        <v>453202</v>
      </c>
      <c r="I6" s="31">
        <v>384063</v>
      </c>
      <c r="J6" s="31">
        <v>287824</v>
      </c>
      <c r="K6" s="31">
        <v>439275</v>
      </c>
      <c r="L6" s="31">
        <v>612128</v>
      </c>
      <c r="M6" s="31">
        <v>2546125</v>
      </c>
      <c r="N6" s="31">
        <v>1052125</v>
      </c>
      <c r="O6" s="31">
        <v>1639132</v>
      </c>
      <c r="P6" s="31">
        <v>1064074</v>
      </c>
      <c r="Q6" s="31">
        <v>4714630</v>
      </c>
      <c r="R6" s="31">
        <v>5841140</v>
      </c>
      <c r="S6" s="31">
        <v>5277303</v>
      </c>
      <c r="T6" s="31">
        <v>6367592</v>
      </c>
      <c r="U6" s="31">
        <v>7259890</v>
      </c>
      <c r="V6" s="31">
        <v>8307511</v>
      </c>
      <c r="W6" s="31">
        <v>6595776</v>
      </c>
      <c r="X6" s="31">
        <v>7661496</v>
      </c>
      <c r="Y6" s="31">
        <v>7645395</v>
      </c>
      <c r="Z6" s="31">
        <v>7035914</v>
      </c>
      <c r="AA6" s="31">
        <v>6712351</v>
      </c>
      <c r="AB6" s="31">
        <v>6146649</v>
      </c>
      <c r="AC6" s="31">
        <v>3943161</v>
      </c>
      <c r="AD6" s="31">
        <v>3529130</v>
      </c>
      <c r="AE6" s="31">
        <v>3637857</v>
      </c>
      <c r="AF6" s="31">
        <v>3678466</v>
      </c>
      <c r="AG6" s="31">
        <v>3844316</v>
      </c>
      <c r="AH6" s="31">
        <v>3532362</v>
      </c>
      <c r="AI6" s="31">
        <v>3621779</v>
      </c>
      <c r="AJ6" s="31">
        <v>3620430</v>
      </c>
      <c r="AK6" s="31">
        <v>4599876</v>
      </c>
      <c r="AL6" s="31">
        <v>4554189</v>
      </c>
      <c r="AM6" s="31">
        <v>4573936</v>
      </c>
      <c r="AN6" s="31">
        <v>4396610</v>
      </c>
      <c r="AO6" s="31">
        <v>4566252</v>
      </c>
      <c r="AP6" s="31">
        <v>4446816</v>
      </c>
      <c r="AQ6" s="31">
        <v>4123135</v>
      </c>
      <c r="AR6" s="31">
        <v>4146664</v>
      </c>
      <c r="AS6" s="31">
        <v>4033042</v>
      </c>
      <c r="AT6" s="31">
        <v>3968462</v>
      </c>
      <c r="AU6" s="31">
        <v>3668607</v>
      </c>
      <c r="AV6" s="31">
        <v>3893434</v>
      </c>
      <c r="AW6" s="32">
        <v>3960769</v>
      </c>
      <c r="AX6" s="32">
        <v>3224680</v>
      </c>
      <c r="AY6" s="32">
        <v>3488791</v>
      </c>
      <c r="AZ6" s="32">
        <v>3664461</v>
      </c>
      <c r="BA6" s="32">
        <v>3463640</v>
      </c>
      <c r="BB6" s="32">
        <v>3490514</v>
      </c>
      <c r="BC6" s="32">
        <v>3416751</v>
      </c>
      <c r="BD6" s="32">
        <v>3233384</v>
      </c>
      <c r="BE6" s="32">
        <v>3409504</v>
      </c>
      <c r="BF6" s="33">
        <f>'EMTS-CARB Forecast'!$M29</f>
        <v>3224680</v>
      </c>
      <c r="BG6" s="33">
        <f>'EMTS-CARB Forecast'!$M26</f>
        <v>3668607</v>
      </c>
      <c r="BH6" s="33">
        <f>'EMTS-CARB Forecast'!$M27</f>
        <v>3893434</v>
      </c>
      <c r="BI6" s="33">
        <f>'EMTS-CARB Forecast'!$M28</f>
        <v>3960769</v>
      </c>
      <c r="BJ6" s="33">
        <f>'EMTS-CARB Forecast'!$M29</f>
        <v>3224680</v>
      </c>
      <c r="BK6" s="33">
        <f>'EMTS-CARB Forecast'!$M26</f>
        <v>3668607</v>
      </c>
      <c r="BL6" s="33">
        <f>'EMTS-CARB Forecast'!$M27</f>
        <v>3893434</v>
      </c>
      <c r="BM6" s="33">
        <f>'EMTS-CARB Forecast'!$M28</f>
        <v>3960769</v>
      </c>
      <c r="BN6" s="33">
        <f>'EMTS-CARB Forecast'!$M29</f>
        <v>3224680</v>
      </c>
      <c r="BO6" s="33">
        <f>'EMTS-CARB Forecast'!$M26</f>
        <v>3668607</v>
      </c>
      <c r="BP6" s="33">
        <f>'EMTS-CARB Forecast'!$M27</f>
        <v>3893434</v>
      </c>
      <c r="BQ6" s="33">
        <f>'EMTS-CARB Forecast'!$M28</f>
        <v>3960769</v>
      </c>
      <c r="BR6" s="33">
        <f>'EMTS-CARB Forecast'!$M29</f>
        <v>3224680</v>
      </c>
      <c r="BS6" s="33">
        <f>'EMTS-CARB Forecast'!$M26</f>
        <v>3668607</v>
      </c>
      <c r="BT6" s="33">
        <f>'EMTS-CARB Forecast'!$M27</f>
        <v>3893434</v>
      </c>
      <c r="BU6" s="33">
        <f>'EMTS-CARB Forecast'!$M28</f>
        <v>3960769</v>
      </c>
      <c r="BV6" s="33">
        <f>'EMTS-CARB Forecast'!$M29</f>
        <v>3224680</v>
      </c>
      <c r="BW6" s="33">
        <f>'EMTS-CARB Forecast'!$M26</f>
        <v>3668607</v>
      </c>
      <c r="BX6" s="33">
        <f>'EMTS-CARB Forecast'!$M27</f>
        <v>3893434</v>
      </c>
      <c r="BY6" s="33">
        <f>'EMTS-CARB Forecast'!$M28</f>
        <v>3960769</v>
      </c>
      <c r="BZ6" s="33">
        <f>'EMTS-CARB Forecast'!$M29</f>
        <v>3224680</v>
      </c>
      <c r="CA6" s="33">
        <f>'EMTS-CARB Forecast'!$M26</f>
        <v>3668607</v>
      </c>
      <c r="CB6" s="33">
        <f>'EMTS-CARB Forecast'!$M27</f>
        <v>3893434</v>
      </c>
      <c r="CC6" s="33">
        <f>'EMTS-CARB Forecast'!$M28</f>
        <v>3960769</v>
      </c>
      <c r="CD6" s="33">
        <f>'EMTS-CARB Forecast'!$M29</f>
        <v>3224680</v>
      </c>
      <c r="CE6" s="33">
        <f>'EMTS-CARB Forecast'!$M26</f>
        <v>3668607</v>
      </c>
      <c r="CF6" s="33">
        <f>'EMTS-CARB Forecast'!$M27</f>
        <v>3893434</v>
      </c>
      <c r="CG6" s="33">
        <f>'EMTS-CARB Forecast'!$M28</f>
        <v>3960769</v>
      </c>
      <c r="CH6" s="33">
        <f>'EMTS-CARB Forecast'!$M29</f>
        <v>3224680</v>
      </c>
      <c r="CI6" s="33">
        <f>'EMTS-CARB Forecast'!$M26</f>
        <v>3668607</v>
      </c>
      <c r="CJ6" s="33">
        <f>'EMTS-CARB Forecast'!$M27</f>
        <v>3893434</v>
      </c>
      <c r="CK6" s="33">
        <f>'EMTS-CARB Forecast'!$M28</f>
        <v>3960769</v>
      </c>
      <c r="CL6" s="33">
        <f>'EMTS-CARB Forecast'!$M29</f>
        <v>3224680</v>
      </c>
      <c r="CM6" s="33">
        <f>'EMTS-CARB Forecast'!$M26</f>
        <v>3668607</v>
      </c>
      <c r="CN6" s="33">
        <f>'EMTS-CARB Forecast'!$M27</f>
        <v>3893434</v>
      </c>
      <c r="CO6" s="33">
        <f>'EMTS-CARB Forecast'!$M28</f>
        <v>3960769</v>
      </c>
      <c r="CP6" s="33">
        <f>'EMTS-CARB Forecast'!$M29</f>
        <v>3224680</v>
      </c>
      <c r="CQ6" s="33">
        <f>'EMTS-CARB Forecast'!$M26</f>
        <v>3668607</v>
      </c>
      <c r="CR6" s="33">
        <f>'EMTS-CARB Forecast'!$M27</f>
        <v>3893434</v>
      </c>
      <c r="CS6" s="33">
        <f>'EMTS-CARB Forecast'!$M28</f>
        <v>3960769</v>
      </c>
      <c r="CT6" s="33">
        <f>'EMTS-CARB Forecast'!$M29</f>
        <v>3224680</v>
      </c>
      <c r="CU6" s="33">
        <f>'EMTS-CARB Forecast'!$M26</f>
        <v>3668607</v>
      </c>
      <c r="CV6" s="33">
        <f>'EMTS-CARB Forecast'!$M27</f>
        <v>3893434</v>
      </c>
      <c r="CW6" s="33">
        <f>'EMTS-CARB Forecast'!$M28</f>
        <v>3960769</v>
      </c>
      <c r="CX6" s="33">
        <f>'EMTS-CARB Forecast'!$M29</f>
        <v>3224680</v>
      </c>
      <c r="CY6" s="33">
        <f>'EMTS-CARB Forecast'!$M26</f>
        <v>3668607</v>
      </c>
      <c r="CZ6" s="33">
        <f>'EMTS-CARB Forecast'!$M27</f>
        <v>3893434</v>
      </c>
      <c r="DA6" s="33">
        <f>'EMTS-CARB Forecast'!$M28</f>
        <v>3960769</v>
      </c>
      <c r="DB6" s="33">
        <f>'EMTS-CARB Forecast'!$M29</f>
        <v>3224680</v>
      </c>
      <c r="DC6" s="33">
        <f>'EMTS-CARB Forecast'!$M26</f>
        <v>3668607</v>
      </c>
      <c r="DD6" s="33">
        <f>'EMTS-CARB Forecast'!$M27</f>
        <v>3893434</v>
      </c>
      <c r="DE6" s="33">
        <f>'EMTS-CARB Forecast'!$M28</f>
        <v>3960769</v>
      </c>
      <c r="DF6" s="33">
        <f>'EMTS-CARB Forecast'!$M29</f>
        <v>3224680</v>
      </c>
      <c r="DG6" s="33">
        <f>'EMTS-CARB Forecast'!$M26</f>
        <v>3668607</v>
      </c>
      <c r="DH6" s="33">
        <f>'EMTS-CARB Forecast'!$M27</f>
        <v>3893434</v>
      </c>
      <c r="DI6" s="33">
        <f>'EMTS-CARB Forecast'!$M28</f>
        <v>3960769</v>
      </c>
      <c r="DJ6" s="33">
        <f>'EMTS-CARB Forecast'!$M29</f>
        <v>3224680</v>
      </c>
      <c r="DK6" s="33">
        <f>'EMTS-CARB Forecast'!$M26</f>
        <v>3668607</v>
      </c>
      <c r="DL6" s="33">
        <f>'EMTS-CARB Forecast'!$M27</f>
        <v>3893434</v>
      </c>
      <c r="DM6" s="33">
        <f>'EMTS-CARB Forecast'!$M28</f>
        <v>3960769</v>
      </c>
      <c r="DN6" s="33">
        <f>'EMTS-CARB Forecast'!$M29</f>
        <v>3224680</v>
      </c>
      <c r="DO6" s="33">
        <f>'EMTS-CARB Forecast'!$M26</f>
        <v>3668607</v>
      </c>
      <c r="DP6" s="33">
        <f>'EMTS-CARB Forecast'!$M27</f>
        <v>3893434</v>
      </c>
      <c r="DQ6" s="33">
        <f>'EMTS-CARB Forecast'!$M28</f>
        <v>3960769</v>
      </c>
      <c r="DR6" s="33">
        <f>'EMTS-CARB Forecast'!$M29</f>
        <v>3224680</v>
      </c>
      <c r="DS6" s="33">
        <f>'EMTS-CARB Forecast'!$M26</f>
        <v>3668607</v>
      </c>
      <c r="DT6" s="33">
        <f>'EMTS-CARB Forecast'!$M27</f>
        <v>3893434</v>
      </c>
      <c r="DU6" s="33">
        <f>'EMTS-CARB Forecast'!$M28</f>
        <v>3960769</v>
      </c>
      <c r="DV6" s="33">
        <f>'EMTS-CARB Forecast'!$M29</f>
        <v>3224680</v>
      </c>
      <c r="DW6" s="33">
        <f>'EMTS-CARB Forecast'!$M26</f>
        <v>3668607</v>
      </c>
      <c r="DX6" s="33">
        <f>'EMTS-CARB Forecast'!$M27</f>
        <v>3893434</v>
      </c>
      <c r="DY6" s="33">
        <f>'EMTS-CARB Forecast'!$M28</f>
        <v>3960769</v>
      </c>
      <c r="DZ6" s="33">
        <f>'EMTS-CARB Forecast'!$M28</f>
        <v>3960769</v>
      </c>
      <c r="EA6" s="33">
        <f>'EMTS-CARB Forecast'!$M26</f>
        <v>3668607</v>
      </c>
      <c r="EB6" s="33">
        <f>'EMTS-CARB Forecast'!$M27</f>
        <v>3893434</v>
      </c>
      <c r="EC6" s="33">
        <f>'EMTS-CARB Forecast'!$M28</f>
        <v>3960769</v>
      </c>
      <c r="ED6" s="33">
        <f>'EMTS-CARB Forecast'!$M28</f>
        <v>3960769</v>
      </c>
      <c r="EE6" s="33">
        <f>'EMTS-CARB Forecast'!$M26</f>
        <v>3668607</v>
      </c>
      <c r="EF6" s="33">
        <f>'EMTS-CARB Forecast'!$M27</f>
        <v>3893434</v>
      </c>
      <c r="EG6" s="33">
        <f>'EMTS-CARB Forecast'!$M28</f>
        <v>3960769</v>
      </c>
      <c r="EH6" s="33">
        <f>'EMTS-CARB Forecast'!$M28</f>
        <v>3960769</v>
      </c>
      <c r="EI6" s="33">
        <f>'EMTS-CARB Forecast'!$M26</f>
        <v>3668607</v>
      </c>
      <c r="EJ6" s="33">
        <f>'EMTS-CARB Forecast'!$M27</f>
        <v>3893434</v>
      </c>
      <c r="EK6" s="33">
        <f>'EMTS-CARB Forecast'!$M28</f>
        <v>3960769</v>
      </c>
      <c r="EL6" s="33">
        <f>'EMTS-CARB Forecast'!$M28</f>
        <v>3960769</v>
      </c>
      <c r="EM6" s="33">
        <f>'EMTS-CARB Forecast'!$M26</f>
        <v>3668607</v>
      </c>
      <c r="EN6" s="33">
        <f>'EMTS-CARB Forecast'!$M27</f>
        <v>3893434</v>
      </c>
      <c r="EO6" s="33">
        <f>'EMTS-CARB Forecast'!$M28</f>
        <v>3960769</v>
      </c>
      <c r="EP6" s="33">
        <f>'EMTS-CARB Forecast'!$M28</f>
        <v>3960769</v>
      </c>
      <c r="EQ6" s="33">
        <f>'EMTS-CARB Forecast'!$M26</f>
        <v>3668607</v>
      </c>
      <c r="ER6" s="33">
        <f>'EMTS-CARB Forecast'!$M27</f>
        <v>3893434</v>
      </c>
      <c r="ES6" s="33">
        <f>'EMTS-CARB Forecast'!$M28</f>
        <v>3960769</v>
      </c>
      <c r="ET6" s="33">
        <f>'EMTS-CARB Forecast'!$M28</f>
        <v>3960769</v>
      </c>
      <c r="EU6" s="33">
        <f>'EMTS-CARB Forecast'!$M26</f>
        <v>3668607</v>
      </c>
      <c r="EV6" s="33">
        <f>'EMTS-CARB Forecast'!$M27</f>
        <v>3893434</v>
      </c>
      <c r="EW6" s="33">
        <f>'EMTS-CARB Forecast'!$M28</f>
        <v>3960769</v>
      </c>
      <c r="EX6" s="33">
        <f>'EMTS-CARB Forecast'!$M28</f>
        <v>3960769</v>
      </c>
      <c r="EY6" s="33">
        <f>'EMTS-CARB Forecast'!$M26</f>
        <v>3668607</v>
      </c>
      <c r="EZ6" s="33">
        <f>'EMTS-CARB Forecast'!$M27</f>
        <v>3893434</v>
      </c>
      <c r="FA6" s="33">
        <f>'EMTS-CARB Forecast'!$M28</f>
        <v>3960769</v>
      </c>
      <c r="FB6" s="33">
        <f>'EMTS-CARB Forecast'!$M28</f>
        <v>3960769</v>
      </c>
      <c r="FC6" s="33">
        <f>'EMTS-CARB Forecast'!$M26</f>
        <v>3668607</v>
      </c>
      <c r="FD6" s="33">
        <f>'EMTS-CARB Forecast'!$M27</f>
        <v>3893434</v>
      </c>
      <c r="FE6" s="33">
        <f>'EMTS-CARB Forecast'!$M28</f>
        <v>3960769</v>
      </c>
      <c r="FF6" s="33">
        <f>'EMTS-CARB Forecast'!$M28</f>
        <v>3960769</v>
      </c>
      <c r="FG6" s="33">
        <f>'EMTS-CARB Forecast'!$M26</f>
        <v>3668607</v>
      </c>
      <c r="FH6" s="33">
        <f>'EMTS-CARB Forecast'!$M27</f>
        <v>3893434</v>
      </c>
      <c r="FI6" s="33">
        <f>'EMTS-CARB Forecast'!$M28</f>
        <v>3960769</v>
      </c>
      <c r="FJ6" s="33">
        <f>'EMTS-CARB Forecast'!$M28</f>
        <v>3960769</v>
      </c>
    </row>
    <row r="7" spans="1:166" x14ac:dyDescent="0.2">
      <c r="A7" s="9" t="s">
        <v>120</v>
      </c>
      <c r="B7" s="9" t="s">
        <v>119</v>
      </c>
      <c r="C7" s="31">
        <v>12882107</v>
      </c>
      <c r="D7" s="31">
        <v>13284682</v>
      </c>
      <c r="E7" s="31">
        <v>13100333</v>
      </c>
      <c r="F7" s="31">
        <v>12816759</v>
      </c>
      <c r="G7" s="31">
        <v>12797724</v>
      </c>
      <c r="H7" s="31">
        <v>13185688</v>
      </c>
      <c r="I7" s="31">
        <v>15819989</v>
      </c>
      <c r="J7" s="31">
        <v>15375874</v>
      </c>
      <c r="K7" s="31">
        <v>15442500</v>
      </c>
      <c r="L7" s="31">
        <v>15802030</v>
      </c>
      <c r="M7" s="31">
        <v>14502449</v>
      </c>
      <c r="N7" s="31">
        <v>14939119</v>
      </c>
      <c r="O7" s="31">
        <v>16653725</v>
      </c>
      <c r="P7" s="31">
        <v>20181754</v>
      </c>
      <c r="Q7" s="31">
        <v>19709585</v>
      </c>
      <c r="R7" s="31">
        <v>19332234</v>
      </c>
      <c r="S7" s="31">
        <v>18221747</v>
      </c>
      <c r="T7" s="31">
        <v>15299622</v>
      </c>
      <c r="U7" s="31">
        <v>15624093</v>
      </c>
      <c r="V7" s="31">
        <v>15225821</v>
      </c>
      <c r="W7" s="31">
        <v>13254354</v>
      </c>
      <c r="X7" s="31">
        <v>13751707</v>
      </c>
      <c r="Y7" s="31">
        <v>13280307</v>
      </c>
      <c r="Z7" s="31">
        <v>13057045</v>
      </c>
      <c r="AA7" s="31">
        <v>13579389</v>
      </c>
      <c r="AB7" s="31">
        <v>12297213</v>
      </c>
      <c r="AC7" s="31">
        <v>12146075</v>
      </c>
      <c r="AD7" s="31">
        <v>11480263</v>
      </c>
      <c r="AE7" s="31">
        <v>12387493</v>
      </c>
      <c r="AF7" s="31">
        <v>13341294</v>
      </c>
      <c r="AG7" s="31">
        <v>11894748</v>
      </c>
      <c r="AH7" s="31">
        <v>9083378</v>
      </c>
      <c r="AI7" s="31">
        <v>9695036</v>
      </c>
      <c r="AJ7" s="31">
        <v>9532882</v>
      </c>
      <c r="AK7" s="31">
        <v>10747480</v>
      </c>
      <c r="AL7" s="31">
        <v>9382934</v>
      </c>
      <c r="AM7" s="31">
        <v>5852559</v>
      </c>
      <c r="AN7" s="31">
        <v>3868435</v>
      </c>
      <c r="AO7" s="31">
        <v>2117873</v>
      </c>
      <c r="AP7" s="31">
        <v>754474</v>
      </c>
      <c r="AQ7" s="31">
        <v>747658</v>
      </c>
      <c r="AR7" s="31">
        <v>937198</v>
      </c>
      <c r="AS7" s="31">
        <v>896174</v>
      </c>
      <c r="AT7" s="31">
        <v>1542813</v>
      </c>
      <c r="AU7" s="31">
        <v>1172580</v>
      </c>
      <c r="AV7" s="31">
        <v>1762066</v>
      </c>
      <c r="AW7" s="32">
        <v>1583080</v>
      </c>
      <c r="AX7" s="32">
        <v>1491237</v>
      </c>
      <c r="AY7" s="32">
        <v>1453772</v>
      </c>
      <c r="AZ7" s="32">
        <v>1727616</v>
      </c>
      <c r="BA7" s="32">
        <v>2476243</v>
      </c>
      <c r="BB7" s="32">
        <v>1136609</v>
      </c>
      <c r="BC7" s="32">
        <v>669303</v>
      </c>
      <c r="BD7" s="32">
        <v>554319</v>
      </c>
      <c r="BE7" s="32">
        <v>512824</v>
      </c>
      <c r="BF7" s="33">
        <f t="shared" ref="BF7:BH7" si="23">_xlfn.FORECAST.ETS(BF47,P7:BE7,P47:BE47)+500000</f>
        <v>505340.14480187849</v>
      </c>
      <c r="BG7" s="33">
        <f t="shared" si="23"/>
        <v>514144.09399050917</v>
      </c>
      <c r="BH7" s="33">
        <f t="shared" si="23"/>
        <v>540808.69600824441</v>
      </c>
      <c r="BI7" s="33">
        <f>_xlfn.FORECAST.ETS(BI47,S7:BH7,S47:BH47)+400000</f>
        <v>487218.56616136426</v>
      </c>
      <c r="BJ7" s="33">
        <f>_xlfn.FORECAST.ETS(BJ47,T7:BI7,T47:BI47)+400000</f>
        <v>452371.73656105972</v>
      </c>
      <c r="BK7" s="33">
        <f>_xlfn.FORECAST.ETS(BK47,U7:BJ7,U47:BJ47)+400000</f>
        <v>691040.84692517365</v>
      </c>
      <c r="BL7" s="33">
        <f t="shared" ref="BL7:BS7" si="24">_xlfn.FORECAST.ETS(BL47,V7:BK7,V47:BK47)+400000</f>
        <v>968972.31519125134</v>
      </c>
      <c r="BM7" s="33">
        <f t="shared" si="24"/>
        <v>978700.48463477904</v>
      </c>
      <c r="BN7" s="33">
        <f t="shared" si="24"/>
        <v>1001507.6012520144</v>
      </c>
      <c r="BO7" s="33">
        <f t="shared" si="24"/>
        <v>1041191.783332568</v>
      </c>
      <c r="BP7" s="33">
        <f t="shared" si="24"/>
        <v>1098308.6787382611</v>
      </c>
      <c r="BQ7" s="33">
        <f t="shared" si="24"/>
        <v>1174253.6166275931</v>
      </c>
      <c r="BR7" s="33">
        <f t="shared" si="24"/>
        <v>1273036.9695065131</v>
      </c>
      <c r="BS7" s="33">
        <f t="shared" si="24"/>
        <v>1392529.8029478947</v>
      </c>
      <c r="BT7" s="33">
        <f>_xlfn.FORECAST.ETS(BT47,AD7:BS7,AD47:BS47)+300000</f>
        <v>1434389.0835048573</v>
      </c>
      <c r="BU7" s="33">
        <f>_xlfn.FORECAST.ETS(BU47,AE7:BT7,AE47:BT47)+300000</f>
        <v>1498176.710934063</v>
      </c>
      <c r="BV7" s="33">
        <f>_xlfn.FORECAST.ETS(BV47,AF7:BU7,AF47:BU47)+200000</f>
        <v>1488893.73300778</v>
      </c>
      <c r="BW7" s="33">
        <f>_xlfn.FORECAST.ETS(BW47,AG7:BV7,AG47:BV47)+200000</f>
        <v>1511597.3957743992</v>
      </c>
      <c r="BX7" s="33">
        <f>_xlfn.FORECAST.ETS(BX47,AH7:BW7,AH47:BW47)+200000</f>
        <v>1563243.7135526447</v>
      </c>
      <c r="BY7" s="33">
        <f>_xlfn.FORECAST.ETS(BY47,AI7:BX7,AI47:BX47)+200000</f>
        <v>1635891.2626521662</v>
      </c>
      <c r="BZ7" s="33">
        <f>_xlfn.FORECAST.ETS(BZ47,AJ7:BY7,AJ47:BY47)+100000</f>
        <v>1633131.3332509042</v>
      </c>
      <c r="CA7" s="33">
        <f t="shared" ref="CA7:EL7" si="25">_xlfn.FORECAST.ETS(CA47,AK7:BZ7,AK47:BZ47)</f>
        <v>1555695.8360829356</v>
      </c>
      <c r="CB7" s="33">
        <f t="shared" si="25"/>
        <v>1508839.8039616165</v>
      </c>
      <c r="CC7" s="33">
        <f t="shared" si="25"/>
        <v>1489142.6869323924</v>
      </c>
      <c r="CD7" s="33">
        <f t="shared" si="25"/>
        <v>1485514.1747767946</v>
      </c>
      <c r="CE7" s="33">
        <f t="shared" si="25"/>
        <v>1492006.8652684996</v>
      </c>
      <c r="CF7" s="33">
        <f t="shared" si="25"/>
        <v>1505559.548484731</v>
      </c>
      <c r="CG7" s="33">
        <f t="shared" si="25"/>
        <v>1515810.5419787804</v>
      </c>
      <c r="CH7" s="33">
        <f t="shared" si="25"/>
        <v>1525188.8853826933</v>
      </c>
      <c r="CI7" s="33">
        <f t="shared" si="25"/>
        <v>1534916.9772545828</v>
      </c>
      <c r="CJ7" s="33">
        <f t="shared" si="25"/>
        <v>1543299.3210589762</v>
      </c>
      <c r="CK7" s="33">
        <f t="shared" si="25"/>
        <v>1554670.2477274332</v>
      </c>
      <c r="CL7" s="33">
        <f t="shared" si="25"/>
        <v>1565847.3640846945</v>
      </c>
      <c r="CM7" s="33">
        <f t="shared" si="25"/>
        <v>1580169.7302847705</v>
      </c>
      <c r="CN7" s="33">
        <f t="shared" si="25"/>
        <v>1596653.2685500206</v>
      </c>
      <c r="CO7" s="33">
        <f t="shared" si="25"/>
        <v>1615023.0968649236</v>
      </c>
      <c r="CP7" s="33">
        <f t="shared" si="25"/>
        <v>1634856.5318910175</v>
      </c>
      <c r="CQ7" s="33">
        <f t="shared" si="25"/>
        <v>1646900.4364862</v>
      </c>
      <c r="CR7" s="33">
        <f t="shared" si="25"/>
        <v>1660906.8147549888</v>
      </c>
      <c r="CS7" s="33">
        <f t="shared" si="25"/>
        <v>1675603.6779297737</v>
      </c>
      <c r="CT7" s="33">
        <f t="shared" si="25"/>
        <v>1690489.1911497635</v>
      </c>
      <c r="CU7" s="33">
        <f t="shared" si="25"/>
        <v>1705455.7512426008</v>
      </c>
      <c r="CV7" s="33">
        <f t="shared" si="25"/>
        <v>1720451.5458045653</v>
      </c>
      <c r="CW7" s="33">
        <f t="shared" si="25"/>
        <v>1735450.0650325313</v>
      </c>
      <c r="CX7" s="33">
        <f t="shared" si="25"/>
        <v>1750423.0878360458</v>
      </c>
      <c r="CY7" s="33">
        <f t="shared" si="25"/>
        <v>1765477.5973470919</v>
      </c>
      <c r="CZ7" s="33">
        <f t="shared" si="25"/>
        <v>1780350.4554713019</v>
      </c>
      <c r="DA7" s="33">
        <f t="shared" si="25"/>
        <v>1795223.3574998297</v>
      </c>
      <c r="DB7" s="33">
        <f t="shared" si="25"/>
        <v>1810106.3517231448</v>
      </c>
      <c r="DC7" s="33">
        <f t="shared" si="25"/>
        <v>1824988.4255194808</v>
      </c>
      <c r="DD7" s="33">
        <f t="shared" si="25"/>
        <v>1839870.5164898657</v>
      </c>
      <c r="DE7" s="33">
        <f t="shared" si="25"/>
        <v>1854752.6074602506</v>
      </c>
      <c r="DF7" s="33">
        <f t="shared" si="25"/>
        <v>1869634.6984306355</v>
      </c>
      <c r="DG7" s="33">
        <f t="shared" si="25"/>
        <v>1884516.7894010204</v>
      </c>
      <c r="DH7" s="33">
        <f t="shared" si="25"/>
        <v>1899399.2876133691</v>
      </c>
      <c r="DI7" s="33">
        <f t="shared" si="25"/>
        <v>1914281.7438797958</v>
      </c>
      <c r="DJ7" s="33">
        <f t="shared" si="25"/>
        <v>1929164.1855477656</v>
      </c>
      <c r="DK7" s="33">
        <f t="shared" si="25"/>
        <v>1944046.6288032681</v>
      </c>
      <c r="DL7" s="33">
        <f t="shared" si="25"/>
        <v>1958929.0720279447</v>
      </c>
      <c r="DM7" s="33">
        <f t="shared" si="25"/>
        <v>1973811.5152526214</v>
      </c>
      <c r="DN7" s="33">
        <f t="shared" si="25"/>
        <v>1988693.958477298</v>
      </c>
      <c r="DO7" s="33">
        <f t="shared" si="25"/>
        <v>2003576.4017019747</v>
      </c>
      <c r="DP7" s="33">
        <f t="shared" si="25"/>
        <v>2018458.8449254322</v>
      </c>
      <c r="DQ7" s="33">
        <f t="shared" si="25"/>
        <v>2033341.288395345</v>
      </c>
      <c r="DR7" s="33">
        <f t="shared" si="25"/>
        <v>2048223.7318642829</v>
      </c>
      <c r="DS7" s="33">
        <f t="shared" si="25"/>
        <v>2063106.175333228</v>
      </c>
      <c r="DT7" s="33">
        <f t="shared" si="25"/>
        <v>2077988.618802177</v>
      </c>
      <c r="DU7" s="33">
        <f t="shared" si="25"/>
        <v>2092871.0622711135</v>
      </c>
      <c r="DV7" s="33">
        <f t="shared" si="25"/>
        <v>2107753.5057400502</v>
      </c>
      <c r="DW7" s="33">
        <f t="shared" si="25"/>
        <v>2122635.9492089869</v>
      </c>
      <c r="DX7" s="33">
        <f t="shared" si="25"/>
        <v>2137518.3926779237</v>
      </c>
      <c r="DY7" s="33">
        <f t="shared" si="25"/>
        <v>2152394.6140493667</v>
      </c>
      <c r="DZ7" s="33">
        <f t="shared" si="25"/>
        <v>2167280.188593681</v>
      </c>
      <c r="EA7" s="33">
        <f t="shared" si="25"/>
        <v>2182230.6257029576</v>
      </c>
      <c r="EB7" s="33">
        <f t="shared" si="25"/>
        <v>2197173.736821576</v>
      </c>
      <c r="EC7" s="33">
        <f t="shared" si="25"/>
        <v>2212079.9194779014</v>
      </c>
      <c r="ED7" s="33">
        <f t="shared" si="25"/>
        <v>2226984.3768644123</v>
      </c>
      <c r="EE7" s="33">
        <f t="shared" si="25"/>
        <v>2241818.4674107581</v>
      </c>
      <c r="EF7" s="33">
        <f t="shared" si="25"/>
        <v>2256704.2508628629</v>
      </c>
      <c r="EG7" s="33">
        <f t="shared" si="25"/>
        <v>2271590.622555099</v>
      </c>
      <c r="EH7" s="33">
        <f t="shared" si="25"/>
        <v>2286484.3258173512</v>
      </c>
      <c r="EI7" s="33">
        <f t="shared" si="25"/>
        <v>2301376.9021691452</v>
      </c>
      <c r="EJ7" s="33">
        <f t="shared" si="25"/>
        <v>2316268.2077681506</v>
      </c>
      <c r="EK7" s="33">
        <f t="shared" si="25"/>
        <v>2331158.162236914</v>
      </c>
      <c r="EL7" s="33">
        <f t="shared" si="25"/>
        <v>2346049.0750549776</v>
      </c>
      <c r="EM7" s="33">
        <f t="shared" ref="EM7:FJ7" si="26">_xlfn.FORECAST.ETS(EM47,CW7:EL7,CW47:EL47)</f>
        <v>2360936.8269901956</v>
      </c>
      <c r="EN7" s="33">
        <f t="shared" si="26"/>
        <v>2375824.303793685</v>
      </c>
      <c r="EO7" s="33">
        <f t="shared" si="26"/>
        <v>2390710.2640792597</v>
      </c>
      <c r="EP7" s="33">
        <f t="shared" si="26"/>
        <v>2405599.7300254628</v>
      </c>
      <c r="EQ7" s="33">
        <f t="shared" si="26"/>
        <v>2420489.21282851</v>
      </c>
      <c r="ER7" s="33">
        <f t="shared" si="26"/>
        <v>2435378.7062683422</v>
      </c>
      <c r="ES7" s="33">
        <f t="shared" si="26"/>
        <v>2450268.2119268756</v>
      </c>
      <c r="ET7" s="33">
        <f t="shared" si="26"/>
        <v>2465157.7299974686</v>
      </c>
      <c r="EU7" s="33">
        <f t="shared" si="26"/>
        <v>2480046.6068689427</v>
      </c>
      <c r="EV7" s="33">
        <f t="shared" si="26"/>
        <v>2494935.8095103102</v>
      </c>
      <c r="EW7" s="33">
        <f t="shared" si="26"/>
        <v>2509825.2306766254</v>
      </c>
      <c r="EX7" s="33">
        <f t="shared" si="26"/>
        <v>2524714.8541226536</v>
      </c>
      <c r="EY7" s="33">
        <f t="shared" si="26"/>
        <v>2539604.1798344888</v>
      </c>
      <c r="EZ7" s="33">
        <f t="shared" si="26"/>
        <v>2554493.6750275674</v>
      </c>
      <c r="FA7" s="33">
        <f t="shared" si="26"/>
        <v>2569383.1823454122</v>
      </c>
      <c r="FB7" s="33">
        <f t="shared" si="26"/>
        <v>2584272.7020719722</v>
      </c>
      <c r="FC7" s="33">
        <f t="shared" si="26"/>
        <v>2599162.2341018426</v>
      </c>
      <c r="FD7" s="33">
        <f t="shared" si="26"/>
        <v>2614051.7782857991</v>
      </c>
      <c r="FE7" s="33">
        <f t="shared" si="26"/>
        <v>2628941.3344292487</v>
      </c>
      <c r="FF7" s="33">
        <f t="shared" si="26"/>
        <v>2643830.9022906809</v>
      </c>
      <c r="FG7" s="33">
        <f t="shared" si="26"/>
        <v>2658720.4815797671</v>
      </c>
      <c r="FH7" s="33">
        <f t="shared" si="26"/>
        <v>2673610.0719564902</v>
      </c>
      <c r="FI7" s="33">
        <f t="shared" si="26"/>
        <v>2688499.6730292221</v>
      </c>
      <c r="FJ7" s="33">
        <f t="shared" si="26"/>
        <v>2703389.2843531547</v>
      </c>
    </row>
    <row r="8" spans="1:166" x14ac:dyDescent="0.2">
      <c r="A8" s="9" t="s">
        <v>121</v>
      </c>
      <c r="B8" s="9" t="s">
        <v>119</v>
      </c>
      <c r="C8" s="31">
        <v>4873272</v>
      </c>
      <c r="D8" s="31">
        <v>5280822</v>
      </c>
      <c r="E8" s="31">
        <v>5590548</v>
      </c>
      <c r="F8" s="31">
        <v>5575898</v>
      </c>
      <c r="G8" s="31">
        <v>5700917</v>
      </c>
      <c r="H8" s="31">
        <v>6766131</v>
      </c>
      <c r="I8" s="31">
        <v>7146246</v>
      </c>
      <c r="J8" s="31">
        <v>7770974</v>
      </c>
      <c r="K8" s="31">
        <v>9049261</v>
      </c>
      <c r="L8" s="31">
        <v>7133604</v>
      </c>
      <c r="M8" s="31">
        <v>5511333</v>
      </c>
      <c r="N8" s="31">
        <v>6737719</v>
      </c>
      <c r="O8" s="31">
        <v>6364147</v>
      </c>
      <c r="P8" s="31">
        <v>7378353</v>
      </c>
      <c r="Q8" s="31">
        <v>4195237</v>
      </c>
      <c r="R8" s="31">
        <v>2980243</v>
      </c>
      <c r="S8" s="31">
        <v>3242037</v>
      </c>
      <c r="T8" s="31">
        <v>2272593</v>
      </c>
      <c r="U8" s="31">
        <v>1516622</v>
      </c>
      <c r="V8" s="31">
        <v>496127</v>
      </c>
      <c r="W8" s="31">
        <v>826157</v>
      </c>
      <c r="X8" s="31">
        <v>701112</v>
      </c>
      <c r="Y8" s="31">
        <v>668756</v>
      </c>
      <c r="Z8" s="31">
        <v>696347</v>
      </c>
      <c r="AA8" s="31">
        <v>426898</v>
      </c>
      <c r="AB8" s="31">
        <v>75136</v>
      </c>
      <c r="AC8" s="31">
        <v>422474</v>
      </c>
      <c r="AD8" s="31">
        <v>616215</v>
      </c>
      <c r="AE8" s="31">
        <v>357360</v>
      </c>
      <c r="AF8" s="31">
        <v>373106</v>
      </c>
      <c r="AG8" s="31">
        <v>310021</v>
      </c>
      <c r="AH8" s="31">
        <v>416933</v>
      </c>
      <c r="AI8" s="31">
        <v>301992</v>
      </c>
      <c r="AJ8" s="31">
        <v>561969</v>
      </c>
      <c r="AK8" s="31">
        <v>190112</v>
      </c>
      <c r="AL8" s="31">
        <v>256572</v>
      </c>
      <c r="AM8" s="31">
        <v>28243</v>
      </c>
      <c r="AN8" s="31">
        <v>0</v>
      </c>
      <c r="AO8" s="31">
        <v>0</v>
      </c>
      <c r="AP8" s="31">
        <v>18901</v>
      </c>
      <c r="AQ8" s="31">
        <v>0</v>
      </c>
      <c r="AR8" s="31">
        <v>0</v>
      </c>
      <c r="AS8" s="31">
        <v>0</v>
      </c>
      <c r="AT8" s="31">
        <v>0</v>
      </c>
      <c r="AU8" s="31">
        <v>185544</v>
      </c>
      <c r="AV8" s="31">
        <v>126282</v>
      </c>
      <c r="AW8" s="32">
        <v>159800</v>
      </c>
      <c r="AX8" s="32">
        <v>510556</v>
      </c>
      <c r="AY8" s="32">
        <v>5</v>
      </c>
      <c r="AZ8" s="32">
        <v>9</v>
      </c>
      <c r="BA8" s="32">
        <v>10</v>
      </c>
      <c r="BB8" s="32">
        <v>14</v>
      </c>
      <c r="BC8" s="32">
        <v>6687</v>
      </c>
      <c r="BD8" s="32">
        <v>0</v>
      </c>
      <c r="BE8" s="32">
        <f t="shared" ref="BE8:BT9" si="27">IF(_xlfn.FORECAST.ETS(BE$47,O8:BD8,O$47:BD$47)&lt;0,0,_xlfn.FORECAST.ETS(BE$47,O8:BD8,O$47:BD$47))</f>
        <v>0</v>
      </c>
      <c r="BF8" s="33">
        <f t="shared" si="27"/>
        <v>0</v>
      </c>
      <c r="BG8" s="33">
        <f t="shared" si="27"/>
        <v>0</v>
      </c>
      <c r="BH8" s="33">
        <f t="shared" si="27"/>
        <v>0</v>
      </c>
      <c r="BI8" s="33">
        <f t="shared" si="27"/>
        <v>0</v>
      </c>
      <c r="BJ8" s="33">
        <f t="shared" si="27"/>
        <v>0</v>
      </c>
      <c r="BK8" s="33">
        <f t="shared" si="27"/>
        <v>0</v>
      </c>
      <c r="BL8" s="33">
        <f t="shared" si="27"/>
        <v>0</v>
      </c>
      <c r="BM8" s="33">
        <f t="shared" si="27"/>
        <v>0</v>
      </c>
      <c r="BN8" s="33">
        <f t="shared" si="27"/>
        <v>24808.23955645792</v>
      </c>
      <c r="BO8" s="33">
        <f t="shared" si="27"/>
        <v>0</v>
      </c>
      <c r="BP8" s="33">
        <f t="shared" si="27"/>
        <v>0</v>
      </c>
      <c r="BQ8" s="33">
        <f t="shared" si="27"/>
        <v>0</v>
      </c>
      <c r="BR8" s="33">
        <f t="shared" si="27"/>
        <v>9914.0330588919169</v>
      </c>
      <c r="BS8" s="33">
        <f t="shared" si="27"/>
        <v>4762.061255214925</v>
      </c>
      <c r="BT8" s="33">
        <f t="shared" si="27"/>
        <v>0</v>
      </c>
      <c r="BU8" s="33">
        <f t="shared" ref="BU8:CJ9" si="28">IF(_xlfn.FORECAST.ETS(BU$47,AE8:BT8,AE$47:BT$47)&lt;0,0,_xlfn.FORECAST.ETS(BU$47,AE8:BT8,AE$47:BT$47))</f>
        <v>0</v>
      </c>
      <c r="BV8" s="33">
        <f t="shared" si="28"/>
        <v>0</v>
      </c>
      <c r="BW8" s="33">
        <f t="shared" si="28"/>
        <v>85436.821455363533</v>
      </c>
      <c r="BX8" s="33">
        <f t="shared" si="28"/>
        <v>79779.856333677017</v>
      </c>
      <c r="BY8" s="33">
        <f t="shared" si="28"/>
        <v>49812.496302743479</v>
      </c>
      <c r="BZ8" s="33">
        <f t="shared" si="28"/>
        <v>379142.04019989591</v>
      </c>
      <c r="CA8" s="33">
        <f t="shared" si="28"/>
        <v>74706.513254069825</v>
      </c>
      <c r="CB8" s="33">
        <f t="shared" si="28"/>
        <v>74232.292282048104</v>
      </c>
      <c r="CC8" s="33">
        <f t="shared" si="28"/>
        <v>65460.611377383175</v>
      </c>
      <c r="CD8" s="33">
        <f t="shared" si="28"/>
        <v>65141.401545522953</v>
      </c>
      <c r="CE8" s="33">
        <f t="shared" si="28"/>
        <v>73396.69353603675</v>
      </c>
      <c r="CF8" s="33">
        <f t="shared" si="28"/>
        <v>73278.778697971735</v>
      </c>
      <c r="CG8" s="33">
        <f t="shared" si="28"/>
        <v>39942.815830273437</v>
      </c>
      <c r="CH8" s="33">
        <f t="shared" si="28"/>
        <v>57420.660331128478</v>
      </c>
      <c r="CI8" s="33">
        <f t="shared" si="28"/>
        <v>57347.998856028797</v>
      </c>
      <c r="CJ8" s="33">
        <f t="shared" si="28"/>
        <v>57118.055420234552</v>
      </c>
      <c r="CK8" s="33">
        <f t="shared" ref="CK8:CZ9" si="29">IF(_xlfn.FORECAST.ETS(CK$47,AU8:CJ8,AU$47:CJ$47)&lt;0,0,_xlfn.FORECAST.ETS(CK$47,AU8:CJ8,AU$47:CJ$47))</f>
        <v>59900.225987348495</v>
      </c>
      <c r="CL8" s="33">
        <f t="shared" si="29"/>
        <v>61630.757747860211</v>
      </c>
      <c r="CM8" s="33">
        <f t="shared" si="29"/>
        <v>62011.380882722857</v>
      </c>
      <c r="CN8" s="33">
        <f t="shared" si="29"/>
        <v>62028.519303727953</v>
      </c>
      <c r="CO8" s="33">
        <f t="shared" si="29"/>
        <v>92244.363020343808</v>
      </c>
      <c r="CP8" s="33">
        <f t="shared" si="29"/>
        <v>95596.653184614086</v>
      </c>
      <c r="CQ8" s="33">
        <f t="shared" si="29"/>
        <v>98914.511255982667</v>
      </c>
      <c r="CR8" s="33">
        <f t="shared" si="29"/>
        <v>102180.89187227574</v>
      </c>
      <c r="CS8" s="33">
        <f t="shared" si="29"/>
        <v>106617.08139601137</v>
      </c>
      <c r="CT8" s="33">
        <f t="shared" si="29"/>
        <v>109083.40065993414</v>
      </c>
      <c r="CU8" s="33">
        <f t="shared" si="29"/>
        <v>112154.16028768627</v>
      </c>
      <c r="CV8" s="33">
        <f t="shared" si="29"/>
        <v>115088.94853591015</v>
      </c>
      <c r="CW8" s="33">
        <f t="shared" si="29"/>
        <v>117860.19647335974</v>
      </c>
      <c r="CX8" s="33">
        <f t="shared" si="29"/>
        <v>120437.98140834071</v>
      </c>
      <c r="CY8" s="33">
        <f t="shared" si="29"/>
        <v>122789.89399623015</v>
      </c>
      <c r="CZ8" s="33">
        <f t="shared" si="29"/>
        <v>124880.90123172099</v>
      </c>
      <c r="DA8" s="33">
        <f t="shared" ref="DA8:DP9" si="30">IF(_xlfn.FORECAST.ETS(DA$47,BK8:CZ8,BK$47:CZ$47)&lt;0,0,_xlfn.FORECAST.ETS(DA$47,BK8:CZ8,BK$47:CZ$47))</f>
        <v>126673.20545345584</v>
      </c>
      <c r="DB8" s="33">
        <f t="shared" si="30"/>
        <v>128126.09951979574</v>
      </c>
      <c r="DC8" s="33">
        <f t="shared" si="30"/>
        <v>132157.08999038057</v>
      </c>
      <c r="DD8" s="33">
        <f t="shared" si="30"/>
        <v>134751.55724463516</v>
      </c>
      <c r="DE8" s="33">
        <f t="shared" si="30"/>
        <v>137553.40718827225</v>
      </c>
      <c r="DF8" s="33">
        <f t="shared" si="30"/>
        <v>140195.33025279036</v>
      </c>
      <c r="DG8" s="33">
        <f t="shared" si="30"/>
        <v>142593.60970461834</v>
      </c>
      <c r="DH8" s="33">
        <f t="shared" si="30"/>
        <v>143998.28978606034</v>
      </c>
      <c r="DI8" s="33">
        <f t="shared" si="30"/>
        <v>146821.0240763624</v>
      </c>
      <c r="DJ8" s="33">
        <f t="shared" si="30"/>
        <v>148930.33051565173</v>
      </c>
      <c r="DK8" s="33">
        <f t="shared" si="30"/>
        <v>150774.64206375967</v>
      </c>
      <c r="DL8" s="33">
        <f t="shared" si="30"/>
        <v>152426.17527102277</v>
      </c>
      <c r="DM8" s="33">
        <f t="shared" si="30"/>
        <v>142964.58468565092</v>
      </c>
      <c r="DN8" s="33">
        <f t="shared" si="30"/>
        <v>144222.35000141923</v>
      </c>
      <c r="DO8" s="33">
        <f t="shared" si="30"/>
        <v>152327.13211246397</v>
      </c>
      <c r="DP8" s="33">
        <f t="shared" si="30"/>
        <v>152979.55370691381</v>
      </c>
      <c r="DQ8" s="33">
        <f t="shared" ref="DQ8:EF9" si="31">IF(_xlfn.FORECAST.ETS(DQ$47,CA8:DP8,CA$47:DP$47)&lt;0,0,_xlfn.FORECAST.ETS(DQ$47,CA8:DP8,CA$47:DP$47))</f>
        <v>155869.09201255391</v>
      </c>
      <c r="DR8" s="33">
        <f t="shared" si="31"/>
        <v>158598.49875154873</v>
      </c>
      <c r="DS8" s="33">
        <f t="shared" si="31"/>
        <v>159975.0868085218</v>
      </c>
      <c r="DT8" s="33">
        <f t="shared" si="31"/>
        <v>161961.16757981025</v>
      </c>
      <c r="DU8" s="33">
        <f t="shared" si="31"/>
        <v>163947.24778613608</v>
      </c>
      <c r="DV8" s="33">
        <f t="shared" si="31"/>
        <v>165933.32845063091</v>
      </c>
      <c r="DW8" s="33">
        <f t="shared" si="31"/>
        <v>167884.66443141669</v>
      </c>
      <c r="DX8" s="33">
        <f t="shared" si="31"/>
        <v>170677.94860126733</v>
      </c>
      <c r="DY8" s="33">
        <f t="shared" si="31"/>
        <v>173319.40927058537</v>
      </c>
      <c r="DZ8" s="33">
        <f t="shared" si="31"/>
        <v>175446.59165175929</v>
      </c>
      <c r="EA8" s="33">
        <f t="shared" si="31"/>
        <v>177973.14760253308</v>
      </c>
      <c r="EB8" s="33">
        <f t="shared" si="31"/>
        <v>180369.76261669694</v>
      </c>
      <c r="EC8" s="33">
        <f t="shared" si="31"/>
        <v>182676.7496958074</v>
      </c>
      <c r="ED8" s="33">
        <f t="shared" si="31"/>
        <v>184883.93629537939</v>
      </c>
      <c r="EE8" s="33">
        <f t="shared" si="31"/>
        <v>186943.70656032811</v>
      </c>
      <c r="EF8" s="33">
        <f t="shared" si="31"/>
        <v>188990.41173806947</v>
      </c>
      <c r="EG8" s="33">
        <f t="shared" ref="EG8:EV9" si="32">IF(_xlfn.FORECAST.ETS(EG$47,CQ8:EF8,CQ$47:EF$47)&lt;0,0,_xlfn.FORECAST.ETS(EG$47,CQ8:EF8,CQ$47:EF$47))</f>
        <v>191014.4265910316</v>
      </c>
      <c r="EH8" s="33">
        <f t="shared" si="32"/>
        <v>193018.79509979827</v>
      </c>
      <c r="EI8" s="33">
        <f t="shared" si="32"/>
        <v>195005.08263282821</v>
      </c>
      <c r="EJ8" s="33">
        <f t="shared" si="32"/>
        <v>196983.19215259442</v>
      </c>
      <c r="EK8" s="33">
        <f t="shared" si="32"/>
        <v>198952.28221240782</v>
      </c>
      <c r="EL8" s="33">
        <f t="shared" si="32"/>
        <v>200915.6681292468</v>
      </c>
      <c r="EM8" s="33">
        <f t="shared" si="32"/>
        <v>202876.05099839071</v>
      </c>
      <c r="EN8" s="33">
        <f t="shared" si="32"/>
        <v>204835.75167144192</v>
      </c>
      <c r="EO8" s="33">
        <f t="shared" si="32"/>
        <v>206796.59430438653</v>
      </c>
      <c r="EP8" s="33">
        <f t="shared" si="32"/>
        <v>208759.7749462135</v>
      </c>
      <c r="EQ8" s="33">
        <f t="shared" si="32"/>
        <v>210725.71396707851</v>
      </c>
      <c r="ER8" s="33">
        <f t="shared" si="32"/>
        <v>212693.89105786948</v>
      </c>
      <c r="ES8" s="33">
        <f t="shared" si="32"/>
        <v>214659.16719483639</v>
      </c>
      <c r="ET8" s="33">
        <f t="shared" si="32"/>
        <v>216631.05052223135</v>
      </c>
      <c r="EU8" s="33">
        <f t="shared" si="32"/>
        <v>218610.76232867481</v>
      </c>
      <c r="EV8" s="33">
        <f t="shared" si="32"/>
        <v>220601.54953322205</v>
      </c>
      <c r="EW8" s="33">
        <f t="shared" ref="EW8:FJ9" si="33">IF(_xlfn.FORECAST.ETS(EW$47,DG8:EV8,DG$47:EV$47)&lt;0,0,_xlfn.FORECAST.ETS(EW$47,DG8:EV8,DG$47:EV$47))</f>
        <v>222606.21634885625</v>
      </c>
      <c r="EX8" s="33">
        <f t="shared" si="33"/>
        <v>224627.74557250322</v>
      </c>
      <c r="EY8" s="33">
        <f t="shared" si="33"/>
        <v>226662.71287992698</v>
      </c>
      <c r="EZ8" s="33">
        <f t="shared" si="33"/>
        <v>228716.03527177902</v>
      </c>
      <c r="FA8" s="33">
        <f t="shared" si="33"/>
        <v>230788.894506835</v>
      </c>
      <c r="FB8" s="33">
        <f t="shared" si="33"/>
        <v>232881.78344936523</v>
      </c>
      <c r="FC8" s="33">
        <f t="shared" si="33"/>
        <v>234908.1314505162</v>
      </c>
      <c r="FD8" s="33">
        <f t="shared" si="33"/>
        <v>236947.03353656185</v>
      </c>
      <c r="FE8" s="33">
        <f t="shared" si="33"/>
        <v>238976.13203894754</v>
      </c>
      <c r="FF8" s="33">
        <f t="shared" si="33"/>
        <v>241009.23216107104</v>
      </c>
      <c r="FG8" s="33">
        <f t="shared" si="33"/>
        <v>243041.09612152504</v>
      </c>
      <c r="FH8" s="33">
        <f t="shared" si="33"/>
        <v>245105.09524988211</v>
      </c>
      <c r="FI8" s="33">
        <f t="shared" si="33"/>
        <v>247162.6963414785</v>
      </c>
      <c r="FJ8" s="33">
        <f t="shared" si="33"/>
        <v>249219.93676490209</v>
      </c>
    </row>
    <row r="9" spans="1:166" x14ac:dyDescent="0.2">
      <c r="A9" s="9" t="s">
        <v>122</v>
      </c>
      <c r="B9" s="9" t="s">
        <v>123</v>
      </c>
      <c r="C9" s="31">
        <v>0</v>
      </c>
      <c r="D9" s="31">
        <v>0</v>
      </c>
      <c r="E9" s="31">
        <v>0</v>
      </c>
      <c r="F9" s="31">
        <v>0</v>
      </c>
      <c r="G9" s="31">
        <v>0</v>
      </c>
      <c r="H9" s="31">
        <v>0</v>
      </c>
      <c r="I9" s="31">
        <v>0</v>
      </c>
      <c r="J9" s="31">
        <v>0</v>
      </c>
      <c r="K9" s="31">
        <v>0</v>
      </c>
      <c r="L9" s="31">
        <v>0</v>
      </c>
      <c r="M9" s="31">
        <v>0</v>
      </c>
      <c r="N9" s="31">
        <v>0</v>
      </c>
      <c r="O9" s="31">
        <v>0</v>
      </c>
      <c r="P9" s="31">
        <v>0</v>
      </c>
      <c r="Q9" s="31">
        <v>0</v>
      </c>
      <c r="R9" s="31">
        <v>0</v>
      </c>
      <c r="S9" s="31">
        <v>0</v>
      </c>
      <c r="T9" s="31">
        <v>0</v>
      </c>
      <c r="U9" s="31">
        <v>2364</v>
      </c>
      <c r="V9" s="31">
        <v>1113</v>
      </c>
      <c r="W9" s="31">
        <v>1519</v>
      </c>
      <c r="X9" s="31">
        <v>1255</v>
      </c>
      <c r="Y9" s="31">
        <v>41</v>
      </c>
      <c r="Z9" s="31">
        <v>88</v>
      </c>
      <c r="AA9" s="31">
        <v>43492</v>
      </c>
      <c r="AB9" s="31">
        <v>63903</v>
      </c>
      <c r="AC9" s="31">
        <v>76453</v>
      </c>
      <c r="AD9" s="31">
        <v>84347</v>
      </c>
      <c r="AE9" s="31">
        <v>113659</v>
      </c>
      <c r="AF9" s="31">
        <v>133239</v>
      </c>
      <c r="AG9" s="31">
        <v>142747</v>
      </c>
      <c r="AH9" s="31">
        <v>169048</v>
      </c>
      <c r="AI9" s="31">
        <v>238089</v>
      </c>
      <c r="AJ9" s="31">
        <v>277324</v>
      </c>
      <c r="AK9" s="31">
        <v>328143</v>
      </c>
      <c r="AL9" s="31">
        <v>353700</v>
      </c>
      <c r="AM9" s="31">
        <v>329375</v>
      </c>
      <c r="AN9" s="31">
        <v>244951</v>
      </c>
      <c r="AO9" s="31">
        <v>355412</v>
      </c>
      <c r="AP9" s="31">
        <v>399905</v>
      </c>
      <c r="AQ9" s="31">
        <v>363821</v>
      </c>
      <c r="AR9" s="31">
        <v>496037</v>
      </c>
      <c r="AS9" s="31">
        <v>505765</v>
      </c>
      <c r="AT9" s="31">
        <v>565849</v>
      </c>
      <c r="AU9" s="31">
        <v>599197</v>
      </c>
      <c r="AV9" s="31">
        <v>754006</v>
      </c>
      <c r="AW9" s="32">
        <v>778336</v>
      </c>
      <c r="AX9" s="32">
        <v>787611</v>
      </c>
      <c r="AY9" s="32">
        <v>711810</v>
      </c>
      <c r="AZ9" s="32">
        <v>768618</v>
      </c>
      <c r="BA9" s="32">
        <v>742122</v>
      </c>
      <c r="BB9" s="32">
        <v>691559</v>
      </c>
      <c r="BC9" s="32">
        <v>673609</v>
      </c>
      <c r="BD9" s="32">
        <v>677824</v>
      </c>
      <c r="BE9" s="32">
        <v>615517</v>
      </c>
      <c r="BF9" s="33">
        <f t="shared" si="27"/>
        <v>646118.71916864987</v>
      </c>
      <c r="BG9" s="33">
        <f t="shared" si="27"/>
        <v>752855.24574884982</v>
      </c>
      <c r="BH9" s="33">
        <f t="shared" si="27"/>
        <v>734366.64930839743</v>
      </c>
      <c r="BI9" s="33">
        <f t="shared" si="27"/>
        <v>778068.87663943775</v>
      </c>
      <c r="BJ9" s="33">
        <f t="shared" si="27"/>
        <v>808042.11999691639</v>
      </c>
      <c r="BK9" s="33">
        <f t="shared" si="27"/>
        <v>871288.04317644937</v>
      </c>
      <c r="BL9" s="33">
        <f t="shared" si="27"/>
        <v>914699.3262696201</v>
      </c>
      <c r="BM9" s="33">
        <f t="shared" si="27"/>
        <v>939309.74541777745</v>
      </c>
      <c r="BN9" s="33">
        <f t="shared" si="27"/>
        <v>962239.96364426392</v>
      </c>
      <c r="BO9" s="33">
        <f t="shared" si="27"/>
        <v>985610.49891533679</v>
      </c>
      <c r="BP9" s="33">
        <f t="shared" si="27"/>
        <v>1006182.9031927811</v>
      </c>
      <c r="BQ9" s="33">
        <f t="shared" si="27"/>
        <v>1029215.2631852991</v>
      </c>
      <c r="BR9" s="33">
        <f t="shared" si="27"/>
        <v>1052370.7609076311</v>
      </c>
      <c r="BS9" s="33">
        <f t="shared" si="27"/>
        <v>1075388.2902464697</v>
      </c>
      <c r="BT9" s="33">
        <f t="shared" si="27"/>
        <v>1098281.1551876874</v>
      </c>
      <c r="BU9" s="33">
        <f t="shared" si="28"/>
        <v>1120991.0281145675</v>
      </c>
      <c r="BV9" s="33">
        <f t="shared" si="28"/>
        <v>1143585.3908133665</v>
      </c>
      <c r="BW9" s="33">
        <f t="shared" si="28"/>
        <v>1166007.2369057632</v>
      </c>
      <c r="BX9" s="33">
        <f t="shared" si="28"/>
        <v>1188182.0298241344</v>
      </c>
      <c r="BY9" s="33">
        <f t="shared" si="28"/>
        <v>1210066.4668912161</v>
      </c>
      <c r="BZ9" s="33">
        <f t="shared" si="28"/>
        <v>1231857.8274185471</v>
      </c>
      <c r="CA9" s="33">
        <f t="shared" si="28"/>
        <v>1253577.8652593284</v>
      </c>
      <c r="CB9" s="33">
        <f t="shared" si="28"/>
        <v>1275352.6148335051</v>
      </c>
      <c r="CC9" s="33">
        <f t="shared" si="28"/>
        <v>1297240.0834574739</v>
      </c>
      <c r="CD9" s="33">
        <f t="shared" si="28"/>
        <v>1319132.7568829935</v>
      </c>
      <c r="CE9" s="33">
        <f t="shared" si="28"/>
        <v>1340408.9229373895</v>
      </c>
      <c r="CF9" s="33">
        <f t="shared" si="28"/>
        <v>1361507.9983468794</v>
      </c>
      <c r="CG9" s="33">
        <f t="shared" si="28"/>
        <v>1382556.7154793537</v>
      </c>
      <c r="CH9" s="33">
        <f t="shared" si="28"/>
        <v>1403115.1378569391</v>
      </c>
      <c r="CI9" s="33">
        <f t="shared" si="28"/>
        <v>1423756.1831696418</v>
      </c>
      <c r="CJ9" s="33">
        <f t="shared" si="28"/>
        <v>1444320.056102538</v>
      </c>
      <c r="CK9" s="33">
        <f t="shared" si="29"/>
        <v>1464985.8279166676</v>
      </c>
      <c r="CL9" s="33">
        <f t="shared" si="29"/>
        <v>1485421.8681250275</v>
      </c>
      <c r="CM9" s="33">
        <f t="shared" si="29"/>
        <v>1505963.956457522</v>
      </c>
      <c r="CN9" s="33">
        <f t="shared" si="29"/>
        <v>1526506.0505988896</v>
      </c>
      <c r="CO9" s="33">
        <f t="shared" si="29"/>
        <v>1549301.0452971936</v>
      </c>
      <c r="CP9" s="33">
        <f t="shared" si="29"/>
        <v>1570694.1097831472</v>
      </c>
      <c r="CQ9" s="33">
        <f t="shared" si="29"/>
        <v>1592164.4405869409</v>
      </c>
      <c r="CR9" s="33">
        <f t="shared" si="29"/>
        <v>1613740.3047049469</v>
      </c>
      <c r="CS9" s="33">
        <f t="shared" si="29"/>
        <v>1635358.0552676343</v>
      </c>
      <c r="CT9" s="33">
        <f t="shared" si="29"/>
        <v>1656994.1562357156</v>
      </c>
      <c r="CU9" s="33">
        <f t="shared" si="29"/>
        <v>1678372.7245503478</v>
      </c>
      <c r="CV9" s="33">
        <f t="shared" si="29"/>
        <v>1699865.5439773488</v>
      </c>
      <c r="CW9" s="33">
        <f t="shared" si="29"/>
        <v>1721439.5738053038</v>
      </c>
      <c r="CX9" s="33">
        <f t="shared" si="29"/>
        <v>1742972.7173404405</v>
      </c>
      <c r="CY9" s="33">
        <f t="shared" si="29"/>
        <v>1764557.8389487588</v>
      </c>
      <c r="CZ9" s="33">
        <f t="shared" si="29"/>
        <v>1786128.5675522883</v>
      </c>
      <c r="DA9" s="33">
        <f t="shared" si="30"/>
        <v>1807639.2968763683</v>
      </c>
      <c r="DB9" s="33">
        <f t="shared" si="30"/>
        <v>1829177.3286400507</v>
      </c>
      <c r="DC9" s="33">
        <f t="shared" si="30"/>
        <v>1850715.2519381291</v>
      </c>
      <c r="DD9" s="33">
        <f t="shared" si="30"/>
        <v>1872247.7430929516</v>
      </c>
      <c r="DE9" s="33">
        <f t="shared" si="30"/>
        <v>1893782.9666158312</v>
      </c>
      <c r="DF9" s="33">
        <f t="shared" si="30"/>
        <v>1915318.1792744244</v>
      </c>
      <c r="DG9" s="33">
        <f t="shared" si="30"/>
        <v>1936853.3919330174</v>
      </c>
      <c r="DH9" s="33">
        <f t="shared" si="30"/>
        <v>1958388.5812985108</v>
      </c>
      <c r="DI9" s="33">
        <f t="shared" si="30"/>
        <v>1979923.7708542771</v>
      </c>
      <c r="DJ9" s="33">
        <f t="shared" si="30"/>
        <v>2001458.9661611132</v>
      </c>
      <c r="DK9" s="33">
        <f t="shared" si="30"/>
        <v>2022994.1614448968</v>
      </c>
      <c r="DL9" s="33">
        <f t="shared" si="30"/>
        <v>2044529.3567286802</v>
      </c>
      <c r="DM9" s="33">
        <f t="shared" si="30"/>
        <v>2066064.5520124633</v>
      </c>
      <c r="DN9" s="33">
        <f t="shared" si="30"/>
        <v>2087599.7472962462</v>
      </c>
      <c r="DO9" s="33">
        <f t="shared" si="30"/>
        <v>2109134.9425800289</v>
      </c>
      <c r="DP9" s="33">
        <f t="shared" si="30"/>
        <v>2130670.1378638116</v>
      </c>
      <c r="DQ9" s="33">
        <f t="shared" si="31"/>
        <v>2152205.3331475942</v>
      </c>
      <c r="DR9" s="33">
        <f t="shared" si="31"/>
        <v>2173740.5284313769</v>
      </c>
      <c r="DS9" s="33">
        <f t="shared" si="31"/>
        <v>2195275.7237151596</v>
      </c>
      <c r="DT9" s="33">
        <f t="shared" si="31"/>
        <v>2216810.9189989422</v>
      </c>
      <c r="DU9" s="33">
        <f t="shared" si="31"/>
        <v>2238346.1142827249</v>
      </c>
      <c r="DV9" s="33">
        <f t="shared" si="31"/>
        <v>2259881.3095665076</v>
      </c>
      <c r="DW9" s="33">
        <f t="shared" si="31"/>
        <v>2281416.5048502903</v>
      </c>
      <c r="DX9" s="33">
        <f t="shared" si="31"/>
        <v>2302951.7001340734</v>
      </c>
      <c r="DY9" s="33">
        <f t="shared" si="31"/>
        <v>2324486.8914757534</v>
      </c>
      <c r="DZ9" s="33">
        <f t="shared" si="31"/>
        <v>2346017.6908141193</v>
      </c>
      <c r="EA9" s="33">
        <f t="shared" si="31"/>
        <v>2367546.452229518</v>
      </c>
      <c r="EB9" s="33">
        <f t="shared" si="31"/>
        <v>2389084.8134618048</v>
      </c>
      <c r="EC9" s="33">
        <f t="shared" si="31"/>
        <v>2410690.662504063</v>
      </c>
      <c r="ED9" s="33">
        <f t="shared" si="31"/>
        <v>2432225.4147051638</v>
      </c>
      <c r="EE9" s="33">
        <f t="shared" si="31"/>
        <v>2453710.3718125322</v>
      </c>
      <c r="EF9" s="33">
        <f t="shared" si="31"/>
        <v>2475241.0514860502</v>
      </c>
      <c r="EG9" s="33">
        <f t="shared" si="32"/>
        <v>2496790.6289142375</v>
      </c>
      <c r="EH9" s="33">
        <f t="shared" si="32"/>
        <v>2518321.0651132939</v>
      </c>
      <c r="EI9" s="33">
        <f t="shared" si="32"/>
        <v>2539858.2184527712</v>
      </c>
      <c r="EJ9" s="33">
        <f t="shared" si="32"/>
        <v>2561393.2093855906</v>
      </c>
      <c r="EK9" s="33">
        <f t="shared" si="32"/>
        <v>2582930.2644240051</v>
      </c>
      <c r="EL9" s="33">
        <f t="shared" si="32"/>
        <v>2604466.8031521449</v>
      </c>
      <c r="EM9" s="33">
        <f t="shared" si="32"/>
        <v>2626003.0064612548</v>
      </c>
      <c r="EN9" s="33">
        <f t="shared" si="32"/>
        <v>2647539.0014899829</v>
      </c>
      <c r="EO9" s="33">
        <f t="shared" si="32"/>
        <v>2669073.6243788139</v>
      </c>
      <c r="EP9" s="33">
        <f t="shared" si="32"/>
        <v>2690609.556635669</v>
      </c>
      <c r="EQ9" s="33">
        <f t="shared" si="32"/>
        <v>2712145.8439793508</v>
      </c>
      <c r="ER9" s="33">
        <f t="shared" si="32"/>
        <v>2733681.7929715081</v>
      </c>
      <c r="ES9" s="33">
        <f t="shared" si="32"/>
        <v>2755217.7987616467</v>
      </c>
      <c r="ET9" s="33">
        <f t="shared" si="32"/>
        <v>2776754.1264123027</v>
      </c>
      <c r="EU9" s="33">
        <f t="shared" si="32"/>
        <v>2798290.1674568369</v>
      </c>
      <c r="EV9" s="33">
        <f t="shared" si="32"/>
        <v>2819826.4078467581</v>
      </c>
      <c r="EW9" s="33">
        <f t="shared" si="33"/>
        <v>2841362.6642136043</v>
      </c>
      <c r="EX9" s="33">
        <f t="shared" si="33"/>
        <v>2862898.9365087356</v>
      </c>
      <c r="EY9" s="33">
        <f t="shared" si="33"/>
        <v>2884435.2210113932</v>
      </c>
      <c r="EZ9" s="33">
        <f t="shared" si="33"/>
        <v>2905971.5153334895</v>
      </c>
      <c r="FA9" s="33">
        <f t="shared" si="33"/>
        <v>2927509.432615214</v>
      </c>
      <c r="FB9" s="33">
        <f t="shared" si="33"/>
        <v>2949045.8706864854</v>
      </c>
      <c r="FC9" s="33">
        <f t="shared" si="33"/>
        <v>2970582.2839522487</v>
      </c>
      <c r="FD9" s="33">
        <f t="shared" si="33"/>
        <v>2992118.6644736598</v>
      </c>
      <c r="FE9" s="33">
        <f t="shared" si="33"/>
        <v>3013655.0035727024</v>
      </c>
      <c r="FF9" s="33">
        <f t="shared" si="33"/>
        <v>3035191.2917874022</v>
      </c>
      <c r="FG9" s="33">
        <f t="shared" si="33"/>
        <v>3056727.5188254425</v>
      </c>
      <c r="FH9" s="33">
        <f t="shared" si="33"/>
        <v>3078263.673516151</v>
      </c>
      <c r="FI9" s="33">
        <f t="shared" si="33"/>
        <v>3099799.7437609141</v>
      </c>
      <c r="FJ9" s="33">
        <f t="shared" si="33"/>
        <v>3121335.716482087</v>
      </c>
    </row>
    <row r="10" spans="1:166" x14ac:dyDescent="0.2">
      <c r="A10" s="9" t="s">
        <v>124</v>
      </c>
      <c r="B10" s="9" t="s">
        <v>123</v>
      </c>
      <c r="C10" s="31">
        <f>C36</f>
        <v>21816</v>
      </c>
      <c r="D10" s="31">
        <f t="shared" ref="D10:AT10" si="34">D36</f>
        <v>62215</v>
      </c>
      <c r="E10" s="31">
        <f t="shared" si="34"/>
        <v>119059</v>
      </c>
      <c r="F10" s="31">
        <f t="shared" si="34"/>
        <v>171607</v>
      </c>
      <c r="G10" s="31">
        <f t="shared" si="34"/>
        <v>220891</v>
      </c>
      <c r="H10" s="31">
        <f t="shared" si="34"/>
        <v>271183</v>
      </c>
      <c r="I10" s="31">
        <f t="shared" si="34"/>
        <v>355146</v>
      </c>
      <c r="J10" s="31">
        <f t="shared" si="34"/>
        <v>468250</v>
      </c>
      <c r="K10" s="31">
        <f t="shared" si="34"/>
        <v>575617</v>
      </c>
      <c r="L10" s="31">
        <f t="shared" si="34"/>
        <v>746463</v>
      </c>
      <c r="M10" s="31">
        <f t="shared" si="34"/>
        <v>957652</v>
      </c>
      <c r="N10" s="31">
        <f t="shared" si="34"/>
        <v>1320154</v>
      </c>
      <c r="O10" s="31">
        <f t="shared" si="34"/>
        <v>1595430</v>
      </c>
      <c r="P10" s="31">
        <f t="shared" si="34"/>
        <v>1950333</v>
      </c>
      <c r="Q10" s="31">
        <f t="shared" si="34"/>
        <v>2266455</v>
      </c>
      <c r="R10" s="31">
        <f t="shared" si="34"/>
        <v>2640450</v>
      </c>
      <c r="S10" s="31">
        <f t="shared" si="34"/>
        <v>2820481</v>
      </c>
      <c r="T10" s="31">
        <f t="shared" si="34"/>
        <v>2990668</v>
      </c>
      <c r="U10" s="31">
        <f t="shared" si="34"/>
        <v>3505519</v>
      </c>
      <c r="V10" s="31">
        <f t="shared" si="34"/>
        <v>3659158</v>
      </c>
      <c r="W10" s="31">
        <f t="shared" si="34"/>
        <v>13685872</v>
      </c>
      <c r="X10" s="31">
        <f t="shared" si="34"/>
        <v>14698286</v>
      </c>
      <c r="Y10" s="31">
        <f t="shared" si="34"/>
        <v>15068483</v>
      </c>
      <c r="Z10" s="31">
        <f t="shared" si="34"/>
        <v>16761249</v>
      </c>
      <c r="AA10" s="31">
        <f t="shared" si="34"/>
        <v>17504638</v>
      </c>
      <c r="AB10" s="31">
        <f t="shared" si="34"/>
        <v>18632213</v>
      </c>
      <c r="AC10" s="31">
        <f t="shared" si="34"/>
        <v>19000094</v>
      </c>
      <c r="AD10" s="31">
        <f t="shared" si="34"/>
        <v>20044259</v>
      </c>
      <c r="AE10" s="31">
        <f t="shared" si="34"/>
        <v>25242822</v>
      </c>
      <c r="AF10" s="31">
        <f t="shared" si="34"/>
        <v>26250263</v>
      </c>
      <c r="AG10" s="31">
        <f t="shared" si="34"/>
        <v>28140313</v>
      </c>
      <c r="AH10" s="31">
        <f t="shared" si="34"/>
        <v>29371459</v>
      </c>
      <c r="AI10" s="31">
        <f t="shared" si="34"/>
        <v>30701372</v>
      </c>
      <c r="AJ10" s="31">
        <f t="shared" si="34"/>
        <v>29567822</v>
      </c>
      <c r="AK10" s="31">
        <f t="shared" si="34"/>
        <v>30570368</v>
      </c>
      <c r="AL10" s="31">
        <f t="shared" si="34"/>
        <v>31993146</v>
      </c>
      <c r="AM10" s="31">
        <f t="shared" si="34"/>
        <v>30306143</v>
      </c>
      <c r="AN10" s="31">
        <f t="shared" si="34"/>
        <v>21464859</v>
      </c>
      <c r="AO10" s="31">
        <f t="shared" si="34"/>
        <v>25808396</v>
      </c>
      <c r="AP10" s="31">
        <f t="shared" si="34"/>
        <v>27773597</v>
      </c>
      <c r="AQ10" s="31">
        <f t="shared" si="34"/>
        <v>33907299</v>
      </c>
      <c r="AR10" s="31">
        <f t="shared" si="34"/>
        <v>37613726</v>
      </c>
      <c r="AS10" s="31">
        <f t="shared" si="34"/>
        <v>40107484</v>
      </c>
      <c r="AT10" s="31">
        <f t="shared" si="34"/>
        <v>41836291</v>
      </c>
      <c r="AU10" s="31">
        <f>AU36</f>
        <v>46667298.943521596</v>
      </c>
      <c r="AV10" s="31">
        <f t="shared" ref="AV10:DG10" si="35">AV36</f>
        <v>53780108.553900361</v>
      </c>
      <c r="AW10" s="31">
        <v>56391807</v>
      </c>
      <c r="AX10" s="31">
        <v>62105823</v>
      </c>
      <c r="AY10" s="31">
        <v>58942175</v>
      </c>
      <c r="AZ10" s="31">
        <v>64379991</v>
      </c>
      <c r="BA10" s="31">
        <v>70631807</v>
      </c>
      <c r="BB10" s="31">
        <v>71798523</v>
      </c>
      <c r="BC10" s="31">
        <f t="shared" si="35"/>
        <v>73568494.545454547</v>
      </c>
      <c r="BD10" s="31">
        <f t="shared" si="35"/>
        <v>81038158.112665117</v>
      </c>
      <c r="BE10" s="31">
        <f t="shared" si="35"/>
        <v>85316360.665112674</v>
      </c>
      <c r="BF10" s="34">
        <f t="shared" si="35"/>
        <v>76236904.70525834</v>
      </c>
      <c r="BG10" s="34">
        <f t="shared" si="35"/>
        <v>79922134.907237008</v>
      </c>
      <c r="BH10" s="34">
        <f t="shared" si="35"/>
        <v>83769899.907956377</v>
      </c>
      <c r="BI10" s="34">
        <f t="shared" si="35"/>
        <v>87528165.839373425</v>
      </c>
      <c r="BJ10" s="34">
        <f t="shared" si="35"/>
        <v>91617580.611708805</v>
      </c>
      <c r="BK10" s="34">
        <f t="shared" si="35"/>
        <v>96370495.118606299</v>
      </c>
      <c r="BL10" s="34">
        <f t="shared" si="35"/>
        <v>100660932.11798827</v>
      </c>
      <c r="BM10" s="34">
        <f t="shared" si="35"/>
        <v>105047593.51810472</v>
      </c>
      <c r="BN10" s="34">
        <f t="shared" si="35"/>
        <v>109397863.29810877</v>
      </c>
      <c r="BO10" s="34">
        <f t="shared" si="35"/>
        <v>113532431.98441197</v>
      </c>
      <c r="BP10" s="34">
        <f t="shared" si="35"/>
        <v>117583144.84814247</v>
      </c>
      <c r="BQ10" s="34">
        <f t="shared" si="35"/>
        <v>121871845.41903071</v>
      </c>
      <c r="BR10" s="34">
        <f t="shared" si="35"/>
        <v>126044701.49334285</v>
      </c>
      <c r="BS10" s="34">
        <f t="shared" si="35"/>
        <v>130245538.30943969</v>
      </c>
      <c r="BT10" s="34">
        <f t="shared" si="35"/>
        <v>134476418.98960203</v>
      </c>
      <c r="BU10" s="34">
        <f t="shared" si="35"/>
        <v>138732382.87016138</v>
      </c>
      <c r="BV10" s="34">
        <f t="shared" si="35"/>
        <v>143139788.81634843</v>
      </c>
      <c r="BW10" s="34">
        <f t="shared" si="35"/>
        <v>147300634.2285594</v>
      </c>
      <c r="BX10" s="34">
        <f t="shared" si="35"/>
        <v>151522127.17156762</v>
      </c>
      <c r="BY10" s="34">
        <f t="shared" si="35"/>
        <v>156162376.83196077</v>
      </c>
      <c r="BZ10" s="34">
        <f t="shared" si="35"/>
        <v>160509654.89231852</v>
      </c>
      <c r="CA10" s="34">
        <f t="shared" si="35"/>
        <v>164507272.72364196</v>
      </c>
      <c r="CB10" s="34">
        <f t="shared" si="35"/>
        <v>169119344.69548994</v>
      </c>
      <c r="CC10" s="34">
        <f t="shared" si="35"/>
        <v>173316099.15539846</v>
      </c>
      <c r="CD10" s="34">
        <f t="shared" si="35"/>
        <v>177158866.21816525</v>
      </c>
      <c r="CE10" s="34">
        <f t="shared" si="35"/>
        <v>181692206.61081937</v>
      </c>
      <c r="CF10" s="34">
        <f t="shared" si="35"/>
        <v>185873122.70338973</v>
      </c>
      <c r="CG10" s="34">
        <f t="shared" si="35"/>
        <v>190151261.3378374</v>
      </c>
      <c r="CH10" s="34">
        <f t="shared" si="35"/>
        <v>194441199.20683679</v>
      </c>
      <c r="CI10" s="34">
        <f t="shared" si="35"/>
        <v>198718232.1071763</v>
      </c>
      <c r="CJ10" s="34">
        <f t="shared" si="35"/>
        <v>202801090.22798201</v>
      </c>
      <c r="CK10" s="34">
        <f t="shared" si="35"/>
        <v>207121364.66969585</v>
      </c>
      <c r="CL10" s="34">
        <f t="shared" si="35"/>
        <v>211221850.20190775</v>
      </c>
      <c r="CM10" s="34">
        <f t="shared" si="35"/>
        <v>215773557.80051541</v>
      </c>
      <c r="CN10" s="34">
        <f t="shared" si="35"/>
        <v>220074145.0827409</v>
      </c>
      <c r="CO10" s="34">
        <f t="shared" si="35"/>
        <v>224122062.44031093</v>
      </c>
      <c r="CP10" s="34">
        <f t="shared" si="35"/>
        <v>228530649.94222561</v>
      </c>
      <c r="CQ10" s="34">
        <f t="shared" si="35"/>
        <v>232738051.45415777</v>
      </c>
      <c r="CR10" s="34">
        <f t="shared" si="35"/>
        <v>236884277.38370022</v>
      </c>
      <c r="CS10" s="34">
        <f t="shared" si="35"/>
        <v>241166072.39165831</v>
      </c>
      <c r="CT10" s="34">
        <f t="shared" si="35"/>
        <v>245412469.28766376</v>
      </c>
      <c r="CU10" s="34">
        <f t="shared" si="35"/>
        <v>249626113.38081723</v>
      </c>
      <c r="CV10" s="34">
        <f t="shared" si="35"/>
        <v>253919419.58030805</v>
      </c>
      <c r="CW10" s="34">
        <f t="shared" si="35"/>
        <v>258155722.16200036</v>
      </c>
      <c r="CX10" s="34">
        <f t="shared" si="35"/>
        <v>262407741.65848422</v>
      </c>
      <c r="CY10" s="34">
        <f t="shared" si="35"/>
        <v>266637369.49700725</v>
      </c>
      <c r="CZ10" s="34">
        <f t="shared" si="35"/>
        <v>270870381.38087255</v>
      </c>
      <c r="DA10" s="34">
        <f t="shared" si="35"/>
        <v>275504270.9201932</v>
      </c>
      <c r="DB10" s="34">
        <f t="shared" si="35"/>
        <v>279830244.64872766</v>
      </c>
      <c r="DC10" s="34">
        <f t="shared" si="35"/>
        <v>283790475.73617756</v>
      </c>
      <c r="DD10" s="34">
        <f t="shared" si="35"/>
        <v>288283975.49092603</v>
      </c>
      <c r="DE10" s="34">
        <f t="shared" si="35"/>
        <v>292459141.39709312</v>
      </c>
      <c r="DF10" s="34">
        <f t="shared" si="35"/>
        <v>296440156.06541228</v>
      </c>
      <c r="DG10" s="34">
        <f t="shared" si="35"/>
        <v>300848404.43072677</v>
      </c>
      <c r="DH10" s="34">
        <f t="shared" ref="DH10:FJ10" si="36">DH36</f>
        <v>305007980.40883797</v>
      </c>
      <c r="DI10" s="34">
        <f t="shared" si="36"/>
        <v>309302308.63306481</v>
      </c>
      <c r="DJ10" s="34">
        <f t="shared" si="36"/>
        <v>313574868.80070162</v>
      </c>
      <c r="DK10" s="34">
        <f t="shared" si="36"/>
        <v>317808288.27347797</v>
      </c>
      <c r="DL10" s="34">
        <f t="shared" si="36"/>
        <v>322036976.90385914</v>
      </c>
      <c r="DM10" s="34">
        <f t="shared" si="36"/>
        <v>326305425.82056081</v>
      </c>
      <c r="DN10" s="34">
        <f t="shared" si="36"/>
        <v>330523164.41875237</v>
      </c>
      <c r="DO10" s="34">
        <f t="shared" si="36"/>
        <v>335139092.28266579</v>
      </c>
      <c r="DP10" s="34">
        <f t="shared" si="36"/>
        <v>339476348.43129456</v>
      </c>
      <c r="DQ10" s="34">
        <f t="shared" si="36"/>
        <v>343484730.75781316</v>
      </c>
      <c r="DR10" s="34">
        <f t="shared" si="36"/>
        <v>347896604.42943603</v>
      </c>
      <c r="DS10" s="34">
        <f t="shared" si="36"/>
        <v>352070066.04628605</v>
      </c>
      <c r="DT10" s="34">
        <f t="shared" si="36"/>
        <v>356105153.30936486</v>
      </c>
      <c r="DU10" s="34">
        <f t="shared" si="36"/>
        <v>360450189.48434013</v>
      </c>
      <c r="DV10" s="34">
        <f t="shared" si="36"/>
        <v>364692071.82079941</v>
      </c>
      <c r="DW10" s="34">
        <f t="shared" si="36"/>
        <v>368921102.04905206</v>
      </c>
      <c r="DX10" s="34">
        <f t="shared" si="36"/>
        <v>373214865.78414285</v>
      </c>
      <c r="DY10" s="34">
        <f t="shared" si="36"/>
        <v>377464352.82454932</v>
      </c>
      <c r="DZ10" s="34">
        <f t="shared" si="36"/>
        <v>381711742.06585026</v>
      </c>
      <c r="EA10" s="34">
        <f t="shared" si="36"/>
        <v>385939226.51184136</v>
      </c>
      <c r="EB10" s="34">
        <f t="shared" si="36"/>
        <v>390176003.49599451</v>
      </c>
      <c r="EC10" s="34">
        <f t="shared" si="36"/>
        <v>394787123.86201906</v>
      </c>
      <c r="ED10" s="34">
        <f t="shared" si="36"/>
        <v>399127676.60988569</v>
      </c>
      <c r="EE10" s="34">
        <f t="shared" si="36"/>
        <v>403115316.26319027</v>
      </c>
      <c r="EF10" s="34">
        <f t="shared" si="36"/>
        <v>407581483.68291634</v>
      </c>
      <c r="EG10" s="34">
        <f t="shared" si="36"/>
        <v>411736461.89305508</v>
      </c>
      <c r="EH10" s="34">
        <f t="shared" si="36"/>
        <v>415715887.72170758</v>
      </c>
      <c r="EI10" s="34">
        <f t="shared" si="36"/>
        <v>420085144.61009049</v>
      </c>
      <c r="EJ10" s="34">
        <f t="shared" si="36"/>
        <v>424303706.20170647</v>
      </c>
      <c r="EK10" s="34">
        <f t="shared" si="36"/>
        <v>428567355.51502007</v>
      </c>
      <c r="EL10" s="34">
        <f t="shared" si="36"/>
        <v>432858116.85348642</v>
      </c>
      <c r="EM10" s="34">
        <f t="shared" si="36"/>
        <v>437139516.38707209</v>
      </c>
      <c r="EN10" s="34">
        <f t="shared" si="36"/>
        <v>441365208.18978649</v>
      </c>
      <c r="EO10" s="34">
        <f t="shared" si="36"/>
        <v>445611203.00742924</v>
      </c>
      <c r="EP10" s="34">
        <f t="shared" si="36"/>
        <v>449843027.85459322</v>
      </c>
      <c r="EQ10" s="34">
        <f t="shared" si="36"/>
        <v>454467411.55852109</v>
      </c>
      <c r="ER10" s="34">
        <f t="shared" si="36"/>
        <v>458789078.05843061</v>
      </c>
      <c r="ES10" s="34">
        <f t="shared" si="36"/>
        <v>462799688.22674048</v>
      </c>
      <c r="ET10" s="34">
        <f t="shared" si="36"/>
        <v>467241974.75227726</v>
      </c>
      <c r="EU10" s="34">
        <f t="shared" si="36"/>
        <v>471401501.40238279</v>
      </c>
      <c r="EV10" s="34">
        <f t="shared" si="36"/>
        <v>475403046.71851444</v>
      </c>
      <c r="EW10" s="34">
        <f t="shared" si="36"/>
        <v>479710621.17728132</v>
      </c>
      <c r="EX10" s="34">
        <f t="shared" si="36"/>
        <v>483941778.4189865</v>
      </c>
      <c r="EY10" s="34">
        <f t="shared" si="36"/>
        <v>488234442.67594934</v>
      </c>
      <c r="EZ10" s="34">
        <f t="shared" si="36"/>
        <v>492496901.52665782</v>
      </c>
      <c r="FA10" s="34">
        <f t="shared" si="36"/>
        <v>496767713.32509369</v>
      </c>
      <c r="FB10" s="34">
        <f t="shared" si="36"/>
        <v>501057102.02552658</v>
      </c>
      <c r="FC10" s="34">
        <f t="shared" si="36"/>
        <v>505275021.94788569</v>
      </c>
      <c r="FD10" s="34">
        <f t="shared" si="36"/>
        <v>509512539.97570699</v>
      </c>
      <c r="FE10" s="34">
        <f t="shared" si="36"/>
        <v>514126638.41532403</v>
      </c>
      <c r="FF10" s="34">
        <f t="shared" si="36"/>
        <v>518467478.75224835</v>
      </c>
      <c r="FG10" s="34">
        <f t="shared" si="36"/>
        <v>522445290.22873944</v>
      </c>
      <c r="FH10" s="34">
        <f t="shared" si="36"/>
        <v>526909391.77246028</v>
      </c>
      <c r="FI10" s="34">
        <f t="shared" si="36"/>
        <v>531078647.87930709</v>
      </c>
      <c r="FJ10" s="34">
        <f t="shared" si="36"/>
        <v>535055293.9368757</v>
      </c>
    </row>
    <row r="11" spans="1:166" x14ac:dyDescent="0.2">
      <c r="A11" s="9" t="s">
        <v>75</v>
      </c>
      <c r="B11" s="9" t="s">
        <v>125</v>
      </c>
      <c r="C11" s="31">
        <v>355943296</v>
      </c>
      <c r="D11" s="31">
        <v>387851229</v>
      </c>
      <c r="E11" s="31">
        <v>388872431</v>
      </c>
      <c r="F11" s="31">
        <v>357487052</v>
      </c>
      <c r="G11" s="31">
        <v>370292343</v>
      </c>
      <c r="H11" s="31">
        <v>374917388</v>
      </c>
      <c r="I11" s="31">
        <v>366019124</v>
      </c>
      <c r="J11" s="31">
        <v>363269339</v>
      </c>
      <c r="K11" s="31">
        <v>368807852</v>
      </c>
      <c r="L11" s="31">
        <v>358046201</v>
      </c>
      <c r="M11" s="31">
        <v>389863889</v>
      </c>
      <c r="N11" s="31">
        <v>362161026</v>
      </c>
      <c r="O11" s="31">
        <v>350786119</v>
      </c>
      <c r="P11" s="31">
        <v>364681336</v>
      </c>
      <c r="Q11" s="31">
        <v>392531450</v>
      </c>
      <c r="R11" s="31">
        <v>376855202</v>
      </c>
      <c r="S11" s="31">
        <v>372469285</v>
      </c>
      <c r="T11" s="31">
        <v>390499794</v>
      </c>
      <c r="U11" s="31">
        <v>383972772</v>
      </c>
      <c r="V11" s="31">
        <v>352283939</v>
      </c>
      <c r="W11" s="31">
        <v>414527490</v>
      </c>
      <c r="X11" s="31">
        <v>397227736</v>
      </c>
      <c r="Y11" s="31">
        <v>404071329</v>
      </c>
      <c r="Z11" s="31">
        <v>381748251</v>
      </c>
      <c r="AA11" s="31">
        <v>376822538</v>
      </c>
      <c r="AB11" s="31">
        <v>401825385</v>
      </c>
      <c r="AC11" s="31">
        <v>418522596</v>
      </c>
      <c r="AD11" s="31">
        <v>377787880</v>
      </c>
      <c r="AE11" s="31">
        <v>380940912</v>
      </c>
      <c r="AF11" s="31">
        <v>386000352</v>
      </c>
      <c r="AG11" s="31">
        <v>433159405</v>
      </c>
      <c r="AH11" s="31">
        <v>400757236</v>
      </c>
      <c r="AI11" s="31">
        <v>355104114</v>
      </c>
      <c r="AJ11" s="31">
        <v>416323940</v>
      </c>
      <c r="AK11" s="31">
        <v>392894297</v>
      </c>
      <c r="AL11" s="31">
        <v>393077295</v>
      </c>
      <c r="AM11" s="31">
        <v>375148591</v>
      </c>
      <c r="AN11" s="31">
        <v>228754963</v>
      </c>
      <c r="AO11" s="31">
        <v>365721128</v>
      </c>
      <c r="AP11" s="31">
        <v>329435151</v>
      </c>
      <c r="AQ11" s="31">
        <v>285646782</v>
      </c>
      <c r="AR11" s="31">
        <v>402071258</v>
      </c>
      <c r="AS11" s="31">
        <v>379076451</v>
      </c>
      <c r="AT11" s="31">
        <v>354054243</v>
      </c>
      <c r="AU11" s="31">
        <v>350873873</v>
      </c>
      <c r="AV11" s="31">
        <v>366259568</v>
      </c>
      <c r="AW11" s="31">
        <v>383805193</v>
      </c>
      <c r="AX11" s="31">
        <v>355730406</v>
      </c>
      <c r="AY11" s="31">
        <v>347939242</v>
      </c>
      <c r="AZ11" s="31">
        <v>296481588</v>
      </c>
      <c r="BA11" s="31">
        <v>382422796</v>
      </c>
      <c r="BB11" s="31">
        <v>354633081</v>
      </c>
      <c r="BC11" s="31">
        <v>344225384</v>
      </c>
      <c r="BD11" s="31">
        <v>365945518</v>
      </c>
      <c r="BE11" s="31">
        <v>368259292</v>
      </c>
      <c r="BF11" s="34">
        <f>'EMTS-CARB Forecast'!$M44</f>
        <v>355730406</v>
      </c>
      <c r="BG11" s="34">
        <f>'EMTS-CARB Forecast'!$M41</f>
        <v>350873873</v>
      </c>
      <c r="BH11" s="34">
        <f>'EMTS-CARB Forecast'!$M42</f>
        <v>366259568</v>
      </c>
      <c r="BI11" s="34">
        <f>'EMTS-CARB Forecast'!$M43</f>
        <v>383805193</v>
      </c>
      <c r="BJ11" s="34">
        <f>'EMTS-CARB Forecast'!$M44</f>
        <v>355730406</v>
      </c>
      <c r="BK11" s="34">
        <f>'EMTS-CARB Forecast'!$M41</f>
        <v>350873873</v>
      </c>
      <c r="BL11" s="34">
        <f>'EMTS-CARB Forecast'!$M42</f>
        <v>366259568</v>
      </c>
      <c r="BM11" s="34">
        <f>'EMTS-CARB Forecast'!$M43</f>
        <v>383805193</v>
      </c>
      <c r="BN11" s="34">
        <f>'EMTS-CARB Forecast'!$M44</f>
        <v>355730406</v>
      </c>
      <c r="BO11" s="34">
        <f>'EMTS-CARB Forecast'!$M41</f>
        <v>350873873</v>
      </c>
      <c r="BP11" s="34">
        <f>'EMTS-CARB Forecast'!$M42</f>
        <v>366259568</v>
      </c>
      <c r="BQ11" s="34">
        <f>'EMTS-CARB Forecast'!$M43</f>
        <v>383805193</v>
      </c>
      <c r="BR11" s="34">
        <f>'EMTS-CARB Forecast'!$M44</f>
        <v>355730406</v>
      </c>
      <c r="BS11" s="34">
        <f>'EMTS-CARB Forecast'!$M41</f>
        <v>350873873</v>
      </c>
      <c r="BT11" s="34">
        <f>'EMTS-CARB Forecast'!$M42</f>
        <v>366259568</v>
      </c>
      <c r="BU11" s="34">
        <f>'EMTS-CARB Forecast'!$M43</f>
        <v>383805193</v>
      </c>
      <c r="BV11" s="34">
        <f>'EMTS-CARB Forecast'!$M44</f>
        <v>355730406</v>
      </c>
      <c r="BW11" s="34">
        <f>'EMTS-CARB Forecast'!$M41</f>
        <v>350873873</v>
      </c>
      <c r="BX11" s="34">
        <f>'EMTS-CARB Forecast'!$M42</f>
        <v>366259568</v>
      </c>
      <c r="BY11" s="34">
        <f>'EMTS-CARB Forecast'!$M43</f>
        <v>383805193</v>
      </c>
      <c r="BZ11" s="34">
        <f>'EMTS-CARB Forecast'!$M44</f>
        <v>355730406</v>
      </c>
      <c r="CA11" s="34">
        <f>'EMTS-CARB Forecast'!$M41</f>
        <v>350873873</v>
      </c>
      <c r="CB11" s="34">
        <f>'EMTS-CARB Forecast'!$M42</f>
        <v>366259568</v>
      </c>
      <c r="CC11" s="34">
        <f>'EMTS-CARB Forecast'!$M43</f>
        <v>383805193</v>
      </c>
      <c r="CD11" s="34">
        <f>'EMTS-CARB Forecast'!$M44</f>
        <v>355730406</v>
      </c>
      <c r="CE11" s="34">
        <f>'EMTS-CARB Forecast'!$M41</f>
        <v>350873873</v>
      </c>
      <c r="CF11" s="34">
        <f>'EMTS-CARB Forecast'!$M42</f>
        <v>366259568</v>
      </c>
      <c r="CG11" s="34">
        <f>'EMTS-CARB Forecast'!$M43</f>
        <v>383805193</v>
      </c>
      <c r="CH11" s="34">
        <f>'EMTS-CARB Forecast'!$M44</f>
        <v>355730406</v>
      </c>
      <c r="CI11" s="34">
        <f>'EMTS-CARB Forecast'!$M41</f>
        <v>350873873</v>
      </c>
      <c r="CJ11" s="34">
        <f>'EMTS-CARB Forecast'!$M42</f>
        <v>366259568</v>
      </c>
      <c r="CK11" s="34">
        <f>'EMTS-CARB Forecast'!$M43</f>
        <v>383805193</v>
      </c>
      <c r="CL11" s="34">
        <f>'EMTS-CARB Forecast'!$M44</f>
        <v>355730406</v>
      </c>
      <c r="CM11" s="34">
        <f>'EMTS-CARB Forecast'!$M41</f>
        <v>350873873</v>
      </c>
      <c r="CN11" s="34">
        <f>'EMTS-CARB Forecast'!$M42</f>
        <v>366259568</v>
      </c>
      <c r="CO11" s="34">
        <f>'EMTS-CARB Forecast'!$M43</f>
        <v>383805193</v>
      </c>
      <c r="CP11" s="34">
        <f>'EMTS-CARB Forecast'!$M44</f>
        <v>355730406</v>
      </c>
      <c r="CQ11" s="34">
        <f>'EMTS-CARB Forecast'!$M41</f>
        <v>350873873</v>
      </c>
      <c r="CR11" s="34">
        <f>'EMTS-CARB Forecast'!$M42</f>
        <v>366259568</v>
      </c>
      <c r="CS11" s="34">
        <f>'EMTS-CARB Forecast'!$M43</f>
        <v>383805193</v>
      </c>
      <c r="CT11" s="34">
        <f>'EMTS-CARB Forecast'!$M44</f>
        <v>355730406</v>
      </c>
      <c r="CU11" s="34">
        <f>'EMTS-CARB Forecast'!$M41</f>
        <v>350873873</v>
      </c>
      <c r="CV11" s="34">
        <f>'EMTS-CARB Forecast'!$M42</f>
        <v>366259568</v>
      </c>
      <c r="CW11" s="34">
        <f>'EMTS-CARB Forecast'!$M43</f>
        <v>383805193</v>
      </c>
      <c r="CX11" s="34">
        <f>'EMTS-CARB Forecast'!$M44</f>
        <v>355730406</v>
      </c>
      <c r="CY11" s="34">
        <f>'EMTS-CARB Forecast'!$M41</f>
        <v>350873873</v>
      </c>
      <c r="CZ11" s="34">
        <f>'EMTS-CARB Forecast'!$M42</f>
        <v>366259568</v>
      </c>
      <c r="DA11" s="34">
        <f>'EMTS-CARB Forecast'!$M43</f>
        <v>383805193</v>
      </c>
      <c r="DB11" s="34">
        <f>'EMTS-CARB Forecast'!$M44</f>
        <v>355730406</v>
      </c>
      <c r="DC11" s="34">
        <f>'EMTS-CARB Forecast'!$M41</f>
        <v>350873873</v>
      </c>
      <c r="DD11" s="34">
        <f>'EMTS-CARB Forecast'!$M42</f>
        <v>366259568</v>
      </c>
      <c r="DE11" s="34">
        <f>'EMTS-CARB Forecast'!$M43</f>
        <v>383805193</v>
      </c>
      <c r="DF11" s="34">
        <f>'EMTS-CARB Forecast'!$M44</f>
        <v>355730406</v>
      </c>
      <c r="DG11" s="34">
        <f>'EMTS-CARB Forecast'!$M41</f>
        <v>350873873</v>
      </c>
      <c r="DH11" s="34">
        <f>'EMTS-CARB Forecast'!$M42</f>
        <v>366259568</v>
      </c>
      <c r="DI11" s="34">
        <f>'EMTS-CARB Forecast'!$M43</f>
        <v>383805193</v>
      </c>
      <c r="DJ11" s="34">
        <f>'EMTS-CARB Forecast'!$M44</f>
        <v>355730406</v>
      </c>
      <c r="DK11" s="34">
        <f>'EMTS-CARB Forecast'!$M41</f>
        <v>350873873</v>
      </c>
      <c r="DL11" s="34">
        <f>'EMTS-CARB Forecast'!$M42</f>
        <v>366259568</v>
      </c>
      <c r="DM11" s="34">
        <f>'EMTS-CARB Forecast'!$M43</f>
        <v>383805193</v>
      </c>
      <c r="DN11" s="34">
        <f>'EMTS-CARB Forecast'!$M44</f>
        <v>355730406</v>
      </c>
      <c r="DO11" s="34">
        <f>'EMTS-CARB Forecast'!$M41</f>
        <v>350873873</v>
      </c>
      <c r="DP11" s="34">
        <f>'EMTS-CARB Forecast'!$M42</f>
        <v>366259568</v>
      </c>
      <c r="DQ11" s="34">
        <f>'EMTS-CARB Forecast'!$M43</f>
        <v>383805193</v>
      </c>
      <c r="DR11" s="34">
        <f>'EMTS-CARB Forecast'!$M44</f>
        <v>355730406</v>
      </c>
      <c r="DS11" s="34">
        <f>'EMTS-CARB Forecast'!$M41</f>
        <v>350873873</v>
      </c>
      <c r="DT11" s="34">
        <f>'EMTS-CARB Forecast'!$M42</f>
        <v>366259568</v>
      </c>
      <c r="DU11" s="34">
        <f>'EMTS-CARB Forecast'!$M43</f>
        <v>383805193</v>
      </c>
      <c r="DV11" s="34">
        <f>'EMTS-CARB Forecast'!$M44</f>
        <v>355730406</v>
      </c>
      <c r="DW11" s="34">
        <f>'EMTS-CARB Forecast'!$M41</f>
        <v>350873873</v>
      </c>
      <c r="DX11" s="34">
        <f>'EMTS-CARB Forecast'!$M42</f>
        <v>366259568</v>
      </c>
      <c r="DY11" s="34">
        <f>'EMTS-CARB Forecast'!$M43</f>
        <v>383805193</v>
      </c>
      <c r="DZ11" s="34">
        <f>'EMTS-CARB Forecast'!$M43</f>
        <v>383805193</v>
      </c>
      <c r="EA11" s="34">
        <f>'EMTS-CARB Forecast'!$M41</f>
        <v>350873873</v>
      </c>
      <c r="EB11" s="34">
        <f>'EMTS-CARB Forecast'!$M42</f>
        <v>366259568</v>
      </c>
      <c r="EC11" s="34">
        <f>'EMTS-CARB Forecast'!$M43</f>
        <v>383805193</v>
      </c>
      <c r="ED11" s="34">
        <f>'EMTS-CARB Forecast'!$M43</f>
        <v>383805193</v>
      </c>
      <c r="EE11" s="34">
        <f>'EMTS-CARB Forecast'!$M41</f>
        <v>350873873</v>
      </c>
      <c r="EF11" s="34">
        <f>'EMTS-CARB Forecast'!$M42</f>
        <v>366259568</v>
      </c>
      <c r="EG11" s="34">
        <f>'EMTS-CARB Forecast'!$M43</f>
        <v>383805193</v>
      </c>
      <c r="EH11" s="34">
        <f>'EMTS-CARB Forecast'!$M43</f>
        <v>383805193</v>
      </c>
      <c r="EI11" s="34">
        <f>'EMTS-CARB Forecast'!$M41</f>
        <v>350873873</v>
      </c>
      <c r="EJ11" s="34">
        <f>'EMTS-CARB Forecast'!$M42</f>
        <v>366259568</v>
      </c>
      <c r="EK11" s="34">
        <f>'EMTS-CARB Forecast'!$M43</f>
        <v>383805193</v>
      </c>
      <c r="EL11" s="34">
        <f>'EMTS-CARB Forecast'!$M43</f>
        <v>383805193</v>
      </c>
      <c r="EM11" s="34">
        <f>'EMTS-CARB Forecast'!$M41</f>
        <v>350873873</v>
      </c>
      <c r="EN11" s="34">
        <f>'EMTS-CARB Forecast'!$M42</f>
        <v>366259568</v>
      </c>
      <c r="EO11" s="34">
        <f>'EMTS-CARB Forecast'!$M43</f>
        <v>383805193</v>
      </c>
      <c r="EP11" s="34">
        <f>'EMTS-CARB Forecast'!$M43</f>
        <v>383805193</v>
      </c>
      <c r="EQ11" s="34">
        <f>'EMTS-CARB Forecast'!$M41</f>
        <v>350873873</v>
      </c>
      <c r="ER11" s="34">
        <f>'EMTS-CARB Forecast'!$M42</f>
        <v>366259568</v>
      </c>
      <c r="ES11" s="34">
        <f>'EMTS-CARB Forecast'!$M43</f>
        <v>383805193</v>
      </c>
      <c r="ET11" s="34">
        <f>'EMTS-CARB Forecast'!$M43</f>
        <v>383805193</v>
      </c>
      <c r="EU11" s="34">
        <f>'EMTS-CARB Forecast'!$M41</f>
        <v>350873873</v>
      </c>
      <c r="EV11" s="34">
        <f>'EMTS-CARB Forecast'!$M42</f>
        <v>366259568</v>
      </c>
      <c r="EW11" s="34">
        <f>'EMTS-CARB Forecast'!$M43</f>
        <v>383805193</v>
      </c>
      <c r="EX11" s="34">
        <f>'EMTS-CARB Forecast'!$M43</f>
        <v>383805193</v>
      </c>
      <c r="EY11" s="34">
        <f>'EMTS-CARB Forecast'!$M41</f>
        <v>350873873</v>
      </c>
      <c r="EZ11" s="34">
        <f>'EMTS-CARB Forecast'!$M42</f>
        <v>366259568</v>
      </c>
      <c r="FA11" s="34">
        <f>'EMTS-CARB Forecast'!$M43</f>
        <v>383805193</v>
      </c>
      <c r="FB11" s="34">
        <f>'EMTS-CARB Forecast'!$M43</f>
        <v>383805193</v>
      </c>
      <c r="FC11" s="34">
        <f>'EMTS-CARB Forecast'!$M41</f>
        <v>350873873</v>
      </c>
      <c r="FD11" s="34">
        <f>'EMTS-CARB Forecast'!$M42</f>
        <v>366259568</v>
      </c>
      <c r="FE11" s="34">
        <f>'EMTS-CARB Forecast'!$M43</f>
        <v>383805193</v>
      </c>
      <c r="FF11" s="34">
        <f>'EMTS-CARB Forecast'!$M43</f>
        <v>383805193</v>
      </c>
      <c r="FG11" s="34">
        <f>'EMTS-CARB Forecast'!$M41</f>
        <v>350873873</v>
      </c>
      <c r="FH11" s="34">
        <f>'EMTS-CARB Forecast'!$M42</f>
        <v>366259568</v>
      </c>
      <c r="FI11" s="34">
        <f>'EMTS-CARB Forecast'!$M43</f>
        <v>383805193</v>
      </c>
      <c r="FJ11" s="34">
        <f>'EMTS-CARB Forecast'!$M43</f>
        <v>383805193</v>
      </c>
    </row>
    <row r="12" spans="1:166" x14ac:dyDescent="0.2">
      <c r="A12" s="9" t="s">
        <v>76</v>
      </c>
      <c r="B12" s="9" t="s">
        <v>125</v>
      </c>
      <c r="C12" s="31">
        <v>1954349</v>
      </c>
      <c r="D12" s="31">
        <v>2623187</v>
      </c>
      <c r="E12" s="31">
        <v>3477614</v>
      </c>
      <c r="F12" s="31">
        <v>4482442</v>
      </c>
      <c r="G12" s="31">
        <v>5006202</v>
      </c>
      <c r="H12" s="31">
        <v>6502404</v>
      </c>
      <c r="I12" s="31">
        <v>4240695</v>
      </c>
      <c r="J12" s="31">
        <v>4226644</v>
      </c>
      <c r="K12" s="31">
        <v>5481532</v>
      </c>
      <c r="L12" s="31">
        <v>13975203</v>
      </c>
      <c r="M12" s="31">
        <v>13936349</v>
      </c>
      <c r="N12" s="31">
        <v>26508045</v>
      </c>
      <c r="O12" s="31">
        <v>16037416</v>
      </c>
      <c r="P12" s="31">
        <v>16122376</v>
      </c>
      <c r="Q12" s="31">
        <v>13880356</v>
      </c>
      <c r="R12" s="31">
        <v>20757948</v>
      </c>
      <c r="S12" s="31">
        <v>19632811</v>
      </c>
      <c r="T12" s="31">
        <v>28502517</v>
      </c>
      <c r="U12" s="31">
        <v>42889152</v>
      </c>
      <c r="V12" s="31">
        <v>35425955</v>
      </c>
      <c r="W12" s="31">
        <v>28882258</v>
      </c>
      <c r="X12" s="31">
        <v>35790526</v>
      </c>
      <c r="Y12" s="31">
        <v>45225506</v>
      </c>
      <c r="Z12" s="31">
        <v>53450453</v>
      </c>
      <c r="AA12" s="31">
        <v>38177310</v>
      </c>
      <c r="AB12" s="31">
        <v>37575247</v>
      </c>
      <c r="AC12" s="31">
        <v>50257498</v>
      </c>
      <c r="AD12" s="31">
        <v>43756532</v>
      </c>
      <c r="AE12" s="31">
        <v>36595945</v>
      </c>
      <c r="AF12" s="31">
        <v>40693700</v>
      </c>
      <c r="AG12" s="31">
        <v>49904077</v>
      </c>
      <c r="AH12" s="31">
        <v>57231365</v>
      </c>
      <c r="AI12" s="31">
        <v>41827876</v>
      </c>
      <c r="AJ12" s="31">
        <v>57413156</v>
      </c>
      <c r="AK12" s="31">
        <v>56880071</v>
      </c>
      <c r="AL12" s="31">
        <v>55445419</v>
      </c>
      <c r="AM12" s="31">
        <v>56349932</v>
      </c>
      <c r="AN12" s="31">
        <v>59271313</v>
      </c>
      <c r="AO12" s="31">
        <v>69710273</v>
      </c>
      <c r="AP12" s="31">
        <v>81113099</v>
      </c>
      <c r="AQ12" s="31">
        <v>61422026</v>
      </c>
      <c r="AR12" s="31">
        <v>78153595</v>
      </c>
      <c r="AS12" s="31">
        <v>77619602</v>
      </c>
      <c r="AT12" s="31">
        <v>72876457</v>
      </c>
      <c r="AU12" s="31">
        <v>69654714</v>
      </c>
      <c r="AV12" s="31">
        <v>68309582</v>
      </c>
      <c r="AW12" s="31">
        <v>72306900</v>
      </c>
      <c r="AX12" s="31">
        <v>70892771</v>
      </c>
      <c r="AY12" s="31">
        <v>68541019</v>
      </c>
      <c r="AZ12" s="31">
        <v>60275869</v>
      </c>
      <c r="BA12" s="31">
        <v>67129512</v>
      </c>
      <c r="BB12" s="31">
        <v>72940256</v>
      </c>
      <c r="BC12" s="31">
        <v>64404789</v>
      </c>
      <c r="BD12" s="31">
        <v>55754578</v>
      </c>
      <c r="BE12" s="31">
        <v>58423071</v>
      </c>
      <c r="BF12" s="34">
        <f>'EMTS-CARB Forecast'!$O59</f>
        <v>54434656.190726638</v>
      </c>
      <c r="BG12" s="34">
        <f>'EMTS-CARB Forecast'!$P56</f>
        <v>78891431.171170473</v>
      </c>
      <c r="BH12" s="34">
        <f>'EMTS-CARB Forecast'!$P57</f>
        <v>48998068.276747525</v>
      </c>
      <c r="BI12" s="34">
        <f>'EMTS-CARB Forecast'!$P58</f>
        <v>52553264.619507283</v>
      </c>
      <c r="BJ12" s="34">
        <f>'EMTS-CARB Forecast'!$P59</f>
        <v>57058039.938386612</v>
      </c>
      <c r="BK12" s="34">
        <f>'EMTS-CARB Forecast'!$Q56</f>
        <v>61120943.765449136</v>
      </c>
      <c r="BL12" s="34">
        <f>'EMTS-CARB Forecast'!$Q57</f>
        <v>51963504.182742245</v>
      </c>
      <c r="BM12" s="34">
        <f>'EMTS-CARB Forecast'!$Q58</f>
        <v>57303008.875407279</v>
      </c>
      <c r="BN12" s="34">
        <f>'EMTS-CARB Forecast'!$Q59</f>
        <v>68800425.817226037</v>
      </c>
      <c r="BO12" s="34">
        <f>'EMTS-CARB Forecast'!$R56</f>
        <v>65205969.378807083</v>
      </c>
      <c r="BP12" s="34">
        <f>'EMTS-CARB Forecast'!$R57</f>
        <v>49932351.879483439</v>
      </c>
      <c r="BQ12" s="34">
        <f>'EMTS-CARB Forecast'!$R58</f>
        <v>55531148.196585611</v>
      </c>
      <c r="BR12" s="34">
        <f>'EMTS-CARB Forecast'!$R59</f>
        <v>71347684.719060674</v>
      </c>
      <c r="BS12" s="34">
        <f>'EMTS-CARB Forecast'!$S56</f>
        <v>69218674.756625339</v>
      </c>
      <c r="BT12" s="34">
        <f>'EMTS-CARB Forecast'!$S57</f>
        <v>26680625.134341978</v>
      </c>
      <c r="BU12" s="34">
        <f>'EMTS-CARB Forecast'!$S58</f>
        <v>32050652.939088725</v>
      </c>
      <c r="BV12" s="34">
        <f>'EMTS-CARB Forecast'!$S59</f>
        <v>79235565.132404864</v>
      </c>
      <c r="BW12" s="34">
        <f>'EMTS-CARB Forecast'!$T56</f>
        <v>64986054.491051331</v>
      </c>
      <c r="BX12" s="34">
        <f>'EMTS-CARB Forecast'!$T57</f>
        <v>40727703.088250123</v>
      </c>
      <c r="BY12" s="34">
        <f>'EMTS-CARB Forecast'!$T58</f>
        <v>45884708.550418407</v>
      </c>
      <c r="BZ12" s="34">
        <f>'EMTS-CARB Forecast'!$T59</f>
        <v>70688919.647427604</v>
      </c>
      <c r="CA12" s="34">
        <f>'EMTS-CARB Forecast'!$U56</f>
        <v>63933861.510896251</v>
      </c>
      <c r="CB12" s="34">
        <f>'EMTS-CARB Forecast'!$U57</f>
        <v>43098928.978547812</v>
      </c>
      <c r="CC12" s="34">
        <f>'EMTS-CARB Forecast'!$U58</f>
        <v>48413286.711739562</v>
      </c>
      <c r="CD12" s="34">
        <f>'EMTS-CARB Forecast'!$U59</f>
        <v>83351574.160884947</v>
      </c>
      <c r="CE12" s="34">
        <f>'EMTS-CARB Forecast'!$V56</f>
        <v>61613426.512063392</v>
      </c>
      <c r="CF12" s="34">
        <f>'EMTS-CARB Forecast'!$V57</f>
        <v>46802554.485772371</v>
      </c>
      <c r="CG12" s="34">
        <f>'EMTS-CARB Forecast'!$V58</f>
        <v>48184918.358182698</v>
      </c>
      <c r="CH12" s="34">
        <f>'EMTS-CARB Forecast'!$V59</f>
        <v>78418645.009344265</v>
      </c>
      <c r="CI12" s="34">
        <f>'EMTS-CARB Forecast'!$W56</f>
        <v>62515030.887064777</v>
      </c>
      <c r="CJ12" s="34">
        <f>'EMTS-CARB Forecast'!$W57</f>
        <v>48433051.585389882</v>
      </c>
      <c r="CK12" s="34">
        <f>'EMTS-CARB Forecast'!$W58</f>
        <v>53331248.023169942</v>
      </c>
      <c r="CL12" s="34">
        <f>'EMTS-CARB Forecast'!$W59</f>
        <v>73398806.771944821</v>
      </c>
      <c r="CM12" s="34">
        <f>'EMTS-CARB Forecast'!$X56</f>
        <v>64994081.013200119</v>
      </c>
      <c r="CN12" s="34">
        <f>'EMTS-CARB Forecast'!$X57</f>
        <v>41830532.809001595</v>
      </c>
      <c r="CO12" s="34">
        <f>'EMTS-CARB Forecast'!$X58</f>
        <v>51734623.423499003</v>
      </c>
      <c r="CP12" s="34">
        <f>'EMTS-CARB Forecast'!$X59</f>
        <v>77573857.302446097</v>
      </c>
      <c r="CQ12" s="34">
        <f>'EMTS-CARB Forecast'!$Y56</f>
        <v>66525986.030507751</v>
      </c>
      <c r="CR12" s="34">
        <f>'EMTS-CARB Forecast'!$Y57</f>
        <v>40427168.401841566</v>
      </c>
      <c r="CS12" s="34">
        <f>'EMTS-CARB Forecast'!$Y58</f>
        <v>50006051.524138734</v>
      </c>
      <c r="CT12" s="34">
        <f>'EMTS-CARB Forecast'!$Y59</f>
        <v>78839879.603995889</v>
      </c>
      <c r="CU12" s="34">
        <f>'EMTS-CARB Forecast'!$Z56</f>
        <v>67344341.382877618</v>
      </c>
      <c r="CV12" s="34">
        <f>'EMTS-CARB Forecast'!$Z57</f>
        <v>36961092.763620287</v>
      </c>
      <c r="CW12" s="34">
        <f>'EMTS-CARB Forecast'!$Z58</f>
        <v>46278506.76491987</v>
      </c>
      <c r="CX12" s="34">
        <f>'EMTS-CARB Forecast'!$Z59</f>
        <v>80059581.280127823</v>
      </c>
      <c r="CY12" s="34">
        <f>'EMTS-CARB Forecast'!$AA56</f>
        <v>72914767.115726739</v>
      </c>
      <c r="CZ12" s="34">
        <f>'EMTS-CARB Forecast'!$AA57</f>
        <v>22332641.13430091</v>
      </c>
      <c r="DA12" s="34">
        <f>'EMTS-CARB Forecast'!$AA58</f>
        <v>42440328.110824876</v>
      </c>
      <c r="DB12" s="34">
        <f>'EMTS-CARB Forecast'!$AA59</f>
        <v>81265345.000448033</v>
      </c>
      <c r="DC12" s="34">
        <f>'EMTS-CARB Forecast'!$AB56</f>
        <v>81125386.872185379</v>
      </c>
      <c r="DD12" s="34">
        <f>'EMTS-CARB Forecast'!$AB57</f>
        <v>6989393.2310535535</v>
      </c>
      <c r="DE12" s="34">
        <f>'EMTS-CARB Forecast'!$AB58</f>
        <v>37893611.210520148</v>
      </c>
      <c r="DF12" s="34">
        <f>'EMTS-CARB Forecast'!$AB59</f>
        <v>83018171.295584053</v>
      </c>
      <c r="DG12" s="34">
        <f>'EMTS-CARB Forecast'!$AC56</f>
        <v>83290336.138409302</v>
      </c>
      <c r="DH12" s="34">
        <f>'EMTS-CARB Forecast'!$AC57</f>
        <v>5217502.9623537585</v>
      </c>
      <c r="DI12" s="34">
        <f>'EMTS-CARB Forecast'!$AC58</f>
        <v>38905882.681057587</v>
      </c>
      <c r="DJ12" s="34">
        <f>'EMTS-CARB Forecast'!$AC59</f>
        <v>84186464.808131129</v>
      </c>
      <c r="DK12" s="34">
        <f>'EMTS-CARB Forecast'!$AD56</f>
        <v>89481839.256546348</v>
      </c>
      <c r="DL12" s="34">
        <f>'EMTS-CARB Forecast'!$AD57</f>
        <v>-5809937.3122376055</v>
      </c>
      <c r="DM12" s="34">
        <f>'EMTS-CARB Forecast'!$AD58</f>
        <v>35788352.602647334</v>
      </c>
      <c r="DN12" s="34">
        <f>'EMTS-CARB Forecast'!$AD59</f>
        <v>86351066.384441853</v>
      </c>
      <c r="DO12" s="34">
        <f>'EMTS-CARB Forecast'!$AE56</f>
        <v>100454903.39792667</v>
      </c>
      <c r="DP12" s="34">
        <f>'EMTS-CARB Forecast'!$AE57</f>
        <v>-27148926.785798285</v>
      </c>
      <c r="DQ12" s="34">
        <f>'EMTS-CARB Forecast'!$AE58</f>
        <v>30208260.948240448</v>
      </c>
      <c r="DR12" s="34">
        <f>'EMTS-CARB Forecast'!$AE59</f>
        <v>89229089.262383759</v>
      </c>
      <c r="DS12" s="34">
        <f>'EMTS-CARB Forecast'!$AE59</f>
        <v>89229089.262383759</v>
      </c>
      <c r="DT12" s="34">
        <f>'EMTS-CARB Forecast'!$AE59</f>
        <v>89229089.262383759</v>
      </c>
      <c r="DU12" s="34">
        <f>'EMTS-CARB Forecast'!$AE59</f>
        <v>89229089.262383759</v>
      </c>
      <c r="DV12" s="34">
        <f>'EMTS-CARB Forecast'!$AE59</f>
        <v>89229089.262383759</v>
      </c>
      <c r="DW12" s="34">
        <f>'EMTS-CARB Forecast'!$AE59</f>
        <v>89229089.262383759</v>
      </c>
      <c r="DX12" s="34">
        <f>'EMTS-CARB Forecast'!$AE59</f>
        <v>89229089.262383759</v>
      </c>
      <c r="DY12" s="34">
        <f>'EMTS-CARB Forecast'!$AE59</f>
        <v>89229089.262383759</v>
      </c>
      <c r="DZ12" s="34">
        <f>'EMTS-CARB Forecast'!$AE59</f>
        <v>89229089.262383759</v>
      </c>
      <c r="EA12" s="34">
        <f>'EMTS-CARB Forecast'!$AE59</f>
        <v>89229089.262383759</v>
      </c>
      <c r="EB12" s="34">
        <f>'EMTS-CARB Forecast'!$AE59</f>
        <v>89229089.262383759</v>
      </c>
      <c r="EC12" s="34">
        <f>'EMTS-CARB Forecast'!$AE59</f>
        <v>89229089.262383759</v>
      </c>
      <c r="ED12" s="34">
        <f>'EMTS-CARB Forecast'!$AE59</f>
        <v>89229089.262383759</v>
      </c>
      <c r="EE12" s="34">
        <f>'EMTS-CARB Forecast'!$AE59</f>
        <v>89229089.262383759</v>
      </c>
      <c r="EF12" s="34">
        <f>'EMTS-CARB Forecast'!$AE59</f>
        <v>89229089.262383759</v>
      </c>
      <c r="EG12" s="34">
        <f>'EMTS-CARB Forecast'!$AE59</f>
        <v>89229089.262383759</v>
      </c>
      <c r="EH12" s="34">
        <f>'EMTS-CARB Forecast'!$AE59</f>
        <v>89229089.262383759</v>
      </c>
      <c r="EI12" s="34">
        <f>'EMTS-CARB Forecast'!$AE59</f>
        <v>89229089.262383759</v>
      </c>
      <c r="EJ12" s="34">
        <f>'EMTS-CARB Forecast'!$AE59</f>
        <v>89229089.262383759</v>
      </c>
      <c r="EK12" s="34">
        <f>'EMTS-CARB Forecast'!$AE59</f>
        <v>89229089.262383759</v>
      </c>
      <c r="EL12" s="34">
        <f>'EMTS-CARB Forecast'!$AE59</f>
        <v>89229089.262383759</v>
      </c>
      <c r="EM12" s="34">
        <f>'EMTS-CARB Forecast'!$AE59</f>
        <v>89229089.262383759</v>
      </c>
      <c r="EN12" s="34">
        <f>'EMTS-CARB Forecast'!$AE59</f>
        <v>89229089.262383759</v>
      </c>
      <c r="EO12" s="34">
        <f>'EMTS-CARB Forecast'!$AE59</f>
        <v>89229089.262383759</v>
      </c>
      <c r="EP12" s="34">
        <f>'EMTS-CARB Forecast'!$AE59</f>
        <v>89229089.262383759</v>
      </c>
      <c r="EQ12" s="34">
        <f>'EMTS-CARB Forecast'!$AE59</f>
        <v>89229089.262383759</v>
      </c>
      <c r="ER12" s="34">
        <f>'EMTS-CARB Forecast'!$AE59</f>
        <v>89229089.262383759</v>
      </c>
      <c r="ES12" s="34">
        <f>'EMTS-CARB Forecast'!$AE59</f>
        <v>89229089.262383759</v>
      </c>
      <c r="ET12" s="34">
        <f>'EMTS-CARB Forecast'!$AE59</f>
        <v>89229089.262383759</v>
      </c>
      <c r="EU12" s="34">
        <f>'EMTS-CARB Forecast'!$AE59</f>
        <v>89229089.262383759</v>
      </c>
      <c r="EV12" s="34">
        <f>'EMTS-CARB Forecast'!$AE59</f>
        <v>89229089.262383759</v>
      </c>
      <c r="EW12" s="34">
        <f>'EMTS-CARB Forecast'!$AE59</f>
        <v>89229089.262383759</v>
      </c>
      <c r="EX12" s="34">
        <f>'EMTS-CARB Forecast'!$AE59</f>
        <v>89229089.262383759</v>
      </c>
      <c r="EY12" s="34">
        <f>'EMTS-CARB Forecast'!$AE59</f>
        <v>89229089.262383759</v>
      </c>
      <c r="EZ12" s="34">
        <f>'EMTS-CARB Forecast'!$AE59</f>
        <v>89229089.262383759</v>
      </c>
      <c r="FA12" s="34">
        <f>'EMTS-CARB Forecast'!$AE59</f>
        <v>89229089.262383759</v>
      </c>
      <c r="FB12" s="34">
        <f>'EMTS-CARB Forecast'!$AE59</f>
        <v>89229089.262383759</v>
      </c>
      <c r="FC12" s="34">
        <f>'EMTS-CARB Forecast'!$AE59</f>
        <v>89229089.262383759</v>
      </c>
      <c r="FD12" s="34">
        <f>'EMTS-CARB Forecast'!$AE59</f>
        <v>89229089.262383759</v>
      </c>
      <c r="FE12" s="34">
        <f>'EMTS-CARB Forecast'!$AE59</f>
        <v>89229089.262383759</v>
      </c>
      <c r="FF12" s="34">
        <f>'EMTS-CARB Forecast'!$AE59</f>
        <v>89229089.262383759</v>
      </c>
      <c r="FG12" s="34">
        <f>'EMTS-CARB Forecast'!$AE59</f>
        <v>89229089.262383759</v>
      </c>
      <c r="FH12" s="34">
        <f>'EMTS-CARB Forecast'!$AE59</f>
        <v>89229089.262383759</v>
      </c>
      <c r="FI12" s="34">
        <f>'EMTS-CARB Forecast'!$AE59</f>
        <v>89229089.262383759</v>
      </c>
      <c r="FJ12" s="34">
        <f>'EMTS-CARB Forecast'!$AE59</f>
        <v>89229089.262383759</v>
      </c>
    </row>
    <row r="13" spans="1:166" x14ac:dyDescent="0.2">
      <c r="A13" s="9" t="s">
        <v>77</v>
      </c>
      <c r="B13" s="9" t="s">
        <v>125</v>
      </c>
      <c r="C13" s="31">
        <v>325266</v>
      </c>
      <c r="D13" s="31">
        <v>356935</v>
      </c>
      <c r="E13" s="31">
        <v>462226</v>
      </c>
      <c r="F13" s="31">
        <v>659061</v>
      </c>
      <c r="G13" s="31">
        <v>712233</v>
      </c>
      <c r="H13" s="31">
        <v>723231</v>
      </c>
      <c r="I13" s="31">
        <v>843696</v>
      </c>
      <c r="J13" s="31">
        <v>6535747</v>
      </c>
      <c r="K13" s="31">
        <v>8182191</v>
      </c>
      <c r="L13" s="31">
        <v>23562582</v>
      </c>
      <c r="M13" s="31">
        <v>40409392</v>
      </c>
      <c r="N13" s="31">
        <v>44784857</v>
      </c>
      <c r="O13" s="31">
        <v>25871987</v>
      </c>
      <c r="P13" s="31">
        <v>26668165</v>
      </c>
      <c r="Q13" s="31">
        <v>36487197</v>
      </c>
      <c r="R13" s="31">
        <v>23817520</v>
      </c>
      <c r="S13" s="31">
        <v>27058770</v>
      </c>
      <c r="T13" s="31">
        <v>40776364</v>
      </c>
      <c r="U13" s="31">
        <v>51165569</v>
      </c>
      <c r="V13" s="31">
        <v>46155232</v>
      </c>
      <c r="W13" s="31">
        <v>43663408</v>
      </c>
      <c r="X13" s="31">
        <v>75711296</v>
      </c>
      <c r="Y13" s="31">
        <v>63846512</v>
      </c>
      <c r="Z13" s="31">
        <v>72449941</v>
      </c>
      <c r="AA13" s="31">
        <v>68700606</v>
      </c>
      <c r="AB13" s="31">
        <v>94202959</v>
      </c>
      <c r="AC13" s="31">
        <v>95429959</v>
      </c>
      <c r="AD13" s="31">
        <v>77130870</v>
      </c>
      <c r="AE13" s="31">
        <v>93949619</v>
      </c>
      <c r="AF13" s="31">
        <v>100488727</v>
      </c>
      <c r="AG13" s="31">
        <v>79736407</v>
      </c>
      <c r="AH13" s="31">
        <v>109391300</v>
      </c>
      <c r="AI13" s="31">
        <v>159583033</v>
      </c>
      <c r="AJ13" s="31">
        <v>160308777</v>
      </c>
      <c r="AK13" s="31">
        <v>133219894</v>
      </c>
      <c r="AL13" s="31">
        <v>164778486</v>
      </c>
      <c r="AM13" s="31">
        <v>130973476</v>
      </c>
      <c r="AN13" s="31">
        <v>151994539</v>
      </c>
      <c r="AO13" s="31">
        <v>140072718</v>
      </c>
      <c r="AP13" s="31">
        <v>165950498</v>
      </c>
      <c r="AQ13" s="31">
        <v>199089761</v>
      </c>
      <c r="AR13" s="31">
        <v>218785737</v>
      </c>
      <c r="AS13" s="31">
        <v>250252477</v>
      </c>
      <c r="AT13" s="31">
        <v>272878865</v>
      </c>
      <c r="AU13" s="31">
        <v>320411961</v>
      </c>
      <c r="AV13" s="31">
        <v>349244307</v>
      </c>
      <c r="AW13" s="31">
        <v>352249753</v>
      </c>
      <c r="AX13" s="31">
        <v>372139289</v>
      </c>
      <c r="AY13" s="31">
        <v>404778818</v>
      </c>
      <c r="AZ13" s="31">
        <v>481200270</v>
      </c>
      <c r="BA13" s="31">
        <v>531797418</v>
      </c>
      <c r="BB13" s="31">
        <v>547388851</v>
      </c>
      <c r="BC13" s="31">
        <v>518276102</v>
      </c>
      <c r="BD13" s="31">
        <v>603001119</v>
      </c>
      <c r="BE13" s="31">
        <v>652057695</v>
      </c>
      <c r="BF13" s="34">
        <f>'EMTS-CARB Forecast'!$O74</f>
        <v>573220407.04731023</v>
      </c>
      <c r="BG13" s="34">
        <f>'EMTS-CARB Forecast'!$P71</f>
        <v>441392098.30412436</v>
      </c>
      <c r="BH13" s="34">
        <f>'EMTS-CARB Forecast'!$P72</f>
        <v>448048628.67725605</v>
      </c>
      <c r="BI13" s="34">
        <f>'EMTS-CARB Forecast'!$P73</f>
        <v>580142708.42761922</v>
      </c>
      <c r="BJ13" s="34">
        <f>'EMTS-CARB Forecast'!$P74</f>
        <v>532495252.03143936</v>
      </c>
      <c r="BK13" s="34">
        <f>'EMTS-CARB Forecast'!$Q71</f>
        <v>435242703.72862172</v>
      </c>
      <c r="BL13" s="34">
        <f>'EMTS-CARB Forecast'!$Q72</f>
        <v>481685510.6530391</v>
      </c>
      <c r="BM13" s="34">
        <f>'EMTS-CARB Forecast'!$Q73</f>
        <v>501478189.69605738</v>
      </c>
      <c r="BN13" s="34">
        <f>'EMTS-CARB Forecast'!$Q74</f>
        <v>593574181.46246314</v>
      </c>
      <c r="BO13" s="34">
        <f>'EMTS-CARB Forecast'!$R71</f>
        <v>468452381.24155182</v>
      </c>
      <c r="BP13" s="34">
        <f>'EMTS-CARB Forecast'!$R72</f>
        <v>520037290.02228367</v>
      </c>
      <c r="BQ13" s="34">
        <f>'EMTS-CARB Forecast'!$R73</f>
        <v>539344148.76246023</v>
      </c>
      <c r="BR13" s="34">
        <f>'EMTS-CARB Forecast'!$R74</f>
        <v>646634579.75410664</v>
      </c>
      <c r="BS13" s="34">
        <f>'EMTS-CARB Forecast'!$S71</f>
        <v>437499728.24064165</v>
      </c>
      <c r="BT13" s="34">
        <f>'EMTS-CARB Forecast'!$S72</f>
        <v>479816959.64220887</v>
      </c>
      <c r="BU13" s="34">
        <f>'EMTS-CARB Forecast'!$S73</f>
        <v>519230734.04251754</v>
      </c>
      <c r="BV13" s="34">
        <f>'EMTS-CARB Forecast'!$S74</f>
        <v>612299475.63653946</v>
      </c>
      <c r="BW13" s="34">
        <f>'EMTS-CARB Forecast'!$T71</f>
        <v>441653949.26244438</v>
      </c>
      <c r="BX13" s="34">
        <f>'EMTS-CARB Forecast'!$T72</f>
        <v>482993915.37878895</v>
      </c>
      <c r="BY13" s="34">
        <f>'EMTS-CARB Forecast'!$T73</f>
        <v>522557488.62159789</v>
      </c>
      <c r="BZ13" s="34">
        <f>'EMTS-CARB Forecast'!$T74</f>
        <v>615049729.69131458</v>
      </c>
      <c r="CA13" s="34">
        <f>'EMTS-CARB Forecast'!$U71</f>
        <v>457905990.37526339</v>
      </c>
      <c r="CB13" s="34">
        <f>'EMTS-CARB Forecast'!$U72</f>
        <v>502676386.3842321</v>
      </c>
      <c r="CC13" s="34">
        <f>'EMTS-CARB Forecast'!$U73</f>
        <v>526923668.17243147</v>
      </c>
      <c r="CD13" s="34">
        <f>'EMTS-CARB Forecast'!$U74</f>
        <v>646474633.97145259</v>
      </c>
      <c r="CE13" s="34">
        <f>'EMTS-CARB Forecast'!$V71</f>
        <v>488363374.53187293</v>
      </c>
      <c r="CF13" s="34">
        <f>'EMTS-CARB Forecast'!$V72</f>
        <v>543253020.4204582</v>
      </c>
      <c r="CG13" s="34">
        <f>'EMTS-CARB Forecast'!$V73</f>
        <v>518055592.80000424</v>
      </c>
      <c r="CH13" s="34">
        <f>'EMTS-CARB Forecast'!$V74</f>
        <v>700074408.66560018</v>
      </c>
      <c r="CI13" s="34">
        <f>'EMTS-CARB Forecast'!$W71</f>
        <v>565987488.62687504</v>
      </c>
      <c r="CJ13" s="34">
        <f>'EMTS-CARB Forecast'!$W72</f>
        <v>637638770.8849324</v>
      </c>
      <c r="CK13" s="34">
        <f>'EMTS-CARB Forecast'!$W73</f>
        <v>476457180.44928277</v>
      </c>
      <c r="CL13" s="34">
        <f>'EMTS-CARB Forecast'!$W74</f>
        <v>829268595.02743423</v>
      </c>
      <c r="CM13" s="34">
        <f>'EMTS-CARB Forecast'!$X71</f>
        <v>563694208.8733319</v>
      </c>
      <c r="CN13" s="34">
        <f>'EMTS-CARB Forecast'!$X72</f>
        <v>634373282.50756216</v>
      </c>
      <c r="CO13" s="34">
        <f>'EMTS-CARB Forecast'!$X73</f>
        <v>488127941.6923871</v>
      </c>
      <c r="CP13" s="34">
        <f>'EMTS-CARB Forecast'!$X74</f>
        <v>825219699.01555443</v>
      </c>
      <c r="CQ13" s="34">
        <f>'EMTS-CARB Forecast'!$Y71</f>
        <v>550423422.69853616</v>
      </c>
      <c r="CR13" s="34">
        <f>'EMTS-CARB Forecast'!$Y72</f>
        <v>617728836.34862733</v>
      </c>
      <c r="CS13" s="34">
        <f>'EMTS-CARB Forecast'!$Y73</f>
        <v>489717428.73218971</v>
      </c>
      <c r="CT13" s="34">
        <f>'EMTS-CARB Forecast'!$Y74</f>
        <v>802174908.69859278</v>
      </c>
      <c r="CU13" s="34">
        <f>'EMTS-CARB Forecast'!$Z71</f>
        <v>597355897.36293328</v>
      </c>
      <c r="CV13" s="34">
        <f>'EMTS-CARB Forecast'!$Z72</f>
        <v>681437256.43705606</v>
      </c>
      <c r="CW13" s="34">
        <f>'EMTS-CARB Forecast'!$Z73</f>
        <v>475454095.57633203</v>
      </c>
      <c r="CX13" s="34">
        <f>'EMTS-CARB Forecast'!$Z74</f>
        <v>876919676.23982084</v>
      </c>
      <c r="CY13" s="34">
        <f>'EMTS-CARB Forecast'!$AA71</f>
        <v>626240549.77102923</v>
      </c>
      <c r="CZ13" s="34">
        <f>'EMTS-CARB Forecast'!$AA72</f>
        <v>714100472.41606462</v>
      </c>
      <c r="DA13" s="34">
        <f>'EMTS-CARB Forecast'!$AA73</f>
        <v>462915571.73733294</v>
      </c>
      <c r="DB13" s="34">
        <f>'EMTS-CARB Forecast'!$AA74</f>
        <v>929572829.73443615</v>
      </c>
      <c r="DC13" s="34">
        <f>'EMTS-CARB Forecast'!$AB71</f>
        <v>698352198.17105341</v>
      </c>
      <c r="DD13" s="34">
        <f>'EMTS-CARB Forecast'!$AB72</f>
        <v>802391397.03057671</v>
      </c>
      <c r="DE13" s="34">
        <f>'EMTS-CARB Forecast'!$AB73</f>
        <v>432151022.6796242</v>
      </c>
      <c r="DF13" s="34">
        <f>'EMTS-CARB Forecast'!$AB74</f>
        <v>1051518036.3121086</v>
      </c>
      <c r="DG13" s="34">
        <f>'EMTS-CARB Forecast'!$AC71</f>
        <v>762038828.19258916</v>
      </c>
      <c r="DH13" s="34">
        <f>'EMTS-CARB Forecast'!$AC72</f>
        <v>880332584.62870514</v>
      </c>
      <c r="DI13" s="34">
        <f>'EMTS-CARB Forecast'!$AC73</f>
        <v>406235513.54811674</v>
      </c>
      <c r="DJ13" s="34">
        <f>'EMTS-CARB Forecast'!$AC74</f>
        <v>1158856230.7201321</v>
      </c>
      <c r="DK13" s="34">
        <f>'EMTS-CARB Forecast'!$AD71</f>
        <v>764247987.97750187</v>
      </c>
      <c r="DL13" s="34">
        <f>'EMTS-CARB Forecast'!$AD72</f>
        <v>883132983.64518952</v>
      </c>
      <c r="DM13" s="34">
        <f>'EMTS-CARB Forecast'!$AD73</f>
        <v>406097396.54130715</v>
      </c>
      <c r="DN13" s="34">
        <f>'EMTS-CARB Forecast'!$AD74</f>
        <v>1162069707.5825419</v>
      </c>
      <c r="DO13" s="34">
        <f>'EMTS-CARB Forecast'!$AE71</f>
        <v>682211338.46165061</v>
      </c>
      <c r="DP13" s="34">
        <f>'EMTS-CARB Forecast'!$AE72</f>
        <v>781661501.14096463</v>
      </c>
      <c r="DQ13" s="34">
        <f>'EMTS-CARB Forecast'!$AE73</f>
        <v>438878970.79290259</v>
      </c>
      <c r="DR13" s="34">
        <f>'EMTS-CARB Forecast'!$AE74</f>
        <v>1022560401.0602371</v>
      </c>
      <c r="DS13" s="34">
        <f>'EMTS-CARB Forecast'!$AE74</f>
        <v>1022560401.0602371</v>
      </c>
      <c r="DT13" s="34">
        <f>'EMTS-CARB Forecast'!$AE74</f>
        <v>1022560401.0602371</v>
      </c>
      <c r="DU13" s="34">
        <f>'EMTS-CARB Forecast'!$AE74</f>
        <v>1022560401.0602371</v>
      </c>
      <c r="DV13" s="34">
        <f>'EMTS-CARB Forecast'!$AE74</f>
        <v>1022560401.0602371</v>
      </c>
      <c r="DW13" s="34">
        <f>'EMTS-CARB Forecast'!$AE74</f>
        <v>1022560401.0602371</v>
      </c>
      <c r="DX13" s="34">
        <f>'EMTS-CARB Forecast'!$AE74</f>
        <v>1022560401.0602371</v>
      </c>
      <c r="DY13" s="34">
        <f>'EMTS-CARB Forecast'!$AE74</f>
        <v>1022560401.0602371</v>
      </c>
      <c r="DZ13" s="34">
        <f>'EMTS-CARB Forecast'!$AE74</f>
        <v>1022560401.0602371</v>
      </c>
      <c r="EA13" s="34">
        <f>'EMTS-CARB Forecast'!$AE74</f>
        <v>1022560401.0602371</v>
      </c>
      <c r="EB13" s="34">
        <f>'EMTS-CARB Forecast'!$AE74</f>
        <v>1022560401.0602371</v>
      </c>
      <c r="EC13" s="34">
        <f>'EMTS-CARB Forecast'!$AE74</f>
        <v>1022560401.0602371</v>
      </c>
      <c r="ED13" s="34">
        <f>'EMTS-CARB Forecast'!$AE74</f>
        <v>1022560401.0602371</v>
      </c>
      <c r="EE13" s="34">
        <f>'EMTS-CARB Forecast'!$AE74</f>
        <v>1022560401.0602371</v>
      </c>
      <c r="EF13" s="34">
        <f>'EMTS-CARB Forecast'!$AE74</f>
        <v>1022560401.0602371</v>
      </c>
      <c r="EG13" s="34">
        <f>'EMTS-CARB Forecast'!$AE74</f>
        <v>1022560401.0602371</v>
      </c>
      <c r="EH13" s="34">
        <f>'EMTS-CARB Forecast'!$AE74</f>
        <v>1022560401.0602371</v>
      </c>
      <c r="EI13" s="34">
        <f>'EMTS-CARB Forecast'!$AE74</f>
        <v>1022560401.0602371</v>
      </c>
      <c r="EJ13" s="34">
        <f>'EMTS-CARB Forecast'!$AE74</f>
        <v>1022560401.0602371</v>
      </c>
      <c r="EK13" s="34">
        <f>'EMTS-CARB Forecast'!$AE74</f>
        <v>1022560401.0602371</v>
      </c>
      <c r="EL13" s="34">
        <f>'EMTS-CARB Forecast'!$AE74</f>
        <v>1022560401.0602371</v>
      </c>
      <c r="EM13" s="34">
        <f>'EMTS-CARB Forecast'!$AE74</f>
        <v>1022560401.0602371</v>
      </c>
      <c r="EN13" s="34">
        <f>'EMTS-CARB Forecast'!$AE74</f>
        <v>1022560401.0602371</v>
      </c>
      <c r="EO13" s="34">
        <f>'EMTS-CARB Forecast'!$AE74</f>
        <v>1022560401.0602371</v>
      </c>
      <c r="EP13" s="34">
        <f>'EMTS-CARB Forecast'!$AE74</f>
        <v>1022560401.0602371</v>
      </c>
      <c r="EQ13" s="34">
        <f>'EMTS-CARB Forecast'!$AE74</f>
        <v>1022560401.0602371</v>
      </c>
      <c r="ER13" s="34">
        <f>'EMTS-CARB Forecast'!$AE74</f>
        <v>1022560401.0602371</v>
      </c>
      <c r="ES13" s="34">
        <f>'EMTS-CARB Forecast'!$AE74</f>
        <v>1022560401.0602371</v>
      </c>
      <c r="ET13" s="34">
        <f>'EMTS-CARB Forecast'!$AE74</f>
        <v>1022560401.0602371</v>
      </c>
      <c r="EU13" s="34">
        <f>'EMTS-CARB Forecast'!$AE74</f>
        <v>1022560401.0602371</v>
      </c>
      <c r="EV13" s="34">
        <f>'EMTS-CARB Forecast'!$AE74</f>
        <v>1022560401.0602371</v>
      </c>
      <c r="EW13" s="34">
        <f>'EMTS-CARB Forecast'!$AE74</f>
        <v>1022560401.0602371</v>
      </c>
      <c r="EX13" s="34">
        <f>'EMTS-CARB Forecast'!$AE74</f>
        <v>1022560401.0602371</v>
      </c>
      <c r="EY13" s="34">
        <f>'EMTS-CARB Forecast'!$AE74</f>
        <v>1022560401.0602371</v>
      </c>
      <c r="EZ13" s="34">
        <f>'EMTS-CARB Forecast'!$AE74</f>
        <v>1022560401.0602371</v>
      </c>
      <c r="FA13" s="34">
        <f>'EMTS-CARB Forecast'!$AE74</f>
        <v>1022560401.0602371</v>
      </c>
      <c r="FB13" s="34">
        <f>'EMTS-CARB Forecast'!$AE74</f>
        <v>1022560401.0602371</v>
      </c>
      <c r="FC13" s="34">
        <f>'EMTS-CARB Forecast'!$AE74</f>
        <v>1022560401.0602371</v>
      </c>
      <c r="FD13" s="34">
        <f>'EMTS-CARB Forecast'!$AE74</f>
        <v>1022560401.0602371</v>
      </c>
      <c r="FE13" s="34">
        <f>'EMTS-CARB Forecast'!$AE74</f>
        <v>1022560401.0602371</v>
      </c>
      <c r="FF13" s="34">
        <f>'EMTS-CARB Forecast'!$AE74</f>
        <v>1022560401.0602371</v>
      </c>
      <c r="FG13" s="34">
        <f>'EMTS-CARB Forecast'!$AE74</f>
        <v>1022560401.0602371</v>
      </c>
      <c r="FH13" s="34">
        <f>'EMTS-CARB Forecast'!$AE74</f>
        <v>1022560401.0602371</v>
      </c>
      <c r="FI13" s="34">
        <f>'EMTS-CARB Forecast'!$AE74</f>
        <v>1022560401.0602371</v>
      </c>
      <c r="FJ13" s="34">
        <f>'EMTS-CARB Forecast'!$AE74</f>
        <v>1022560401.0602371</v>
      </c>
    </row>
    <row r="14" spans="1:166" x14ac:dyDescent="0.2">
      <c r="A14" s="9" t="s">
        <v>78</v>
      </c>
      <c r="B14" s="9" t="s">
        <v>125</v>
      </c>
      <c r="C14" s="31">
        <v>0</v>
      </c>
      <c r="D14" s="31">
        <v>0</v>
      </c>
      <c r="E14" s="31">
        <v>0</v>
      </c>
      <c r="F14" s="31">
        <v>0</v>
      </c>
      <c r="G14" s="31">
        <v>0</v>
      </c>
      <c r="H14" s="31">
        <v>0</v>
      </c>
      <c r="I14" s="31">
        <v>0</v>
      </c>
      <c r="J14" s="31">
        <v>0</v>
      </c>
      <c r="K14" s="31">
        <v>0</v>
      </c>
      <c r="L14" s="31">
        <v>0</v>
      </c>
      <c r="M14" s="31">
        <v>0</v>
      </c>
      <c r="N14" s="31">
        <v>0</v>
      </c>
      <c r="O14" s="31">
        <v>0</v>
      </c>
      <c r="P14" s="31">
        <v>0</v>
      </c>
      <c r="Q14" s="31">
        <v>0</v>
      </c>
      <c r="R14" s="31">
        <v>0</v>
      </c>
      <c r="S14" s="31">
        <v>0</v>
      </c>
      <c r="T14" s="31">
        <v>0</v>
      </c>
      <c r="U14" s="31">
        <v>0</v>
      </c>
      <c r="V14" s="31">
        <v>0</v>
      </c>
      <c r="W14" s="31">
        <v>0</v>
      </c>
      <c r="X14" s="31">
        <v>0</v>
      </c>
      <c r="Y14" s="31">
        <v>0</v>
      </c>
      <c r="Z14" s="31">
        <v>0</v>
      </c>
      <c r="AA14" s="31">
        <v>0</v>
      </c>
      <c r="AB14" s="31">
        <v>0</v>
      </c>
      <c r="AC14" s="31">
        <v>0</v>
      </c>
      <c r="AD14" s="31">
        <v>0</v>
      </c>
      <c r="AE14" s="31">
        <v>0</v>
      </c>
      <c r="AF14" s="31">
        <v>0</v>
      </c>
      <c r="AG14" s="31">
        <v>0</v>
      </c>
      <c r="AH14" s="31">
        <v>0</v>
      </c>
      <c r="AI14" s="31">
        <v>0</v>
      </c>
      <c r="AJ14" s="31">
        <v>723542</v>
      </c>
      <c r="AK14" s="31">
        <v>693621</v>
      </c>
      <c r="AL14" s="31">
        <v>445027</v>
      </c>
      <c r="AM14" s="31">
        <v>284190</v>
      </c>
      <c r="AN14" s="31">
        <v>1315875</v>
      </c>
      <c r="AO14" s="31">
        <v>2388230</v>
      </c>
      <c r="AP14" s="31">
        <v>570655</v>
      </c>
      <c r="AQ14" s="31">
        <v>873456</v>
      </c>
      <c r="AR14" s="31">
        <v>2528070</v>
      </c>
      <c r="AS14" s="31">
        <v>1717347</v>
      </c>
      <c r="AT14" s="31">
        <v>3078857</v>
      </c>
      <c r="AU14" s="31">
        <v>993399</v>
      </c>
      <c r="AV14" s="31">
        <v>4923344</v>
      </c>
      <c r="AW14" s="31">
        <v>4078887</v>
      </c>
      <c r="AX14" s="31">
        <v>1608959</v>
      </c>
      <c r="AY14" s="31">
        <v>4696266</v>
      </c>
      <c r="AZ14" s="31">
        <v>6897301</v>
      </c>
      <c r="BA14" s="31">
        <v>4177769</v>
      </c>
      <c r="BB14" s="31">
        <v>7266054</v>
      </c>
      <c r="BC14" s="31">
        <v>10703076</v>
      </c>
      <c r="BD14" s="31">
        <v>23560446</v>
      </c>
      <c r="BE14" s="31">
        <v>24478866</v>
      </c>
      <c r="BF14" s="34">
        <f>'EMTS-CARB Forecast'!$O89</f>
        <v>3618110.2311603874</v>
      </c>
      <c r="BG14" s="34">
        <f>'EMTS-CARB Forecast'!$P86</f>
        <v>23161221.81982087</v>
      </c>
      <c r="BH14" s="34">
        <f>'EMTS-CARB Forecast'!$P87</f>
        <v>32342158.00301164</v>
      </c>
      <c r="BI14" s="34">
        <f>'EMTS-CARB Forecast'!$P88</f>
        <v>42037597.753064916</v>
      </c>
      <c r="BJ14" s="34">
        <f>'EMTS-CARB Forecast'!$P89</f>
        <v>11506899.384336663</v>
      </c>
      <c r="BK14" s="34">
        <f>'EMTS-CARB Forecast'!$Q86</f>
        <v>102481131.31686039</v>
      </c>
      <c r="BL14" s="34">
        <f>'EMTS-CARB Forecast'!$Q87</f>
        <v>119629975.49323547</v>
      </c>
      <c r="BM14" s="34">
        <f>'EMTS-CARB Forecast'!$Q88</f>
        <v>161944909.65109289</v>
      </c>
      <c r="BN14" s="34">
        <f>'EMTS-CARB Forecast'!$Q89</f>
        <v>39138483.179149926</v>
      </c>
      <c r="BO14" s="34">
        <f>'EMTS-CARB Forecast'!$R86</f>
        <v>265079274.55155081</v>
      </c>
      <c r="BP14" s="34">
        <f>'EMTS-CARB Forecast'!$R87</f>
        <v>308116720.14410704</v>
      </c>
      <c r="BQ14" s="34">
        <f>'EMTS-CARB Forecast'!$R88</f>
        <v>420271105.53213406</v>
      </c>
      <c r="BR14" s="34">
        <f>'EMTS-CARB Forecast'!$R89</f>
        <v>97521340.468161181</v>
      </c>
      <c r="BS14" s="34">
        <f>'EMTS-CARB Forecast'!$S86</f>
        <v>347316879.02732968</v>
      </c>
      <c r="BT14" s="34">
        <f>'EMTS-CARB Forecast'!$S87</f>
        <v>402959927.21832186</v>
      </c>
      <c r="BU14" s="34">
        <f>'EMTS-CARB Forecast'!$S88</f>
        <v>549936819.87644911</v>
      </c>
      <c r="BV14" s="34">
        <f>'EMTS-CARB Forecast'!$S89</f>
        <v>127015633.50561434</v>
      </c>
      <c r="BW14" s="34">
        <f>'EMTS-CARB Forecast'!$T86</f>
        <v>416700427.92768747</v>
      </c>
      <c r="BX14" s="34">
        <f>'EMTS-CARB Forecast'!$T87</f>
        <v>483257592.69399136</v>
      </c>
      <c r="BY14" s="34">
        <f>'EMTS-CARB Forecast'!$T88</f>
        <v>659432550.45551181</v>
      </c>
      <c r="BZ14" s="34">
        <f>'EMTS-CARB Forecast'!$T89</f>
        <v>150755027.29880106</v>
      </c>
      <c r="CA14" s="34">
        <f>'EMTS-CARB Forecast'!$U86</f>
        <v>532058244.63075501</v>
      </c>
      <c r="CB14" s="34">
        <f>'EMTS-CARB Forecast'!$U87</f>
        <v>613474244.18211341</v>
      </c>
      <c r="CC14" s="34">
        <f>'EMTS-CARB Forecast'!$U88</f>
        <v>837297167.23157299</v>
      </c>
      <c r="CD14" s="34">
        <f>'EMTS-CARB Forecast'!$U89</f>
        <v>191672244.2675572</v>
      </c>
      <c r="CE14" s="34">
        <f>'EMTS-CARB Forecast'!$V86</f>
        <v>585549553.89017856</v>
      </c>
      <c r="CF14" s="34">
        <f>'EMTS-CARB Forecast'!$V87</f>
        <v>675011260.28974748</v>
      </c>
      <c r="CG14" s="34">
        <f>'EMTS-CARB Forecast'!$V88</f>
        <v>921657059.97368312</v>
      </c>
      <c r="CH14" s="34">
        <f>'EMTS-CARB Forecast'!$V89</f>
        <v>211352285.5464496</v>
      </c>
      <c r="CI14" s="34">
        <f>'EMTS-CARB Forecast'!$W86</f>
        <v>733627907.97649038</v>
      </c>
      <c r="CJ14" s="34">
        <f>'EMTS-CARB Forecast'!$W87</f>
        <v>844039930.05627871</v>
      </c>
      <c r="CK14" s="34">
        <f>'EMTS-CARB Forecast'!$W88</f>
        <v>1152829271.2188623</v>
      </c>
      <c r="CL14" s="34">
        <f>'EMTS-CARB Forecast'!$W89</f>
        <v>263741268.42656925</v>
      </c>
      <c r="CM14" s="34">
        <f>'EMTS-CARB Forecast'!$X86</f>
        <v>784816176.94942629</v>
      </c>
      <c r="CN14" s="34">
        <f>'EMTS-CARB Forecast'!$X87</f>
        <v>903660132.65637898</v>
      </c>
      <c r="CO14" s="34">
        <f>'EMTS-CARB Forecast'!$X88</f>
        <v>1234541683.3926013</v>
      </c>
      <c r="CP14" s="34">
        <f>'EMTS-CARB Forecast'!$X89</f>
        <v>282194168.73011935</v>
      </c>
      <c r="CQ14" s="34">
        <f>'EMTS-CARB Forecast'!$Y86</f>
        <v>861227995.33215463</v>
      </c>
      <c r="CR14" s="34">
        <f>'EMTS-CARB Forecast'!$Y87</f>
        <v>990617687.39188635</v>
      </c>
      <c r="CS14" s="34">
        <f>'EMTS-CARB Forecast'!$Y88</f>
        <v>1353251824.2184956</v>
      </c>
      <c r="CT14" s="34">
        <f>'EMTS-CARB Forecast'!$Y89</f>
        <v>309069865.17650759</v>
      </c>
      <c r="CU14" s="34">
        <f>'EMTS-CARB Forecast'!$Z86</f>
        <v>902881072.55631828</v>
      </c>
      <c r="CV14" s="34">
        <f>'EMTS-CARB Forecast'!$Z87</f>
        <v>1038000181.5394926</v>
      </c>
      <c r="CW14" s="34">
        <f>'EMTS-CARB Forecast'!$Z88</f>
        <v>1418029225.3778377</v>
      </c>
      <c r="CX14" s="34">
        <f>'EMTS-CARB Forecast'!$Z89</f>
        <v>323932060.11483788</v>
      </c>
      <c r="CY14" s="34">
        <f>'EMTS-CARB Forecast'!$AA86</f>
        <v>662304946.04480863</v>
      </c>
      <c r="CZ14" s="34">
        <f>'EMTS-CARB Forecast'!$AA87</f>
        <v>762979663.61012626</v>
      </c>
      <c r="DA14" s="34">
        <f>'EMTS-CARB Forecast'!$AA88</f>
        <v>1042063159.0761013</v>
      </c>
      <c r="DB14" s="34">
        <f>'EMTS-CARB Forecast'!$AA89</f>
        <v>238437342.32049489</v>
      </c>
      <c r="DC14" s="34">
        <f>'EMTS-CARB Forecast'!$AB86</f>
        <v>687466690.04211104</v>
      </c>
      <c r="DD14" s="34">
        <f>'EMTS-CARB Forecast'!$AB87</f>
        <v>791778293.42795312</v>
      </c>
      <c r="DE14" s="34">
        <f>'EMTS-CARB Forecast'!$AB88</f>
        <v>1081408827.3093681</v>
      </c>
      <c r="DF14" s="34">
        <f>'EMTS-CARB Forecast'!$AB89</f>
        <v>247398058.45641747</v>
      </c>
      <c r="DG14" s="34">
        <f>'EMTS-CARB Forecast'!$AC86</f>
        <v>720429550.38637578</v>
      </c>
      <c r="DH14" s="34">
        <f>'EMTS-CARB Forecast'!$AC87</f>
        <v>829391686.35854661</v>
      </c>
      <c r="DI14" s="34">
        <f>'EMTS-CARB Forecast'!$AC88</f>
        <v>1132779033.589376</v>
      </c>
      <c r="DJ14" s="34">
        <f>'EMTS-CARB Forecast'!$AC89</f>
        <v>259193060.77548698</v>
      </c>
      <c r="DK14" s="34">
        <f>'EMTS-CARB Forecast'!$AD86</f>
        <v>713116541.72286069</v>
      </c>
      <c r="DL14" s="34">
        <f>'EMTS-CARB Forecast'!$AD87</f>
        <v>820949263.32533228</v>
      </c>
      <c r="DM14" s="34">
        <f>'EMTS-CARB Forecast'!$AD88</f>
        <v>1121263240.9790411</v>
      </c>
      <c r="DN14" s="34">
        <f>'EMTS-CARB Forecast'!$AD89</f>
        <v>256611654.90151727</v>
      </c>
      <c r="DO14" s="34">
        <f>'EMTS-CARB Forecast'!$AE86</f>
        <v>782816611.10978472</v>
      </c>
      <c r="DP14" s="34">
        <f>'EMTS-CARB Forecast'!$AE87</f>
        <v>900760736.40025377</v>
      </c>
      <c r="DQ14" s="34">
        <f>'EMTS-CARB Forecast'!$AE88</f>
        <v>1230444088.6754682</v>
      </c>
      <c r="DR14" s="34">
        <f>'EMTS-CARB Forecast'!$AE89</f>
        <v>281414416.70712823</v>
      </c>
      <c r="DS14" s="34">
        <f>'EMTS-CARB Forecast'!$AE89</f>
        <v>281414416.70712823</v>
      </c>
      <c r="DT14" s="34">
        <f>'EMTS-CARB Forecast'!$AE89</f>
        <v>281414416.70712823</v>
      </c>
      <c r="DU14" s="34">
        <f>'EMTS-CARB Forecast'!$AE89</f>
        <v>281414416.70712823</v>
      </c>
      <c r="DV14" s="34">
        <f>'EMTS-CARB Forecast'!$AE89</f>
        <v>281414416.70712823</v>
      </c>
      <c r="DW14" s="34">
        <f>'EMTS-CARB Forecast'!$AE89</f>
        <v>281414416.70712823</v>
      </c>
      <c r="DX14" s="34">
        <f>'EMTS-CARB Forecast'!$AE89</f>
        <v>281414416.70712823</v>
      </c>
      <c r="DY14" s="34">
        <f>'EMTS-CARB Forecast'!$AE89</f>
        <v>281414416.70712823</v>
      </c>
      <c r="DZ14" s="34">
        <f>'EMTS-CARB Forecast'!$AE89</f>
        <v>281414416.70712823</v>
      </c>
      <c r="EA14" s="34">
        <f>'EMTS-CARB Forecast'!$AE89</f>
        <v>281414416.70712823</v>
      </c>
      <c r="EB14" s="34">
        <f>'EMTS-CARB Forecast'!$AE89</f>
        <v>281414416.70712823</v>
      </c>
      <c r="EC14" s="34">
        <f>'EMTS-CARB Forecast'!$AE89</f>
        <v>281414416.70712823</v>
      </c>
      <c r="ED14" s="34">
        <f>'EMTS-CARB Forecast'!$AE89</f>
        <v>281414416.70712823</v>
      </c>
      <c r="EE14" s="34">
        <f>'EMTS-CARB Forecast'!$AE89</f>
        <v>281414416.70712823</v>
      </c>
      <c r="EF14" s="34">
        <f>'EMTS-CARB Forecast'!$AE89</f>
        <v>281414416.70712823</v>
      </c>
      <c r="EG14" s="34">
        <f>'EMTS-CARB Forecast'!$AE89</f>
        <v>281414416.70712823</v>
      </c>
      <c r="EH14" s="34">
        <f>'EMTS-CARB Forecast'!$AE89</f>
        <v>281414416.70712823</v>
      </c>
      <c r="EI14" s="34">
        <f>'EMTS-CARB Forecast'!$AE89</f>
        <v>281414416.70712823</v>
      </c>
      <c r="EJ14" s="34">
        <f>'EMTS-CARB Forecast'!$AE89</f>
        <v>281414416.70712823</v>
      </c>
      <c r="EK14" s="34">
        <f>'EMTS-CARB Forecast'!$AE89</f>
        <v>281414416.70712823</v>
      </c>
      <c r="EL14" s="34">
        <f>'EMTS-CARB Forecast'!$AE89</f>
        <v>281414416.70712823</v>
      </c>
      <c r="EM14" s="34">
        <f>'EMTS-CARB Forecast'!$AE89</f>
        <v>281414416.70712823</v>
      </c>
      <c r="EN14" s="34">
        <f>'EMTS-CARB Forecast'!$AE89</f>
        <v>281414416.70712823</v>
      </c>
      <c r="EO14" s="34">
        <f>'EMTS-CARB Forecast'!$AE89</f>
        <v>281414416.70712823</v>
      </c>
      <c r="EP14" s="34">
        <f>'EMTS-CARB Forecast'!$AE89</f>
        <v>281414416.70712823</v>
      </c>
      <c r="EQ14" s="34">
        <f>'EMTS-CARB Forecast'!$AE89</f>
        <v>281414416.70712823</v>
      </c>
      <c r="ER14" s="34">
        <f>'EMTS-CARB Forecast'!$AE89</f>
        <v>281414416.70712823</v>
      </c>
      <c r="ES14" s="34">
        <f>'EMTS-CARB Forecast'!$AE89</f>
        <v>281414416.70712823</v>
      </c>
      <c r="ET14" s="34">
        <f>'EMTS-CARB Forecast'!$AE89</f>
        <v>281414416.70712823</v>
      </c>
      <c r="EU14" s="34">
        <f>'EMTS-CARB Forecast'!$AE89</f>
        <v>281414416.70712823</v>
      </c>
      <c r="EV14" s="34">
        <f>'EMTS-CARB Forecast'!$AE89</f>
        <v>281414416.70712823</v>
      </c>
      <c r="EW14" s="34">
        <f>'EMTS-CARB Forecast'!$AE89</f>
        <v>281414416.70712823</v>
      </c>
      <c r="EX14" s="34">
        <f>'EMTS-CARB Forecast'!$AE89</f>
        <v>281414416.70712823</v>
      </c>
      <c r="EY14" s="34">
        <f>'EMTS-CARB Forecast'!$AE89</f>
        <v>281414416.70712823</v>
      </c>
      <c r="EZ14" s="34">
        <f>'EMTS-CARB Forecast'!$AE89</f>
        <v>281414416.70712823</v>
      </c>
      <c r="FA14" s="34">
        <f>'EMTS-CARB Forecast'!$AE89</f>
        <v>281414416.70712823</v>
      </c>
      <c r="FB14" s="34">
        <f>'EMTS-CARB Forecast'!$AE89</f>
        <v>281414416.70712823</v>
      </c>
      <c r="FC14" s="34">
        <f>'EMTS-CARB Forecast'!$AE89</f>
        <v>281414416.70712823</v>
      </c>
      <c r="FD14" s="34">
        <f>'EMTS-CARB Forecast'!$AE89</f>
        <v>281414416.70712823</v>
      </c>
      <c r="FE14" s="34">
        <f>'EMTS-CARB Forecast'!$AE89</f>
        <v>281414416.70712823</v>
      </c>
      <c r="FF14" s="34">
        <f>'EMTS-CARB Forecast'!$AE89</f>
        <v>281414416.70712823</v>
      </c>
      <c r="FG14" s="34">
        <f>'EMTS-CARB Forecast'!$AE89</f>
        <v>281414416.70712823</v>
      </c>
      <c r="FH14" s="34">
        <f>'EMTS-CARB Forecast'!$AE89</f>
        <v>281414416.70712823</v>
      </c>
      <c r="FI14" s="34">
        <f>'EMTS-CARB Forecast'!$AE89</f>
        <v>281414416.70712823</v>
      </c>
      <c r="FJ14" s="34">
        <f>'EMTS-CARB Forecast'!$AE89</f>
        <v>281414416.70712823</v>
      </c>
    </row>
    <row r="15" spans="1:166" x14ac:dyDescent="0.2">
      <c r="A15" s="9" t="s">
        <v>79</v>
      </c>
      <c r="B15" s="9" t="s">
        <v>125</v>
      </c>
      <c r="C15" s="31">
        <v>0</v>
      </c>
      <c r="D15" s="31">
        <v>0</v>
      </c>
      <c r="E15" s="31">
        <v>0</v>
      </c>
      <c r="F15" s="31">
        <v>0</v>
      </c>
      <c r="G15" s="31">
        <v>0</v>
      </c>
      <c r="H15" s="31">
        <v>0</v>
      </c>
      <c r="I15" s="31">
        <v>0</v>
      </c>
      <c r="J15" s="31">
        <v>0</v>
      </c>
      <c r="K15" s="31">
        <v>0</v>
      </c>
      <c r="L15" s="31">
        <v>0</v>
      </c>
      <c r="M15" s="31">
        <v>0</v>
      </c>
      <c r="N15" s="31">
        <v>0</v>
      </c>
      <c r="O15" s="31">
        <v>0</v>
      </c>
      <c r="P15" s="31">
        <v>0</v>
      </c>
      <c r="Q15" s="31">
        <v>0</v>
      </c>
      <c r="R15" s="31">
        <v>0</v>
      </c>
      <c r="S15" s="31">
        <v>0</v>
      </c>
      <c r="T15" s="31">
        <v>0</v>
      </c>
      <c r="U15" s="31">
        <v>0</v>
      </c>
      <c r="V15" s="31">
        <v>0</v>
      </c>
      <c r="W15" s="31">
        <v>0</v>
      </c>
      <c r="X15" s="31">
        <v>0</v>
      </c>
      <c r="Y15" s="31">
        <v>0</v>
      </c>
      <c r="Z15" s="31">
        <v>0</v>
      </c>
      <c r="AA15" s="31">
        <v>0</v>
      </c>
      <c r="AB15" s="31">
        <v>0</v>
      </c>
      <c r="AC15" s="31">
        <v>0</v>
      </c>
      <c r="AD15" s="31">
        <v>0</v>
      </c>
      <c r="AE15" s="31">
        <v>0</v>
      </c>
      <c r="AF15" s="31">
        <v>0</v>
      </c>
      <c r="AG15" s="31">
        <v>0</v>
      </c>
      <c r="AH15" s="31">
        <v>170876</v>
      </c>
      <c r="AI15" s="31">
        <v>107933</v>
      </c>
      <c r="AJ15" s="31">
        <v>673134</v>
      </c>
      <c r="AK15" s="31">
        <v>175948</v>
      </c>
      <c r="AL15" s="31">
        <v>290046</v>
      </c>
      <c r="AM15" s="31">
        <v>352423</v>
      </c>
      <c r="AN15" s="31">
        <v>447211</v>
      </c>
      <c r="AO15" s="31">
        <v>815855</v>
      </c>
      <c r="AP15" s="31">
        <v>591098</v>
      </c>
      <c r="AQ15" s="31">
        <v>2427368</v>
      </c>
      <c r="AR15" s="31">
        <v>4222140</v>
      </c>
      <c r="AS15" s="31">
        <v>2350926</v>
      </c>
      <c r="AT15" s="31">
        <v>2107524</v>
      </c>
      <c r="AU15" s="31">
        <v>3145585</v>
      </c>
      <c r="AV15" s="31">
        <v>5145704</v>
      </c>
      <c r="AW15" s="31">
        <v>1682809</v>
      </c>
      <c r="AX15" s="31">
        <v>2190902</v>
      </c>
      <c r="AY15" s="31">
        <v>3650982</v>
      </c>
      <c r="AZ15" s="31">
        <v>7593875</v>
      </c>
      <c r="BA15" s="31">
        <v>13728337</v>
      </c>
      <c r="BB15" s="31">
        <v>6221948</v>
      </c>
      <c r="BC15" s="31">
        <v>7520995</v>
      </c>
      <c r="BD15" s="31">
        <v>7566471</v>
      </c>
      <c r="BE15" s="31">
        <v>5966715</v>
      </c>
      <c r="BF15" s="34">
        <f>'EMTS-CARB Forecast'!$O104</f>
        <v>11959058.5</v>
      </c>
      <c r="BG15" s="34">
        <f>'EMTS-CARB Forecast'!$P101</f>
        <v>12750384.5</v>
      </c>
      <c r="BH15" s="34">
        <f>'EMTS-CARB Forecast'!$P102</f>
        <v>9120227.9130378421</v>
      </c>
      <c r="BI15" s="34">
        <f>'EMTS-CARB Forecast'!$P103</f>
        <v>11487555.459581889</v>
      </c>
      <c r="BJ15" s="34">
        <f>'EMTS-CARB Forecast'!$P104</f>
        <v>14262989.31751362</v>
      </c>
      <c r="BK15" s="34">
        <f>'EMTS-CARB Forecast'!$Q101</f>
        <v>10973809.47383949</v>
      </c>
      <c r="BL15" s="34">
        <f>'EMTS-CARB Forecast'!$Q102</f>
        <v>8942452.6435122918</v>
      </c>
      <c r="BM15" s="34">
        <f>'EMTS-CARB Forecast'!$Q103</f>
        <v>12382824.864075409</v>
      </c>
      <c r="BN15" s="34">
        <f>'EMTS-CARB Forecast'!$Q104</f>
        <v>16253917.694985732</v>
      </c>
      <c r="BO15" s="34">
        <f>'EMTS-CARB Forecast'!$R101</f>
        <v>12088012.12990942</v>
      </c>
      <c r="BP15" s="34">
        <f>'EMTS-CARB Forecast'!$R102</f>
        <v>9877107.3613588382</v>
      </c>
      <c r="BQ15" s="34">
        <f>'EMTS-CARB Forecast'!$R103</f>
        <v>13572266.637815107</v>
      </c>
      <c r="BR15" s="34">
        <f>'EMTS-CARB Forecast'!$R104</f>
        <v>17498358.757404357</v>
      </c>
      <c r="BS15" s="34">
        <f>'EMTS-CARB Forecast'!$S101</f>
        <v>12910551.420658154</v>
      </c>
      <c r="BT15" s="34">
        <f>'EMTS-CARB Forecast'!$S102</f>
        <v>10491114.965421325</v>
      </c>
      <c r="BU15" s="34">
        <f>'EMTS-CARB Forecast'!$S103</f>
        <v>13837770.850427231</v>
      </c>
      <c r="BV15" s="34">
        <f>'EMTS-CARB Forecast'!$S104</f>
        <v>18240982.94819412</v>
      </c>
      <c r="BW15" s="34">
        <f>'EMTS-CARB Forecast'!$T101</f>
        <v>12641949.597303759</v>
      </c>
      <c r="BX15" s="34">
        <f>'EMTS-CARB Forecast'!$T102</f>
        <v>10227136.653021026</v>
      </c>
      <c r="BY15" s="34">
        <f>'EMTS-CARB Forecast'!$T103</f>
        <v>14064596.002682216</v>
      </c>
      <c r="BZ15" s="34">
        <f>'EMTS-CARB Forecast'!$T104</f>
        <v>18296165.686593309</v>
      </c>
      <c r="CA15" s="34">
        <f>'EMTS-CARB Forecast'!$U101</f>
        <v>14033814.051838901</v>
      </c>
      <c r="CB15" s="34">
        <f>'EMTS-CARB Forecast'!$U102</f>
        <v>11222782.021170575</v>
      </c>
      <c r="CC15" s="34">
        <f>'EMTS-CARB Forecast'!$U103</f>
        <v>14836812.657419905</v>
      </c>
      <c r="CD15" s="34">
        <f>'EMTS-CARB Forecast'!$U104</f>
        <v>19319145.710664563</v>
      </c>
      <c r="CE15" s="34">
        <f>'EMTS-CARB Forecast'!$V101</f>
        <v>15320771.439559428</v>
      </c>
      <c r="CF15" s="34">
        <f>'EMTS-CARB Forecast'!$V102</f>
        <v>12557182.350746537</v>
      </c>
      <c r="CG15" s="34">
        <f>'EMTS-CARB Forecast'!$V103</f>
        <v>16499914.64036205</v>
      </c>
      <c r="CH15" s="34">
        <f>'EMTS-CARB Forecast'!$V104</f>
        <v>21734549.969819423</v>
      </c>
      <c r="CI15" s="34">
        <f>'EMTS-CARB Forecast'!$W101</f>
        <v>16309625.121865537</v>
      </c>
      <c r="CJ15" s="34">
        <f>'EMTS-CARB Forecast'!$W102</f>
        <v>13404040.626128273</v>
      </c>
      <c r="CK15" s="34">
        <f>'EMTS-CARB Forecast'!$W103</f>
        <v>17391414.989096887</v>
      </c>
      <c r="CL15" s="34">
        <f>'EMTS-CARB Forecast'!$W104</f>
        <v>22945107.53590947</v>
      </c>
      <c r="CM15" s="34">
        <f>'EMTS-CARB Forecast'!$X101</f>
        <v>17573790.229249291</v>
      </c>
      <c r="CN15" s="34">
        <f>'EMTS-CARB Forecast'!$X102</f>
        <v>14485301.52760192</v>
      </c>
      <c r="CO15" s="34">
        <f>'EMTS-CARB Forecast'!$X103</f>
        <v>18514715.285043657</v>
      </c>
      <c r="CP15" s="34">
        <f>'EMTS-CARB Forecast'!$X104</f>
        <v>24574673.030478708</v>
      </c>
      <c r="CQ15" s="34">
        <f>'EMTS-CARB Forecast'!$Y101</f>
        <v>19052930.534485403</v>
      </c>
      <c r="CR15" s="34">
        <f>'EMTS-CARB Forecast'!$Y102</f>
        <v>15784518.946872633</v>
      </c>
      <c r="CS15" s="34">
        <f>'EMTS-CARB Forecast'!$Y103</f>
        <v>19962262.475023687</v>
      </c>
      <c r="CT15" s="34">
        <f>'EMTS-CARB Forecast'!$Y104</f>
        <v>26580396.928253904</v>
      </c>
      <c r="CU15" s="34">
        <f>'EMTS-CARB Forecast'!$Z101</f>
        <v>19822428.766643748</v>
      </c>
      <c r="CV15" s="34">
        <f>'EMTS-CARB Forecast'!$Z102</f>
        <v>16431685.003966222</v>
      </c>
      <c r="CW15" s="34">
        <f>'EMTS-CARB Forecast'!$Z103</f>
        <v>20676091.41966996</v>
      </c>
      <c r="CX15" s="34">
        <f>'EMTS-CARB Forecast'!$Z104</f>
        <v>27562648.700117562</v>
      </c>
      <c r="CY15" s="34">
        <f>'EMTS-CARB Forecast'!$AA101</f>
        <v>18981898.623376463</v>
      </c>
      <c r="CZ15" s="34">
        <f>'EMTS-CARB Forecast'!$AA102</f>
        <v>15660829.238707807</v>
      </c>
      <c r="DA15" s="34">
        <f>'EMTS-CARB Forecast'!$AA103</f>
        <v>20049169.671226881</v>
      </c>
      <c r="DB15" s="34">
        <f>'EMTS-CARB Forecast'!$AA104</f>
        <v>26591634.889551356</v>
      </c>
      <c r="DC15" s="34">
        <f>'EMTS-CARB Forecast'!$AB101</f>
        <v>19286492.9850346</v>
      </c>
      <c r="DD15" s="34">
        <f>'EMTS-CARB Forecast'!$AB102</f>
        <v>15890314.443827551</v>
      </c>
      <c r="DE15" s="34">
        <f>'EMTS-CARB Forecast'!$AB103</f>
        <v>20379546.955845177</v>
      </c>
      <c r="DF15" s="34">
        <f>'EMTS-CARB Forecast'!$AB104</f>
        <v>27004518.019547332</v>
      </c>
      <c r="DG15" s="34">
        <f>'EMTS-CARB Forecast'!$AC101</f>
        <v>19322399.29780136</v>
      </c>
      <c r="DH15" s="34">
        <f>'EMTS-CARB Forecast'!$AC102</f>
        <v>15879043.193766288</v>
      </c>
      <c r="DI15" s="34">
        <f>'EMTS-CARB Forecast'!$AC103</f>
        <v>20475693.337126613</v>
      </c>
      <c r="DJ15" s="34">
        <f>'EMTS-CARB Forecast'!$AC104</f>
        <v>27083400.746811904</v>
      </c>
      <c r="DK15" s="34">
        <f>'EMTS-CARB Forecast'!$AD101</f>
        <v>19991834.224934019</v>
      </c>
      <c r="DL15" s="34">
        <f>'EMTS-CARB Forecast'!$AD102</f>
        <v>16447930.622613553</v>
      </c>
      <c r="DM15" s="34">
        <f>'EMTS-CARB Forecast'!$AD103</f>
        <v>21153642.187168244</v>
      </c>
      <c r="DN15" s="34">
        <f>'EMTS-CARB Forecast'!$AD104</f>
        <v>28002628.489334628</v>
      </c>
      <c r="DO15" s="34">
        <f>'EMTS-CARB Forecast'!$AE101</f>
        <v>22308819.538521558</v>
      </c>
      <c r="DP15" s="34">
        <f>'EMTS-CARB Forecast'!$AE102</f>
        <v>18514951.582770854</v>
      </c>
      <c r="DQ15" s="34">
        <f>'EMTS-CARB Forecast'!$AE103</f>
        <v>23299648.395438123</v>
      </c>
      <c r="DR15" s="34">
        <f>'EMTS-CARB Forecast'!$AE104</f>
        <v>31074991.214841664</v>
      </c>
      <c r="DS15" s="34">
        <f>'EMTS-CARB Forecast'!$AE104</f>
        <v>31074991.214841664</v>
      </c>
      <c r="DT15" s="34">
        <f>'EMTS-CARB Forecast'!$AE104</f>
        <v>31074991.214841664</v>
      </c>
      <c r="DU15" s="34">
        <f>'EMTS-CARB Forecast'!$AE104</f>
        <v>31074991.214841664</v>
      </c>
      <c r="DV15" s="34">
        <f>'EMTS-CARB Forecast'!$AE104</f>
        <v>31074991.214841664</v>
      </c>
      <c r="DW15" s="34">
        <f>'EMTS-CARB Forecast'!$AE104</f>
        <v>31074991.214841664</v>
      </c>
      <c r="DX15" s="34">
        <f>'EMTS-CARB Forecast'!$AE104</f>
        <v>31074991.214841664</v>
      </c>
      <c r="DY15" s="34">
        <f>'EMTS-CARB Forecast'!$AE104</f>
        <v>31074991.214841664</v>
      </c>
      <c r="DZ15" s="34">
        <f>'EMTS-CARB Forecast'!$AE104</f>
        <v>31074991.214841664</v>
      </c>
      <c r="EA15" s="34">
        <f>'EMTS-CARB Forecast'!$AE104</f>
        <v>31074991.214841664</v>
      </c>
      <c r="EB15" s="34">
        <f>'EMTS-CARB Forecast'!$AE104</f>
        <v>31074991.214841664</v>
      </c>
      <c r="EC15" s="34">
        <f>'EMTS-CARB Forecast'!$AE104</f>
        <v>31074991.214841664</v>
      </c>
      <c r="ED15" s="34">
        <f>'EMTS-CARB Forecast'!$AE104</f>
        <v>31074991.214841664</v>
      </c>
      <c r="EE15" s="34">
        <f>'EMTS-CARB Forecast'!$AE104</f>
        <v>31074991.214841664</v>
      </c>
      <c r="EF15" s="34">
        <f>'EMTS-CARB Forecast'!$AE104</f>
        <v>31074991.214841664</v>
      </c>
      <c r="EG15" s="34">
        <f>'EMTS-CARB Forecast'!$AE104</f>
        <v>31074991.214841664</v>
      </c>
      <c r="EH15" s="34">
        <f>'EMTS-CARB Forecast'!$AE104</f>
        <v>31074991.214841664</v>
      </c>
      <c r="EI15" s="34">
        <f>'EMTS-CARB Forecast'!$AE104</f>
        <v>31074991.214841664</v>
      </c>
      <c r="EJ15" s="34">
        <f>'EMTS-CARB Forecast'!$AE104</f>
        <v>31074991.214841664</v>
      </c>
      <c r="EK15" s="34">
        <f>'EMTS-CARB Forecast'!$AE104</f>
        <v>31074991.214841664</v>
      </c>
      <c r="EL15" s="34">
        <f>'EMTS-CARB Forecast'!$AE104</f>
        <v>31074991.214841664</v>
      </c>
      <c r="EM15" s="34">
        <f>'EMTS-CARB Forecast'!$AE104</f>
        <v>31074991.214841664</v>
      </c>
      <c r="EN15" s="34">
        <f>'EMTS-CARB Forecast'!$AE104</f>
        <v>31074991.214841664</v>
      </c>
      <c r="EO15" s="34">
        <f>'EMTS-CARB Forecast'!$AE104</f>
        <v>31074991.214841664</v>
      </c>
      <c r="EP15" s="34">
        <f>'EMTS-CARB Forecast'!$AE104</f>
        <v>31074991.214841664</v>
      </c>
      <c r="EQ15" s="34">
        <f>'EMTS-CARB Forecast'!$AE104</f>
        <v>31074991.214841664</v>
      </c>
      <c r="ER15" s="34">
        <f>'EMTS-CARB Forecast'!$AE104</f>
        <v>31074991.214841664</v>
      </c>
      <c r="ES15" s="34">
        <f>'EMTS-CARB Forecast'!$AE104</f>
        <v>31074991.214841664</v>
      </c>
      <c r="ET15" s="34">
        <f>'EMTS-CARB Forecast'!$AE104</f>
        <v>31074991.214841664</v>
      </c>
      <c r="EU15" s="34">
        <f>'EMTS-CARB Forecast'!$AE104</f>
        <v>31074991.214841664</v>
      </c>
      <c r="EV15" s="34">
        <f>'EMTS-CARB Forecast'!$AE104</f>
        <v>31074991.214841664</v>
      </c>
      <c r="EW15" s="34">
        <f>'EMTS-CARB Forecast'!$AE104</f>
        <v>31074991.214841664</v>
      </c>
      <c r="EX15" s="34">
        <f>'EMTS-CARB Forecast'!$AE104</f>
        <v>31074991.214841664</v>
      </c>
      <c r="EY15" s="34">
        <f>'EMTS-CARB Forecast'!$AE104</f>
        <v>31074991.214841664</v>
      </c>
      <c r="EZ15" s="34">
        <f>'EMTS-CARB Forecast'!$AE104</f>
        <v>31074991.214841664</v>
      </c>
      <c r="FA15" s="34">
        <f>'EMTS-CARB Forecast'!$AE104</f>
        <v>31074991.214841664</v>
      </c>
      <c r="FB15" s="34">
        <f>'EMTS-CARB Forecast'!$AE104</f>
        <v>31074991.214841664</v>
      </c>
      <c r="FC15" s="34">
        <f>'EMTS-CARB Forecast'!$AE104</f>
        <v>31074991.214841664</v>
      </c>
      <c r="FD15" s="34">
        <f>'EMTS-CARB Forecast'!$AE104</f>
        <v>31074991.214841664</v>
      </c>
      <c r="FE15" s="34">
        <f>'EMTS-CARB Forecast'!$AE104</f>
        <v>31074991.214841664</v>
      </c>
      <c r="FF15" s="34">
        <f>'EMTS-CARB Forecast'!$AE104</f>
        <v>31074991.214841664</v>
      </c>
      <c r="FG15" s="34">
        <f>'EMTS-CARB Forecast'!$AE104</f>
        <v>31074991.214841664</v>
      </c>
      <c r="FH15" s="34">
        <f>'EMTS-CARB Forecast'!$AE104</f>
        <v>31074991.214841664</v>
      </c>
      <c r="FI15" s="34">
        <f>'EMTS-CARB Forecast'!$AE104</f>
        <v>31074991.214841664</v>
      </c>
      <c r="FJ15" s="34">
        <f>'EMTS-CARB Forecast'!$AE104</f>
        <v>31074991.214841664</v>
      </c>
    </row>
    <row r="16" spans="1:166" x14ac:dyDescent="0.2">
      <c r="A16" s="9" t="s">
        <v>80</v>
      </c>
      <c r="B16" s="9" t="s">
        <v>125</v>
      </c>
      <c r="C16" s="31">
        <v>0</v>
      </c>
      <c r="D16" s="31">
        <v>0</v>
      </c>
      <c r="E16" s="31">
        <v>0</v>
      </c>
      <c r="F16" s="31">
        <v>0</v>
      </c>
      <c r="G16" s="31">
        <v>0</v>
      </c>
      <c r="H16" s="31">
        <v>0</v>
      </c>
      <c r="I16" s="31">
        <v>0</v>
      </c>
      <c r="J16" s="31">
        <v>0</v>
      </c>
      <c r="K16" s="31">
        <v>0</v>
      </c>
      <c r="L16" s="31">
        <v>0</v>
      </c>
      <c r="M16" s="31">
        <v>0</v>
      </c>
      <c r="N16" s="31">
        <v>0</v>
      </c>
      <c r="O16" s="31">
        <v>0</v>
      </c>
      <c r="P16" s="31">
        <v>0</v>
      </c>
      <c r="Q16" s="31">
        <v>0</v>
      </c>
      <c r="R16" s="31">
        <v>0</v>
      </c>
      <c r="S16" s="31">
        <v>0</v>
      </c>
      <c r="T16" s="31">
        <v>0</v>
      </c>
      <c r="U16" s="31">
        <v>0</v>
      </c>
      <c r="V16" s="31">
        <v>0</v>
      </c>
      <c r="W16" s="31">
        <v>0</v>
      </c>
      <c r="X16" s="31">
        <v>0</v>
      </c>
      <c r="Y16" s="31">
        <v>0</v>
      </c>
      <c r="Z16" s="31">
        <v>0</v>
      </c>
      <c r="AA16" s="31">
        <v>0</v>
      </c>
      <c r="AB16" s="31">
        <v>0</v>
      </c>
      <c r="AC16" s="31">
        <v>0</v>
      </c>
      <c r="AD16" s="31">
        <v>0</v>
      </c>
      <c r="AE16" s="31">
        <v>0</v>
      </c>
      <c r="AF16" s="31">
        <v>0</v>
      </c>
      <c r="AG16" s="31">
        <v>0</v>
      </c>
      <c r="AH16" s="31">
        <v>0</v>
      </c>
      <c r="AI16" s="31">
        <v>190467</v>
      </c>
      <c r="AJ16" s="31">
        <v>960366</v>
      </c>
      <c r="AK16" s="31">
        <v>1724129</v>
      </c>
      <c r="AL16" s="31">
        <v>1798336</v>
      </c>
      <c r="AM16" s="31">
        <v>6001038</v>
      </c>
      <c r="AN16" s="31">
        <v>8440645</v>
      </c>
      <c r="AO16" s="31">
        <v>8606498</v>
      </c>
      <c r="AP16" s="31">
        <v>8556202</v>
      </c>
      <c r="AQ16" s="31">
        <v>9846959</v>
      </c>
      <c r="AR16" s="31">
        <v>9328671</v>
      </c>
      <c r="AS16" s="31">
        <v>10414518</v>
      </c>
      <c r="AT16" s="31">
        <v>10926053</v>
      </c>
      <c r="AU16" s="31">
        <v>10848871</v>
      </c>
      <c r="AV16" s="31">
        <v>10918742</v>
      </c>
      <c r="AW16" s="31">
        <v>10330318</v>
      </c>
      <c r="AX16" s="31">
        <v>10876569</v>
      </c>
      <c r="AY16" s="31">
        <v>9925855</v>
      </c>
      <c r="AZ16" s="31">
        <v>9481514</v>
      </c>
      <c r="BA16" s="31">
        <v>9739520</v>
      </c>
      <c r="BB16" s="31">
        <v>9710622</v>
      </c>
      <c r="BC16" s="31">
        <v>9352107</v>
      </c>
      <c r="BD16" s="31">
        <v>9024625</v>
      </c>
      <c r="BE16" s="31">
        <v>8286227</v>
      </c>
      <c r="BF16" s="34">
        <f>'EMTS-CARB Forecast'!$O119</f>
        <v>8492399.68102175</v>
      </c>
      <c r="BG16" s="34">
        <f>'EMTS-CARB Forecast'!$P116</f>
        <v>7349697.1214581039</v>
      </c>
      <c r="BH16" s="34">
        <f>'EMTS-CARB Forecast'!$P117</f>
        <v>5041984.3821920138</v>
      </c>
      <c r="BI16" s="34">
        <f>'EMTS-CARB Forecast'!$P118</f>
        <v>5146633.0134797962</v>
      </c>
      <c r="BJ16" s="34">
        <f>'EMTS-CARB Forecast'!$P119</f>
        <v>4486518.5804936439</v>
      </c>
      <c r="BK16" s="34">
        <f>'EMTS-CARB Forecast'!$Q116</f>
        <v>0</v>
      </c>
      <c r="BL16" s="34">
        <f>'EMTS-CARB Forecast'!$Q117</f>
        <v>0</v>
      </c>
      <c r="BM16" s="34">
        <f>'EMTS-CARB Forecast'!$Q118</f>
        <v>0</v>
      </c>
      <c r="BN16" s="34">
        <f>'EMTS-CARB Forecast'!$Q119</f>
        <v>0</v>
      </c>
      <c r="BO16" s="34">
        <f>'EMTS-CARB Forecast'!$R116</f>
        <v>0</v>
      </c>
      <c r="BP16" s="34">
        <f>'EMTS-CARB Forecast'!$R117</f>
        <v>0</v>
      </c>
      <c r="BQ16" s="34">
        <f>'EMTS-CARB Forecast'!$R118</f>
        <v>0</v>
      </c>
      <c r="BR16" s="34">
        <f>'EMTS-CARB Forecast'!$R119</f>
        <v>0</v>
      </c>
      <c r="BS16" s="34">
        <f>'EMTS-CARB Forecast'!$S116</f>
        <v>0</v>
      </c>
      <c r="BT16" s="34">
        <f>'EMTS-CARB Forecast'!$S117</f>
        <v>0</v>
      </c>
      <c r="BU16" s="34">
        <f>'EMTS-CARB Forecast'!$S118</f>
        <v>0</v>
      </c>
      <c r="BV16" s="34">
        <f>'EMTS-CARB Forecast'!$S119</f>
        <v>0</v>
      </c>
      <c r="BW16" s="34">
        <f>'EMTS-CARB Forecast'!$T116</f>
        <v>0</v>
      </c>
      <c r="BX16" s="34">
        <f>'EMTS-CARB Forecast'!$T117</f>
        <v>0</v>
      </c>
      <c r="BY16" s="34">
        <f>'EMTS-CARB Forecast'!$T118</f>
        <v>0</v>
      </c>
      <c r="BZ16" s="34">
        <f>'EMTS-CARB Forecast'!$T119</f>
        <v>0</v>
      </c>
      <c r="CA16" s="34">
        <f>'EMTS-CARB Forecast'!$U116</f>
        <v>0</v>
      </c>
      <c r="CB16" s="34">
        <f>'EMTS-CARB Forecast'!$U117</f>
        <v>0</v>
      </c>
      <c r="CC16" s="34">
        <f>'EMTS-CARB Forecast'!$U118</f>
        <v>0</v>
      </c>
      <c r="CD16" s="34">
        <f>'EMTS-CARB Forecast'!$U119</f>
        <v>0</v>
      </c>
      <c r="CE16" s="34">
        <f>'EMTS-CARB Forecast'!$V116</f>
        <v>0</v>
      </c>
      <c r="CF16" s="34">
        <f>'EMTS-CARB Forecast'!$V117</f>
        <v>0</v>
      </c>
      <c r="CG16" s="34">
        <f>'EMTS-CARB Forecast'!$V117</f>
        <v>0</v>
      </c>
      <c r="CH16" s="34">
        <f>'EMTS-CARB Forecast'!$V117</f>
        <v>0</v>
      </c>
      <c r="CI16" s="34">
        <f>'EMTS-CARB Forecast'!$V117</f>
        <v>0</v>
      </c>
      <c r="CJ16" s="34">
        <f>'EMTS-CARB Forecast'!$V117</f>
        <v>0</v>
      </c>
      <c r="CK16" s="34">
        <f>'EMTS-CARB Forecast'!$W118</f>
        <v>0</v>
      </c>
      <c r="CL16" s="34">
        <f>'EMTS-CARB Forecast'!$W119</f>
        <v>0</v>
      </c>
      <c r="CM16" s="34">
        <f>'EMTS-CARB Forecast'!$X116</f>
        <v>0</v>
      </c>
      <c r="CN16" s="34">
        <f>'EMTS-CARB Forecast'!$X117</f>
        <v>0</v>
      </c>
      <c r="CO16" s="34">
        <f>'EMTS-CARB Forecast'!$X118</f>
        <v>0</v>
      </c>
      <c r="CP16" s="34">
        <f>'EMTS-CARB Forecast'!$X119</f>
        <v>0</v>
      </c>
      <c r="CQ16" s="34">
        <f>'EMTS-CARB Forecast'!$Y116</f>
        <v>0</v>
      </c>
      <c r="CR16" s="34">
        <f>'EMTS-CARB Forecast'!$Y117</f>
        <v>0</v>
      </c>
      <c r="CS16" s="34">
        <f>'EMTS-CARB Forecast'!$Y118</f>
        <v>0</v>
      </c>
      <c r="CT16" s="34">
        <f>'EMTS-CARB Forecast'!$Y119</f>
        <v>0</v>
      </c>
      <c r="CU16" s="34">
        <f>'EMTS-CARB Forecast'!$Z116</f>
        <v>0</v>
      </c>
      <c r="CV16" s="34">
        <f>'EMTS-CARB Forecast'!$Z117</f>
        <v>0</v>
      </c>
      <c r="CW16" s="34">
        <f>'EMTS-CARB Forecast'!$Z118</f>
        <v>0</v>
      </c>
      <c r="CX16" s="34">
        <f>'EMTS-CARB Forecast'!$Z119</f>
        <v>0</v>
      </c>
      <c r="CY16" s="34">
        <f>'EMTS-CARB Forecast'!$AA116</f>
        <v>0</v>
      </c>
      <c r="CZ16" s="34">
        <f>'EMTS-CARB Forecast'!$AA117</f>
        <v>0</v>
      </c>
      <c r="DA16" s="34">
        <f>'EMTS-CARB Forecast'!$AA118</f>
        <v>0</v>
      </c>
      <c r="DB16" s="34">
        <f>'EMTS-CARB Forecast'!$AA119</f>
        <v>0</v>
      </c>
      <c r="DC16" s="34">
        <f>'EMTS-CARB Forecast'!$AB116</f>
        <v>0</v>
      </c>
      <c r="DD16" s="34">
        <f>'EMTS-CARB Forecast'!$AB117</f>
        <v>0</v>
      </c>
      <c r="DE16" s="34">
        <f>'EMTS-CARB Forecast'!$AB118</f>
        <v>0</v>
      </c>
      <c r="DF16" s="34">
        <f>'EMTS-CARB Forecast'!$AB119</f>
        <v>0</v>
      </c>
      <c r="DG16" s="34">
        <f>'EMTS-CARB Forecast'!$AC116</f>
        <v>0</v>
      </c>
      <c r="DH16" s="34">
        <f>'EMTS-CARB Forecast'!$AC117</f>
        <v>0</v>
      </c>
      <c r="DI16" s="34">
        <f>'EMTS-CARB Forecast'!$AC118</f>
        <v>0</v>
      </c>
      <c r="DJ16" s="34">
        <f>'EMTS-CARB Forecast'!$AC119</f>
        <v>0</v>
      </c>
      <c r="DK16" s="34">
        <f>'EMTS-CARB Forecast'!$AD116</f>
        <v>0</v>
      </c>
      <c r="DL16" s="34">
        <f>'EMTS-CARB Forecast'!$AD117</f>
        <v>0</v>
      </c>
      <c r="DM16" s="34">
        <f>'EMTS-CARB Forecast'!$AD118</f>
        <v>0</v>
      </c>
      <c r="DN16" s="34">
        <f>'EMTS-CARB Forecast'!$AD119</f>
        <v>0</v>
      </c>
      <c r="DO16" s="34">
        <f>'EMTS-CARB Forecast'!$AE116</f>
        <v>0</v>
      </c>
      <c r="DP16" s="34">
        <f>'EMTS-CARB Forecast'!$AE117</f>
        <v>0</v>
      </c>
      <c r="DQ16" s="34">
        <f>'EMTS-CARB Forecast'!$AE118</f>
        <v>0</v>
      </c>
      <c r="DR16" s="34">
        <f>'EMTS-CARB Forecast'!$AE119</f>
        <v>0</v>
      </c>
      <c r="DS16" s="34">
        <f>'EMTS-CARB Forecast'!$BC116</f>
        <v>0</v>
      </c>
      <c r="DT16" s="34">
        <f>'EMTS-CARB Forecast'!$BC117</f>
        <v>0</v>
      </c>
      <c r="DU16" s="34">
        <f>'EMTS-CARB Forecast'!$BC118</f>
        <v>0</v>
      </c>
      <c r="DV16" s="34">
        <f>'EMTS-CARB Forecast'!$BC119</f>
        <v>0</v>
      </c>
      <c r="DW16" s="34">
        <f>'EMTS-CARB Forecast'!$BD116</f>
        <v>0</v>
      </c>
      <c r="DX16" s="34">
        <f>'EMTS-CARB Forecast'!$BD117</f>
        <v>0</v>
      </c>
      <c r="DY16" s="34">
        <f>'EMTS-CARB Forecast'!$BD118</f>
        <v>0</v>
      </c>
      <c r="DZ16" s="34">
        <f>'EMTS-CARB Forecast'!$BD118</f>
        <v>0</v>
      </c>
      <c r="EA16" s="34">
        <f>'EMTS-CARB Forecast'!$BD116</f>
        <v>0</v>
      </c>
      <c r="EB16" s="34">
        <f>'EMTS-CARB Forecast'!$BD117</f>
        <v>0</v>
      </c>
      <c r="EC16" s="34">
        <f>'EMTS-CARB Forecast'!$BD118</f>
        <v>0</v>
      </c>
      <c r="ED16" s="34">
        <f>'EMTS-CARB Forecast'!$BD118</f>
        <v>0</v>
      </c>
      <c r="EE16" s="34">
        <f>'EMTS-CARB Forecast'!$BD116</f>
        <v>0</v>
      </c>
      <c r="EF16" s="34">
        <f>'EMTS-CARB Forecast'!$BD117</f>
        <v>0</v>
      </c>
      <c r="EG16" s="34">
        <f>'EMTS-CARB Forecast'!$BD118</f>
        <v>0</v>
      </c>
      <c r="EH16" s="34">
        <f>'EMTS-CARB Forecast'!$BD118</f>
        <v>0</v>
      </c>
      <c r="EI16" s="34">
        <f>'EMTS-CARB Forecast'!$BD116</f>
        <v>0</v>
      </c>
      <c r="EJ16" s="34">
        <f>'EMTS-CARB Forecast'!$BD117</f>
        <v>0</v>
      </c>
      <c r="EK16" s="34">
        <f>'EMTS-CARB Forecast'!$BD118</f>
        <v>0</v>
      </c>
      <c r="EL16" s="34">
        <f>'EMTS-CARB Forecast'!$BD118</f>
        <v>0</v>
      </c>
      <c r="EM16" s="34">
        <f>'EMTS-CARB Forecast'!$BD116</f>
        <v>0</v>
      </c>
      <c r="EN16" s="34">
        <f>'EMTS-CARB Forecast'!$BD117</f>
        <v>0</v>
      </c>
      <c r="EO16" s="34">
        <f>'EMTS-CARB Forecast'!$BD118</f>
        <v>0</v>
      </c>
      <c r="EP16" s="34">
        <f>'EMTS-CARB Forecast'!$BD118</f>
        <v>0</v>
      </c>
      <c r="EQ16" s="34">
        <f>'EMTS-CARB Forecast'!$BD116</f>
        <v>0</v>
      </c>
      <c r="ER16" s="34">
        <f>'EMTS-CARB Forecast'!$BD117</f>
        <v>0</v>
      </c>
      <c r="ES16" s="34">
        <f>'EMTS-CARB Forecast'!$BD118</f>
        <v>0</v>
      </c>
      <c r="ET16" s="34">
        <f>'EMTS-CARB Forecast'!$BD118</f>
        <v>0</v>
      </c>
      <c r="EU16" s="34">
        <f>'EMTS-CARB Forecast'!$BD116</f>
        <v>0</v>
      </c>
      <c r="EV16" s="34">
        <f>'EMTS-CARB Forecast'!$BD117</f>
        <v>0</v>
      </c>
      <c r="EW16" s="34">
        <f>'EMTS-CARB Forecast'!$BD118</f>
        <v>0</v>
      </c>
      <c r="EX16" s="34">
        <f>'EMTS-CARB Forecast'!$BD118</f>
        <v>0</v>
      </c>
      <c r="EY16" s="34">
        <f>'EMTS-CARB Forecast'!$BD116</f>
        <v>0</v>
      </c>
      <c r="EZ16" s="34">
        <f>'EMTS-CARB Forecast'!$BD117</f>
        <v>0</v>
      </c>
      <c r="FA16" s="34">
        <f>'EMTS-CARB Forecast'!$BD118</f>
        <v>0</v>
      </c>
      <c r="FB16" s="34">
        <f>'EMTS-CARB Forecast'!$BD118</f>
        <v>0</v>
      </c>
      <c r="FC16" s="34">
        <f>'EMTS-CARB Forecast'!$BD116</f>
        <v>0</v>
      </c>
      <c r="FD16" s="34">
        <f>'EMTS-CARB Forecast'!$BD117</f>
        <v>0</v>
      </c>
      <c r="FE16" s="34">
        <f>'EMTS-CARB Forecast'!$BD118</f>
        <v>0</v>
      </c>
      <c r="FF16" s="34">
        <f>'EMTS-CARB Forecast'!$BD118</f>
        <v>0</v>
      </c>
      <c r="FG16" s="34">
        <f>'EMTS-CARB Forecast'!$BD116</f>
        <v>0</v>
      </c>
      <c r="FH16" s="34">
        <f>'EMTS-CARB Forecast'!$BD117</f>
        <v>0</v>
      </c>
      <c r="FI16" s="34">
        <f>'EMTS-CARB Forecast'!$BD118</f>
        <v>0</v>
      </c>
      <c r="FJ16" s="34">
        <f>'EMTS-CARB Forecast'!$BD118</f>
        <v>0</v>
      </c>
    </row>
    <row r="17" spans="1:166" x14ac:dyDescent="0.2">
      <c r="A17" s="9" t="s">
        <v>126</v>
      </c>
      <c r="B17" s="9" t="s">
        <v>125</v>
      </c>
      <c r="C17" s="31">
        <v>3187578208</v>
      </c>
      <c r="D17" s="31">
        <v>3294107893</v>
      </c>
      <c r="E17" s="31">
        <v>3320247258</v>
      </c>
      <c r="F17" s="31">
        <v>3323012827</v>
      </c>
      <c r="G17" s="31">
        <v>3189895483</v>
      </c>
      <c r="H17" s="31">
        <v>3273254068</v>
      </c>
      <c r="I17" s="31">
        <v>3298505633</v>
      </c>
      <c r="J17" s="31">
        <v>3449039221</v>
      </c>
      <c r="K17" s="31">
        <v>2991042519</v>
      </c>
      <c r="L17" s="31">
        <v>3298305567</v>
      </c>
      <c r="M17" s="31">
        <v>3336711067</v>
      </c>
      <c r="N17" s="31">
        <v>3347165477</v>
      </c>
      <c r="O17" s="31">
        <v>3118899568</v>
      </c>
      <c r="P17" s="31">
        <v>3279279406</v>
      </c>
      <c r="Q17" s="31">
        <v>3395731910</v>
      </c>
      <c r="R17" s="31">
        <v>3539912317</v>
      </c>
      <c r="S17" s="31">
        <v>3158733458</v>
      </c>
      <c r="T17" s="31">
        <v>3433573365</v>
      </c>
      <c r="U17" s="31">
        <v>3514621395</v>
      </c>
      <c r="V17" s="31">
        <v>3337634199</v>
      </c>
      <c r="W17" s="31">
        <v>3435633723</v>
      </c>
      <c r="X17" s="31">
        <v>3478700777</v>
      </c>
      <c r="Y17" s="31">
        <v>3566483826</v>
      </c>
      <c r="Z17" s="31">
        <v>3572453275</v>
      </c>
      <c r="AA17" s="31">
        <v>3341219548</v>
      </c>
      <c r="AB17" s="31">
        <v>3529939560</v>
      </c>
      <c r="AC17" s="31">
        <v>3617739626</v>
      </c>
      <c r="AD17" s="31">
        <v>3579790158</v>
      </c>
      <c r="AE17" s="31">
        <v>3314263901</v>
      </c>
      <c r="AF17" s="31">
        <v>3500848195</v>
      </c>
      <c r="AG17" s="31">
        <v>3521521071</v>
      </c>
      <c r="AH17" s="31">
        <v>3442349061</v>
      </c>
      <c r="AI17" s="31">
        <v>3311327792</v>
      </c>
      <c r="AJ17" s="31">
        <v>3490625083</v>
      </c>
      <c r="AK17" s="31">
        <v>3427420016</v>
      </c>
      <c r="AL17" s="31">
        <v>3508158465</v>
      </c>
      <c r="AM17" s="31">
        <v>3139225686</v>
      </c>
      <c r="AN17" s="31">
        <v>2376026761</v>
      </c>
      <c r="AO17" s="31">
        <v>2927129520</v>
      </c>
      <c r="AP17" s="31">
        <v>2896415790</v>
      </c>
      <c r="AQ17" s="31">
        <v>2799387705</v>
      </c>
      <c r="AR17" s="31">
        <v>3139905796</v>
      </c>
      <c r="AS17" s="31">
        <v>3318341379</v>
      </c>
      <c r="AT17" s="31">
        <v>3136312673</v>
      </c>
      <c r="AU17" s="31">
        <v>2984051294</v>
      </c>
      <c r="AV17" s="31">
        <v>3133122469</v>
      </c>
      <c r="AW17" s="31">
        <v>3035442626</v>
      </c>
      <c r="AX17" s="31">
        <v>3178353552</v>
      </c>
      <c r="AY17" s="31">
        <v>2877639926</v>
      </c>
      <c r="AZ17" s="31">
        <v>3101909762</v>
      </c>
      <c r="BA17" s="31">
        <v>3117814822</v>
      </c>
      <c r="BB17" s="31">
        <v>3011760731</v>
      </c>
      <c r="BC17" s="31">
        <v>2923005317</v>
      </c>
      <c r="BD17" s="31">
        <v>3126653399</v>
      </c>
      <c r="BE17" s="31">
        <v>2920630023</v>
      </c>
      <c r="BF17" s="34"/>
      <c r="BG17" s="34"/>
      <c r="BH17" s="34"/>
      <c r="BI17" s="34"/>
      <c r="BJ17" s="34"/>
      <c r="BK17" s="34"/>
      <c r="BL17" s="34"/>
      <c r="BM17" s="34"/>
      <c r="BN17" s="34"/>
      <c r="BO17" s="34"/>
      <c r="BP17" s="34"/>
      <c r="BQ17" s="34"/>
      <c r="BR17" s="34"/>
      <c r="BS17" s="34"/>
      <c r="BT17" s="34"/>
      <c r="BU17" s="34"/>
      <c r="BV17" s="34"/>
      <c r="BW17" s="34"/>
      <c r="BX17" s="34"/>
      <c r="BY17" s="34"/>
      <c r="BZ17" s="34"/>
      <c r="CA17" s="34"/>
      <c r="CB17" s="34"/>
      <c r="CC17" s="34"/>
      <c r="CD17" s="34"/>
      <c r="CE17" s="34"/>
      <c r="CF17" s="34"/>
      <c r="CG17" s="34"/>
      <c r="CH17" s="34"/>
      <c r="CI17" s="34"/>
      <c r="CJ17" s="34"/>
      <c r="CK17" s="34"/>
      <c r="CL17" s="34"/>
      <c r="CM17" s="34"/>
      <c r="CN17" s="34"/>
      <c r="CO17" s="34"/>
      <c r="CP17" s="34"/>
      <c r="CQ17" s="34"/>
      <c r="CR17" s="34"/>
      <c r="CS17" s="34"/>
      <c r="CT17" s="34"/>
      <c r="CU17" s="34"/>
      <c r="CV17" s="34"/>
      <c r="CW17" s="34"/>
      <c r="CX17" s="34"/>
      <c r="CY17" s="34"/>
      <c r="CZ17" s="34"/>
      <c r="DA17" s="34"/>
      <c r="DB17" s="34"/>
      <c r="DC17" s="34"/>
      <c r="DD17" s="34"/>
      <c r="DE17" s="34"/>
      <c r="DF17" s="34"/>
      <c r="DG17" s="34"/>
      <c r="DH17" s="34"/>
      <c r="DI17" s="34"/>
      <c r="DJ17" s="34"/>
      <c r="DK17" s="34"/>
      <c r="DL17" s="34"/>
      <c r="DM17" s="34"/>
      <c r="DN17" s="34"/>
      <c r="DO17" s="34"/>
      <c r="DP17" s="34"/>
      <c r="DQ17" s="34"/>
      <c r="DR17" s="34"/>
      <c r="DS17" s="34"/>
      <c r="DT17" s="34"/>
      <c r="DU17" s="34"/>
      <c r="DV17" s="34"/>
      <c r="DW17" s="34"/>
      <c r="DX17" s="34"/>
      <c r="DY17" s="34"/>
      <c r="DZ17" s="34"/>
      <c r="EA17" s="34"/>
      <c r="EB17" s="34"/>
      <c r="EC17" s="34"/>
      <c r="ED17" s="34"/>
      <c r="EE17" s="34"/>
      <c r="EF17" s="34"/>
      <c r="EG17" s="34"/>
      <c r="EH17" s="34"/>
      <c r="EI17" s="34"/>
      <c r="EJ17" s="34"/>
      <c r="EK17" s="34"/>
      <c r="EL17" s="34"/>
      <c r="EM17" s="34"/>
      <c r="EN17" s="34"/>
      <c r="EO17" s="34"/>
      <c r="EP17" s="34"/>
      <c r="EQ17" s="34"/>
      <c r="ER17" s="34"/>
      <c r="ES17" s="34"/>
      <c r="ET17" s="34"/>
      <c r="EU17" s="34"/>
      <c r="EV17" s="34"/>
      <c r="EW17" s="34"/>
      <c r="EX17" s="34"/>
      <c r="EY17" s="34"/>
      <c r="EZ17" s="34"/>
      <c r="FA17" s="34"/>
      <c r="FB17" s="34"/>
      <c r="FC17" s="34"/>
      <c r="FD17" s="34"/>
      <c r="FE17" s="34"/>
      <c r="FF17" s="34"/>
      <c r="FG17" s="34"/>
      <c r="FH17" s="34"/>
      <c r="FI17" s="34"/>
      <c r="FJ17" s="34"/>
    </row>
    <row r="18" spans="1:166" x14ac:dyDescent="0.2">
      <c r="A18" s="9" t="s">
        <v>127</v>
      </c>
      <c r="B18" s="9" t="s">
        <v>125</v>
      </c>
      <c r="C18" s="31">
        <v>806819602</v>
      </c>
      <c r="D18" s="31">
        <v>898714606</v>
      </c>
      <c r="E18" s="31">
        <v>969964838</v>
      </c>
      <c r="F18" s="31">
        <v>909161464</v>
      </c>
      <c r="G18" s="31">
        <v>771973725</v>
      </c>
      <c r="H18" s="31">
        <v>891135601</v>
      </c>
      <c r="I18" s="31">
        <v>990066549</v>
      </c>
      <c r="J18" s="31">
        <v>922317155</v>
      </c>
      <c r="K18" s="31">
        <v>801458731</v>
      </c>
      <c r="L18" s="31">
        <v>933891967</v>
      </c>
      <c r="M18" s="31">
        <v>914337244</v>
      </c>
      <c r="N18" s="31">
        <v>848422498</v>
      </c>
      <c r="O18" s="31">
        <v>782052674</v>
      </c>
      <c r="P18" s="31">
        <v>853357445</v>
      </c>
      <c r="Q18" s="31">
        <v>928242072</v>
      </c>
      <c r="R18" s="31">
        <v>923253715</v>
      </c>
      <c r="S18" s="31">
        <v>780306276</v>
      </c>
      <c r="T18" s="31">
        <v>891669978</v>
      </c>
      <c r="U18" s="31">
        <v>945127593</v>
      </c>
      <c r="V18" s="31">
        <v>848568072</v>
      </c>
      <c r="W18" s="31">
        <v>771524952</v>
      </c>
      <c r="X18" s="31">
        <v>852507840</v>
      </c>
      <c r="Y18" s="31">
        <v>995644592</v>
      </c>
      <c r="Z18" s="31">
        <v>762491040</v>
      </c>
      <c r="AA18" s="31">
        <v>758909481</v>
      </c>
      <c r="AB18" s="31">
        <v>811130582</v>
      </c>
      <c r="AC18" s="31">
        <v>878738400</v>
      </c>
      <c r="AD18" s="31">
        <v>893171901</v>
      </c>
      <c r="AE18" s="31">
        <v>711401767</v>
      </c>
      <c r="AF18" s="31">
        <v>849679238</v>
      </c>
      <c r="AG18" s="31">
        <v>861843804</v>
      </c>
      <c r="AH18" s="31">
        <v>787497672</v>
      </c>
      <c r="AI18" s="31">
        <v>684643231</v>
      </c>
      <c r="AJ18" s="31">
        <v>757142167</v>
      </c>
      <c r="AK18" s="31">
        <v>791474334</v>
      </c>
      <c r="AL18" s="31">
        <v>754020517</v>
      </c>
      <c r="AM18" s="31">
        <v>621673074</v>
      </c>
      <c r="AN18" s="31">
        <v>679469633</v>
      </c>
      <c r="AO18" s="31">
        <v>723665358</v>
      </c>
      <c r="AP18" s="31">
        <v>701111104</v>
      </c>
      <c r="AQ18" s="31">
        <v>574933496</v>
      </c>
      <c r="AR18" s="31">
        <v>672080316</v>
      </c>
      <c r="AS18" s="31">
        <v>688878020</v>
      </c>
      <c r="AT18" s="31">
        <v>581035867</v>
      </c>
      <c r="AU18" s="31">
        <v>500665522</v>
      </c>
      <c r="AV18" s="31">
        <v>521594545</v>
      </c>
      <c r="AW18" s="31">
        <v>486403394</v>
      </c>
      <c r="AX18" s="31">
        <v>496321609</v>
      </c>
      <c r="AY18" s="31">
        <v>350392323</v>
      </c>
      <c r="AZ18" s="31">
        <v>344959500</v>
      </c>
      <c r="BA18" s="31">
        <v>392693153</v>
      </c>
      <c r="BB18" s="31">
        <v>320738602</v>
      </c>
      <c r="BC18" s="31">
        <v>217083416</v>
      </c>
      <c r="BD18" s="31">
        <v>214595114</v>
      </c>
      <c r="BE18" s="31">
        <v>307009591</v>
      </c>
      <c r="BF18" s="34"/>
      <c r="BG18" s="34"/>
      <c r="BH18" s="34"/>
      <c r="BI18" s="34"/>
      <c r="BJ18" s="34"/>
      <c r="BK18" s="34"/>
      <c r="BL18" s="34"/>
      <c r="BM18" s="34"/>
      <c r="BN18" s="34"/>
      <c r="BO18" s="34"/>
      <c r="BP18" s="34"/>
      <c r="BQ18" s="34"/>
      <c r="BR18" s="34"/>
      <c r="BS18" s="34"/>
      <c r="BT18" s="34"/>
      <c r="BU18" s="34"/>
      <c r="BV18" s="34"/>
      <c r="BW18" s="34"/>
      <c r="BX18" s="34"/>
      <c r="BY18" s="34"/>
      <c r="BZ18" s="34"/>
      <c r="CA18" s="34"/>
      <c r="CB18" s="34"/>
      <c r="CC18" s="34"/>
      <c r="CD18" s="34"/>
      <c r="CE18" s="34"/>
      <c r="CF18" s="34"/>
      <c r="CG18" s="34"/>
      <c r="CH18" s="34"/>
      <c r="CI18" s="34"/>
      <c r="CJ18" s="34"/>
      <c r="CK18" s="34"/>
      <c r="CL18" s="34"/>
      <c r="CM18" s="34"/>
      <c r="CN18" s="34"/>
      <c r="CO18" s="34"/>
      <c r="CP18" s="34"/>
      <c r="CQ18" s="34"/>
      <c r="CR18" s="34"/>
      <c r="CS18" s="34"/>
      <c r="CT18" s="34"/>
      <c r="CU18" s="34"/>
      <c r="CV18" s="34"/>
      <c r="CW18" s="34"/>
      <c r="CX18" s="34"/>
      <c r="CY18" s="34"/>
      <c r="CZ18" s="34"/>
      <c r="DA18" s="34"/>
      <c r="DB18" s="34"/>
      <c r="DC18" s="34"/>
      <c r="DD18" s="34"/>
      <c r="DE18" s="34"/>
      <c r="DF18" s="34"/>
      <c r="DG18" s="34"/>
      <c r="DH18" s="34"/>
      <c r="DI18" s="34"/>
      <c r="DJ18" s="34"/>
      <c r="DK18" s="34"/>
      <c r="DL18" s="34"/>
      <c r="DM18" s="34"/>
      <c r="DN18" s="34"/>
      <c r="DO18" s="34"/>
      <c r="DP18" s="34"/>
      <c r="DQ18" s="34"/>
      <c r="DR18" s="34"/>
      <c r="DS18" s="34"/>
      <c r="DT18" s="34"/>
      <c r="DU18" s="34"/>
      <c r="DV18" s="34"/>
      <c r="DW18" s="34"/>
      <c r="DX18" s="34"/>
      <c r="DY18" s="34"/>
      <c r="DZ18" s="34"/>
      <c r="EA18" s="34"/>
      <c r="EB18" s="34"/>
      <c r="EC18" s="34"/>
      <c r="ED18" s="34"/>
      <c r="EE18" s="34"/>
      <c r="EF18" s="34"/>
      <c r="EG18" s="34"/>
      <c r="EH18" s="34"/>
      <c r="EI18" s="34"/>
      <c r="EJ18" s="34"/>
      <c r="EK18" s="34"/>
      <c r="EL18" s="34"/>
      <c r="EM18" s="34"/>
      <c r="EN18" s="34"/>
      <c r="EO18" s="34"/>
      <c r="EP18" s="34"/>
      <c r="EQ18" s="34"/>
      <c r="ER18" s="34"/>
      <c r="ES18" s="34"/>
      <c r="ET18" s="34"/>
      <c r="EU18" s="34"/>
      <c r="EV18" s="34"/>
      <c r="EW18" s="34"/>
      <c r="EX18" s="34"/>
      <c r="EY18" s="34"/>
      <c r="EZ18" s="34"/>
      <c r="FA18" s="34"/>
      <c r="FB18" s="34"/>
      <c r="FC18" s="34"/>
      <c r="FD18" s="34"/>
      <c r="FE18" s="34"/>
      <c r="FF18" s="34"/>
      <c r="FG18" s="34"/>
      <c r="FH18" s="34"/>
      <c r="FI18" s="34"/>
      <c r="FJ18" s="34"/>
    </row>
    <row r="19" spans="1:166" x14ac:dyDescent="0.2">
      <c r="C19" s="31"/>
      <c r="D19" s="31"/>
      <c r="E19" s="31"/>
      <c r="F19" s="31"/>
      <c r="G19" s="31"/>
      <c r="H19" s="31"/>
      <c r="I19" s="31"/>
      <c r="J19" s="31"/>
      <c r="K19" s="31"/>
      <c r="L19" s="31"/>
      <c r="M19" s="31"/>
      <c r="N19" s="31"/>
      <c r="O19" s="31"/>
      <c r="P19" s="31"/>
      <c r="Q19" s="31"/>
      <c r="R19" s="31"/>
      <c r="S19" s="31"/>
      <c r="T19" s="31"/>
      <c r="U19" s="31"/>
      <c r="V19" s="31"/>
      <c r="W19" s="31"/>
      <c r="X19" s="31"/>
      <c r="Y19" s="31"/>
      <c r="Z19" s="31"/>
      <c r="AA19" s="31"/>
      <c r="AB19" s="31"/>
      <c r="AC19" s="31"/>
      <c r="AD19" s="31"/>
      <c r="AE19" s="31"/>
      <c r="AF19" s="31"/>
      <c r="AG19" s="31"/>
      <c r="AH19" s="31"/>
      <c r="AI19" s="31"/>
      <c r="AJ19" s="31"/>
      <c r="AK19" s="31"/>
      <c r="AL19" s="31"/>
      <c r="AM19" s="15"/>
      <c r="AN19" s="15"/>
      <c r="AO19" s="15"/>
      <c r="AP19" s="15"/>
      <c r="AQ19" s="15"/>
      <c r="AR19" s="15"/>
      <c r="AS19" s="15"/>
      <c r="AT19" s="35"/>
      <c r="AU19" s="35"/>
      <c r="AV19" s="35"/>
      <c r="AW19" s="35"/>
      <c r="AX19" s="35"/>
      <c r="AY19" s="35"/>
      <c r="AZ19" s="35"/>
      <c r="BA19" s="35"/>
      <c r="BB19" s="35"/>
    </row>
    <row r="20" spans="1:166" ht="15" x14ac:dyDescent="0.2">
      <c r="A20" s="36" t="s">
        <v>128</v>
      </c>
      <c r="B20" s="37" t="s">
        <v>87</v>
      </c>
      <c r="C20" s="31"/>
      <c r="D20" s="31"/>
      <c r="E20" s="31"/>
      <c r="F20" s="31"/>
      <c r="G20" s="31"/>
      <c r="H20" s="31"/>
      <c r="I20" s="31"/>
      <c r="J20" s="31"/>
      <c r="K20" s="31"/>
      <c r="L20" s="31"/>
      <c r="M20" s="31"/>
      <c r="N20" s="31"/>
      <c r="O20" s="31"/>
      <c r="P20" s="31"/>
      <c r="Q20" s="31"/>
      <c r="R20" s="31"/>
      <c r="S20" s="31"/>
      <c r="T20" s="31"/>
      <c r="U20" s="31"/>
      <c r="V20" s="31"/>
      <c r="W20" s="31"/>
      <c r="X20" s="31"/>
      <c r="Y20" s="31"/>
      <c r="Z20" s="31"/>
      <c r="AA20" s="31"/>
      <c r="AB20" s="31"/>
      <c r="AC20" s="31"/>
      <c r="AD20" s="31"/>
      <c r="AE20" s="31"/>
      <c r="AF20" s="31"/>
      <c r="AG20" s="31"/>
      <c r="AH20" s="31"/>
      <c r="AI20" s="31"/>
      <c r="AJ20" s="31"/>
      <c r="AK20" s="31"/>
      <c r="AL20" s="31"/>
      <c r="AM20" s="15"/>
      <c r="AN20" s="15"/>
      <c r="AO20" s="15"/>
      <c r="AP20" s="15"/>
      <c r="AQ20" s="15"/>
      <c r="AR20" s="15"/>
      <c r="AS20" s="15"/>
      <c r="AT20" s="15"/>
      <c r="AU20" s="15"/>
      <c r="AV20" s="15"/>
      <c r="AW20" s="15"/>
      <c r="AX20" s="35"/>
      <c r="AY20" s="15"/>
      <c r="AZ20" s="15"/>
      <c r="BA20" s="15"/>
      <c r="BB20" s="15"/>
    </row>
    <row r="21" spans="1:166" ht="15" x14ac:dyDescent="0.2">
      <c r="A21" s="38" t="s">
        <v>129</v>
      </c>
      <c r="B21" s="39" t="s">
        <v>130</v>
      </c>
      <c r="C21" s="9" t="str">
        <f>C4</f>
        <v>2011Q1</v>
      </c>
      <c r="D21" s="9" t="str">
        <f t="shared" ref="D21:BO21" si="37">D4</f>
        <v>Q2</v>
      </c>
      <c r="E21" s="9" t="str">
        <f t="shared" si="37"/>
        <v>Q3</v>
      </c>
      <c r="F21" s="9" t="str">
        <f t="shared" si="37"/>
        <v>Q4</v>
      </c>
      <c r="G21" s="9" t="str">
        <f t="shared" si="37"/>
        <v>2012Q1</v>
      </c>
      <c r="H21" s="9" t="str">
        <f t="shared" si="37"/>
        <v>Q2</v>
      </c>
      <c r="I21" s="9" t="str">
        <f t="shared" si="37"/>
        <v>Q3</v>
      </c>
      <c r="J21" s="9" t="str">
        <f t="shared" si="37"/>
        <v>Q4</v>
      </c>
      <c r="K21" s="9" t="str">
        <f t="shared" si="37"/>
        <v>2013Q1</v>
      </c>
      <c r="L21" s="9" t="str">
        <f t="shared" si="37"/>
        <v>Q2</v>
      </c>
      <c r="M21" s="9" t="str">
        <f t="shared" si="37"/>
        <v>Q3</v>
      </c>
      <c r="N21" s="9" t="str">
        <f t="shared" si="37"/>
        <v>Q4</v>
      </c>
      <c r="O21" s="9" t="str">
        <f t="shared" si="37"/>
        <v>2014Q1</v>
      </c>
      <c r="P21" s="9" t="str">
        <f t="shared" si="37"/>
        <v>Q2</v>
      </c>
      <c r="Q21" s="9" t="str">
        <f t="shared" si="37"/>
        <v>Q3</v>
      </c>
      <c r="R21" s="9" t="str">
        <f t="shared" si="37"/>
        <v>Q4</v>
      </c>
      <c r="S21" s="9" t="str">
        <f t="shared" si="37"/>
        <v>2015Q1</v>
      </c>
      <c r="T21" s="9" t="str">
        <f t="shared" si="37"/>
        <v>Q2</v>
      </c>
      <c r="U21" s="9" t="str">
        <f t="shared" si="37"/>
        <v>Q3</v>
      </c>
      <c r="V21" s="9" t="str">
        <f t="shared" si="37"/>
        <v>Q4</v>
      </c>
      <c r="W21" s="9" t="str">
        <f t="shared" si="37"/>
        <v>2016Q1</v>
      </c>
      <c r="X21" s="9" t="str">
        <f t="shared" si="37"/>
        <v>Q2</v>
      </c>
      <c r="Y21" s="9" t="str">
        <f t="shared" si="37"/>
        <v>Q3</v>
      </c>
      <c r="Z21" s="9" t="str">
        <f t="shared" si="37"/>
        <v>Q4</v>
      </c>
      <c r="AA21" s="9" t="str">
        <f t="shared" si="37"/>
        <v>2017Q1</v>
      </c>
      <c r="AB21" s="9" t="str">
        <f t="shared" si="37"/>
        <v>Q2</v>
      </c>
      <c r="AC21" s="9" t="str">
        <f t="shared" si="37"/>
        <v>Q3</v>
      </c>
      <c r="AD21" s="9" t="str">
        <f t="shared" si="37"/>
        <v>Q4</v>
      </c>
      <c r="AE21" s="9" t="str">
        <f t="shared" si="37"/>
        <v>2018Q1</v>
      </c>
      <c r="AF21" s="9" t="str">
        <f t="shared" si="37"/>
        <v>Q2</v>
      </c>
      <c r="AG21" s="9" t="str">
        <f t="shared" si="37"/>
        <v>Q3</v>
      </c>
      <c r="AH21" s="9" t="str">
        <f t="shared" si="37"/>
        <v>Q4</v>
      </c>
      <c r="AI21" s="9" t="str">
        <f t="shared" si="37"/>
        <v>2019Q1</v>
      </c>
      <c r="AJ21" s="9" t="str">
        <f t="shared" si="37"/>
        <v>Q2</v>
      </c>
      <c r="AK21" s="9" t="str">
        <f t="shared" si="37"/>
        <v>Q3</v>
      </c>
      <c r="AL21" s="9" t="str">
        <f t="shared" si="37"/>
        <v>Q4</v>
      </c>
      <c r="AM21" s="9" t="str">
        <f t="shared" si="37"/>
        <v>2020Q1</v>
      </c>
      <c r="AN21" s="9" t="str">
        <f t="shared" si="37"/>
        <v>Q2</v>
      </c>
      <c r="AO21" s="9" t="str">
        <f t="shared" si="37"/>
        <v>Q3</v>
      </c>
      <c r="AP21" s="9" t="str">
        <f t="shared" si="37"/>
        <v>Q4</v>
      </c>
      <c r="AQ21" s="9" t="str">
        <f t="shared" si="37"/>
        <v>2021Q1</v>
      </c>
      <c r="AR21" s="9" t="str">
        <f t="shared" si="37"/>
        <v>Q2</v>
      </c>
      <c r="AS21" s="9" t="str">
        <f t="shared" si="37"/>
        <v>Q3</v>
      </c>
      <c r="AT21" s="9" t="str">
        <f t="shared" si="37"/>
        <v>Q4</v>
      </c>
      <c r="AU21" s="9" t="str">
        <f t="shared" si="37"/>
        <v>Q1 2022</v>
      </c>
      <c r="AV21" s="9" t="str">
        <f t="shared" si="37"/>
        <v>Q2</v>
      </c>
      <c r="AW21" s="9" t="str">
        <f t="shared" si="37"/>
        <v>Q3</v>
      </c>
      <c r="AX21" s="9" t="str">
        <f t="shared" si="37"/>
        <v>Q4</v>
      </c>
      <c r="AY21" s="9" t="str">
        <f t="shared" si="37"/>
        <v>Q1 2023</v>
      </c>
      <c r="AZ21" s="9" t="str">
        <f t="shared" si="37"/>
        <v>Q2</v>
      </c>
      <c r="BA21" s="9" t="str">
        <f t="shared" si="37"/>
        <v>Q3</v>
      </c>
      <c r="BB21" s="9" t="str">
        <f t="shared" si="37"/>
        <v>Q4</v>
      </c>
      <c r="BC21" s="9" t="str">
        <f t="shared" si="37"/>
        <v>Q1 2024</v>
      </c>
      <c r="BD21" s="9" t="str">
        <f t="shared" si="37"/>
        <v>Q2</v>
      </c>
      <c r="BE21" s="9" t="str">
        <f t="shared" si="37"/>
        <v>Q3</v>
      </c>
      <c r="BF21" s="9" t="str">
        <f t="shared" si="37"/>
        <v>Q4</v>
      </c>
      <c r="BG21" s="9" t="str">
        <f t="shared" si="37"/>
        <v>Q1 2025</v>
      </c>
      <c r="BH21" s="9" t="str">
        <f t="shared" si="37"/>
        <v>Q2</v>
      </c>
      <c r="BI21" s="9" t="str">
        <f t="shared" si="37"/>
        <v>Q3</v>
      </c>
      <c r="BJ21" s="9" t="str">
        <f t="shared" si="37"/>
        <v>Q4</v>
      </c>
      <c r="BK21" s="9" t="str">
        <f t="shared" si="37"/>
        <v>Q1 2026</v>
      </c>
      <c r="BL21" s="9" t="str">
        <f t="shared" si="37"/>
        <v>Q2</v>
      </c>
      <c r="BM21" s="9" t="str">
        <f t="shared" si="37"/>
        <v>Q3</v>
      </c>
      <c r="BN21" s="9" t="str">
        <f t="shared" si="37"/>
        <v>Q4</v>
      </c>
      <c r="BO21" s="9" t="str">
        <f t="shared" si="37"/>
        <v>Q1 2027</v>
      </c>
      <c r="BP21" s="9" t="str">
        <f t="shared" ref="BP21:EA21" si="38">BP4</f>
        <v>Q2</v>
      </c>
      <c r="BQ21" s="9" t="str">
        <f t="shared" si="38"/>
        <v>Q3</v>
      </c>
      <c r="BR21" s="9" t="str">
        <f t="shared" si="38"/>
        <v>Q4</v>
      </c>
      <c r="BS21" s="9" t="str">
        <f t="shared" si="38"/>
        <v>Q1 2028</v>
      </c>
      <c r="BT21" s="9" t="str">
        <f t="shared" si="38"/>
        <v>Q2</v>
      </c>
      <c r="BU21" s="9" t="str">
        <f t="shared" si="38"/>
        <v>Q3</v>
      </c>
      <c r="BV21" s="9" t="str">
        <f t="shared" si="38"/>
        <v>Q4</v>
      </c>
      <c r="BW21" s="9" t="str">
        <f t="shared" si="38"/>
        <v>Q1 2029</v>
      </c>
      <c r="BX21" s="9" t="str">
        <f t="shared" si="38"/>
        <v>Q2</v>
      </c>
      <c r="BY21" s="9" t="str">
        <f t="shared" si="38"/>
        <v>Q3</v>
      </c>
      <c r="BZ21" s="9" t="str">
        <f t="shared" si="38"/>
        <v>Q4</v>
      </c>
      <c r="CA21" s="9" t="str">
        <f t="shared" si="38"/>
        <v>Q1 2030</v>
      </c>
      <c r="CB21" s="9" t="str">
        <f t="shared" si="38"/>
        <v>Q2</v>
      </c>
      <c r="CC21" s="9" t="str">
        <f t="shared" si="38"/>
        <v>Q3</v>
      </c>
      <c r="CD21" s="9" t="str">
        <f t="shared" si="38"/>
        <v>Q4</v>
      </c>
      <c r="CE21" s="9" t="str">
        <f t="shared" si="38"/>
        <v>Q1 2031</v>
      </c>
      <c r="CF21" s="9" t="str">
        <f t="shared" si="38"/>
        <v>Q2</v>
      </c>
      <c r="CG21" s="9" t="str">
        <f t="shared" si="38"/>
        <v>Q3</v>
      </c>
      <c r="CH21" s="9" t="str">
        <f t="shared" si="38"/>
        <v>Q4</v>
      </c>
      <c r="CI21" s="9" t="str">
        <f t="shared" si="38"/>
        <v>Q1 2032</v>
      </c>
      <c r="CJ21" s="9" t="str">
        <f t="shared" si="38"/>
        <v>Q2</v>
      </c>
      <c r="CK21" s="9" t="str">
        <f t="shared" si="38"/>
        <v>Q3</v>
      </c>
      <c r="CL21" s="9" t="str">
        <f t="shared" si="38"/>
        <v>Q4</v>
      </c>
      <c r="CM21" s="9" t="str">
        <f t="shared" si="38"/>
        <v>Q1 2033</v>
      </c>
      <c r="CN21" s="9" t="str">
        <f t="shared" si="38"/>
        <v>Q2</v>
      </c>
      <c r="CO21" s="9" t="str">
        <f t="shared" si="38"/>
        <v>Q3</v>
      </c>
      <c r="CP21" s="9" t="str">
        <f t="shared" si="38"/>
        <v>Q4</v>
      </c>
      <c r="CQ21" s="9" t="str">
        <f t="shared" si="38"/>
        <v>Q1 2034</v>
      </c>
      <c r="CR21" s="9" t="str">
        <f t="shared" si="38"/>
        <v>Q2</v>
      </c>
      <c r="CS21" s="9" t="str">
        <f t="shared" si="38"/>
        <v>Q3</v>
      </c>
      <c r="CT21" s="9" t="str">
        <f t="shared" si="38"/>
        <v>Q4</v>
      </c>
      <c r="CU21" s="9" t="str">
        <f t="shared" si="38"/>
        <v>Q1 2035</v>
      </c>
      <c r="CV21" s="9" t="str">
        <f t="shared" si="38"/>
        <v>Q2</v>
      </c>
      <c r="CW21" s="9" t="str">
        <f t="shared" si="38"/>
        <v>Q3</v>
      </c>
      <c r="CX21" s="9" t="str">
        <f t="shared" si="38"/>
        <v>Q4</v>
      </c>
      <c r="CY21" s="9" t="str">
        <f t="shared" si="38"/>
        <v>Q1 2036</v>
      </c>
      <c r="CZ21" s="9" t="str">
        <f t="shared" si="38"/>
        <v>Q2</v>
      </c>
      <c r="DA21" s="9" t="str">
        <f t="shared" si="38"/>
        <v>Q3</v>
      </c>
      <c r="DB21" s="9" t="str">
        <f t="shared" si="38"/>
        <v>Q4</v>
      </c>
      <c r="DC21" s="9" t="str">
        <f t="shared" si="38"/>
        <v>Q1 2037</v>
      </c>
      <c r="DD21" s="9" t="str">
        <f t="shared" si="38"/>
        <v>Q2</v>
      </c>
      <c r="DE21" s="9" t="str">
        <f t="shared" si="38"/>
        <v>Q3</v>
      </c>
      <c r="DF21" s="9" t="str">
        <f t="shared" si="38"/>
        <v>Q4</v>
      </c>
      <c r="DG21" s="9" t="str">
        <f t="shared" si="38"/>
        <v>Q1 2038</v>
      </c>
      <c r="DH21" s="9" t="str">
        <f t="shared" si="38"/>
        <v>Q2</v>
      </c>
      <c r="DI21" s="9" t="str">
        <f t="shared" si="38"/>
        <v>Q3</v>
      </c>
      <c r="DJ21" s="9" t="str">
        <f t="shared" si="38"/>
        <v>Q4</v>
      </c>
      <c r="DK21" s="9" t="str">
        <f t="shared" si="38"/>
        <v>Q1 2039</v>
      </c>
      <c r="DL21" s="9" t="str">
        <f t="shared" si="38"/>
        <v>Q2</v>
      </c>
      <c r="DM21" s="9" t="str">
        <f t="shared" si="38"/>
        <v>Q3</v>
      </c>
      <c r="DN21" s="9" t="str">
        <f t="shared" si="38"/>
        <v>Q4</v>
      </c>
      <c r="DO21" s="9" t="str">
        <f t="shared" si="38"/>
        <v>Q1 2040</v>
      </c>
      <c r="DP21" s="9" t="str">
        <f t="shared" si="38"/>
        <v>Q2</v>
      </c>
      <c r="DQ21" s="9" t="str">
        <f t="shared" si="38"/>
        <v>Q3</v>
      </c>
      <c r="DR21" s="9" t="str">
        <f t="shared" si="38"/>
        <v>Q4</v>
      </c>
      <c r="DS21" s="9" t="str">
        <f t="shared" si="38"/>
        <v>Q1 2041</v>
      </c>
      <c r="DT21" s="9" t="str">
        <f t="shared" si="38"/>
        <v>Q2</v>
      </c>
      <c r="DU21" s="9" t="str">
        <f t="shared" si="38"/>
        <v>Q3</v>
      </c>
      <c r="DV21" s="9" t="str">
        <f t="shared" si="38"/>
        <v>Q4</v>
      </c>
      <c r="DW21" s="9" t="str">
        <f t="shared" si="38"/>
        <v>Q1 2042</v>
      </c>
      <c r="DX21" s="9" t="str">
        <f t="shared" si="38"/>
        <v>Q2</v>
      </c>
      <c r="DY21" s="9" t="str">
        <f t="shared" si="38"/>
        <v>Q3</v>
      </c>
      <c r="DZ21" s="9" t="str">
        <f t="shared" si="38"/>
        <v>Q4</v>
      </c>
      <c r="EA21" s="9" t="str">
        <f t="shared" si="38"/>
        <v>Q1 2043</v>
      </c>
      <c r="EB21" s="9" t="str">
        <f t="shared" ref="EB21:FJ21" si="39">EB4</f>
        <v>Q2</v>
      </c>
      <c r="EC21" s="9" t="str">
        <f t="shared" si="39"/>
        <v>Q3</v>
      </c>
      <c r="ED21" s="9" t="str">
        <f t="shared" si="39"/>
        <v>Q4</v>
      </c>
      <c r="EE21" s="9" t="str">
        <f t="shared" si="39"/>
        <v>Q1 2044</v>
      </c>
      <c r="EF21" s="9" t="str">
        <f t="shared" si="39"/>
        <v>Q2</v>
      </c>
      <c r="EG21" s="9" t="str">
        <f t="shared" si="39"/>
        <v>Q3</v>
      </c>
      <c r="EH21" s="9" t="str">
        <f t="shared" si="39"/>
        <v>Q4</v>
      </c>
      <c r="EI21" s="9" t="str">
        <f t="shared" si="39"/>
        <v>Q1 2045</v>
      </c>
      <c r="EJ21" s="9" t="str">
        <f t="shared" si="39"/>
        <v>Q2</v>
      </c>
      <c r="EK21" s="9" t="str">
        <f t="shared" si="39"/>
        <v>Q3</v>
      </c>
      <c r="EL21" s="9" t="str">
        <f t="shared" si="39"/>
        <v>Q4</v>
      </c>
      <c r="EM21" s="9" t="str">
        <f t="shared" si="39"/>
        <v>Q1 2046</v>
      </c>
      <c r="EN21" s="9" t="str">
        <f t="shared" si="39"/>
        <v>Q2</v>
      </c>
      <c r="EO21" s="9" t="str">
        <f t="shared" si="39"/>
        <v>Q3</v>
      </c>
      <c r="EP21" s="9" t="str">
        <f t="shared" si="39"/>
        <v>Q4</v>
      </c>
      <c r="EQ21" s="9" t="str">
        <f t="shared" si="39"/>
        <v>Q1 2047</v>
      </c>
      <c r="ER21" s="9" t="str">
        <f t="shared" si="39"/>
        <v>Q2</v>
      </c>
      <c r="ES21" s="9" t="str">
        <f t="shared" si="39"/>
        <v>Q3</v>
      </c>
      <c r="ET21" s="9" t="str">
        <f t="shared" si="39"/>
        <v>Q4</v>
      </c>
      <c r="EU21" s="9" t="str">
        <f t="shared" si="39"/>
        <v>Q1 2048</v>
      </c>
      <c r="EV21" s="9" t="str">
        <f t="shared" si="39"/>
        <v>Q2</v>
      </c>
      <c r="EW21" s="9" t="str">
        <f t="shared" si="39"/>
        <v>Q3</v>
      </c>
      <c r="EX21" s="9" t="str">
        <f t="shared" si="39"/>
        <v>Q4</v>
      </c>
      <c r="EY21" s="9" t="str">
        <f t="shared" si="39"/>
        <v>Q1 2049</v>
      </c>
      <c r="EZ21" s="9" t="str">
        <f t="shared" si="39"/>
        <v>Q2</v>
      </c>
      <c r="FA21" s="9" t="str">
        <f t="shared" si="39"/>
        <v>Q3</v>
      </c>
      <c r="FB21" s="9" t="str">
        <f t="shared" si="39"/>
        <v>Q4</v>
      </c>
      <c r="FC21" s="9" t="str">
        <f t="shared" si="39"/>
        <v>Q1 2050</v>
      </c>
      <c r="FD21" s="9" t="str">
        <f t="shared" si="39"/>
        <v>Q2</v>
      </c>
      <c r="FE21" s="9" t="str">
        <f t="shared" si="39"/>
        <v>Q3</v>
      </c>
      <c r="FF21" s="9" t="str">
        <f t="shared" si="39"/>
        <v>Q4</v>
      </c>
      <c r="FG21" s="9" t="str">
        <f t="shared" si="39"/>
        <v>Q1 2051</v>
      </c>
      <c r="FH21" s="9" t="str">
        <f t="shared" si="39"/>
        <v>Q2</v>
      </c>
      <c r="FI21" s="9" t="str">
        <f t="shared" si="39"/>
        <v>Q3</v>
      </c>
      <c r="FJ21" s="9" t="str">
        <f t="shared" si="39"/>
        <v>Q4</v>
      </c>
    </row>
    <row r="22" spans="1:166" ht="15.75" x14ac:dyDescent="0.2">
      <c r="A22" s="40" t="s">
        <v>131</v>
      </c>
      <c r="B22" s="39" t="s">
        <v>123</v>
      </c>
      <c r="C22" s="31">
        <v>21816</v>
      </c>
      <c r="D22" s="31">
        <v>60591</v>
      </c>
      <c r="E22" s="31">
        <v>119059</v>
      </c>
      <c r="F22" s="31">
        <v>171607</v>
      </c>
      <c r="G22" s="31">
        <v>220891</v>
      </c>
      <c r="H22" s="31">
        <v>271183</v>
      </c>
      <c r="I22" s="31">
        <v>355146</v>
      </c>
      <c r="J22" s="31">
        <v>468250</v>
      </c>
      <c r="K22" s="31">
        <v>575617</v>
      </c>
      <c r="L22" s="31">
        <v>746463</v>
      </c>
      <c r="M22" s="31">
        <v>957652</v>
      </c>
      <c r="N22" s="31">
        <v>1320154</v>
      </c>
      <c r="O22" s="31">
        <v>1595430</v>
      </c>
      <c r="P22" s="31">
        <v>1950333</v>
      </c>
      <c r="Q22" s="31">
        <v>2266455</v>
      </c>
      <c r="R22" s="31">
        <v>2640450</v>
      </c>
      <c r="S22" s="31">
        <v>2820481</v>
      </c>
      <c r="T22" s="31">
        <v>2990668</v>
      </c>
      <c r="U22" s="31">
        <v>3498333</v>
      </c>
      <c r="V22" s="31">
        <v>3652731</v>
      </c>
      <c r="W22" s="31">
        <v>4872477</v>
      </c>
      <c r="X22" s="31">
        <v>5167531</v>
      </c>
      <c r="Y22" s="31">
        <v>5538669</v>
      </c>
      <c r="Z22" s="31">
        <v>6455415</v>
      </c>
      <c r="AA22" s="31">
        <v>7501199</v>
      </c>
      <c r="AB22" s="31">
        <v>7582920</v>
      </c>
      <c r="AC22" s="31">
        <v>8034459</v>
      </c>
      <c r="AD22" s="31">
        <v>8638298</v>
      </c>
      <c r="AE22" s="31">
        <v>10704547</v>
      </c>
      <c r="AF22" s="31">
        <v>11940226</v>
      </c>
      <c r="AG22" s="31">
        <v>13760081</v>
      </c>
      <c r="AH22" s="31">
        <v>15097403</v>
      </c>
      <c r="AI22" s="31">
        <v>0</v>
      </c>
      <c r="AJ22" s="31">
        <v>0</v>
      </c>
      <c r="AK22" s="31">
        <v>0</v>
      </c>
      <c r="AL22" s="31">
        <v>0</v>
      </c>
      <c r="AM22" s="31">
        <v>0</v>
      </c>
      <c r="AN22" s="31">
        <v>0</v>
      </c>
      <c r="AO22" s="31">
        <v>0</v>
      </c>
      <c r="AP22" s="31">
        <v>0</v>
      </c>
      <c r="AQ22" s="31">
        <v>0</v>
      </c>
      <c r="AR22" s="31">
        <v>0</v>
      </c>
      <c r="AS22" s="31">
        <v>0</v>
      </c>
      <c r="AT22" s="31">
        <v>0</v>
      </c>
      <c r="AU22" s="31">
        <v>0</v>
      </c>
      <c r="AV22" s="34">
        <v>0</v>
      </c>
      <c r="AW22" s="31">
        <v>0</v>
      </c>
      <c r="AX22" s="31">
        <v>0</v>
      </c>
      <c r="AY22" s="34">
        <v>0</v>
      </c>
      <c r="AZ22" s="34">
        <v>0</v>
      </c>
      <c r="BA22" s="31">
        <v>0</v>
      </c>
      <c r="BB22" s="31">
        <v>0</v>
      </c>
      <c r="BC22" s="31">
        <v>0</v>
      </c>
      <c r="BD22" s="41">
        <v>0</v>
      </c>
      <c r="BE22" s="34">
        <v>0</v>
      </c>
      <c r="BF22" s="34">
        <v>0</v>
      </c>
      <c r="BG22" s="34">
        <v>0</v>
      </c>
      <c r="BH22" s="34">
        <v>0</v>
      </c>
      <c r="BI22" s="34">
        <v>0</v>
      </c>
      <c r="BJ22" s="34">
        <v>0</v>
      </c>
      <c r="BK22" s="34">
        <v>0</v>
      </c>
      <c r="BL22" s="34">
        <v>0</v>
      </c>
      <c r="BM22" s="34">
        <v>0</v>
      </c>
      <c r="BN22" s="34">
        <v>0</v>
      </c>
      <c r="BO22" s="34">
        <v>0</v>
      </c>
      <c r="BP22" s="34">
        <v>0</v>
      </c>
      <c r="BQ22" s="34">
        <v>0</v>
      </c>
      <c r="BR22" s="34">
        <v>0</v>
      </c>
      <c r="BS22" s="34">
        <v>0</v>
      </c>
      <c r="BT22" s="34">
        <v>0</v>
      </c>
      <c r="BU22" s="34">
        <v>0</v>
      </c>
      <c r="BV22" s="34">
        <v>0</v>
      </c>
      <c r="BW22" s="34">
        <v>0</v>
      </c>
      <c r="BX22" s="34">
        <v>0</v>
      </c>
      <c r="BY22" s="34">
        <v>0</v>
      </c>
      <c r="BZ22" s="34">
        <v>0</v>
      </c>
      <c r="CA22" s="34">
        <v>0</v>
      </c>
      <c r="CB22" s="34">
        <v>0</v>
      </c>
      <c r="CC22" s="34">
        <v>0</v>
      </c>
      <c r="CD22" s="34">
        <v>0</v>
      </c>
      <c r="CE22" s="34">
        <v>0</v>
      </c>
      <c r="CF22" s="34">
        <v>0</v>
      </c>
      <c r="CG22" s="34">
        <v>0</v>
      </c>
      <c r="CH22" s="34">
        <v>0</v>
      </c>
      <c r="CI22" s="34">
        <v>0</v>
      </c>
      <c r="CJ22" s="34">
        <v>0</v>
      </c>
      <c r="CK22" s="34">
        <v>0</v>
      </c>
      <c r="CL22" s="34">
        <v>0</v>
      </c>
      <c r="CM22" s="34">
        <v>0</v>
      </c>
      <c r="CN22" s="34">
        <v>0</v>
      </c>
      <c r="CO22" s="34">
        <v>0</v>
      </c>
      <c r="CP22" s="34">
        <v>0</v>
      </c>
      <c r="CQ22" s="34">
        <v>0</v>
      </c>
      <c r="CR22" s="34">
        <v>0</v>
      </c>
      <c r="CS22" s="34">
        <v>0</v>
      </c>
      <c r="CT22" s="34">
        <v>0</v>
      </c>
      <c r="CU22" s="34">
        <v>0</v>
      </c>
      <c r="CV22" s="34">
        <v>0</v>
      </c>
      <c r="CW22" s="34">
        <v>0</v>
      </c>
      <c r="CX22" s="34">
        <v>0</v>
      </c>
      <c r="CY22" s="34">
        <v>0</v>
      </c>
      <c r="CZ22" s="34">
        <v>0</v>
      </c>
      <c r="DA22" s="34">
        <v>0</v>
      </c>
      <c r="DB22" s="34">
        <v>0</v>
      </c>
      <c r="DC22" s="34">
        <v>0</v>
      </c>
      <c r="DD22" s="34">
        <v>0</v>
      </c>
      <c r="DE22" s="34">
        <v>0</v>
      </c>
      <c r="DF22" s="34">
        <v>0</v>
      </c>
      <c r="DG22" s="34">
        <v>0</v>
      </c>
      <c r="DH22" s="34">
        <v>0</v>
      </c>
      <c r="DI22" s="34">
        <v>0</v>
      </c>
      <c r="DJ22" s="34">
        <v>0</v>
      </c>
      <c r="DK22" s="34">
        <v>0</v>
      </c>
      <c r="DL22" s="34">
        <v>0</v>
      </c>
      <c r="DM22" s="34">
        <v>0</v>
      </c>
      <c r="DN22" s="34">
        <v>0</v>
      </c>
      <c r="DO22" s="34">
        <v>0</v>
      </c>
      <c r="DP22" s="34">
        <v>0</v>
      </c>
      <c r="DQ22" s="34">
        <v>0</v>
      </c>
      <c r="DR22" s="34">
        <v>0</v>
      </c>
      <c r="DS22" s="34">
        <v>0</v>
      </c>
      <c r="DT22" s="34">
        <v>0</v>
      </c>
      <c r="DU22" s="34">
        <v>0</v>
      </c>
      <c r="DV22" s="34">
        <v>0</v>
      </c>
      <c r="DW22" s="34">
        <v>0</v>
      </c>
      <c r="DX22" s="34">
        <v>0</v>
      </c>
      <c r="DY22" s="34">
        <v>0</v>
      </c>
      <c r="DZ22" s="34">
        <v>0</v>
      </c>
      <c r="EA22" s="34">
        <v>0</v>
      </c>
      <c r="EB22" s="34">
        <v>0</v>
      </c>
      <c r="EC22" s="34">
        <v>0</v>
      </c>
      <c r="ED22" s="34">
        <v>0</v>
      </c>
      <c r="EE22" s="34">
        <v>0</v>
      </c>
      <c r="EF22" s="34">
        <v>0</v>
      </c>
      <c r="EG22" s="34">
        <v>0</v>
      </c>
      <c r="EH22" s="34">
        <v>0</v>
      </c>
      <c r="EI22" s="34">
        <v>0</v>
      </c>
      <c r="EJ22" s="34">
        <v>0</v>
      </c>
      <c r="EK22" s="34">
        <v>0</v>
      </c>
      <c r="EL22" s="34">
        <v>0</v>
      </c>
      <c r="EM22" s="34">
        <v>0</v>
      </c>
      <c r="EN22" s="34">
        <v>0</v>
      </c>
      <c r="EO22" s="34">
        <v>0</v>
      </c>
      <c r="EP22" s="34">
        <v>0</v>
      </c>
      <c r="EQ22" s="34">
        <v>0</v>
      </c>
      <c r="ER22" s="34">
        <v>0</v>
      </c>
      <c r="ES22" s="34">
        <v>0</v>
      </c>
      <c r="ET22" s="34">
        <v>0</v>
      </c>
      <c r="EU22" s="34">
        <v>0</v>
      </c>
      <c r="EV22" s="34">
        <v>0</v>
      </c>
      <c r="EW22" s="34">
        <v>0</v>
      </c>
      <c r="EX22" s="34">
        <v>0</v>
      </c>
      <c r="EY22" s="34">
        <v>0</v>
      </c>
      <c r="EZ22" s="34">
        <v>0</v>
      </c>
      <c r="FA22" s="34">
        <v>0</v>
      </c>
      <c r="FB22" s="34">
        <v>0</v>
      </c>
      <c r="FC22" s="34">
        <v>0</v>
      </c>
      <c r="FD22" s="34">
        <v>0</v>
      </c>
      <c r="FE22" s="34">
        <v>0</v>
      </c>
      <c r="FF22" s="34">
        <v>0</v>
      </c>
      <c r="FG22" s="34">
        <v>0</v>
      </c>
      <c r="FH22" s="34">
        <v>0</v>
      </c>
      <c r="FI22" s="34">
        <v>0</v>
      </c>
      <c r="FJ22" s="34">
        <v>0</v>
      </c>
    </row>
    <row r="23" spans="1:166" ht="15.75" x14ac:dyDescent="0.2">
      <c r="A23" s="40" t="s">
        <v>132</v>
      </c>
      <c r="B23" s="39" t="s">
        <v>123</v>
      </c>
      <c r="C23" s="31">
        <v>0</v>
      </c>
      <c r="D23" s="31">
        <v>1624</v>
      </c>
      <c r="E23" s="31">
        <v>0</v>
      </c>
      <c r="F23" s="31">
        <v>0</v>
      </c>
      <c r="G23" s="31">
        <v>0</v>
      </c>
      <c r="H23" s="31">
        <v>0</v>
      </c>
      <c r="I23" s="31">
        <v>0</v>
      </c>
      <c r="J23" s="31">
        <v>0</v>
      </c>
      <c r="K23" s="31">
        <v>0</v>
      </c>
      <c r="L23" s="31">
        <v>0</v>
      </c>
      <c r="M23" s="31">
        <v>0</v>
      </c>
      <c r="N23" s="31">
        <v>0</v>
      </c>
      <c r="O23" s="31">
        <v>0</v>
      </c>
      <c r="P23" s="31">
        <v>0</v>
      </c>
      <c r="Q23" s="31">
        <v>0</v>
      </c>
      <c r="R23" s="31">
        <v>0</v>
      </c>
      <c r="S23" s="31">
        <v>0</v>
      </c>
      <c r="T23" s="31">
        <v>0</v>
      </c>
      <c r="U23" s="31">
        <v>7186</v>
      </c>
      <c r="V23" s="31">
        <v>6427</v>
      </c>
      <c r="W23" s="31">
        <v>8685</v>
      </c>
      <c r="X23" s="31">
        <v>10049</v>
      </c>
      <c r="Y23" s="31">
        <v>10519</v>
      </c>
      <c r="Z23" s="31">
        <v>10947</v>
      </c>
      <c r="AA23" s="31">
        <v>13207</v>
      </c>
      <c r="AB23" s="31">
        <v>13775</v>
      </c>
      <c r="AC23" s="31">
        <v>14705</v>
      </c>
      <c r="AD23" s="31">
        <v>17400</v>
      </c>
      <c r="AE23" s="31">
        <v>24451</v>
      </c>
      <c r="AF23" s="31">
        <v>24140</v>
      </c>
      <c r="AG23" s="31">
        <v>39552</v>
      </c>
      <c r="AH23" s="31">
        <v>51069</v>
      </c>
      <c r="AI23" s="31">
        <v>0</v>
      </c>
      <c r="AJ23" s="31">
        <v>0</v>
      </c>
      <c r="AK23" s="31">
        <v>0</v>
      </c>
      <c r="AL23" s="31">
        <v>0</v>
      </c>
      <c r="AM23" s="31">
        <v>0</v>
      </c>
      <c r="AN23" s="31">
        <v>0</v>
      </c>
      <c r="AO23" s="31">
        <v>0</v>
      </c>
      <c r="AP23" s="31">
        <v>0</v>
      </c>
      <c r="AQ23" s="31">
        <v>0</v>
      </c>
      <c r="AR23" s="31">
        <v>0</v>
      </c>
      <c r="AS23" s="31">
        <v>0</v>
      </c>
      <c r="AT23" s="31">
        <v>0</v>
      </c>
      <c r="AU23" s="31">
        <v>0</v>
      </c>
      <c r="AV23" s="34">
        <v>0</v>
      </c>
      <c r="AW23" s="31">
        <v>0</v>
      </c>
      <c r="AX23" s="31">
        <v>0</v>
      </c>
      <c r="AY23" s="34">
        <v>0</v>
      </c>
      <c r="AZ23" s="34">
        <v>0</v>
      </c>
      <c r="BA23" s="31">
        <v>0</v>
      </c>
      <c r="BB23" s="31">
        <v>0</v>
      </c>
      <c r="BC23" s="31">
        <v>0</v>
      </c>
      <c r="BD23" s="41">
        <v>0</v>
      </c>
      <c r="BE23" s="34">
        <v>0</v>
      </c>
      <c r="BF23" s="34">
        <v>0</v>
      </c>
      <c r="BG23" s="34">
        <v>0</v>
      </c>
      <c r="BH23" s="34">
        <v>0</v>
      </c>
      <c r="BI23" s="34">
        <v>0</v>
      </c>
      <c r="BJ23" s="34">
        <v>0</v>
      </c>
      <c r="BK23" s="34">
        <v>0</v>
      </c>
      <c r="BL23" s="34">
        <v>0</v>
      </c>
      <c r="BM23" s="34">
        <v>0</v>
      </c>
      <c r="BN23" s="34">
        <v>0</v>
      </c>
      <c r="BO23" s="34">
        <v>0</v>
      </c>
      <c r="BP23" s="34">
        <v>0</v>
      </c>
      <c r="BQ23" s="34">
        <v>0</v>
      </c>
      <c r="BR23" s="34">
        <v>0</v>
      </c>
      <c r="BS23" s="34">
        <v>0</v>
      </c>
      <c r="BT23" s="34">
        <v>0</v>
      </c>
      <c r="BU23" s="34">
        <v>0</v>
      </c>
      <c r="BV23" s="34">
        <v>0</v>
      </c>
      <c r="BW23" s="34">
        <v>0</v>
      </c>
      <c r="BX23" s="34">
        <v>0</v>
      </c>
      <c r="BY23" s="34">
        <v>0</v>
      </c>
      <c r="BZ23" s="34">
        <v>0</v>
      </c>
      <c r="CA23" s="34">
        <v>0</v>
      </c>
      <c r="CB23" s="34">
        <v>0</v>
      </c>
      <c r="CC23" s="34">
        <v>0</v>
      </c>
      <c r="CD23" s="34">
        <v>0</v>
      </c>
      <c r="CE23" s="34">
        <v>0</v>
      </c>
      <c r="CF23" s="34">
        <v>0</v>
      </c>
      <c r="CG23" s="34">
        <v>0</v>
      </c>
      <c r="CH23" s="34">
        <v>0</v>
      </c>
      <c r="CI23" s="34">
        <v>0</v>
      </c>
      <c r="CJ23" s="34">
        <v>0</v>
      </c>
      <c r="CK23" s="34">
        <v>0</v>
      </c>
      <c r="CL23" s="34">
        <v>0</v>
      </c>
      <c r="CM23" s="34">
        <v>0</v>
      </c>
      <c r="CN23" s="34">
        <v>0</v>
      </c>
      <c r="CO23" s="34">
        <v>0</v>
      </c>
      <c r="CP23" s="34">
        <v>0</v>
      </c>
      <c r="CQ23" s="34">
        <v>0</v>
      </c>
      <c r="CR23" s="34">
        <v>0</v>
      </c>
      <c r="CS23" s="34">
        <v>0</v>
      </c>
      <c r="CT23" s="34">
        <v>0</v>
      </c>
      <c r="CU23" s="34">
        <v>0</v>
      </c>
      <c r="CV23" s="34">
        <v>0</v>
      </c>
      <c r="CW23" s="34">
        <v>0</v>
      </c>
      <c r="CX23" s="34">
        <v>0</v>
      </c>
      <c r="CY23" s="34">
        <v>0</v>
      </c>
      <c r="CZ23" s="34">
        <v>0</v>
      </c>
      <c r="DA23" s="34">
        <v>0</v>
      </c>
      <c r="DB23" s="34">
        <v>0</v>
      </c>
      <c r="DC23" s="34">
        <v>0</v>
      </c>
      <c r="DD23" s="34">
        <v>0</v>
      </c>
      <c r="DE23" s="34">
        <v>0</v>
      </c>
      <c r="DF23" s="34">
        <v>0</v>
      </c>
      <c r="DG23" s="34">
        <v>0</v>
      </c>
      <c r="DH23" s="34">
        <v>0</v>
      </c>
      <c r="DI23" s="34">
        <v>0</v>
      </c>
      <c r="DJ23" s="34">
        <v>0</v>
      </c>
      <c r="DK23" s="34">
        <v>0</v>
      </c>
      <c r="DL23" s="34">
        <v>0</v>
      </c>
      <c r="DM23" s="34">
        <v>0</v>
      </c>
      <c r="DN23" s="34">
        <v>0</v>
      </c>
      <c r="DO23" s="34">
        <v>0</v>
      </c>
      <c r="DP23" s="34">
        <v>0</v>
      </c>
      <c r="DQ23" s="34">
        <v>0</v>
      </c>
      <c r="DR23" s="34">
        <v>0</v>
      </c>
      <c r="DS23" s="34">
        <v>0</v>
      </c>
      <c r="DT23" s="34">
        <v>0</v>
      </c>
      <c r="DU23" s="34">
        <v>0</v>
      </c>
      <c r="DV23" s="34">
        <v>0</v>
      </c>
      <c r="DW23" s="34">
        <v>0</v>
      </c>
      <c r="DX23" s="34">
        <v>0</v>
      </c>
      <c r="DY23" s="34">
        <v>0</v>
      </c>
      <c r="DZ23" s="34">
        <v>0</v>
      </c>
      <c r="EA23" s="34">
        <v>0</v>
      </c>
      <c r="EB23" s="34">
        <v>0</v>
      </c>
      <c r="EC23" s="34">
        <v>0</v>
      </c>
      <c r="ED23" s="34">
        <v>0</v>
      </c>
      <c r="EE23" s="34">
        <v>0</v>
      </c>
      <c r="EF23" s="34">
        <v>0</v>
      </c>
      <c r="EG23" s="34">
        <v>0</v>
      </c>
      <c r="EH23" s="34">
        <v>0</v>
      </c>
      <c r="EI23" s="34">
        <v>0</v>
      </c>
      <c r="EJ23" s="34">
        <v>0</v>
      </c>
      <c r="EK23" s="34">
        <v>0</v>
      </c>
      <c r="EL23" s="34">
        <v>0</v>
      </c>
      <c r="EM23" s="34">
        <v>0</v>
      </c>
      <c r="EN23" s="34">
        <v>0</v>
      </c>
      <c r="EO23" s="34">
        <v>0</v>
      </c>
      <c r="EP23" s="34">
        <v>0</v>
      </c>
      <c r="EQ23" s="34">
        <v>0</v>
      </c>
      <c r="ER23" s="34">
        <v>0</v>
      </c>
      <c r="ES23" s="34">
        <v>0</v>
      </c>
      <c r="ET23" s="34">
        <v>0</v>
      </c>
      <c r="EU23" s="34">
        <v>0</v>
      </c>
      <c r="EV23" s="34">
        <v>0</v>
      </c>
      <c r="EW23" s="34">
        <v>0</v>
      </c>
      <c r="EX23" s="34">
        <v>0</v>
      </c>
      <c r="EY23" s="34">
        <v>0</v>
      </c>
      <c r="EZ23" s="34">
        <v>0</v>
      </c>
      <c r="FA23" s="34">
        <v>0</v>
      </c>
      <c r="FB23" s="34">
        <v>0</v>
      </c>
      <c r="FC23" s="34">
        <v>0</v>
      </c>
      <c r="FD23" s="34">
        <v>0</v>
      </c>
      <c r="FE23" s="34">
        <v>0</v>
      </c>
      <c r="FF23" s="34">
        <v>0</v>
      </c>
      <c r="FG23" s="34">
        <v>0</v>
      </c>
      <c r="FH23" s="34">
        <v>0</v>
      </c>
      <c r="FI23" s="34">
        <v>0</v>
      </c>
      <c r="FJ23" s="34">
        <v>0</v>
      </c>
    </row>
    <row r="24" spans="1:166" x14ac:dyDescent="0.2">
      <c r="A24" s="40" t="s">
        <v>133</v>
      </c>
      <c r="B24" s="39" t="s">
        <v>123</v>
      </c>
      <c r="C24" s="31">
        <v>0</v>
      </c>
      <c r="D24" s="31">
        <v>0</v>
      </c>
      <c r="E24" s="31">
        <v>0</v>
      </c>
      <c r="F24" s="31">
        <v>0</v>
      </c>
      <c r="G24" s="31">
        <v>0</v>
      </c>
      <c r="H24" s="31">
        <v>0</v>
      </c>
      <c r="I24" s="31">
        <v>0</v>
      </c>
      <c r="J24" s="31">
        <v>0</v>
      </c>
      <c r="K24" s="31">
        <v>0</v>
      </c>
      <c r="L24" s="31">
        <v>0</v>
      </c>
      <c r="M24" s="31">
        <v>0</v>
      </c>
      <c r="N24" s="31">
        <v>0</v>
      </c>
      <c r="O24" s="31">
        <v>0</v>
      </c>
      <c r="P24" s="31">
        <v>0</v>
      </c>
      <c r="Q24" s="31">
        <v>0</v>
      </c>
      <c r="R24" s="31">
        <v>0</v>
      </c>
      <c r="S24" s="31">
        <v>0</v>
      </c>
      <c r="T24" s="31">
        <v>0</v>
      </c>
      <c r="U24" s="31">
        <v>0</v>
      </c>
      <c r="V24" s="31">
        <v>0</v>
      </c>
      <c r="W24" s="31">
        <v>0</v>
      </c>
      <c r="X24" s="31">
        <v>0</v>
      </c>
      <c r="Y24" s="31">
        <v>0</v>
      </c>
      <c r="Z24" s="31">
        <v>0</v>
      </c>
      <c r="AA24" s="31">
        <v>0</v>
      </c>
      <c r="AB24" s="31">
        <v>0</v>
      </c>
      <c r="AC24" s="31">
        <v>0</v>
      </c>
      <c r="AD24" s="31">
        <v>0</v>
      </c>
      <c r="AE24" s="31">
        <v>0</v>
      </c>
      <c r="AF24" s="31">
        <v>0</v>
      </c>
      <c r="AG24" s="31">
        <v>0</v>
      </c>
      <c r="AH24" s="31">
        <v>0</v>
      </c>
      <c r="AI24" s="31">
        <v>14112490</v>
      </c>
      <c r="AJ24" s="31">
        <v>12387189</v>
      </c>
      <c r="AK24" s="31">
        <v>13722414</v>
      </c>
      <c r="AL24" s="31">
        <v>15357142</v>
      </c>
      <c r="AM24" s="31">
        <v>15430193</v>
      </c>
      <c r="AN24" s="31">
        <v>8803013</v>
      </c>
      <c r="AO24" s="31">
        <v>10981770</v>
      </c>
      <c r="AP24" s="31">
        <v>12182757</v>
      </c>
      <c r="AQ24" s="31">
        <v>12434539</v>
      </c>
      <c r="AR24" s="31">
        <v>15637758</v>
      </c>
      <c r="AS24" s="31">
        <v>17451974</v>
      </c>
      <c r="AT24" s="31">
        <v>19182187</v>
      </c>
      <c r="AU24" s="31">
        <v>23609406</v>
      </c>
      <c r="AV24" s="31">
        <v>25876915</v>
      </c>
      <c r="AW24" s="31">
        <v>27214649</v>
      </c>
      <c r="AX24" s="31">
        <v>31700136</v>
      </c>
      <c r="AY24" s="31">
        <v>28795361.989121988</v>
      </c>
      <c r="AZ24" s="31">
        <v>31633493.61305362</v>
      </c>
      <c r="BA24" s="31">
        <v>34677814.794094801</v>
      </c>
      <c r="BB24" s="31">
        <v>36026305.112665117</v>
      </c>
      <c r="BC24" s="31">
        <v>37038728.826728828</v>
      </c>
      <c r="BD24" s="31">
        <v>42639004</v>
      </c>
      <c r="BE24" s="31">
        <v>44951708.665112667</v>
      </c>
      <c r="BF24" s="34">
        <f t="shared" ref="BF24:BU31" si="40">IF(_xlfn.FORECAST.ETS(BF$47,P24:BE24,P$47:BE$47)&lt;0,0,_xlfn.FORECAST.ETS(BF$47,P24:BE24,P$47:BE$47))</f>
        <v>47049696.281668849</v>
      </c>
      <c r="BG24" s="34">
        <f t="shared" si="40"/>
        <v>49553396.523913205</v>
      </c>
      <c r="BH24" s="34">
        <f t="shared" si="40"/>
        <v>52057096.823271997</v>
      </c>
      <c r="BI24" s="34">
        <f t="shared" si="40"/>
        <v>54050703.69654081</v>
      </c>
      <c r="BJ24" s="34">
        <f t="shared" si="40"/>
        <v>56639419.35919366</v>
      </c>
      <c r="BK24" s="34">
        <f t="shared" si="40"/>
        <v>59550400.423898265</v>
      </c>
      <c r="BL24" s="34">
        <f t="shared" si="40"/>
        <v>62213779.471606858</v>
      </c>
      <c r="BM24" s="34">
        <f t="shared" si="40"/>
        <v>65046528.086983681</v>
      </c>
      <c r="BN24" s="34">
        <f t="shared" si="40"/>
        <v>67944460.301086143</v>
      </c>
      <c r="BO24" s="34">
        <f t="shared" si="40"/>
        <v>70641776.520744383</v>
      </c>
      <c r="BP24" s="34">
        <f t="shared" si="40"/>
        <v>73304977.60726586</v>
      </c>
      <c r="BQ24" s="34">
        <f t="shared" si="40"/>
        <v>76016702.298312485</v>
      </c>
      <c r="BR24" s="34">
        <f t="shared" si="40"/>
        <v>78728427.071809828</v>
      </c>
      <c r="BS24" s="34">
        <f t="shared" si="40"/>
        <v>81440151.92959027</v>
      </c>
      <c r="BT24" s="34">
        <f t="shared" si="40"/>
        <v>84151876.873282537</v>
      </c>
      <c r="BU24" s="34">
        <f t="shared" si="40"/>
        <v>86863601.904293925</v>
      </c>
      <c r="BV24" s="34">
        <f t="shared" ref="BV24:CK31" si="41">IF(_xlfn.FORECAST.ETS(BV$47,AF24:BU24,AF$47:BU$47)&lt;0,0,_xlfn.FORECAST.ETS(BV$47,AF24:BU24,AF$47:BU$47))</f>
        <v>89575327.023792759</v>
      </c>
      <c r="BW24" s="34">
        <f t="shared" si="41"/>
        <v>92287052.232690632</v>
      </c>
      <c r="BX24" s="34">
        <f t="shared" si="41"/>
        <v>94998777.531624779</v>
      </c>
      <c r="BY24" s="34">
        <f t="shared" si="41"/>
        <v>97708220.329935759</v>
      </c>
      <c r="BZ24" s="34">
        <f t="shared" si="41"/>
        <v>100417677.26634152</v>
      </c>
      <c r="CA24" s="34">
        <f t="shared" si="41"/>
        <v>103127136.39842677</v>
      </c>
      <c r="CB24" s="34">
        <f t="shared" si="41"/>
        <v>105836597.27515982</v>
      </c>
      <c r="CC24" s="34">
        <f t="shared" si="41"/>
        <v>108547418.02915886</v>
      </c>
      <c r="CD24" s="34">
        <f t="shared" si="41"/>
        <v>111257629.3163574</v>
      </c>
      <c r="CE24" s="34">
        <f t="shared" si="41"/>
        <v>113967840.26333241</v>
      </c>
      <c r="CF24" s="34">
        <f t="shared" si="41"/>
        <v>116678051.30594635</v>
      </c>
      <c r="CG24" s="34">
        <f t="shared" si="41"/>
        <v>119388262.48134488</v>
      </c>
      <c r="CH24" s="34">
        <f t="shared" si="41"/>
        <v>122098473.51355012</v>
      </c>
      <c r="CI24" s="34">
        <f t="shared" si="41"/>
        <v>124808684.63465579</v>
      </c>
      <c r="CJ24" s="34">
        <f t="shared" si="41"/>
        <v>127365053.13696396</v>
      </c>
      <c r="CK24" s="34">
        <f t="shared" si="41"/>
        <v>130100904.4581091</v>
      </c>
      <c r="CL24" s="34">
        <f t="shared" ref="CL24:DA31" si="42">IF(_xlfn.FORECAST.ETS(CL$47,AV24:CK24,AV$47:CK$47)&lt;0,0,_xlfn.FORECAST.ETS(CL$47,AV24:CK24,AV$47:CK$47))</f>
        <v>132697323.51559801</v>
      </c>
      <c r="CM24" s="34">
        <f t="shared" si="42"/>
        <v>135345057.25382459</v>
      </c>
      <c r="CN24" s="34">
        <f t="shared" si="42"/>
        <v>137999975.35061425</v>
      </c>
      <c r="CO24" s="34">
        <f t="shared" si="42"/>
        <v>140737241.9381122</v>
      </c>
      <c r="CP24" s="34">
        <f t="shared" si="42"/>
        <v>143424408.35387093</v>
      </c>
      <c r="CQ24" s="34">
        <f t="shared" si="42"/>
        <v>146104142.34693226</v>
      </c>
      <c r="CR24" s="34">
        <f t="shared" si="42"/>
        <v>148918391.29689386</v>
      </c>
      <c r="CS24" s="34">
        <f t="shared" si="42"/>
        <v>151578948.46697092</v>
      </c>
      <c r="CT24" s="34">
        <f t="shared" si="42"/>
        <v>154268191.54602784</v>
      </c>
      <c r="CU24" s="34">
        <f t="shared" si="42"/>
        <v>156960537.77211332</v>
      </c>
      <c r="CV24" s="34">
        <f t="shared" si="42"/>
        <v>159656967.88964543</v>
      </c>
      <c r="CW24" s="34">
        <f t="shared" si="42"/>
        <v>162357119.9251132</v>
      </c>
      <c r="CX24" s="34">
        <f t="shared" si="42"/>
        <v>165058748.52511734</v>
      </c>
      <c r="CY24" s="34">
        <f t="shared" si="42"/>
        <v>167762067.95766324</v>
      </c>
      <c r="CZ24" s="34">
        <f t="shared" si="42"/>
        <v>170463845.28658685</v>
      </c>
      <c r="DA24" s="34">
        <f t="shared" si="42"/>
        <v>173163563.33539149</v>
      </c>
      <c r="DB24" s="34">
        <f t="shared" ref="DB24:DQ31" si="43">IF(_xlfn.FORECAST.ETS(DB$47,BL24:DA24,BL$47:DA$47)&lt;0,0,_xlfn.FORECAST.ETS(DB$47,BL24:DA24,BL$47:DA$47))</f>
        <v>175862302.86562654</v>
      </c>
      <c r="DC24" s="34">
        <f t="shared" si="43"/>
        <v>178559241.26566318</v>
      </c>
      <c r="DD24" s="34">
        <f t="shared" si="43"/>
        <v>181255499.58598128</v>
      </c>
      <c r="DE24" s="34">
        <f t="shared" si="43"/>
        <v>183951563.59640005</v>
      </c>
      <c r="DF24" s="34">
        <f t="shared" si="43"/>
        <v>186647405.59363014</v>
      </c>
      <c r="DG24" s="34">
        <f t="shared" si="43"/>
        <v>189342829.55715221</v>
      </c>
      <c r="DH24" s="34">
        <f t="shared" si="43"/>
        <v>192037891.46807888</v>
      </c>
      <c r="DI24" s="34">
        <f t="shared" si="43"/>
        <v>194733287.13293239</v>
      </c>
      <c r="DJ24" s="34">
        <f t="shared" si="43"/>
        <v>197427667.11880502</v>
      </c>
      <c r="DK24" s="34">
        <f t="shared" si="43"/>
        <v>200121861.61467606</v>
      </c>
      <c r="DL24" s="34">
        <f t="shared" si="43"/>
        <v>202815844.31392893</v>
      </c>
      <c r="DM24" s="34">
        <f t="shared" si="43"/>
        <v>205509657.11466968</v>
      </c>
      <c r="DN24" s="34">
        <f t="shared" si="43"/>
        <v>208203344.18875369</v>
      </c>
      <c r="DO24" s="34">
        <f t="shared" si="43"/>
        <v>210896954.84432936</v>
      </c>
      <c r="DP24" s="34">
        <f t="shared" si="43"/>
        <v>213590529.58722159</v>
      </c>
      <c r="DQ24" s="34">
        <f t="shared" si="43"/>
        <v>216284112.46583</v>
      </c>
      <c r="DR24" s="34">
        <f t="shared" ref="DR24:EG31" si="44">IF(_xlfn.FORECAST.ETS(DR$47,CB24:DQ24,CB$47:DQ$47)&lt;0,0,_xlfn.FORECAST.ETS(DR$47,CB24:DQ24,CB$47:DQ$47))</f>
        <v>218977750.08127719</v>
      </c>
      <c r="DS24" s="34">
        <f t="shared" si="44"/>
        <v>221671490.13814676</v>
      </c>
      <c r="DT24" s="34">
        <f t="shared" si="44"/>
        <v>224365390.70219111</v>
      </c>
      <c r="DU24" s="34">
        <f t="shared" si="44"/>
        <v>227059509.3893331</v>
      </c>
      <c r="DV24" s="34">
        <f t="shared" si="44"/>
        <v>229753907.4007028</v>
      </c>
      <c r="DW24" s="34">
        <f t="shared" si="44"/>
        <v>232448649.40225634</v>
      </c>
      <c r="DX24" s="34">
        <f t="shared" si="44"/>
        <v>235143803.69107372</v>
      </c>
      <c r="DY24" s="34">
        <f t="shared" si="44"/>
        <v>237839442.36137855</v>
      </c>
      <c r="DZ24" s="34">
        <f t="shared" si="44"/>
        <v>240535823.00790578</v>
      </c>
      <c r="EA24" s="34">
        <f t="shared" si="44"/>
        <v>243232227.31421846</v>
      </c>
      <c r="EB24" s="34">
        <f t="shared" si="44"/>
        <v>245929141.77675223</v>
      </c>
      <c r="EC24" s="34">
        <f t="shared" si="44"/>
        <v>248626249.45899829</v>
      </c>
      <c r="ED24" s="34">
        <f t="shared" si="44"/>
        <v>251322790.32739437</v>
      </c>
      <c r="EE24" s="34">
        <f t="shared" si="44"/>
        <v>254018715.42307544</v>
      </c>
      <c r="EF24" s="34">
        <f t="shared" si="44"/>
        <v>256714639.93413162</v>
      </c>
      <c r="EG24" s="34">
        <f t="shared" si="44"/>
        <v>259410454.77064773</v>
      </c>
      <c r="EH24" s="34">
        <f t="shared" ref="EH24:EW31" si="45">IF(_xlfn.FORECAST.ETS(EH$47,CR24:EG24,CR$47:EG$47)&lt;0,0,_xlfn.FORECAST.ETS(EH$47,CR24:EG24,CR$47:EG$47))</f>
        <v>262105805.66103658</v>
      </c>
      <c r="EI24" s="34">
        <f t="shared" si="45"/>
        <v>264801320.34407139</v>
      </c>
      <c r="EJ24" s="34">
        <f t="shared" si="45"/>
        <v>267496773.31084338</v>
      </c>
      <c r="EK24" s="34">
        <f t="shared" si="45"/>
        <v>270192231.54613143</v>
      </c>
      <c r="EL24" s="34">
        <f t="shared" si="45"/>
        <v>272887689.68358529</v>
      </c>
      <c r="EM24" s="34">
        <f t="shared" si="45"/>
        <v>275583281.74186587</v>
      </c>
      <c r="EN24" s="34">
        <f t="shared" si="45"/>
        <v>278278873.43026084</v>
      </c>
      <c r="EO24" s="34">
        <f t="shared" si="45"/>
        <v>280974418.99641472</v>
      </c>
      <c r="EP24" s="34">
        <f t="shared" si="45"/>
        <v>283669955.10927534</v>
      </c>
      <c r="EQ24" s="34">
        <f t="shared" si="45"/>
        <v>286365503.98063773</v>
      </c>
      <c r="ER24" s="34">
        <f t="shared" si="45"/>
        <v>289061069.76245147</v>
      </c>
      <c r="ES24" s="34">
        <f t="shared" si="45"/>
        <v>291756630.76034397</v>
      </c>
      <c r="ET24" s="34">
        <f t="shared" si="45"/>
        <v>294452192.09739864</v>
      </c>
      <c r="EU24" s="34">
        <f t="shared" si="45"/>
        <v>297147753.70405477</v>
      </c>
      <c r="EV24" s="34">
        <f t="shared" si="45"/>
        <v>299843315.09050131</v>
      </c>
      <c r="EW24" s="34">
        <f t="shared" si="45"/>
        <v>302538876.49725783</v>
      </c>
      <c r="EX24" s="34">
        <f t="shared" ref="EX24:FJ31" si="46">IF(_xlfn.FORECAST.ETS(EX$47,DH24:EW24,DH$47:EW$47)&lt;0,0,_xlfn.FORECAST.ETS(EX$47,DH24:EW24,DH$47:EW$47))</f>
        <v>305234437.90363067</v>
      </c>
      <c r="EY24" s="34">
        <f t="shared" si="46"/>
        <v>307929999.31000352</v>
      </c>
      <c r="EZ24" s="34">
        <f t="shared" si="46"/>
        <v>310625560.71637636</v>
      </c>
      <c r="FA24" s="34">
        <f t="shared" si="46"/>
        <v>313321122.12274921</v>
      </c>
      <c r="FB24" s="34">
        <f t="shared" si="46"/>
        <v>316016683.52912205</v>
      </c>
      <c r="FC24" s="34">
        <f t="shared" si="46"/>
        <v>318712244.9354949</v>
      </c>
      <c r="FD24" s="34">
        <f t="shared" si="46"/>
        <v>321407806.34186774</v>
      </c>
      <c r="FE24" s="34">
        <f t="shared" si="46"/>
        <v>324103367.74824059</v>
      </c>
      <c r="FF24" s="34">
        <f t="shared" si="46"/>
        <v>326798929.15461344</v>
      </c>
      <c r="FG24" s="34">
        <f t="shared" si="46"/>
        <v>329494490.56098628</v>
      </c>
      <c r="FH24" s="34">
        <f t="shared" si="46"/>
        <v>332190051.96735913</v>
      </c>
      <c r="FI24" s="34">
        <f t="shared" si="46"/>
        <v>334885613.37373197</v>
      </c>
      <c r="FJ24" s="34">
        <f t="shared" si="46"/>
        <v>337581174.78010482</v>
      </c>
    </row>
    <row r="25" spans="1:166" x14ac:dyDescent="0.2">
      <c r="A25" s="40" t="s">
        <v>134</v>
      </c>
      <c r="B25" s="39" t="s">
        <v>123</v>
      </c>
      <c r="C25" s="31">
        <v>0</v>
      </c>
      <c r="D25" s="31">
        <v>0</v>
      </c>
      <c r="E25" s="31">
        <v>0</v>
      </c>
      <c r="F25" s="31">
        <v>0</v>
      </c>
      <c r="G25" s="31">
        <v>0</v>
      </c>
      <c r="H25" s="31">
        <v>0</v>
      </c>
      <c r="I25" s="31">
        <v>0</v>
      </c>
      <c r="J25" s="31">
        <v>0</v>
      </c>
      <c r="K25" s="31">
        <v>0</v>
      </c>
      <c r="L25" s="31">
        <v>0</v>
      </c>
      <c r="M25" s="31">
        <v>0</v>
      </c>
      <c r="N25" s="31">
        <v>0</v>
      </c>
      <c r="O25" s="31">
        <v>0</v>
      </c>
      <c r="P25" s="31">
        <v>0</v>
      </c>
      <c r="Q25" s="31">
        <v>0</v>
      </c>
      <c r="R25" s="31">
        <v>0</v>
      </c>
      <c r="S25" s="31">
        <v>0</v>
      </c>
      <c r="T25" s="31">
        <v>0</v>
      </c>
      <c r="U25" s="31">
        <v>0</v>
      </c>
      <c r="V25" s="31">
        <v>0</v>
      </c>
      <c r="W25" s="31">
        <v>0</v>
      </c>
      <c r="X25" s="31">
        <v>0</v>
      </c>
      <c r="Y25" s="31">
        <v>0</v>
      </c>
      <c r="Z25" s="31">
        <v>0</v>
      </c>
      <c r="AA25" s="31">
        <v>0</v>
      </c>
      <c r="AB25" s="31">
        <v>0</v>
      </c>
      <c r="AC25" s="31">
        <v>0</v>
      </c>
      <c r="AD25" s="31">
        <v>0</v>
      </c>
      <c r="AE25" s="31">
        <v>0</v>
      </c>
      <c r="AF25" s="31">
        <v>0</v>
      </c>
      <c r="AG25" s="31">
        <v>0</v>
      </c>
      <c r="AH25" s="31">
        <v>0</v>
      </c>
      <c r="AI25" s="31">
        <v>439089</v>
      </c>
      <c r="AJ25" s="31">
        <v>537774</v>
      </c>
      <c r="AK25" s="31">
        <v>301091</v>
      </c>
      <c r="AL25" s="31">
        <v>320797</v>
      </c>
      <c r="AM25" s="31">
        <v>238962</v>
      </c>
      <c r="AN25" s="31">
        <v>63479</v>
      </c>
      <c r="AO25" s="31">
        <v>138562</v>
      </c>
      <c r="AP25" s="31">
        <v>95476</v>
      </c>
      <c r="AQ25" s="31">
        <v>90615</v>
      </c>
      <c r="AR25" s="31">
        <v>113852</v>
      </c>
      <c r="AS25" s="31">
        <v>173650</v>
      </c>
      <c r="AT25" s="31">
        <v>180062</v>
      </c>
      <c r="AU25" s="31">
        <v>184899</v>
      </c>
      <c r="AV25" s="31">
        <v>189191</v>
      </c>
      <c r="AW25" s="31">
        <v>562629</v>
      </c>
      <c r="AX25" s="31">
        <v>612670</v>
      </c>
      <c r="AY25" s="31">
        <v>395550.76923076919</v>
      </c>
      <c r="AZ25" s="31">
        <v>969562.6728826731</v>
      </c>
      <c r="BA25" s="31">
        <v>865020.0466200466</v>
      </c>
      <c r="BB25" s="31">
        <v>541603.82284382253</v>
      </c>
      <c r="BC25" s="31">
        <v>693451.65501165483</v>
      </c>
      <c r="BD25" s="31">
        <v>645121</v>
      </c>
      <c r="BE25" s="31">
        <v>660402</v>
      </c>
      <c r="BF25" s="34">
        <f t="shared" si="40"/>
        <v>712750.21005010349</v>
      </c>
      <c r="BG25" s="34">
        <f t="shared" si="40"/>
        <v>698225.58305300237</v>
      </c>
      <c r="BH25" s="34">
        <f t="shared" si="40"/>
        <v>688434.45635711774</v>
      </c>
      <c r="BI25" s="34">
        <f t="shared" si="40"/>
        <v>717899.25327038881</v>
      </c>
      <c r="BJ25" s="34">
        <f t="shared" si="40"/>
        <v>718729.97614034545</v>
      </c>
      <c r="BK25" s="34">
        <f t="shared" si="40"/>
        <v>1085749.9877798082</v>
      </c>
      <c r="BL25" s="34">
        <f t="shared" si="40"/>
        <v>1190520.2275142944</v>
      </c>
      <c r="BM25" s="34">
        <f t="shared" si="40"/>
        <v>986342.35034513881</v>
      </c>
      <c r="BN25" s="34">
        <f t="shared" si="40"/>
        <v>1066539.2670654275</v>
      </c>
      <c r="BO25" s="34">
        <f t="shared" si="40"/>
        <v>1006057.8080861196</v>
      </c>
      <c r="BP25" s="34">
        <f t="shared" si="40"/>
        <v>805627.62580287305</v>
      </c>
      <c r="BQ25" s="34">
        <f t="shared" si="40"/>
        <v>852122.39570952335</v>
      </c>
      <c r="BR25" s="34">
        <f t="shared" si="40"/>
        <v>824043.33757905988</v>
      </c>
      <c r="BS25" s="34">
        <f t="shared" si="40"/>
        <v>806772.16022355482</v>
      </c>
      <c r="BT25" s="34">
        <f t="shared" si="40"/>
        <v>816051.97485118918</v>
      </c>
      <c r="BU25" s="34">
        <f t="shared" si="40"/>
        <v>847505.07230767026</v>
      </c>
      <c r="BV25" s="34">
        <f t="shared" si="41"/>
        <v>860068.79657102202</v>
      </c>
      <c r="BW25" s="34">
        <f t="shared" si="41"/>
        <v>853183.04076733312</v>
      </c>
      <c r="BX25" s="34">
        <f t="shared" si="41"/>
        <v>833086.19358262199</v>
      </c>
      <c r="BY25" s="34">
        <f t="shared" si="41"/>
        <v>1235451.8814316471</v>
      </c>
      <c r="BZ25" s="34">
        <f t="shared" si="41"/>
        <v>1325275.3465390268</v>
      </c>
      <c r="CA25" s="34">
        <f t="shared" si="41"/>
        <v>1048387.1162108729</v>
      </c>
      <c r="CB25" s="34">
        <f t="shared" si="41"/>
        <v>1342653.4424626916</v>
      </c>
      <c r="CC25" s="34">
        <f t="shared" si="41"/>
        <v>1261374.8496464079</v>
      </c>
      <c r="CD25" s="34">
        <f t="shared" si="41"/>
        <v>953291.52847700531</v>
      </c>
      <c r="CE25" s="34">
        <f t="shared" si="41"/>
        <v>1112103.8244174246</v>
      </c>
      <c r="CF25" s="34">
        <f t="shared" si="41"/>
        <v>1056294.3299104951</v>
      </c>
      <c r="CG25" s="34">
        <f t="shared" si="41"/>
        <v>1070263.7949243735</v>
      </c>
      <c r="CH25" s="34">
        <f t="shared" si="41"/>
        <v>1116111.0601092665</v>
      </c>
      <c r="CI25" s="34">
        <f t="shared" si="41"/>
        <v>1130864.3277563159</v>
      </c>
      <c r="CJ25" s="34">
        <f t="shared" si="41"/>
        <v>1132094.8443319588</v>
      </c>
      <c r="CK25" s="34">
        <f t="shared" si="41"/>
        <v>1154983.5482469269</v>
      </c>
      <c r="CL25" s="34">
        <f t="shared" si="42"/>
        <v>1162419.9845456011</v>
      </c>
      <c r="CM25" s="34">
        <f t="shared" si="42"/>
        <v>1553820.837097154</v>
      </c>
      <c r="CN25" s="34">
        <f t="shared" si="42"/>
        <v>1653983.0248634308</v>
      </c>
      <c r="CO25" s="34">
        <f t="shared" si="42"/>
        <v>1454219.6557173519</v>
      </c>
      <c r="CP25" s="34">
        <f t="shared" si="42"/>
        <v>1615760.2489909735</v>
      </c>
      <c r="CQ25" s="34">
        <f t="shared" si="42"/>
        <v>1557668.5475716535</v>
      </c>
      <c r="CR25" s="34">
        <f t="shared" si="42"/>
        <v>1339883.3230151813</v>
      </c>
      <c r="CS25" s="34">
        <f t="shared" si="42"/>
        <v>1401265.4396789188</v>
      </c>
      <c r="CT25" s="34">
        <f t="shared" si="42"/>
        <v>1385012.9951199791</v>
      </c>
      <c r="CU25" s="34">
        <f t="shared" si="42"/>
        <v>1376840.909626011</v>
      </c>
      <c r="CV25" s="34">
        <f t="shared" si="42"/>
        <v>1395780.1841348889</v>
      </c>
      <c r="CW25" s="34">
        <f t="shared" si="42"/>
        <v>1417421.7456495455</v>
      </c>
      <c r="CX25" s="34">
        <f t="shared" si="42"/>
        <v>1426417.9899306765</v>
      </c>
      <c r="CY25" s="34">
        <f t="shared" si="42"/>
        <v>1432284.5873642778</v>
      </c>
      <c r="CZ25" s="34">
        <f t="shared" si="42"/>
        <v>1417385.8612929345</v>
      </c>
      <c r="DA25" s="34">
        <f t="shared" si="42"/>
        <v>1811505.5424000069</v>
      </c>
      <c r="DB25" s="34">
        <f t="shared" si="43"/>
        <v>1911058.6109578584</v>
      </c>
      <c r="DC25" s="34">
        <f t="shared" si="43"/>
        <v>1645612.1160368235</v>
      </c>
      <c r="DD25" s="34">
        <f t="shared" si="43"/>
        <v>1903893.6864689519</v>
      </c>
      <c r="DE25" s="34">
        <f t="shared" si="43"/>
        <v>1828189.5550602383</v>
      </c>
      <c r="DF25" s="34">
        <f t="shared" si="43"/>
        <v>1519619.1884459027</v>
      </c>
      <c r="DG25" s="34">
        <f t="shared" si="43"/>
        <v>1682843.1537508946</v>
      </c>
      <c r="DH25" s="34">
        <f t="shared" si="43"/>
        <v>1606149.1967709849</v>
      </c>
      <c r="DI25" s="34">
        <f t="shared" si="43"/>
        <v>1621535.0144121682</v>
      </c>
      <c r="DJ25" s="34">
        <f t="shared" si="43"/>
        <v>1676924.1600688456</v>
      </c>
      <c r="DK25" s="34">
        <f t="shared" si="43"/>
        <v>1679977.9747931226</v>
      </c>
      <c r="DL25" s="34">
        <f t="shared" si="43"/>
        <v>1686188.4212495361</v>
      </c>
      <c r="DM25" s="34">
        <f t="shared" si="43"/>
        <v>1697312.9945139627</v>
      </c>
      <c r="DN25" s="34">
        <f t="shared" si="43"/>
        <v>1704377.5074679437</v>
      </c>
      <c r="DO25" s="34">
        <f t="shared" si="43"/>
        <v>2090174.0404223558</v>
      </c>
      <c r="DP25" s="34">
        <f t="shared" si="43"/>
        <v>2190464.5981163341</v>
      </c>
      <c r="DQ25" s="34">
        <f t="shared" si="43"/>
        <v>1975977.4171891611</v>
      </c>
      <c r="DR25" s="34">
        <f t="shared" si="44"/>
        <v>2164313.3166725375</v>
      </c>
      <c r="DS25" s="34">
        <f t="shared" si="44"/>
        <v>2100946.9452015092</v>
      </c>
      <c r="DT25" s="34">
        <f t="shared" si="44"/>
        <v>1883092.2269491914</v>
      </c>
      <c r="DU25" s="34">
        <f t="shared" si="44"/>
        <v>1937154.234149318</v>
      </c>
      <c r="DV25" s="34">
        <f t="shared" si="44"/>
        <v>1934463.4042732862</v>
      </c>
      <c r="DW25" s="34">
        <f t="shared" si="44"/>
        <v>1925737.2911395484</v>
      </c>
      <c r="DX25" s="34">
        <f t="shared" si="44"/>
        <v>1940539.3089353633</v>
      </c>
      <c r="DY25" s="34">
        <f t="shared" si="44"/>
        <v>1970233.4494800523</v>
      </c>
      <c r="DZ25" s="34">
        <f t="shared" si="44"/>
        <v>1979913.3590611094</v>
      </c>
      <c r="EA25" s="34">
        <f t="shared" si="44"/>
        <v>1980559.9561914671</v>
      </c>
      <c r="EB25" s="34">
        <f t="shared" si="44"/>
        <v>1978535.5525391051</v>
      </c>
      <c r="EC25" s="34">
        <f t="shared" si="44"/>
        <v>2367429.1141343121</v>
      </c>
      <c r="ED25" s="34">
        <f t="shared" si="44"/>
        <v>2470552.0304894638</v>
      </c>
      <c r="EE25" s="34">
        <f t="shared" si="44"/>
        <v>2219685.8757674862</v>
      </c>
      <c r="EF25" s="34">
        <f t="shared" si="44"/>
        <v>2457648.022659983</v>
      </c>
      <c r="EG25" s="34">
        <f t="shared" si="44"/>
        <v>2386747.3143821629</v>
      </c>
      <c r="EH25" s="34">
        <f t="shared" si="45"/>
        <v>2126105.1189410957</v>
      </c>
      <c r="EI25" s="34">
        <f t="shared" si="45"/>
        <v>2242634.3248764141</v>
      </c>
      <c r="EJ25" s="34">
        <f t="shared" si="45"/>
        <v>2169038.1473080833</v>
      </c>
      <c r="EK25" s="34">
        <f t="shared" si="45"/>
        <v>2187138.1895950772</v>
      </c>
      <c r="EL25" s="34">
        <f t="shared" si="45"/>
        <v>2239470.8819480678</v>
      </c>
      <c r="EM25" s="34">
        <f t="shared" si="45"/>
        <v>2240901.5868701544</v>
      </c>
      <c r="EN25" s="34">
        <f t="shared" si="45"/>
        <v>2246901.8601823826</v>
      </c>
      <c r="EO25" s="34">
        <f t="shared" si="45"/>
        <v>2256213.1339990781</v>
      </c>
      <c r="EP25" s="34">
        <f t="shared" si="45"/>
        <v>2263677.0177936023</v>
      </c>
      <c r="EQ25" s="34">
        <f t="shared" si="45"/>
        <v>2648461.9531336753</v>
      </c>
      <c r="ER25" s="34">
        <f t="shared" si="45"/>
        <v>2749575.8296624017</v>
      </c>
      <c r="ES25" s="34">
        <f t="shared" si="45"/>
        <v>2523864.1734120897</v>
      </c>
      <c r="ET25" s="34">
        <f t="shared" si="45"/>
        <v>2726631.9045236418</v>
      </c>
      <c r="EU25" s="34">
        <f t="shared" si="45"/>
        <v>2660746.0332491309</v>
      </c>
      <c r="EV25" s="34">
        <f t="shared" si="45"/>
        <v>2436715.8749034721</v>
      </c>
      <c r="EW25" s="34">
        <f t="shared" si="45"/>
        <v>2504282.4996639392</v>
      </c>
      <c r="EX25" s="34">
        <f t="shared" si="46"/>
        <v>2482190.1499390351</v>
      </c>
      <c r="EY25" s="34">
        <f t="shared" si="46"/>
        <v>2482554.8304855595</v>
      </c>
      <c r="EZ25" s="34">
        <f t="shared" si="46"/>
        <v>2499251.7675128472</v>
      </c>
      <c r="FA25" s="34">
        <f t="shared" si="46"/>
        <v>2531201.0616559214</v>
      </c>
      <c r="FB25" s="34">
        <f t="shared" si="46"/>
        <v>2540837.1632873886</v>
      </c>
      <c r="FC25" s="34">
        <f t="shared" si="46"/>
        <v>2538850.0061534247</v>
      </c>
      <c r="FD25" s="34">
        <f t="shared" si="46"/>
        <v>2539559.5371115981</v>
      </c>
      <c r="FE25" s="34">
        <f t="shared" si="46"/>
        <v>2928117.2784136832</v>
      </c>
      <c r="FF25" s="34">
        <f t="shared" si="46"/>
        <v>3030931.2237671954</v>
      </c>
      <c r="FG25" s="34">
        <f t="shared" si="46"/>
        <v>2788109.6421696651</v>
      </c>
      <c r="FH25" s="34">
        <f t="shared" si="46"/>
        <v>3015929.008806061</v>
      </c>
      <c r="FI25" s="34">
        <f t="shared" si="46"/>
        <v>2946936.8806734085</v>
      </c>
      <c r="FJ25" s="34">
        <f t="shared" si="46"/>
        <v>2696439.247970684</v>
      </c>
    </row>
    <row r="26" spans="1:166" x14ac:dyDescent="0.2">
      <c r="A26" s="40" t="s">
        <v>135</v>
      </c>
      <c r="B26" s="39" t="s">
        <v>123</v>
      </c>
      <c r="C26" s="31">
        <v>0</v>
      </c>
      <c r="D26" s="31">
        <v>0</v>
      </c>
      <c r="E26" s="31">
        <v>0</v>
      </c>
      <c r="F26" s="31">
        <v>0</v>
      </c>
      <c r="G26" s="31">
        <v>0</v>
      </c>
      <c r="H26" s="31">
        <v>0</v>
      </c>
      <c r="I26" s="31">
        <v>0</v>
      </c>
      <c r="J26" s="31">
        <v>0</v>
      </c>
      <c r="K26" s="31">
        <v>0</v>
      </c>
      <c r="L26" s="31">
        <v>0</v>
      </c>
      <c r="M26" s="31">
        <v>0</v>
      </c>
      <c r="N26" s="31">
        <v>0</v>
      </c>
      <c r="O26" s="31">
        <v>0</v>
      </c>
      <c r="P26" s="31">
        <v>0</v>
      </c>
      <c r="Q26" s="31">
        <v>0</v>
      </c>
      <c r="R26" s="31">
        <v>0</v>
      </c>
      <c r="S26" s="31">
        <v>0</v>
      </c>
      <c r="T26" s="31">
        <v>0</v>
      </c>
      <c r="U26" s="31">
        <v>0</v>
      </c>
      <c r="V26" s="31">
        <v>0</v>
      </c>
      <c r="W26" s="31">
        <v>0</v>
      </c>
      <c r="X26" s="31">
        <v>0</v>
      </c>
      <c r="Y26" s="31">
        <v>0</v>
      </c>
      <c r="Z26" s="31">
        <v>0</v>
      </c>
      <c r="AA26" s="31">
        <v>0</v>
      </c>
      <c r="AB26" s="31">
        <v>0</v>
      </c>
      <c r="AC26" s="31">
        <v>0</v>
      </c>
      <c r="AD26" s="31">
        <v>0</v>
      </c>
      <c r="AE26" s="31">
        <v>0</v>
      </c>
      <c r="AF26" s="31">
        <v>0</v>
      </c>
      <c r="AG26" s="31">
        <v>0</v>
      </c>
      <c r="AH26" s="31">
        <v>0</v>
      </c>
      <c r="AI26" s="31">
        <v>1597231</v>
      </c>
      <c r="AJ26" s="31">
        <v>1837329</v>
      </c>
      <c r="AK26" s="31">
        <v>2189362</v>
      </c>
      <c r="AL26" s="31">
        <v>2284298</v>
      </c>
      <c r="AM26" s="31">
        <v>1909164</v>
      </c>
      <c r="AN26" s="31">
        <v>1424745</v>
      </c>
      <c r="AO26" s="31">
        <v>1885721</v>
      </c>
      <c r="AP26" s="31">
        <v>1892124</v>
      </c>
      <c r="AQ26" s="31">
        <v>2236386</v>
      </c>
      <c r="AR26" s="31">
        <v>3198522</v>
      </c>
      <c r="AS26" s="31">
        <v>3944707</v>
      </c>
      <c r="AT26" s="31">
        <v>4410225</v>
      </c>
      <c r="AU26" s="31">
        <v>4652851</v>
      </c>
      <c r="AV26" s="31">
        <v>6291697</v>
      </c>
      <c r="AW26" s="31">
        <v>6724456</v>
      </c>
      <c r="AX26" s="31">
        <v>7061854</v>
      </c>
      <c r="AY26" s="31">
        <v>7779076.0528360521</v>
      </c>
      <c r="AZ26" s="31">
        <v>8355981.849261852</v>
      </c>
      <c r="BA26" s="31">
        <v>9908784.615384616</v>
      </c>
      <c r="BB26" s="31">
        <v>11351677.327117326</v>
      </c>
      <c r="BC26" s="31">
        <v>12122887.770007772</v>
      </c>
      <c r="BD26" s="31">
        <v>13463424.926184924</v>
      </c>
      <c r="BE26" s="31">
        <v>14451547</v>
      </c>
      <c r="BF26" s="34">
        <f t="shared" si="40"/>
        <v>15588899.443666276</v>
      </c>
      <c r="BG26" s="34">
        <f t="shared" si="40"/>
        <v>16680579.015751511</v>
      </c>
      <c r="BH26" s="34">
        <f t="shared" si="40"/>
        <v>17780958.604108002</v>
      </c>
      <c r="BI26" s="34">
        <f t="shared" si="40"/>
        <v>19269276.448602527</v>
      </c>
      <c r="BJ26" s="34">
        <f t="shared" si="40"/>
        <v>20487075.875505105</v>
      </c>
      <c r="BK26" s="34">
        <f t="shared" si="40"/>
        <v>21676416.857231516</v>
      </c>
      <c r="BL26" s="34">
        <f t="shared" si="40"/>
        <v>22899420.423203483</v>
      </c>
      <c r="BM26" s="34">
        <f t="shared" si="40"/>
        <v>24122289.541308206</v>
      </c>
      <c r="BN26" s="34">
        <f t="shared" si="40"/>
        <v>25342975.062230799</v>
      </c>
      <c r="BO26" s="34">
        <f t="shared" si="40"/>
        <v>26564758.932536207</v>
      </c>
      <c r="BP26" s="34">
        <f t="shared" si="40"/>
        <v>27777375.434495151</v>
      </c>
      <c r="BQ26" s="34">
        <f t="shared" si="40"/>
        <v>28994600.926033825</v>
      </c>
      <c r="BR26" s="34">
        <f t="shared" si="40"/>
        <v>30211808.091570351</v>
      </c>
      <c r="BS26" s="34">
        <f t="shared" si="40"/>
        <v>31429015.257107049</v>
      </c>
      <c r="BT26" s="34">
        <f t="shared" si="40"/>
        <v>32643699.782816976</v>
      </c>
      <c r="BU26" s="34">
        <f t="shared" si="40"/>
        <v>33858392.816562109</v>
      </c>
      <c r="BV26" s="34">
        <f t="shared" si="41"/>
        <v>35073087.685187556</v>
      </c>
      <c r="BW26" s="34">
        <f t="shared" si="41"/>
        <v>36287875.105165921</v>
      </c>
      <c r="BX26" s="34">
        <f t="shared" si="41"/>
        <v>37502772.109326325</v>
      </c>
      <c r="BY26" s="34">
        <f t="shared" si="41"/>
        <v>38717668.672777399</v>
      </c>
      <c r="BZ26" s="34">
        <f t="shared" si="41"/>
        <v>39932565.236228637</v>
      </c>
      <c r="CA26" s="34">
        <f t="shared" si="41"/>
        <v>41147461.799680017</v>
      </c>
      <c r="CB26" s="34">
        <f t="shared" si="41"/>
        <v>42362306.161989368</v>
      </c>
      <c r="CC26" s="34">
        <f t="shared" si="41"/>
        <v>43577153.590948753</v>
      </c>
      <c r="CD26" s="34">
        <f t="shared" si="41"/>
        <v>44792004.173382454</v>
      </c>
      <c r="CE26" s="34">
        <f t="shared" si="41"/>
        <v>46006856.100355394</v>
      </c>
      <c r="CF26" s="34">
        <f t="shared" si="41"/>
        <v>47221710.277644433</v>
      </c>
      <c r="CG26" s="34">
        <f t="shared" si="41"/>
        <v>48436566.06281618</v>
      </c>
      <c r="CH26" s="34">
        <f t="shared" si="41"/>
        <v>49651422.280222856</v>
      </c>
      <c r="CI26" s="34">
        <f t="shared" si="41"/>
        <v>50866279.371932782</v>
      </c>
      <c r="CJ26" s="34">
        <f t="shared" si="41"/>
        <v>52081137.893956557</v>
      </c>
      <c r="CK26" s="34">
        <f t="shared" si="41"/>
        <v>53290677.32776425</v>
      </c>
      <c r="CL26" s="34">
        <f t="shared" si="42"/>
        <v>54504222.612209655</v>
      </c>
      <c r="CM26" s="34">
        <f t="shared" si="42"/>
        <v>55714842.600708395</v>
      </c>
      <c r="CN26" s="34">
        <f t="shared" si="42"/>
        <v>56919785.189058103</v>
      </c>
      <c r="CO26" s="34">
        <f t="shared" si="42"/>
        <v>58129550.396187805</v>
      </c>
      <c r="CP26" s="34">
        <f t="shared" si="42"/>
        <v>59342535.171460964</v>
      </c>
      <c r="CQ26" s="34">
        <f t="shared" si="42"/>
        <v>60553725.774911433</v>
      </c>
      <c r="CR26" s="34">
        <f t="shared" si="42"/>
        <v>61765968.069727898</v>
      </c>
      <c r="CS26" s="34">
        <f t="shared" si="42"/>
        <v>62980608.017213561</v>
      </c>
      <c r="CT26" s="34">
        <f t="shared" si="42"/>
        <v>64195280.552519344</v>
      </c>
      <c r="CU26" s="34">
        <f t="shared" si="42"/>
        <v>65411373.779984511</v>
      </c>
      <c r="CV26" s="34">
        <f t="shared" si="42"/>
        <v>66663241.844126664</v>
      </c>
      <c r="CW26" s="34">
        <f t="shared" si="42"/>
        <v>67862090.365791932</v>
      </c>
      <c r="CX26" s="34">
        <f t="shared" si="42"/>
        <v>69079139.316750258</v>
      </c>
      <c r="CY26" s="34">
        <f t="shared" si="42"/>
        <v>70293569.708735302</v>
      </c>
      <c r="CZ26" s="34">
        <f t="shared" si="42"/>
        <v>71508094.44328177</v>
      </c>
      <c r="DA26" s="34">
        <f t="shared" si="42"/>
        <v>72722679.635981753</v>
      </c>
      <c r="DB26" s="34">
        <f t="shared" si="43"/>
        <v>73936897.859838352</v>
      </c>
      <c r="DC26" s="34">
        <f t="shared" si="43"/>
        <v>75148914.351593077</v>
      </c>
      <c r="DD26" s="34">
        <f t="shared" si="43"/>
        <v>76360402.201089978</v>
      </c>
      <c r="DE26" s="34">
        <f t="shared" si="43"/>
        <v>77573676.760066479</v>
      </c>
      <c r="DF26" s="34">
        <f t="shared" si="43"/>
        <v>78786490.520998046</v>
      </c>
      <c r="DG26" s="34">
        <f t="shared" si="43"/>
        <v>80001232.212954834</v>
      </c>
      <c r="DH26" s="34">
        <f t="shared" si="43"/>
        <v>81215465.0704972</v>
      </c>
      <c r="DI26" s="34">
        <f t="shared" si="43"/>
        <v>82429685.646433473</v>
      </c>
      <c r="DJ26" s="34">
        <f t="shared" si="43"/>
        <v>83643907.195627749</v>
      </c>
      <c r="DK26" s="34">
        <f t="shared" si="43"/>
        <v>84858127.025526389</v>
      </c>
      <c r="DL26" s="34">
        <f t="shared" si="43"/>
        <v>86072346.271528676</v>
      </c>
      <c r="DM26" s="34">
        <f t="shared" si="43"/>
        <v>87286565.986062989</v>
      </c>
      <c r="DN26" s="34">
        <f t="shared" si="43"/>
        <v>88500787.173193589</v>
      </c>
      <c r="DO26" s="34">
        <f t="shared" si="43"/>
        <v>89715012.356235489</v>
      </c>
      <c r="DP26" s="34">
        <f t="shared" si="43"/>
        <v>90929244.946917549</v>
      </c>
      <c r="DQ26" s="34">
        <f t="shared" si="43"/>
        <v>92143486.024374828</v>
      </c>
      <c r="DR26" s="34">
        <f t="shared" si="44"/>
        <v>93357738.344974771</v>
      </c>
      <c r="DS26" s="34">
        <f t="shared" si="44"/>
        <v>94572004.23425284</v>
      </c>
      <c r="DT26" s="34">
        <f t="shared" si="44"/>
        <v>95786286.247826859</v>
      </c>
      <c r="DU26" s="34">
        <f t="shared" si="44"/>
        <v>97000587.100443363</v>
      </c>
      <c r="DV26" s="34">
        <f t="shared" si="44"/>
        <v>98214909.659339339</v>
      </c>
      <c r="DW26" s="34">
        <f t="shared" si="44"/>
        <v>99429256.960444838</v>
      </c>
      <c r="DX26" s="34">
        <f t="shared" si="44"/>
        <v>100643632.2116636</v>
      </c>
      <c r="DY26" s="34">
        <f t="shared" si="44"/>
        <v>101858038.7922114</v>
      </c>
      <c r="DZ26" s="34">
        <f t="shared" si="44"/>
        <v>103072480.26293755</v>
      </c>
      <c r="EA26" s="34">
        <f t="shared" si="44"/>
        <v>104286969.34301585</v>
      </c>
      <c r="EB26" s="34">
        <f t="shared" si="44"/>
        <v>105501477.60391885</v>
      </c>
      <c r="EC26" s="34">
        <f t="shared" si="44"/>
        <v>106716014.69900909</v>
      </c>
      <c r="ED26" s="34">
        <f t="shared" si="44"/>
        <v>107930574.86455542</v>
      </c>
      <c r="EE26" s="34">
        <f t="shared" si="44"/>
        <v>109145111.00486867</v>
      </c>
      <c r="EF26" s="34">
        <f t="shared" si="44"/>
        <v>110359608.70069839</v>
      </c>
      <c r="EG26" s="34">
        <f t="shared" si="44"/>
        <v>111574069.53037204</v>
      </c>
      <c r="EH26" s="34">
        <f t="shared" si="45"/>
        <v>112788476.53088838</v>
      </c>
      <c r="EI26" s="34">
        <f t="shared" si="45"/>
        <v>114002817.48012578</v>
      </c>
      <c r="EJ26" s="34">
        <f t="shared" si="45"/>
        <v>115217093.59817895</v>
      </c>
      <c r="EK26" s="34">
        <f t="shared" si="45"/>
        <v>116431300.23896079</v>
      </c>
      <c r="EL26" s="34">
        <f t="shared" si="45"/>
        <v>117645761.07527117</v>
      </c>
      <c r="EM26" s="34">
        <f t="shared" si="45"/>
        <v>118860126.28247982</v>
      </c>
      <c r="EN26" s="34">
        <f t="shared" si="45"/>
        <v>120074499.78922474</v>
      </c>
      <c r="EO26" s="34">
        <f t="shared" si="45"/>
        <v>121288873.27424797</v>
      </c>
      <c r="EP26" s="34">
        <f t="shared" si="45"/>
        <v>122503238.07998821</v>
      </c>
      <c r="EQ26" s="34">
        <f t="shared" si="45"/>
        <v>123717602.77752258</v>
      </c>
      <c r="ER26" s="34">
        <f t="shared" si="45"/>
        <v>124931967.91315182</v>
      </c>
      <c r="ES26" s="34">
        <f t="shared" si="45"/>
        <v>126146336.55206831</v>
      </c>
      <c r="ET26" s="34">
        <f t="shared" si="45"/>
        <v>127360677.33801083</v>
      </c>
      <c r="EU26" s="34">
        <f t="shared" si="45"/>
        <v>128575034.05809201</v>
      </c>
      <c r="EV26" s="34">
        <f t="shared" si="45"/>
        <v>129789406.11201039</v>
      </c>
      <c r="EW26" s="34">
        <f t="shared" si="45"/>
        <v>131003769.76325868</v>
      </c>
      <c r="EX26" s="34">
        <f t="shared" si="46"/>
        <v>132218134.13858509</v>
      </c>
      <c r="EY26" s="34">
        <f t="shared" si="46"/>
        <v>133432498.45157178</v>
      </c>
      <c r="EZ26" s="34">
        <f t="shared" si="46"/>
        <v>134646862.52811372</v>
      </c>
      <c r="FA26" s="34">
        <f t="shared" si="46"/>
        <v>135861226.60465565</v>
      </c>
      <c r="FB26" s="34">
        <f t="shared" si="46"/>
        <v>137075590.68119758</v>
      </c>
      <c r="FC26" s="34">
        <f t="shared" si="46"/>
        <v>138289954.75773951</v>
      </c>
      <c r="FD26" s="34">
        <f t="shared" si="46"/>
        <v>139504318.83428144</v>
      </c>
      <c r="FE26" s="34">
        <f t="shared" si="46"/>
        <v>140718682.91380435</v>
      </c>
      <c r="FF26" s="34">
        <f t="shared" si="46"/>
        <v>141933046.9930203</v>
      </c>
      <c r="FG26" s="34">
        <f t="shared" si="46"/>
        <v>143147411.07214367</v>
      </c>
      <c r="FH26" s="34">
        <f t="shared" si="46"/>
        <v>144361775.15127721</v>
      </c>
      <c r="FI26" s="34">
        <f t="shared" si="46"/>
        <v>145576139.23039481</v>
      </c>
      <c r="FJ26" s="34">
        <f t="shared" si="46"/>
        <v>146790503.30950382</v>
      </c>
    </row>
    <row r="27" spans="1:166" x14ac:dyDescent="0.2">
      <c r="A27" s="40" t="s">
        <v>136</v>
      </c>
      <c r="B27" s="39" t="s">
        <v>123</v>
      </c>
      <c r="C27" s="31">
        <v>0</v>
      </c>
      <c r="D27" s="31">
        <v>0</v>
      </c>
      <c r="E27" s="31">
        <v>0</v>
      </c>
      <c r="F27" s="31">
        <v>0</v>
      </c>
      <c r="G27" s="31">
        <v>0</v>
      </c>
      <c r="H27" s="31">
        <v>0</v>
      </c>
      <c r="I27" s="31">
        <v>0</v>
      </c>
      <c r="J27" s="31">
        <v>0</v>
      </c>
      <c r="K27" s="31">
        <v>0</v>
      </c>
      <c r="L27" s="31">
        <v>0</v>
      </c>
      <c r="M27" s="31">
        <v>0</v>
      </c>
      <c r="N27" s="31">
        <v>0</v>
      </c>
      <c r="O27" s="31">
        <v>0</v>
      </c>
      <c r="P27" s="31">
        <v>0</v>
      </c>
      <c r="Q27" s="31">
        <v>0</v>
      </c>
      <c r="R27" s="31">
        <v>0</v>
      </c>
      <c r="S27" s="31">
        <v>0</v>
      </c>
      <c r="T27" s="31">
        <v>0</v>
      </c>
      <c r="U27" s="31">
        <v>0</v>
      </c>
      <c r="V27" s="31">
        <v>0</v>
      </c>
      <c r="W27" s="31">
        <v>0</v>
      </c>
      <c r="X27" s="31">
        <v>0</v>
      </c>
      <c r="Y27" s="31">
        <v>0</v>
      </c>
      <c r="Z27" s="31">
        <v>0</v>
      </c>
      <c r="AA27" s="31">
        <v>0</v>
      </c>
      <c r="AB27" s="31">
        <v>0</v>
      </c>
      <c r="AC27" s="31">
        <v>0</v>
      </c>
      <c r="AD27" s="31">
        <v>0</v>
      </c>
      <c r="AE27" s="31">
        <v>0</v>
      </c>
      <c r="AF27" s="31">
        <v>0</v>
      </c>
      <c r="AG27" s="31">
        <v>0</v>
      </c>
      <c r="AH27" s="31">
        <v>0</v>
      </c>
      <c r="AI27" s="31">
        <v>61670</v>
      </c>
      <c r="AJ27" s="31">
        <v>84295</v>
      </c>
      <c r="AK27" s="31">
        <v>71702</v>
      </c>
      <c r="AL27" s="31">
        <v>94717</v>
      </c>
      <c r="AM27" s="31">
        <v>98629</v>
      </c>
      <c r="AN27" s="31">
        <v>87326</v>
      </c>
      <c r="AO27" s="31">
        <v>80722</v>
      </c>
      <c r="AP27" s="31">
        <v>42292</v>
      </c>
      <c r="AQ27" s="31">
        <v>35111</v>
      </c>
      <c r="AR27" s="31">
        <v>33810</v>
      </c>
      <c r="AS27" s="31">
        <v>28774</v>
      </c>
      <c r="AT27" s="31">
        <v>29145</v>
      </c>
      <c r="AU27" s="31">
        <v>27822</v>
      </c>
      <c r="AV27" s="31">
        <v>36807</v>
      </c>
      <c r="AW27" s="31">
        <v>51820</v>
      </c>
      <c r="AX27" s="31">
        <v>105779</v>
      </c>
      <c r="AY27" s="31">
        <v>109757.668997669</v>
      </c>
      <c r="AZ27" s="31">
        <v>115086.09168609171</v>
      </c>
      <c r="BA27" s="31">
        <v>165502.75058275057</v>
      </c>
      <c r="BB27" s="31">
        <v>136757.66899766901</v>
      </c>
      <c r="BC27" s="31">
        <v>144078.72571872573</v>
      </c>
      <c r="BD27" s="31">
        <v>130680.18648018646</v>
      </c>
      <c r="BE27" s="31">
        <v>151279</v>
      </c>
      <c r="BF27" s="34">
        <f t="shared" si="40"/>
        <v>130564.53220091164</v>
      </c>
      <c r="BG27" s="34">
        <f t="shared" si="40"/>
        <v>130279.79612841328</v>
      </c>
      <c r="BH27" s="34">
        <f t="shared" si="40"/>
        <v>134848.60724407542</v>
      </c>
      <c r="BI27" s="34">
        <f t="shared" si="40"/>
        <v>119293.40251979374</v>
      </c>
      <c r="BJ27" s="34">
        <f t="shared" si="40"/>
        <v>103247.79395100466</v>
      </c>
      <c r="BK27" s="34">
        <f t="shared" si="40"/>
        <v>103581.48576647813</v>
      </c>
      <c r="BL27" s="34">
        <f t="shared" si="40"/>
        <v>119424.69429762711</v>
      </c>
      <c r="BM27" s="34">
        <f t="shared" si="40"/>
        <v>174368.87791485785</v>
      </c>
      <c r="BN27" s="34">
        <f t="shared" si="40"/>
        <v>186112.88839448977</v>
      </c>
      <c r="BO27" s="34">
        <f t="shared" si="40"/>
        <v>187604.10539487915</v>
      </c>
      <c r="BP27" s="34">
        <f t="shared" si="40"/>
        <v>226115.57600290328</v>
      </c>
      <c r="BQ27" s="34">
        <f t="shared" si="40"/>
        <v>213203.1460011731</v>
      </c>
      <c r="BR27" s="34">
        <f t="shared" si="40"/>
        <v>211364.13894323498</v>
      </c>
      <c r="BS27" s="34">
        <f t="shared" si="40"/>
        <v>201369.82782901698</v>
      </c>
      <c r="BT27" s="34">
        <f t="shared" si="40"/>
        <v>192583.75652308678</v>
      </c>
      <c r="BU27" s="34">
        <f t="shared" si="40"/>
        <v>178329.27262265436</v>
      </c>
      <c r="BV27" s="34">
        <f t="shared" si="41"/>
        <v>177441.19263500615</v>
      </c>
      <c r="BW27" s="34">
        <f t="shared" si="41"/>
        <v>177272.40765878497</v>
      </c>
      <c r="BX27" s="34">
        <f t="shared" si="41"/>
        <v>169714.48159715271</v>
      </c>
      <c r="BY27" s="34">
        <f t="shared" si="41"/>
        <v>160970.57323049119</v>
      </c>
      <c r="BZ27" s="34">
        <f t="shared" si="41"/>
        <v>165475.43557230604</v>
      </c>
      <c r="CA27" s="34">
        <f t="shared" si="41"/>
        <v>181373.85067525328</v>
      </c>
      <c r="CB27" s="34">
        <f t="shared" si="41"/>
        <v>236307.52862055393</v>
      </c>
      <c r="CC27" s="34">
        <f t="shared" si="41"/>
        <v>244213.93319706226</v>
      </c>
      <c r="CD27" s="34">
        <f t="shared" si="41"/>
        <v>245197.22798731373</v>
      </c>
      <c r="CE27" s="34">
        <f t="shared" si="41"/>
        <v>290236.14086985699</v>
      </c>
      <c r="CF27" s="34">
        <f t="shared" si="41"/>
        <v>271525.80694603157</v>
      </c>
      <c r="CG27" s="34">
        <f t="shared" si="41"/>
        <v>271493.37881657918</v>
      </c>
      <c r="CH27" s="34">
        <f t="shared" si="41"/>
        <v>259789.09030572511</v>
      </c>
      <c r="CI27" s="34">
        <f t="shared" si="41"/>
        <v>265960.79654474306</v>
      </c>
      <c r="CJ27" s="34">
        <f t="shared" si="41"/>
        <v>248575.71086533679</v>
      </c>
      <c r="CK27" s="34">
        <f t="shared" si="41"/>
        <v>248055.73614380613</v>
      </c>
      <c r="CL27" s="34">
        <f t="shared" si="42"/>
        <v>250191.23696290189</v>
      </c>
      <c r="CM27" s="34">
        <f t="shared" si="42"/>
        <v>238597.40877341645</v>
      </c>
      <c r="CN27" s="34">
        <f t="shared" si="42"/>
        <v>226225.4022903624</v>
      </c>
      <c r="CO27" s="34">
        <f t="shared" si="42"/>
        <v>228719.5991132796</v>
      </c>
      <c r="CP27" s="34">
        <f t="shared" si="42"/>
        <v>244387.09005627391</v>
      </c>
      <c r="CQ27" s="34">
        <f t="shared" si="42"/>
        <v>299612.07714073511</v>
      </c>
      <c r="CR27" s="34">
        <f t="shared" si="42"/>
        <v>309077.00174821424</v>
      </c>
      <c r="CS27" s="34">
        <f t="shared" si="42"/>
        <v>311198.43997982796</v>
      </c>
      <c r="CT27" s="34">
        <f t="shared" si="42"/>
        <v>352909.08866114786</v>
      </c>
      <c r="CU27" s="34">
        <f t="shared" si="42"/>
        <v>336372.19621149841</v>
      </c>
      <c r="CV27" s="34">
        <f t="shared" si="42"/>
        <v>336456.84493969026</v>
      </c>
      <c r="CW27" s="34">
        <f t="shared" si="42"/>
        <v>325614.76278919395</v>
      </c>
      <c r="CX27" s="34">
        <f t="shared" si="42"/>
        <v>324199.92368170782</v>
      </c>
      <c r="CY27" s="34">
        <f t="shared" si="42"/>
        <v>308342.11954903556</v>
      </c>
      <c r="CZ27" s="34">
        <f t="shared" si="42"/>
        <v>307607.15026485384</v>
      </c>
      <c r="DA27" s="34">
        <f t="shared" si="42"/>
        <v>308623.04257649602</v>
      </c>
      <c r="DB27" s="34">
        <f t="shared" si="43"/>
        <v>299287.38012106734</v>
      </c>
      <c r="DC27" s="34">
        <f t="shared" si="43"/>
        <v>288653.30050972593</v>
      </c>
      <c r="DD27" s="34">
        <f t="shared" si="43"/>
        <v>292096.03005478607</v>
      </c>
      <c r="DE27" s="34">
        <f t="shared" si="43"/>
        <v>307970.85082764726</v>
      </c>
      <c r="DF27" s="34">
        <f t="shared" si="43"/>
        <v>363473.73118764447</v>
      </c>
      <c r="DG27" s="34">
        <f t="shared" si="43"/>
        <v>372025.02869212138</v>
      </c>
      <c r="DH27" s="34">
        <f t="shared" si="43"/>
        <v>373215.59039356478</v>
      </c>
      <c r="DI27" s="34">
        <f t="shared" si="43"/>
        <v>416574.42054641806</v>
      </c>
      <c r="DJ27" s="34">
        <f t="shared" si="43"/>
        <v>399213.08987085387</v>
      </c>
      <c r="DK27" s="34">
        <f t="shared" si="43"/>
        <v>398835.26197077462</v>
      </c>
      <c r="DL27" s="34">
        <f t="shared" si="43"/>
        <v>387569.80230134004</v>
      </c>
      <c r="DM27" s="34">
        <f t="shared" si="43"/>
        <v>389915.14465232962</v>
      </c>
      <c r="DN27" s="34">
        <f t="shared" si="43"/>
        <v>373320.72813614673</v>
      </c>
      <c r="DO27" s="34">
        <f t="shared" si="43"/>
        <v>372714.29597521242</v>
      </c>
      <c r="DP27" s="34">
        <f t="shared" si="43"/>
        <v>374270.98061077192</v>
      </c>
      <c r="DQ27" s="34">
        <f t="shared" si="43"/>
        <v>363714.25858509605</v>
      </c>
      <c r="DR27" s="34">
        <f t="shared" si="44"/>
        <v>352240.21530262363</v>
      </c>
      <c r="DS27" s="34">
        <f t="shared" si="44"/>
        <v>355230.29655189713</v>
      </c>
      <c r="DT27" s="34">
        <f t="shared" si="44"/>
        <v>370964.00810472388</v>
      </c>
      <c r="DU27" s="34">
        <f t="shared" si="44"/>
        <v>426416.07283699035</v>
      </c>
      <c r="DV27" s="34">
        <f t="shared" si="44"/>
        <v>435297.57781079208</v>
      </c>
      <c r="DW27" s="34">
        <f t="shared" si="44"/>
        <v>437104.843019469</v>
      </c>
      <c r="DX27" s="34">
        <f t="shared" si="44"/>
        <v>479681.75355973479</v>
      </c>
      <c r="DY27" s="34">
        <f t="shared" si="44"/>
        <v>462655.45932025643</v>
      </c>
      <c r="DZ27" s="34">
        <f t="shared" si="44"/>
        <v>462646.08400438383</v>
      </c>
      <c r="EA27" s="34">
        <f t="shared" si="44"/>
        <v>451592.7989979072</v>
      </c>
      <c r="EB27" s="34">
        <f t="shared" si="44"/>
        <v>452078.38425545383</v>
      </c>
      <c r="EC27" s="34">
        <f t="shared" si="44"/>
        <v>435841.93802211276</v>
      </c>
      <c r="ED27" s="34">
        <f t="shared" si="44"/>
        <v>435160.97533141566</v>
      </c>
      <c r="EE27" s="34">
        <f t="shared" si="44"/>
        <v>436469.74794408545</v>
      </c>
      <c r="EF27" s="34">
        <f t="shared" si="44"/>
        <v>426780.23986337293</v>
      </c>
      <c r="EG27" s="34">
        <f t="shared" si="44"/>
        <v>415573.7620712386</v>
      </c>
      <c r="EH27" s="34">
        <f t="shared" si="45"/>
        <v>418796.43603799149</v>
      </c>
      <c r="EI27" s="34">
        <f t="shared" si="45"/>
        <v>434617.93693398801</v>
      </c>
      <c r="EJ27" s="34">
        <f t="shared" si="45"/>
        <v>490037.93789566983</v>
      </c>
      <c r="EK27" s="34">
        <f t="shared" si="45"/>
        <v>498745.46026498335</v>
      </c>
      <c r="EL27" s="34">
        <f t="shared" si="45"/>
        <v>500231.20906238141</v>
      </c>
      <c r="EM27" s="34">
        <f t="shared" si="45"/>
        <v>543160.64537948021</v>
      </c>
      <c r="EN27" s="34">
        <f t="shared" si="45"/>
        <v>525994.99038834532</v>
      </c>
      <c r="EO27" s="34">
        <f t="shared" si="45"/>
        <v>525760.25614923891</v>
      </c>
      <c r="EP27" s="34">
        <f t="shared" si="45"/>
        <v>514602.99881880084</v>
      </c>
      <c r="EQ27" s="34">
        <f t="shared" si="45"/>
        <v>516021.80451828998</v>
      </c>
      <c r="ER27" s="34">
        <f t="shared" si="45"/>
        <v>499605.80931682215</v>
      </c>
      <c r="ES27" s="34">
        <f t="shared" si="45"/>
        <v>498963.66707932076</v>
      </c>
      <c r="ET27" s="34">
        <f t="shared" si="45"/>
        <v>500253.36228844617</v>
      </c>
      <c r="EU27" s="34">
        <f t="shared" si="45"/>
        <v>490202.14738537255</v>
      </c>
      <c r="EV27" s="34">
        <f t="shared" si="45"/>
        <v>478865.00077029545</v>
      </c>
      <c r="EW27" s="34">
        <f t="shared" si="45"/>
        <v>481970.26474231866</v>
      </c>
      <c r="EX27" s="34">
        <f t="shared" si="46"/>
        <v>497742.77317283826</v>
      </c>
      <c r="EY27" s="34">
        <f t="shared" si="46"/>
        <v>553204.12289907946</v>
      </c>
      <c r="EZ27" s="34">
        <f t="shared" si="46"/>
        <v>562004.69548474718</v>
      </c>
      <c r="FA27" s="34">
        <f t="shared" si="46"/>
        <v>563658.46678265545</v>
      </c>
      <c r="FB27" s="34">
        <f t="shared" si="46"/>
        <v>606430.73033521255</v>
      </c>
      <c r="FC27" s="34">
        <f t="shared" si="46"/>
        <v>589324.69211743935</v>
      </c>
      <c r="FD27" s="34">
        <f t="shared" si="46"/>
        <v>589213.50856058835</v>
      </c>
      <c r="FE27" s="34">
        <f t="shared" si="46"/>
        <v>578105.51078334649</v>
      </c>
      <c r="FF27" s="34">
        <f t="shared" si="46"/>
        <v>579063.44583614543</v>
      </c>
      <c r="FG27" s="34">
        <f t="shared" si="46"/>
        <v>562737.12787578639</v>
      </c>
      <c r="FH27" s="34">
        <f t="shared" si="46"/>
        <v>562072.28171983792</v>
      </c>
      <c r="FI27" s="34">
        <f t="shared" si="46"/>
        <v>563375.38948039419</v>
      </c>
      <c r="FJ27" s="34">
        <f t="shared" si="46"/>
        <v>553510.09982754209</v>
      </c>
    </row>
    <row r="28" spans="1:166" x14ac:dyDescent="0.2">
      <c r="A28" s="40" t="s">
        <v>137</v>
      </c>
      <c r="B28" s="39" t="s">
        <v>123</v>
      </c>
      <c r="C28" s="31">
        <v>0</v>
      </c>
      <c r="D28" s="31">
        <v>0</v>
      </c>
      <c r="E28" s="31">
        <v>0</v>
      </c>
      <c r="F28" s="31">
        <v>0</v>
      </c>
      <c r="G28" s="31">
        <v>0</v>
      </c>
      <c r="H28" s="31">
        <v>0</v>
      </c>
      <c r="I28" s="31">
        <v>0</v>
      </c>
      <c r="J28" s="31">
        <v>0</v>
      </c>
      <c r="K28" s="31">
        <v>0</v>
      </c>
      <c r="L28" s="31">
        <v>0</v>
      </c>
      <c r="M28" s="31">
        <v>0</v>
      </c>
      <c r="N28" s="31">
        <v>0</v>
      </c>
      <c r="O28" s="31">
        <v>0</v>
      </c>
      <c r="P28" s="31">
        <v>0</v>
      </c>
      <c r="Q28" s="31">
        <v>0</v>
      </c>
      <c r="R28" s="31">
        <v>0</v>
      </c>
      <c r="S28" s="31">
        <v>0</v>
      </c>
      <c r="T28" s="31">
        <v>0</v>
      </c>
      <c r="U28" s="31">
        <v>0</v>
      </c>
      <c r="V28" s="31">
        <v>0</v>
      </c>
      <c r="W28" s="31">
        <v>0</v>
      </c>
      <c r="X28" s="31">
        <v>0</v>
      </c>
      <c r="Y28" s="31">
        <v>0</v>
      </c>
      <c r="Z28" s="31">
        <v>0</v>
      </c>
      <c r="AA28" s="31">
        <v>0</v>
      </c>
      <c r="AB28" s="31">
        <v>0</v>
      </c>
      <c r="AC28" s="31">
        <v>0</v>
      </c>
      <c r="AD28" s="31">
        <v>0</v>
      </c>
      <c r="AE28" s="31">
        <v>0</v>
      </c>
      <c r="AF28" s="31">
        <v>0</v>
      </c>
      <c r="AG28" s="31">
        <v>0</v>
      </c>
      <c r="AH28" s="31">
        <v>0</v>
      </c>
      <c r="AI28" s="31">
        <v>3995</v>
      </c>
      <c r="AJ28" s="31">
        <v>2385</v>
      </c>
      <c r="AK28" s="31">
        <v>50891</v>
      </c>
      <c r="AL28" s="31">
        <v>54537</v>
      </c>
      <c r="AM28" s="31">
        <v>57975</v>
      </c>
      <c r="AN28" s="31">
        <v>61093</v>
      </c>
      <c r="AO28" s="31">
        <v>102313</v>
      </c>
      <c r="AP28" s="31">
        <v>160968</v>
      </c>
      <c r="AQ28" s="31">
        <v>136123</v>
      </c>
      <c r="AR28" s="31">
        <v>162706</v>
      </c>
      <c r="AS28" s="31">
        <v>210459</v>
      </c>
      <c r="AT28" s="31">
        <v>233786</v>
      </c>
      <c r="AU28" s="31">
        <v>238700</v>
      </c>
      <c r="AV28" s="31">
        <v>265483</v>
      </c>
      <c r="AW28" s="31">
        <v>272236</v>
      </c>
      <c r="AX28" s="31">
        <v>259506</v>
      </c>
      <c r="AY28" s="31">
        <v>280569.38616938615</v>
      </c>
      <c r="AZ28" s="31">
        <v>317096.0994560995</v>
      </c>
      <c r="BA28" s="31">
        <v>354941.6317016317</v>
      </c>
      <c r="BB28" s="31">
        <v>435852.64957264962</v>
      </c>
      <c r="BC28" s="31">
        <v>496892.64957264956</v>
      </c>
      <c r="BD28" s="31">
        <v>536213</v>
      </c>
      <c r="BE28" s="31">
        <v>538793</v>
      </c>
      <c r="BF28" s="34">
        <f t="shared" si="40"/>
        <v>602045.40375926229</v>
      </c>
      <c r="BG28" s="34">
        <f t="shared" si="40"/>
        <v>653999.96222801344</v>
      </c>
      <c r="BH28" s="34">
        <f t="shared" si="40"/>
        <v>656464.73345109029</v>
      </c>
      <c r="BI28" s="34">
        <f t="shared" si="40"/>
        <v>705436.80869916512</v>
      </c>
      <c r="BJ28" s="34">
        <f t="shared" si="40"/>
        <v>754356.04369242094</v>
      </c>
      <c r="BK28" s="34">
        <f t="shared" si="40"/>
        <v>804294.89175671746</v>
      </c>
      <c r="BL28" s="34">
        <f t="shared" si="40"/>
        <v>855757.6762207502</v>
      </c>
      <c r="BM28" s="34">
        <f t="shared" si="40"/>
        <v>900438.35952470673</v>
      </c>
      <c r="BN28" s="34">
        <f t="shared" si="40"/>
        <v>943495.2978729388</v>
      </c>
      <c r="BO28" s="34">
        <f t="shared" si="40"/>
        <v>987788.60970803839</v>
      </c>
      <c r="BP28" s="34">
        <f t="shared" si="40"/>
        <v>1032839.4034583315</v>
      </c>
      <c r="BQ28" s="34">
        <f t="shared" si="40"/>
        <v>1077317.4386392364</v>
      </c>
      <c r="BR28" s="34">
        <f t="shared" si="40"/>
        <v>1121797.0545357701</v>
      </c>
      <c r="BS28" s="34">
        <f t="shared" si="40"/>
        <v>1169425.4081134733</v>
      </c>
      <c r="BT28" s="34">
        <f t="shared" si="40"/>
        <v>1216729.7735458866</v>
      </c>
      <c r="BU28" s="34">
        <f t="shared" si="40"/>
        <v>1263922.1697874793</v>
      </c>
      <c r="BV28" s="34">
        <f t="shared" si="41"/>
        <v>1310868.8206989723</v>
      </c>
      <c r="BW28" s="34">
        <f t="shared" si="41"/>
        <v>1357199.7226056179</v>
      </c>
      <c r="BX28" s="34">
        <f t="shared" si="41"/>
        <v>1403532.3392049333</v>
      </c>
      <c r="BY28" s="34">
        <f t="shared" si="41"/>
        <v>1449865.0211319162</v>
      </c>
      <c r="BZ28" s="34">
        <f t="shared" si="41"/>
        <v>1496197.7806416193</v>
      </c>
      <c r="CA28" s="34">
        <f t="shared" si="41"/>
        <v>1542530.5223773893</v>
      </c>
      <c r="CB28" s="34">
        <f t="shared" si="41"/>
        <v>1588863.3351873835</v>
      </c>
      <c r="CC28" s="34">
        <f t="shared" si="41"/>
        <v>1635196.2204425635</v>
      </c>
      <c r="CD28" s="34">
        <f t="shared" si="41"/>
        <v>1681529.1797578507</v>
      </c>
      <c r="CE28" s="34">
        <f t="shared" si="41"/>
        <v>1727862.140577053</v>
      </c>
      <c r="CF28" s="34">
        <f t="shared" si="41"/>
        <v>1774195.0711134858</v>
      </c>
      <c r="CG28" s="34">
        <f t="shared" si="41"/>
        <v>1820528.1342679854</v>
      </c>
      <c r="CH28" s="34">
        <f t="shared" si="41"/>
        <v>1866861.2306855216</v>
      </c>
      <c r="CI28" s="34">
        <f t="shared" si="41"/>
        <v>1913194.3208642823</v>
      </c>
      <c r="CJ28" s="34">
        <f t="shared" si="41"/>
        <v>1959527.4533951012</v>
      </c>
      <c r="CK28" s="34">
        <f t="shared" si="41"/>
        <v>2005860.6644911799</v>
      </c>
      <c r="CL28" s="34">
        <f t="shared" si="42"/>
        <v>2051784.8785782366</v>
      </c>
      <c r="CM28" s="34">
        <f t="shared" si="42"/>
        <v>2097767.8654893427</v>
      </c>
      <c r="CN28" s="34">
        <f t="shared" si="42"/>
        <v>2142937.7905126633</v>
      </c>
      <c r="CO28" s="34">
        <f t="shared" si="42"/>
        <v>2188359.5842548707</v>
      </c>
      <c r="CP28" s="34">
        <f t="shared" si="42"/>
        <v>2233858.8177274643</v>
      </c>
      <c r="CQ28" s="34">
        <f t="shared" si="42"/>
        <v>2279371.0449147709</v>
      </c>
      <c r="CR28" s="34">
        <f t="shared" si="42"/>
        <v>2324827.6014664499</v>
      </c>
      <c r="CS28" s="34">
        <f t="shared" si="42"/>
        <v>2370422.8550296957</v>
      </c>
      <c r="CT28" s="34">
        <f t="shared" si="42"/>
        <v>2416223.4232403631</v>
      </c>
      <c r="CU28" s="34">
        <f t="shared" si="42"/>
        <v>2463018.1547200135</v>
      </c>
      <c r="CV28" s="34">
        <f t="shared" si="42"/>
        <v>2508779.6287669274</v>
      </c>
      <c r="CW28" s="34">
        <f t="shared" si="42"/>
        <v>2554833.6910495926</v>
      </c>
      <c r="CX28" s="34">
        <f t="shared" si="42"/>
        <v>2600798.9790532421</v>
      </c>
      <c r="CY28" s="34">
        <f t="shared" si="42"/>
        <v>2646794.6146648782</v>
      </c>
      <c r="CZ28" s="34">
        <f t="shared" si="42"/>
        <v>2692750.9845238966</v>
      </c>
      <c r="DA28" s="34">
        <f t="shared" si="42"/>
        <v>2738706.4010395193</v>
      </c>
      <c r="DB28" s="34">
        <f t="shared" si="43"/>
        <v>2784654.3628005935</v>
      </c>
      <c r="DC28" s="34">
        <f t="shared" si="43"/>
        <v>2830604.4276214261</v>
      </c>
      <c r="DD28" s="34">
        <f t="shared" si="43"/>
        <v>2876725.0835842788</v>
      </c>
      <c r="DE28" s="34">
        <f t="shared" si="43"/>
        <v>2922828.1025037514</v>
      </c>
      <c r="DF28" s="34">
        <f t="shared" si="43"/>
        <v>2968849.7528457679</v>
      </c>
      <c r="DG28" s="34">
        <f t="shared" si="43"/>
        <v>3014895.8116989834</v>
      </c>
      <c r="DH28" s="34">
        <f t="shared" si="43"/>
        <v>3060936.0698459269</v>
      </c>
      <c r="DI28" s="34">
        <f t="shared" si="43"/>
        <v>3106977.4277620842</v>
      </c>
      <c r="DJ28" s="34">
        <f t="shared" si="43"/>
        <v>3153019.6642956566</v>
      </c>
      <c r="DK28" s="34">
        <f t="shared" si="43"/>
        <v>3199061.8972903593</v>
      </c>
      <c r="DL28" s="34">
        <f t="shared" si="43"/>
        <v>3245104.1302850614</v>
      </c>
      <c r="DM28" s="34">
        <f t="shared" si="43"/>
        <v>3291146.3632797636</v>
      </c>
      <c r="DN28" s="34">
        <f t="shared" si="43"/>
        <v>3337188.5962744658</v>
      </c>
      <c r="DO28" s="34">
        <f t="shared" si="43"/>
        <v>3383230.829269168</v>
      </c>
      <c r="DP28" s="34">
        <f t="shared" si="43"/>
        <v>3429273.0622638701</v>
      </c>
      <c r="DQ28" s="34">
        <f t="shared" si="43"/>
        <v>3475315.2930731224</v>
      </c>
      <c r="DR28" s="34">
        <f t="shared" si="44"/>
        <v>3521357.5260680984</v>
      </c>
      <c r="DS28" s="34">
        <f t="shared" si="44"/>
        <v>3567399.7590630744</v>
      </c>
      <c r="DT28" s="34">
        <f t="shared" si="44"/>
        <v>3613441.9920580504</v>
      </c>
      <c r="DU28" s="34">
        <f t="shared" si="44"/>
        <v>3659484.2250530263</v>
      </c>
      <c r="DV28" s="34">
        <f t="shared" si="44"/>
        <v>3705526.4580480023</v>
      </c>
      <c r="DW28" s="34">
        <f t="shared" si="44"/>
        <v>3751568.6910429783</v>
      </c>
      <c r="DX28" s="34">
        <f t="shared" si="44"/>
        <v>3797610.9240209111</v>
      </c>
      <c r="DY28" s="34">
        <f t="shared" si="44"/>
        <v>3843653.1569989119</v>
      </c>
      <c r="DZ28" s="34">
        <f t="shared" si="44"/>
        <v>3889695.3899769126</v>
      </c>
      <c r="EA28" s="34">
        <f t="shared" si="44"/>
        <v>3935737.6229549134</v>
      </c>
      <c r="EB28" s="34">
        <f t="shared" si="44"/>
        <v>3981779.8559329142</v>
      </c>
      <c r="EC28" s="34">
        <f t="shared" si="44"/>
        <v>4027822.088910915</v>
      </c>
      <c r="ED28" s="34">
        <f t="shared" si="44"/>
        <v>4073864.2947906773</v>
      </c>
      <c r="EE28" s="34">
        <f t="shared" si="44"/>
        <v>4119906.50194231</v>
      </c>
      <c r="EF28" s="34">
        <f t="shared" si="44"/>
        <v>4165945.088983973</v>
      </c>
      <c r="EG28" s="34">
        <f t="shared" si="44"/>
        <v>4211975.3111263867</v>
      </c>
      <c r="EH28" s="34">
        <f t="shared" si="45"/>
        <v>4258009.3988382677</v>
      </c>
      <c r="EI28" s="34">
        <f t="shared" si="45"/>
        <v>4304048.508928135</v>
      </c>
      <c r="EJ28" s="34">
        <f t="shared" si="45"/>
        <v>4350085.490943877</v>
      </c>
      <c r="EK28" s="34">
        <f t="shared" si="45"/>
        <v>4396123.8717059828</v>
      </c>
      <c r="EL28" s="34">
        <f t="shared" si="45"/>
        <v>4442161.5297127748</v>
      </c>
      <c r="EM28" s="34">
        <f t="shared" si="45"/>
        <v>4488199.2960255779</v>
      </c>
      <c r="EN28" s="34">
        <f t="shared" si="45"/>
        <v>4534237.0565439323</v>
      </c>
      <c r="EO28" s="34">
        <f t="shared" si="45"/>
        <v>4580275.7205249732</v>
      </c>
      <c r="EP28" s="34">
        <f t="shared" si="45"/>
        <v>4626316.8817515783</v>
      </c>
      <c r="EQ28" s="34">
        <f t="shared" si="45"/>
        <v>4672358.3090539696</v>
      </c>
      <c r="ER28" s="34">
        <f t="shared" si="45"/>
        <v>4718396.0503149666</v>
      </c>
      <c r="ES28" s="34">
        <f t="shared" si="45"/>
        <v>4764435.0748635903</v>
      </c>
      <c r="ET28" s="34">
        <f t="shared" si="45"/>
        <v>4810474.2430418665</v>
      </c>
      <c r="EU28" s="34">
        <f t="shared" si="45"/>
        <v>4856512.8796160305</v>
      </c>
      <c r="EV28" s="34">
        <f t="shared" si="45"/>
        <v>4902551.6643692199</v>
      </c>
      <c r="EW28" s="34">
        <f t="shared" si="45"/>
        <v>4948590.7786079654</v>
      </c>
      <c r="EX28" s="34">
        <f t="shared" si="46"/>
        <v>4994629.8906872505</v>
      </c>
      <c r="EY28" s="34">
        <f t="shared" si="46"/>
        <v>5040668.9996100198</v>
      </c>
      <c r="EZ28" s="34">
        <f t="shared" si="46"/>
        <v>5086708.1040000487</v>
      </c>
      <c r="FA28" s="34">
        <f t="shared" si="46"/>
        <v>5132747.2037362419</v>
      </c>
      <c r="FB28" s="34">
        <f t="shared" si="46"/>
        <v>5178786.233011636</v>
      </c>
      <c r="FC28" s="34">
        <f t="shared" si="46"/>
        <v>5224825.2953511393</v>
      </c>
      <c r="FD28" s="34">
        <f t="shared" si="46"/>
        <v>5270864.3548950488</v>
      </c>
      <c r="FE28" s="34">
        <f t="shared" si="46"/>
        <v>5316903.414183463</v>
      </c>
      <c r="FF28" s="34">
        <f t="shared" si="46"/>
        <v>5362942.4742691303</v>
      </c>
      <c r="FG28" s="34">
        <f t="shared" si="46"/>
        <v>5408981.5343516059</v>
      </c>
      <c r="FH28" s="34">
        <f t="shared" si="46"/>
        <v>5455020.594427757</v>
      </c>
      <c r="FI28" s="34">
        <f t="shared" si="46"/>
        <v>5501059.6545040598</v>
      </c>
      <c r="FJ28" s="34">
        <f t="shared" si="46"/>
        <v>5547098.7145803627</v>
      </c>
    </row>
    <row r="29" spans="1:166" x14ac:dyDescent="0.2">
      <c r="A29" s="42" t="s">
        <v>138</v>
      </c>
      <c r="B29" s="39" t="s">
        <v>123</v>
      </c>
      <c r="C29" s="31">
        <v>0</v>
      </c>
      <c r="D29" s="31">
        <v>0</v>
      </c>
      <c r="E29" s="31">
        <v>0</v>
      </c>
      <c r="F29" s="31">
        <v>0</v>
      </c>
      <c r="G29" s="31">
        <v>0</v>
      </c>
      <c r="H29" s="31">
        <v>0</v>
      </c>
      <c r="I29" s="31">
        <v>0</v>
      </c>
      <c r="J29" s="31">
        <v>0</v>
      </c>
      <c r="K29" s="31">
        <v>0</v>
      </c>
      <c r="L29" s="31">
        <v>0</v>
      </c>
      <c r="M29" s="31">
        <v>0</v>
      </c>
      <c r="N29" s="31">
        <v>0</v>
      </c>
      <c r="O29" s="31">
        <v>0</v>
      </c>
      <c r="P29" s="31">
        <v>0</v>
      </c>
      <c r="Q29" s="31">
        <v>0</v>
      </c>
      <c r="R29" s="31">
        <v>0</v>
      </c>
      <c r="S29" s="31">
        <v>0</v>
      </c>
      <c r="T29" s="31">
        <v>0</v>
      </c>
      <c r="U29" s="31">
        <v>0</v>
      </c>
      <c r="V29" s="31">
        <v>0</v>
      </c>
      <c r="W29" s="31">
        <v>4120613</v>
      </c>
      <c r="X29" s="31">
        <v>4768068</v>
      </c>
      <c r="Y29" s="31">
        <v>4678241</v>
      </c>
      <c r="Z29" s="31">
        <v>5290607</v>
      </c>
      <c r="AA29" s="31">
        <v>5001004</v>
      </c>
      <c r="AB29" s="31">
        <v>5979420</v>
      </c>
      <c r="AC29" s="31">
        <v>5874243</v>
      </c>
      <c r="AD29" s="31">
        <v>6292520</v>
      </c>
      <c r="AE29" s="31">
        <v>5640429</v>
      </c>
      <c r="AF29" s="31">
        <v>5665532</v>
      </c>
      <c r="AG29" s="31">
        <v>5977296</v>
      </c>
      <c r="AH29" s="31">
        <v>6016955</v>
      </c>
      <c r="AI29" s="31">
        <v>5378515</v>
      </c>
      <c r="AJ29" s="31">
        <v>5602600</v>
      </c>
      <c r="AK29" s="31">
        <v>5744706</v>
      </c>
      <c r="AL29" s="31">
        <v>5875189</v>
      </c>
      <c r="AM29" s="31">
        <v>5504688</v>
      </c>
      <c r="AN29" s="31">
        <v>4039261</v>
      </c>
      <c r="AO29" s="31">
        <v>4448829</v>
      </c>
      <c r="AP29" s="31">
        <v>4140940</v>
      </c>
      <c r="AQ29" s="31">
        <v>4192790</v>
      </c>
      <c r="AR29" s="31">
        <v>4364180</v>
      </c>
      <c r="AS29" s="31">
        <v>4992017</v>
      </c>
      <c r="AT29" s="31">
        <v>4935359</v>
      </c>
      <c r="AU29" s="31">
        <v>4796369</v>
      </c>
      <c r="AV29" s="31">
        <v>4679212</v>
      </c>
      <c r="AW29" s="31">
        <v>5376856</v>
      </c>
      <c r="AX29" s="31">
        <v>5490893</v>
      </c>
      <c r="AY29" s="31">
        <v>5190520.9324009325</v>
      </c>
      <c r="AZ29" s="31">
        <v>5705942.0357420361</v>
      </c>
      <c r="BA29" s="31">
        <v>6243539.4560994562</v>
      </c>
      <c r="BB29" s="31">
        <v>4994847.4281274285</v>
      </c>
      <c r="BC29" s="31">
        <v>5258330.069930071</v>
      </c>
      <c r="BD29" s="31">
        <v>5407908</v>
      </c>
      <c r="BE29" s="31">
        <v>6209719</v>
      </c>
      <c r="BF29" s="34">
        <f t="shared" si="40"/>
        <v>6247012.7110663746</v>
      </c>
      <c r="BG29" s="34">
        <f t="shared" si="40"/>
        <v>6344806.0374327805</v>
      </c>
      <c r="BH29" s="34">
        <f t="shared" si="40"/>
        <v>6433327.1979780011</v>
      </c>
      <c r="BI29" s="34">
        <f t="shared" si="40"/>
        <v>6511859.2886084588</v>
      </c>
      <c r="BJ29" s="34">
        <f t="shared" si="40"/>
        <v>6579639.107110044</v>
      </c>
      <c r="BK29" s="34">
        <f t="shared" si="40"/>
        <v>6635856.2226018589</v>
      </c>
      <c r="BL29" s="34">
        <f t="shared" si="40"/>
        <v>6679652.0127372965</v>
      </c>
      <c r="BM29" s="34">
        <f t="shared" si="40"/>
        <v>6923060.3415401606</v>
      </c>
      <c r="BN29" s="34">
        <f t="shared" si="40"/>
        <v>6828491.8401299194</v>
      </c>
      <c r="BO29" s="34">
        <f t="shared" si="40"/>
        <v>6856312.5750142336</v>
      </c>
      <c r="BP29" s="34">
        <f t="shared" si="40"/>
        <v>6944506.0344163161</v>
      </c>
      <c r="BQ29" s="34">
        <f t="shared" si="40"/>
        <v>7019740.3497879012</v>
      </c>
      <c r="BR29" s="34">
        <f t="shared" si="40"/>
        <v>7040265.0159302047</v>
      </c>
      <c r="BS29" s="34">
        <f t="shared" si="40"/>
        <v>7081117.0911844205</v>
      </c>
      <c r="BT29" s="34">
        <f t="shared" si="40"/>
        <v>7125807.2763467012</v>
      </c>
      <c r="BU29" s="34">
        <f t="shared" si="40"/>
        <v>7178275.6080506714</v>
      </c>
      <c r="BV29" s="34">
        <f t="shared" si="41"/>
        <v>7233670.6684255386</v>
      </c>
      <c r="BW29" s="34">
        <f t="shared" si="41"/>
        <v>7292533.6344355159</v>
      </c>
      <c r="BX29" s="34">
        <f t="shared" si="41"/>
        <v>7356740.6709800558</v>
      </c>
      <c r="BY29" s="34">
        <f t="shared" si="41"/>
        <v>7425938.1273641577</v>
      </c>
      <c r="BZ29" s="34">
        <f t="shared" si="41"/>
        <v>7497663.1156777609</v>
      </c>
      <c r="CA29" s="34">
        <f t="shared" si="41"/>
        <v>7572993.9950761124</v>
      </c>
      <c r="CB29" s="34">
        <f t="shared" si="41"/>
        <v>7652331.2227320233</v>
      </c>
      <c r="CC29" s="34">
        <f t="shared" si="41"/>
        <v>7737681.4912885278</v>
      </c>
      <c r="CD29" s="34">
        <f t="shared" si="41"/>
        <v>7703033.2299828092</v>
      </c>
      <c r="CE29" s="34">
        <f t="shared" si="41"/>
        <v>7852003.5776271727</v>
      </c>
      <c r="CF29" s="34">
        <f t="shared" si="41"/>
        <v>7937611.2582893623</v>
      </c>
      <c r="CG29" s="34">
        <f t="shared" si="41"/>
        <v>8019278.3176039802</v>
      </c>
      <c r="CH29" s="34">
        <f t="shared" si="41"/>
        <v>8098162.5479392912</v>
      </c>
      <c r="CI29" s="34">
        <f t="shared" si="41"/>
        <v>8178459.9309833236</v>
      </c>
      <c r="CJ29" s="34">
        <f t="shared" si="41"/>
        <v>8257227.3572737603</v>
      </c>
      <c r="CK29" s="34">
        <f t="shared" si="41"/>
        <v>8335754.0943467394</v>
      </c>
      <c r="CL29" s="34">
        <f t="shared" si="42"/>
        <v>8410200.0712513607</v>
      </c>
      <c r="CM29" s="34">
        <f t="shared" si="42"/>
        <v>8472051.8544671442</v>
      </c>
      <c r="CN29" s="34">
        <f t="shared" si="42"/>
        <v>8577559.6058372334</v>
      </c>
      <c r="CO29" s="34">
        <f t="shared" si="42"/>
        <v>8630877.0059126709</v>
      </c>
      <c r="CP29" s="34">
        <f t="shared" si="42"/>
        <v>8707572.9015556872</v>
      </c>
      <c r="CQ29" s="34">
        <f t="shared" si="42"/>
        <v>8778660.4661398064</v>
      </c>
      <c r="CR29" s="34">
        <f t="shared" si="42"/>
        <v>8853523.8951509949</v>
      </c>
      <c r="CS29" s="34">
        <f t="shared" si="42"/>
        <v>8924873.0429183561</v>
      </c>
      <c r="CT29" s="34">
        <f t="shared" si="42"/>
        <v>8994059.739655558</v>
      </c>
      <c r="CU29" s="34">
        <f t="shared" si="42"/>
        <v>9067366.1115789413</v>
      </c>
      <c r="CV29" s="34">
        <f t="shared" si="42"/>
        <v>9140051.4792262837</v>
      </c>
      <c r="CW29" s="34">
        <f t="shared" si="42"/>
        <v>9212683.972811278</v>
      </c>
      <c r="CX29" s="34">
        <f t="shared" si="42"/>
        <v>9283987.3609556463</v>
      </c>
      <c r="CY29" s="34">
        <f t="shared" si="42"/>
        <v>9350861.5239289682</v>
      </c>
      <c r="CZ29" s="34">
        <f t="shared" si="42"/>
        <v>9428185.0933130831</v>
      </c>
      <c r="DA29" s="34">
        <f t="shared" si="42"/>
        <v>9497541.8467831276</v>
      </c>
      <c r="DB29" s="34">
        <f t="shared" si="43"/>
        <v>9565288.1029016841</v>
      </c>
      <c r="DC29" s="34">
        <f t="shared" si="43"/>
        <v>9637681.6951986514</v>
      </c>
      <c r="DD29" s="34">
        <f t="shared" si="43"/>
        <v>9708384.4280821085</v>
      </c>
      <c r="DE29" s="34">
        <f t="shared" si="43"/>
        <v>9780038.5692543648</v>
      </c>
      <c r="DF29" s="34">
        <f t="shared" si="43"/>
        <v>9851934.8095843438</v>
      </c>
      <c r="DG29" s="34">
        <f t="shared" si="43"/>
        <v>9924201.075324038</v>
      </c>
      <c r="DH29" s="34">
        <f t="shared" si="43"/>
        <v>9997098.8574374039</v>
      </c>
      <c r="DI29" s="34">
        <f t="shared" si="43"/>
        <v>10070258.049738342</v>
      </c>
      <c r="DJ29" s="34">
        <f t="shared" si="43"/>
        <v>10143983.516566087</v>
      </c>
      <c r="DK29" s="34">
        <f t="shared" si="43"/>
        <v>10214526.221911557</v>
      </c>
      <c r="DL29" s="34">
        <f t="shared" si="43"/>
        <v>10287486.749494139</v>
      </c>
      <c r="DM29" s="34">
        <f t="shared" si="43"/>
        <v>10362136.22357914</v>
      </c>
      <c r="DN29" s="34">
        <f t="shared" si="43"/>
        <v>10435643.72151529</v>
      </c>
      <c r="DO29" s="34">
        <f t="shared" si="43"/>
        <v>10509063.128954036</v>
      </c>
      <c r="DP29" s="34">
        <f t="shared" si="43"/>
        <v>10582395.74340928</v>
      </c>
      <c r="DQ29" s="34">
        <f t="shared" si="43"/>
        <v>10655634.340170253</v>
      </c>
      <c r="DR29" s="34">
        <f t="shared" si="44"/>
        <v>10728787.134664577</v>
      </c>
      <c r="DS29" s="34">
        <f t="shared" si="44"/>
        <v>10801870.488196943</v>
      </c>
      <c r="DT29" s="34">
        <f t="shared" si="44"/>
        <v>10875156.488260243</v>
      </c>
      <c r="DU29" s="34">
        <f t="shared" si="44"/>
        <v>10948465.234046757</v>
      </c>
      <c r="DV29" s="34">
        <f t="shared" si="44"/>
        <v>11021654.496666117</v>
      </c>
      <c r="DW29" s="34">
        <f t="shared" si="44"/>
        <v>11094759.608563978</v>
      </c>
      <c r="DX29" s="34">
        <f t="shared" si="44"/>
        <v>11168038.172900487</v>
      </c>
      <c r="DY29" s="34">
        <f t="shared" si="44"/>
        <v>11241157.094852805</v>
      </c>
      <c r="DZ29" s="34">
        <f t="shared" si="44"/>
        <v>11314276.644568218</v>
      </c>
      <c r="EA29" s="34">
        <f t="shared" si="44"/>
        <v>11387396.809308773</v>
      </c>
      <c r="EB29" s="34">
        <f t="shared" si="44"/>
        <v>11460517.139317153</v>
      </c>
      <c r="EC29" s="34">
        <f t="shared" si="44"/>
        <v>11533695.695284184</v>
      </c>
      <c r="ED29" s="34">
        <f t="shared" si="44"/>
        <v>11606848.213447787</v>
      </c>
      <c r="EE29" s="34">
        <f t="shared" si="44"/>
        <v>11679971.60416647</v>
      </c>
      <c r="EF29" s="34">
        <f t="shared" si="44"/>
        <v>11753111.510544052</v>
      </c>
      <c r="EG29" s="34">
        <f t="shared" si="44"/>
        <v>11826251.418548923</v>
      </c>
      <c r="EH29" s="34">
        <f t="shared" si="45"/>
        <v>11899391.325039368</v>
      </c>
      <c r="EI29" s="34">
        <f t="shared" si="45"/>
        <v>11972531.232702158</v>
      </c>
      <c r="EJ29" s="34">
        <f t="shared" si="45"/>
        <v>12045671.142070955</v>
      </c>
      <c r="EK29" s="34">
        <f t="shared" si="45"/>
        <v>12118811.050474737</v>
      </c>
      <c r="EL29" s="34">
        <f t="shared" si="45"/>
        <v>12191950.959068462</v>
      </c>
      <c r="EM29" s="34">
        <f t="shared" si="45"/>
        <v>12265090.867781449</v>
      </c>
      <c r="EN29" s="34">
        <f t="shared" si="45"/>
        <v>12338230.777355384</v>
      </c>
      <c r="EO29" s="34">
        <f t="shared" si="45"/>
        <v>12411350.674946882</v>
      </c>
      <c r="EP29" s="34">
        <f t="shared" si="45"/>
        <v>12484480.636415718</v>
      </c>
      <c r="EQ29" s="34">
        <f t="shared" si="45"/>
        <v>12557614.644192679</v>
      </c>
      <c r="ER29" s="34">
        <f t="shared" si="45"/>
        <v>12630748.65164675</v>
      </c>
      <c r="ES29" s="34">
        <f t="shared" si="45"/>
        <v>12703880.940511256</v>
      </c>
      <c r="ET29" s="34">
        <f t="shared" si="45"/>
        <v>12777016.827026077</v>
      </c>
      <c r="EU29" s="34">
        <f t="shared" si="45"/>
        <v>12850173.863096233</v>
      </c>
      <c r="EV29" s="34">
        <f t="shared" si="45"/>
        <v>12923338.197346579</v>
      </c>
      <c r="EW29" s="34">
        <f t="shared" si="45"/>
        <v>12996507.895689407</v>
      </c>
      <c r="EX29" s="34">
        <f t="shared" si="46"/>
        <v>13069676.738556376</v>
      </c>
      <c r="EY29" s="34">
        <f t="shared" si="46"/>
        <v>13142845.075838873</v>
      </c>
      <c r="EZ29" s="34">
        <f t="shared" si="46"/>
        <v>13216012.805808531</v>
      </c>
      <c r="FA29" s="34">
        <f t="shared" si="46"/>
        <v>13289169.250025064</v>
      </c>
      <c r="FB29" s="34">
        <f t="shared" si="46"/>
        <v>13362325.909377659</v>
      </c>
      <c r="FC29" s="34">
        <f t="shared" si="46"/>
        <v>13435480.419039585</v>
      </c>
      <c r="FD29" s="34">
        <f t="shared" si="46"/>
        <v>13508633.150029805</v>
      </c>
      <c r="FE29" s="34">
        <f t="shared" si="46"/>
        <v>13581783.413096214</v>
      </c>
      <c r="FF29" s="34">
        <f t="shared" si="46"/>
        <v>13654933.947169662</v>
      </c>
      <c r="FG29" s="34">
        <f t="shared" si="46"/>
        <v>13728084.506398054</v>
      </c>
      <c r="FH29" s="34">
        <f t="shared" si="46"/>
        <v>13801235.553647546</v>
      </c>
      <c r="FI29" s="34">
        <f t="shared" si="46"/>
        <v>13874388.160574595</v>
      </c>
      <c r="FJ29" s="34">
        <f t="shared" si="46"/>
        <v>13947540.763066722</v>
      </c>
    </row>
    <row r="30" spans="1:166" x14ac:dyDescent="0.2">
      <c r="A30" s="42" t="s">
        <v>139</v>
      </c>
      <c r="B30" s="39" t="s">
        <v>123</v>
      </c>
      <c r="C30" s="31">
        <v>0</v>
      </c>
      <c r="D30" s="31">
        <v>0</v>
      </c>
      <c r="E30" s="31">
        <v>0</v>
      </c>
      <c r="F30" s="31">
        <v>0</v>
      </c>
      <c r="G30" s="31">
        <v>0</v>
      </c>
      <c r="H30" s="31">
        <v>0</v>
      </c>
      <c r="I30" s="31">
        <v>0</v>
      </c>
      <c r="J30" s="31">
        <v>0</v>
      </c>
      <c r="K30" s="31">
        <v>0</v>
      </c>
      <c r="L30" s="31">
        <v>0</v>
      </c>
      <c r="M30" s="31">
        <v>0</v>
      </c>
      <c r="N30" s="31">
        <v>0</v>
      </c>
      <c r="O30" s="31">
        <v>0</v>
      </c>
      <c r="P30" s="31">
        <v>0</v>
      </c>
      <c r="Q30" s="31">
        <v>0</v>
      </c>
      <c r="R30" s="31">
        <v>0</v>
      </c>
      <c r="S30" s="31">
        <v>0</v>
      </c>
      <c r="T30" s="31">
        <v>0</v>
      </c>
      <c r="U30" s="31">
        <v>0</v>
      </c>
      <c r="V30" s="31">
        <v>0</v>
      </c>
      <c r="W30" s="31">
        <v>0</v>
      </c>
      <c r="X30" s="31">
        <v>0</v>
      </c>
      <c r="Y30" s="31">
        <v>0</v>
      </c>
      <c r="Z30" s="31">
        <v>0</v>
      </c>
      <c r="AA30" s="31">
        <v>0</v>
      </c>
      <c r="AB30" s="31">
        <v>0</v>
      </c>
      <c r="AC30" s="31">
        <v>0</v>
      </c>
      <c r="AD30" s="31">
        <v>0</v>
      </c>
      <c r="AE30" s="31">
        <v>0</v>
      </c>
      <c r="AF30" s="31">
        <v>0</v>
      </c>
      <c r="AG30" s="31">
        <v>0</v>
      </c>
      <c r="AH30" s="31">
        <v>0</v>
      </c>
      <c r="AI30" s="31">
        <v>924451</v>
      </c>
      <c r="AJ30" s="31">
        <v>1055976</v>
      </c>
      <c r="AK30" s="31">
        <v>1111870</v>
      </c>
      <c r="AL30" s="31">
        <v>1159630</v>
      </c>
      <c r="AM30" s="31">
        <v>1078105</v>
      </c>
      <c r="AN30" s="31">
        <v>1047001</v>
      </c>
      <c r="AO30" s="31">
        <v>1158909</v>
      </c>
      <c r="AP30" s="31">
        <v>1768879</v>
      </c>
      <c r="AQ30" s="31">
        <v>1795611</v>
      </c>
      <c r="AR30" s="31">
        <v>1994763</v>
      </c>
      <c r="AS30" s="31">
        <v>2059130</v>
      </c>
      <c r="AT30" s="31">
        <v>2074920</v>
      </c>
      <c r="AU30" s="31">
        <v>1869091</v>
      </c>
      <c r="AV30" s="31">
        <v>4383063</v>
      </c>
      <c r="AW30" s="31">
        <v>4014275</v>
      </c>
      <c r="AX30" s="31">
        <v>4325911</v>
      </c>
      <c r="AY30" s="31">
        <v>3800935.8508158503</v>
      </c>
      <c r="AZ30" s="31">
        <v>4313970.4428904429</v>
      </c>
      <c r="BA30" s="31">
        <v>5115868.9665889665</v>
      </c>
      <c r="BB30" s="31">
        <v>4869784.4910644917</v>
      </c>
      <c r="BC30" s="31">
        <v>4391637.8865578864</v>
      </c>
      <c r="BD30" s="31">
        <v>4575722</v>
      </c>
      <c r="BE30" s="31">
        <v>4610999</v>
      </c>
      <c r="BF30" s="34">
        <f t="shared" si="40"/>
        <v>5570236.0696326727</v>
      </c>
      <c r="BG30" s="34">
        <f t="shared" si="40"/>
        <v>5514671.1150523089</v>
      </c>
      <c r="BH30" s="34">
        <f t="shared" si="40"/>
        <v>5664675.9821552737</v>
      </c>
      <c r="BI30" s="34">
        <f t="shared" si="40"/>
        <v>5788565.8846448623</v>
      </c>
      <c r="BJ30" s="34">
        <f t="shared" si="40"/>
        <v>5959054.5562617108</v>
      </c>
      <c r="BK30" s="34">
        <f t="shared" si="40"/>
        <v>6127037.5929032806</v>
      </c>
      <c r="BL30" s="34">
        <f t="shared" si="40"/>
        <v>6303824.7614046428</v>
      </c>
      <c r="BM30" s="34">
        <f t="shared" si="40"/>
        <v>6484698.8253945429</v>
      </c>
      <c r="BN30" s="34">
        <f t="shared" si="40"/>
        <v>6666351.3444476929</v>
      </c>
      <c r="BO30" s="34">
        <f t="shared" si="40"/>
        <v>6856932.6560893729</v>
      </c>
      <c r="BP30" s="34">
        <f t="shared" si="40"/>
        <v>7049173.6066053761</v>
      </c>
      <c r="BQ30" s="34">
        <f t="shared" si="40"/>
        <v>7244337.3486321727</v>
      </c>
      <c r="BR30" s="34">
        <f t="shared" si="40"/>
        <v>7441953.2214625739</v>
      </c>
      <c r="BS30" s="34">
        <f t="shared" si="40"/>
        <v>7641526.0514932862</v>
      </c>
      <c r="BT30" s="34">
        <f t="shared" si="40"/>
        <v>7842534.2152034612</v>
      </c>
      <c r="BU30" s="34">
        <f t="shared" si="40"/>
        <v>8044427.6890269369</v>
      </c>
      <c r="BV30" s="34">
        <f t="shared" si="41"/>
        <v>8400826.8702343442</v>
      </c>
      <c r="BW30" s="34">
        <f t="shared" si="41"/>
        <v>8526718.7611895744</v>
      </c>
      <c r="BX30" s="34">
        <f t="shared" si="41"/>
        <v>8728717.6478508934</v>
      </c>
      <c r="BY30" s="34">
        <f t="shared" si="41"/>
        <v>8925853.3520491607</v>
      </c>
      <c r="BZ30" s="34">
        <f t="shared" si="41"/>
        <v>9127988.9728698619</v>
      </c>
      <c r="CA30" s="34">
        <f t="shared" si="41"/>
        <v>9331349.7306047566</v>
      </c>
      <c r="CB30" s="34">
        <f t="shared" si="41"/>
        <v>9535171.9012908153</v>
      </c>
      <c r="CC30" s="34">
        <f t="shared" si="41"/>
        <v>9738899.9788913727</v>
      </c>
      <c r="CD30" s="34">
        <f t="shared" si="41"/>
        <v>9943033.1460979879</v>
      </c>
      <c r="CE30" s="34">
        <f t="shared" si="41"/>
        <v>10143056.917453844</v>
      </c>
      <c r="CF30" s="34">
        <f t="shared" si="41"/>
        <v>10332341.123965774</v>
      </c>
      <c r="CG30" s="34">
        <f t="shared" si="41"/>
        <v>10534414.86090197</v>
      </c>
      <c r="CH30" s="34">
        <f t="shared" si="41"/>
        <v>10730671.593605988</v>
      </c>
      <c r="CI30" s="34">
        <f t="shared" si="41"/>
        <v>10926009.14038251</v>
      </c>
      <c r="CJ30" s="34">
        <f t="shared" si="41"/>
        <v>11119416.173576644</v>
      </c>
      <c r="CK30" s="34">
        <f t="shared" si="41"/>
        <v>11311134.968389379</v>
      </c>
      <c r="CL30" s="34">
        <f t="shared" si="42"/>
        <v>11475080.788089894</v>
      </c>
      <c r="CM30" s="34">
        <f t="shared" si="42"/>
        <v>11674688.58201794</v>
      </c>
      <c r="CN30" s="34">
        <f t="shared" si="42"/>
        <v>11866525.954643179</v>
      </c>
      <c r="CO30" s="34">
        <f t="shared" si="42"/>
        <v>12056844.215949371</v>
      </c>
      <c r="CP30" s="34">
        <f t="shared" si="42"/>
        <v>12255419.194133142</v>
      </c>
      <c r="CQ30" s="34">
        <f t="shared" si="42"/>
        <v>12448298.451980161</v>
      </c>
      <c r="CR30" s="34">
        <f t="shared" si="42"/>
        <v>12645875.587710034</v>
      </c>
      <c r="CS30" s="34">
        <f t="shared" si="42"/>
        <v>12861419.052339369</v>
      </c>
      <c r="CT30" s="34">
        <f t="shared" si="42"/>
        <v>13053082.928051801</v>
      </c>
      <c r="CU30" s="34">
        <f t="shared" si="42"/>
        <v>13251769.923892017</v>
      </c>
      <c r="CV30" s="34">
        <f t="shared" si="42"/>
        <v>13449521.294727376</v>
      </c>
      <c r="CW30" s="34">
        <f t="shared" si="42"/>
        <v>13647120.395420616</v>
      </c>
      <c r="CX30" s="34">
        <f t="shared" si="42"/>
        <v>13845364.864466857</v>
      </c>
      <c r="CY30" s="34">
        <f t="shared" si="42"/>
        <v>14044164.058514683</v>
      </c>
      <c r="CZ30" s="34">
        <f t="shared" si="42"/>
        <v>14243044.790709026</v>
      </c>
      <c r="DA30" s="34">
        <f t="shared" si="42"/>
        <v>14442017.6246596</v>
      </c>
      <c r="DB30" s="34">
        <f t="shared" si="43"/>
        <v>14640971.526479336</v>
      </c>
      <c r="DC30" s="34">
        <f t="shared" si="43"/>
        <v>14839844.510186134</v>
      </c>
      <c r="DD30" s="34">
        <f t="shared" si="43"/>
        <v>15038583.116139771</v>
      </c>
      <c r="DE30" s="34">
        <f t="shared" si="43"/>
        <v>15237114.575864065</v>
      </c>
      <c r="DF30" s="34">
        <f t="shared" si="43"/>
        <v>15435416.878244627</v>
      </c>
      <c r="DG30" s="34">
        <f t="shared" si="43"/>
        <v>15633458.756216573</v>
      </c>
      <c r="DH30" s="34">
        <f t="shared" si="43"/>
        <v>15831219.585200038</v>
      </c>
      <c r="DI30" s="34">
        <f t="shared" si="43"/>
        <v>16028685.742630629</v>
      </c>
      <c r="DJ30" s="34">
        <f t="shared" si="43"/>
        <v>16225849.350481177</v>
      </c>
      <c r="DK30" s="34">
        <f t="shared" si="43"/>
        <v>16422706.870315218</v>
      </c>
      <c r="DL30" s="34">
        <f t="shared" si="43"/>
        <v>16620284.088640941</v>
      </c>
      <c r="DM30" s="34">
        <f t="shared" si="43"/>
        <v>16817873.172470603</v>
      </c>
      <c r="DN30" s="34">
        <f t="shared" si="43"/>
        <v>17015532.685830776</v>
      </c>
      <c r="DO30" s="34">
        <f t="shared" si="43"/>
        <v>17213191.519902438</v>
      </c>
      <c r="DP30" s="34">
        <f t="shared" si="43"/>
        <v>17410842.99120396</v>
      </c>
      <c r="DQ30" s="34">
        <f t="shared" si="43"/>
        <v>17608485.689043447</v>
      </c>
      <c r="DR30" s="34">
        <f t="shared" si="44"/>
        <v>17806119.330923676</v>
      </c>
      <c r="DS30" s="34">
        <f t="shared" si="44"/>
        <v>18003744.459358327</v>
      </c>
      <c r="DT30" s="34">
        <f t="shared" si="44"/>
        <v>18201360.974364519</v>
      </c>
      <c r="DU30" s="34">
        <f t="shared" si="44"/>
        <v>18398975.035139546</v>
      </c>
      <c r="DV30" s="34">
        <f t="shared" si="44"/>
        <v>18596601.732437748</v>
      </c>
      <c r="DW30" s="34">
        <f t="shared" si="44"/>
        <v>18794223.388619669</v>
      </c>
      <c r="DX30" s="34">
        <f t="shared" si="44"/>
        <v>18991848.475000549</v>
      </c>
      <c r="DY30" s="34">
        <f t="shared" si="44"/>
        <v>19189427.905739162</v>
      </c>
      <c r="DZ30" s="34">
        <f t="shared" si="44"/>
        <v>19387165.316356741</v>
      </c>
      <c r="EA30" s="34">
        <f t="shared" si="44"/>
        <v>19585034.091637451</v>
      </c>
      <c r="EB30" s="34">
        <f t="shared" si="44"/>
        <v>19782721.897946294</v>
      </c>
      <c r="EC30" s="34">
        <f t="shared" si="44"/>
        <v>19980435.416164987</v>
      </c>
      <c r="ED30" s="34">
        <f t="shared" si="44"/>
        <v>20178159.065109454</v>
      </c>
      <c r="EE30" s="34">
        <f t="shared" si="44"/>
        <v>20375856.734698057</v>
      </c>
      <c r="EF30" s="34">
        <f t="shared" si="44"/>
        <v>20574114.121528443</v>
      </c>
      <c r="EG30" s="34">
        <f t="shared" si="44"/>
        <v>20771804.997318055</v>
      </c>
      <c r="EH30" s="34">
        <f t="shared" si="45"/>
        <v>20969742.721852433</v>
      </c>
      <c r="EI30" s="34">
        <f t="shared" si="45"/>
        <v>21167559.06678088</v>
      </c>
      <c r="EJ30" s="34">
        <f t="shared" si="45"/>
        <v>21365342.015277345</v>
      </c>
      <c r="EK30" s="34">
        <f t="shared" si="45"/>
        <v>21563129.308213785</v>
      </c>
      <c r="EL30" s="34">
        <f t="shared" si="45"/>
        <v>21760918.89030239</v>
      </c>
      <c r="EM30" s="34">
        <f t="shared" si="45"/>
        <v>21958700.01105471</v>
      </c>
      <c r="EN30" s="34">
        <f t="shared" si="45"/>
        <v>22156483.267725442</v>
      </c>
      <c r="EO30" s="34">
        <f t="shared" si="45"/>
        <v>22354266.375621852</v>
      </c>
      <c r="EP30" s="34">
        <f t="shared" si="45"/>
        <v>22552049.516886324</v>
      </c>
      <c r="EQ30" s="34">
        <f t="shared" si="45"/>
        <v>22749839.833149005</v>
      </c>
      <c r="ER30" s="34">
        <f t="shared" si="45"/>
        <v>22947628.726397373</v>
      </c>
      <c r="ES30" s="34">
        <f t="shared" si="45"/>
        <v>23145404.962430384</v>
      </c>
      <c r="ET30" s="34">
        <f t="shared" si="45"/>
        <v>23343182.509521466</v>
      </c>
      <c r="EU30" s="34">
        <f t="shared" si="45"/>
        <v>23540958.996121656</v>
      </c>
      <c r="EV30" s="34">
        <f t="shared" si="45"/>
        <v>23738735.860653549</v>
      </c>
      <c r="EW30" s="34">
        <f t="shared" si="45"/>
        <v>23936513.371328838</v>
      </c>
      <c r="EX30" s="34">
        <f t="shared" si="46"/>
        <v>24134290.87940833</v>
      </c>
      <c r="EY30" s="34">
        <f t="shared" si="46"/>
        <v>24332068.387487821</v>
      </c>
      <c r="EZ30" s="34">
        <f t="shared" si="46"/>
        <v>24529847.363308571</v>
      </c>
      <c r="FA30" s="34">
        <f t="shared" si="46"/>
        <v>24727625.289779957</v>
      </c>
      <c r="FB30" s="34">
        <f t="shared" si="46"/>
        <v>24925403.749024194</v>
      </c>
      <c r="FC30" s="34">
        <f t="shared" si="46"/>
        <v>25123182.208268445</v>
      </c>
      <c r="FD30" s="34">
        <f t="shared" si="46"/>
        <v>25320960.667512711</v>
      </c>
      <c r="FE30" s="34">
        <f t="shared" si="46"/>
        <v>25518739.126756981</v>
      </c>
      <c r="FF30" s="34">
        <f t="shared" si="46"/>
        <v>25716517.586001262</v>
      </c>
      <c r="FG30" s="34">
        <f t="shared" si="46"/>
        <v>25914296.045245554</v>
      </c>
      <c r="FH30" s="34">
        <f t="shared" si="46"/>
        <v>26112074.504489854</v>
      </c>
      <c r="FI30" s="34">
        <f t="shared" si="46"/>
        <v>26309852.99877236</v>
      </c>
      <c r="FJ30" s="34">
        <f t="shared" si="46"/>
        <v>26507632.577602372</v>
      </c>
    </row>
    <row r="31" spans="1:166" x14ac:dyDescent="0.2">
      <c r="A31" s="42" t="s">
        <v>140</v>
      </c>
      <c r="B31" s="39" t="s">
        <v>123</v>
      </c>
      <c r="C31" s="31">
        <v>0</v>
      </c>
      <c r="D31" s="31">
        <v>0</v>
      </c>
      <c r="E31" s="31">
        <v>0</v>
      </c>
      <c r="F31" s="31">
        <v>0</v>
      </c>
      <c r="G31" s="31">
        <v>0</v>
      </c>
      <c r="H31" s="31">
        <v>0</v>
      </c>
      <c r="I31" s="31">
        <v>0</v>
      </c>
      <c r="J31" s="31">
        <v>0</v>
      </c>
      <c r="K31" s="31">
        <v>0</v>
      </c>
      <c r="L31" s="31">
        <v>0</v>
      </c>
      <c r="M31" s="31">
        <v>0</v>
      </c>
      <c r="N31" s="31">
        <v>0</v>
      </c>
      <c r="O31" s="31">
        <v>0</v>
      </c>
      <c r="P31" s="31">
        <v>0</v>
      </c>
      <c r="Q31" s="31">
        <v>0</v>
      </c>
      <c r="R31" s="31">
        <v>0</v>
      </c>
      <c r="S31" s="31">
        <v>0</v>
      </c>
      <c r="T31" s="31">
        <v>0</v>
      </c>
      <c r="U31" s="31">
        <v>0</v>
      </c>
      <c r="V31" s="31">
        <v>0</v>
      </c>
      <c r="W31" s="31">
        <v>0</v>
      </c>
      <c r="X31" s="31">
        <v>0</v>
      </c>
      <c r="Y31" s="31">
        <v>0</v>
      </c>
      <c r="Z31" s="31">
        <v>0</v>
      </c>
      <c r="AA31" s="31">
        <v>0</v>
      </c>
      <c r="AB31" s="31">
        <v>0</v>
      </c>
      <c r="AC31" s="31">
        <v>0</v>
      </c>
      <c r="AD31" s="31">
        <v>0</v>
      </c>
      <c r="AE31" s="31">
        <v>0</v>
      </c>
      <c r="AF31" s="31">
        <v>0</v>
      </c>
      <c r="AG31" s="31">
        <v>0</v>
      </c>
      <c r="AH31" s="31">
        <v>0</v>
      </c>
      <c r="AI31" s="31">
        <v>0</v>
      </c>
      <c r="AJ31" s="31">
        <v>141642</v>
      </c>
      <c r="AK31" s="31">
        <v>136066</v>
      </c>
      <c r="AL31" s="31">
        <v>151916</v>
      </c>
      <c r="AM31" s="31">
        <v>166761</v>
      </c>
      <c r="AN31" s="31">
        <v>192953</v>
      </c>
      <c r="AO31" s="31">
        <v>202275</v>
      </c>
      <c r="AP31" s="31">
        <v>206750</v>
      </c>
      <c r="AQ31" s="31">
        <v>235898</v>
      </c>
      <c r="AR31" s="31">
        <v>210608</v>
      </c>
      <c r="AS31" s="31">
        <v>258108</v>
      </c>
      <c r="AT31" s="31">
        <v>271518</v>
      </c>
      <c r="AU31" s="31">
        <v>324929</v>
      </c>
      <c r="AV31" s="31">
        <v>314599</v>
      </c>
      <c r="AW31" s="31">
        <v>293567</v>
      </c>
      <c r="AX31" s="31">
        <v>249895</v>
      </c>
      <c r="AY31" s="31">
        <v>277239.62703962706</v>
      </c>
      <c r="AZ31" s="31">
        <v>248894.1724941725</v>
      </c>
      <c r="BA31" s="31">
        <v>353679.28515928518</v>
      </c>
      <c r="BB31" s="31">
        <v>343330.22533022531</v>
      </c>
      <c r="BC31" s="31">
        <v>319769.54156954162</v>
      </c>
      <c r="BD31" s="31">
        <v>290951</v>
      </c>
      <c r="BE31" s="31">
        <v>324199</v>
      </c>
      <c r="BF31" s="34">
        <f t="shared" si="40"/>
        <v>335700.0532138822</v>
      </c>
      <c r="BG31" s="34">
        <f t="shared" si="40"/>
        <v>346176.87367777823</v>
      </c>
      <c r="BH31" s="34">
        <f t="shared" si="40"/>
        <v>354093.50339082163</v>
      </c>
      <c r="BI31" s="34">
        <f t="shared" si="40"/>
        <v>365131.05648742325</v>
      </c>
      <c r="BJ31" s="34">
        <f t="shared" si="40"/>
        <v>376057.89985452575</v>
      </c>
      <c r="BK31" s="34">
        <f t="shared" si="40"/>
        <v>387157.65666837204</v>
      </c>
      <c r="BL31" s="34">
        <f t="shared" si="40"/>
        <v>398552.85100331716</v>
      </c>
      <c r="BM31" s="34">
        <f t="shared" si="40"/>
        <v>409867.13509342709</v>
      </c>
      <c r="BN31" s="34">
        <f t="shared" si="40"/>
        <v>419437.29688138445</v>
      </c>
      <c r="BO31" s="34">
        <f t="shared" si="40"/>
        <v>431200.7768386993</v>
      </c>
      <c r="BP31" s="34">
        <f t="shared" si="40"/>
        <v>442529.56009567244</v>
      </c>
      <c r="BQ31" s="34">
        <f t="shared" si="40"/>
        <v>453821.51591438183</v>
      </c>
      <c r="BR31" s="34">
        <f t="shared" si="40"/>
        <v>465043.5615118093</v>
      </c>
      <c r="BS31" s="34">
        <f t="shared" si="40"/>
        <v>476160.58389860246</v>
      </c>
      <c r="BT31" s="34">
        <f t="shared" si="40"/>
        <v>487135.3370321886</v>
      </c>
      <c r="BU31" s="34">
        <f t="shared" si="40"/>
        <v>497928.33750989428</v>
      </c>
      <c r="BV31" s="34">
        <f t="shared" si="41"/>
        <v>508497.75880323397</v>
      </c>
      <c r="BW31" s="34">
        <f t="shared" si="41"/>
        <v>518799.32404603291</v>
      </c>
      <c r="BX31" s="34">
        <f t="shared" si="41"/>
        <v>528786.19740084058</v>
      </c>
      <c r="BY31" s="34">
        <f t="shared" si="41"/>
        <v>538408.87404020922</v>
      </c>
      <c r="BZ31" s="34">
        <f t="shared" si="41"/>
        <v>546811.73844778526</v>
      </c>
      <c r="CA31" s="34">
        <f t="shared" si="41"/>
        <v>556039.31059075869</v>
      </c>
      <c r="CB31" s="34">
        <f t="shared" si="41"/>
        <v>565113.82804730441</v>
      </c>
      <c r="CC31" s="34">
        <f t="shared" si="41"/>
        <v>574161.0618249526</v>
      </c>
      <c r="CD31" s="34">
        <f t="shared" si="41"/>
        <v>583148.41612242023</v>
      </c>
      <c r="CE31" s="34">
        <f t="shared" si="41"/>
        <v>592247.64618621662</v>
      </c>
      <c r="CF31" s="34">
        <f t="shared" si="41"/>
        <v>601393.52957376174</v>
      </c>
      <c r="CG31" s="34">
        <f t="shared" si="41"/>
        <v>610454.30716144433</v>
      </c>
      <c r="CH31" s="34">
        <f t="shared" si="41"/>
        <v>619707.8904179855</v>
      </c>
      <c r="CI31" s="34">
        <f t="shared" si="41"/>
        <v>628779.5840565426</v>
      </c>
      <c r="CJ31" s="34">
        <f t="shared" si="41"/>
        <v>638057.65761868516</v>
      </c>
      <c r="CK31" s="34">
        <f t="shared" si="41"/>
        <v>673993.87220447359</v>
      </c>
      <c r="CL31" s="34">
        <f t="shared" si="42"/>
        <v>670627.11467207863</v>
      </c>
      <c r="CM31" s="34">
        <f t="shared" si="42"/>
        <v>676731.39813740691</v>
      </c>
      <c r="CN31" s="34">
        <f t="shared" si="42"/>
        <v>687152.76492170896</v>
      </c>
      <c r="CO31" s="34">
        <f t="shared" si="42"/>
        <v>696250.04506340064</v>
      </c>
      <c r="CP31" s="34">
        <f t="shared" si="42"/>
        <v>706708.16443016555</v>
      </c>
      <c r="CQ31" s="34">
        <f t="shared" si="42"/>
        <v>716572.74456690997</v>
      </c>
      <c r="CR31" s="34">
        <f t="shared" si="42"/>
        <v>726730.60798760364</v>
      </c>
      <c r="CS31" s="34">
        <f t="shared" si="42"/>
        <v>737337.07752767741</v>
      </c>
      <c r="CT31" s="34">
        <f t="shared" si="42"/>
        <v>747709.01438771619</v>
      </c>
      <c r="CU31" s="34">
        <f t="shared" si="42"/>
        <v>758834.53269092832</v>
      </c>
      <c r="CV31" s="34">
        <f t="shared" si="42"/>
        <v>768620.41474076128</v>
      </c>
      <c r="CW31" s="34">
        <f t="shared" si="42"/>
        <v>778837.30337498209</v>
      </c>
      <c r="CX31" s="34">
        <f t="shared" si="42"/>
        <v>789084.69852850598</v>
      </c>
      <c r="CY31" s="34">
        <f t="shared" si="42"/>
        <v>799284.9265868396</v>
      </c>
      <c r="CZ31" s="34">
        <f t="shared" si="42"/>
        <v>809467.77090013842</v>
      </c>
      <c r="DA31" s="34">
        <f t="shared" si="42"/>
        <v>819633.49136120221</v>
      </c>
      <c r="DB31" s="34">
        <f t="shared" si="43"/>
        <v>829783.94000219833</v>
      </c>
      <c r="DC31" s="34">
        <f t="shared" si="43"/>
        <v>839924.06936851749</v>
      </c>
      <c r="DD31" s="34">
        <f t="shared" si="43"/>
        <v>848391.35952483118</v>
      </c>
      <c r="DE31" s="34">
        <f t="shared" si="43"/>
        <v>857759.38711653394</v>
      </c>
      <c r="DF31" s="34">
        <f t="shared" si="43"/>
        <v>866965.59047582815</v>
      </c>
      <c r="DG31" s="34">
        <f t="shared" si="43"/>
        <v>876918.83493710111</v>
      </c>
      <c r="DH31" s="34">
        <f t="shared" si="43"/>
        <v>886004.57061397762</v>
      </c>
      <c r="DI31" s="34">
        <f t="shared" si="43"/>
        <v>895305.19860928692</v>
      </c>
      <c r="DJ31" s="34">
        <f t="shared" si="43"/>
        <v>904304.70498619648</v>
      </c>
      <c r="DK31" s="34">
        <f t="shared" si="43"/>
        <v>913191.40699454537</v>
      </c>
      <c r="DL31" s="34">
        <f t="shared" si="43"/>
        <v>922153.12643052125</v>
      </c>
      <c r="DM31" s="34">
        <f t="shared" si="43"/>
        <v>950818.82133232255</v>
      </c>
      <c r="DN31" s="34">
        <f t="shared" si="43"/>
        <v>952969.81758044101</v>
      </c>
      <c r="DO31" s="34">
        <f t="shared" si="43"/>
        <v>958751.26757769298</v>
      </c>
      <c r="DP31" s="34">
        <f t="shared" si="43"/>
        <v>969326.52155121125</v>
      </c>
      <c r="DQ31" s="34">
        <f t="shared" si="43"/>
        <v>978005.26954722463</v>
      </c>
      <c r="DR31" s="34">
        <f t="shared" si="44"/>
        <v>988298.47955249925</v>
      </c>
      <c r="DS31" s="34">
        <f t="shared" si="44"/>
        <v>997379.72551472334</v>
      </c>
      <c r="DT31" s="34">
        <f t="shared" si="44"/>
        <v>1009460.6696101715</v>
      </c>
      <c r="DU31" s="34">
        <f t="shared" si="44"/>
        <v>1019598.1933380243</v>
      </c>
      <c r="DV31" s="34">
        <f t="shared" si="44"/>
        <v>1029711.0915213877</v>
      </c>
      <c r="DW31" s="34">
        <f t="shared" si="44"/>
        <v>1039801.8639652766</v>
      </c>
      <c r="DX31" s="34">
        <f t="shared" si="44"/>
        <v>1049711.2469885109</v>
      </c>
      <c r="DY31" s="34">
        <f t="shared" si="44"/>
        <v>1059744.6045681187</v>
      </c>
      <c r="DZ31" s="34">
        <f t="shared" si="44"/>
        <v>1069742.0010395937</v>
      </c>
      <c r="EA31" s="34">
        <f t="shared" si="44"/>
        <v>1079708.5755165701</v>
      </c>
      <c r="EB31" s="34">
        <f t="shared" si="44"/>
        <v>1089751.2853324718</v>
      </c>
      <c r="EC31" s="34">
        <f t="shared" si="44"/>
        <v>1099635.4514951366</v>
      </c>
      <c r="ED31" s="34">
        <f t="shared" si="44"/>
        <v>1109726.8387670245</v>
      </c>
      <c r="EE31" s="34">
        <f t="shared" si="44"/>
        <v>1119599.3707277775</v>
      </c>
      <c r="EF31" s="34">
        <f t="shared" si="44"/>
        <v>1129636.0645064581</v>
      </c>
      <c r="EG31" s="34">
        <f t="shared" si="44"/>
        <v>1139584.7885885308</v>
      </c>
      <c r="EH31" s="34">
        <f t="shared" si="45"/>
        <v>1149560.5290734249</v>
      </c>
      <c r="EI31" s="34">
        <f t="shared" si="45"/>
        <v>1159615.715671795</v>
      </c>
      <c r="EJ31" s="34">
        <f t="shared" si="45"/>
        <v>1169664.5591882754</v>
      </c>
      <c r="EK31" s="34">
        <f t="shared" si="45"/>
        <v>1179875.8496732323</v>
      </c>
      <c r="EL31" s="34">
        <f t="shared" si="45"/>
        <v>1189932.624535772</v>
      </c>
      <c r="EM31" s="34">
        <f t="shared" si="45"/>
        <v>1200055.9556150341</v>
      </c>
      <c r="EN31" s="34">
        <f t="shared" si="45"/>
        <v>1209987.0181053965</v>
      </c>
      <c r="EO31" s="34">
        <f t="shared" si="45"/>
        <v>1220044.575524492</v>
      </c>
      <c r="EP31" s="34">
        <f t="shared" si="45"/>
        <v>1228707.6136636024</v>
      </c>
      <c r="EQ31" s="34">
        <f t="shared" si="45"/>
        <v>1240008.2563131554</v>
      </c>
      <c r="ER31" s="34">
        <f t="shared" si="45"/>
        <v>1250085.3154890486</v>
      </c>
      <c r="ES31" s="34">
        <f t="shared" si="45"/>
        <v>1260172.0960315671</v>
      </c>
      <c r="ET31" s="34">
        <f t="shared" si="45"/>
        <v>1271546.4704662079</v>
      </c>
      <c r="EU31" s="34">
        <f t="shared" si="45"/>
        <v>1280119.7207675916</v>
      </c>
      <c r="EV31" s="34">
        <f t="shared" si="45"/>
        <v>1290118.9179595786</v>
      </c>
      <c r="EW31" s="34">
        <f t="shared" si="45"/>
        <v>1300110.1067322865</v>
      </c>
      <c r="EX31" s="34">
        <f t="shared" si="46"/>
        <v>1310675.9450069231</v>
      </c>
      <c r="EY31" s="34">
        <f t="shared" si="46"/>
        <v>1320603.4980527426</v>
      </c>
      <c r="EZ31" s="34">
        <f t="shared" si="46"/>
        <v>1330653.5460530028</v>
      </c>
      <c r="FA31" s="34">
        <f t="shared" si="46"/>
        <v>1340963.32570898</v>
      </c>
      <c r="FB31" s="34">
        <f t="shared" si="46"/>
        <v>1351044.0301707801</v>
      </c>
      <c r="FC31" s="34">
        <f t="shared" si="46"/>
        <v>1361159.6337212161</v>
      </c>
      <c r="FD31" s="34">
        <f t="shared" si="46"/>
        <v>1371183.581448053</v>
      </c>
      <c r="FE31" s="34">
        <f t="shared" si="46"/>
        <v>1380939.010045483</v>
      </c>
      <c r="FF31" s="34">
        <f t="shared" si="46"/>
        <v>1391113.9275711821</v>
      </c>
      <c r="FG31" s="34">
        <f t="shared" si="46"/>
        <v>1401179.7395688244</v>
      </c>
      <c r="FH31" s="34">
        <f t="shared" si="46"/>
        <v>1411232.7107329571</v>
      </c>
      <c r="FI31" s="34">
        <f t="shared" si="46"/>
        <v>1421282.1911753956</v>
      </c>
      <c r="FJ31" s="34">
        <f t="shared" si="46"/>
        <v>1431394.444219359</v>
      </c>
    </row>
    <row r="32" spans="1:166" x14ac:dyDescent="0.2">
      <c r="A32" s="42" t="s">
        <v>141</v>
      </c>
      <c r="B32" s="39" t="s">
        <v>123</v>
      </c>
      <c r="C32" s="31">
        <v>0</v>
      </c>
      <c r="D32" s="31">
        <v>0</v>
      </c>
      <c r="E32" s="31">
        <v>0</v>
      </c>
      <c r="F32" s="31">
        <v>0</v>
      </c>
      <c r="G32" s="31">
        <v>0</v>
      </c>
      <c r="H32" s="31">
        <v>0</v>
      </c>
      <c r="I32" s="31">
        <v>0</v>
      </c>
      <c r="J32" s="31">
        <v>0</v>
      </c>
      <c r="K32" s="31">
        <v>0</v>
      </c>
      <c r="L32" s="31">
        <v>0</v>
      </c>
      <c r="M32" s="31">
        <v>0</v>
      </c>
      <c r="N32" s="31">
        <v>0</v>
      </c>
      <c r="O32" s="31">
        <v>0</v>
      </c>
      <c r="P32" s="31">
        <v>0</v>
      </c>
      <c r="Q32" s="31">
        <v>0</v>
      </c>
      <c r="R32" s="31">
        <v>0</v>
      </c>
      <c r="S32" s="31">
        <v>0</v>
      </c>
      <c r="T32" s="31">
        <v>0</v>
      </c>
      <c r="U32" s="31">
        <v>0</v>
      </c>
      <c r="V32" s="31">
        <v>0</v>
      </c>
      <c r="W32" s="31">
        <v>4684097</v>
      </c>
      <c r="X32" s="31">
        <v>4752638</v>
      </c>
      <c r="Y32" s="31">
        <v>4841054</v>
      </c>
      <c r="Z32" s="31">
        <v>5004280</v>
      </c>
      <c r="AA32" s="31">
        <v>4989228</v>
      </c>
      <c r="AB32" s="31">
        <v>5056098</v>
      </c>
      <c r="AC32" s="31">
        <v>5076687</v>
      </c>
      <c r="AD32" s="31">
        <v>5096041</v>
      </c>
      <c r="AE32" s="31">
        <v>5129549</v>
      </c>
      <c r="AF32" s="31">
        <v>5164110</v>
      </c>
      <c r="AG32" s="31">
        <v>5188442</v>
      </c>
      <c r="AH32" s="31">
        <v>5223272</v>
      </c>
      <c r="AI32" s="31">
        <v>5250727</v>
      </c>
      <c r="AJ32" s="31">
        <v>5277940</v>
      </c>
      <c r="AK32" s="31">
        <v>5291908</v>
      </c>
      <c r="AL32" s="31">
        <v>5282897</v>
      </c>
      <c r="AM32" s="31">
        <v>5316667</v>
      </c>
      <c r="AN32" s="31">
        <v>5602615</v>
      </c>
      <c r="AO32" s="31">
        <v>6660907</v>
      </c>
      <c r="AP32" s="31">
        <v>7147835</v>
      </c>
      <c r="AQ32" s="31"/>
      <c r="AR32" s="31"/>
      <c r="AS32" s="31"/>
      <c r="AT32" s="31"/>
      <c r="AU32" s="31"/>
      <c r="AV32" s="31"/>
      <c r="AW32" s="31"/>
      <c r="AX32" s="31"/>
      <c r="AY32" s="34">
        <v>0</v>
      </c>
      <c r="AZ32" s="34">
        <v>0</v>
      </c>
      <c r="BA32" s="34"/>
      <c r="BB32" s="34"/>
      <c r="BC32" s="34"/>
      <c r="BD32" s="34"/>
      <c r="BE32" s="31">
        <v>0</v>
      </c>
      <c r="BF32" s="34"/>
      <c r="BG32" s="34"/>
      <c r="BH32" s="34"/>
      <c r="BI32" s="34"/>
      <c r="BJ32" s="34"/>
      <c r="BK32" s="34"/>
      <c r="BL32" s="34"/>
      <c r="BM32" s="34"/>
      <c r="BN32" s="34"/>
      <c r="BO32" s="34"/>
      <c r="BP32" s="34"/>
      <c r="BQ32" s="34"/>
      <c r="BR32" s="34"/>
      <c r="BS32" s="34"/>
      <c r="BT32" s="34"/>
      <c r="BU32" s="34"/>
      <c r="BV32" s="34"/>
      <c r="BW32" s="34"/>
      <c r="BX32" s="34"/>
      <c r="BY32" s="34"/>
      <c r="BZ32" s="34"/>
      <c r="CA32" s="34"/>
      <c r="CB32" s="34"/>
      <c r="CC32" s="34"/>
      <c r="CD32" s="34"/>
      <c r="CE32" s="34"/>
      <c r="CF32" s="34"/>
      <c r="CG32" s="34"/>
      <c r="CH32" s="34"/>
      <c r="CI32" s="34"/>
      <c r="CJ32" s="34"/>
      <c r="CK32" s="34"/>
      <c r="CL32" s="34"/>
      <c r="CM32" s="34"/>
      <c r="CN32" s="34"/>
      <c r="CO32" s="34"/>
      <c r="CP32" s="34"/>
      <c r="CQ32" s="34"/>
      <c r="CR32" s="34"/>
      <c r="CS32" s="34"/>
      <c r="CT32" s="34"/>
      <c r="CU32" s="34"/>
      <c r="CV32" s="34"/>
      <c r="CW32" s="34"/>
      <c r="CX32" s="34"/>
      <c r="CY32" s="34"/>
      <c r="CZ32" s="34"/>
      <c r="DA32" s="34"/>
      <c r="DB32" s="34"/>
      <c r="DC32" s="34"/>
      <c r="DD32" s="34"/>
      <c r="DE32" s="34"/>
      <c r="DF32" s="34"/>
      <c r="DG32" s="34"/>
      <c r="DH32" s="34"/>
      <c r="DI32" s="34"/>
      <c r="DJ32" s="34"/>
      <c r="DK32" s="34"/>
      <c r="DL32" s="34"/>
      <c r="DM32" s="34"/>
      <c r="DN32" s="34"/>
      <c r="DO32" s="34"/>
      <c r="DP32" s="34"/>
      <c r="DQ32" s="34"/>
      <c r="DR32" s="34"/>
      <c r="DS32" s="34"/>
      <c r="DT32" s="34"/>
      <c r="DU32" s="34"/>
      <c r="DV32" s="34"/>
      <c r="DW32" s="34"/>
      <c r="DX32" s="34"/>
      <c r="DY32" s="34"/>
      <c r="DZ32" s="34"/>
      <c r="EA32" s="34"/>
      <c r="EB32" s="34"/>
      <c r="EC32" s="34"/>
      <c r="ED32" s="34"/>
      <c r="EE32" s="34"/>
      <c r="EF32" s="34"/>
      <c r="EG32" s="34"/>
      <c r="EH32" s="34"/>
      <c r="EI32" s="34"/>
      <c r="EJ32" s="34"/>
      <c r="EK32" s="34"/>
      <c r="EL32" s="34"/>
      <c r="EM32" s="34"/>
      <c r="EN32" s="34"/>
      <c r="EO32" s="34"/>
      <c r="EP32" s="34"/>
      <c r="EQ32" s="34"/>
      <c r="ER32" s="34"/>
      <c r="ES32" s="34"/>
      <c r="ET32" s="34"/>
      <c r="EU32" s="34"/>
      <c r="EV32" s="34"/>
      <c r="EW32" s="34"/>
      <c r="EX32" s="34"/>
      <c r="EY32" s="34"/>
      <c r="EZ32" s="34"/>
      <c r="FA32" s="34"/>
      <c r="FB32" s="34"/>
      <c r="FC32" s="34"/>
      <c r="FD32" s="34"/>
      <c r="FE32" s="34"/>
      <c r="FF32" s="34"/>
      <c r="FG32" s="34"/>
      <c r="FH32" s="34"/>
      <c r="FI32" s="34"/>
      <c r="FJ32" s="34"/>
    </row>
    <row r="33" spans="1:166" x14ac:dyDescent="0.2">
      <c r="A33" s="42" t="s">
        <v>142</v>
      </c>
      <c r="B33" s="39" t="s">
        <v>123</v>
      </c>
      <c r="C33" s="31">
        <v>0</v>
      </c>
      <c r="D33" s="31">
        <v>0</v>
      </c>
      <c r="E33" s="31">
        <v>0</v>
      </c>
      <c r="F33" s="31">
        <v>0</v>
      </c>
      <c r="G33" s="31">
        <v>0</v>
      </c>
      <c r="H33" s="31">
        <v>0</v>
      </c>
      <c r="I33" s="31">
        <v>0</v>
      </c>
      <c r="J33" s="31">
        <v>0</v>
      </c>
      <c r="K33" s="31">
        <v>0</v>
      </c>
      <c r="L33" s="31">
        <v>0</v>
      </c>
      <c r="M33" s="31">
        <v>0</v>
      </c>
      <c r="N33" s="31">
        <v>0</v>
      </c>
      <c r="O33" s="31">
        <v>0</v>
      </c>
      <c r="P33" s="31">
        <v>0</v>
      </c>
      <c r="Q33" s="31">
        <v>0</v>
      </c>
      <c r="R33" s="31">
        <v>0</v>
      </c>
      <c r="S33" s="31">
        <v>0</v>
      </c>
      <c r="T33" s="31">
        <v>0</v>
      </c>
      <c r="U33" s="31">
        <v>0</v>
      </c>
      <c r="V33" s="31">
        <v>0</v>
      </c>
      <c r="W33" s="31">
        <v>0</v>
      </c>
      <c r="X33" s="31">
        <v>0</v>
      </c>
      <c r="Y33" s="31">
        <v>0</v>
      </c>
      <c r="Z33" s="31">
        <v>0</v>
      </c>
      <c r="AA33" s="31">
        <v>0</v>
      </c>
      <c r="AB33" s="31">
        <v>0</v>
      </c>
      <c r="AC33" s="31">
        <v>0</v>
      </c>
      <c r="AD33" s="31">
        <v>0</v>
      </c>
      <c r="AE33" s="31">
        <v>3743846</v>
      </c>
      <c r="AF33" s="31">
        <v>3456255</v>
      </c>
      <c r="AG33" s="31">
        <v>3174942</v>
      </c>
      <c r="AH33" s="31">
        <v>2982760</v>
      </c>
      <c r="AI33" s="31">
        <v>2933204</v>
      </c>
      <c r="AJ33" s="31">
        <v>2640692</v>
      </c>
      <c r="AK33" s="31">
        <v>1825421</v>
      </c>
      <c r="AL33" s="31">
        <v>1313252</v>
      </c>
      <c r="AM33" s="31">
        <v>380989</v>
      </c>
      <c r="AN33" s="31">
        <v>0</v>
      </c>
      <c r="AO33" s="31">
        <v>0</v>
      </c>
      <c r="AP33" s="31">
        <v>0</v>
      </c>
      <c r="AQ33" s="31">
        <v>2422945</v>
      </c>
      <c r="AR33" s="31">
        <v>1571526</v>
      </c>
      <c r="AS33" s="31">
        <v>607109</v>
      </c>
      <c r="AT33" s="31">
        <v>161941</v>
      </c>
      <c r="AU33" s="31">
        <f t="shared" ref="AU33:BN35" si="47">IF(_xlfn.FORECAST.ETS(AU$47,E33:AT33,E$47:AT$47)&lt;0,0,_xlfn.FORECAST.ETS(AU$47,E33:AT33,E$47:AT$47))</f>
        <v>206831.94352159591</v>
      </c>
      <c r="AV33" s="31">
        <f t="shared" si="47"/>
        <v>247999.5539003631</v>
      </c>
      <c r="AW33" s="31">
        <f t="shared" si="47"/>
        <v>285547.08112727135</v>
      </c>
      <c r="AX33" s="31">
        <f t="shared" si="47"/>
        <v>317811.54239600978</v>
      </c>
      <c r="AY33" s="31">
        <f t="shared" si="47"/>
        <v>346941.46831387206</v>
      </c>
      <c r="AZ33" s="31">
        <f t="shared" si="47"/>
        <v>372831.29455843498</v>
      </c>
      <c r="BA33" s="31"/>
      <c r="BB33" s="31"/>
      <c r="BC33" s="31"/>
      <c r="BD33" s="31"/>
      <c r="BE33" s="31"/>
      <c r="BF33" s="34">
        <f t="shared" si="47"/>
        <v>474968.62132286909</v>
      </c>
      <c r="BG33" s="34">
        <f t="shared" si="47"/>
        <v>476944.49808535021</v>
      </c>
      <c r="BH33" s="34">
        <f t="shared" si="47"/>
        <v>476543.30886833731</v>
      </c>
      <c r="BI33" s="34">
        <f t="shared" si="47"/>
        <v>472827.52918584232</v>
      </c>
      <c r="BJ33" s="34">
        <f t="shared" si="47"/>
        <v>465545.95883760916</v>
      </c>
      <c r="BK33" s="34">
        <f t="shared" si="47"/>
        <v>454610.51690471411</v>
      </c>
      <c r="BL33" s="34">
        <f t="shared" si="47"/>
        <v>439909.17814263416</v>
      </c>
      <c r="BM33" s="34">
        <f t="shared" si="47"/>
        <v>421319.55892865726</v>
      </c>
      <c r="BN33" s="34">
        <f t="shared" si="47"/>
        <v>398709.09881849209</v>
      </c>
      <c r="BO33" s="34">
        <f>IF(_xlfn.FORECAST.ETS(BO$47,Y33:BN33,Y$47:BN$47)&lt;0,0,_xlfn.FORECAST.ETS(BO$47,Y33:BN33,Y$47:BN$47))+400000</f>
        <v>771935.22920469043</v>
      </c>
      <c r="BP33" s="34">
        <f>IF(_xlfn.FORECAST.ETS(BP$47,Z33:BO33,Z$47:BO$47)&lt;0,0,_xlfn.FORECAST.ETS(BP$47,Z33:BO33,Z$47:BO$47))+300000</f>
        <v>710237.42118094955</v>
      </c>
      <c r="BQ33" s="34">
        <f>IF(_xlfn.FORECAST.ETS(BQ$47,AA33:BP33,AA$47:BP$47)&lt;0,0,_xlfn.FORECAST.ETS(BQ$47,AA33:BP33,AA$47:BP$47))+400000</f>
        <v>1076824.9817312246</v>
      </c>
      <c r="BR33" s="34">
        <f>IF(_xlfn.FORECAST.ETS(BR$47,AB33:BQ33,AB$47:BQ$47)&lt;0,0,_xlfn.FORECAST.ETS(BR$47,AB33:BQ33,AB$47:BQ$47))+100000</f>
        <v>1102389.6485833742</v>
      </c>
      <c r="BS33" s="34">
        <f>IF(_xlfn.FORECAST.ETS(BS$47,AC33:BR33,AC$47:BR$47)&lt;0,0,_xlfn.FORECAST.ETS(BS$47,AC33:BR33,AC$47:BR$47))</f>
        <v>1055658.6088221266</v>
      </c>
      <c r="BT33" s="34">
        <f>IF(_xlfn.FORECAST.ETS(BT$47,AD33:BS33,AD$47:BS$47)&lt;0,0,_xlfn.FORECAST.ETS(BT$47,AD33:BS33,AD$47:BS$47))+50000</f>
        <v>1066184.2040387571</v>
      </c>
      <c r="BU33" s="34">
        <f t="shared" ref="BU33:CC33" si="48">IF(_xlfn.FORECAST.ETS(BU$47,AE33:BT33,AE$47:BT$47)&lt;0,0,_xlfn.FORECAST.ETS(BU$47,AE33:BT33,AE$47:BT$47))+50000</f>
        <v>1071079.3475011124</v>
      </c>
      <c r="BV33" s="34">
        <f>IF(_xlfn.FORECAST.ETS(BV$47,AF33:BU33,AF$47:BU$47)&lt;0,0,_xlfn.FORECAST.ETS(BV$47,AF33:BU33,AF$47:BU$47))</f>
        <v>1035936.8704444801</v>
      </c>
      <c r="BW33" s="34">
        <f>IF(_xlfn.FORECAST.ETS(BW$47,AG33:BV33,AG$47:BV$47)&lt;0,0,_xlfn.FORECAST.ETS(BW$47,AG33:BV33,AG$47:BV$47))+50000</f>
        <v>1060071.1135823934</v>
      </c>
      <c r="BX33" s="34">
        <f t="shared" ref="BX33:CA33" si="49">IF(_xlfn.FORECAST.ETS(BX$47,AH33:BW33,AH$47:BW$47)&lt;0,0,_xlfn.FORECAST.ETS(BX$47,AH33:BW33,AH$47:BW$47))+50000</f>
        <v>1087590.5416988502</v>
      </c>
      <c r="BY33" s="34">
        <f t="shared" si="49"/>
        <v>1123372.4899241503</v>
      </c>
      <c r="BZ33" s="34">
        <f>IF(_xlfn.FORECAST.ETS(BZ$47,AJ33:BY33,AJ$47:BY$47)&lt;0,0,_xlfn.FORECAST.ETS(BZ$47,AJ33:BY33,AJ$47:BY$47))/3</f>
        <v>642162.80890601571</v>
      </c>
      <c r="CA33" s="34">
        <f t="shared" si="49"/>
        <v>745709.67297434201</v>
      </c>
      <c r="CB33" s="34">
        <f t="shared" si="48"/>
        <v>812185.79400604719</v>
      </c>
      <c r="CC33" s="34">
        <f t="shared" si="48"/>
        <v>1128960.380881615</v>
      </c>
      <c r="CD33" s="34">
        <f t="shared" ref="CD33:CS35" si="50">IF(_xlfn.FORECAST.ETS(CD$47,AN33:CC33,AN$47:CC$47)&lt;0,0,_xlfn.FORECAST.ETS(CD$47,AN33:CC33,AN$47:CC$47))</f>
        <v>1108453.4531854405</v>
      </c>
      <c r="CE33" s="34">
        <f t="shared" si="50"/>
        <v>1212081.3001971426</v>
      </c>
      <c r="CF33" s="34">
        <f t="shared" si="50"/>
        <v>1201133.0294438347</v>
      </c>
      <c r="CG33" s="34">
        <f t="shared" si="50"/>
        <v>1213699.1318991985</v>
      </c>
      <c r="CH33" s="34">
        <f t="shared" si="50"/>
        <v>1207076.738065755</v>
      </c>
      <c r="CI33" s="34">
        <f t="shared" si="50"/>
        <v>1234637.1625518973</v>
      </c>
      <c r="CJ33" s="34">
        <f t="shared" si="50"/>
        <v>1260879.610789282</v>
      </c>
      <c r="CK33" s="34">
        <f>IF(_xlfn.FORECAST.ETS(CK$47,AU33:CJ33,AU$47:CJ$47)&lt;0,0,_xlfn.FORECAST.ETS(CK$47,AU33:CJ33,AU$47:CJ$47))+450000</f>
        <v>1740836.3298281836</v>
      </c>
      <c r="CL33" s="34">
        <f t="shared" ref="CL33:CV33" si="51">IF(_xlfn.FORECAST.ETS(CL$47,AV33:CK33,AV$47:CK$47)&lt;0,0,_xlfn.FORECAST.ETS(CL$47,AV33:CK33,AV$47:CK$47))+450000</f>
        <v>1884423.1372108308</v>
      </c>
      <c r="CM33" s="34">
        <f t="shared" si="51"/>
        <v>2363950.5854592128</v>
      </c>
      <c r="CN33" s="34">
        <f t="shared" si="51"/>
        <v>2846803.9750080234</v>
      </c>
      <c r="CO33" s="34">
        <f t="shared" si="51"/>
        <v>3334363.0606419174</v>
      </c>
      <c r="CP33" s="34">
        <f t="shared" si="51"/>
        <v>3827939.2858792655</v>
      </c>
      <c r="CQ33" s="34">
        <f t="shared" si="51"/>
        <v>4336076.7946071485</v>
      </c>
      <c r="CR33" s="34">
        <f t="shared" si="51"/>
        <v>4852591.1737346407</v>
      </c>
      <c r="CS33" s="34">
        <f t="shared" si="51"/>
        <v>5377988.8806648767</v>
      </c>
      <c r="CT33" s="34">
        <f t="shared" si="51"/>
        <v>5912648.7576503903</v>
      </c>
      <c r="CU33" s="34">
        <f t="shared" si="51"/>
        <v>6456847.8541608313</v>
      </c>
      <c r="CV33" s="34">
        <f t="shared" si="51"/>
        <v>7449925.744664764</v>
      </c>
      <c r="CW33" s="34">
        <f>IF(_xlfn.FORECAST.ETS(CW$47,BG33:CV33,BG$47:CV$47)&lt;0,0,_xlfn.FORECAST.ETS(CW$47,BG33:CV33,BG$47:CV$47))</f>
        <v>7991872.9766083704</v>
      </c>
      <c r="CX33" s="34">
        <f t="shared" ref="CX33:FI35" si="52">IF(_xlfn.FORECAST.ETS(CX$47,BH33:CW33,BH$47:CW$47)&lt;0,0,_xlfn.FORECAST.ETS(CX$47,BH33:CW33,BH$47:CW$47))</f>
        <v>8576415.2459905613</v>
      </c>
      <c r="CY33" s="34">
        <f t="shared" si="52"/>
        <v>9351612.8284015823</v>
      </c>
      <c r="CZ33" s="34">
        <f t="shared" si="52"/>
        <v>10031578.108118188</v>
      </c>
      <c r="DA33" s="34">
        <f t="shared" si="52"/>
        <v>10707199.916602651</v>
      </c>
      <c r="DB33" s="34">
        <f t="shared" si="52"/>
        <v>11450719.71821304</v>
      </c>
      <c r="DC33" s="34">
        <f t="shared" si="52"/>
        <v>12194265.21715444</v>
      </c>
      <c r="DD33" s="34">
        <f t="shared" si="52"/>
        <v>12937838.335183227</v>
      </c>
      <c r="DE33" s="34">
        <f t="shared" si="52"/>
        <v>13584400.043918669</v>
      </c>
      <c r="DF33" s="34">
        <f t="shared" si="52"/>
        <v>14303047.592132956</v>
      </c>
      <c r="DG33" s="34">
        <f t="shared" si="52"/>
        <v>15001495.960716432</v>
      </c>
      <c r="DH33" s="34">
        <f t="shared" si="52"/>
        <v>15701171.398434691</v>
      </c>
      <c r="DI33" s="34">
        <f t="shared" si="52"/>
        <v>16385806.48250144</v>
      </c>
      <c r="DJ33" s="34">
        <f t="shared" si="52"/>
        <v>17078510.156717211</v>
      </c>
      <c r="DK33" s="34">
        <f t="shared" si="52"/>
        <v>17767689.193016753</v>
      </c>
      <c r="DL33" s="34">
        <f t="shared" si="52"/>
        <v>18456521.910690665</v>
      </c>
      <c r="DM33" s="34">
        <f t="shared" si="52"/>
        <v>19146405.485580929</v>
      </c>
      <c r="DN33" s="34">
        <f t="shared" si="52"/>
        <v>19838004.034330919</v>
      </c>
      <c r="DO33" s="34">
        <f t="shared" si="52"/>
        <v>20529599.023078058</v>
      </c>
      <c r="DP33" s="34">
        <f t="shared" si="52"/>
        <v>21220407.627234809</v>
      </c>
      <c r="DQ33" s="34">
        <f t="shared" si="52"/>
        <v>21911890.094549868</v>
      </c>
      <c r="DR33" s="34">
        <f t="shared" si="52"/>
        <v>22603143.175784096</v>
      </c>
      <c r="DS33" s="34">
        <f t="shared" si="52"/>
        <v>23294396.257018376</v>
      </c>
      <c r="DT33" s="34">
        <f t="shared" si="52"/>
        <v>23985649.338252567</v>
      </c>
      <c r="DU33" s="34">
        <f t="shared" si="52"/>
        <v>24676902.164796155</v>
      </c>
      <c r="DV33" s="34">
        <f t="shared" si="52"/>
        <v>25368152.656764243</v>
      </c>
      <c r="DW33" s="34">
        <f t="shared" si="52"/>
        <v>26059403.85040139</v>
      </c>
      <c r="DX33" s="34">
        <f t="shared" si="52"/>
        <v>26750655.041263852</v>
      </c>
      <c r="DY33" s="34">
        <f t="shared" si="52"/>
        <v>27441904.841180194</v>
      </c>
      <c r="DZ33" s="34">
        <f t="shared" si="52"/>
        <v>28133177.755964246</v>
      </c>
      <c r="EA33" s="34">
        <f t="shared" si="52"/>
        <v>28824451.010892864</v>
      </c>
      <c r="EB33" s="34">
        <f t="shared" si="52"/>
        <v>29515716.789110687</v>
      </c>
      <c r="EC33" s="34">
        <f t="shared" si="52"/>
        <v>30206988.214044809</v>
      </c>
      <c r="ED33" s="34">
        <f t="shared" si="52"/>
        <v>30898260.922075916</v>
      </c>
      <c r="EE33" s="34">
        <f t="shared" si="52"/>
        <v>31589534.028342556</v>
      </c>
      <c r="EF33" s="34">
        <f t="shared" si="52"/>
        <v>32280173.290695433</v>
      </c>
      <c r="EG33" s="34">
        <f t="shared" si="52"/>
        <v>32971253.869745485</v>
      </c>
      <c r="EH33" s="34">
        <f t="shared" si="52"/>
        <v>33664327.402669579</v>
      </c>
      <c r="EI33" s="34">
        <f t="shared" si="52"/>
        <v>34359368.681031927</v>
      </c>
      <c r="EJ33" s="34">
        <f t="shared" si="52"/>
        <v>35058787.627186917</v>
      </c>
      <c r="EK33" s="34">
        <f t="shared" si="52"/>
        <v>35751011.481222428</v>
      </c>
      <c r="EL33" s="34">
        <f t="shared" si="52"/>
        <v>36444358.173505999</v>
      </c>
      <c r="EM33" s="34">
        <f t="shared" si="52"/>
        <v>37138291.707320571</v>
      </c>
      <c r="EN33" s="34">
        <f t="shared" si="52"/>
        <v>37831236.875657625</v>
      </c>
      <c r="EO33" s="34">
        <f t="shared" si="52"/>
        <v>38524450.325789355</v>
      </c>
      <c r="EP33" s="34">
        <f t="shared" si="52"/>
        <v>39217380.467166342</v>
      </c>
      <c r="EQ33" s="34">
        <f t="shared" si="52"/>
        <v>39910016.325647771</v>
      </c>
      <c r="ER33" s="34">
        <f t="shared" si="52"/>
        <v>40602203.611125506</v>
      </c>
      <c r="ES33" s="34">
        <f t="shared" si="52"/>
        <v>41293635.008328155</v>
      </c>
      <c r="ET33" s="34">
        <f t="shared" si="52"/>
        <v>41985861.210011929</v>
      </c>
      <c r="EU33" s="34">
        <f t="shared" si="52"/>
        <v>42678465.916693442</v>
      </c>
      <c r="EV33" s="34">
        <f t="shared" si="52"/>
        <v>43371032.412525862</v>
      </c>
      <c r="EW33" s="34">
        <f t="shared" si="52"/>
        <v>44063590.485422418</v>
      </c>
      <c r="EX33" s="34">
        <f t="shared" si="52"/>
        <v>44756138.765476942</v>
      </c>
      <c r="EY33" s="34">
        <f t="shared" si="52"/>
        <v>45448698.356527939</v>
      </c>
      <c r="EZ33" s="34">
        <f t="shared" si="52"/>
        <v>46141464.05650489</v>
      </c>
      <c r="FA33" s="34">
        <f t="shared" si="52"/>
        <v>46833599.603899747</v>
      </c>
      <c r="FB33" s="34">
        <f t="shared" si="52"/>
        <v>47525866.134811178</v>
      </c>
      <c r="FC33" s="34">
        <f t="shared" si="52"/>
        <v>48218135.436706915</v>
      </c>
      <c r="FD33" s="34">
        <f t="shared" si="52"/>
        <v>48910523.170477331</v>
      </c>
      <c r="FE33" s="34">
        <f t="shared" si="52"/>
        <v>49602910.590354696</v>
      </c>
      <c r="FF33" s="34">
        <f t="shared" si="52"/>
        <v>50295290.743880503</v>
      </c>
      <c r="FG33" s="34">
        <f t="shared" si="52"/>
        <v>50987663.626435027</v>
      </c>
      <c r="FH33" s="34">
        <f t="shared" si="52"/>
        <v>51680036.538248911</v>
      </c>
      <c r="FI33" s="34">
        <f t="shared" si="52"/>
        <v>52372409.450062796</v>
      </c>
      <c r="FJ33" s="34">
        <f t="shared" ref="FJ33:FJ35" si="53">IF(_xlfn.FORECAST.ETS(FJ$47,DT33:FI33,DT$47:FI$47)&lt;0,0,_xlfn.FORECAST.ETS(FJ$47,DT33:FI33,DT$47:FI$47))</f>
        <v>53064782.361876681</v>
      </c>
    </row>
    <row r="34" spans="1:166" x14ac:dyDescent="0.2">
      <c r="A34" s="42" t="s">
        <v>143</v>
      </c>
      <c r="B34" s="39" t="s">
        <v>123</v>
      </c>
      <c r="C34" s="31">
        <v>0</v>
      </c>
      <c r="D34" s="31">
        <v>0</v>
      </c>
      <c r="E34" s="31">
        <v>0</v>
      </c>
      <c r="F34" s="31">
        <v>0</v>
      </c>
      <c r="G34" s="31">
        <v>0</v>
      </c>
      <c r="H34" s="31">
        <v>0</v>
      </c>
      <c r="I34" s="31">
        <v>0</v>
      </c>
      <c r="J34" s="31">
        <v>0</v>
      </c>
      <c r="K34" s="31">
        <v>0</v>
      </c>
      <c r="L34" s="31">
        <v>0</v>
      </c>
      <c r="M34" s="31">
        <v>0</v>
      </c>
      <c r="N34" s="31">
        <v>0</v>
      </c>
      <c r="O34" s="31">
        <v>0</v>
      </c>
      <c r="P34" s="31">
        <v>0</v>
      </c>
      <c r="Q34" s="31">
        <v>0</v>
      </c>
      <c r="R34" s="31">
        <v>0</v>
      </c>
      <c r="S34" s="31">
        <v>0</v>
      </c>
      <c r="T34" s="31">
        <v>0</v>
      </c>
      <c r="U34" s="31">
        <v>0</v>
      </c>
      <c r="V34" s="31">
        <v>0</v>
      </c>
      <c r="W34" s="31">
        <v>4684097</v>
      </c>
      <c r="X34" s="31">
        <v>4752638</v>
      </c>
      <c r="Y34" s="31">
        <v>4841054</v>
      </c>
      <c r="Z34" s="31">
        <v>5004280</v>
      </c>
      <c r="AA34" s="31">
        <v>4989228</v>
      </c>
      <c r="AB34" s="31">
        <v>5056098</v>
      </c>
      <c r="AC34" s="31">
        <v>5076687</v>
      </c>
      <c r="AD34" s="31">
        <v>5096041</v>
      </c>
      <c r="AE34" s="31">
        <v>5129549</v>
      </c>
      <c r="AF34" s="31">
        <v>5164110</v>
      </c>
      <c r="AG34" s="31">
        <v>5188442</v>
      </c>
      <c r="AH34" s="31">
        <v>5223272</v>
      </c>
      <c r="AI34" s="31">
        <v>5250727</v>
      </c>
      <c r="AJ34" s="31">
        <v>5277940</v>
      </c>
      <c r="AK34" s="31">
        <v>5291908</v>
      </c>
      <c r="AL34" s="31">
        <v>5282897</v>
      </c>
      <c r="AM34" s="31">
        <v>5316667</v>
      </c>
      <c r="AN34" s="31">
        <v>5602615</v>
      </c>
      <c r="AO34" s="31">
        <v>6660907</v>
      </c>
      <c r="AP34" s="31">
        <v>7146737</v>
      </c>
      <c r="AQ34" s="31">
        <v>10147094</v>
      </c>
      <c r="AR34" s="31">
        <v>10127077</v>
      </c>
      <c r="AS34" s="31">
        <v>10168994</v>
      </c>
      <c r="AT34" s="31">
        <v>10167338</v>
      </c>
      <c r="AU34" s="31">
        <v>10560373</v>
      </c>
      <c r="AV34" s="31">
        <v>11242201</v>
      </c>
      <c r="AW34" s="31">
        <v>12025518</v>
      </c>
      <c r="AX34" s="31">
        <f t="shared" si="47"/>
        <v>10849648.99201321</v>
      </c>
      <c r="AY34" s="31">
        <v>12056644</v>
      </c>
      <c r="AZ34" s="31">
        <v>12390861</v>
      </c>
      <c r="BA34" s="31">
        <v>12642903.993783994</v>
      </c>
      <c r="BB34" s="31">
        <v>12857516.456876457</v>
      </c>
      <c r="BC34" s="31">
        <v>12878082.641802641</v>
      </c>
      <c r="BD34" s="31">
        <v>13073715</v>
      </c>
      <c r="BE34" s="31">
        <v>13131887</v>
      </c>
      <c r="BF34" s="34">
        <f t="shared" si="47"/>
        <v>13493009.913131453</v>
      </c>
      <c r="BG34" s="34">
        <f t="shared" si="47"/>
        <v>13824773.289081637</v>
      </c>
      <c r="BH34" s="34">
        <f t="shared" si="47"/>
        <v>14158282.107541209</v>
      </c>
      <c r="BI34" s="34">
        <f t="shared" si="47"/>
        <v>14485887.413010335</v>
      </c>
      <c r="BJ34" s="34">
        <f t="shared" si="47"/>
        <v>14810172.846078426</v>
      </c>
      <c r="BK34" s="34">
        <f t="shared" si="47"/>
        <v>15129600.859916598</v>
      </c>
      <c r="BL34" s="34">
        <f t="shared" si="47"/>
        <v>15442878.947138103</v>
      </c>
      <c r="BM34" s="34">
        <f t="shared" si="47"/>
        <v>15743116.622800412</v>
      </c>
      <c r="BN34" s="34">
        <f t="shared" si="47"/>
        <v>16052186.97536038</v>
      </c>
      <c r="BO34" s="34">
        <f t="shared" ref="BO34:BR35" si="54">IF(_xlfn.FORECAST.ETS(BO$47,Y34:BN34,Y$47:BN$47)&lt;0,0,_xlfn.FORECAST.ETS(BO$47,Y34:BN34,Y$47:BN$47))</f>
        <v>16367396.098140346</v>
      </c>
      <c r="BP34" s="34">
        <f t="shared" si="54"/>
        <v>16688215.220011285</v>
      </c>
      <c r="BQ34" s="34">
        <f t="shared" si="54"/>
        <v>17014672.364371076</v>
      </c>
      <c r="BR34" s="34">
        <f t="shared" si="54"/>
        <v>17345765.787995938</v>
      </c>
      <c r="BS34" s="34">
        <f>IF(_xlfn.FORECAST.ETS(BS$47,AC34:BR34,AC$47:BR$47)&lt;0,0,_xlfn.FORECAST.ETS(BS$47,AC34:BR34,AC$47:BR$47))</f>
        <v>17681002.218408044</v>
      </c>
      <c r="BT34" s="34">
        <f>IF(_xlfn.FORECAST.ETS(BT$47,AD34:BS34,AD$47:BS$47)&lt;0,0,_xlfn.FORECAST.ETS(BT$47,AD34:BS34,AD$47:BS$47))</f>
        <v>18019591.275239564</v>
      </c>
      <c r="BU34" s="34">
        <f>IF(_xlfn.FORECAST.ETS(BU$47,AE34:BT34,AE$47:BT$47)&lt;0,0,_xlfn.FORECAST.ETS(BU$47,AE34:BT34,AE$47:BT$47))</f>
        <v>18360702.204594538</v>
      </c>
      <c r="BV34" s="34">
        <f>IF(_xlfn.FORECAST.ETS(BV$47,AF34:BU34,AF$47:BU$47)&lt;0,0,_xlfn.FORECAST.ETS(BV$47,AF34:BU34,AF$47:BU$47))</f>
        <v>18703531.64378557</v>
      </c>
      <c r="BW34" s="34">
        <f t="shared" ref="BW34:CC35" si="55">IF(_xlfn.FORECAST.ETS(BW$47,AG34:BV34,AG$47:BV$47)&lt;0,0,_xlfn.FORECAST.ETS(BW$47,AG34:BV34,AG$47:BV$47))</f>
        <v>19047243.489848983</v>
      </c>
      <c r="BX34" s="34">
        <f t="shared" si="55"/>
        <v>19390891.425680157</v>
      </c>
      <c r="BY34" s="34">
        <f t="shared" si="55"/>
        <v>19733544.078110155</v>
      </c>
      <c r="BZ34" s="34">
        <f t="shared" si="55"/>
        <v>20074176.195600059</v>
      </c>
      <c r="CA34" s="34">
        <f t="shared" si="55"/>
        <v>20411723.714470886</v>
      </c>
      <c r="CB34" s="34">
        <f t="shared" si="55"/>
        <v>20745023.735980511</v>
      </c>
      <c r="CC34" s="34">
        <f t="shared" si="55"/>
        <v>21072689.006915189</v>
      </c>
      <c r="CD34" s="34">
        <f t="shared" si="50"/>
        <v>21393186.563724026</v>
      </c>
      <c r="CE34" s="34">
        <f t="shared" si="50"/>
        <v>21703444.703192364</v>
      </c>
      <c r="CF34" s="34">
        <f t="shared" si="50"/>
        <v>22009324.380852234</v>
      </c>
      <c r="CG34" s="34">
        <f t="shared" si="50"/>
        <v>22391819.353425439</v>
      </c>
      <c r="CH34" s="34">
        <f t="shared" si="50"/>
        <v>22706485.493511595</v>
      </c>
      <c r="CI34" s="34">
        <f t="shared" si="50"/>
        <v>23021094.275805552</v>
      </c>
      <c r="CJ34" s="34">
        <f t="shared" si="50"/>
        <v>23316042.557938408</v>
      </c>
      <c r="CK34" s="34">
        <f t="shared" si="50"/>
        <v>23626338.638222136</v>
      </c>
      <c r="CL34" s="34">
        <f t="shared" si="50"/>
        <v>23936759.072051749</v>
      </c>
      <c r="CM34" s="34">
        <f t="shared" si="50"/>
        <v>24249601.986295223</v>
      </c>
      <c r="CN34" s="34">
        <f t="shared" si="50"/>
        <v>24567889.905385956</v>
      </c>
      <c r="CO34" s="34">
        <f t="shared" si="50"/>
        <v>24884451.196924593</v>
      </c>
      <c r="CP34" s="34">
        <f t="shared" si="50"/>
        <v>25200157.415625323</v>
      </c>
      <c r="CQ34" s="34">
        <f t="shared" si="50"/>
        <v>25515919.938547961</v>
      </c>
      <c r="CR34" s="34">
        <f t="shared" si="50"/>
        <v>25839246.890436362</v>
      </c>
      <c r="CS34" s="34">
        <f t="shared" si="50"/>
        <v>26161794.871776979</v>
      </c>
      <c r="CT34" s="34">
        <f t="shared" ref="CK34:CV35" si="56">IF(_xlfn.FORECAST.ETS(CT$47,BD34:CS34,BD$47:CS$47)&lt;0,0,_xlfn.FORECAST.ETS(CT$47,BD34:CS34,BD$47:CS$47))</f>
        <v>26484565.734135862</v>
      </c>
      <c r="CU34" s="34">
        <f t="shared" si="56"/>
        <v>26804403.066239756</v>
      </c>
      <c r="CV34" s="34">
        <f t="shared" si="56"/>
        <v>27124248.147060812</v>
      </c>
      <c r="CW34" s="34">
        <f>IF(_xlfn.FORECAST.ETS(CW$47,BG34:CV34,BG$47:CV$47)&lt;0,0,_xlfn.FORECAST.ETS(CW$47,BG34:CV34,BG$47:CV$47))</f>
        <v>27444093.215751611</v>
      </c>
      <c r="CX34" s="34">
        <f t="shared" si="52"/>
        <v>27764639.573035669</v>
      </c>
      <c r="CY34" s="34">
        <f t="shared" si="52"/>
        <v>28084599.371217716</v>
      </c>
      <c r="CZ34" s="34">
        <f t="shared" si="52"/>
        <v>28405081.657978144</v>
      </c>
      <c r="DA34" s="34">
        <f t="shared" si="52"/>
        <v>28725568.018159416</v>
      </c>
      <c r="DB34" s="34">
        <f t="shared" si="52"/>
        <v>29046067.378712513</v>
      </c>
      <c r="DC34" s="34">
        <f t="shared" si="52"/>
        <v>29366596.617722511</v>
      </c>
      <c r="DD34" s="34">
        <f t="shared" si="52"/>
        <v>29687141.898114011</v>
      </c>
      <c r="DE34" s="34">
        <f t="shared" si="52"/>
        <v>30007537.580554526</v>
      </c>
      <c r="DF34" s="34">
        <f t="shared" si="52"/>
        <v>30327933.663639057</v>
      </c>
      <c r="DG34" s="34">
        <f t="shared" si="52"/>
        <v>30648329.736702099</v>
      </c>
      <c r="DH34" s="34">
        <f t="shared" si="52"/>
        <v>30968725.789776612</v>
      </c>
      <c r="DI34" s="34">
        <f t="shared" si="52"/>
        <v>31289121.813955188</v>
      </c>
      <c r="DJ34" s="34">
        <f t="shared" si="52"/>
        <v>31609517.80198998</v>
      </c>
      <c r="DK34" s="34">
        <f t="shared" si="52"/>
        <v>31929913.748383868</v>
      </c>
      <c r="DL34" s="34">
        <f t="shared" si="52"/>
        <v>32250255.493741956</v>
      </c>
      <c r="DM34" s="34">
        <f t="shared" si="52"/>
        <v>32570560.553390607</v>
      </c>
      <c r="DN34" s="34">
        <f t="shared" si="52"/>
        <v>32890347.366089568</v>
      </c>
      <c r="DO34" s="34">
        <f t="shared" si="52"/>
        <v>33209929.875435803</v>
      </c>
      <c r="DP34" s="34">
        <f t="shared" si="52"/>
        <v>33529355.702635318</v>
      </c>
      <c r="DQ34" s="34">
        <f t="shared" si="52"/>
        <v>33848688.929432511</v>
      </c>
      <c r="DR34" s="34">
        <f t="shared" si="52"/>
        <v>34167987.268032692</v>
      </c>
      <c r="DS34" s="34">
        <f t="shared" si="52"/>
        <v>34487298.095381878</v>
      </c>
      <c r="DT34" s="34">
        <f t="shared" si="52"/>
        <v>34806653.356843635</v>
      </c>
      <c r="DU34" s="34">
        <f t="shared" si="52"/>
        <v>35126065.384467714</v>
      </c>
      <c r="DV34" s="34">
        <f t="shared" si="52"/>
        <v>35445504.240462638</v>
      </c>
      <c r="DW34" s="34">
        <f t="shared" si="52"/>
        <v>35764935.393611245</v>
      </c>
      <c r="DX34" s="34">
        <f t="shared" si="52"/>
        <v>36084553.081126586</v>
      </c>
      <c r="DY34" s="34">
        <f t="shared" si="52"/>
        <v>36404096.512659624</v>
      </c>
      <c r="DZ34" s="34">
        <f t="shared" si="52"/>
        <v>36723645.990262643</v>
      </c>
      <c r="EA34" s="34">
        <f t="shared" si="52"/>
        <v>37043195.699945606</v>
      </c>
      <c r="EB34" s="34">
        <f t="shared" si="52"/>
        <v>37362740.776530378</v>
      </c>
      <c r="EC34" s="34">
        <f t="shared" si="52"/>
        <v>37682286.327377781</v>
      </c>
      <c r="ED34" s="34">
        <f t="shared" si="52"/>
        <v>38001822.201675981</v>
      </c>
      <c r="EE34" s="34">
        <f t="shared" si="52"/>
        <v>38321358.108469315</v>
      </c>
      <c r="EF34" s="34">
        <f t="shared" si="52"/>
        <v>38640894.02348756</v>
      </c>
      <c r="EG34" s="34">
        <f t="shared" si="52"/>
        <v>38960429.63692636</v>
      </c>
      <c r="EH34" s="34">
        <f t="shared" si="52"/>
        <v>39279965.476643987</v>
      </c>
      <c r="EI34" s="34">
        <f t="shared" si="52"/>
        <v>39599501.310455337</v>
      </c>
      <c r="EJ34" s="34">
        <f t="shared" si="52"/>
        <v>39919037.138440184</v>
      </c>
      <c r="EK34" s="34">
        <f t="shared" si="52"/>
        <v>40238572.972650208</v>
      </c>
      <c r="EL34" s="34">
        <f t="shared" si="52"/>
        <v>40558108.820979103</v>
      </c>
      <c r="EM34" s="34">
        <f t="shared" si="52"/>
        <v>40877644.651957765</v>
      </c>
      <c r="EN34" s="34">
        <f t="shared" si="52"/>
        <v>41197180.484597981</v>
      </c>
      <c r="EO34" s="34">
        <f t="shared" si="52"/>
        <v>41516716.317206509</v>
      </c>
      <c r="EP34" s="34">
        <f t="shared" si="52"/>
        <v>41836252.149815038</v>
      </c>
      <c r="EQ34" s="34">
        <f t="shared" si="52"/>
        <v>42155787.982423566</v>
      </c>
      <c r="ER34" s="34">
        <f t="shared" si="52"/>
        <v>42475323.815032095</v>
      </c>
      <c r="ES34" s="34">
        <f t="shared" si="52"/>
        <v>42794859.647640623</v>
      </c>
      <c r="ET34" s="34">
        <f t="shared" si="52"/>
        <v>43114395.480249152</v>
      </c>
      <c r="EU34" s="34">
        <f t="shared" si="52"/>
        <v>43433931.31285768</v>
      </c>
      <c r="EV34" s="34">
        <f t="shared" si="52"/>
        <v>43753467.145466208</v>
      </c>
      <c r="EW34" s="34">
        <f t="shared" si="52"/>
        <v>44073002.978074737</v>
      </c>
      <c r="EX34" s="34">
        <f t="shared" si="52"/>
        <v>44392538.810683265</v>
      </c>
      <c r="EY34" s="34">
        <f t="shared" si="52"/>
        <v>44712074.643291794</v>
      </c>
      <c r="EZ34" s="34">
        <f t="shared" si="52"/>
        <v>45031610.475900322</v>
      </c>
      <c r="FA34" s="34">
        <f t="shared" si="52"/>
        <v>45351146.308508851</v>
      </c>
      <c r="FB34" s="34">
        <f t="shared" si="52"/>
        <v>45670682.141118042</v>
      </c>
      <c r="FC34" s="34">
        <f t="shared" si="52"/>
        <v>45990217.973727167</v>
      </c>
      <c r="FD34" s="34">
        <f t="shared" si="52"/>
        <v>46309753.806336291</v>
      </c>
      <c r="FE34" s="34">
        <f t="shared" si="52"/>
        <v>46629289.638945416</v>
      </c>
      <c r="FF34" s="34">
        <f t="shared" si="52"/>
        <v>46948825.47155454</v>
      </c>
      <c r="FG34" s="34">
        <f t="shared" si="52"/>
        <v>47268361.304163665</v>
      </c>
      <c r="FH34" s="34">
        <f t="shared" si="52"/>
        <v>47587897.136772789</v>
      </c>
      <c r="FI34" s="34">
        <f t="shared" si="52"/>
        <v>47907432.969381914</v>
      </c>
      <c r="FJ34" s="34">
        <f t="shared" si="53"/>
        <v>48226968.579718448</v>
      </c>
    </row>
    <row r="35" spans="1:166" x14ac:dyDescent="0.2">
      <c r="A35" s="42" t="s">
        <v>144</v>
      </c>
      <c r="B35" s="39" t="s">
        <v>123</v>
      </c>
      <c r="C35" s="31">
        <v>0</v>
      </c>
      <c r="D35" s="31">
        <v>0</v>
      </c>
      <c r="E35" s="31">
        <v>0</v>
      </c>
      <c r="F35" s="31">
        <v>0</v>
      </c>
      <c r="G35" s="31">
        <v>0</v>
      </c>
      <c r="H35" s="31">
        <v>0</v>
      </c>
      <c r="I35" s="31">
        <v>0</v>
      </c>
      <c r="J35" s="31">
        <v>0</v>
      </c>
      <c r="K35" s="31">
        <v>0</v>
      </c>
      <c r="L35" s="31">
        <v>0</v>
      </c>
      <c r="M35" s="31">
        <v>0</v>
      </c>
      <c r="N35" s="31">
        <v>0</v>
      </c>
      <c r="O35" s="31">
        <v>0</v>
      </c>
      <c r="P35" s="31">
        <v>0</v>
      </c>
      <c r="Q35" s="31">
        <v>0</v>
      </c>
      <c r="R35" s="31">
        <v>0</v>
      </c>
      <c r="S35" s="31">
        <v>0</v>
      </c>
      <c r="T35" s="31">
        <v>0</v>
      </c>
      <c r="U35" s="31">
        <v>0</v>
      </c>
      <c r="V35" s="31">
        <v>0</v>
      </c>
      <c r="W35" s="31">
        <v>0</v>
      </c>
      <c r="X35" s="31">
        <v>0</v>
      </c>
      <c r="Y35" s="31">
        <v>0</v>
      </c>
      <c r="Z35" s="31">
        <v>0</v>
      </c>
      <c r="AA35" s="31">
        <v>0</v>
      </c>
      <c r="AB35" s="31">
        <v>0</v>
      </c>
      <c r="AC35" s="31">
        <v>0</v>
      </c>
      <c r="AD35" s="31">
        <v>0</v>
      </c>
      <c r="AE35" s="31">
        <v>0</v>
      </c>
      <c r="AF35" s="31">
        <v>0</v>
      </c>
      <c r="AG35" s="31">
        <v>0</v>
      </c>
      <c r="AH35" s="31">
        <v>0</v>
      </c>
      <c r="AI35" s="31">
        <v>0</v>
      </c>
      <c r="AJ35" s="31">
        <v>0</v>
      </c>
      <c r="AK35" s="31">
        <v>124937</v>
      </c>
      <c r="AL35" s="31">
        <v>98771</v>
      </c>
      <c r="AM35" s="31">
        <v>124010</v>
      </c>
      <c r="AN35" s="31">
        <v>143373</v>
      </c>
      <c r="AO35" s="31">
        <v>148388</v>
      </c>
      <c r="AP35" s="31">
        <v>136674</v>
      </c>
      <c r="AQ35" s="31">
        <v>180187</v>
      </c>
      <c r="AR35" s="31">
        <v>198924</v>
      </c>
      <c r="AS35" s="31">
        <v>212562</v>
      </c>
      <c r="AT35" s="31">
        <v>189810</v>
      </c>
      <c r="AU35" s="31">
        <v>196027</v>
      </c>
      <c r="AV35" s="31">
        <v>252941</v>
      </c>
      <c r="AW35" s="31">
        <v>271702</v>
      </c>
      <c r="AX35" s="31">
        <f t="shared" si="47"/>
        <v>283563.24914230499</v>
      </c>
      <c r="AY35" s="31">
        <v>240402</v>
      </c>
      <c r="AZ35" s="31">
        <v>319074</v>
      </c>
      <c r="BA35" s="31">
        <v>304873.0380730381</v>
      </c>
      <c r="BB35" s="31">
        <v>244451.4685314685</v>
      </c>
      <c r="BC35" s="31">
        <v>224634.77855477855</v>
      </c>
      <c r="BD35" s="31">
        <v>275419</v>
      </c>
      <c r="BE35" s="31">
        <v>285827</v>
      </c>
      <c r="BF35" s="34">
        <f t="shared" si="47"/>
        <v>292137.24390783091</v>
      </c>
      <c r="BG35" s="34">
        <f t="shared" si="47"/>
        <v>300591.20789679064</v>
      </c>
      <c r="BH35" s="34">
        <f t="shared" si="47"/>
        <v>309909.13596638048</v>
      </c>
      <c r="BI35" s="34">
        <f t="shared" si="47"/>
        <v>319354.35310354579</v>
      </c>
      <c r="BJ35" s="34">
        <f t="shared" si="47"/>
        <v>328925.819547955</v>
      </c>
      <c r="BK35" s="34">
        <f t="shared" si="47"/>
        <v>338736.00110325613</v>
      </c>
      <c r="BL35" s="34">
        <f t="shared" si="47"/>
        <v>351244.81655534555</v>
      </c>
      <c r="BM35" s="34">
        <f t="shared" si="47"/>
        <v>361032.30310615187</v>
      </c>
      <c r="BN35" s="34">
        <f t="shared" si="47"/>
        <v>370815.81062460097</v>
      </c>
      <c r="BO35" s="34">
        <f t="shared" si="54"/>
        <v>381160.47560015414</v>
      </c>
      <c r="BP35" s="34">
        <f t="shared" si="54"/>
        <v>391492.81113668624</v>
      </c>
      <c r="BQ35" s="34">
        <f t="shared" si="54"/>
        <v>401862.6125864099</v>
      </c>
      <c r="BR35" s="34">
        <f t="shared" si="54"/>
        <v>412253.35244453506</v>
      </c>
      <c r="BS35" s="34">
        <f>IF(_xlfn.FORECAST.ETS(BS$47,AC35:BR35,AC$47:BR$47)&lt;0,0,_xlfn.FORECAST.ETS(BS$47,AC35:BR35,AC$47:BR$47))</f>
        <v>422603.44244615309</v>
      </c>
      <c r="BT35" s="34">
        <f>IF(_xlfn.FORECAST.ETS(BT$47,AD35:BS35,AD$47:BS$47)&lt;0,0,_xlfn.FORECAST.ETS(BT$47,AD35:BS35,AD$47:BS$47))</f>
        <v>432889.88901814015</v>
      </c>
      <c r="BU35" s="34">
        <f>IF(_xlfn.FORECAST.ETS(BU$47,AE35:BT35,AE$47:BT$47)&lt;0,0,_xlfn.FORECAST.ETS(BU$47,AE35:BT35,AE$47:BT$47))</f>
        <v>443079.10797793075</v>
      </c>
      <c r="BV35" s="34">
        <f>IF(_xlfn.FORECAST.ETS(BV$47,AF35:BU35,AF$47:BU$47)&lt;0,0,_xlfn.FORECAST.ETS(BV$47,AF35:BU35,AF$47:BU$47))</f>
        <v>453135.51771351986</v>
      </c>
      <c r="BW35" s="34">
        <f t="shared" si="55"/>
        <v>463021.43965333002</v>
      </c>
      <c r="BX35" s="34">
        <f t="shared" si="55"/>
        <v>472696.99743021862</v>
      </c>
      <c r="BY35" s="34">
        <f t="shared" si="55"/>
        <v>482120.01475277974</v>
      </c>
      <c r="BZ35" s="34">
        <f t="shared" si="55"/>
        <v>491379.30995309388</v>
      </c>
      <c r="CA35" s="34">
        <f t="shared" si="55"/>
        <v>499632.175991058</v>
      </c>
      <c r="CB35" s="34">
        <f t="shared" si="55"/>
        <v>508689.07666118717</v>
      </c>
      <c r="CC35" s="34">
        <f t="shared" si="55"/>
        <v>517432.7010514501</v>
      </c>
      <c r="CD35" s="34">
        <f t="shared" si="50"/>
        <v>526186.28375097096</v>
      </c>
      <c r="CE35" s="34">
        <f t="shared" si="50"/>
        <v>535005.92972959939</v>
      </c>
      <c r="CF35" s="34">
        <f t="shared" si="50"/>
        <v>543868.45093808509</v>
      </c>
      <c r="CG35" s="34">
        <f t="shared" si="50"/>
        <v>552415.2599777081</v>
      </c>
      <c r="CH35" s="34">
        <f t="shared" si="50"/>
        <v>561119.91845758923</v>
      </c>
      <c r="CI35" s="34">
        <f t="shared" si="50"/>
        <v>569912.59233962186</v>
      </c>
      <c r="CJ35" s="34">
        <f t="shared" si="50"/>
        <v>578920.824874477</v>
      </c>
      <c r="CK35" s="34">
        <f t="shared" si="56"/>
        <v>587754.75735496834</v>
      </c>
      <c r="CL35" s="34">
        <f t="shared" si="56"/>
        <v>596357.12891227682</v>
      </c>
      <c r="CM35" s="34">
        <f t="shared" si="56"/>
        <v>605276.7796528918</v>
      </c>
      <c r="CN35" s="34">
        <f t="shared" si="56"/>
        <v>614390.32976130222</v>
      </c>
      <c r="CO35" s="34">
        <f>IF(_xlfn.FORECAST.ETS(CO$47,AY35:CN35,AY$47:CN$47)&lt;0,0,_xlfn.FORECAST.ETS(CO$47,AY35:CN35,AY$47:CN$47))</f>
        <v>625546.01883906126</v>
      </c>
      <c r="CP35" s="34" t="e">
        <f>IF(_xlfn.FORECAST.ETS(CP$47,BA35:CO35,AZ$47:CO$47)&lt;0,0,_xlfn.FORECAST.ETS(CP$47,BA35:CO35,AZ$47:CO$47))</f>
        <v>#N/A</v>
      </c>
      <c r="CQ35" s="34" t="e">
        <f t="shared" si="56"/>
        <v>#N/A</v>
      </c>
      <c r="CR35" s="34" t="e">
        <f t="shared" si="56"/>
        <v>#N/A</v>
      </c>
      <c r="CS35" s="34" t="e">
        <f t="shared" si="56"/>
        <v>#N/A</v>
      </c>
      <c r="CT35" s="34" t="e">
        <f t="shared" si="56"/>
        <v>#N/A</v>
      </c>
      <c r="CU35" s="34" t="e">
        <f t="shared" si="56"/>
        <v>#N/A</v>
      </c>
      <c r="CV35" s="34" t="e">
        <f t="shared" si="56"/>
        <v>#N/A</v>
      </c>
      <c r="CW35" s="34" t="e">
        <f>IF(_xlfn.FORECAST.ETS(CW$47,BG35:CV35,BG$47:CV$47)&lt;0,0,_xlfn.FORECAST.ETS(CW$47,BG35:CV35,BG$47:CV$47))</f>
        <v>#N/A</v>
      </c>
      <c r="CX35" s="34" t="e">
        <f t="shared" si="52"/>
        <v>#N/A</v>
      </c>
      <c r="CY35" s="34" t="e">
        <f t="shared" si="52"/>
        <v>#N/A</v>
      </c>
      <c r="CZ35" s="34" t="e">
        <f t="shared" si="52"/>
        <v>#N/A</v>
      </c>
      <c r="DA35" s="34" t="e">
        <f t="shared" si="52"/>
        <v>#N/A</v>
      </c>
      <c r="DB35" s="34" t="e">
        <f t="shared" si="52"/>
        <v>#N/A</v>
      </c>
      <c r="DC35" s="34" t="e">
        <f t="shared" si="52"/>
        <v>#N/A</v>
      </c>
      <c r="DD35" s="34" t="e">
        <f t="shared" si="52"/>
        <v>#N/A</v>
      </c>
      <c r="DE35" s="34" t="e">
        <f t="shared" si="52"/>
        <v>#N/A</v>
      </c>
      <c r="DF35" s="34" t="e">
        <f t="shared" si="52"/>
        <v>#N/A</v>
      </c>
      <c r="DG35" s="34" t="e">
        <f t="shared" si="52"/>
        <v>#N/A</v>
      </c>
      <c r="DH35" s="34" t="e">
        <f t="shared" si="52"/>
        <v>#N/A</v>
      </c>
      <c r="DI35" s="34" t="e">
        <f t="shared" si="52"/>
        <v>#N/A</v>
      </c>
      <c r="DJ35" s="34" t="e">
        <f t="shared" si="52"/>
        <v>#N/A</v>
      </c>
      <c r="DK35" s="34" t="e">
        <f t="shared" si="52"/>
        <v>#N/A</v>
      </c>
      <c r="DL35" s="34" t="e">
        <f t="shared" si="52"/>
        <v>#N/A</v>
      </c>
      <c r="DM35" s="34" t="e">
        <f t="shared" si="52"/>
        <v>#N/A</v>
      </c>
      <c r="DN35" s="34" t="e">
        <f t="shared" si="52"/>
        <v>#N/A</v>
      </c>
      <c r="DO35" s="34" t="e">
        <f t="shared" si="52"/>
        <v>#N/A</v>
      </c>
      <c r="DP35" s="34" t="e">
        <f t="shared" si="52"/>
        <v>#N/A</v>
      </c>
      <c r="DQ35" s="34" t="e">
        <f t="shared" si="52"/>
        <v>#N/A</v>
      </c>
      <c r="DR35" s="34" t="e">
        <f t="shared" si="52"/>
        <v>#N/A</v>
      </c>
      <c r="DS35" s="34" t="e">
        <f t="shared" si="52"/>
        <v>#N/A</v>
      </c>
      <c r="DT35" s="34" t="e">
        <f t="shared" si="52"/>
        <v>#N/A</v>
      </c>
      <c r="DU35" s="34" t="e">
        <f t="shared" si="52"/>
        <v>#N/A</v>
      </c>
      <c r="DV35" s="34" t="e">
        <f t="shared" si="52"/>
        <v>#N/A</v>
      </c>
      <c r="DW35" s="34" t="e">
        <f t="shared" si="52"/>
        <v>#N/A</v>
      </c>
      <c r="DX35" s="34" t="e">
        <f t="shared" si="52"/>
        <v>#N/A</v>
      </c>
      <c r="DY35" s="34" t="e">
        <f t="shared" si="52"/>
        <v>#N/A</v>
      </c>
      <c r="DZ35" s="34" t="e">
        <f t="shared" si="52"/>
        <v>#N/A</v>
      </c>
      <c r="EA35" s="34" t="e">
        <f t="shared" si="52"/>
        <v>#N/A</v>
      </c>
      <c r="EB35" s="34" t="e">
        <f t="shared" si="52"/>
        <v>#N/A</v>
      </c>
      <c r="EC35" s="34" t="e">
        <f t="shared" si="52"/>
        <v>#N/A</v>
      </c>
      <c r="ED35" s="34" t="e">
        <f t="shared" si="52"/>
        <v>#N/A</v>
      </c>
      <c r="EE35" s="34" t="e">
        <f t="shared" si="52"/>
        <v>#N/A</v>
      </c>
      <c r="EF35" s="34" t="e">
        <f t="shared" si="52"/>
        <v>#N/A</v>
      </c>
      <c r="EG35" s="34" t="e">
        <f t="shared" si="52"/>
        <v>#N/A</v>
      </c>
      <c r="EH35" s="34" t="e">
        <f t="shared" si="52"/>
        <v>#N/A</v>
      </c>
      <c r="EI35" s="34" t="e">
        <f t="shared" si="52"/>
        <v>#N/A</v>
      </c>
      <c r="EJ35" s="34" t="e">
        <f t="shared" si="52"/>
        <v>#N/A</v>
      </c>
      <c r="EK35" s="34" t="e">
        <f t="shared" si="52"/>
        <v>#N/A</v>
      </c>
      <c r="EL35" s="34" t="e">
        <f t="shared" si="52"/>
        <v>#N/A</v>
      </c>
      <c r="EM35" s="34" t="e">
        <f t="shared" si="52"/>
        <v>#N/A</v>
      </c>
      <c r="EN35" s="34" t="e">
        <f t="shared" si="52"/>
        <v>#N/A</v>
      </c>
      <c r="EO35" s="34" t="e">
        <f t="shared" si="52"/>
        <v>#N/A</v>
      </c>
      <c r="EP35" s="34" t="e">
        <f t="shared" si="52"/>
        <v>#N/A</v>
      </c>
      <c r="EQ35" s="34" t="e">
        <f t="shared" si="52"/>
        <v>#N/A</v>
      </c>
      <c r="ER35" s="34" t="e">
        <f t="shared" si="52"/>
        <v>#N/A</v>
      </c>
      <c r="ES35" s="34" t="e">
        <f t="shared" si="52"/>
        <v>#N/A</v>
      </c>
      <c r="ET35" s="34" t="e">
        <f t="shared" si="52"/>
        <v>#N/A</v>
      </c>
      <c r="EU35" s="34" t="e">
        <f t="shared" si="52"/>
        <v>#N/A</v>
      </c>
      <c r="EV35" s="34" t="e">
        <f t="shared" si="52"/>
        <v>#N/A</v>
      </c>
      <c r="EW35" s="34" t="e">
        <f t="shared" si="52"/>
        <v>#N/A</v>
      </c>
      <c r="EX35" s="34" t="e">
        <f t="shared" si="52"/>
        <v>#N/A</v>
      </c>
      <c r="EY35" s="34" t="e">
        <f t="shared" si="52"/>
        <v>#N/A</v>
      </c>
      <c r="EZ35" s="34" t="e">
        <f t="shared" si="52"/>
        <v>#N/A</v>
      </c>
      <c r="FA35" s="34" t="e">
        <f t="shared" si="52"/>
        <v>#N/A</v>
      </c>
      <c r="FB35" s="34" t="e">
        <f t="shared" si="52"/>
        <v>#N/A</v>
      </c>
      <c r="FC35" s="34" t="e">
        <f t="shared" si="52"/>
        <v>#N/A</v>
      </c>
      <c r="FD35" s="34" t="e">
        <f t="shared" si="52"/>
        <v>#N/A</v>
      </c>
      <c r="FE35" s="34" t="e">
        <f t="shared" si="52"/>
        <v>#N/A</v>
      </c>
      <c r="FF35" s="34" t="e">
        <f t="shared" si="52"/>
        <v>#N/A</v>
      </c>
      <c r="FG35" s="34" t="e">
        <f t="shared" si="52"/>
        <v>#N/A</v>
      </c>
      <c r="FH35" s="34" t="e">
        <f t="shared" si="52"/>
        <v>#N/A</v>
      </c>
      <c r="FI35" s="34" t="e">
        <f t="shared" si="52"/>
        <v>#N/A</v>
      </c>
      <c r="FJ35" s="34" t="e">
        <f t="shared" si="53"/>
        <v>#N/A</v>
      </c>
    </row>
    <row r="36" spans="1:166" ht="15" x14ac:dyDescent="0.2">
      <c r="A36" s="36" t="s">
        <v>145</v>
      </c>
      <c r="B36" s="39" t="s">
        <v>123</v>
      </c>
      <c r="C36" s="31">
        <f t="shared" ref="C36:AI36" si="57">SUM(C22:C35)-C32</f>
        <v>21816</v>
      </c>
      <c r="D36" s="31">
        <f t="shared" si="57"/>
        <v>62215</v>
      </c>
      <c r="E36" s="31">
        <f t="shared" si="57"/>
        <v>119059</v>
      </c>
      <c r="F36" s="31">
        <f t="shared" si="57"/>
        <v>171607</v>
      </c>
      <c r="G36" s="31">
        <f t="shared" si="57"/>
        <v>220891</v>
      </c>
      <c r="H36" s="31">
        <f t="shared" si="57"/>
        <v>271183</v>
      </c>
      <c r="I36" s="31">
        <f t="shared" si="57"/>
        <v>355146</v>
      </c>
      <c r="J36" s="31">
        <f t="shared" si="57"/>
        <v>468250</v>
      </c>
      <c r="K36" s="31">
        <f t="shared" si="57"/>
        <v>575617</v>
      </c>
      <c r="L36" s="31">
        <f t="shared" si="57"/>
        <v>746463</v>
      </c>
      <c r="M36" s="31">
        <f t="shared" si="57"/>
        <v>957652</v>
      </c>
      <c r="N36" s="31">
        <f t="shared" si="57"/>
        <v>1320154</v>
      </c>
      <c r="O36" s="31">
        <f t="shared" si="57"/>
        <v>1595430</v>
      </c>
      <c r="P36" s="31">
        <f t="shared" si="57"/>
        <v>1950333</v>
      </c>
      <c r="Q36" s="31">
        <f t="shared" si="57"/>
        <v>2266455</v>
      </c>
      <c r="R36" s="31">
        <f t="shared" si="57"/>
        <v>2640450</v>
      </c>
      <c r="S36" s="31">
        <f t="shared" si="57"/>
        <v>2820481</v>
      </c>
      <c r="T36" s="31">
        <f t="shared" si="57"/>
        <v>2990668</v>
      </c>
      <c r="U36" s="31">
        <f t="shared" si="57"/>
        <v>3505519</v>
      </c>
      <c r="V36" s="31">
        <f t="shared" si="57"/>
        <v>3659158</v>
      </c>
      <c r="W36" s="31">
        <f t="shared" si="57"/>
        <v>13685872</v>
      </c>
      <c r="X36" s="31">
        <f t="shared" si="57"/>
        <v>14698286</v>
      </c>
      <c r="Y36" s="31">
        <f t="shared" si="57"/>
        <v>15068483</v>
      </c>
      <c r="Z36" s="31">
        <f t="shared" si="57"/>
        <v>16761249</v>
      </c>
      <c r="AA36" s="31">
        <f t="shared" si="57"/>
        <v>17504638</v>
      </c>
      <c r="AB36" s="31">
        <f t="shared" si="57"/>
        <v>18632213</v>
      </c>
      <c r="AC36" s="31">
        <f t="shared" si="57"/>
        <v>19000094</v>
      </c>
      <c r="AD36" s="31">
        <f t="shared" si="57"/>
        <v>20044259</v>
      </c>
      <c r="AE36" s="31">
        <f t="shared" si="57"/>
        <v>25242822</v>
      </c>
      <c r="AF36" s="31">
        <f t="shared" si="57"/>
        <v>26250263</v>
      </c>
      <c r="AG36" s="31">
        <f t="shared" si="57"/>
        <v>28140313</v>
      </c>
      <c r="AH36" s="31">
        <f t="shared" si="57"/>
        <v>29371459</v>
      </c>
      <c r="AI36" s="31">
        <f t="shared" si="57"/>
        <v>30701372</v>
      </c>
      <c r="AJ36" s="31">
        <f>SUM(AJ22:AJ35)-AJ32</f>
        <v>29567822</v>
      </c>
      <c r="AK36" s="31">
        <f t="shared" ref="AK36:AW36" si="58">SUM(AK22:AK35)-AK32</f>
        <v>30570368</v>
      </c>
      <c r="AL36" s="31">
        <f t="shared" si="58"/>
        <v>31993146</v>
      </c>
      <c r="AM36" s="31">
        <f t="shared" si="58"/>
        <v>30306143</v>
      </c>
      <c r="AN36" s="31">
        <f t="shared" si="58"/>
        <v>21464859</v>
      </c>
      <c r="AO36" s="31">
        <f t="shared" si="58"/>
        <v>25808396</v>
      </c>
      <c r="AP36" s="31">
        <f t="shared" si="58"/>
        <v>27773597</v>
      </c>
      <c r="AQ36" s="31">
        <f t="shared" si="58"/>
        <v>33907299</v>
      </c>
      <c r="AR36" s="31">
        <f t="shared" si="58"/>
        <v>37613726</v>
      </c>
      <c r="AS36" s="31">
        <f t="shared" si="58"/>
        <v>40107484</v>
      </c>
      <c r="AT36" s="31">
        <f t="shared" si="58"/>
        <v>41836291</v>
      </c>
      <c r="AU36" s="31">
        <f t="shared" si="58"/>
        <v>46667298.943521596</v>
      </c>
      <c r="AV36" s="31">
        <f t="shared" si="58"/>
        <v>53780108.553900361</v>
      </c>
      <c r="AW36" s="31">
        <f t="shared" si="58"/>
        <v>57093255.081127271</v>
      </c>
      <c r="AX36" s="31">
        <f t="shared" ref="AX36:BZ36" si="59">SUM(AX22:AX32)</f>
        <v>49806644</v>
      </c>
      <c r="AY36" s="31">
        <f t="shared" si="59"/>
        <v>46629012.276612274</v>
      </c>
      <c r="AZ36" s="31">
        <f t="shared" si="59"/>
        <v>51660026.977466993</v>
      </c>
      <c r="BA36" s="31">
        <v>70632928.578088582</v>
      </c>
      <c r="BB36" s="31">
        <v>71802126.651126653</v>
      </c>
      <c r="BC36" s="31">
        <v>73568494.545454547</v>
      </c>
      <c r="BD36" s="31">
        <f>SUM(BD23:BD35)</f>
        <v>81038158.112665117</v>
      </c>
      <c r="BE36" s="31">
        <v>85316360.665112674</v>
      </c>
      <c r="BF36" s="34">
        <f t="shared" si="59"/>
        <v>76236904.70525834</v>
      </c>
      <c r="BG36" s="34">
        <f t="shared" si="59"/>
        <v>79922134.907237008</v>
      </c>
      <c r="BH36" s="34">
        <f t="shared" si="59"/>
        <v>83769899.907956377</v>
      </c>
      <c r="BI36" s="34">
        <f t="shared" si="59"/>
        <v>87528165.839373425</v>
      </c>
      <c r="BJ36" s="34">
        <f t="shared" si="59"/>
        <v>91617580.611708805</v>
      </c>
      <c r="BK36" s="34">
        <f t="shared" si="59"/>
        <v>96370495.118606299</v>
      </c>
      <c r="BL36" s="34">
        <f t="shared" si="59"/>
        <v>100660932.11798827</v>
      </c>
      <c r="BM36" s="34">
        <f t="shared" si="59"/>
        <v>105047593.51810472</v>
      </c>
      <c r="BN36" s="34">
        <f t="shared" si="59"/>
        <v>109397863.29810877</v>
      </c>
      <c r="BO36" s="34">
        <f t="shared" si="59"/>
        <v>113532431.98441197</v>
      </c>
      <c r="BP36" s="34">
        <f t="shared" si="59"/>
        <v>117583144.84814247</v>
      </c>
      <c r="BQ36" s="34">
        <f t="shared" si="59"/>
        <v>121871845.41903071</v>
      </c>
      <c r="BR36" s="34">
        <f t="shared" si="59"/>
        <v>126044701.49334285</v>
      </c>
      <c r="BS36" s="34">
        <f t="shared" si="59"/>
        <v>130245538.30943969</v>
      </c>
      <c r="BT36" s="34">
        <f t="shared" si="59"/>
        <v>134476418.98960203</v>
      </c>
      <c r="BU36" s="34">
        <f t="shared" si="59"/>
        <v>138732382.87016138</v>
      </c>
      <c r="BV36" s="34">
        <f t="shared" si="59"/>
        <v>143139788.81634843</v>
      </c>
      <c r="BW36" s="34">
        <f t="shared" si="59"/>
        <v>147300634.2285594</v>
      </c>
      <c r="BX36" s="34">
        <f t="shared" si="59"/>
        <v>151522127.17156762</v>
      </c>
      <c r="BY36" s="34">
        <f t="shared" si="59"/>
        <v>156162376.83196077</v>
      </c>
      <c r="BZ36" s="34">
        <f t="shared" si="59"/>
        <v>160509654.89231852</v>
      </c>
      <c r="CA36" s="34">
        <f t="shared" ref="CA36:EL36" si="60">SUM(CA22:CA32)</f>
        <v>164507272.72364196</v>
      </c>
      <c r="CB36" s="34">
        <f t="shared" si="60"/>
        <v>169119344.69548994</v>
      </c>
      <c r="CC36" s="34">
        <f t="shared" si="60"/>
        <v>173316099.15539846</v>
      </c>
      <c r="CD36" s="34">
        <f t="shared" si="60"/>
        <v>177158866.21816525</v>
      </c>
      <c r="CE36" s="34">
        <f t="shared" si="60"/>
        <v>181692206.61081937</v>
      </c>
      <c r="CF36" s="34">
        <f t="shared" si="60"/>
        <v>185873122.70338973</v>
      </c>
      <c r="CG36" s="34">
        <f t="shared" si="60"/>
        <v>190151261.3378374</v>
      </c>
      <c r="CH36" s="34">
        <f t="shared" si="60"/>
        <v>194441199.20683679</v>
      </c>
      <c r="CI36" s="34">
        <f t="shared" si="60"/>
        <v>198718232.1071763</v>
      </c>
      <c r="CJ36" s="34">
        <f t="shared" si="60"/>
        <v>202801090.22798201</v>
      </c>
      <c r="CK36" s="34">
        <f t="shared" si="60"/>
        <v>207121364.66969585</v>
      </c>
      <c r="CL36" s="34">
        <f t="shared" si="60"/>
        <v>211221850.20190775</v>
      </c>
      <c r="CM36" s="34">
        <f t="shared" si="60"/>
        <v>215773557.80051541</v>
      </c>
      <c r="CN36" s="34">
        <f t="shared" si="60"/>
        <v>220074145.0827409</v>
      </c>
      <c r="CO36" s="34">
        <f t="shared" si="60"/>
        <v>224122062.44031093</v>
      </c>
      <c r="CP36" s="34">
        <f t="shared" si="60"/>
        <v>228530649.94222561</v>
      </c>
      <c r="CQ36" s="34">
        <f t="shared" si="60"/>
        <v>232738051.45415777</v>
      </c>
      <c r="CR36" s="34">
        <f t="shared" si="60"/>
        <v>236884277.38370022</v>
      </c>
      <c r="CS36" s="34">
        <f t="shared" si="60"/>
        <v>241166072.39165831</v>
      </c>
      <c r="CT36" s="34">
        <f t="shared" si="60"/>
        <v>245412469.28766376</v>
      </c>
      <c r="CU36" s="34">
        <f t="shared" si="60"/>
        <v>249626113.38081723</v>
      </c>
      <c r="CV36" s="34">
        <f t="shared" si="60"/>
        <v>253919419.58030805</v>
      </c>
      <c r="CW36" s="34">
        <f t="shared" si="60"/>
        <v>258155722.16200036</v>
      </c>
      <c r="CX36" s="34">
        <f t="shared" si="60"/>
        <v>262407741.65848422</v>
      </c>
      <c r="CY36" s="34">
        <f t="shared" si="60"/>
        <v>266637369.49700725</v>
      </c>
      <c r="CZ36" s="34">
        <f t="shared" si="60"/>
        <v>270870381.38087255</v>
      </c>
      <c r="DA36" s="34">
        <f t="shared" si="60"/>
        <v>275504270.9201932</v>
      </c>
      <c r="DB36" s="34">
        <f t="shared" si="60"/>
        <v>279830244.64872766</v>
      </c>
      <c r="DC36" s="34">
        <f t="shared" si="60"/>
        <v>283790475.73617756</v>
      </c>
      <c r="DD36" s="34">
        <f t="shared" si="60"/>
        <v>288283975.49092603</v>
      </c>
      <c r="DE36" s="34">
        <f t="shared" si="60"/>
        <v>292459141.39709312</v>
      </c>
      <c r="DF36" s="34">
        <f t="shared" si="60"/>
        <v>296440156.06541228</v>
      </c>
      <c r="DG36" s="34">
        <f t="shared" si="60"/>
        <v>300848404.43072677</v>
      </c>
      <c r="DH36" s="34">
        <f t="shared" si="60"/>
        <v>305007980.40883797</v>
      </c>
      <c r="DI36" s="34">
        <f t="shared" si="60"/>
        <v>309302308.63306481</v>
      </c>
      <c r="DJ36" s="34">
        <f t="shared" si="60"/>
        <v>313574868.80070162</v>
      </c>
      <c r="DK36" s="34">
        <f t="shared" si="60"/>
        <v>317808288.27347797</v>
      </c>
      <c r="DL36" s="34">
        <f t="shared" si="60"/>
        <v>322036976.90385914</v>
      </c>
      <c r="DM36" s="34">
        <f t="shared" si="60"/>
        <v>326305425.82056081</v>
      </c>
      <c r="DN36" s="34">
        <f t="shared" si="60"/>
        <v>330523164.41875237</v>
      </c>
      <c r="DO36" s="34">
        <f t="shared" si="60"/>
        <v>335139092.28266579</v>
      </c>
      <c r="DP36" s="34">
        <f t="shared" si="60"/>
        <v>339476348.43129456</v>
      </c>
      <c r="DQ36" s="34">
        <f t="shared" si="60"/>
        <v>343484730.75781316</v>
      </c>
      <c r="DR36" s="34">
        <f t="shared" si="60"/>
        <v>347896604.42943603</v>
      </c>
      <c r="DS36" s="34">
        <f t="shared" si="60"/>
        <v>352070066.04628605</v>
      </c>
      <c r="DT36" s="34">
        <f t="shared" si="60"/>
        <v>356105153.30936486</v>
      </c>
      <c r="DU36" s="34">
        <f t="shared" si="60"/>
        <v>360450189.48434013</v>
      </c>
      <c r="DV36" s="34">
        <f t="shared" si="60"/>
        <v>364692071.82079941</v>
      </c>
      <c r="DW36" s="34">
        <f t="shared" si="60"/>
        <v>368921102.04905206</v>
      </c>
      <c r="DX36" s="34">
        <f t="shared" si="60"/>
        <v>373214865.78414285</v>
      </c>
      <c r="DY36" s="34">
        <f t="shared" si="60"/>
        <v>377464352.82454932</v>
      </c>
      <c r="DZ36" s="34">
        <f t="shared" si="60"/>
        <v>381711742.06585026</v>
      </c>
      <c r="EA36" s="34">
        <f t="shared" si="60"/>
        <v>385939226.51184136</v>
      </c>
      <c r="EB36" s="34">
        <f t="shared" si="60"/>
        <v>390176003.49599451</v>
      </c>
      <c r="EC36" s="34">
        <f t="shared" si="60"/>
        <v>394787123.86201906</v>
      </c>
      <c r="ED36" s="34">
        <f t="shared" si="60"/>
        <v>399127676.60988569</v>
      </c>
      <c r="EE36" s="34">
        <f t="shared" si="60"/>
        <v>403115316.26319027</v>
      </c>
      <c r="EF36" s="34">
        <f t="shared" si="60"/>
        <v>407581483.68291634</v>
      </c>
      <c r="EG36" s="34">
        <f t="shared" si="60"/>
        <v>411736461.89305508</v>
      </c>
      <c r="EH36" s="34">
        <f t="shared" si="60"/>
        <v>415715887.72170758</v>
      </c>
      <c r="EI36" s="34">
        <f t="shared" si="60"/>
        <v>420085144.61009049</v>
      </c>
      <c r="EJ36" s="34">
        <f t="shared" si="60"/>
        <v>424303706.20170647</v>
      </c>
      <c r="EK36" s="34">
        <f t="shared" si="60"/>
        <v>428567355.51502007</v>
      </c>
      <c r="EL36" s="34">
        <f t="shared" si="60"/>
        <v>432858116.85348642</v>
      </c>
      <c r="EM36" s="34">
        <f t="shared" ref="EM36:FJ36" si="61">SUM(EM22:EM32)</f>
        <v>437139516.38707209</v>
      </c>
      <c r="EN36" s="34">
        <f t="shared" si="61"/>
        <v>441365208.18978649</v>
      </c>
      <c r="EO36" s="34">
        <f t="shared" si="61"/>
        <v>445611203.00742924</v>
      </c>
      <c r="EP36" s="34">
        <f t="shared" si="61"/>
        <v>449843027.85459322</v>
      </c>
      <c r="EQ36" s="34">
        <f t="shared" si="61"/>
        <v>454467411.55852109</v>
      </c>
      <c r="ER36" s="34">
        <f t="shared" si="61"/>
        <v>458789078.05843061</v>
      </c>
      <c r="ES36" s="34">
        <f t="shared" si="61"/>
        <v>462799688.22674048</v>
      </c>
      <c r="ET36" s="34">
        <f t="shared" si="61"/>
        <v>467241974.75227726</v>
      </c>
      <c r="EU36" s="34">
        <f t="shared" si="61"/>
        <v>471401501.40238279</v>
      </c>
      <c r="EV36" s="34">
        <f t="shared" si="61"/>
        <v>475403046.71851444</v>
      </c>
      <c r="EW36" s="34">
        <f t="shared" si="61"/>
        <v>479710621.17728132</v>
      </c>
      <c r="EX36" s="34">
        <f t="shared" si="61"/>
        <v>483941778.4189865</v>
      </c>
      <c r="EY36" s="34">
        <f t="shared" si="61"/>
        <v>488234442.67594934</v>
      </c>
      <c r="EZ36" s="34">
        <f t="shared" si="61"/>
        <v>492496901.52665782</v>
      </c>
      <c r="FA36" s="34">
        <f t="shared" si="61"/>
        <v>496767713.32509369</v>
      </c>
      <c r="FB36" s="34">
        <f t="shared" si="61"/>
        <v>501057102.02552658</v>
      </c>
      <c r="FC36" s="34">
        <f t="shared" si="61"/>
        <v>505275021.94788569</v>
      </c>
      <c r="FD36" s="34">
        <f t="shared" si="61"/>
        <v>509512539.97570699</v>
      </c>
      <c r="FE36" s="34">
        <f t="shared" si="61"/>
        <v>514126638.41532403</v>
      </c>
      <c r="FF36" s="34">
        <f t="shared" si="61"/>
        <v>518467478.75224835</v>
      </c>
      <c r="FG36" s="34">
        <f t="shared" si="61"/>
        <v>522445290.22873944</v>
      </c>
      <c r="FH36" s="34">
        <f t="shared" si="61"/>
        <v>526909391.77246028</v>
      </c>
      <c r="FI36" s="34">
        <f t="shared" si="61"/>
        <v>531078647.87930709</v>
      </c>
      <c r="FJ36" s="34">
        <f t="shared" si="61"/>
        <v>535055293.9368757</v>
      </c>
    </row>
    <row r="37" spans="1:166" x14ac:dyDescent="0.2">
      <c r="C37" s="31"/>
      <c r="D37" s="31"/>
      <c r="E37" s="31"/>
      <c r="F37" s="31"/>
      <c r="G37" s="31"/>
      <c r="H37" s="31"/>
      <c r="I37" s="31"/>
      <c r="J37" s="31"/>
      <c r="K37" s="31"/>
      <c r="L37" s="31"/>
      <c r="M37" s="31"/>
      <c r="N37" s="31"/>
      <c r="O37" s="31"/>
      <c r="P37" s="31"/>
      <c r="Q37" s="31"/>
      <c r="R37" s="31"/>
      <c r="S37" s="31"/>
      <c r="T37" s="31"/>
      <c r="U37" s="31"/>
      <c r="V37" s="31"/>
      <c r="W37" s="31"/>
      <c r="X37" s="31"/>
      <c r="Y37" s="31"/>
      <c r="Z37" s="31"/>
      <c r="AA37" s="31"/>
      <c r="AB37" s="31"/>
      <c r="AC37" s="31"/>
      <c r="AD37" s="31"/>
      <c r="AE37" s="31"/>
      <c r="AF37" s="31"/>
      <c r="AG37" s="31"/>
      <c r="AH37" s="31"/>
      <c r="AI37" s="31"/>
      <c r="AJ37" s="31"/>
      <c r="AK37" s="31"/>
      <c r="AL37" s="31"/>
      <c r="AM37" s="15"/>
      <c r="AN37" s="15"/>
      <c r="AO37" s="15"/>
      <c r="AP37" s="15"/>
      <c r="AQ37" s="15"/>
      <c r="AR37" s="15"/>
      <c r="AS37" s="15"/>
      <c r="AT37" s="15"/>
      <c r="AU37" s="15"/>
      <c r="AV37" s="15"/>
      <c r="AW37" s="15"/>
      <c r="AX37" s="15"/>
      <c r="AY37" s="15"/>
      <c r="AZ37" s="15"/>
      <c r="BA37" s="15"/>
      <c r="BB37" s="15"/>
    </row>
    <row r="38" spans="1:166" ht="15" x14ac:dyDescent="0.25">
      <c r="A38" s="8" t="s">
        <v>146</v>
      </c>
      <c r="C38" s="31"/>
      <c r="D38" s="31"/>
      <c r="E38" s="31"/>
      <c r="F38" s="31"/>
      <c r="G38" s="31"/>
      <c r="H38" s="31"/>
      <c r="I38" s="31"/>
      <c r="J38" s="31"/>
      <c r="K38" s="31"/>
      <c r="L38" s="31"/>
      <c r="M38" s="31"/>
      <c r="N38" s="31"/>
      <c r="O38" s="31"/>
      <c r="P38" s="31"/>
      <c r="Q38" s="31"/>
      <c r="R38" s="31"/>
      <c r="S38" s="31"/>
      <c r="T38" s="31"/>
      <c r="U38" s="31"/>
      <c r="V38" s="31"/>
      <c r="W38" s="31"/>
      <c r="X38" s="31"/>
      <c r="Y38" s="31"/>
      <c r="Z38" s="31"/>
      <c r="AA38" s="31"/>
      <c r="AB38" s="31"/>
      <c r="AC38" s="31"/>
      <c r="AD38" s="31"/>
      <c r="AE38" s="31"/>
      <c r="AF38" s="31"/>
      <c r="AG38" s="31"/>
      <c r="AH38" s="31"/>
      <c r="AI38" s="31"/>
      <c r="AJ38" s="31"/>
      <c r="AK38" s="31"/>
      <c r="AL38" s="31"/>
      <c r="AM38" s="31"/>
      <c r="AN38" s="31"/>
      <c r="AO38" s="31"/>
      <c r="AP38" s="31"/>
      <c r="AQ38" s="31"/>
      <c r="AR38" s="31"/>
      <c r="AS38" s="31"/>
      <c r="AT38" s="31"/>
      <c r="AU38" s="31"/>
      <c r="AV38" s="31"/>
      <c r="AW38" s="31"/>
      <c r="AX38" s="15"/>
      <c r="AY38" s="15"/>
      <c r="AZ38" s="15"/>
      <c r="BA38" s="15"/>
      <c r="BB38" s="15"/>
    </row>
    <row r="39" spans="1:166" x14ac:dyDescent="0.2">
      <c r="A39" s="9" t="s">
        <v>76</v>
      </c>
      <c r="B39" s="9" t="s">
        <v>123</v>
      </c>
      <c r="C39" s="31">
        <f t="shared" ref="C39:BN39" si="62">C12*(126.13/115.83)</f>
        <v>2128136.401364068</v>
      </c>
      <c r="D39" s="31">
        <f t="shared" si="62"/>
        <v>2856449.7652594321</v>
      </c>
      <c r="E39" s="31">
        <f t="shared" si="62"/>
        <v>3786855.338168005</v>
      </c>
      <c r="F39" s="31">
        <f t="shared" si="62"/>
        <v>4881036.0827074163</v>
      </c>
      <c r="G39" s="31">
        <f t="shared" si="62"/>
        <v>5451370.6143486146</v>
      </c>
      <c r="H39" s="31">
        <f t="shared" si="62"/>
        <v>7080620.0165760173</v>
      </c>
      <c r="I39" s="31">
        <f t="shared" si="62"/>
        <v>4617792.1121471124</v>
      </c>
      <c r="J39" s="31">
        <f t="shared" si="62"/>
        <v>4602491.6491409829</v>
      </c>
      <c r="K39" s="31">
        <f t="shared" si="62"/>
        <v>5968968.5846499186</v>
      </c>
      <c r="L39" s="31">
        <f t="shared" si="62"/>
        <v>15217925.877492879</v>
      </c>
      <c r="M39" s="31">
        <f t="shared" si="62"/>
        <v>15175616.846844515</v>
      </c>
      <c r="N39" s="31">
        <f t="shared" si="62"/>
        <v>28865231.078736082</v>
      </c>
      <c r="O39" s="31">
        <f t="shared" si="62"/>
        <v>17463517.91487525</v>
      </c>
      <c r="P39" s="31">
        <f t="shared" si="62"/>
        <v>17556032.848830182</v>
      </c>
      <c r="Q39" s="31">
        <f t="shared" si="62"/>
        <v>15114644.757662091</v>
      </c>
      <c r="R39" s="31">
        <f t="shared" si="62"/>
        <v>22603815.775187775</v>
      </c>
      <c r="S39" s="31">
        <f t="shared" si="62"/>
        <v>21378627.742640078</v>
      </c>
      <c r="T39" s="31">
        <f t="shared" si="62"/>
        <v>31037058.354571357</v>
      </c>
      <c r="U39" s="31">
        <f t="shared" si="62"/>
        <v>46703002.173530176</v>
      </c>
      <c r="V39" s="31">
        <f t="shared" si="62"/>
        <v>38576152.155313827</v>
      </c>
      <c r="W39" s="31">
        <f t="shared" si="62"/>
        <v>31450567.223862559</v>
      </c>
      <c r="X39" s="31">
        <f t="shared" si="62"/>
        <v>38973142.05628939</v>
      </c>
      <c r="Y39" s="31">
        <f t="shared" si="62"/>
        <v>49247112.766813435</v>
      </c>
      <c r="Z39" s="31">
        <f t="shared" si="62"/>
        <v>58203450.201933868</v>
      </c>
      <c r="AA39" s="31">
        <f t="shared" si="62"/>
        <v>41572167.057757057</v>
      </c>
      <c r="AB39" s="31">
        <f t="shared" si="62"/>
        <v>40916566.555382892</v>
      </c>
      <c r="AC39" s="31">
        <f t="shared" si="62"/>
        <v>54726566.716222055</v>
      </c>
      <c r="AD39" s="31">
        <f t="shared" si="62"/>
        <v>47647512.571527243</v>
      </c>
      <c r="AE39" s="31">
        <f t="shared" si="62"/>
        <v>39850181.670120008</v>
      </c>
      <c r="AF39" s="31">
        <f t="shared" si="62"/>
        <v>44312323.068289734</v>
      </c>
      <c r="AG39" s="31">
        <f t="shared" si="62"/>
        <v>54341718.311404645</v>
      </c>
      <c r="AH39" s="31">
        <f t="shared" si="62"/>
        <v>62320573.83622551</v>
      </c>
      <c r="AI39" s="31">
        <f t="shared" si="62"/>
        <v>45547353.879651219</v>
      </c>
      <c r="AJ39" s="31">
        <f t="shared" si="62"/>
        <v>62518530.314080983</v>
      </c>
      <c r="AK39" s="31">
        <f t="shared" si="62"/>
        <v>61938041.571527243</v>
      </c>
      <c r="AL39" s="31">
        <f t="shared" si="62"/>
        <v>60375815.405939743</v>
      </c>
      <c r="AM39" s="31">
        <f t="shared" si="62"/>
        <v>61360760.79737547</v>
      </c>
      <c r="AN39" s="31">
        <f t="shared" si="62"/>
        <v>64541920.993611328</v>
      </c>
      <c r="AO39" s="31">
        <f t="shared" si="62"/>
        <v>75909149.041612715</v>
      </c>
      <c r="AP39" s="31">
        <f t="shared" si="62"/>
        <v>88325953.352931023</v>
      </c>
      <c r="AQ39" s="31">
        <f t="shared" si="62"/>
        <v>66883882.753863424</v>
      </c>
      <c r="AR39" s="31">
        <f t="shared" si="62"/>
        <v>85103280.129068464</v>
      </c>
      <c r="AS39" s="31">
        <f t="shared" si="62"/>
        <v>84521802.64404732</v>
      </c>
      <c r="AT39" s="31">
        <f t="shared" si="62"/>
        <v>79356880.9583873</v>
      </c>
      <c r="AU39" s="31">
        <f t="shared" si="62"/>
        <v>75848649.54519555</v>
      </c>
      <c r="AV39" s="31">
        <f t="shared" si="62"/>
        <v>74383903.804368481</v>
      </c>
      <c r="AW39" s="31">
        <f t="shared" si="62"/>
        <v>78736677.000777006</v>
      </c>
      <c r="AX39" s="31">
        <f t="shared" si="62"/>
        <v>77196798.810584486</v>
      </c>
      <c r="AY39" s="31">
        <f t="shared" si="62"/>
        <v>74635920.974445313</v>
      </c>
      <c r="AZ39" s="31">
        <f t="shared" si="62"/>
        <v>65635805.55097989</v>
      </c>
      <c r="BA39" s="31">
        <f>BA13*(126.13/115.83)</f>
        <v>579086664.35586643</v>
      </c>
      <c r="BB39" s="31">
        <f>BB13*(126.13/115.83)</f>
        <v>596064540.93611336</v>
      </c>
      <c r="BC39" s="31">
        <f t="shared" si="62"/>
        <v>70131883.247604251</v>
      </c>
      <c r="BD39" s="31">
        <f t="shared" si="62"/>
        <v>60712465.882241219</v>
      </c>
      <c r="BE39" s="31">
        <f t="shared" si="62"/>
        <v>63618250.412069418</v>
      </c>
      <c r="BF39" s="34">
        <f t="shared" si="62"/>
        <v>59275172.10857594</v>
      </c>
      <c r="BG39" s="34">
        <f t="shared" si="62"/>
        <v>85906727.217644244</v>
      </c>
      <c r="BH39" s="34">
        <f t="shared" si="62"/>
        <v>53355144.19188609</v>
      </c>
      <c r="BI39" s="34">
        <f t="shared" si="62"/>
        <v>57226480.760238744</v>
      </c>
      <c r="BJ39" s="34">
        <f t="shared" si="62"/>
        <v>62131836.116970591</v>
      </c>
      <c r="BK39" s="34">
        <f t="shared" si="62"/>
        <v>66556027.256635584</v>
      </c>
      <c r="BL39" s="34">
        <f t="shared" si="62"/>
        <v>56584276.80712492</v>
      </c>
      <c r="BM39" s="34">
        <f t="shared" si="62"/>
        <v>62398588.530217737</v>
      </c>
      <c r="BN39" s="34">
        <f t="shared" si="62"/>
        <v>74918395.133615822</v>
      </c>
      <c r="BO39" s="34">
        <f t="shared" ref="BO39:DZ39" si="63">BO12*(126.13/115.83)</f>
        <v>71004307.327539816</v>
      </c>
      <c r="BP39" s="34">
        <f t="shared" si="63"/>
        <v>54372507.489935651</v>
      </c>
      <c r="BQ39" s="34">
        <f t="shared" si="63"/>
        <v>60469167.936073065</v>
      </c>
      <c r="BR39" s="34">
        <f t="shared" si="63"/>
        <v>77692165.014375582</v>
      </c>
      <c r="BS39" s="34">
        <f t="shared" si="63"/>
        <v>75373836.200061768</v>
      </c>
      <c r="BT39" s="34">
        <f t="shared" si="63"/>
        <v>29053157.629237276</v>
      </c>
      <c r="BU39" s="34">
        <f t="shared" si="63"/>
        <v>34900706.683996037</v>
      </c>
      <c r="BV39" s="34">
        <f t="shared" si="63"/>
        <v>86281462.748426363</v>
      </c>
      <c r="BW39" s="34">
        <f t="shared" si="63"/>
        <v>70764836.855359614</v>
      </c>
      <c r="BX39" s="34">
        <f t="shared" si="63"/>
        <v>44349349.827514358</v>
      </c>
      <c r="BY39" s="34">
        <f t="shared" si="63"/>
        <v>49964933.863975428</v>
      </c>
      <c r="BZ39" s="34">
        <f t="shared" si="63"/>
        <v>76974820.29810968</v>
      </c>
      <c r="CA39" s="34">
        <f t="shared" si="63"/>
        <v>69619079.274534613</v>
      </c>
      <c r="CB39" s="34">
        <f t="shared" si="63"/>
        <v>46931433.238921143</v>
      </c>
      <c r="CC39" s="34">
        <f t="shared" si="63"/>
        <v>52718361.84884496</v>
      </c>
      <c r="CD39" s="34">
        <f t="shared" si="63"/>
        <v>90763481.385758609</v>
      </c>
      <c r="CE39" s="34">
        <f t="shared" si="63"/>
        <v>67092303.254481189</v>
      </c>
      <c r="CF39" s="34">
        <f t="shared" si="63"/>
        <v>50964397.80100552</v>
      </c>
      <c r="CG39" s="34">
        <f t="shared" si="63"/>
        <v>52469686.199754678</v>
      </c>
      <c r="CH39" s="34">
        <f t="shared" si="63"/>
        <v>85391899.292312816</v>
      </c>
      <c r="CI39" s="34">
        <f t="shared" si="63"/>
        <v>68074081.376029357</v>
      </c>
      <c r="CJ39" s="34">
        <f t="shared" si="63"/>
        <v>52739884.282700732</v>
      </c>
      <c r="CK39" s="34">
        <f t="shared" si="63"/>
        <v>58073645.110614046</v>
      </c>
      <c r="CL39" s="34">
        <f t="shared" si="63"/>
        <v>79925679.859668493</v>
      </c>
      <c r="CM39" s="34">
        <f t="shared" si="63"/>
        <v>70773577.123326704</v>
      </c>
      <c r="CN39" s="34">
        <f t="shared" si="63"/>
        <v>45550246.941201515</v>
      </c>
      <c r="CO39" s="34">
        <f t="shared" si="63"/>
        <v>56335043.187481046</v>
      </c>
      <c r="CP39" s="34">
        <f t="shared" si="63"/>
        <v>84471990.171436816</v>
      </c>
      <c r="CQ39" s="34">
        <f t="shared" si="63"/>
        <v>72441704.377345622</v>
      </c>
      <c r="CR39" s="34">
        <f t="shared" si="63"/>
        <v>44022090.568283491</v>
      </c>
      <c r="CS39" s="34">
        <f t="shared" si="63"/>
        <v>54452760.759212799</v>
      </c>
      <c r="CT39" s="34">
        <f t="shared" si="63"/>
        <v>85850591.508693799</v>
      </c>
      <c r="CU39" s="34">
        <f t="shared" si="63"/>
        <v>73332830.688270345</v>
      </c>
      <c r="CV39" s="34">
        <f t="shared" si="63"/>
        <v>40247799.622510813</v>
      </c>
      <c r="CW39" s="34">
        <f t="shared" si="63"/>
        <v>50393749.963388965</v>
      </c>
      <c r="CX39" s="34">
        <f t="shared" si="63"/>
        <v>87178753.23199968</v>
      </c>
      <c r="CY39" s="34">
        <f t="shared" si="63"/>
        <v>79398597.74071151</v>
      </c>
      <c r="CZ39" s="34">
        <f t="shared" si="63"/>
        <v>24318536.011994939</v>
      </c>
      <c r="DA39" s="34">
        <f t="shared" si="63"/>
        <v>46214267.328139015</v>
      </c>
      <c r="DB39" s="34">
        <f t="shared" si="63"/>
        <v>88491737.588763803</v>
      </c>
      <c r="DC39" s="34">
        <f t="shared" si="63"/>
        <v>88339333.904763386</v>
      </c>
      <c r="DD39" s="34">
        <f t="shared" si="63"/>
        <v>7610913.9966570381</v>
      </c>
      <c r="DE39" s="34">
        <f t="shared" si="63"/>
        <v>41263240.80102656</v>
      </c>
      <c r="DF39" s="34">
        <f t="shared" si="63"/>
        <v>90400431.196684942</v>
      </c>
      <c r="DG39" s="34">
        <f t="shared" si="63"/>
        <v>90696797.868752182</v>
      </c>
      <c r="DH39" s="34">
        <f t="shared" si="63"/>
        <v>5681461.1814010153</v>
      </c>
      <c r="DI39" s="34">
        <f t="shared" si="63"/>
        <v>42365526.914977066</v>
      </c>
      <c r="DJ39" s="34">
        <f t="shared" si="63"/>
        <v>91672613.366568074</v>
      </c>
      <c r="DK39" s="34">
        <f t="shared" si="63"/>
        <v>97438870.633067355</v>
      </c>
      <c r="DL39" s="34">
        <f t="shared" si="63"/>
        <v>-6326576.8211389901</v>
      </c>
      <c r="DM39" s="34">
        <f t="shared" si="63"/>
        <v>38970775.393006206</v>
      </c>
      <c r="DN39" s="34">
        <f t="shared" si="63"/>
        <v>94029698.722866714</v>
      </c>
      <c r="DO39" s="34">
        <f t="shared" si="63"/>
        <v>109387697.1905421</v>
      </c>
      <c r="DP39" s="34">
        <f t="shared" si="63"/>
        <v>-29563102.266189571</v>
      </c>
      <c r="DQ39" s="34">
        <f t="shared" si="63"/>
        <v>32894482.892183095</v>
      </c>
      <c r="DR39" s="34">
        <f t="shared" si="63"/>
        <v>97163645.244448453</v>
      </c>
      <c r="DS39" s="34">
        <f t="shared" si="63"/>
        <v>97163645.244448453</v>
      </c>
      <c r="DT39" s="34">
        <f t="shared" si="63"/>
        <v>97163645.244448453</v>
      </c>
      <c r="DU39" s="34">
        <f t="shared" si="63"/>
        <v>97163645.244448453</v>
      </c>
      <c r="DV39" s="34">
        <f t="shared" si="63"/>
        <v>97163645.244448453</v>
      </c>
      <c r="DW39" s="34">
        <f t="shared" si="63"/>
        <v>97163645.244448453</v>
      </c>
      <c r="DX39" s="34">
        <f t="shared" si="63"/>
        <v>97163645.244448453</v>
      </c>
      <c r="DY39" s="34">
        <f t="shared" si="63"/>
        <v>97163645.244448453</v>
      </c>
      <c r="DZ39" s="34">
        <f t="shared" si="63"/>
        <v>97163645.244448453</v>
      </c>
      <c r="EA39" s="34">
        <f t="shared" ref="EA39:FJ39" si="64">EA12*(126.13/115.83)</f>
        <v>97163645.244448453</v>
      </c>
      <c r="EB39" s="34">
        <f t="shared" si="64"/>
        <v>97163645.244448453</v>
      </c>
      <c r="EC39" s="34">
        <f t="shared" si="64"/>
        <v>97163645.244448453</v>
      </c>
      <c r="ED39" s="34">
        <f t="shared" si="64"/>
        <v>97163645.244448453</v>
      </c>
      <c r="EE39" s="34">
        <f t="shared" si="64"/>
        <v>97163645.244448453</v>
      </c>
      <c r="EF39" s="34">
        <f t="shared" si="64"/>
        <v>97163645.244448453</v>
      </c>
      <c r="EG39" s="34">
        <f t="shared" si="64"/>
        <v>97163645.244448453</v>
      </c>
      <c r="EH39" s="34">
        <f t="shared" si="64"/>
        <v>97163645.244448453</v>
      </c>
      <c r="EI39" s="34">
        <f t="shared" si="64"/>
        <v>97163645.244448453</v>
      </c>
      <c r="EJ39" s="34">
        <f t="shared" si="64"/>
        <v>97163645.244448453</v>
      </c>
      <c r="EK39" s="34">
        <f t="shared" si="64"/>
        <v>97163645.244448453</v>
      </c>
      <c r="EL39" s="34">
        <f t="shared" si="64"/>
        <v>97163645.244448453</v>
      </c>
      <c r="EM39" s="34">
        <f t="shared" si="64"/>
        <v>97163645.244448453</v>
      </c>
      <c r="EN39" s="34">
        <f t="shared" si="64"/>
        <v>97163645.244448453</v>
      </c>
      <c r="EO39" s="34">
        <f t="shared" si="64"/>
        <v>97163645.244448453</v>
      </c>
      <c r="EP39" s="34">
        <f t="shared" si="64"/>
        <v>97163645.244448453</v>
      </c>
      <c r="EQ39" s="34">
        <f t="shared" si="64"/>
        <v>97163645.244448453</v>
      </c>
      <c r="ER39" s="34">
        <f t="shared" si="64"/>
        <v>97163645.244448453</v>
      </c>
      <c r="ES39" s="34">
        <f t="shared" si="64"/>
        <v>97163645.244448453</v>
      </c>
      <c r="ET39" s="34">
        <f t="shared" si="64"/>
        <v>97163645.244448453</v>
      </c>
      <c r="EU39" s="34">
        <f t="shared" si="64"/>
        <v>97163645.244448453</v>
      </c>
      <c r="EV39" s="34">
        <f t="shared" si="64"/>
        <v>97163645.244448453</v>
      </c>
      <c r="EW39" s="34">
        <f t="shared" si="64"/>
        <v>97163645.244448453</v>
      </c>
      <c r="EX39" s="34">
        <f t="shared" si="64"/>
        <v>97163645.244448453</v>
      </c>
      <c r="EY39" s="34">
        <f t="shared" si="64"/>
        <v>97163645.244448453</v>
      </c>
      <c r="EZ39" s="34">
        <f t="shared" si="64"/>
        <v>97163645.244448453</v>
      </c>
      <c r="FA39" s="34">
        <f t="shared" si="64"/>
        <v>97163645.244448453</v>
      </c>
      <c r="FB39" s="34">
        <f t="shared" si="64"/>
        <v>97163645.244448453</v>
      </c>
      <c r="FC39" s="34">
        <f t="shared" si="64"/>
        <v>97163645.244448453</v>
      </c>
      <c r="FD39" s="34">
        <f t="shared" si="64"/>
        <v>97163645.244448453</v>
      </c>
      <c r="FE39" s="34">
        <f t="shared" si="64"/>
        <v>97163645.244448453</v>
      </c>
      <c r="FF39" s="34">
        <f t="shared" si="64"/>
        <v>97163645.244448453</v>
      </c>
      <c r="FG39" s="34">
        <f t="shared" si="64"/>
        <v>97163645.244448453</v>
      </c>
      <c r="FH39" s="34">
        <f t="shared" si="64"/>
        <v>97163645.244448453</v>
      </c>
      <c r="FI39" s="34">
        <f t="shared" si="64"/>
        <v>97163645.244448453</v>
      </c>
      <c r="FJ39" s="34">
        <f t="shared" si="64"/>
        <v>97163645.244448453</v>
      </c>
    </row>
    <row r="40" spans="1:166" x14ac:dyDescent="0.2">
      <c r="A40" s="9" t="s">
        <v>147</v>
      </c>
      <c r="B40" s="9" t="s">
        <v>123</v>
      </c>
      <c r="C40" s="31">
        <f t="shared" ref="C40:AH40" si="65">SUM(C5:C6)*134.47/115.83</f>
        <v>274947.78943278943</v>
      </c>
      <c r="D40" s="31">
        <f t="shared" si="65"/>
        <v>381401.17447984114</v>
      </c>
      <c r="E40" s="31">
        <f t="shared" si="65"/>
        <v>616407.32228265563</v>
      </c>
      <c r="F40" s="31">
        <f t="shared" si="65"/>
        <v>555999.72511439177</v>
      </c>
      <c r="G40" s="31">
        <f t="shared" si="65"/>
        <v>544330.10204610205</v>
      </c>
      <c r="H40" s="31">
        <f t="shared" si="65"/>
        <v>526133.75584908912</v>
      </c>
      <c r="I40" s="31">
        <f t="shared" si="65"/>
        <v>445868.52810152812</v>
      </c>
      <c r="J40" s="31">
        <f t="shared" si="65"/>
        <v>334142.21945955278</v>
      </c>
      <c r="K40" s="31">
        <f t="shared" si="65"/>
        <v>509965.54649054649</v>
      </c>
      <c r="L40" s="31">
        <f t="shared" si="65"/>
        <v>719379.0917724251</v>
      </c>
      <c r="M40" s="31">
        <f t="shared" si="65"/>
        <v>5955122.8868168872</v>
      </c>
      <c r="N40" s="31">
        <f t="shared" si="65"/>
        <v>4699456.5848225849</v>
      </c>
      <c r="O40" s="31">
        <f t="shared" si="65"/>
        <v>5067593.0246050246</v>
      </c>
      <c r="P40" s="31">
        <f t="shared" si="65"/>
        <v>4579988.0640593972</v>
      </c>
      <c r="Q40" s="31">
        <f t="shared" si="65"/>
        <v>10834168.840973841</v>
      </c>
      <c r="R40" s="31">
        <f t="shared" si="65"/>
        <v>12885276.912198912</v>
      </c>
      <c r="S40" s="31">
        <f t="shared" si="65"/>
        <v>13928634.320728654</v>
      </c>
      <c r="T40" s="31">
        <f t="shared" si="65"/>
        <v>18980366.781231117</v>
      </c>
      <c r="U40" s="31">
        <f t="shared" si="65"/>
        <v>21255463.817318484</v>
      </c>
      <c r="V40" s="31">
        <f t="shared" si="65"/>
        <v>22934502.233186569</v>
      </c>
      <c r="W40" s="31">
        <f t="shared" si="65"/>
        <v>24432991.194336526</v>
      </c>
      <c r="X40" s="31">
        <f t="shared" si="65"/>
        <v>25815680.159285158</v>
      </c>
      <c r="Y40" s="31">
        <f t="shared" si="65"/>
        <v>26728497.300612967</v>
      </c>
      <c r="Z40" s="31">
        <f t="shared" si="65"/>
        <v>26633318.82396616</v>
      </c>
      <c r="AA40" s="31">
        <f t="shared" si="65"/>
        <v>27432296.77225244</v>
      </c>
      <c r="AB40" s="31">
        <f t="shared" si="65"/>
        <v>31843885.627816629</v>
      </c>
      <c r="AC40" s="31">
        <f t="shared" si="65"/>
        <v>32655269.225934561</v>
      </c>
      <c r="AD40" s="31">
        <f t="shared" si="65"/>
        <v>32036206.867046531</v>
      </c>
      <c r="AE40" s="31">
        <f t="shared" si="65"/>
        <v>32081856.779331781</v>
      </c>
      <c r="AF40" s="31">
        <f t="shared" si="65"/>
        <v>32884221.147284813</v>
      </c>
      <c r="AG40" s="31">
        <f t="shared" si="65"/>
        <v>36313008.789950788</v>
      </c>
      <c r="AH40" s="31">
        <f t="shared" si="65"/>
        <v>37899448.305620305</v>
      </c>
      <c r="AI40" s="31">
        <f t="shared" ref="AI40:BN40" si="66">SUM(AI5:AI6)*134.47/115.83</f>
        <v>37349798.842959508</v>
      </c>
      <c r="AJ40" s="31">
        <f t="shared" si="66"/>
        <v>40584360.167659506</v>
      </c>
      <c r="AK40" s="31">
        <f t="shared" si="66"/>
        <v>42509073.636622638</v>
      </c>
      <c r="AL40" s="31">
        <f t="shared" si="66"/>
        <v>41253252.931537606</v>
      </c>
      <c r="AM40" s="31">
        <f t="shared" si="66"/>
        <v>43345432.224898554</v>
      </c>
      <c r="AN40" s="31">
        <f t="shared" si="66"/>
        <v>38555537.222222224</v>
      </c>
      <c r="AO40" s="31">
        <f t="shared" si="66"/>
        <v>46791363.254338257</v>
      </c>
      <c r="AP40" s="31">
        <f t="shared" si="66"/>
        <v>47291595.601484932</v>
      </c>
      <c r="AQ40" s="31">
        <f t="shared" si="66"/>
        <v>44622644.143140815</v>
      </c>
      <c r="AR40" s="31">
        <f t="shared" si="66"/>
        <v>50854221.700682037</v>
      </c>
      <c r="AS40" s="31">
        <f t="shared" si="66"/>
        <v>54431489.392212726</v>
      </c>
      <c r="AT40" s="31">
        <f t="shared" si="66"/>
        <v>52738270.271432273</v>
      </c>
      <c r="AU40" s="31">
        <f t="shared" si="66"/>
        <v>52722848.537166543</v>
      </c>
      <c r="AV40" s="31">
        <f t="shared" ref="AV40:AW40" si="67">SUM(AV5:AV6)*134.47/115.83</f>
        <v>54966249.985409655</v>
      </c>
      <c r="AW40" s="31">
        <f t="shared" si="67"/>
        <v>57750754.162824832</v>
      </c>
      <c r="AX40" s="31">
        <f t="shared" si="66"/>
        <v>55668883.887852885</v>
      </c>
      <c r="AY40" s="31">
        <f t="shared" si="66"/>
        <v>56272483.880082883</v>
      </c>
      <c r="AZ40" s="31">
        <f t="shared" si="66"/>
        <v>58970504.912803248</v>
      </c>
      <c r="BA40" s="31">
        <f t="shared" si="66"/>
        <v>60567748.001122341</v>
      </c>
      <c r="BB40" s="31">
        <f t="shared" si="66"/>
        <v>59976280.841232844</v>
      </c>
      <c r="BC40" s="31">
        <f t="shared" si="66"/>
        <v>59990725.076232411</v>
      </c>
      <c r="BD40" s="31">
        <f t="shared" si="66"/>
        <v>62883516.90097557</v>
      </c>
      <c r="BE40" s="31">
        <f t="shared" si="66"/>
        <v>66106110.244755246</v>
      </c>
      <c r="BF40" s="34">
        <f t="shared" si="66"/>
        <v>55668883.887852885</v>
      </c>
      <c r="BG40" s="34">
        <f t="shared" si="66"/>
        <v>52722848.537166543</v>
      </c>
      <c r="BH40" s="34">
        <f t="shared" si="66"/>
        <v>54966249.985409655</v>
      </c>
      <c r="BI40" s="34">
        <f t="shared" si="66"/>
        <v>57750754.162824832</v>
      </c>
      <c r="BJ40" s="34">
        <f t="shared" si="66"/>
        <v>55668883.887852885</v>
      </c>
      <c r="BK40" s="34">
        <f t="shared" si="66"/>
        <v>52722848.537166543</v>
      </c>
      <c r="BL40" s="34">
        <f t="shared" si="66"/>
        <v>54966249.985409655</v>
      </c>
      <c r="BM40" s="34">
        <f t="shared" si="66"/>
        <v>57750754.162824832</v>
      </c>
      <c r="BN40" s="34">
        <f t="shared" si="66"/>
        <v>55668883.887852885</v>
      </c>
      <c r="BO40" s="34">
        <f t="shared" ref="BO40:DZ40" si="68">SUM(BO5:BO6)*134.47/115.83</f>
        <v>52722848.537166543</v>
      </c>
      <c r="BP40" s="34">
        <f t="shared" si="68"/>
        <v>54966249.985409655</v>
      </c>
      <c r="BQ40" s="34">
        <f t="shared" si="68"/>
        <v>57750754.162824832</v>
      </c>
      <c r="BR40" s="34">
        <f t="shared" si="68"/>
        <v>55668883.887852885</v>
      </c>
      <c r="BS40" s="34">
        <f t="shared" si="68"/>
        <v>52722848.537166543</v>
      </c>
      <c r="BT40" s="34">
        <f t="shared" si="68"/>
        <v>54966249.985409655</v>
      </c>
      <c r="BU40" s="34">
        <f t="shared" si="68"/>
        <v>57750754.162824832</v>
      </c>
      <c r="BV40" s="34">
        <f t="shared" si="68"/>
        <v>55668883.887852885</v>
      </c>
      <c r="BW40" s="34">
        <f t="shared" si="68"/>
        <v>52722848.537166543</v>
      </c>
      <c r="BX40" s="34">
        <f t="shared" si="68"/>
        <v>54966249.985409655</v>
      </c>
      <c r="BY40" s="34">
        <f t="shared" si="68"/>
        <v>57750754.162824832</v>
      </c>
      <c r="BZ40" s="34">
        <f t="shared" si="68"/>
        <v>55668883.887852885</v>
      </c>
      <c r="CA40" s="34">
        <f t="shared" si="68"/>
        <v>52722848.537166543</v>
      </c>
      <c r="CB40" s="34">
        <f t="shared" si="68"/>
        <v>54966249.985409655</v>
      </c>
      <c r="CC40" s="34">
        <f t="shared" si="68"/>
        <v>57750754.162824832</v>
      </c>
      <c r="CD40" s="34">
        <f t="shared" si="68"/>
        <v>55668883.887852885</v>
      </c>
      <c r="CE40" s="34">
        <f t="shared" si="68"/>
        <v>52722848.537166543</v>
      </c>
      <c r="CF40" s="34">
        <f t="shared" si="68"/>
        <v>54966249.985409655</v>
      </c>
      <c r="CG40" s="34">
        <f t="shared" si="68"/>
        <v>57750754.162824832</v>
      </c>
      <c r="CH40" s="34">
        <f t="shared" si="68"/>
        <v>55668883.887852885</v>
      </c>
      <c r="CI40" s="34">
        <f t="shared" si="68"/>
        <v>52722848.537166543</v>
      </c>
      <c r="CJ40" s="34">
        <f t="shared" si="68"/>
        <v>54966249.985409655</v>
      </c>
      <c r="CK40" s="34">
        <f t="shared" si="68"/>
        <v>57750754.162824832</v>
      </c>
      <c r="CL40" s="34">
        <f t="shared" si="68"/>
        <v>55668883.887852885</v>
      </c>
      <c r="CM40" s="34">
        <f t="shared" si="68"/>
        <v>52722848.537166543</v>
      </c>
      <c r="CN40" s="34">
        <f t="shared" si="68"/>
        <v>54966249.985409655</v>
      </c>
      <c r="CO40" s="34">
        <f t="shared" si="68"/>
        <v>57750754.162824832</v>
      </c>
      <c r="CP40" s="34">
        <f t="shared" si="68"/>
        <v>55668883.887852885</v>
      </c>
      <c r="CQ40" s="34">
        <f t="shared" si="68"/>
        <v>52722848.537166543</v>
      </c>
      <c r="CR40" s="34">
        <f t="shared" si="68"/>
        <v>54966249.985409655</v>
      </c>
      <c r="CS40" s="34">
        <f t="shared" si="68"/>
        <v>57750754.162824832</v>
      </c>
      <c r="CT40" s="34">
        <f t="shared" si="68"/>
        <v>55668883.887852885</v>
      </c>
      <c r="CU40" s="34">
        <f t="shared" si="68"/>
        <v>52722848.537166543</v>
      </c>
      <c r="CV40" s="34">
        <f t="shared" si="68"/>
        <v>54966249.985409655</v>
      </c>
      <c r="CW40" s="34">
        <f t="shared" si="68"/>
        <v>57750754.162824832</v>
      </c>
      <c r="CX40" s="34">
        <f t="shared" si="68"/>
        <v>55668883.887852885</v>
      </c>
      <c r="CY40" s="34">
        <f t="shared" si="68"/>
        <v>52722848.537166543</v>
      </c>
      <c r="CZ40" s="34">
        <f t="shared" si="68"/>
        <v>54966249.985409655</v>
      </c>
      <c r="DA40" s="34">
        <f t="shared" si="68"/>
        <v>57750754.162824832</v>
      </c>
      <c r="DB40" s="34">
        <f t="shared" si="68"/>
        <v>55668883.887852885</v>
      </c>
      <c r="DC40" s="34">
        <f t="shared" si="68"/>
        <v>52722848.537166543</v>
      </c>
      <c r="DD40" s="34">
        <f t="shared" si="68"/>
        <v>54966249.985409655</v>
      </c>
      <c r="DE40" s="34">
        <f t="shared" si="68"/>
        <v>57750754.162824832</v>
      </c>
      <c r="DF40" s="34">
        <f t="shared" si="68"/>
        <v>55668883.887852885</v>
      </c>
      <c r="DG40" s="34">
        <f t="shared" si="68"/>
        <v>52722848.537166543</v>
      </c>
      <c r="DH40" s="34">
        <f t="shared" si="68"/>
        <v>54966249.985409655</v>
      </c>
      <c r="DI40" s="34">
        <f t="shared" si="68"/>
        <v>57750754.162824832</v>
      </c>
      <c r="DJ40" s="34">
        <f t="shared" si="68"/>
        <v>55668883.887852885</v>
      </c>
      <c r="DK40" s="34">
        <f t="shared" si="68"/>
        <v>52722848.537166543</v>
      </c>
      <c r="DL40" s="34">
        <f t="shared" si="68"/>
        <v>54966249.985409655</v>
      </c>
      <c r="DM40" s="34">
        <f t="shared" si="68"/>
        <v>57750754.162824832</v>
      </c>
      <c r="DN40" s="34">
        <f t="shared" si="68"/>
        <v>55668883.887852885</v>
      </c>
      <c r="DO40" s="34">
        <f t="shared" si="68"/>
        <v>52722848.537166543</v>
      </c>
      <c r="DP40" s="34">
        <f t="shared" si="68"/>
        <v>54966249.985409655</v>
      </c>
      <c r="DQ40" s="34">
        <f t="shared" si="68"/>
        <v>57750754.162824832</v>
      </c>
      <c r="DR40" s="34">
        <f t="shared" si="68"/>
        <v>55668883.887852885</v>
      </c>
      <c r="DS40" s="34">
        <f t="shared" si="68"/>
        <v>52722848.537166543</v>
      </c>
      <c r="DT40" s="34">
        <f t="shared" si="68"/>
        <v>54966249.985409655</v>
      </c>
      <c r="DU40" s="34">
        <f t="shared" si="68"/>
        <v>57750754.162824832</v>
      </c>
      <c r="DV40" s="34">
        <f t="shared" si="68"/>
        <v>55668883.887852885</v>
      </c>
      <c r="DW40" s="34">
        <f t="shared" si="68"/>
        <v>52722848.537166543</v>
      </c>
      <c r="DX40" s="34">
        <f t="shared" si="68"/>
        <v>54966249.985409655</v>
      </c>
      <c r="DY40" s="34">
        <f t="shared" si="68"/>
        <v>57750754.162824832</v>
      </c>
      <c r="DZ40" s="34">
        <f t="shared" si="68"/>
        <v>57750754.162824832</v>
      </c>
      <c r="EA40" s="34">
        <f t="shared" ref="EA40:FJ40" si="69">SUM(EA5:EA6)*134.47/115.83</f>
        <v>52722848.537166543</v>
      </c>
      <c r="EB40" s="34">
        <f t="shared" si="69"/>
        <v>54966249.985409655</v>
      </c>
      <c r="EC40" s="34">
        <f t="shared" si="69"/>
        <v>57750754.162824832</v>
      </c>
      <c r="ED40" s="34">
        <f t="shared" si="69"/>
        <v>57750754.162824832</v>
      </c>
      <c r="EE40" s="34">
        <f t="shared" si="69"/>
        <v>52722848.537166543</v>
      </c>
      <c r="EF40" s="34">
        <f t="shared" si="69"/>
        <v>54966249.985409655</v>
      </c>
      <c r="EG40" s="34">
        <f t="shared" si="69"/>
        <v>57750754.162824832</v>
      </c>
      <c r="EH40" s="34">
        <f t="shared" si="69"/>
        <v>57750754.162824832</v>
      </c>
      <c r="EI40" s="34">
        <f t="shared" si="69"/>
        <v>52722848.537166543</v>
      </c>
      <c r="EJ40" s="34">
        <f t="shared" si="69"/>
        <v>54966249.985409655</v>
      </c>
      <c r="EK40" s="34">
        <f t="shared" si="69"/>
        <v>57750754.162824832</v>
      </c>
      <c r="EL40" s="34">
        <f t="shared" si="69"/>
        <v>57750754.162824832</v>
      </c>
      <c r="EM40" s="34">
        <f t="shared" si="69"/>
        <v>52722848.537166543</v>
      </c>
      <c r="EN40" s="34">
        <f t="shared" si="69"/>
        <v>54966249.985409655</v>
      </c>
      <c r="EO40" s="34">
        <f t="shared" si="69"/>
        <v>57750754.162824832</v>
      </c>
      <c r="EP40" s="34">
        <f t="shared" si="69"/>
        <v>57750754.162824832</v>
      </c>
      <c r="EQ40" s="34">
        <f t="shared" si="69"/>
        <v>52722848.537166543</v>
      </c>
      <c r="ER40" s="34">
        <f t="shared" si="69"/>
        <v>54966249.985409655</v>
      </c>
      <c r="ES40" s="34">
        <f t="shared" si="69"/>
        <v>57750754.162824832</v>
      </c>
      <c r="ET40" s="34">
        <f t="shared" si="69"/>
        <v>57750754.162824832</v>
      </c>
      <c r="EU40" s="34">
        <f t="shared" si="69"/>
        <v>52722848.537166543</v>
      </c>
      <c r="EV40" s="34">
        <f t="shared" si="69"/>
        <v>54966249.985409655</v>
      </c>
      <c r="EW40" s="34">
        <f t="shared" si="69"/>
        <v>57750754.162824832</v>
      </c>
      <c r="EX40" s="34">
        <f t="shared" si="69"/>
        <v>57750754.162824832</v>
      </c>
      <c r="EY40" s="34">
        <f t="shared" si="69"/>
        <v>52722848.537166543</v>
      </c>
      <c r="EZ40" s="34">
        <f t="shared" si="69"/>
        <v>54966249.985409655</v>
      </c>
      <c r="FA40" s="34">
        <f t="shared" si="69"/>
        <v>57750754.162824832</v>
      </c>
      <c r="FB40" s="34">
        <f t="shared" si="69"/>
        <v>57750754.162824832</v>
      </c>
      <c r="FC40" s="34">
        <f t="shared" si="69"/>
        <v>52722848.537166543</v>
      </c>
      <c r="FD40" s="34">
        <f t="shared" si="69"/>
        <v>54966249.985409655</v>
      </c>
      <c r="FE40" s="34">
        <f t="shared" si="69"/>
        <v>57750754.162824832</v>
      </c>
      <c r="FF40" s="34">
        <f t="shared" si="69"/>
        <v>57750754.162824832</v>
      </c>
      <c r="FG40" s="34">
        <f t="shared" si="69"/>
        <v>52722848.537166543</v>
      </c>
      <c r="FH40" s="34">
        <f t="shared" si="69"/>
        <v>54966249.985409655</v>
      </c>
      <c r="FI40" s="34">
        <f t="shared" si="69"/>
        <v>57750754.162824832</v>
      </c>
      <c r="FJ40" s="34">
        <f t="shared" si="69"/>
        <v>57750754.162824832</v>
      </c>
    </row>
    <row r="41" spans="1:166" x14ac:dyDescent="0.2">
      <c r="A41" s="9" t="s">
        <v>148</v>
      </c>
      <c r="B41" s="9" t="s">
        <v>123</v>
      </c>
      <c r="C41" s="31">
        <f t="shared" ref="C41:BN41" si="70">SUM(C7:C8)*134.47/115.83</f>
        <v>20612672.14132781</v>
      </c>
      <c r="D41" s="31">
        <f t="shared" si="70"/>
        <v>21553166.907364242</v>
      </c>
      <c r="E41" s="31">
        <f t="shared" si="70"/>
        <v>21698720.263057932</v>
      </c>
      <c r="F41" s="31">
        <f t="shared" si="70"/>
        <v>21352504.418458086</v>
      </c>
      <c r="G41" s="31">
        <f t="shared" si="70"/>
        <v>21475543.946041614</v>
      </c>
      <c r="H41" s="31">
        <f t="shared" si="70"/>
        <v>23162575.333937667</v>
      </c>
      <c r="I41" s="31">
        <f t="shared" si="70"/>
        <v>26662087.718639385</v>
      </c>
      <c r="J41" s="31">
        <f t="shared" si="70"/>
        <v>26871765.954933956</v>
      </c>
      <c r="K41" s="31">
        <f t="shared" si="70"/>
        <v>28433109.744194079</v>
      </c>
      <c r="L41" s="31">
        <f t="shared" si="70"/>
        <v>26626562.237589572</v>
      </c>
      <c r="M41" s="31">
        <f t="shared" si="70"/>
        <v>23234509.760338426</v>
      </c>
      <c r="N41" s="31">
        <f t="shared" si="70"/>
        <v>25165193.869118538</v>
      </c>
      <c r="O41" s="31">
        <f t="shared" si="70"/>
        <v>26722034.428386431</v>
      </c>
      <c r="P41" s="31">
        <f t="shared" si="70"/>
        <v>31995230.840801176</v>
      </c>
      <c r="Q41" s="31">
        <f t="shared" si="70"/>
        <v>27751717.295519296</v>
      </c>
      <c r="R41" s="31">
        <f t="shared" si="70"/>
        <v>25903123.389363725</v>
      </c>
      <c r="S41" s="31">
        <f t="shared" si="70"/>
        <v>24917854.048864715</v>
      </c>
      <c r="T41" s="31">
        <f t="shared" si="70"/>
        <v>20400032.384097386</v>
      </c>
      <c r="U41" s="31">
        <f t="shared" si="70"/>
        <v>19899093.033324704</v>
      </c>
      <c r="V41" s="31">
        <f t="shared" si="70"/>
        <v>18252010.252611585</v>
      </c>
      <c r="W41" s="31">
        <f t="shared" si="70"/>
        <v>16346424.19209186</v>
      </c>
      <c r="X41" s="31">
        <f t="shared" si="70"/>
        <v>16778646.041008376</v>
      </c>
      <c r="Y41" s="31">
        <f t="shared" si="70"/>
        <v>16193822.857722525</v>
      </c>
      <c r="Z41" s="31">
        <f t="shared" si="70"/>
        <v>15966663.405335406</v>
      </c>
      <c r="AA41" s="31">
        <f t="shared" si="70"/>
        <v>16260255.65820599</v>
      </c>
      <c r="AB41" s="31">
        <f t="shared" si="70"/>
        <v>14363375.377967712</v>
      </c>
      <c r="AC41" s="31">
        <f t="shared" si="70"/>
        <v>14591148.959941294</v>
      </c>
      <c r="AD41" s="31">
        <f t="shared" si="70"/>
        <v>14043109.700941036</v>
      </c>
      <c r="AE41" s="31">
        <f t="shared" si="70"/>
        <v>14795824.768281102</v>
      </c>
      <c r="AF41" s="31">
        <f t="shared" si="70"/>
        <v>15921396.598463265</v>
      </c>
      <c r="AG41" s="31">
        <f t="shared" si="70"/>
        <v>14168827.483639818</v>
      </c>
      <c r="AH41" s="31">
        <f t="shared" si="70"/>
        <v>11029153.243287578</v>
      </c>
      <c r="AI41" s="31">
        <f t="shared" si="70"/>
        <v>11605804.67201934</v>
      </c>
      <c r="AJ41" s="31">
        <f t="shared" si="70"/>
        <v>11719369.88664422</v>
      </c>
      <c r="AK41" s="31">
        <f t="shared" si="70"/>
        <v>12697729.3986014</v>
      </c>
      <c r="AL41" s="31">
        <f t="shared" si="70"/>
        <v>11190748.267460933</v>
      </c>
      <c r="AM41" s="31">
        <f t="shared" si="70"/>
        <v>6827172.9684883012</v>
      </c>
      <c r="AN41" s="31">
        <f t="shared" si="70"/>
        <v>4490964.8143831473</v>
      </c>
      <c r="AO41" s="31">
        <f t="shared" si="70"/>
        <v>2458692.7593024261</v>
      </c>
      <c r="AP41" s="31">
        <f t="shared" si="70"/>
        <v>897830.7541224208</v>
      </c>
      <c r="AQ41" s="31">
        <f t="shared" si="70"/>
        <v>867975.23318656662</v>
      </c>
      <c r="AR41" s="31">
        <f t="shared" si="70"/>
        <v>1088017.0513683846</v>
      </c>
      <c r="AS41" s="31">
        <f t="shared" si="70"/>
        <v>1040391.2438919105</v>
      </c>
      <c r="AT41" s="31">
        <f t="shared" si="70"/>
        <v>1791090.9445739444</v>
      </c>
      <c r="AU41" s="31">
        <f t="shared" si="70"/>
        <v>1576680.7759647761</v>
      </c>
      <c r="AV41" s="31">
        <f t="shared" si="70"/>
        <v>2192231.3352326686</v>
      </c>
      <c r="AW41" s="31">
        <f t="shared" si="70"/>
        <v>2023353.8254338254</v>
      </c>
      <c r="AX41" s="31">
        <f t="shared" si="70"/>
        <v>2323932.5279288613</v>
      </c>
      <c r="AY41" s="31">
        <f t="shared" si="70"/>
        <v>1687726.7822671155</v>
      </c>
      <c r="AZ41" s="31">
        <f t="shared" si="70"/>
        <v>2005643.9070189071</v>
      </c>
      <c r="BA41" s="31">
        <f t="shared" si="70"/>
        <v>2874745.2379349046</v>
      </c>
      <c r="BB41" s="31">
        <f t="shared" si="70"/>
        <v>1319534.6180609514</v>
      </c>
      <c r="BC41" s="31">
        <f t="shared" si="70"/>
        <v>784774.02486402483</v>
      </c>
      <c r="BD41" s="31">
        <f t="shared" si="70"/>
        <v>643523.05905205896</v>
      </c>
      <c r="BE41" s="31">
        <f t="shared" si="70"/>
        <v>595350.45566778898</v>
      </c>
      <c r="BF41" s="34">
        <f t="shared" si="70"/>
        <v>586662.25737294834</v>
      </c>
      <c r="BG41" s="34">
        <f t="shared" si="70"/>
        <v>596882.98643618904</v>
      </c>
      <c r="BH41" s="34">
        <f t="shared" si="70"/>
        <v>627838.60271284322</v>
      </c>
      <c r="BI41" s="34">
        <f t="shared" si="70"/>
        <v>565624.45473295904</v>
      </c>
      <c r="BJ41" s="34">
        <f t="shared" si="70"/>
        <v>525169.88185587246</v>
      </c>
      <c r="BK41" s="34">
        <f t="shared" si="70"/>
        <v>802246.93676964601</v>
      </c>
      <c r="BL41" s="34">
        <f t="shared" si="70"/>
        <v>1124904.663936524</v>
      </c>
      <c r="BM41" s="34">
        <f t="shared" si="70"/>
        <v>1136198.343855985</v>
      </c>
      <c r="BN41" s="34">
        <f t="shared" si="70"/>
        <v>1191476.2247562401</v>
      </c>
      <c r="BO41" s="34">
        <f t="shared" ref="BO41:DZ41" si="71">SUM(BO7:BO8)*134.47/115.83</f>
        <v>1208746.0856835917</v>
      </c>
      <c r="BP41" s="34">
        <f t="shared" si="71"/>
        <v>1275054.5457129756</v>
      </c>
      <c r="BQ41" s="34">
        <f t="shared" si="71"/>
        <v>1363220.9602686043</v>
      </c>
      <c r="BR41" s="34">
        <f t="shared" si="71"/>
        <v>1489410.5267631013</v>
      </c>
      <c r="BS41" s="34">
        <f t="shared" si="71"/>
        <v>1622151.7480738335</v>
      </c>
      <c r="BT41" s="34">
        <f t="shared" si="71"/>
        <v>1665218.8557273431</v>
      </c>
      <c r="BU41" s="34">
        <f t="shared" si="71"/>
        <v>1739271.5386281917</v>
      </c>
      <c r="BV41" s="34">
        <f t="shared" si="71"/>
        <v>1728494.6928909279</v>
      </c>
      <c r="BW41" s="34">
        <f t="shared" si="71"/>
        <v>1854037.737985722</v>
      </c>
      <c r="BX41" s="34">
        <f t="shared" si="71"/>
        <v>1907427.9499491812</v>
      </c>
      <c r="BY41" s="34">
        <f t="shared" si="71"/>
        <v>1956976.4695386922</v>
      </c>
      <c r="BZ41" s="34">
        <f t="shared" si="71"/>
        <v>2336099.4606572483</v>
      </c>
      <c r="CA41" s="34">
        <f t="shared" si="71"/>
        <v>1892775.6532448165</v>
      </c>
      <c r="CB41" s="34">
        <f t="shared" si="71"/>
        <v>1837828.7557790347</v>
      </c>
      <c r="CC41" s="34">
        <f t="shared" si="71"/>
        <v>1804778.6024666799</v>
      </c>
      <c r="CD41" s="34">
        <f t="shared" si="71"/>
        <v>1800195.5913671937</v>
      </c>
      <c r="CE41" s="34">
        <f t="shared" si="71"/>
        <v>1817316.9002196838</v>
      </c>
      <c r="CF41" s="34">
        <f t="shared" si="71"/>
        <v>1832913.6653393598</v>
      </c>
      <c r="CG41" s="34">
        <f t="shared" si="71"/>
        <v>1806113.7358593065</v>
      </c>
      <c r="CH41" s="34">
        <f t="shared" si="71"/>
        <v>1837291.7690765569</v>
      </c>
      <c r="CI41" s="34">
        <f t="shared" si="71"/>
        <v>1848501.0043822322</v>
      </c>
      <c r="CJ41" s="34">
        <f t="shared" si="71"/>
        <v>1857965.3338095441</v>
      </c>
      <c r="CK41" s="34">
        <f t="shared" si="71"/>
        <v>1874396.0252130425</v>
      </c>
      <c r="CL41" s="34">
        <f t="shared" si="71"/>
        <v>1889380.8429838871</v>
      </c>
      <c r="CM41" s="34">
        <f t="shared" si="71"/>
        <v>1906449.9181446328</v>
      </c>
      <c r="CN41" s="34">
        <f t="shared" si="71"/>
        <v>1925605.9743822287</v>
      </c>
      <c r="CO41" s="34">
        <f t="shared" si="71"/>
        <v>1982010.319699317</v>
      </c>
      <c r="CP41" s="34">
        <f t="shared" si="71"/>
        <v>2008927.2191756901</v>
      </c>
      <c r="CQ41" s="34">
        <f t="shared" si="71"/>
        <v>2026761.0810920426</v>
      </c>
      <c r="CR41" s="34">
        <f t="shared" si="71"/>
        <v>2046813.4672379198</v>
      </c>
      <c r="CS41" s="34">
        <f t="shared" si="71"/>
        <v>2069025.5158986303</v>
      </c>
      <c r="CT41" s="34">
        <f t="shared" si="71"/>
        <v>2089169.7006013126</v>
      </c>
      <c r="CU41" s="34">
        <f t="shared" si="71"/>
        <v>2110109.6849130425</v>
      </c>
      <c r="CV41" s="34">
        <f t="shared" si="71"/>
        <v>2130925.7556243092</v>
      </c>
      <c r="CW41" s="34">
        <f t="shared" si="71"/>
        <v>2151555.1313536838</v>
      </c>
      <c r="CX41" s="34">
        <f t="shared" si="71"/>
        <v>2171930.3115021382</v>
      </c>
      <c r="CY41" s="34">
        <f t="shared" si="71"/>
        <v>2192137.8706806228</v>
      </c>
      <c r="CZ41" s="34">
        <f t="shared" si="71"/>
        <v>2211831.6544578737</v>
      </c>
      <c r="DA41" s="34">
        <f t="shared" si="71"/>
        <v>2231178.7172608851</v>
      </c>
      <c r="DB41" s="34">
        <f t="shared" si="71"/>
        <v>2250143.4664477096</v>
      </c>
      <c r="DC41" s="34">
        <f t="shared" si="71"/>
        <v>2272100.124929734</v>
      </c>
      <c r="DD41" s="34">
        <f t="shared" si="71"/>
        <v>2292389.1069246167</v>
      </c>
      <c r="DE41" s="34">
        <f t="shared" si="71"/>
        <v>2312918.8447706713</v>
      </c>
      <c r="DF41" s="34">
        <f t="shared" si="71"/>
        <v>2333262.9194255397</v>
      </c>
      <c r="DG41" s="34">
        <f t="shared" si="71"/>
        <v>2353324.1419989234</v>
      </c>
      <c r="DH41" s="34">
        <f t="shared" si="71"/>
        <v>2372232.3425097237</v>
      </c>
      <c r="DI41" s="34">
        <f t="shared" si="71"/>
        <v>2392786.7496077404</v>
      </c>
      <c r="DJ41" s="34">
        <f t="shared" si="71"/>
        <v>2412512.9031774821</v>
      </c>
      <c r="DK41" s="34">
        <f t="shared" si="71"/>
        <v>2431931.4192652097</v>
      </c>
      <c r="DL41" s="34">
        <f t="shared" si="71"/>
        <v>2451126.1340265232</v>
      </c>
      <c r="DM41" s="34">
        <f t="shared" si="71"/>
        <v>2457419.3400561125</v>
      </c>
      <c r="DN41" s="34">
        <f t="shared" si="71"/>
        <v>2476156.9196333685</v>
      </c>
      <c r="DO41" s="34">
        <f t="shared" si="71"/>
        <v>2502843.3755678805</v>
      </c>
      <c r="DP41" s="34">
        <f t="shared" si="71"/>
        <v>2520878.1961848536</v>
      </c>
      <c r="DQ41" s="34">
        <f t="shared" si="71"/>
        <v>2541510.1429115958</v>
      </c>
      <c r="DR41" s="34">
        <f t="shared" si="71"/>
        <v>2561956.1888190527</v>
      </c>
      <c r="DS41" s="34">
        <f t="shared" si="71"/>
        <v>2580831.7130294493</v>
      </c>
      <c r="DT41" s="34">
        <f t="shared" si="71"/>
        <v>2600414.8128704638</v>
      </c>
      <c r="DU41" s="34">
        <f t="shared" si="71"/>
        <v>2619997.9120555846</v>
      </c>
      <c r="DV41" s="34">
        <f t="shared" si="71"/>
        <v>2639581.0117726056</v>
      </c>
      <c r="DW41" s="34">
        <f t="shared" si="71"/>
        <v>2659123.7755005187</v>
      </c>
      <c r="DX41" s="34">
        <f t="shared" si="71"/>
        <v>2679643.9783459622</v>
      </c>
      <c r="DY41" s="34">
        <f t="shared" si="71"/>
        <v>2699980.7020274019</v>
      </c>
      <c r="DZ41" s="34">
        <f t="shared" si="71"/>
        <v>2719731.2452698294</v>
      </c>
      <c r="EA41" s="34">
        <f t="shared" ref="EA41:FJ41" si="72">SUM(EA7:EA8)*134.47/115.83</f>
        <v>2740020.7320762263</v>
      </c>
      <c r="EB41" s="34">
        <f t="shared" si="72"/>
        <v>2760150.862207239</v>
      </c>
      <c r="EC41" s="34">
        <f t="shared" si="72"/>
        <v>2780134.0697901114</v>
      </c>
      <c r="ED41" s="34">
        <f t="shared" si="72"/>
        <v>2799999.4135422357</v>
      </c>
      <c r="EE41" s="34">
        <f t="shared" si="72"/>
        <v>2819611.9272545278</v>
      </c>
      <c r="EF41" s="34">
        <f t="shared" si="72"/>
        <v>2839269.284986164</v>
      </c>
      <c r="EG41" s="34">
        <f t="shared" si="72"/>
        <v>2858900.9838442565</v>
      </c>
      <c r="EH41" s="34">
        <f t="shared" si="72"/>
        <v>2878518.3861670471</v>
      </c>
      <c r="EI41" s="34">
        <f t="shared" si="72"/>
        <v>2898113.4895650637</v>
      </c>
      <c r="EJ41" s="34">
        <f t="shared" si="72"/>
        <v>2917697.623649681</v>
      </c>
      <c r="EK41" s="34">
        <f t="shared" si="72"/>
        <v>2937269.7182517508</v>
      </c>
      <c r="EL41" s="34">
        <f t="shared" si="72"/>
        <v>2956836.3033409533</v>
      </c>
      <c r="EM41" s="34">
        <f t="shared" si="72"/>
        <v>2976395.7325660465</v>
      </c>
      <c r="EN41" s="34">
        <f t="shared" si="72"/>
        <v>2995954.0504048658</v>
      </c>
      <c r="EO41" s="34">
        <f t="shared" si="72"/>
        <v>3015511.9334097286</v>
      </c>
      <c r="EP41" s="34">
        <f t="shared" si="72"/>
        <v>3035076.6004795074</v>
      </c>
      <c r="EQ41" s="34">
        <f t="shared" si="72"/>
        <v>3054644.489391373</v>
      </c>
      <c r="ER41" s="34">
        <f t="shared" si="72"/>
        <v>3074214.9888841896</v>
      </c>
      <c r="ES41" s="34">
        <f t="shared" si="72"/>
        <v>3093782.1347707552</v>
      </c>
      <c r="ET41" s="34">
        <f t="shared" si="72"/>
        <v>3113356.9655226115</v>
      </c>
      <c r="EU41" s="34">
        <f t="shared" si="72"/>
        <v>3132940.1401709719</v>
      </c>
      <c r="EV41" s="34">
        <f t="shared" si="72"/>
        <v>3152536.5507259234</v>
      </c>
      <c r="EW41" s="34">
        <f t="shared" si="72"/>
        <v>3172149.328166421</v>
      </c>
      <c r="EX41" s="34">
        <f t="shared" si="72"/>
        <v>3191781.91643795</v>
      </c>
      <c r="EY41" s="34">
        <f t="shared" si="72"/>
        <v>3211429.759676314</v>
      </c>
      <c r="EZ41" s="34">
        <f t="shared" si="72"/>
        <v>3231099.1085552373</v>
      </c>
      <c r="FA41" s="34">
        <f t="shared" si="72"/>
        <v>3250791.1523294626</v>
      </c>
      <c r="FB41" s="34">
        <f t="shared" si="72"/>
        <v>3270506.4635073319</v>
      </c>
      <c r="FC41" s="34">
        <f t="shared" si="72"/>
        <v>3290144.5398931685</v>
      </c>
      <c r="FD41" s="34">
        <f t="shared" si="72"/>
        <v>3309797.2047462044</v>
      </c>
      <c r="FE41" s="34">
        <f t="shared" si="72"/>
        <v>3329438.5022531156</v>
      </c>
      <c r="FF41" s="34">
        <f t="shared" si="72"/>
        <v>3349084.4589461032</v>
      </c>
      <c r="FG41" s="34">
        <f t="shared" si="72"/>
        <v>3368728.993814148</v>
      </c>
      <c r="FH41" s="34">
        <f t="shared" si="72"/>
        <v>3388410.8480897942</v>
      </c>
      <c r="FI41" s="34">
        <f t="shared" si="72"/>
        <v>3408085.2871387219</v>
      </c>
      <c r="FJ41" s="34">
        <f t="shared" si="72"/>
        <v>3427759.3193796519</v>
      </c>
    </row>
    <row r="42" spans="1:166" x14ac:dyDescent="0.2">
      <c r="A42" s="9" t="s">
        <v>124</v>
      </c>
      <c r="B42" s="9" t="s">
        <v>123</v>
      </c>
      <c r="C42" s="31">
        <f t="shared" ref="C42:BN42" si="73">SUM(C10:C10)</f>
        <v>21816</v>
      </c>
      <c r="D42" s="31">
        <f t="shared" si="73"/>
        <v>62215</v>
      </c>
      <c r="E42" s="31">
        <f t="shared" si="73"/>
        <v>119059</v>
      </c>
      <c r="F42" s="31">
        <f t="shared" si="73"/>
        <v>171607</v>
      </c>
      <c r="G42" s="31">
        <f t="shared" si="73"/>
        <v>220891</v>
      </c>
      <c r="H42" s="31">
        <f t="shared" si="73"/>
        <v>271183</v>
      </c>
      <c r="I42" s="31">
        <f t="shared" si="73"/>
        <v>355146</v>
      </c>
      <c r="J42" s="31">
        <f t="shared" si="73"/>
        <v>468250</v>
      </c>
      <c r="K42" s="31">
        <f t="shared" si="73"/>
        <v>575617</v>
      </c>
      <c r="L42" s="31">
        <f t="shared" si="73"/>
        <v>746463</v>
      </c>
      <c r="M42" s="31">
        <f t="shared" si="73"/>
        <v>957652</v>
      </c>
      <c r="N42" s="31">
        <f t="shared" si="73"/>
        <v>1320154</v>
      </c>
      <c r="O42" s="31">
        <f t="shared" si="73"/>
        <v>1595430</v>
      </c>
      <c r="P42" s="31">
        <f t="shared" si="73"/>
        <v>1950333</v>
      </c>
      <c r="Q42" s="31">
        <f t="shared" si="73"/>
        <v>2266455</v>
      </c>
      <c r="R42" s="31">
        <f t="shared" si="73"/>
        <v>2640450</v>
      </c>
      <c r="S42" s="31">
        <f t="shared" si="73"/>
        <v>2820481</v>
      </c>
      <c r="T42" s="31">
        <f t="shared" si="73"/>
        <v>2990668</v>
      </c>
      <c r="U42" s="31">
        <f t="shared" si="73"/>
        <v>3505519</v>
      </c>
      <c r="V42" s="31">
        <f t="shared" si="73"/>
        <v>3659158</v>
      </c>
      <c r="W42" s="31">
        <f t="shared" si="73"/>
        <v>13685872</v>
      </c>
      <c r="X42" s="31">
        <f t="shared" si="73"/>
        <v>14698286</v>
      </c>
      <c r="Y42" s="31">
        <f t="shared" si="73"/>
        <v>15068483</v>
      </c>
      <c r="Z42" s="31">
        <f t="shared" si="73"/>
        <v>16761249</v>
      </c>
      <c r="AA42" s="31">
        <f t="shared" si="73"/>
        <v>17504638</v>
      </c>
      <c r="AB42" s="31">
        <f t="shared" si="73"/>
        <v>18632213</v>
      </c>
      <c r="AC42" s="31">
        <f t="shared" si="73"/>
        <v>19000094</v>
      </c>
      <c r="AD42" s="31">
        <f t="shared" si="73"/>
        <v>20044259</v>
      </c>
      <c r="AE42" s="31">
        <f t="shared" si="73"/>
        <v>25242822</v>
      </c>
      <c r="AF42" s="31">
        <f t="shared" si="73"/>
        <v>26250263</v>
      </c>
      <c r="AG42" s="31">
        <f t="shared" si="73"/>
        <v>28140313</v>
      </c>
      <c r="AH42" s="31">
        <f t="shared" si="73"/>
        <v>29371459</v>
      </c>
      <c r="AI42" s="31">
        <f t="shared" si="73"/>
        <v>30701372</v>
      </c>
      <c r="AJ42" s="31">
        <f t="shared" si="73"/>
        <v>29567822</v>
      </c>
      <c r="AK42" s="31">
        <f t="shared" si="73"/>
        <v>30570368</v>
      </c>
      <c r="AL42" s="31">
        <f t="shared" si="73"/>
        <v>31993146</v>
      </c>
      <c r="AM42" s="31">
        <f t="shared" si="73"/>
        <v>30306143</v>
      </c>
      <c r="AN42" s="31">
        <f t="shared" si="73"/>
        <v>21464859</v>
      </c>
      <c r="AO42" s="31">
        <f t="shared" si="73"/>
        <v>25808396</v>
      </c>
      <c r="AP42" s="31">
        <f t="shared" si="73"/>
        <v>27773597</v>
      </c>
      <c r="AQ42" s="31">
        <f t="shared" si="73"/>
        <v>33907299</v>
      </c>
      <c r="AR42" s="31">
        <f t="shared" si="73"/>
        <v>37613726</v>
      </c>
      <c r="AS42" s="31">
        <f t="shared" si="73"/>
        <v>40107484</v>
      </c>
      <c r="AT42" s="31">
        <f t="shared" si="73"/>
        <v>41836291</v>
      </c>
      <c r="AU42" s="31">
        <f t="shared" si="73"/>
        <v>46667298.943521596</v>
      </c>
      <c r="AV42" s="31">
        <f t="shared" si="73"/>
        <v>53780108.553900361</v>
      </c>
      <c r="AW42" s="31">
        <f t="shared" si="73"/>
        <v>56391807</v>
      </c>
      <c r="AX42" s="31">
        <f t="shared" si="73"/>
        <v>62105823</v>
      </c>
      <c r="AY42" s="31">
        <f t="shared" si="73"/>
        <v>58942175</v>
      </c>
      <c r="AZ42" s="31">
        <f t="shared" si="73"/>
        <v>64379991</v>
      </c>
      <c r="BA42" s="31">
        <f>SUM(BA11:BA11)</f>
        <v>382422796</v>
      </c>
      <c r="BB42" s="31">
        <f>SUM(BB11:BB11)</f>
        <v>354633081</v>
      </c>
      <c r="BC42" s="31">
        <f t="shared" si="73"/>
        <v>73568494.545454547</v>
      </c>
      <c r="BD42" s="31">
        <f t="shared" si="73"/>
        <v>81038158.112665117</v>
      </c>
      <c r="BE42" s="31">
        <f t="shared" si="73"/>
        <v>85316360.665112674</v>
      </c>
      <c r="BF42" s="34">
        <f t="shared" si="73"/>
        <v>76236904.70525834</v>
      </c>
      <c r="BG42" s="34">
        <f t="shared" si="73"/>
        <v>79922134.907237008</v>
      </c>
      <c r="BH42" s="34">
        <f t="shared" si="73"/>
        <v>83769899.907956377</v>
      </c>
      <c r="BI42" s="34">
        <f t="shared" si="73"/>
        <v>87528165.839373425</v>
      </c>
      <c r="BJ42" s="34">
        <f t="shared" si="73"/>
        <v>91617580.611708805</v>
      </c>
      <c r="BK42" s="34">
        <f t="shared" si="73"/>
        <v>96370495.118606299</v>
      </c>
      <c r="BL42" s="34">
        <f t="shared" si="73"/>
        <v>100660932.11798827</v>
      </c>
      <c r="BM42" s="34">
        <f t="shared" si="73"/>
        <v>105047593.51810472</v>
      </c>
      <c r="BN42" s="34">
        <f t="shared" si="73"/>
        <v>109397863.29810877</v>
      </c>
      <c r="BO42" s="34">
        <f t="shared" ref="BO42:DZ42" si="74">SUM(BO10:BO10)</f>
        <v>113532431.98441197</v>
      </c>
      <c r="BP42" s="34">
        <f t="shared" si="74"/>
        <v>117583144.84814247</v>
      </c>
      <c r="BQ42" s="34">
        <f t="shared" si="74"/>
        <v>121871845.41903071</v>
      </c>
      <c r="BR42" s="34">
        <f t="shared" si="74"/>
        <v>126044701.49334285</v>
      </c>
      <c r="BS42" s="34">
        <f t="shared" si="74"/>
        <v>130245538.30943969</v>
      </c>
      <c r="BT42" s="34">
        <f t="shared" si="74"/>
        <v>134476418.98960203</v>
      </c>
      <c r="BU42" s="34">
        <f t="shared" si="74"/>
        <v>138732382.87016138</v>
      </c>
      <c r="BV42" s="34">
        <f t="shared" si="74"/>
        <v>143139788.81634843</v>
      </c>
      <c r="BW42" s="34">
        <f t="shared" si="74"/>
        <v>147300634.2285594</v>
      </c>
      <c r="BX42" s="34">
        <f t="shared" si="74"/>
        <v>151522127.17156762</v>
      </c>
      <c r="BY42" s="34">
        <f t="shared" si="74"/>
        <v>156162376.83196077</v>
      </c>
      <c r="BZ42" s="34">
        <f t="shared" si="74"/>
        <v>160509654.89231852</v>
      </c>
      <c r="CA42" s="34">
        <f t="shared" si="74"/>
        <v>164507272.72364196</v>
      </c>
      <c r="CB42" s="34">
        <f t="shared" si="74"/>
        <v>169119344.69548994</v>
      </c>
      <c r="CC42" s="34">
        <f t="shared" si="74"/>
        <v>173316099.15539846</v>
      </c>
      <c r="CD42" s="34">
        <f t="shared" si="74"/>
        <v>177158866.21816525</v>
      </c>
      <c r="CE42" s="34">
        <f t="shared" si="74"/>
        <v>181692206.61081937</v>
      </c>
      <c r="CF42" s="34">
        <f t="shared" si="74"/>
        <v>185873122.70338973</v>
      </c>
      <c r="CG42" s="34">
        <f t="shared" si="74"/>
        <v>190151261.3378374</v>
      </c>
      <c r="CH42" s="34">
        <f t="shared" si="74"/>
        <v>194441199.20683679</v>
      </c>
      <c r="CI42" s="34">
        <f t="shared" si="74"/>
        <v>198718232.1071763</v>
      </c>
      <c r="CJ42" s="34">
        <f t="shared" si="74"/>
        <v>202801090.22798201</v>
      </c>
      <c r="CK42" s="34">
        <f t="shared" si="74"/>
        <v>207121364.66969585</v>
      </c>
      <c r="CL42" s="34">
        <f t="shared" si="74"/>
        <v>211221850.20190775</v>
      </c>
      <c r="CM42" s="34">
        <f t="shared" si="74"/>
        <v>215773557.80051541</v>
      </c>
      <c r="CN42" s="34">
        <f t="shared" si="74"/>
        <v>220074145.0827409</v>
      </c>
      <c r="CO42" s="34">
        <f t="shared" si="74"/>
        <v>224122062.44031093</v>
      </c>
      <c r="CP42" s="34">
        <f t="shared" si="74"/>
        <v>228530649.94222561</v>
      </c>
      <c r="CQ42" s="34">
        <f t="shared" si="74"/>
        <v>232738051.45415777</v>
      </c>
      <c r="CR42" s="34">
        <f t="shared" si="74"/>
        <v>236884277.38370022</v>
      </c>
      <c r="CS42" s="34">
        <f t="shared" si="74"/>
        <v>241166072.39165831</v>
      </c>
      <c r="CT42" s="34">
        <f t="shared" si="74"/>
        <v>245412469.28766376</v>
      </c>
      <c r="CU42" s="34">
        <f t="shared" si="74"/>
        <v>249626113.38081723</v>
      </c>
      <c r="CV42" s="34">
        <f t="shared" si="74"/>
        <v>253919419.58030805</v>
      </c>
      <c r="CW42" s="34">
        <f t="shared" si="74"/>
        <v>258155722.16200036</v>
      </c>
      <c r="CX42" s="34">
        <f t="shared" si="74"/>
        <v>262407741.65848422</v>
      </c>
      <c r="CY42" s="34">
        <f t="shared" si="74"/>
        <v>266637369.49700725</v>
      </c>
      <c r="CZ42" s="34">
        <f t="shared" si="74"/>
        <v>270870381.38087255</v>
      </c>
      <c r="DA42" s="34">
        <f t="shared" si="74"/>
        <v>275504270.9201932</v>
      </c>
      <c r="DB42" s="34">
        <f t="shared" si="74"/>
        <v>279830244.64872766</v>
      </c>
      <c r="DC42" s="34">
        <f t="shared" si="74"/>
        <v>283790475.73617756</v>
      </c>
      <c r="DD42" s="34">
        <f t="shared" si="74"/>
        <v>288283975.49092603</v>
      </c>
      <c r="DE42" s="34">
        <f t="shared" si="74"/>
        <v>292459141.39709312</v>
      </c>
      <c r="DF42" s="34">
        <f t="shared" si="74"/>
        <v>296440156.06541228</v>
      </c>
      <c r="DG42" s="34">
        <f t="shared" si="74"/>
        <v>300848404.43072677</v>
      </c>
      <c r="DH42" s="34">
        <f t="shared" si="74"/>
        <v>305007980.40883797</v>
      </c>
      <c r="DI42" s="34">
        <f t="shared" si="74"/>
        <v>309302308.63306481</v>
      </c>
      <c r="DJ42" s="34">
        <f t="shared" si="74"/>
        <v>313574868.80070162</v>
      </c>
      <c r="DK42" s="34">
        <f t="shared" si="74"/>
        <v>317808288.27347797</v>
      </c>
      <c r="DL42" s="34">
        <f t="shared" si="74"/>
        <v>322036976.90385914</v>
      </c>
      <c r="DM42" s="34">
        <f t="shared" si="74"/>
        <v>326305425.82056081</v>
      </c>
      <c r="DN42" s="34">
        <f t="shared" si="74"/>
        <v>330523164.41875237</v>
      </c>
      <c r="DO42" s="34">
        <f t="shared" si="74"/>
        <v>335139092.28266579</v>
      </c>
      <c r="DP42" s="34">
        <f t="shared" si="74"/>
        <v>339476348.43129456</v>
      </c>
      <c r="DQ42" s="34">
        <f t="shared" si="74"/>
        <v>343484730.75781316</v>
      </c>
      <c r="DR42" s="34">
        <f t="shared" si="74"/>
        <v>347896604.42943603</v>
      </c>
      <c r="DS42" s="34">
        <f t="shared" si="74"/>
        <v>352070066.04628605</v>
      </c>
      <c r="DT42" s="34">
        <f t="shared" si="74"/>
        <v>356105153.30936486</v>
      </c>
      <c r="DU42" s="34">
        <f t="shared" si="74"/>
        <v>360450189.48434013</v>
      </c>
      <c r="DV42" s="34">
        <f t="shared" si="74"/>
        <v>364692071.82079941</v>
      </c>
      <c r="DW42" s="34">
        <f t="shared" si="74"/>
        <v>368921102.04905206</v>
      </c>
      <c r="DX42" s="34">
        <f t="shared" si="74"/>
        <v>373214865.78414285</v>
      </c>
      <c r="DY42" s="34">
        <f t="shared" si="74"/>
        <v>377464352.82454932</v>
      </c>
      <c r="DZ42" s="34">
        <f t="shared" si="74"/>
        <v>381711742.06585026</v>
      </c>
      <c r="EA42" s="34">
        <f t="shared" ref="EA42:FJ42" si="75">SUM(EA10:EA10)</f>
        <v>385939226.51184136</v>
      </c>
      <c r="EB42" s="34">
        <f t="shared" si="75"/>
        <v>390176003.49599451</v>
      </c>
      <c r="EC42" s="34">
        <f t="shared" si="75"/>
        <v>394787123.86201906</v>
      </c>
      <c r="ED42" s="34">
        <f t="shared" si="75"/>
        <v>399127676.60988569</v>
      </c>
      <c r="EE42" s="34">
        <f t="shared" si="75"/>
        <v>403115316.26319027</v>
      </c>
      <c r="EF42" s="34">
        <f t="shared" si="75"/>
        <v>407581483.68291634</v>
      </c>
      <c r="EG42" s="34">
        <f t="shared" si="75"/>
        <v>411736461.89305508</v>
      </c>
      <c r="EH42" s="34">
        <f t="shared" si="75"/>
        <v>415715887.72170758</v>
      </c>
      <c r="EI42" s="34">
        <f t="shared" si="75"/>
        <v>420085144.61009049</v>
      </c>
      <c r="EJ42" s="34">
        <f t="shared" si="75"/>
        <v>424303706.20170647</v>
      </c>
      <c r="EK42" s="34">
        <f t="shared" si="75"/>
        <v>428567355.51502007</v>
      </c>
      <c r="EL42" s="34">
        <f t="shared" si="75"/>
        <v>432858116.85348642</v>
      </c>
      <c r="EM42" s="34">
        <f t="shared" si="75"/>
        <v>437139516.38707209</v>
      </c>
      <c r="EN42" s="34">
        <f t="shared" si="75"/>
        <v>441365208.18978649</v>
      </c>
      <c r="EO42" s="34">
        <f t="shared" si="75"/>
        <v>445611203.00742924</v>
      </c>
      <c r="EP42" s="34">
        <f t="shared" si="75"/>
        <v>449843027.85459322</v>
      </c>
      <c r="EQ42" s="34">
        <f t="shared" si="75"/>
        <v>454467411.55852109</v>
      </c>
      <c r="ER42" s="34">
        <f t="shared" si="75"/>
        <v>458789078.05843061</v>
      </c>
      <c r="ES42" s="34">
        <f t="shared" si="75"/>
        <v>462799688.22674048</v>
      </c>
      <c r="ET42" s="34">
        <f t="shared" si="75"/>
        <v>467241974.75227726</v>
      </c>
      <c r="EU42" s="34">
        <f t="shared" si="75"/>
        <v>471401501.40238279</v>
      </c>
      <c r="EV42" s="34">
        <f t="shared" si="75"/>
        <v>475403046.71851444</v>
      </c>
      <c r="EW42" s="34">
        <f t="shared" si="75"/>
        <v>479710621.17728132</v>
      </c>
      <c r="EX42" s="34">
        <f t="shared" si="75"/>
        <v>483941778.4189865</v>
      </c>
      <c r="EY42" s="34">
        <f t="shared" si="75"/>
        <v>488234442.67594934</v>
      </c>
      <c r="EZ42" s="34">
        <f t="shared" si="75"/>
        <v>492496901.52665782</v>
      </c>
      <c r="FA42" s="34">
        <f t="shared" si="75"/>
        <v>496767713.32509369</v>
      </c>
      <c r="FB42" s="34">
        <f t="shared" si="75"/>
        <v>501057102.02552658</v>
      </c>
      <c r="FC42" s="34">
        <f t="shared" si="75"/>
        <v>505275021.94788569</v>
      </c>
      <c r="FD42" s="34">
        <f t="shared" si="75"/>
        <v>509512539.97570699</v>
      </c>
      <c r="FE42" s="34">
        <f t="shared" si="75"/>
        <v>514126638.41532403</v>
      </c>
      <c r="FF42" s="34">
        <f t="shared" si="75"/>
        <v>518467478.75224835</v>
      </c>
      <c r="FG42" s="34">
        <f t="shared" si="75"/>
        <v>522445290.22873944</v>
      </c>
      <c r="FH42" s="34">
        <f t="shared" si="75"/>
        <v>526909391.77246028</v>
      </c>
      <c r="FI42" s="34">
        <f t="shared" si="75"/>
        <v>531078647.87930709</v>
      </c>
      <c r="FJ42" s="34">
        <f t="shared" si="75"/>
        <v>535055293.9368757</v>
      </c>
    </row>
    <row r="43" spans="1:166" x14ac:dyDescent="0.2">
      <c r="A43" s="9" t="s">
        <v>75</v>
      </c>
      <c r="B43" s="9" t="s">
        <v>123</v>
      </c>
      <c r="C43" s="31">
        <f t="shared" ref="C43:BN43" si="76">SUM(C11:C11)*(81.51/115.83)</f>
        <v>250478615.7037037</v>
      </c>
      <c r="D43" s="31">
        <f t="shared" si="76"/>
        <v>272932346.33333331</v>
      </c>
      <c r="E43" s="31">
        <f t="shared" si="76"/>
        <v>273650969.96296299</v>
      </c>
      <c r="F43" s="31">
        <f t="shared" si="76"/>
        <v>251564962.51851854</v>
      </c>
      <c r="G43" s="31">
        <f t="shared" si="76"/>
        <v>260576093.22222224</v>
      </c>
      <c r="H43" s="31">
        <f t="shared" si="76"/>
        <v>263830754.51851854</v>
      </c>
      <c r="I43" s="31">
        <f t="shared" si="76"/>
        <v>257569013.18518519</v>
      </c>
      <c r="J43" s="31">
        <f t="shared" si="76"/>
        <v>255633979.2962963</v>
      </c>
      <c r="K43" s="31">
        <f t="shared" si="76"/>
        <v>259531451.4074074</v>
      </c>
      <c r="L43" s="31">
        <f t="shared" si="76"/>
        <v>251958437.74074075</v>
      </c>
      <c r="M43" s="31">
        <f t="shared" si="76"/>
        <v>274348662.62962961</v>
      </c>
      <c r="N43" s="31">
        <f t="shared" si="76"/>
        <v>254854055.33333334</v>
      </c>
      <c r="O43" s="31">
        <f t="shared" si="76"/>
        <v>246849491.14814815</v>
      </c>
      <c r="P43" s="31">
        <f t="shared" si="76"/>
        <v>256627606.81481481</v>
      </c>
      <c r="Q43" s="31">
        <f t="shared" si="76"/>
        <v>276225835.18518519</v>
      </c>
      <c r="R43" s="31">
        <f t="shared" si="76"/>
        <v>265194401.4074074</v>
      </c>
      <c r="S43" s="31">
        <f t="shared" si="76"/>
        <v>262108015.37037039</v>
      </c>
      <c r="T43" s="31">
        <f t="shared" si="76"/>
        <v>274796151.33333331</v>
      </c>
      <c r="U43" s="31">
        <f t="shared" si="76"/>
        <v>270203061.77777779</v>
      </c>
      <c r="V43" s="31">
        <f t="shared" si="76"/>
        <v>247903512.62962964</v>
      </c>
      <c r="W43" s="31">
        <f t="shared" si="76"/>
        <v>291704530</v>
      </c>
      <c r="X43" s="31">
        <f t="shared" si="76"/>
        <v>279530629.03703701</v>
      </c>
      <c r="Y43" s="31">
        <f t="shared" si="76"/>
        <v>284346490.77777779</v>
      </c>
      <c r="Z43" s="31">
        <f t="shared" si="76"/>
        <v>268637658.1111111</v>
      </c>
      <c r="AA43" s="31">
        <f t="shared" si="76"/>
        <v>265171415.62962964</v>
      </c>
      <c r="AB43" s="31">
        <f t="shared" si="76"/>
        <v>282766011.66666669</v>
      </c>
      <c r="AC43" s="31">
        <f t="shared" si="76"/>
        <v>294515900.8888889</v>
      </c>
      <c r="AD43" s="31">
        <f t="shared" si="76"/>
        <v>265850730.37037039</v>
      </c>
      <c r="AE43" s="31">
        <f t="shared" si="76"/>
        <v>268069530.66666669</v>
      </c>
      <c r="AF43" s="31">
        <f t="shared" si="76"/>
        <v>271629877.33333331</v>
      </c>
      <c r="AG43" s="31">
        <f t="shared" si="76"/>
        <v>304815877.5925926</v>
      </c>
      <c r="AH43" s="31">
        <f t="shared" si="76"/>
        <v>282014351.25925928</v>
      </c>
      <c r="AI43" s="31">
        <f t="shared" si="76"/>
        <v>249888080.22222224</v>
      </c>
      <c r="AJ43" s="31">
        <f t="shared" si="76"/>
        <v>292968698.51851851</v>
      </c>
      <c r="AK43" s="31">
        <f t="shared" si="76"/>
        <v>276481171.96296299</v>
      </c>
      <c r="AL43" s="31">
        <f t="shared" si="76"/>
        <v>276609948.33333331</v>
      </c>
      <c r="AM43" s="31">
        <f t="shared" si="76"/>
        <v>263993452.92592594</v>
      </c>
      <c r="AN43" s="31">
        <f t="shared" si="76"/>
        <v>160975714.7037037</v>
      </c>
      <c r="AO43" s="31">
        <f t="shared" si="76"/>
        <v>257359312.2962963</v>
      </c>
      <c r="AP43" s="31">
        <f t="shared" si="76"/>
        <v>231824735.8888889</v>
      </c>
      <c r="AQ43" s="31">
        <f t="shared" si="76"/>
        <v>201010698.44444445</v>
      </c>
      <c r="AR43" s="31">
        <f t="shared" si="76"/>
        <v>282939033.4074074</v>
      </c>
      <c r="AS43" s="31">
        <f t="shared" si="76"/>
        <v>266757502.55555555</v>
      </c>
      <c r="AT43" s="31">
        <f t="shared" si="76"/>
        <v>249149282.1111111</v>
      </c>
      <c r="AU43" s="31">
        <f t="shared" si="76"/>
        <v>246911243.96296296</v>
      </c>
      <c r="AV43" s="31">
        <f t="shared" si="76"/>
        <v>257738214.51851854</v>
      </c>
      <c r="AW43" s="31">
        <f t="shared" si="76"/>
        <v>270085135.81481481</v>
      </c>
      <c r="AX43" s="31">
        <f t="shared" si="76"/>
        <v>250328804.22222224</v>
      </c>
      <c r="AY43" s="31">
        <f t="shared" si="76"/>
        <v>244846133.25925925</v>
      </c>
      <c r="AZ43" s="31">
        <f t="shared" si="76"/>
        <v>208635191.55555555</v>
      </c>
      <c r="BA43" s="31">
        <f>SUM(BA12:BA12)*(81.51/115.83)</f>
        <v>47239286.222222224</v>
      </c>
      <c r="BB43" s="31">
        <f>SUM(BB12:BB12)*(81.51/115.83)</f>
        <v>51328328.296296299</v>
      </c>
      <c r="BC43" s="31">
        <f t="shared" si="76"/>
        <v>242232677.62962964</v>
      </c>
      <c r="BD43" s="31">
        <f t="shared" si="76"/>
        <v>257517216.37037039</v>
      </c>
      <c r="BE43" s="31">
        <f t="shared" si="76"/>
        <v>259145427.7037037</v>
      </c>
      <c r="BF43" s="34">
        <f t="shared" si="76"/>
        <v>250328804.22222224</v>
      </c>
      <c r="BG43" s="34">
        <f t="shared" si="76"/>
        <v>246911243.96296296</v>
      </c>
      <c r="BH43" s="34">
        <f t="shared" si="76"/>
        <v>257738214.51851854</v>
      </c>
      <c r="BI43" s="34">
        <f t="shared" si="76"/>
        <v>270085135.81481481</v>
      </c>
      <c r="BJ43" s="34">
        <f t="shared" si="76"/>
        <v>250328804.22222224</v>
      </c>
      <c r="BK43" s="34">
        <f t="shared" si="76"/>
        <v>246911243.96296296</v>
      </c>
      <c r="BL43" s="34">
        <f t="shared" si="76"/>
        <v>257738214.51851854</v>
      </c>
      <c r="BM43" s="34">
        <f t="shared" si="76"/>
        <v>270085135.81481481</v>
      </c>
      <c r="BN43" s="34">
        <f t="shared" si="76"/>
        <v>250328804.22222224</v>
      </c>
      <c r="BO43" s="34">
        <f t="shared" ref="BO43:DZ43" si="77">SUM(BO11:BO11)*(81.51/115.83)</f>
        <v>246911243.96296296</v>
      </c>
      <c r="BP43" s="34">
        <f t="shared" si="77"/>
        <v>257738214.51851854</v>
      </c>
      <c r="BQ43" s="34">
        <f t="shared" si="77"/>
        <v>270085135.81481481</v>
      </c>
      <c r="BR43" s="34">
        <f t="shared" si="77"/>
        <v>250328804.22222224</v>
      </c>
      <c r="BS43" s="34">
        <f t="shared" si="77"/>
        <v>246911243.96296296</v>
      </c>
      <c r="BT43" s="34">
        <f t="shared" si="77"/>
        <v>257738214.51851854</v>
      </c>
      <c r="BU43" s="34">
        <f t="shared" si="77"/>
        <v>270085135.81481481</v>
      </c>
      <c r="BV43" s="34">
        <f t="shared" si="77"/>
        <v>250328804.22222224</v>
      </c>
      <c r="BW43" s="34">
        <f t="shared" si="77"/>
        <v>246911243.96296296</v>
      </c>
      <c r="BX43" s="34">
        <f t="shared" si="77"/>
        <v>257738214.51851854</v>
      </c>
      <c r="BY43" s="34">
        <f t="shared" si="77"/>
        <v>270085135.81481481</v>
      </c>
      <c r="BZ43" s="34">
        <f t="shared" si="77"/>
        <v>250328804.22222224</v>
      </c>
      <c r="CA43" s="34">
        <f t="shared" si="77"/>
        <v>246911243.96296296</v>
      </c>
      <c r="CB43" s="34">
        <f t="shared" si="77"/>
        <v>257738214.51851854</v>
      </c>
      <c r="CC43" s="34">
        <f t="shared" si="77"/>
        <v>270085135.81481481</v>
      </c>
      <c r="CD43" s="34">
        <f t="shared" si="77"/>
        <v>250328804.22222224</v>
      </c>
      <c r="CE43" s="34">
        <f t="shared" si="77"/>
        <v>246911243.96296296</v>
      </c>
      <c r="CF43" s="34">
        <f t="shared" si="77"/>
        <v>257738214.51851854</v>
      </c>
      <c r="CG43" s="34">
        <f t="shared" si="77"/>
        <v>270085135.81481481</v>
      </c>
      <c r="CH43" s="34">
        <f t="shared" si="77"/>
        <v>250328804.22222224</v>
      </c>
      <c r="CI43" s="34">
        <f t="shared" si="77"/>
        <v>246911243.96296296</v>
      </c>
      <c r="CJ43" s="34">
        <f t="shared" si="77"/>
        <v>257738214.51851854</v>
      </c>
      <c r="CK43" s="34">
        <f t="shared" si="77"/>
        <v>270085135.81481481</v>
      </c>
      <c r="CL43" s="34">
        <f t="shared" si="77"/>
        <v>250328804.22222224</v>
      </c>
      <c r="CM43" s="34">
        <f t="shared" si="77"/>
        <v>246911243.96296296</v>
      </c>
      <c r="CN43" s="34">
        <f t="shared" si="77"/>
        <v>257738214.51851854</v>
      </c>
      <c r="CO43" s="34">
        <f t="shared" si="77"/>
        <v>270085135.81481481</v>
      </c>
      <c r="CP43" s="34">
        <f t="shared" si="77"/>
        <v>250328804.22222224</v>
      </c>
      <c r="CQ43" s="34">
        <f t="shared" si="77"/>
        <v>246911243.96296296</v>
      </c>
      <c r="CR43" s="34">
        <f t="shared" si="77"/>
        <v>257738214.51851854</v>
      </c>
      <c r="CS43" s="34">
        <f t="shared" si="77"/>
        <v>270085135.81481481</v>
      </c>
      <c r="CT43" s="34">
        <f t="shared" si="77"/>
        <v>250328804.22222224</v>
      </c>
      <c r="CU43" s="34">
        <f t="shared" si="77"/>
        <v>246911243.96296296</v>
      </c>
      <c r="CV43" s="34">
        <f t="shared" si="77"/>
        <v>257738214.51851854</v>
      </c>
      <c r="CW43" s="34">
        <f t="shared" si="77"/>
        <v>270085135.81481481</v>
      </c>
      <c r="CX43" s="34">
        <f t="shared" si="77"/>
        <v>250328804.22222224</v>
      </c>
      <c r="CY43" s="34">
        <f t="shared" si="77"/>
        <v>246911243.96296296</v>
      </c>
      <c r="CZ43" s="34">
        <f t="shared" si="77"/>
        <v>257738214.51851854</v>
      </c>
      <c r="DA43" s="34">
        <f t="shared" si="77"/>
        <v>270085135.81481481</v>
      </c>
      <c r="DB43" s="34">
        <f t="shared" si="77"/>
        <v>250328804.22222224</v>
      </c>
      <c r="DC43" s="34">
        <f t="shared" si="77"/>
        <v>246911243.96296296</v>
      </c>
      <c r="DD43" s="34">
        <f t="shared" si="77"/>
        <v>257738214.51851854</v>
      </c>
      <c r="DE43" s="34">
        <f t="shared" si="77"/>
        <v>270085135.81481481</v>
      </c>
      <c r="DF43" s="34">
        <f t="shared" si="77"/>
        <v>250328804.22222224</v>
      </c>
      <c r="DG43" s="34">
        <f t="shared" si="77"/>
        <v>246911243.96296296</v>
      </c>
      <c r="DH43" s="34">
        <f t="shared" si="77"/>
        <v>257738214.51851854</v>
      </c>
      <c r="DI43" s="34">
        <f t="shared" si="77"/>
        <v>270085135.81481481</v>
      </c>
      <c r="DJ43" s="34">
        <f t="shared" si="77"/>
        <v>250328804.22222224</v>
      </c>
      <c r="DK43" s="34">
        <f t="shared" si="77"/>
        <v>246911243.96296296</v>
      </c>
      <c r="DL43" s="34">
        <f t="shared" si="77"/>
        <v>257738214.51851854</v>
      </c>
      <c r="DM43" s="34">
        <f t="shared" si="77"/>
        <v>270085135.81481481</v>
      </c>
      <c r="DN43" s="34">
        <f t="shared" si="77"/>
        <v>250328804.22222224</v>
      </c>
      <c r="DO43" s="34">
        <f t="shared" si="77"/>
        <v>246911243.96296296</v>
      </c>
      <c r="DP43" s="34">
        <f t="shared" si="77"/>
        <v>257738214.51851854</v>
      </c>
      <c r="DQ43" s="34">
        <f t="shared" si="77"/>
        <v>270085135.81481481</v>
      </c>
      <c r="DR43" s="34">
        <f t="shared" si="77"/>
        <v>250328804.22222224</v>
      </c>
      <c r="DS43" s="34">
        <f t="shared" si="77"/>
        <v>246911243.96296296</v>
      </c>
      <c r="DT43" s="34">
        <f t="shared" si="77"/>
        <v>257738214.51851854</v>
      </c>
      <c r="DU43" s="34">
        <f t="shared" si="77"/>
        <v>270085135.81481481</v>
      </c>
      <c r="DV43" s="34">
        <f t="shared" si="77"/>
        <v>250328804.22222224</v>
      </c>
      <c r="DW43" s="34">
        <f t="shared" si="77"/>
        <v>246911243.96296296</v>
      </c>
      <c r="DX43" s="34">
        <f t="shared" si="77"/>
        <v>257738214.51851854</v>
      </c>
      <c r="DY43" s="34">
        <f t="shared" si="77"/>
        <v>270085135.81481481</v>
      </c>
      <c r="DZ43" s="34">
        <f t="shared" si="77"/>
        <v>270085135.81481481</v>
      </c>
      <c r="EA43" s="34">
        <f t="shared" ref="EA43:FJ43" si="78">SUM(EA11:EA11)*(81.51/115.83)</f>
        <v>246911243.96296296</v>
      </c>
      <c r="EB43" s="34">
        <f t="shared" si="78"/>
        <v>257738214.51851854</v>
      </c>
      <c r="EC43" s="34">
        <f t="shared" si="78"/>
        <v>270085135.81481481</v>
      </c>
      <c r="ED43" s="34">
        <f t="shared" si="78"/>
        <v>270085135.81481481</v>
      </c>
      <c r="EE43" s="34">
        <f t="shared" si="78"/>
        <v>246911243.96296296</v>
      </c>
      <c r="EF43" s="34">
        <f t="shared" si="78"/>
        <v>257738214.51851854</v>
      </c>
      <c r="EG43" s="34">
        <f t="shared" si="78"/>
        <v>270085135.81481481</v>
      </c>
      <c r="EH43" s="34">
        <f t="shared" si="78"/>
        <v>270085135.81481481</v>
      </c>
      <c r="EI43" s="34">
        <f t="shared" si="78"/>
        <v>246911243.96296296</v>
      </c>
      <c r="EJ43" s="34">
        <f t="shared" si="78"/>
        <v>257738214.51851854</v>
      </c>
      <c r="EK43" s="34">
        <f t="shared" si="78"/>
        <v>270085135.81481481</v>
      </c>
      <c r="EL43" s="34">
        <f t="shared" si="78"/>
        <v>270085135.81481481</v>
      </c>
      <c r="EM43" s="34">
        <f t="shared" si="78"/>
        <v>246911243.96296296</v>
      </c>
      <c r="EN43" s="34">
        <f t="shared" si="78"/>
        <v>257738214.51851854</v>
      </c>
      <c r="EO43" s="34">
        <f t="shared" si="78"/>
        <v>270085135.81481481</v>
      </c>
      <c r="EP43" s="34">
        <f t="shared" si="78"/>
        <v>270085135.81481481</v>
      </c>
      <c r="EQ43" s="34">
        <f t="shared" si="78"/>
        <v>246911243.96296296</v>
      </c>
      <c r="ER43" s="34">
        <f t="shared" si="78"/>
        <v>257738214.51851854</v>
      </c>
      <c r="ES43" s="34">
        <f t="shared" si="78"/>
        <v>270085135.81481481</v>
      </c>
      <c r="ET43" s="34">
        <f t="shared" si="78"/>
        <v>270085135.81481481</v>
      </c>
      <c r="EU43" s="34">
        <f t="shared" si="78"/>
        <v>246911243.96296296</v>
      </c>
      <c r="EV43" s="34">
        <f t="shared" si="78"/>
        <v>257738214.51851854</v>
      </c>
      <c r="EW43" s="34">
        <f t="shared" si="78"/>
        <v>270085135.81481481</v>
      </c>
      <c r="EX43" s="34">
        <f t="shared" si="78"/>
        <v>270085135.81481481</v>
      </c>
      <c r="EY43" s="34">
        <f t="shared" si="78"/>
        <v>246911243.96296296</v>
      </c>
      <c r="EZ43" s="34">
        <f t="shared" si="78"/>
        <v>257738214.51851854</v>
      </c>
      <c r="FA43" s="34">
        <f t="shared" si="78"/>
        <v>270085135.81481481</v>
      </c>
      <c r="FB43" s="34">
        <f t="shared" si="78"/>
        <v>270085135.81481481</v>
      </c>
      <c r="FC43" s="34">
        <f t="shared" si="78"/>
        <v>246911243.96296296</v>
      </c>
      <c r="FD43" s="34">
        <f t="shared" si="78"/>
        <v>257738214.51851854</v>
      </c>
      <c r="FE43" s="34">
        <f t="shared" si="78"/>
        <v>270085135.81481481</v>
      </c>
      <c r="FF43" s="34">
        <f t="shared" si="78"/>
        <v>270085135.81481481</v>
      </c>
      <c r="FG43" s="34">
        <f t="shared" si="78"/>
        <v>246911243.96296296</v>
      </c>
      <c r="FH43" s="34">
        <f t="shared" si="78"/>
        <v>257738214.51851854</v>
      </c>
      <c r="FI43" s="34">
        <f t="shared" si="78"/>
        <v>270085135.81481481</v>
      </c>
      <c r="FJ43" s="34">
        <f t="shared" si="78"/>
        <v>270085135.81481481</v>
      </c>
    </row>
    <row r="44" spans="1:166" x14ac:dyDescent="0.2">
      <c r="A44" s="9" t="s">
        <v>77</v>
      </c>
      <c r="B44" s="9" t="s">
        <v>123</v>
      </c>
      <c r="C44" s="31">
        <f t="shared" ref="C44:BN44" si="79">C13*(129.65/115.83)</f>
        <v>364074.39264439268</v>
      </c>
      <c r="D44" s="31">
        <f t="shared" si="79"/>
        <v>399521.90926357597</v>
      </c>
      <c r="E44" s="31">
        <f t="shared" si="79"/>
        <v>517375.47181213851</v>
      </c>
      <c r="F44" s="31">
        <f t="shared" si="79"/>
        <v>737695.40404040413</v>
      </c>
      <c r="G44" s="31">
        <f t="shared" si="79"/>
        <v>797211.50349650357</v>
      </c>
      <c r="H44" s="31">
        <f t="shared" si="79"/>
        <v>809521.70551670552</v>
      </c>
      <c r="I44" s="31">
        <f t="shared" si="79"/>
        <v>944359.72027972038</v>
      </c>
      <c r="J44" s="31">
        <f t="shared" si="79"/>
        <v>7315545.1830268502</v>
      </c>
      <c r="K44" s="31">
        <f t="shared" si="79"/>
        <v>9158431.0036260039</v>
      </c>
      <c r="L44" s="31">
        <f t="shared" si="79"/>
        <v>26373899.303289305</v>
      </c>
      <c r="M44" s="31">
        <f t="shared" si="79"/>
        <v>45230749.139255807</v>
      </c>
      <c r="N44" s="31">
        <f t="shared" si="79"/>
        <v>50128263.058361396</v>
      </c>
      <c r="O44" s="31">
        <f t="shared" si="79"/>
        <v>28958845.847794183</v>
      </c>
      <c r="P44" s="31">
        <f t="shared" si="79"/>
        <v>29850018.063109733</v>
      </c>
      <c r="Q44" s="31">
        <f t="shared" si="79"/>
        <v>40840586.126651131</v>
      </c>
      <c r="R44" s="31">
        <f t="shared" si="79"/>
        <v>26659254.666321333</v>
      </c>
      <c r="S44" s="31">
        <f t="shared" si="79"/>
        <v>30287227.233877234</v>
      </c>
      <c r="T44" s="31">
        <f t="shared" si="79"/>
        <v>45641505.590952262</v>
      </c>
      <c r="U44" s="31">
        <f t="shared" si="79"/>
        <v>57270275.583613917</v>
      </c>
      <c r="V44" s="31">
        <f t="shared" si="79"/>
        <v>51662141.31744799</v>
      </c>
      <c r="W44" s="31">
        <f t="shared" si="79"/>
        <v>48873010.853837527</v>
      </c>
      <c r="X44" s="31">
        <f t="shared" si="79"/>
        <v>84744621.655874997</v>
      </c>
      <c r="Y44" s="31">
        <f t="shared" si="79"/>
        <v>71464217.221790567</v>
      </c>
      <c r="Z44" s="31">
        <f t="shared" si="79"/>
        <v>81094145.304756969</v>
      </c>
      <c r="AA44" s="31">
        <f t="shared" si="79"/>
        <v>76897466.70033671</v>
      </c>
      <c r="AB44" s="31">
        <f t="shared" si="79"/>
        <v>105442576.48579817</v>
      </c>
      <c r="AC44" s="31">
        <f t="shared" si="79"/>
        <v>106815973.27419494</v>
      </c>
      <c r="AD44" s="31">
        <f t="shared" si="79"/>
        <v>86333568.984718993</v>
      </c>
      <c r="AE44" s="31">
        <f t="shared" si="79"/>
        <v>105159009.78459813</v>
      </c>
      <c r="AF44" s="31">
        <f t="shared" si="79"/>
        <v>112478316.97789866</v>
      </c>
      <c r="AG44" s="31">
        <f t="shared" si="79"/>
        <v>89249979.863161534</v>
      </c>
      <c r="AH44" s="31">
        <f t="shared" si="79"/>
        <v>122443080.76491411</v>
      </c>
      <c r="AI44" s="31">
        <f t="shared" si="79"/>
        <v>178623329.26228094</v>
      </c>
      <c r="AJ44" s="31">
        <f t="shared" si="79"/>
        <v>179435663.80082881</v>
      </c>
      <c r="AK44" s="31">
        <f t="shared" si="79"/>
        <v>149114730.70102736</v>
      </c>
      <c r="AL44" s="31">
        <f t="shared" si="79"/>
        <v>184438666.23413625</v>
      </c>
      <c r="AM44" s="31">
        <f t="shared" si="79"/>
        <v>146600286.31097299</v>
      </c>
      <c r="AN44" s="31">
        <f t="shared" si="79"/>
        <v>170129430.90175259</v>
      </c>
      <c r="AO44" s="31">
        <f t="shared" si="79"/>
        <v>156785184.22429425</v>
      </c>
      <c r="AP44" s="31">
        <f t="shared" si="79"/>
        <v>185750514.2510576</v>
      </c>
      <c r="AQ44" s="31">
        <f t="shared" si="79"/>
        <v>222843715.04489338</v>
      </c>
      <c r="AR44" s="31">
        <f t="shared" si="79"/>
        <v>244889672.81403783</v>
      </c>
      <c r="AS44" s="31">
        <f t="shared" si="79"/>
        <v>280110797.2291289</v>
      </c>
      <c r="AT44" s="31">
        <f t="shared" si="79"/>
        <v>305436802.61806095</v>
      </c>
      <c r="AU44" s="31">
        <f t="shared" si="79"/>
        <v>358641204.72804976</v>
      </c>
      <c r="AV44" s="31">
        <f t="shared" si="79"/>
        <v>390913618.25563329</v>
      </c>
      <c r="AW44" s="31">
        <f t="shared" si="79"/>
        <v>394277652.39100409</v>
      </c>
      <c r="AX44" s="31">
        <f t="shared" si="79"/>
        <v>416540264.34300268</v>
      </c>
      <c r="AY44" s="31">
        <f t="shared" si="79"/>
        <v>453074106.48104984</v>
      </c>
      <c r="AZ44" s="31">
        <f t="shared" si="79"/>
        <v>538613614.82776487</v>
      </c>
      <c r="BA44" s="31">
        <f>BA14*(129.65/115.83)</f>
        <v>4676230.2585685924</v>
      </c>
      <c r="BB44" s="31">
        <f>BB14*(129.65/115.83)</f>
        <v>8132987.1458171466</v>
      </c>
      <c r="BC44" s="31">
        <f t="shared" si="79"/>
        <v>580113067.63619101</v>
      </c>
      <c r="BD44" s="31">
        <f t="shared" si="79"/>
        <v>674946862.45661747</v>
      </c>
      <c r="BE44" s="31">
        <f t="shared" si="79"/>
        <v>729856515.20979023</v>
      </c>
      <c r="BF44" s="34">
        <f t="shared" si="79"/>
        <v>641612930.79240072</v>
      </c>
      <c r="BG44" s="34">
        <f t="shared" si="79"/>
        <v>494055819.26210588</v>
      </c>
      <c r="BH44" s="34">
        <f t="shared" si="79"/>
        <v>501506558.81901276</v>
      </c>
      <c r="BI44" s="34">
        <f t="shared" si="79"/>
        <v>649361151.23578382</v>
      </c>
      <c r="BJ44" s="34">
        <f t="shared" si="79"/>
        <v>596028744.07214117</v>
      </c>
      <c r="BK44" s="34">
        <f t="shared" si="79"/>
        <v>487172723.28771311</v>
      </c>
      <c r="BL44" s="34">
        <f t="shared" si="79"/>
        <v>539156750.89498854</v>
      </c>
      <c r="BM44" s="34">
        <f t="shared" si="79"/>
        <v>561310949.6166265</v>
      </c>
      <c r="BN44" s="34">
        <f t="shared" si="79"/>
        <v>664395170.73822284</v>
      </c>
      <c r="BO44" s="34">
        <f t="shared" ref="BO44:DZ44" si="80">BO13*(129.65/115.83)</f>
        <v>524344739.94619006</v>
      </c>
      <c r="BP44" s="34">
        <f t="shared" si="80"/>
        <v>582084387.90804696</v>
      </c>
      <c r="BQ44" s="34">
        <f t="shared" si="80"/>
        <v>603694801.75302577</v>
      </c>
      <c r="BR44" s="34">
        <f t="shared" si="80"/>
        <v>723786352.97522175</v>
      </c>
      <c r="BS44" s="34">
        <f t="shared" si="80"/>
        <v>489699039.68228608</v>
      </c>
      <c r="BT44" s="34">
        <f t="shared" si="80"/>
        <v>537065257.85731149</v>
      </c>
      <c r="BU44" s="34">
        <f t="shared" si="80"/>
        <v>581181599.48728657</v>
      </c>
      <c r="BV44" s="34">
        <f t="shared" si="80"/>
        <v>685354631.92849302</v>
      </c>
      <c r="BW44" s="34">
        <f t="shared" si="80"/>
        <v>494348912.38777447</v>
      </c>
      <c r="BX44" s="34">
        <f t="shared" si="80"/>
        <v>540621265.03375626</v>
      </c>
      <c r="BY44" s="34">
        <f t="shared" si="80"/>
        <v>584905278.42346692</v>
      </c>
      <c r="BZ44" s="34">
        <f t="shared" si="80"/>
        <v>688433026.4566946</v>
      </c>
      <c r="CA44" s="34">
        <f t="shared" si="80"/>
        <v>512540029.80361652</v>
      </c>
      <c r="CB44" s="34">
        <f t="shared" si="80"/>
        <v>562652106.48981869</v>
      </c>
      <c r="CC44" s="34">
        <f t="shared" si="80"/>
        <v>589792399.02059698</v>
      </c>
      <c r="CD44" s="34">
        <f t="shared" si="80"/>
        <v>723607323.61563361</v>
      </c>
      <c r="CE44" s="34">
        <f t="shared" si="80"/>
        <v>546631369.31759763</v>
      </c>
      <c r="CF44" s="34">
        <f t="shared" si="80"/>
        <v>608070051.77857554</v>
      </c>
      <c r="CG44" s="34">
        <f t="shared" si="80"/>
        <v>579866248.86920965</v>
      </c>
      <c r="CH44" s="34">
        <f t="shared" si="80"/>
        <v>783602236.75641084</v>
      </c>
      <c r="CI44" s="34">
        <f t="shared" si="80"/>
        <v>633517032.72446132</v>
      </c>
      <c r="CJ44" s="34">
        <f t="shared" si="80"/>
        <v>713717229.08772767</v>
      </c>
      <c r="CK44" s="34">
        <f t="shared" si="80"/>
        <v>533304614.04860151</v>
      </c>
      <c r="CL44" s="34">
        <f t="shared" si="80"/>
        <v>928210941.42542398</v>
      </c>
      <c r="CM44" s="34">
        <f t="shared" si="80"/>
        <v>630950135.37449265</v>
      </c>
      <c r="CN44" s="34">
        <f t="shared" si="80"/>
        <v>710062126.19446981</v>
      </c>
      <c r="CO44" s="34">
        <f t="shared" si="80"/>
        <v>546367846.33012164</v>
      </c>
      <c r="CP44" s="34">
        <f t="shared" si="80"/>
        <v>923678960.35022569</v>
      </c>
      <c r="CQ44" s="34">
        <f t="shared" si="80"/>
        <v>616095974.72904444</v>
      </c>
      <c r="CR44" s="34">
        <f t="shared" si="80"/>
        <v>691431784.79322743</v>
      </c>
      <c r="CS44" s="34">
        <f t="shared" si="80"/>
        <v>548146979.4969213</v>
      </c>
      <c r="CT44" s="34">
        <f t="shared" si="80"/>
        <v>897884631.89823496</v>
      </c>
      <c r="CU44" s="34">
        <f t="shared" si="80"/>
        <v>668628093.69856083</v>
      </c>
      <c r="CV44" s="34">
        <f t="shared" si="80"/>
        <v>762741433.97275603</v>
      </c>
      <c r="CW44" s="34">
        <f t="shared" si="80"/>
        <v>532181848.32488519</v>
      </c>
      <c r="CX44" s="34">
        <f t="shared" si="80"/>
        <v>981547405.89219356</v>
      </c>
      <c r="CY44" s="34">
        <f t="shared" si="80"/>
        <v>700959054.45751488</v>
      </c>
      <c r="CZ44" s="34">
        <f t="shared" si="80"/>
        <v>799301789.24926865</v>
      </c>
      <c r="DA44" s="34">
        <f t="shared" si="80"/>
        <v>518147318.27458537</v>
      </c>
      <c r="DB44" s="34">
        <f t="shared" si="80"/>
        <v>1040482753.8208551</v>
      </c>
      <c r="DC44" s="34">
        <f t="shared" si="80"/>
        <v>781674544.52971661</v>
      </c>
      <c r="DD44" s="34">
        <f t="shared" si="80"/>
        <v>898126950.05623996</v>
      </c>
      <c r="DE44" s="34">
        <f t="shared" si="80"/>
        <v>483712165.15939981</v>
      </c>
      <c r="DF44" s="34">
        <f t="shared" si="80"/>
        <v>1176977582.7321496</v>
      </c>
      <c r="DG44" s="34">
        <f t="shared" si="80"/>
        <v>852959803.80876446</v>
      </c>
      <c r="DH44" s="34">
        <f t="shared" si="80"/>
        <v>985367517.88924825</v>
      </c>
      <c r="DI44" s="34">
        <f t="shared" si="80"/>
        <v>454704604.43333626</v>
      </c>
      <c r="DJ44" s="34">
        <f t="shared" si="80"/>
        <v>1297122596.1569986</v>
      </c>
      <c r="DK44" s="34">
        <f t="shared" si="80"/>
        <v>855432544.60228896</v>
      </c>
      <c r="DL44" s="34">
        <f t="shared" si="80"/>
        <v>988502040.31424356</v>
      </c>
      <c r="DM44" s="34">
        <f t="shared" si="80"/>
        <v>454550008.30165309</v>
      </c>
      <c r="DN44" s="34">
        <f t="shared" si="80"/>
        <v>1300719481.896543</v>
      </c>
      <c r="DO44" s="34">
        <f t="shared" si="80"/>
        <v>763607873.88028157</v>
      </c>
      <c r="DP44" s="34">
        <f t="shared" si="80"/>
        <v>874923712.53497422</v>
      </c>
      <c r="DQ44" s="34">
        <f t="shared" si="80"/>
        <v>491242843.50599867</v>
      </c>
      <c r="DR44" s="34">
        <f t="shared" si="80"/>
        <v>1144564931.3430004</v>
      </c>
      <c r="DS44" s="34">
        <f t="shared" si="80"/>
        <v>1144564931.3430004</v>
      </c>
      <c r="DT44" s="34">
        <f t="shared" si="80"/>
        <v>1144564931.3430004</v>
      </c>
      <c r="DU44" s="34">
        <f t="shared" si="80"/>
        <v>1144564931.3430004</v>
      </c>
      <c r="DV44" s="34">
        <f t="shared" si="80"/>
        <v>1144564931.3430004</v>
      </c>
      <c r="DW44" s="34">
        <f t="shared" si="80"/>
        <v>1144564931.3430004</v>
      </c>
      <c r="DX44" s="34">
        <f t="shared" si="80"/>
        <v>1144564931.3430004</v>
      </c>
      <c r="DY44" s="34">
        <f t="shared" si="80"/>
        <v>1144564931.3430004</v>
      </c>
      <c r="DZ44" s="34">
        <f t="shared" si="80"/>
        <v>1144564931.3430004</v>
      </c>
      <c r="EA44" s="34">
        <f t="shared" ref="EA44:FJ44" si="81">EA13*(129.65/115.83)</f>
        <v>1144564931.3430004</v>
      </c>
      <c r="EB44" s="34">
        <f t="shared" si="81"/>
        <v>1144564931.3430004</v>
      </c>
      <c r="EC44" s="34">
        <f t="shared" si="81"/>
        <v>1144564931.3430004</v>
      </c>
      <c r="ED44" s="34">
        <f t="shared" si="81"/>
        <v>1144564931.3430004</v>
      </c>
      <c r="EE44" s="34">
        <f t="shared" si="81"/>
        <v>1144564931.3430004</v>
      </c>
      <c r="EF44" s="34">
        <f t="shared" si="81"/>
        <v>1144564931.3430004</v>
      </c>
      <c r="EG44" s="34">
        <f t="shared" si="81"/>
        <v>1144564931.3430004</v>
      </c>
      <c r="EH44" s="34">
        <f t="shared" si="81"/>
        <v>1144564931.3430004</v>
      </c>
      <c r="EI44" s="34">
        <f t="shared" si="81"/>
        <v>1144564931.3430004</v>
      </c>
      <c r="EJ44" s="34">
        <f t="shared" si="81"/>
        <v>1144564931.3430004</v>
      </c>
      <c r="EK44" s="34">
        <f t="shared" si="81"/>
        <v>1144564931.3430004</v>
      </c>
      <c r="EL44" s="34">
        <f t="shared" si="81"/>
        <v>1144564931.3430004</v>
      </c>
      <c r="EM44" s="34">
        <f t="shared" si="81"/>
        <v>1144564931.3430004</v>
      </c>
      <c r="EN44" s="34">
        <f t="shared" si="81"/>
        <v>1144564931.3430004</v>
      </c>
      <c r="EO44" s="34">
        <f t="shared" si="81"/>
        <v>1144564931.3430004</v>
      </c>
      <c r="EP44" s="34">
        <f t="shared" si="81"/>
        <v>1144564931.3430004</v>
      </c>
      <c r="EQ44" s="34">
        <f t="shared" si="81"/>
        <v>1144564931.3430004</v>
      </c>
      <c r="ER44" s="34">
        <f t="shared" si="81"/>
        <v>1144564931.3430004</v>
      </c>
      <c r="ES44" s="34">
        <f t="shared" si="81"/>
        <v>1144564931.3430004</v>
      </c>
      <c r="ET44" s="34">
        <f t="shared" si="81"/>
        <v>1144564931.3430004</v>
      </c>
      <c r="EU44" s="34">
        <f t="shared" si="81"/>
        <v>1144564931.3430004</v>
      </c>
      <c r="EV44" s="34">
        <f t="shared" si="81"/>
        <v>1144564931.3430004</v>
      </c>
      <c r="EW44" s="34">
        <f t="shared" si="81"/>
        <v>1144564931.3430004</v>
      </c>
      <c r="EX44" s="34">
        <f t="shared" si="81"/>
        <v>1144564931.3430004</v>
      </c>
      <c r="EY44" s="34">
        <f t="shared" si="81"/>
        <v>1144564931.3430004</v>
      </c>
      <c r="EZ44" s="34">
        <f t="shared" si="81"/>
        <v>1144564931.3430004</v>
      </c>
      <c r="FA44" s="34">
        <f t="shared" si="81"/>
        <v>1144564931.3430004</v>
      </c>
      <c r="FB44" s="34">
        <f t="shared" si="81"/>
        <v>1144564931.3430004</v>
      </c>
      <c r="FC44" s="34">
        <f t="shared" si="81"/>
        <v>1144564931.3430004</v>
      </c>
      <c r="FD44" s="34">
        <f t="shared" si="81"/>
        <v>1144564931.3430004</v>
      </c>
      <c r="FE44" s="34">
        <f t="shared" si="81"/>
        <v>1144564931.3430004</v>
      </c>
      <c r="FF44" s="34">
        <f t="shared" si="81"/>
        <v>1144564931.3430004</v>
      </c>
      <c r="FG44" s="34">
        <f t="shared" si="81"/>
        <v>1144564931.3430004</v>
      </c>
      <c r="FH44" s="34">
        <f t="shared" si="81"/>
        <v>1144564931.3430004</v>
      </c>
      <c r="FI44" s="34">
        <f t="shared" si="81"/>
        <v>1144564931.3430004</v>
      </c>
      <c r="FJ44" s="34">
        <f t="shared" si="81"/>
        <v>1144564931.3430004</v>
      </c>
    </row>
    <row r="45" spans="1:166" x14ac:dyDescent="0.2">
      <c r="A45" s="9" t="s">
        <v>149</v>
      </c>
      <c r="B45" s="9" t="s">
        <v>123</v>
      </c>
      <c r="C45" s="31">
        <f t="shared" ref="C45:BN45" si="82">C9+(C14*(126.37/115.83))+(C15*(122.37/115.83))+(C16*(89.63/115.83))</f>
        <v>0</v>
      </c>
      <c r="D45" s="31">
        <f t="shared" si="82"/>
        <v>0</v>
      </c>
      <c r="E45" s="31">
        <f t="shared" si="82"/>
        <v>0</v>
      </c>
      <c r="F45" s="31">
        <f t="shared" si="82"/>
        <v>0</v>
      </c>
      <c r="G45" s="31">
        <f t="shared" si="82"/>
        <v>0</v>
      </c>
      <c r="H45" s="31">
        <f t="shared" si="82"/>
        <v>0</v>
      </c>
      <c r="I45" s="31">
        <f t="shared" si="82"/>
        <v>0</v>
      </c>
      <c r="J45" s="31">
        <f t="shared" si="82"/>
        <v>0</v>
      </c>
      <c r="K45" s="31">
        <f t="shared" si="82"/>
        <v>0</v>
      </c>
      <c r="L45" s="31">
        <f t="shared" si="82"/>
        <v>0</v>
      </c>
      <c r="M45" s="31">
        <f t="shared" si="82"/>
        <v>0</v>
      </c>
      <c r="N45" s="31">
        <f t="shared" si="82"/>
        <v>0</v>
      </c>
      <c r="O45" s="31">
        <f t="shared" si="82"/>
        <v>0</v>
      </c>
      <c r="P45" s="31">
        <f t="shared" si="82"/>
        <v>0</v>
      </c>
      <c r="Q45" s="31">
        <f t="shared" si="82"/>
        <v>0</v>
      </c>
      <c r="R45" s="31">
        <f t="shared" si="82"/>
        <v>0</v>
      </c>
      <c r="S45" s="31">
        <f t="shared" si="82"/>
        <v>0</v>
      </c>
      <c r="T45" s="31">
        <f t="shared" si="82"/>
        <v>0</v>
      </c>
      <c r="U45" s="31">
        <f t="shared" si="82"/>
        <v>2364</v>
      </c>
      <c r="V45" s="31">
        <f t="shared" si="82"/>
        <v>1113</v>
      </c>
      <c r="W45" s="31">
        <f t="shared" si="82"/>
        <v>1519</v>
      </c>
      <c r="X45" s="31">
        <f t="shared" si="82"/>
        <v>1255</v>
      </c>
      <c r="Y45" s="31">
        <f t="shared" si="82"/>
        <v>41</v>
      </c>
      <c r="Z45" s="31">
        <f t="shared" si="82"/>
        <v>88</v>
      </c>
      <c r="AA45" s="31">
        <f t="shared" si="82"/>
        <v>43492</v>
      </c>
      <c r="AB45" s="31">
        <f t="shared" si="82"/>
        <v>63903</v>
      </c>
      <c r="AC45" s="31">
        <f t="shared" si="82"/>
        <v>76453</v>
      </c>
      <c r="AD45" s="31">
        <f t="shared" si="82"/>
        <v>84347</v>
      </c>
      <c r="AE45" s="31">
        <f t="shared" si="82"/>
        <v>113659</v>
      </c>
      <c r="AF45" s="31">
        <f t="shared" si="82"/>
        <v>133239</v>
      </c>
      <c r="AG45" s="31">
        <f t="shared" si="82"/>
        <v>142747</v>
      </c>
      <c r="AH45" s="31">
        <f t="shared" si="82"/>
        <v>349572.01036001038</v>
      </c>
      <c r="AI45" s="31">
        <f t="shared" si="82"/>
        <v>499500.71043771046</v>
      </c>
      <c r="AJ45" s="31">
        <f t="shared" si="82"/>
        <v>2520982.937235604</v>
      </c>
      <c r="AK45" s="31">
        <f t="shared" si="82"/>
        <v>2604904.8475351809</v>
      </c>
      <c r="AL45" s="31">
        <f t="shared" si="82"/>
        <v>2537208.993265993</v>
      </c>
      <c r="AM45" s="31">
        <f t="shared" si="82"/>
        <v>5655388.3708883701</v>
      </c>
      <c r="AN45" s="31">
        <f t="shared" si="82"/>
        <v>8684451.5194681846</v>
      </c>
      <c r="AO45" s="31">
        <f t="shared" si="82"/>
        <v>10482643.435638435</v>
      </c>
      <c r="AP45" s="31">
        <f t="shared" si="82"/>
        <v>8267803.8161098156</v>
      </c>
      <c r="AQ45" s="31">
        <f t="shared" si="82"/>
        <v>11500819.981697315</v>
      </c>
      <c r="AR45" s="31">
        <f t="shared" si="82"/>
        <v>14933266.210308209</v>
      </c>
      <c r="AS45" s="31">
        <f t="shared" si="82"/>
        <v>12921867.938357938</v>
      </c>
      <c r="AT45" s="31">
        <f t="shared" si="82"/>
        <v>14606037.218596218</v>
      </c>
      <c r="AU45" s="31">
        <f t="shared" si="82"/>
        <v>13401108.213070879</v>
      </c>
      <c r="AV45" s="31">
        <f t="shared" si="82"/>
        <v>20010585.687645689</v>
      </c>
      <c r="AW45" s="31">
        <f t="shared" si="82"/>
        <v>14999873.510662176</v>
      </c>
      <c r="AX45" s="31">
        <f t="shared" si="82"/>
        <v>13273941.881809549</v>
      </c>
      <c r="AY45" s="31">
        <f t="shared" si="82"/>
        <v>17373229.195458859</v>
      </c>
      <c r="AZ45" s="31">
        <f t="shared" si="82"/>
        <v>23653039.228869896</v>
      </c>
      <c r="BA45" s="31">
        <f>BA9+(BA15*(126.37/115.83))+(BA16*(122.37/115.83))+(BA17*(89.63/115.83))</f>
        <v>2438594297.6449103</v>
      </c>
      <c r="BB45" s="31">
        <f>BB9+(BB15*(126.37/115.83))+(BB16*(122.37/115.83))+(BB17*(89.63/115.83))</f>
        <v>2348258430.2978501</v>
      </c>
      <c r="BC45" s="31">
        <f t="shared" si="82"/>
        <v>27532982.415177416</v>
      </c>
      <c r="BD45" s="31">
        <f t="shared" si="82"/>
        <v>41359165.241819911</v>
      </c>
      <c r="BE45" s="31">
        <f t="shared" si="82"/>
        <v>40037391.617801949</v>
      </c>
      <c r="BF45" s="34">
        <f t="shared" si="82"/>
        <v>23799225.530588124</v>
      </c>
      <c r="BG45" s="34">
        <f t="shared" si="82"/>
        <v>45179182.670699663</v>
      </c>
      <c r="BH45" s="34">
        <f t="shared" si="82"/>
        <v>49556207.767627418</v>
      </c>
      <c r="BI45" s="34">
        <f t="shared" si="82"/>
        <v>62759559.912140116</v>
      </c>
      <c r="BJ45" s="34">
        <f t="shared" si="82"/>
        <v>31902020.695084643</v>
      </c>
      <c r="BK45" s="34">
        <f t="shared" si="82"/>
        <v>124271146.71386094</v>
      </c>
      <c r="BL45" s="34">
        <f t="shared" si="82"/>
        <v>140877817.11153048</v>
      </c>
      <c r="BM45" s="34">
        <f t="shared" si="82"/>
        <v>190702449.78880477</v>
      </c>
      <c r="BN45" s="34">
        <f t="shared" si="82"/>
        <v>60833793.340874523</v>
      </c>
      <c r="BO45" s="34">
        <f t="shared" ref="BO45:DZ45" si="83">BO9+(BO14*(126.37/115.83))+(BO15*(122.37/115.83))+(BO16*(89.63/115.83))</f>
        <v>302956412.27234608</v>
      </c>
      <c r="BP45" s="34">
        <f t="shared" si="83"/>
        <v>347594903.89447552</v>
      </c>
      <c r="BQ45" s="34">
        <f t="shared" si="83"/>
        <v>473881653.09936953</v>
      </c>
      <c r="BR45" s="34">
        <f t="shared" si="83"/>
        <v>125934059.06363663</v>
      </c>
      <c r="BS45" s="34">
        <f t="shared" si="83"/>
        <v>393636021.80513543</v>
      </c>
      <c r="BT45" s="34">
        <f t="shared" si="83"/>
        <v>451809182.82917488</v>
      </c>
      <c r="BU45" s="34">
        <f t="shared" si="83"/>
        <v>615718625.03272176</v>
      </c>
      <c r="BV45" s="34">
        <f t="shared" si="83"/>
        <v>158987966.72099552</v>
      </c>
      <c r="BW45" s="34">
        <f t="shared" si="83"/>
        <v>469140007.4911052</v>
      </c>
      <c r="BX45" s="34">
        <f t="shared" si="83"/>
        <v>539224586.25126827</v>
      </c>
      <c r="BY45" s="34">
        <f t="shared" si="83"/>
        <v>735506673.68359876</v>
      </c>
      <c r="BZ45" s="34">
        <f t="shared" si="83"/>
        <v>185034107.63159633</v>
      </c>
      <c r="CA45" s="34">
        <f t="shared" si="83"/>
        <v>596552880.28701556</v>
      </c>
      <c r="CB45" s="34">
        <f t="shared" si="83"/>
        <v>682429389.33437347</v>
      </c>
      <c r="CC45" s="34">
        <f t="shared" si="83"/>
        <v>930459147.94793427</v>
      </c>
      <c r="CD45" s="34">
        <f t="shared" si="83"/>
        <v>230842618.63019067</v>
      </c>
      <c r="CE45" s="34">
        <f t="shared" si="83"/>
        <v>656358106.63648963</v>
      </c>
      <c r="CF45" s="34">
        <f t="shared" si="83"/>
        <v>751061891.0344882</v>
      </c>
      <c r="CG45" s="34">
        <f>CG9+(CG14*(126.37/115.83))+(CG15*(122.37/115.83))+(CG16*(89.63/115.83))</f>
        <v>1024337725.6994683</v>
      </c>
      <c r="CH45" s="34">
        <f t="shared" si="83"/>
        <v>254949218.94785121</v>
      </c>
      <c r="CI45" s="34">
        <f t="shared" si="83"/>
        <v>819038947.04177082</v>
      </c>
      <c r="CJ45" s="34">
        <f t="shared" si="83"/>
        <v>936448882.02304769</v>
      </c>
      <c r="CK45" s="34">
        <f t="shared" si="83"/>
        <v>1277569815.8041179</v>
      </c>
      <c r="CL45" s="34">
        <f t="shared" si="83"/>
        <v>313466574.4213047</v>
      </c>
      <c r="CM45" s="34">
        <f t="shared" si="83"/>
        <v>876302864.5128957</v>
      </c>
      <c r="CN45" s="34">
        <f t="shared" si="83"/>
        <v>1002718747.3673499</v>
      </c>
      <c r="CO45" s="34">
        <f t="shared" si="83"/>
        <v>1367988722.9545934</v>
      </c>
      <c r="CP45" s="34">
        <f t="shared" si="83"/>
        <v>335405450.57326293</v>
      </c>
      <c r="CQ45" s="34">
        <f t="shared" si="83"/>
        <v>961316664.82588744</v>
      </c>
      <c r="CR45" s="34">
        <f t="shared" si="83"/>
        <v>1099048849.8552659</v>
      </c>
      <c r="CS45" s="34">
        <f t="shared" si="83"/>
        <v>1499116279.1081896</v>
      </c>
      <c r="CT45" s="34">
        <f t="shared" si="83"/>
        <v>366931983.66211236</v>
      </c>
      <c r="CU45" s="34">
        <f t="shared" si="83"/>
        <v>1007659135.4554157</v>
      </c>
      <c r="CV45" s="34">
        <f t="shared" si="83"/>
        <v>1151512765.7864103</v>
      </c>
      <c r="CW45" s="34">
        <f t="shared" si="83"/>
        <v>1570628342.0863008</v>
      </c>
      <c r="CX45" s="34">
        <f t="shared" si="83"/>
        <v>384270260.6232841</v>
      </c>
      <c r="CY45" s="34">
        <f t="shared" si="83"/>
        <v>744389879.13934624</v>
      </c>
      <c r="CZ45" s="34">
        <f t="shared" si="83"/>
        <v>850738522.28552115</v>
      </c>
      <c r="DA45" s="34">
        <f t="shared" si="83"/>
        <v>1159874964.7316945</v>
      </c>
      <c r="DB45" s="34">
        <f t="shared" si="83"/>
        <v>290056280.0695132</v>
      </c>
      <c r="DC45" s="34">
        <f t="shared" si="83"/>
        <v>772249176.50722826</v>
      </c>
      <c r="DD45" s="34">
        <f t="shared" si="83"/>
        <v>882486257.23097706</v>
      </c>
      <c r="DE45" s="34">
        <f t="shared" si="83"/>
        <v>1203236083.4766014</v>
      </c>
      <c r="DF45" s="34">
        <f t="shared" si="83"/>
        <v>300354716.58374208</v>
      </c>
      <c r="DG45" s="34">
        <f t="shared" si="83"/>
        <v>808335578.11262929</v>
      </c>
      <c r="DH45" s="34">
        <f t="shared" si="83"/>
        <v>923596530.00192106</v>
      </c>
      <c r="DI45" s="34">
        <f t="shared" si="83"/>
        <v>1259468459.2828426</v>
      </c>
      <c r="DJ45" s="34">
        <f t="shared" si="83"/>
        <v>313392487.53894591</v>
      </c>
      <c r="DK45" s="34">
        <f t="shared" si="83"/>
        <v>801150492.49195588</v>
      </c>
      <c r="DL45" s="34">
        <f t="shared" si="83"/>
        <v>915073033.86084211</v>
      </c>
      <c r="DM45" s="34">
        <f t="shared" si="83"/>
        <v>1247707150.2548978</v>
      </c>
      <c r="DN45" s="34">
        <f t="shared" si="83"/>
        <v>311633455.55446726</v>
      </c>
      <c r="DO45" s="34">
        <f t="shared" si="83"/>
        <v>879726897.11880696</v>
      </c>
      <c r="DP45" s="34">
        <f t="shared" si="83"/>
        <v>1004416855.7899723</v>
      </c>
      <c r="DQ45" s="34">
        <f t="shared" si="83"/>
        <v>1369176270.4291387</v>
      </c>
      <c r="DR45" s="34">
        <f t="shared" si="83"/>
        <v>342025130.61942649</v>
      </c>
      <c r="DS45" s="34">
        <f t="shared" si="83"/>
        <v>342046665.81471032</v>
      </c>
      <c r="DT45" s="34">
        <f t="shared" si="83"/>
        <v>342068201.00999409</v>
      </c>
      <c r="DU45" s="34">
        <f t="shared" si="83"/>
        <v>342089736.20527786</v>
      </c>
      <c r="DV45" s="34">
        <f t="shared" si="83"/>
        <v>342111271.40056163</v>
      </c>
      <c r="DW45" s="34">
        <f t="shared" si="83"/>
        <v>342132806.5958454</v>
      </c>
      <c r="DX45" s="34">
        <f t="shared" si="83"/>
        <v>342154341.79112923</v>
      </c>
      <c r="DY45" s="34">
        <f t="shared" si="83"/>
        <v>342175876.98247087</v>
      </c>
      <c r="DZ45" s="34">
        <f t="shared" si="83"/>
        <v>342197407.78180927</v>
      </c>
      <c r="EA45" s="34">
        <f t="shared" ref="EA45:FJ45" si="84">EA9+(EA14*(126.37/115.83))+(EA15*(122.37/115.83))+(EA16*(89.63/115.83))</f>
        <v>342218936.54322463</v>
      </c>
      <c r="EB45" s="34">
        <f t="shared" si="84"/>
        <v>342240474.90445691</v>
      </c>
      <c r="EC45" s="34">
        <f t="shared" si="84"/>
        <v>342262080.75349921</v>
      </c>
      <c r="ED45" s="34">
        <f t="shared" si="84"/>
        <v>342283615.50570029</v>
      </c>
      <c r="EE45" s="34">
        <f t="shared" si="84"/>
        <v>342305100.46280766</v>
      </c>
      <c r="EF45" s="34">
        <f t="shared" si="84"/>
        <v>342326631.14248121</v>
      </c>
      <c r="EG45" s="34">
        <f t="shared" si="84"/>
        <v>342348180.71990937</v>
      </c>
      <c r="EH45" s="34">
        <f t="shared" si="84"/>
        <v>342369711.15610844</v>
      </c>
      <c r="EI45" s="34">
        <f t="shared" si="84"/>
        <v>342391248.30944788</v>
      </c>
      <c r="EJ45" s="34">
        <f t="shared" si="84"/>
        <v>342412783.30038071</v>
      </c>
      <c r="EK45" s="34">
        <f t="shared" si="84"/>
        <v>342434320.35541916</v>
      </c>
      <c r="EL45" s="34">
        <f t="shared" si="84"/>
        <v>342455856.89414728</v>
      </c>
      <c r="EM45" s="34">
        <f t="shared" si="84"/>
        <v>342477393.0974564</v>
      </c>
      <c r="EN45" s="34">
        <f t="shared" si="84"/>
        <v>342498929.09248513</v>
      </c>
      <c r="EO45" s="34">
        <f t="shared" si="84"/>
        <v>342520463.71537393</v>
      </c>
      <c r="EP45" s="34">
        <f t="shared" si="84"/>
        <v>342541999.64763081</v>
      </c>
      <c r="EQ45" s="34">
        <f t="shared" si="84"/>
        <v>342563535.93497449</v>
      </c>
      <c r="ER45" s="34">
        <f t="shared" si="84"/>
        <v>342585071.88396662</v>
      </c>
      <c r="ES45" s="34">
        <f t="shared" si="84"/>
        <v>342606607.8897568</v>
      </c>
      <c r="ET45" s="34">
        <f t="shared" si="84"/>
        <v>342628144.21740746</v>
      </c>
      <c r="EU45" s="34">
        <f t="shared" si="84"/>
        <v>342649680.258452</v>
      </c>
      <c r="EV45" s="34">
        <f t="shared" si="84"/>
        <v>342671216.49884188</v>
      </c>
      <c r="EW45" s="34">
        <f t="shared" si="84"/>
        <v>342692752.75520873</v>
      </c>
      <c r="EX45" s="34">
        <f t="shared" si="84"/>
        <v>342714289.02750385</v>
      </c>
      <c r="EY45" s="34">
        <f t="shared" si="84"/>
        <v>342735825.31200653</v>
      </c>
      <c r="EZ45" s="34">
        <f t="shared" si="84"/>
        <v>342757361.60632861</v>
      </c>
      <c r="FA45" s="34">
        <f t="shared" si="84"/>
        <v>342778899.52361035</v>
      </c>
      <c r="FB45" s="34">
        <f t="shared" si="84"/>
        <v>342800435.9616816</v>
      </c>
      <c r="FC45" s="34">
        <f t="shared" si="84"/>
        <v>342821972.37494737</v>
      </c>
      <c r="FD45" s="34">
        <f t="shared" si="84"/>
        <v>342843508.75546879</v>
      </c>
      <c r="FE45" s="34">
        <f t="shared" si="84"/>
        <v>342865045.09456784</v>
      </c>
      <c r="FF45" s="34">
        <f t="shared" si="84"/>
        <v>342886581.38278252</v>
      </c>
      <c r="FG45" s="34">
        <f t="shared" si="84"/>
        <v>342908117.6098206</v>
      </c>
      <c r="FH45" s="34">
        <f t="shared" si="84"/>
        <v>342929653.76451129</v>
      </c>
      <c r="FI45" s="34">
        <f t="shared" si="84"/>
        <v>342951189.83475608</v>
      </c>
      <c r="FJ45" s="34">
        <f t="shared" si="84"/>
        <v>342972725.80747724</v>
      </c>
    </row>
    <row r="46" spans="1:166" x14ac:dyDescent="0.2">
      <c r="C46" s="43">
        <v>2011.1</v>
      </c>
      <c r="D46" s="43">
        <v>2011.2</v>
      </c>
      <c r="E46" s="43">
        <v>2011.3</v>
      </c>
      <c r="F46" s="43">
        <v>2011.4</v>
      </c>
      <c r="G46" s="43">
        <v>2012.1</v>
      </c>
      <c r="H46" s="43">
        <v>2012.2</v>
      </c>
      <c r="I46" s="43">
        <v>2012.3</v>
      </c>
      <c r="J46" s="43">
        <v>2012.4</v>
      </c>
      <c r="K46" s="43">
        <v>2013.1</v>
      </c>
      <c r="L46" s="43">
        <v>2013.2</v>
      </c>
      <c r="M46" s="43">
        <v>2013.1</v>
      </c>
      <c r="N46" s="43">
        <v>2013.31</v>
      </c>
      <c r="O46" s="43">
        <v>2014.1</v>
      </c>
      <c r="P46" s="43">
        <v>2014.2</v>
      </c>
      <c r="Q46" s="43">
        <v>2014.3</v>
      </c>
      <c r="R46" s="43">
        <v>2014.4</v>
      </c>
      <c r="S46" s="43">
        <v>2015.1</v>
      </c>
      <c r="T46" s="43">
        <v>2015.2</v>
      </c>
      <c r="U46" s="43">
        <v>2015.3</v>
      </c>
      <c r="V46" s="43">
        <v>2015.4</v>
      </c>
      <c r="W46" s="43">
        <v>2016.1</v>
      </c>
      <c r="X46" s="43">
        <v>2016.2</v>
      </c>
      <c r="Y46" s="43">
        <v>2016.3</v>
      </c>
      <c r="Z46" s="43">
        <v>2016.4</v>
      </c>
      <c r="AA46" s="43">
        <v>2017.1</v>
      </c>
      <c r="AB46" s="43">
        <v>2017.2</v>
      </c>
      <c r="AC46" s="43">
        <v>2017.3</v>
      </c>
      <c r="AD46" s="43">
        <v>2017.4</v>
      </c>
      <c r="AE46" s="43">
        <v>2018.1</v>
      </c>
      <c r="AF46" s="43">
        <v>2018.2</v>
      </c>
      <c r="AG46" s="43">
        <v>2018.3</v>
      </c>
      <c r="AH46" s="43">
        <v>2018.4</v>
      </c>
      <c r="AI46" s="43">
        <v>2019.1</v>
      </c>
      <c r="AJ46" s="43">
        <v>2019.2</v>
      </c>
      <c r="AK46" s="43">
        <v>2019.3</v>
      </c>
      <c r="AL46" s="43">
        <v>2019.4</v>
      </c>
      <c r="AM46" s="43">
        <v>2020.1</v>
      </c>
      <c r="AN46" s="43">
        <v>2020.2</v>
      </c>
      <c r="AO46" s="43">
        <v>2020.3</v>
      </c>
      <c r="AP46" s="43">
        <v>2020.4</v>
      </c>
      <c r="AQ46" s="43">
        <v>2021.1</v>
      </c>
      <c r="AR46" s="43">
        <v>2021.2</v>
      </c>
      <c r="AS46" s="43">
        <v>2021.3</v>
      </c>
      <c r="AT46" s="43">
        <v>2021.4</v>
      </c>
      <c r="AU46" s="43">
        <v>2022.1</v>
      </c>
      <c r="AV46" s="43">
        <v>2022.2</v>
      </c>
      <c r="AW46" s="43">
        <v>2022.3</v>
      </c>
      <c r="AX46" s="43">
        <v>2022.4</v>
      </c>
      <c r="AY46" s="43">
        <v>2022.5</v>
      </c>
      <c r="AZ46" s="43">
        <v>2022.6</v>
      </c>
      <c r="BA46" s="43">
        <v>2022.7</v>
      </c>
      <c r="BB46" s="43">
        <v>2022.8</v>
      </c>
    </row>
    <row r="47" spans="1:166" ht="15" x14ac:dyDescent="0.25">
      <c r="A47" s="8" t="s">
        <v>150</v>
      </c>
      <c r="C47" s="44">
        <v>40603</v>
      </c>
      <c r="D47" s="44">
        <v>40695</v>
      </c>
      <c r="E47" s="44">
        <v>40787</v>
      </c>
      <c r="F47" s="44">
        <v>40878</v>
      </c>
      <c r="G47" s="44">
        <v>40969</v>
      </c>
      <c r="H47" s="44">
        <v>41061</v>
      </c>
      <c r="I47" s="44">
        <v>41153</v>
      </c>
      <c r="J47" s="44">
        <v>41244</v>
      </c>
      <c r="K47" s="44">
        <v>41334</v>
      </c>
      <c r="L47" s="44">
        <v>41426</v>
      </c>
      <c r="M47" s="44">
        <v>41518</v>
      </c>
      <c r="N47" s="44">
        <v>41609</v>
      </c>
      <c r="O47" s="44">
        <v>41699</v>
      </c>
      <c r="P47" s="44">
        <v>41791</v>
      </c>
      <c r="Q47" s="44">
        <v>41883</v>
      </c>
      <c r="R47" s="44">
        <v>41974</v>
      </c>
      <c r="S47" s="44">
        <v>42064</v>
      </c>
      <c r="T47" s="44">
        <v>42156</v>
      </c>
      <c r="U47" s="44">
        <v>42248</v>
      </c>
      <c r="V47" s="44">
        <v>42339</v>
      </c>
      <c r="W47" s="44">
        <v>42430</v>
      </c>
      <c r="X47" s="44">
        <v>42522</v>
      </c>
      <c r="Y47" s="44">
        <v>42614</v>
      </c>
      <c r="Z47" s="44">
        <v>42705</v>
      </c>
      <c r="AA47" s="44">
        <v>42795</v>
      </c>
      <c r="AB47" s="44">
        <v>42887</v>
      </c>
      <c r="AC47" s="44">
        <v>42979</v>
      </c>
      <c r="AD47" s="44">
        <v>43070</v>
      </c>
      <c r="AE47" s="44">
        <v>43160</v>
      </c>
      <c r="AF47" s="44">
        <v>43252</v>
      </c>
      <c r="AG47" s="44">
        <v>43344</v>
      </c>
      <c r="AH47" s="44">
        <v>43435</v>
      </c>
      <c r="AI47" s="44">
        <v>43525</v>
      </c>
      <c r="AJ47" s="44">
        <v>43617</v>
      </c>
      <c r="AK47" s="44">
        <v>43709</v>
      </c>
      <c r="AL47" s="44">
        <v>43800</v>
      </c>
      <c r="AM47" s="44">
        <v>43891</v>
      </c>
      <c r="AN47" s="44">
        <v>43983</v>
      </c>
      <c r="AO47" s="44">
        <v>44075</v>
      </c>
      <c r="AP47" s="44">
        <v>44166</v>
      </c>
      <c r="AQ47" s="44">
        <v>44256</v>
      </c>
      <c r="AR47" s="44">
        <v>44348</v>
      </c>
      <c r="AS47" s="44">
        <v>44440</v>
      </c>
      <c r="AT47" s="44">
        <v>44531</v>
      </c>
      <c r="AU47" s="44">
        <v>44621</v>
      </c>
      <c r="AV47" s="44">
        <v>44713</v>
      </c>
      <c r="AW47" s="44">
        <v>44805</v>
      </c>
      <c r="AX47" s="44">
        <v>44896</v>
      </c>
      <c r="AY47" s="44">
        <v>44986</v>
      </c>
      <c r="AZ47" s="44">
        <v>45078</v>
      </c>
      <c r="BA47" s="44">
        <v>45170</v>
      </c>
      <c r="BB47" s="44">
        <v>45261</v>
      </c>
      <c r="BC47" s="44">
        <v>45352</v>
      </c>
      <c r="BD47" s="44">
        <v>45444</v>
      </c>
      <c r="BE47" s="44">
        <v>45536</v>
      </c>
      <c r="BF47" s="44">
        <v>45627</v>
      </c>
      <c r="BG47" s="44">
        <v>45717</v>
      </c>
      <c r="BH47" s="44">
        <v>45809</v>
      </c>
      <c r="BI47" s="44">
        <v>45901</v>
      </c>
      <c r="BJ47" s="44">
        <v>45992</v>
      </c>
      <c r="BK47" s="44">
        <v>46082</v>
      </c>
      <c r="BL47" s="44">
        <v>46174</v>
      </c>
      <c r="BM47" s="44">
        <v>46266</v>
      </c>
      <c r="BN47" s="44">
        <v>46357</v>
      </c>
      <c r="BO47" s="44">
        <v>46447</v>
      </c>
      <c r="BP47" s="44">
        <v>46539</v>
      </c>
      <c r="BQ47" s="44">
        <v>46631</v>
      </c>
      <c r="BR47" s="44">
        <v>46722</v>
      </c>
      <c r="BS47" s="44">
        <v>46813</v>
      </c>
      <c r="BT47" s="44">
        <v>46905</v>
      </c>
      <c r="BU47" s="44">
        <v>46997</v>
      </c>
      <c r="BV47" s="44">
        <v>47088</v>
      </c>
      <c r="BW47" s="44">
        <v>47178</v>
      </c>
      <c r="BX47" s="44">
        <v>47270</v>
      </c>
      <c r="BY47" s="44">
        <v>47362</v>
      </c>
      <c r="BZ47" s="44">
        <v>47453</v>
      </c>
      <c r="CA47" s="44">
        <v>47543</v>
      </c>
      <c r="CB47" s="44">
        <v>47635</v>
      </c>
      <c r="CC47" s="44">
        <v>47727</v>
      </c>
      <c r="CD47" s="44">
        <v>47818</v>
      </c>
      <c r="CE47" s="44">
        <v>47908</v>
      </c>
      <c r="CF47" s="44">
        <v>48000</v>
      </c>
      <c r="CG47" s="44">
        <v>48092</v>
      </c>
      <c r="CH47" s="44">
        <v>48183</v>
      </c>
      <c r="CI47" s="44">
        <v>48274</v>
      </c>
      <c r="CJ47" s="44">
        <v>48366</v>
      </c>
      <c r="CK47" s="44">
        <v>48458</v>
      </c>
      <c r="CL47" s="44">
        <v>48549</v>
      </c>
      <c r="CM47" s="44">
        <v>48639</v>
      </c>
      <c r="CN47" s="44">
        <v>48731</v>
      </c>
      <c r="CO47" s="44">
        <v>48823</v>
      </c>
      <c r="CP47" s="44">
        <v>48914</v>
      </c>
      <c r="CQ47" s="44">
        <v>49004</v>
      </c>
      <c r="CR47" s="44">
        <v>49096</v>
      </c>
      <c r="CS47" s="44">
        <v>49188</v>
      </c>
      <c r="CT47" s="44">
        <v>49279</v>
      </c>
      <c r="CU47" s="44">
        <v>49369</v>
      </c>
      <c r="CV47" s="44">
        <v>49461</v>
      </c>
      <c r="CW47" s="44">
        <v>49553</v>
      </c>
      <c r="CX47" s="44">
        <v>49644</v>
      </c>
      <c r="CY47" s="44">
        <v>49735</v>
      </c>
      <c r="CZ47" s="44">
        <v>49827</v>
      </c>
      <c r="DA47" s="44">
        <v>49919</v>
      </c>
      <c r="DB47" s="44">
        <v>50010</v>
      </c>
      <c r="DC47" s="44">
        <v>50100</v>
      </c>
      <c r="DD47" s="44">
        <v>50192</v>
      </c>
      <c r="DE47" s="44">
        <v>50284</v>
      </c>
      <c r="DF47" s="44">
        <v>50375</v>
      </c>
      <c r="DG47" s="44">
        <v>50465</v>
      </c>
      <c r="DH47" s="44">
        <v>50557</v>
      </c>
      <c r="DI47" s="44">
        <v>50649</v>
      </c>
      <c r="DJ47" s="44">
        <v>50740</v>
      </c>
      <c r="DK47" s="44">
        <v>50830</v>
      </c>
      <c r="DL47" s="44">
        <v>50922</v>
      </c>
      <c r="DM47" s="44">
        <v>51014</v>
      </c>
      <c r="DN47" s="44">
        <v>51105</v>
      </c>
      <c r="DO47" s="44">
        <v>51196</v>
      </c>
      <c r="DP47" s="44">
        <v>51288</v>
      </c>
      <c r="DQ47" s="44">
        <v>51380</v>
      </c>
      <c r="DR47" s="44">
        <v>51471</v>
      </c>
      <c r="DS47" s="44">
        <v>51561</v>
      </c>
      <c r="DT47" s="44">
        <v>51653</v>
      </c>
      <c r="DU47" s="44">
        <v>51745</v>
      </c>
      <c r="DV47" s="44">
        <v>51836</v>
      </c>
      <c r="DW47" s="44">
        <v>51926</v>
      </c>
      <c r="DX47" s="44">
        <v>52018</v>
      </c>
      <c r="DY47" s="44">
        <v>52110</v>
      </c>
      <c r="DZ47" s="44">
        <v>52201</v>
      </c>
      <c r="EA47" s="44">
        <v>52291</v>
      </c>
      <c r="EB47" s="44">
        <v>52383</v>
      </c>
      <c r="EC47" s="44">
        <v>52475</v>
      </c>
      <c r="ED47" s="44">
        <v>52566</v>
      </c>
      <c r="EE47" s="44">
        <v>52657</v>
      </c>
      <c r="EF47" s="44">
        <v>52749</v>
      </c>
      <c r="EG47" s="44">
        <v>52841</v>
      </c>
      <c r="EH47" s="44">
        <v>52932</v>
      </c>
      <c r="EI47" s="44">
        <v>53022</v>
      </c>
      <c r="EJ47" s="44">
        <v>53114</v>
      </c>
      <c r="EK47" s="44">
        <v>53206</v>
      </c>
      <c r="EL47" s="44">
        <v>53297</v>
      </c>
      <c r="EM47" s="44">
        <v>53387</v>
      </c>
      <c r="EN47" s="44">
        <v>53479</v>
      </c>
      <c r="EO47" s="44">
        <v>53571</v>
      </c>
      <c r="EP47" s="44">
        <v>53662</v>
      </c>
      <c r="EQ47" s="44">
        <v>53752</v>
      </c>
      <c r="ER47" s="44">
        <v>53844</v>
      </c>
      <c r="ES47" s="44">
        <v>53936</v>
      </c>
      <c r="ET47" s="44">
        <v>54027</v>
      </c>
      <c r="EU47" s="44">
        <v>54118</v>
      </c>
      <c r="EV47" s="44">
        <v>54210</v>
      </c>
      <c r="EW47" s="44">
        <v>54302</v>
      </c>
      <c r="EX47" s="44">
        <v>54393</v>
      </c>
      <c r="EY47" s="44">
        <v>54483</v>
      </c>
      <c r="EZ47" s="44">
        <v>54575</v>
      </c>
      <c r="FA47" s="44">
        <v>54667</v>
      </c>
      <c r="FB47" s="44">
        <v>54758</v>
      </c>
      <c r="FC47" s="44">
        <v>54848</v>
      </c>
      <c r="FD47" s="44">
        <v>54940</v>
      </c>
      <c r="FE47" s="44">
        <v>55032</v>
      </c>
      <c r="FF47" s="44">
        <v>55123</v>
      </c>
      <c r="FG47" s="44">
        <v>55213</v>
      </c>
      <c r="FH47" s="44">
        <v>55305</v>
      </c>
      <c r="FI47" s="44">
        <v>55397</v>
      </c>
      <c r="FJ47" s="44">
        <v>55488</v>
      </c>
    </row>
    <row r="48" spans="1:166" x14ac:dyDescent="0.2">
      <c r="A48" s="9" t="s">
        <v>87</v>
      </c>
      <c r="C48" s="9" t="str">
        <f>'Qrtly Credit-Deficit Generation'!C21</f>
        <v>2011Q1</v>
      </c>
      <c r="D48" s="9" t="str">
        <f>'Qrtly Credit-Deficit Generation'!D21</f>
        <v>Q2</v>
      </c>
      <c r="E48" s="9" t="str">
        <f>'Qrtly Credit-Deficit Generation'!E21</f>
        <v>Q3</v>
      </c>
      <c r="F48" s="9" t="str">
        <f>'Qrtly Credit-Deficit Generation'!F21</f>
        <v>Q4</v>
      </c>
      <c r="G48" s="9" t="str">
        <f>'Qrtly Credit-Deficit Generation'!G21</f>
        <v>2012Q1</v>
      </c>
      <c r="H48" s="9" t="str">
        <f>'Qrtly Credit-Deficit Generation'!H21</f>
        <v>Q2</v>
      </c>
      <c r="I48" s="9" t="str">
        <f>'Qrtly Credit-Deficit Generation'!I21</f>
        <v>Q3</v>
      </c>
      <c r="J48" s="9" t="str">
        <f>'Qrtly Credit-Deficit Generation'!J21</f>
        <v>Q4</v>
      </c>
      <c r="K48" s="9" t="str">
        <f>'Qrtly Credit-Deficit Generation'!K21</f>
        <v>2013Q1</v>
      </c>
      <c r="L48" s="9" t="str">
        <f>'Qrtly Credit-Deficit Generation'!L21</f>
        <v>Q2</v>
      </c>
      <c r="M48" s="9" t="str">
        <f>'Qrtly Credit-Deficit Generation'!M21</f>
        <v>Q3</v>
      </c>
      <c r="N48" s="9" t="str">
        <f>'Qrtly Credit-Deficit Generation'!N21</f>
        <v>Q4</v>
      </c>
      <c r="O48" s="9" t="str">
        <f>'Qrtly Credit-Deficit Generation'!O21</f>
        <v>2014Q1</v>
      </c>
      <c r="P48" s="9" t="str">
        <f>'Qrtly Credit-Deficit Generation'!P21</f>
        <v>Q2</v>
      </c>
      <c r="Q48" s="9" t="str">
        <f>'Qrtly Credit-Deficit Generation'!Q21</f>
        <v>Q3</v>
      </c>
      <c r="R48" s="9" t="str">
        <f>'Qrtly Credit-Deficit Generation'!R21</f>
        <v>Q4</v>
      </c>
      <c r="S48" s="9" t="str">
        <f>'Qrtly Credit-Deficit Generation'!S21</f>
        <v>2015Q1</v>
      </c>
      <c r="T48" s="9" t="str">
        <f>'Qrtly Credit-Deficit Generation'!T21</f>
        <v>Q2</v>
      </c>
      <c r="U48" s="9" t="str">
        <f>'Qrtly Credit-Deficit Generation'!U21</f>
        <v>Q3</v>
      </c>
      <c r="V48" s="9" t="str">
        <f>'Qrtly Credit-Deficit Generation'!V21</f>
        <v>Q4</v>
      </c>
      <c r="W48" s="9" t="str">
        <f>'Qrtly Credit-Deficit Generation'!W21</f>
        <v>2016Q1</v>
      </c>
      <c r="X48" s="9" t="str">
        <f>'Qrtly Credit-Deficit Generation'!X21</f>
        <v>Q2</v>
      </c>
      <c r="Y48" s="9" t="str">
        <f>'Qrtly Credit-Deficit Generation'!Y21</f>
        <v>Q3</v>
      </c>
      <c r="Z48" s="9" t="str">
        <f>'Qrtly Credit-Deficit Generation'!Z21</f>
        <v>Q4</v>
      </c>
      <c r="AA48" s="9" t="str">
        <f>'Qrtly Credit-Deficit Generation'!AA21</f>
        <v>2017Q1</v>
      </c>
      <c r="AB48" s="9" t="str">
        <f>'Qrtly Credit-Deficit Generation'!AB21</f>
        <v>Q2</v>
      </c>
      <c r="AC48" s="9" t="str">
        <f>'Qrtly Credit-Deficit Generation'!AC21</f>
        <v>Q3</v>
      </c>
      <c r="AD48" s="9" t="str">
        <f>'Qrtly Credit-Deficit Generation'!AD21</f>
        <v>Q4</v>
      </c>
      <c r="AE48" s="9" t="str">
        <f>'Qrtly Credit-Deficit Generation'!AE21</f>
        <v>2018Q1</v>
      </c>
      <c r="AF48" s="9" t="str">
        <f>'Qrtly Credit-Deficit Generation'!AF21</f>
        <v>Q2</v>
      </c>
      <c r="AG48" s="9" t="str">
        <f>'Qrtly Credit-Deficit Generation'!AG21</f>
        <v>Q3</v>
      </c>
      <c r="AH48" s="9" t="str">
        <f>'Qrtly Credit-Deficit Generation'!AH21</f>
        <v>Q4</v>
      </c>
      <c r="AI48" s="9" t="str">
        <f>'Qrtly Credit-Deficit Generation'!AI21</f>
        <v>2019Q1</v>
      </c>
      <c r="AJ48" s="9" t="str">
        <f>'Qrtly Credit-Deficit Generation'!AJ21</f>
        <v>Q2</v>
      </c>
      <c r="AK48" s="9" t="str">
        <f>'Qrtly Credit-Deficit Generation'!AK21</f>
        <v>Q3</v>
      </c>
      <c r="AL48" s="9" t="str">
        <f>'Qrtly Credit-Deficit Generation'!AL21</f>
        <v>Q4</v>
      </c>
      <c r="AM48" s="9" t="str">
        <f>'Qrtly Credit-Deficit Generation'!AM21</f>
        <v>2020Q1</v>
      </c>
      <c r="AN48" s="9" t="str">
        <f>'Qrtly Credit-Deficit Generation'!AN21</f>
        <v>Q2</v>
      </c>
      <c r="AO48" s="9" t="str">
        <f>'Qrtly Credit-Deficit Generation'!AO21</f>
        <v>Q3</v>
      </c>
      <c r="AP48" s="9" t="str">
        <f>'Qrtly Credit-Deficit Generation'!AP21</f>
        <v>Q4</v>
      </c>
      <c r="AQ48" s="9" t="str">
        <f>'Qrtly Credit-Deficit Generation'!AQ21</f>
        <v>2021Q1</v>
      </c>
      <c r="AR48" s="9" t="str">
        <f>'Qrtly Credit-Deficit Generation'!AR21</f>
        <v>Q2</v>
      </c>
      <c r="AS48" s="9" t="str">
        <f>AS4</f>
        <v>Q3</v>
      </c>
      <c r="AT48" s="9" t="str">
        <f>AT4</f>
        <v>Q4</v>
      </c>
      <c r="AU48" s="9" t="str">
        <f>'Qrtly Credit-Deficit Generation'!AU21</f>
        <v>2022Q1</v>
      </c>
      <c r="AV48" s="9" t="str">
        <f>'Qrtly Credit-Deficit Generation'!AV21</f>
        <v>Q2</v>
      </c>
      <c r="AW48" s="9" t="str">
        <f>'Qrtly Credit-Deficit Generation'!AW21</f>
        <v>Q3</v>
      </c>
      <c r="AX48" s="9" t="str">
        <f>'Qrtly Credit-Deficit Generation'!AX21</f>
        <v>Q4</v>
      </c>
      <c r="AY48" s="9" t="str">
        <f>'Qrtly Credit-Deficit Generation'!AY21</f>
        <v>2023Q1</v>
      </c>
      <c r="AZ48" s="9" t="str">
        <f>'Qrtly Credit-Deficit Generation'!AZ21</f>
        <v>Q2</v>
      </c>
      <c r="BA48" s="9" t="str">
        <f>BA4</f>
        <v>Q3</v>
      </c>
      <c r="BB48" s="9" t="str">
        <f>BB4</f>
        <v>Q4</v>
      </c>
      <c r="BC48" s="9" t="str">
        <f>'Qrtly Credit-Deficit Generation'!BC21</f>
        <v>2024Q1</v>
      </c>
      <c r="BD48" s="9" t="str">
        <f>'Qrtly Credit-Deficit Generation'!BD21</f>
        <v>Q2</v>
      </c>
      <c r="BE48" s="9" t="str">
        <f>'Qrtly Credit-Deficit Generation'!BE21</f>
        <v>Q3</v>
      </c>
      <c r="BF48" s="9" t="str">
        <f>'Qrtly Credit-Deficit Generation'!BF21</f>
        <v>Q4</v>
      </c>
      <c r="BG48" s="9" t="str">
        <f>'Qrtly Credit-Deficit Generation'!BG21</f>
        <v>2025Q1</v>
      </c>
      <c r="BH48" s="9" t="str">
        <f>'Qrtly Credit-Deficit Generation'!BH21</f>
        <v>Q2</v>
      </c>
      <c r="BI48" s="9" t="str">
        <f>BE4</f>
        <v>Q3</v>
      </c>
      <c r="BJ48" s="9" t="str">
        <f>BF4</f>
        <v>Q4</v>
      </c>
      <c r="BK48" s="9" t="str">
        <f>'Qrtly Credit-Deficit Generation'!BK21</f>
        <v>2026Q1</v>
      </c>
      <c r="BL48" s="9" t="str">
        <f>'Qrtly Credit-Deficit Generation'!BL21</f>
        <v>Q2</v>
      </c>
      <c r="BM48" s="9" t="str">
        <f>'Qrtly Credit-Deficit Generation'!BM21</f>
        <v>Q3</v>
      </c>
      <c r="BN48" s="9" t="str">
        <f>'Qrtly Credit-Deficit Generation'!BN21</f>
        <v>Q4</v>
      </c>
      <c r="BO48" s="9" t="str">
        <f>'Qrtly Credit-Deficit Generation'!BO21</f>
        <v>2027Q1</v>
      </c>
      <c r="BP48" s="9" t="str">
        <f>'Qrtly Credit-Deficit Generation'!BP21</f>
        <v>Q2</v>
      </c>
      <c r="BQ48" s="9" t="str">
        <f>BM4</f>
        <v>Q3</v>
      </c>
      <c r="BR48" s="9" t="str">
        <f>BN4</f>
        <v>Q4</v>
      </c>
      <c r="BS48" s="9" t="str">
        <f>'Qrtly Credit-Deficit Generation'!BS21</f>
        <v>2028Q1</v>
      </c>
      <c r="BT48" s="9" t="str">
        <f>'Qrtly Credit-Deficit Generation'!BT21</f>
        <v>Q2</v>
      </c>
      <c r="BU48" s="9" t="str">
        <f>'Qrtly Credit-Deficit Generation'!BU21</f>
        <v>Q3</v>
      </c>
      <c r="BV48" s="9" t="str">
        <f>'Qrtly Credit-Deficit Generation'!BV21</f>
        <v>Q4</v>
      </c>
      <c r="BW48" s="9" t="str">
        <f>'Qrtly Credit-Deficit Generation'!BW21</f>
        <v>2029Q1</v>
      </c>
      <c r="BX48" s="9" t="str">
        <f>'Qrtly Credit-Deficit Generation'!BX21</f>
        <v>Q2</v>
      </c>
      <c r="BY48" s="9" t="str">
        <f>BU4</f>
        <v>Q3</v>
      </c>
      <c r="BZ48" s="9" t="str">
        <f>BV4</f>
        <v>Q4</v>
      </c>
      <c r="CA48" s="9" t="str">
        <f>'Qrtly Credit-Deficit Generation'!CA21</f>
        <v>2030Q1</v>
      </c>
      <c r="CB48" s="9" t="str">
        <f>'Qrtly Credit-Deficit Generation'!CB21</f>
        <v>Q2</v>
      </c>
      <c r="CC48" s="9" t="str">
        <f>'Qrtly Credit-Deficit Generation'!CC21</f>
        <v>Q3</v>
      </c>
      <c r="CD48" s="9" t="str">
        <f>'Qrtly Credit-Deficit Generation'!CD21</f>
        <v>Q4</v>
      </c>
      <c r="CE48" s="9" t="str">
        <f>'Qrtly Credit-Deficit Generation'!CE21</f>
        <v>2031Q1</v>
      </c>
      <c r="CF48" s="9" t="str">
        <f>'Qrtly Credit-Deficit Generation'!CF21</f>
        <v>Q2</v>
      </c>
      <c r="CG48" s="9" t="str">
        <f>CC4</f>
        <v>Q3</v>
      </c>
      <c r="CH48" s="9" t="str">
        <f>CD4</f>
        <v>Q4</v>
      </c>
      <c r="CI48" s="9" t="str">
        <f>'Qrtly Credit-Deficit Generation'!CI21</f>
        <v>2032Q1</v>
      </c>
      <c r="CJ48" s="9" t="str">
        <f>'Qrtly Credit-Deficit Generation'!CJ21</f>
        <v>Q2</v>
      </c>
      <c r="CK48" s="9" t="str">
        <f>'Qrtly Credit-Deficit Generation'!CK21</f>
        <v>Q3</v>
      </c>
      <c r="CL48" s="9" t="str">
        <f>'Qrtly Credit-Deficit Generation'!CL21</f>
        <v>Q4</v>
      </c>
      <c r="CM48" s="9" t="str">
        <f>'Qrtly Credit-Deficit Generation'!CM21</f>
        <v>2033Q1</v>
      </c>
      <c r="CN48" s="9" t="str">
        <f>'Qrtly Credit-Deficit Generation'!CN21</f>
        <v>Q2</v>
      </c>
      <c r="CO48" s="9" t="str">
        <f>CK4</f>
        <v>Q3</v>
      </c>
      <c r="CP48" s="9" t="str">
        <f>CL4</f>
        <v>Q4</v>
      </c>
      <c r="CQ48" s="9" t="str">
        <f>'Qrtly Credit-Deficit Generation'!CQ21</f>
        <v>2034Q1</v>
      </c>
      <c r="CR48" s="9" t="str">
        <f>'Qrtly Credit-Deficit Generation'!CR21</f>
        <v>Q2</v>
      </c>
      <c r="CS48" s="9" t="str">
        <f>'Qrtly Credit-Deficit Generation'!CS21</f>
        <v>Q3</v>
      </c>
      <c r="CT48" s="9" t="str">
        <f>'Qrtly Credit-Deficit Generation'!CT21</f>
        <v>Q4</v>
      </c>
      <c r="CU48" s="9" t="str">
        <f>'Qrtly Credit-Deficit Generation'!CU21</f>
        <v>2035Q1</v>
      </c>
      <c r="CV48" s="9" t="str">
        <f>'Qrtly Credit-Deficit Generation'!CV21</f>
        <v>Q2</v>
      </c>
      <c r="CW48" s="9" t="str">
        <f>CS4</f>
        <v>Q3</v>
      </c>
      <c r="CX48" s="9" t="str">
        <f>CT4</f>
        <v>Q4</v>
      </c>
      <c r="CY48" s="9" t="str">
        <f>'Qrtly Credit-Deficit Generation'!CY21</f>
        <v>2036Q1</v>
      </c>
      <c r="CZ48" s="9" t="str">
        <f>'Qrtly Credit-Deficit Generation'!CZ21</f>
        <v>Q2</v>
      </c>
      <c r="DA48" s="9" t="str">
        <f>'Qrtly Credit-Deficit Generation'!DA21</f>
        <v>Q3</v>
      </c>
      <c r="DB48" s="9" t="str">
        <f>'Qrtly Credit-Deficit Generation'!DB21</f>
        <v>Q4</v>
      </c>
      <c r="DC48" s="9" t="str">
        <f>'Qrtly Credit-Deficit Generation'!DC21</f>
        <v>2037Q1</v>
      </c>
      <c r="DD48" s="9" t="str">
        <f>'Qrtly Credit-Deficit Generation'!DD21</f>
        <v>Q2</v>
      </c>
      <c r="DE48" s="9" t="str">
        <f>DA4</f>
        <v>Q3</v>
      </c>
      <c r="DF48" s="9" t="str">
        <f>DB4</f>
        <v>Q4</v>
      </c>
      <c r="DG48" s="9" t="str">
        <f>'Qrtly Credit-Deficit Generation'!DG21</f>
        <v>2038Q1</v>
      </c>
      <c r="DH48" s="9" t="str">
        <f>'Qrtly Credit-Deficit Generation'!DH21</f>
        <v>Q2</v>
      </c>
      <c r="DI48" s="9" t="str">
        <f>'Qrtly Credit-Deficit Generation'!DI21</f>
        <v>Q3</v>
      </c>
      <c r="DJ48" s="9" t="str">
        <f>'Qrtly Credit-Deficit Generation'!DJ21</f>
        <v>Q4</v>
      </c>
      <c r="DK48" s="9" t="str">
        <f>'Qrtly Credit-Deficit Generation'!DK21</f>
        <v>2039Q1</v>
      </c>
      <c r="DL48" s="9" t="str">
        <f>'Qrtly Credit-Deficit Generation'!DL21</f>
        <v>Q2</v>
      </c>
      <c r="DM48" s="9" t="str">
        <f>'Qrtly Credit-Deficit Generation'!DM21</f>
        <v>Q3</v>
      </c>
      <c r="DN48" s="9" t="str">
        <f>'Qrtly Credit-Deficit Generation'!DN21</f>
        <v>Q4</v>
      </c>
      <c r="DO48" s="9" t="str">
        <f>'Qrtly Credit-Deficit Generation'!DO21</f>
        <v>2040Q1</v>
      </c>
      <c r="DP48" s="9" t="str">
        <f>'Qrtly Credit-Deficit Generation'!DP21</f>
        <v>Q2</v>
      </c>
      <c r="DQ48" s="9" t="str">
        <f>'Qrtly Credit-Deficit Generation'!DQ21</f>
        <v>Q3</v>
      </c>
      <c r="DR48" s="9" t="str">
        <f>'Qrtly Credit-Deficit Generation'!DR21</f>
        <v>Q4</v>
      </c>
      <c r="DS48" s="9" t="str">
        <f>'Qrtly Credit-Deficit Generation'!DS21</f>
        <v>2041Q1</v>
      </c>
      <c r="DT48" s="9" t="str">
        <f>'Qrtly Credit-Deficit Generation'!DT21</f>
        <v>Q2</v>
      </c>
      <c r="DU48" s="9" t="str">
        <f>'Qrtly Credit-Deficit Generation'!DU21</f>
        <v>Q3</v>
      </c>
      <c r="DV48" s="9" t="str">
        <f>'Qrtly Credit-Deficit Generation'!DV21</f>
        <v>Q4</v>
      </c>
      <c r="DW48" s="9" t="str">
        <f>'Qrtly Credit-Deficit Generation'!DW21</f>
        <v>2042Q1</v>
      </c>
      <c r="DX48" s="9" t="str">
        <f>'Qrtly Credit-Deficit Generation'!DX21</f>
        <v>Q2</v>
      </c>
      <c r="DY48" s="9" t="str">
        <f>'Qrtly Credit-Deficit Generation'!DY21</f>
        <v>Q3</v>
      </c>
      <c r="DZ48" s="9" t="str">
        <f>'Qrtly Credit-Deficit Generation'!DZ21</f>
        <v>Q4</v>
      </c>
      <c r="EA48" s="9">
        <f>'Qrtly Credit-Deficit Generation'!EA21</f>
        <v>0</v>
      </c>
      <c r="EB48" s="9">
        <f>'Qrtly Credit-Deficit Generation'!EB21</f>
        <v>0</v>
      </c>
      <c r="EC48" s="9">
        <f>'Qrtly Credit-Deficit Generation'!EC21</f>
        <v>0</v>
      </c>
      <c r="ED48" s="9">
        <f>'Qrtly Credit-Deficit Generation'!ED21</f>
        <v>0</v>
      </c>
      <c r="EE48" s="9">
        <f>'Qrtly Credit-Deficit Generation'!EE21</f>
        <v>0</v>
      </c>
      <c r="EF48" s="9">
        <f>'Qrtly Credit-Deficit Generation'!EF21</f>
        <v>0</v>
      </c>
      <c r="EG48" s="9">
        <f>'Qrtly Credit-Deficit Generation'!EG21</f>
        <v>0</v>
      </c>
      <c r="EH48" s="9">
        <f>'Qrtly Credit-Deficit Generation'!EH21</f>
        <v>0</v>
      </c>
      <c r="EI48" s="9">
        <f>'Qrtly Credit-Deficit Generation'!EI21</f>
        <v>0</v>
      </c>
      <c r="EJ48" s="9">
        <f>'Qrtly Credit-Deficit Generation'!EJ21</f>
        <v>0</v>
      </c>
      <c r="EK48" s="9">
        <f>'Qrtly Credit-Deficit Generation'!EK21</f>
        <v>0</v>
      </c>
      <c r="EL48" s="9">
        <f>'Qrtly Credit-Deficit Generation'!EL21</f>
        <v>0</v>
      </c>
      <c r="EM48" s="9">
        <f>'Qrtly Credit-Deficit Generation'!EM21</f>
        <v>0</v>
      </c>
      <c r="EN48" s="9">
        <f>'Qrtly Credit-Deficit Generation'!EN21</f>
        <v>0</v>
      </c>
      <c r="EO48" s="9">
        <f>'Qrtly Credit-Deficit Generation'!EO21</f>
        <v>0</v>
      </c>
      <c r="EP48" s="9">
        <f>'Qrtly Credit-Deficit Generation'!EP21</f>
        <v>0</v>
      </c>
      <c r="EQ48" s="9">
        <f>'Qrtly Credit-Deficit Generation'!EQ21</f>
        <v>0</v>
      </c>
      <c r="ER48" s="9">
        <f>'Qrtly Credit-Deficit Generation'!ER21</f>
        <v>0</v>
      </c>
      <c r="ES48" s="9">
        <f>'Qrtly Credit-Deficit Generation'!ES21</f>
        <v>0</v>
      </c>
      <c r="ET48" s="9">
        <f>'Qrtly Credit-Deficit Generation'!ET21</f>
        <v>0</v>
      </c>
      <c r="EU48" s="9">
        <f>'Qrtly Credit-Deficit Generation'!EU21</f>
        <v>0</v>
      </c>
      <c r="EV48" s="9">
        <f>'Qrtly Credit-Deficit Generation'!EV21</f>
        <v>0</v>
      </c>
      <c r="EW48" s="9">
        <f>'Qrtly Credit-Deficit Generation'!EW21</f>
        <v>0</v>
      </c>
      <c r="EX48" s="9">
        <f>'Qrtly Credit-Deficit Generation'!EX21</f>
        <v>0</v>
      </c>
      <c r="EY48" s="9">
        <f>'Qrtly Credit-Deficit Generation'!EY21</f>
        <v>0</v>
      </c>
      <c r="EZ48" s="9">
        <f>'Qrtly Credit-Deficit Generation'!EZ21</f>
        <v>0</v>
      </c>
      <c r="FA48" s="9">
        <f>'Qrtly Credit-Deficit Generation'!FA21</f>
        <v>0</v>
      </c>
      <c r="FB48" s="9">
        <f>'Qrtly Credit-Deficit Generation'!FB21</f>
        <v>0</v>
      </c>
      <c r="FC48" s="9">
        <f>'Qrtly Credit-Deficit Generation'!FC21</f>
        <v>0</v>
      </c>
      <c r="FD48" s="9">
        <f>'Qrtly Credit-Deficit Generation'!FD21</f>
        <v>0</v>
      </c>
      <c r="FE48" s="9">
        <f>'Qrtly Credit-Deficit Generation'!FE21</f>
        <v>0</v>
      </c>
      <c r="FF48" s="9">
        <f>'Qrtly Credit-Deficit Generation'!FF21</f>
        <v>0</v>
      </c>
      <c r="FG48" s="9">
        <f>'Qrtly Credit-Deficit Generation'!FG21</f>
        <v>0</v>
      </c>
      <c r="FH48" s="9">
        <f>'Qrtly Credit-Deficit Generation'!FH21</f>
        <v>0</v>
      </c>
      <c r="FI48" s="9">
        <f>'Qrtly Credit-Deficit Generation'!FI21</f>
        <v>0</v>
      </c>
      <c r="FJ48" s="9">
        <f>'Qrtly Credit-Deficit Generation'!FJ21</f>
        <v>0</v>
      </c>
    </row>
    <row r="49" spans="1:166" ht="15" x14ac:dyDescent="0.25">
      <c r="A49" s="9" t="s">
        <v>66</v>
      </c>
      <c r="C49" s="45">
        <f>'Qrtly Credit-Deficit Generation'!C4</f>
        <v>0</v>
      </c>
      <c r="D49" s="45">
        <f>'Qrtly Credit-Deficit Generation'!D4</f>
        <v>0</v>
      </c>
      <c r="E49" s="45">
        <f>'Qrtly Credit-Deficit Generation'!E4</f>
        <v>0</v>
      </c>
      <c r="F49" s="45">
        <f>'Qrtly Credit-Deficit Generation'!F4</f>
        <v>0</v>
      </c>
      <c r="G49" s="45">
        <f>'Qrtly Credit-Deficit Generation'!G4</f>
        <v>0</v>
      </c>
      <c r="H49" s="45">
        <f>'Qrtly Credit-Deficit Generation'!H4</f>
        <v>0</v>
      </c>
      <c r="I49" s="45">
        <f>'Qrtly Credit-Deficit Generation'!I4</f>
        <v>0</v>
      </c>
      <c r="J49" s="45">
        <f>'Qrtly Credit-Deficit Generation'!J4</f>
        <v>0</v>
      </c>
      <c r="K49" s="45">
        <f>'Qrtly Credit-Deficit Generation'!K4</f>
        <v>0</v>
      </c>
      <c r="L49" s="45">
        <f>'Qrtly Credit-Deficit Generation'!L4</f>
        <v>56</v>
      </c>
      <c r="M49" s="45">
        <f>'Qrtly Credit-Deficit Generation'!M4</f>
        <v>26185</v>
      </c>
      <c r="N49" s="45">
        <f>'Qrtly Credit-Deficit Generation'!N4</f>
        <v>30518</v>
      </c>
      <c r="O49" s="45">
        <f>'Qrtly Credit-Deficit Generation'!O4</f>
        <v>27846</v>
      </c>
      <c r="P49" s="45">
        <f>'Qrtly Credit-Deficit Generation'!P4</f>
        <v>29117</v>
      </c>
      <c r="Q49" s="45">
        <f>'Qrtly Credit-Deficit Generation'!Q4</f>
        <v>42349</v>
      </c>
      <c r="R49" s="45">
        <f>'Qrtly Credit-Deficit Generation'!R4</f>
        <v>46037</v>
      </c>
      <c r="S49" s="45">
        <f>'Qrtly Credit-Deficit Generation'!S4</f>
        <v>57602</v>
      </c>
      <c r="T49" s="45">
        <f>'Qrtly Credit-Deficit Generation'!T4</f>
        <v>91272</v>
      </c>
      <c r="U49" s="45">
        <f>'Qrtly Credit-Deficit Generation'!U4</f>
        <v>103743</v>
      </c>
      <c r="V49" s="45">
        <f>'Qrtly Credit-Deficit Generation'!V4</f>
        <v>103113</v>
      </c>
      <c r="W49" s="45">
        <f>'Qrtly Credit-Deficit Generation'!W4</f>
        <v>130217</v>
      </c>
      <c r="X49" s="45">
        <f>'Qrtly Credit-Deficit Generation'!X4</f>
        <v>126524</v>
      </c>
      <c r="Y49" s="45">
        <f>'Qrtly Credit-Deficit Generation'!Y4</f>
        <v>105850</v>
      </c>
      <c r="Z49" s="45">
        <f>'Qrtly Credit-Deficit Generation'!Z4</f>
        <v>105809</v>
      </c>
      <c r="AA49" s="45">
        <f>'Qrtly Credit-Deficit Generation'!AA4</f>
        <v>101510</v>
      </c>
      <c r="AB49" s="45">
        <f>'Qrtly Credit-Deficit Generation'!AB4</f>
        <v>139921</v>
      </c>
      <c r="AC49" s="45">
        <f>'Qrtly Credit-Deficit Generation'!AC4</f>
        <v>165589</v>
      </c>
      <c r="AD49" s="45">
        <f>'Qrtly Credit-Deficit Generation'!AD4</f>
        <v>166925</v>
      </c>
      <c r="AE49" s="45">
        <f>'Qrtly Credit-Deficit Generation'!AE4</f>
        <v>161892</v>
      </c>
      <c r="AF49" s="45">
        <f>'Qrtly Credit-Deficit Generation'!AF4</f>
        <v>152281</v>
      </c>
      <c r="AG49" s="45">
        <f>'Qrtly Credit-Deficit Generation'!AG4</f>
        <v>179106</v>
      </c>
      <c r="AH49" s="45">
        <f>'Qrtly Credit-Deficit Generation'!AH4</f>
        <v>186051</v>
      </c>
      <c r="AI49" s="45">
        <f>'Qrtly Credit-Deficit Generation'!AI4</f>
        <v>168937</v>
      </c>
      <c r="AJ49" s="45">
        <f>'Qrtly Credit-Deficit Generation'!AJ4</f>
        <v>184279</v>
      </c>
      <c r="AK49" s="45">
        <f>'Qrtly Credit-Deficit Generation'!AK4</f>
        <v>234371</v>
      </c>
      <c r="AL49" s="45">
        <f>'Qrtly Credit-Deficit Generation'!AL4</f>
        <v>286199</v>
      </c>
      <c r="AM49" s="45">
        <f>'Qrtly Credit-Deficit Generation'!AM4</f>
        <v>280099</v>
      </c>
      <c r="AN49" s="45">
        <f>'Qrtly Credit-Deficit Generation'!AN4</f>
        <v>305217</v>
      </c>
      <c r="AO49" s="45">
        <f>'Qrtly Credit-Deficit Generation'!AO4</f>
        <v>473106</v>
      </c>
      <c r="AP49" s="45">
        <f>'Qrtly Credit-Deficit Generation'!AP4</f>
        <v>536906</v>
      </c>
      <c r="AQ49" s="45">
        <f>'Qrtly Credit-Deficit Generation'!AQ4</f>
        <v>458226</v>
      </c>
      <c r="AR49" s="45">
        <f>'Qrtly Credit-Deficit Generation'!AR4</f>
        <v>633488</v>
      </c>
      <c r="AS49" s="45">
        <f>'Qrtly Credit-Deficit Generation'!AS4</f>
        <v>831673</v>
      </c>
      <c r="AT49" s="45">
        <f>'Qrtly Credit-Deficit Generation'!AT4</f>
        <v>815103</v>
      </c>
      <c r="AU49" s="45">
        <f>'Qrtly Credit-Deficit Generation'!AU4</f>
        <v>807393</v>
      </c>
      <c r="AV49" s="45">
        <f>'Qrtly Credit-Deficit Generation'!AV4</f>
        <v>1085120</v>
      </c>
      <c r="AW49" s="45">
        <f>'Qrtly Credit-Deficit Generation'!AW4</f>
        <v>1190315</v>
      </c>
      <c r="AX49" s="45">
        <f>'Qrtly Credit-Deficit Generation'!AX4</f>
        <v>1208871</v>
      </c>
      <c r="AY49" s="45">
        <v>1052639</v>
      </c>
      <c r="AZ49" s="45">
        <v>1341628</v>
      </c>
      <c r="BA49" s="45">
        <v>1394087</v>
      </c>
      <c r="BB49" s="45">
        <v>1478363</v>
      </c>
      <c r="BC49" s="45">
        <v>1526145</v>
      </c>
      <c r="BD49" s="45">
        <v>1848652</v>
      </c>
      <c r="BE49" s="45">
        <v>2098711</v>
      </c>
      <c r="BF49" s="46">
        <f t="shared" ref="BF49:DQ51" si="85">IF(FORECAST(BF5,AB49:BE49,AB5:BE5)&lt;0,0,FORECAST(BF5,AB49:BE49,AB5:BE5))</f>
        <v>1166988.1339200595</v>
      </c>
      <c r="BG49" s="46">
        <f t="shared" si="85"/>
        <v>992292.14209374809</v>
      </c>
      <c r="BH49" s="46">
        <f t="shared" si="85"/>
        <v>1095076.3205734198</v>
      </c>
      <c r="BI49" s="46">
        <f t="shared" si="85"/>
        <v>1243474.3001750058</v>
      </c>
      <c r="BJ49" s="46">
        <f t="shared" si="85"/>
        <v>1179177.2126480299</v>
      </c>
      <c r="BK49" s="46">
        <f t="shared" si="85"/>
        <v>975650.2496459973</v>
      </c>
      <c r="BL49" s="46">
        <f t="shared" si="85"/>
        <v>1092076.6986145454</v>
      </c>
      <c r="BM49" s="46">
        <f t="shared" si="85"/>
        <v>1258418.691908814</v>
      </c>
      <c r="BN49" s="46">
        <f t="shared" si="85"/>
        <v>1182226.5634592008</v>
      </c>
      <c r="BO49" s="46">
        <f t="shared" si="85"/>
        <v>962916.10250008106</v>
      </c>
      <c r="BP49" s="46">
        <f t="shared" si="85"/>
        <v>1088872.9419915341</v>
      </c>
      <c r="BQ49" s="46">
        <f t="shared" si="85"/>
        <v>1260926.3228884018</v>
      </c>
      <c r="BR49" s="46">
        <f t="shared" si="85"/>
        <v>1181550.5102429339</v>
      </c>
      <c r="BS49" s="46">
        <f t="shared" si="85"/>
        <v>925105.87780082878</v>
      </c>
      <c r="BT49" s="46">
        <f t="shared" si="85"/>
        <v>1067289.6044050921</v>
      </c>
      <c r="BU49" s="46">
        <f t="shared" si="85"/>
        <v>1267579.076894681</v>
      </c>
      <c r="BV49" s="46">
        <f t="shared" si="85"/>
        <v>1167303.8973902888</v>
      </c>
      <c r="BW49" s="46">
        <f t="shared" si="85"/>
        <v>886134.22472953144</v>
      </c>
      <c r="BX49" s="46">
        <f t="shared" si="85"/>
        <v>1055614.8480965798</v>
      </c>
      <c r="BY49" s="46">
        <f t="shared" si="85"/>
        <v>1274782.2249127543</v>
      </c>
      <c r="BZ49" s="46">
        <f t="shared" si="85"/>
        <v>1180499.3742230097</v>
      </c>
      <c r="CA49" s="46">
        <f t="shared" si="85"/>
        <v>907206.90097236587</v>
      </c>
      <c r="CB49" s="46">
        <f t="shared" si="85"/>
        <v>1065704.7880206709</v>
      </c>
      <c r="CC49" s="46">
        <f t="shared" si="85"/>
        <v>1278576.9927432756</v>
      </c>
      <c r="CD49" s="46">
        <f t="shared" si="85"/>
        <v>1186709.4877281594</v>
      </c>
      <c r="CE49" s="46">
        <f t="shared" si="85"/>
        <v>913502.12411801238</v>
      </c>
      <c r="CF49" s="46">
        <f t="shared" si="85"/>
        <v>1072803.3581796628</v>
      </c>
      <c r="CG49" s="46">
        <f t="shared" si="85"/>
        <v>1297284.1225346942</v>
      </c>
      <c r="CH49" s="46">
        <f t="shared" si="85"/>
        <v>1196092.3048867974</v>
      </c>
      <c r="CI49" s="46">
        <f t="shared" si="85"/>
        <v>913545.50776771829</v>
      </c>
      <c r="CJ49" s="46">
        <f t="shared" si="85"/>
        <v>1075807.0108447205</v>
      </c>
      <c r="CK49" s="46">
        <f t="shared" si="85"/>
        <v>1269150.802472149</v>
      </c>
      <c r="CL49" s="46">
        <f t="shared" si="85"/>
        <v>1181171.5155701935</v>
      </c>
      <c r="CM49" s="46">
        <f t="shared" si="85"/>
        <v>927570.47551982244</v>
      </c>
      <c r="CN49" s="46">
        <f t="shared" si="85"/>
        <v>1073046.0538442279</v>
      </c>
      <c r="CO49" s="46">
        <f t="shared" si="85"/>
        <v>1272758.7724594041</v>
      </c>
      <c r="CP49" s="46">
        <f t="shared" si="85"/>
        <v>1181820.6171539039</v>
      </c>
      <c r="CQ49" s="46">
        <f t="shared" si="85"/>
        <v>920548.40593219362</v>
      </c>
      <c r="CR49" s="46">
        <f t="shared" si="85"/>
        <v>1070174.5390971019</v>
      </c>
      <c r="CS49" s="46">
        <f t="shared" si="85"/>
        <v>1274969.260171914</v>
      </c>
      <c r="CT49" s="46">
        <f t="shared" si="85"/>
        <v>1181737.1452848488</v>
      </c>
      <c r="CU49" s="46">
        <f t="shared" si="85"/>
        <v>914476.38844194636</v>
      </c>
      <c r="CV49" s="46">
        <f t="shared" si="85"/>
        <v>1067531.2467831667</v>
      </c>
      <c r="CW49" s="46">
        <f t="shared" si="85"/>
        <v>1277025.2603140725</v>
      </c>
      <c r="CX49" s="46">
        <f t="shared" si="85"/>
        <v>1181933.6911484846</v>
      </c>
      <c r="CY49" s="46">
        <f t="shared" si="85"/>
        <v>912901.97008572659</v>
      </c>
      <c r="CZ49" s="46">
        <f t="shared" si="85"/>
        <v>1067184.7933131489</v>
      </c>
      <c r="DA49" s="46">
        <f t="shared" si="85"/>
        <v>1279040.6713538328</v>
      </c>
      <c r="DB49" s="46">
        <f t="shared" si="85"/>
        <v>1183379.9849517252</v>
      </c>
      <c r="DC49" s="46">
        <f t="shared" si="85"/>
        <v>916297.48286502622</v>
      </c>
      <c r="DD49" s="46">
        <f t="shared" si="85"/>
        <v>1069550.3590348493</v>
      </c>
      <c r="DE49" s="46">
        <f t="shared" si="85"/>
        <v>1279104.8649886558</v>
      </c>
      <c r="DF49" s="46">
        <f t="shared" si="85"/>
        <v>1184191.0600994946</v>
      </c>
      <c r="DG49" s="46">
        <f t="shared" si="85"/>
        <v>917418.39453419019</v>
      </c>
      <c r="DH49" s="46">
        <f t="shared" si="85"/>
        <v>1070279.8427695907</v>
      </c>
      <c r="DI49" s="46">
        <f t="shared" si="85"/>
        <v>1278837.4143582014</v>
      </c>
      <c r="DJ49" s="46">
        <f t="shared" si="85"/>
        <v>1184258.1388711482</v>
      </c>
      <c r="DK49" s="46">
        <f t="shared" si="85"/>
        <v>917686.84675219655</v>
      </c>
      <c r="DL49" s="46">
        <f t="shared" si="85"/>
        <v>1069918.7626990322</v>
      </c>
      <c r="DM49" s="46">
        <f t="shared" si="85"/>
        <v>1276331.2922338909</v>
      </c>
      <c r="DN49" s="46">
        <f t="shared" si="85"/>
        <v>1182594.3755919924</v>
      </c>
      <c r="DO49" s="46">
        <f t="shared" si="85"/>
        <v>918257.74451767234</v>
      </c>
      <c r="DP49" s="46">
        <f t="shared" si="85"/>
        <v>1069701.9167696545</v>
      </c>
      <c r="DQ49" s="46">
        <f t="shared" si="85"/>
        <v>1276791.7294037677</v>
      </c>
      <c r="DR49" s="46">
        <f t="shared" ref="DJ49:FJ54" si="86">IF(FORECAST(DR5,CN49:DQ49,CN5:DQ5)&lt;0,0,FORECAST(DR5,CN49:DQ49,CN5:DQ5))</f>
        <v>1182818.5395392301</v>
      </c>
      <c r="DS49" s="46">
        <f t="shared" si="86"/>
        <v>916874.42499295203</v>
      </c>
      <c r="DT49" s="46">
        <f t="shared" si="86"/>
        <v>1069215.7999848751</v>
      </c>
      <c r="DU49" s="46">
        <f t="shared" si="86"/>
        <v>1277404.2743835836</v>
      </c>
      <c r="DV49" s="46">
        <f t="shared" si="86"/>
        <v>1182973.6614270979</v>
      </c>
      <c r="DW49" s="46">
        <f t="shared" si="86"/>
        <v>916309.42152241385</v>
      </c>
      <c r="DX49" s="46">
        <f t="shared" si="86"/>
        <v>1069068.3719091504</v>
      </c>
      <c r="DY49" s="46">
        <f t="shared" si="86"/>
        <v>1277779.8280450245</v>
      </c>
      <c r="DZ49" s="46">
        <f t="shared" si="86"/>
        <v>1277732.2632048992</v>
      </c>
      <c r="EA49" s="46">
        <f t="shared" si="86"/>
        <v>916531.9609517348</v>
      </c>
      <c r="EB49" s="46">
        <f t="shared" si="86"/>
        <v>1069276.181608391</v>
      </c>
      <c r="EC49" s="46">
        <f t="shared" si="86"/>
        <v>1277897.3914074935</v>
      </c>
      <c r="ED49" s="46">
        <f t="shared" si="86"/>
        <v>1277809.5593415918</v>
      </c>
      <c r="EE49" s="46">
        <f t="shared" si="86"/>
        <v>917036.35353900259</v>
      </c>
      <c r="EF49" s="46">
        <f t="shared" si="86"/>
        <v>1069564.3380771535</v>
      </c>
      <c r="EG49" s="46">
        <f t="shared" si="86"/>
        <v>1277757.1791031631</v>
      </c>
      <c r="EH49" s="46">
        <f t="shared" si="86"/>
        <v>1277740.4456700147</v>
      </c>
      <c r="EI49" s="46">
        <f t="shared" si="86"/>
        <v>917144.89904904505</v>
      </c>
      <c r="EJ49" s="46">
        <f t="shared" si="86"/>
        <v>1069576.6144262585</v>
      </c>
      <c r="EK49" s="46">
        <f t="shared" si="86"/>
        <v>1277591.6601288826</v>
      </c>
      <c r="EL49" s="46">
        <f t="shared" si="86"/>
        <v>1277596.7588200122</v>
      </c>
      <c r="EM49" s="46">
        <f t="shared" si="86"/>
        <v>917092.20703425584</v>
      </c>
      <c r="EN49" s="46">
        <f t="shared" si="86"/>
        <v>1069481.6707256041</v>
      </c>
      <c r="EO49" s="46">
        <f t="shared" si="86"/>
        <v>1277437.2229531533</v>
      </c>
      <c r="EP49" s="46">
        <f t="shared" si="86"/>
        <v>1277447.6692069764</v>
      </c>
      <c r="EQ49" s="46">
        <f t="shared" si="86"/>
        <v>917009.62453533569</v>
      </c>
      <c r="ER49" s="46">
        <f t="shared" si="86"/>
        <v>1069421.8112135921</v>
      </c>
      <c r="ES49" s="46">
        <f t="shared" si="86"/>
        <v>1277542.1060882942</v>
      </c>
      <c r="ET49" s="46">
        <f t="shared" si="86"/>
        <v>1277562.1558215502</v>
      </c>
      <c r="EU49" s="46">
        <f t="shared" si="86"/>
        <v>916848.49558501504</v>
      </c>
      <c r="EV49" s="46">
        <f t="shared" si="86"/>
        <v>1069371.3662390863</v>
      </c>
      <c r="EW49" s="46">
        <f t="shared" si="86"/>
        <v>1277623.8515989981</v>
      </c>
      <c r="EX49" s="46">
        <f t="shared" si="86"/>
        <v>1277624.2908147811</v>
      </c>
      <c r="EY49" s="46">
        <f t="shared" si="86"/>
        <v>916849.71410794975</v>
      </c>
      <c r="EZ49" s="46">
        <f t="shared" si="86"/>
        <v>1069391.0903447513</v>
      </c>
      <c r="FA49" s="46">
        <f t="shared" si="86"/>
        <v>1277652.1458398574</v>
      </c>
      <c r="FB49" s="46">
        <f t="shared" si="86"/>
        <v>1277645.3272881648</v>
      </c>
      <c r="FC49" s="46">
        <f t="shared" si="86"/>
        <v>916929.11139640771</v>
      </c>
      <c r="FD49" s="46">
        <f t="shared" si="86"/>
        <v>1069440.1646723622</v>
      </c>
      <c r="FE49" s="46">
        <f t="shared" si="86"/>
        <v>1277638.2038137671</v>
      </c>
      <c r="FF49" s="46">
        <f t="shared" si="86"/>
        <v>1277633.170967753</v>
      </c>
      <c r="FG49" s="46">
        <f t="shared" si="86"/>
        <v>916984.63630864257</v>
      </c>
      <c r="FH49" s="46">
        <f t="shared" si="86"/>
        <v>1069462.9621830359</v>
      </c>
      <c r="FI49" s="46">
        <f t="shared" si="86"/>
        <v>1277607.7378600184</v>
      </c>
      <c r="FJ49" s="46">
        <f t="shared" si="86"/>
        <v>1277608.3263507863</v>
      </c>
    </row>
    <row r="50" spans="1:166" ht="15" x14ac:dyDescent="0.25">
      <c r="A50" s="9" t="s">
        <v>74</v>
      </c>
      <c r="C50" s="45">
        <f>'Qrtly Credit-Deficit Generation'!C5</f>
        <v>2212</v>
      </c>
      <c r="D50" s="45">
        <f>'Qrtly Credit-Deficit Generation'!D5</f>
        <v>3069</v>
      </c>
      <c r="E50" s="45">
        <f>'Qrtly Credit-Deficit Generation'!E5</f>
        <v>4960</v>
      </c>
      <c r="F50" s="45">
        <f>'Qrtly Credit-Deficit Generation'!F5</f>
        <v>4474</v>
      </c>
      <c r="G50" s="45">
        <f>'Qrtly Credit-Deficit Generation'!G5</f>
        <v>4367</v>
      </c>
      <c r="H50" s="45">
        <f>'Qrtly Credit-Deficit Generation'!H5</f>
        <v>4221</v>
      </c>
      <c r="I50" s="45">
        <f>'Qrtly Credit-Deficit Generation'!I5</f>
        <v>3577</v>
      </c>
      <c r="J50" s="45">
        <f>'Qrtly Credit-Deficit Generation'!J5</f>
        <v>2680</v>
      </c>
      <c r="K50" s="45">
        <f>'Qrtly Credit-Deficit Generation'!K5</f>
        <v>4240</v>
      </c>
      <c r="L50" s="45">
        <f>'Qrtly Credit-Deficit Generation'!L5</f>
        <v>5127</v>
      </c>
      <c r="M50" s="45">
        <f>'Qrtly Credit-Deficit Generation'!M5</f>
        <v>22948</v>
      </c>
      <c r="N50" s="45">
        <f>'Qrtly Credit-Deficit Generation'!N5</f>
        <v>9044</v>
      </c>
      <c r="O50" s="45">
        <f>'Qrtly Credit-Deficit Generation'!O5</f>
        <v>13893</v>
      </c>
      <c r="P50" s="45">
        <f>'Qrtly Credit-Deficit Generation'!P5</f>
        <v>8777</v>
      </c>
      <c r="Q50" s="45">
        <f>'Qrtly Credit-Deficit Generation'!Q5</f>
        <v>30237</v>
      </c>
      <c r="R50" s="45">
        <f>'Qrtly Credit-Deficit Generation'!R5</f>
        <v>41302</v>
      </c>
      <c r="S50" s="45">
        <f>'Qrtly Credit-Deficit Generation'!S5</f>
        <v>38445</v>
      </c>
      <c r="T50" s="45">
        <f>'Qrtly Credit-Deficit Generation'!T5</f>
        <v>52559</v>
      </c>
      <c r="U50" s="45">
        <f>'Qrtly Credit-Deficit Generation'!U5</f>
        <v>61645</v>
      </c>
      <c r="V50" s="45">
        <f>'Qrtly Credit-Deficit Generation'!V5</f>
        <v>67573</v>
      </c>
      <c r="W50" s="45">
        <f>'Qrtly Credit-Deficit Generation'!W5</f>
        <v>56591</v>
      </c>
      <c r="X50" s="45">
        <f>'Qrtly Credit-Deficit Generation'!X5</f>
        <v>65100</v>
      </c>
      <c r="Y50" s="45">
        <f>'Qrtly Credit-Deficit Generation'!Y5</f>
        <v>48641</v>
      </c>
      <c r="Z50" s="45">
        <f>'Qrtly Credit-Deficit Generation'!Z5</f>
        <v>43923</v>
      </c>
      <c r="AA50" s="45">
        <f>'Qrtly Credit-Deficit Generation'!AA5</f>
        <v>35211</v>
      </c>
      <c r="AB50" s="45">
        <f>'Qrtly Credit-Deficit Generation'!AB5</f>
        <v>33576</v>
      </c>
      <c r="AC50" s="45">
        <f>'Qrtly Credit-Deficit Generation'!AC5</f>
        <v>19732</v>
      </c>
      <c r="AD50" s="45">
        <f>'Qrtly Credit-Deficit Generation'!AD5</f>
        <v>18521</v>
      </c>
      <c r="AE50" s="45">
        <f>'Qrtly Credit-Deficit Generation'!AE5</f>
        <v>17615</v>
      </c>
      <c r="AF50" s="45">
        <f>'Qrtly Credit-Deficit Generation'!AF5</f>
        <v>18214</v>
      </c>
      <c r="AG50" s="45">
        <f>'Qrtly Credit-Deficit Generation'!AG5</f>
        <v>18865</v>
      </c>
      <c r="AH50" s="45">
        <f>'Qrtly Credit-Deficit Generation'!AH5</f>
        <v>17264</v>
      </c>
      <c r="AI50" s="45">
        <f>'Qrtly Credit-Deficit Generation'!AI5</f>
        <v>12988</v>
      </c>
      <c r="AJ50" s="45">
        <f>'Qrtly Credit-Deficit Generation'!AJ5</f>
        <v>15636</v>
      </c>
      <c r="AK50" s="45">
        <f>'Qrtly Credit-Deficit Generation'!AK5</f>
        <v>16696</v>
      </c>
      <c r="AL50" s="45">
        <f>'Qrtly Credit-Deficit Generation'!AL5</f>
        <v>17686</v>
      </c>
      <c r="AM50" s="45">
        <f>'Qrtly Credit-Deficit Generation'!AM5</f>
        <v>19266</v>
      </c>
      <c r="AN50" s="45">
        <f>'Qrtly Credit-Deficit Generation'!AN5</f>
        <v>17476</v>
      </c>
      <c r="AO50" s="45">
        <f>'Qrtly Credit-Deficit Generation'!AO5</f>
        <v>16093</v>
      </c>
      <c r="AP50" s="45">
        <f>'Qrtly Credit-Deficit Generation'!AP5</f>
        <v>16544</v>
      </c>
      <c r="AQ50" s="45">
        <f>'Qrtly Credit-Deficit Generation'!AQ5</f>
        <v>11525</v>
      </c>
      <c r="AR50" s="45">
        <f>'Qrtly Credit-Deficit Generation'!AR5</f>
        <v>12071</v>
      </c>
      <c r="AS50" s="45">
        <f>'Qrtly Credit-Deficit Generation'!AS5</f>
        <v>11506</v>
      </c>
      <c r="AT50" s="45">
        <f>'Qrtly Credit-Deficit Generation'!AT5</f>
        <v>13492</v>
      </c>
      <c r="AU50" s="45">
        <f>'Qrtly Credit-Deficit Generation'!AU5</f>
        <v>13524</v>
      </c>
      <c r="AV50" s="45">
        <f>'Qrtly Credit-Deficit Generation'!AV5</f>
        <v>14119</v>
      </c>
      <c r="AW50" s="45">
        <f>'Qrtly Credit-Deficit Generation'!AW5</f>
        <v>14022</v>
      </c>
      <c r="AX50" s="45">
        <f>'Qrtly Credit-Deficit Generation'!AX5</f>
        <v>11715</v>
      </c>
      <c r="AY50" s="45">
        <v>14272</v>
      </c>
      <c r="AZ50" s="45">
        <v>15147</v>
      </c>
      <c r="BA50" s="45">
        <v>14739</v>
      </c>
      <c r="BB50" s="45">
        <v>14647</v>
      </c>
      <c r="BC50" s="45">
        <v>13919</v>
      </c>
      <c r="BD50" s="45">
        <v>14530</v>
      </c>
      <c r="BE50" s="45">
        <v>16471</v>
      </c>
      <c r="BF50" s="46">
        <f t="shared" si="85"/>
        <v>12754.271797208901</v>
      </c>
      <c r="BG50" s="46">
        <f t="shared" si="85"/>
        <v>15101.008880250698</v>
      </c>
      <c r="BH50" s="46">
        <f t="shared" si="85"/>
        <v>15323.141392729651</v>
      </c>
      <c r="BI50" s="46">
        <f t="shared" si="85"/>
        <v>15329.053926964565</v>
      </c>
      <c r="BJ50" s="46">
        <f t="shared" si="85"/>
        <v>13868.097081788957</v>
      </c>
      <c r="BK50" s="46">
        <f t="shared" si="85"/>
        <v>14567.786484699896</v>
      </c>
      <c r="BL50" s="46">
        <f t="shared" si="85"/>
        <v>14877.473660561705</v>
      </c>
      <c r="BM50" s="46">
        <f t="shared" si="85"/>
        <v>14926.938377791175</v>
      </c>
      <c r="BN50" s="46">
        <f t="shared" si="85"/>
        <v>13436.11321964741</v>
      </c>
      <c r="BO50" s="46">
        <f t="shared" si="85"/>
        <v>14301.971028342714</v>
      </c>
      <c r="BP50" s="46">
        <f t="shared" si="85"/>
        <v>14759.828121407914</v>
      </c>
      <c r="BQ50" s="46">
        <f t="shared" si="85"/>
        <v>14800.439562168005</v>
      </c>
      <c r="BR50" s="46">
        <f t="shared" si="85"/>
        <v>13718.095611333112</v>
      </c>
      <c r="BS50" s="46">
        <f t="shared" si="85"/>
        <v>14164.61514312591</v>
      </c>
      <c r="BT50" s="46">
        <f t="shared" si="85"/>
        <v>14214.134912926789</v>
      </c>
      <c r="BU50" s="46">
        <f t="shared" si="85"/>
        <v>13991.615408085689</v>
      </c>
      <c r="BV50" s="46">
        <f t="shared" si="85"/>
        <v>14058.898244818933</v>
      </c>
      <c r="BW50" s="46">
        <f t="shared" si="85"/>
        <v>14229.505015733719</v>
      </c>
      <c r="BX50" s="46">
        <f t="shared" si="85"/>
        <v>14609.586210912779</v>
      </c>
      <c r="BY50" s="46">
        <f t="shared" si="85"/>
        <v>14789.080341472076</v>
      </c>
      <c r="BZ50" s="46">
        <f t="shared" si="85"/>
        <v>13829.559088073431</v>
      </c>
      <c r="CA50" s="46">
        <f t="shared" si="85"/>
        <v>14452.924976034483</v>
      </c>
      <c r="CB50" s="46">
        <f t="shared" si="85"/>
        <v>14838.154057866956</v>
      </c>
      <c r="CC50" s="46">
        <f t="shared" si="85"/>
        <v>14888.659780115151</v>
      </c>
      <c r="CD50" s="46">
        <f t="shared" si="85"/>
        <v>14020.84987857349</v>
      </c>
      <c r="CE50" s="46">
        <f t="shared" si="85"/>
        <v>14523.996189506743</v>
      </c>
      <c r="CF50" s="46">
        <f t="shared" si="85"/>
        <v>14779.92126153702</v>
      </c>
      <c r="CG50" s="46">
        <f t="shared" si="85"/>
        <v>14855.776877467895</v>
      </c>
      <c r="CH50" s="46">
        <f t="shared" si="85"/>
        <v>13976.769262314892</v>
      </c>
      <c r="CI50" s="46">
        <f t="shared" si="85"/>
        <v>14490.187004535266</v>
      </c>
      <c r="CJ50" s="46">
        <f t="shared" si="85"/>
        <v>14755.377156855291</v>
      </c>
      <c r="CK50" s="46">
        <f t="shared" si="85"/>
        <v>14838.716591175187</v>
      </c>
      <c r="CL50" s="46">
        <f t="shared" si="85"/>
        <v>13833.270895253663</v>
      </c>
      <c r="CM50" s="46">
        <f t="shared" si="85"/>
        <v>14408.766250449888</v>
      </c>
      <c r="CN50" s="46">
        <f t="shared" si="85"/>
        <v>14667.100733367442</v>
      </c>
      <c r="CO50" s="46">
        <f t="shared" si="85"/>
        <v>14750.300917735851</v>
      </c>
      <c r="CP50" s="46">
        <f t="shared" si="85"/>
        <v>13835.240619038388</v>
      </c>
      <c r="CQ50" s="46">
        <f t="shared" si="85"/>
        <v>14376.939455839083</v>
      </c>
      <c r="CR50" s="46">
        <f t="shared" si="85"/>
        <v>14639.440120705611</v>
      </c>
      <c r="CS50" s="46">
        <f t="shared" si="85"/>
        <v>14712.026662834109</v>
      </c>
      <c r="CT50" s="46">
        <f t="shared" si="85"/>
        <v>13893.809494132294</v>
      </c>
      <c r="CU50" s="46">
        <f t="shared" si="85"/>
        <v>14384.875768512711</v>
      </c>
      <c r="CV50" s="46">
        <f t="shared" si="85"/>
        <v>14627.88566580394</v>
      </c>
      <c r="CW50" s="46">
        <f t="shared" si="85"/>
        <v>14698.078426132179</v>
      </c>
      <c r="CX50" s="46">
        <f t="shared" si="85"/>
        <v>13927.34566065688</v>
      </c>
      <c r="CY50" s="46">
        <f t="shared" si="85"/>
        <v>14409.750090735799</v>
      </c>
      <c r="CZ50" s="46">
        <f t="shared" si="85"/>
        <v>14698.24608986555</v>
      </c>
      <c r="DA50" s="46">
        <f t="shared" si="85"/>
        <v>14780.236879062675</v>
      </c>
      <c r="DB50" s="46">
        <f t="shared" si="85"/>
        <v>13902.096156241456</v>
      </c>
      <c r="DC50" s="46">
        <f t="shared" si="85"/>
        <v>14438.353602857387</v>
      </c>
      <c r="DD50" s="46">
        <f t="shared" si="85"/>
        <v>14710.272316329541</v>
      </c>
      <c r="DE50" s="46">
        <f t="shared" si="85"/>
        <v>14790.264955203567</v>
      </c>
      <c r="DF50" s="46">
        <f t="shared" si="85"/>
        <v>13910.314619517023</v>
      </c>
      <c r="DG50" s="46">
        <f t="shared" si="85"/>
        <v>14436.628440476288</v>
      </c>
      <c r="DH50" s="46">
        <f t="shared" si="85"/>
        <v>14696.690880687289</v>
      </c>
      <c r="DI50" s="46">
        <f t="shared" si="85"/>
        <v>14777.760781104773</v>
      </c>
      <c r="DJ50" s="46">
        <f t="shared" si="86"/>
        <v>13895.246816254796</v>
      </c>
      <c r="DK50" s="46">
        <f t="shared" si="86"/>
        <v>14423.014657376079</v>
      </c>
      <c r="DL50" s="46">
        <f t="shared" si="86"/>
        <v>14685.095026612034</v>
      </c>
      <c r="DM50" s="46">
        <f t="shared" si="86"/>
        <v>14766.006280192692</v>
      </c>
      <c r="DN50" s="46">
        <f t="shared" si="86"/>
        <v>13884.123632725872</v>
      </c>
      <c r="DO50" s="46">
        <f t="shared" si="86"/>
        <v>14412.338818211152</v>
      </c>
      <c r="DP50" s="46">
        <f t="shared" si="86"/>
        <v>14675.067153333461</v>
      </c>
      <c r="DQ50" s="46">
        <f t="shared" si="86"/>
        <v>14753.499486922134</v>
      </c>
      <c r="DR50" s="46">
        <f t="shared" si="86"/>
        <v>13892.558744999196</v>
      </c>
      <c r="DS50" s="46">
        <f t="shared" si="86"/>
        <v>14412.085475884027</v>
      </c>
      <c r="DT50" s="46">
        <f t="shared" si="86"/>
        <v>14675.434089693968</v>
      </c>
      <c r="DU50" s="46">
        <f t="shared" si="86"/>
        <v>14753.1411680614</v>
      </c>
      <c r="DV50" s="46">
        <f t="shared" si="86"/>
        <v>13901.184742310761</v>
      </c>
      <c r="DW50" s="46">
        <f t="shared" si="86"/>
        <v>14416.850854602328</v>
      </c>
      <c r="DX50" s="46">
        <f t="shared" si="86"/>
        <v>14680.689202760801</v>
      </c>
      <c r="DY50" s="46">
        <f t="shared" si="86"/>
        <v>14759.142184813401</v>
      </c>
      <c r="DZ50" s="46">
        <f t="shared" si="86"/>
        <v>14760.142582907099</v>
      </c>
      <c r="EA50" s="46">
        <f t="shared" si="86"/>
        <v>14421.343992664828</v>
      </c>
      <c r="EB50" s="46">
        <f t="shared" si="86"/>
        <v>14687.836795953383</v>
      </c>
      <c r="EC50" s="46">
        <f t="shared" si="86"/>
        <v>14767.618718980269</v>
      </c>
      <c r="ED50" s="46">
        <f t="shared" si="86"/>
        <v>14767.956374407404</v>
      </c>
      <c r="EE50" s="46">
        <f t="shared" si="86"/>
        <v>14422.293143631516</v>
      </c>
      <c r="EF50" s="46">
        <f t="shared" si="86"/>
        <v>14687.245091337272</v>
      </c>
      <c r="EG50" s="46">
        <f t="shared" si="86"/>
        <v>14766.79738752553</v>
      </c>
      <c r="EH50" s="46">
        <f t="shared" si="86"/>
        <v>14766.38540064848</v>
      </c>
      <c r="EI50" s="46">
        <f t="shared" si="86"/>
        <v>14420.470709934092</v>
      </c>
      <c r="EJ50" s="46">
        <f t="shared" si="86"/>
        <v>14684.576295423798</v>
      </c>
      <c r="EK50" s="46">
        <f t="shared" si="86"/>
        <v>14764.213843079688</v>
      </c>
      <c r="EL50" s="46">
        <f t="shared" si="86"/>
        <v>14763.822878629666</v>
      </c>
      <c r="EM50" s="46">
        <f t="shared" si="86"/>
        <v>14417.969129386925</v>
      </c>
      <c r="EN50" s="46">
        <f t="shared" si="86"/>
        <v>14683.003531863613</v>
      </c>
      <c r="EO50" s="46">
        <f t="shared" si="86"/>
        <v>14762.527479685687</v>
      </c>
      <c r="EP50" s="46">
        <f t="shared" si="86"/>
        <v>14762.422077860097</v>
      </c>
      <c r="EQ50" s="46">
        <f t="shared" si="86"/>
        <v>14417.213174726181</v>
      </c>
      <c r="ER50" s="46">
        <f t="shared" si="86"/>
        <v>14682.624671644635</v>
      </c>
      <c r="ES50" s="46">
        <f t="shared" si="86"/>
        <v>14761.785723989291</v>
      </c>
      <c r="ET50" s="46">
        <f t="shared" si="86"/>
        <v>14761.873030337571</v>
      </c>
      <c r="EU50" s="46">
        <f t="shared" si="86"/>
        <v>14418.590044592995</v>
      </c>
      <c r="EV50" s="46">
        <f t="shared" si="86"/>
        <v>14683.363774293714</v>
      </c>
      <c r="EW50" s="46">
        <f t="shared" si="86"/>
        <v>14762.418219174811</v>
      </c>
      <c r="EX50" s="46">
        <f t="shared" si="86"/>
        <v>14762.479485270957</v>
      </c>
      <c r="EY50" s="46">
        <f t="shared" si="86"/>
        <v>14420.038433400015</v>
      </c>
      <c r="EZ50" s="46">
        <f t="shared" si="86"/>
        <v>14684.188541650132</v>
      </c>
      <c r="FA50" s="46">
        <f t="shared" si="86"/>
        <v>14763.53436830035</v>
      </c>
      <c r="FB50" s="46">
        <f t="shared" si="86"/>
        <v>14763.509911205516</v>
      </c>
      <c r="FC50" s="46">
        <f t="shared" si="86"/>
        <v>14419.772289576787</v>
      </c>
      <c r="FD50" s="46">
        <f t="shared" si="86"/>
        <v>14684.563606236412</v>
      </c>
      <c r="FE50" s="46">
        <f t="shared" si="86"/>
        <v>14764.080284394833</v>
      </c>
      <c r="FF50" s="46">
        <f t="shared" si="86"/>
        <v>14764.096392264821</v>
      </c>
      <c r="FG50" s="46">
        <f t="shared" si="86"/>
        <v>14419.399607497562</v>
      </c>
      <c r="FH50" s="46">
        <f t="shared" si="86"/>
        <v>14684.423256022557</v>
      </c>
      <c r="FI50" s="46">
        <f t="shared" si="86"/>
        <v>14763.563198342035</v>
      </c>
      <c r="FJ50" s="46">
        <f t="shared" si="86"/>
        <v>14763.590950917049</v>
      </c>
    </row>
    <row r="51" spans="1:166" ht="15" x14ac:dyDescent="0.25">
      <c r="A51" s="9" t="s">
        <v>120</v>
      </c>
      <c r="C51" s="45">
        <f>'Qrtly Credit-Deficit Generation'!C6</f>
        <v>32732</v>
      </c>
      <c r="D51" s="45">
        <f>'Qrtly Credit-Deficit Generation'!D6</f>
        <v>34288</v>
      </c>
      <c r="E51" s="45">
        <f>'Qrtly Credit-Deficit Generation'!E6</f>
        <v>33231</v>
      </c>
      <c r="F51" s="45">
        <f>'Qrtly Credit-Deficit Generation'!F6</f>
        <v>32727</v>
      </c>
      <c r="G51" s="45">
        <f>'Qrtly Credit-Deficit Generation'!G6</f>
        <v>32327</v>
      </c>
      <c r="H51" s="45">
        <f>'Qrtly Credit-Deficit Generation'!H6</f>
        <v>33371</v>
      </c>
      <c r="I51" s="45">
        <f>'Qrtly Credit-Deficit Generation'!I6</f>
        <v>39529</v>
      </c>
      <c r="J51" s="45">
        <f>'Qrtly Credit-Deficit Generation'!J6</f>
        <v>38669</v>
      </c>
      <c r="K51" s="45">
        <f>'Qrtly Credit-Deficit Generation'!K6</f>
        <v>44095</v>
      </c>
      <c r="L51" s="45">
        <f>'Qrtly Credit-Deficit Generation'!L6</f>
        <v>45016</v>
      </c>
      <c r="M51" s="45">
        <f>'Qrtly Credit-Deficit Generation'!M6</f>
        <v>40844</v>
      </c>
      <c r="N51" s="45">
        <f>'Qrtly Credit-Deficit Generation'!N6</f>
        <v>41459</v>
      </c>
      <c r="O51" s="45">
        <f>'Qrtly Credit-Deficit Generation'!O6</f>
        <v>46146</v>
      </c>
      <c r="P51" s="45">
        <f>'Qrtly Credit-Deficit Generation'!P6</f>
        <v>57193</v>
      </c>
      <c r="Q51" s="45">
        <f>'Qrtly Credit-Deficit Generation'!Q6</f>
        <v>53771</v>
      </c>
      <c r="R51" s="45">
        <f>'Qrtly Credit-Deficit Generation'!R6</f>
        <v>53264</v>
      </c>
      <c r="S51" s="45">
        <f>'Qrtly Credit-Deficit Generation'!S6</f>
        <v>49788</v>
      </c>
      <c r="T51" s="45">
        <f>'Qrtly Credit-Deficit Generation'!T6</f>
        <v>42794</v>
      </c>
      <c r="U51" s="45">
        <f>'Qrtly Credit-Deficit Generation'!U6</f>
        <v>45890</v>
      </c>
      <c r="V51" s="45">
        <f>'Qrtly Credit-Deficit Generation'!V6</f>
        <v>44869</v>
      </c>
      <c r="W51" s="45">
        <f>'Qrtly Credit-Deficit Generation'!W6</f>
        <v>41647</v>
      </c>
      <c r="X51" s="45">
        <f>'Qrtly Credit-Deficit Generation'!X6</f>
        <v>44643</v>
      </c>
      <c r="Y51" s="45">
        <f>'Qrtly Credit-Deficit Generation'!Y6</f>
        <v>39237</v>
      </c>
      <c r="Z51" s="45">
        <f>'Qrtly Credit-Deficit Generation'!Z6</f>
        <v>37155</v>
      </c>
      <c r="AA51" s="45">
        <f>'Qrtly Credit-Deficit Generation'!AA6</f>
        <v>15988</v>
      </c>
      <c r="AB51" s="45">
        <f>'Qrtly Credit-Deficit Generation'!AB6</f>
        <v>14314</v>
      </c>
      <c r="AC51" s="45">
        <f>'Qrtly Credit-Deficit Generation'!AC6</f>
        <v>13956</v>
      </c>
      <c r="AD51" s="45">
        <f>'Qrtly Credit-Deficit Generation'!AD6</f>
        <v>14063</v>
      </c>
      <c r="AE51" s="45">
        <f>'Qrtly Credit-Deficit Generation'!AE6</f>
        <v>15251</v>
      </c>
      <c r="AF51" s="45">
        <f>'Qrtly Credit-Deficit Generation'!AF6</f>
        <v>16921</v>
      </c>
      <c r="AG51" s="45">
        <f>'Qrtly Credit-Deficit Generation'!AG6</f>
        <v>14873</v>
      </c>
      <c r="AH51" s="45">
        <f>'Qrtly Credit-Deficit Generation'!AH6</f>
        <v>11561</v>
      </c>
      <c r="AI51" s="45">
        <f>'Qrtly Credit-Deficit Generation'!AI6</f>
        <v>8133</v>
      </c>
      <c r="AJ51" s="45">
        <f>'Qrtly Credit-Deficit Generation'!AJ6</f>
        <v>7220</v>
      </c>
      <c r="AK51" s="45">
        <f>'Qrtly Credit-Deficit Generation'!AK6</f>
        <v>8107</v>
      </c>
      <c r="AL51" s="45">
        <f>'Qrtly Credit-Deficit Generation'!AL6</f>
        <v>7391</v>
      </c>
      <c r="AM51" s="45">
        <f>'Qrtly Credit-Deficit Generation'!AM6</f>
        <v>3700</v>
      </c>
      <c r="AN51" s="45">
        <f>'Qrtly Credit-Deficit Generation'!AN6</f>
        <v>2451</v>
      </c>
      <c r="AO51" s="45">
        <f>'Qrtly Credit-Deficit Generation'!AO6</f>
        <v>1457</v>
      </c>
      <c r="AP51" s="45">
        <f>'Qrtly Credit-Deficit Generation'!AP6</f>
        <v>585</v>
      </c>
      <c r="AQ51" s="45">
        <f>'Qrtly Credit-Deficit Generation'!AQ6</f>
        <v>487</v>
      </c>
      <c r="AR51" s="45">
        <f>'Qrtly Credit-Deficit Generation'!AR6</f>
        <v>579</v>
      </c>
      <c r="AS51" s="45">
        <f>'Qrtly Credit-Deficit Generation'!AS6</f>
        <v>545</v>
      </c>
      <c r="AT51" s="45">
        <f>'Qrtly Credit-Deficit Generation'!AT6</f>
        <v>836</v>
      </c>
      <c r="AU51" s="45">
        <f>'Qrtly Credit-Deficit Generation'!AU6</f>
        <v>509</v>
      </c>
      <c r="AV51" s="45">
        <f>'Qrtly Credit-Deficit Generation'!AV6</f>
        <v>634</v>
      </c>
      <c r="AW51" s="45">
        <f>'Qrtly Credit-Deficit Generation'!AW6</f>
        <v>655</v>
      </c>
      <c r="AX51" s="45">
        <f>'Qrtly Credit-Deficit Generation'!AX6</f>
        <v>744</v>
      </c>
      <c r="AY51" s="45">
        <v>382</v>
      </c>
      <c r="AZ51" s="45">
        <v>405</v>
      </c>
      <c r="BA51" s="45">
        <v>520</v>
      </c>
      <c r="BB51" s="45">
        <v>329</v>
      </c>
      <c r="BC51" s="45">
        <v>168</v>
      </c>
      <c r="BD51" s="45">
        <v>178</v>
      </c>
      <c r="BE51" s="45">
        <v>100</v>
      </c>
      <c r="BF51" s="46">
        <f t="shared" si="85"/>
        <v>0</v>
      </c>
      <c r="BG51" s="46">
        <f t="shared" si="85"/>
        <v>0</v>
      </c>
      <c r="BH51" s="46">
        <f t="shared" si="85"/>
        <v>0</v>
      </c>
      <c r="BI51" s="46">
        <f t="shared" si="85"/>
        <v>0</v>
      </c>
      <c r="BJ51" s="46">
        <f t="shared" si="85"/>
        <v>0</v>
      </c>
      <c r="BK51" s="46">
        <f t="shared" si="85"/>
        <v>0</v>
      </c>
      <c r="BL51" s="46">
        <f t="shared" si="85"/>
        <v>299.92985503108127</v>
      </c>
      <c r="BM51" s="46">
        <f t="shared" si="85"/>
        <v>314.64759796000271</v>
      </c>
      <c r="BN51" s="46">
        <f t="shared" si="85"/>
        <v>336.87435077609848</v>
      </c>
      <c r="BO51" s="46">
        <f t="shared" si="85"/>
        <v>368.78367266907753</v>
      </c>
      <c r="BP51" s="46">
        <f t="shared" si="85"/>
        <v>415.06939980055631</v>
      </c>
      <c r="BQ51" s="46">
        <f t="shared" si="85"/>
        <v>473.04414736292404</v>
      </c>
      <c r="BR51" s="46">
        <f t="shared" si="85"/>
        <v>525.36521043412495</v>
      </c>
      <c r="BS51" s="46">
        <f t="shared" si="85"/>
        <v>540.43323224505798</v>
      </c>
      <c r="BT51" s="46">
        <f t="shared" si="85"/>
        <v>504.30440197541537</v>
      </c>
      <c r="BU51" s="46">
        <f t="shared" si="85"/>
        <v>523.30395807781997</v>
      </c>
      <c r="BV51" s="46">
        <f t="shared" si="85"/>
        <v>516.5153938646805</v>
      </c>
      <c r="BW51" s="46">
        <f t="shared" si="85"/>
        <v>519.0293964092748</v>
      </c>
      <c r="BX51" s="46">
        <f t="shared" si="85"/>
        <v>534.69475852694904</v>
      </c>
      <c r="BY51" s="46">
        <f t="shared" si="85"/>
        <v>545.28611182362624</v>
      </c>
      <c r="BZ51" s="46">
        <f t="shared" si="85"/>
        <v>539.16307278051158</v>
      </c>
      <c r="CA51" s="46">
        <f t="shared" si="85"/>
        <v>505.73807801641726</v>
      </c>
      <c r="CB51" s="46">
        <f t="shared" si="85"/>
        <v>479.82833468636858</v>
      </c>
      <c r="CC51" s="46">
        <f t="shared" si="85"/>
        <v>458.85371269824225</v>
      </c>
      <c r="CD51" s="46">
        <f t="shared" si="85"/>
        <v>460.56727971877405</v>
      </c>
      <c r="CE51" s="46">
        <f t="shared" si="85"/>
        <v>472.13123202945826</v>
      </c>
      <c r="CF51" s="46">
        <f t="shared" si="85"/>
        <v>522.6058553542041</v>
      </c>
      <c r="CG51" s="46">
        <f t="shared" si="85"/>
        <v>528.12173758117603</v>
      </c>
      <c r="CH51" s="46">
        <f t="shared" si="85"/>
        <v>532.55786900578187</v>
      </c>
      <c r="CI51" s="46">
        <f t="shared" si="85"/>
        <v>538.28931811386792</v>
      </c>
      <c r="CJ51" s="46">
        <f t="shared" si="85"/>
        <v>543.29464725323442</v>
      </c>
      <c r="CK51" s="46">
        <f t="shared" si="85"/>
        <v>548.2927497022431</v>
      </c>
      <c r="CL51" s="46">
        <f t="shared" si="85"/>
        <v>552.77422945238504</v>
      </c>
      <c r="CM51" s="46">
        <f t="shared" si="85"/>
        <v>557.86159850432978</v>
      </c>
      <c r="CN51" s="46">
        <f t="shared" si="85"/>
        <v>563.1723338909311</v>
      </c>
      <c r="CO51" s="46">
        <f t="shared" si="85"/>
        <v>567.21090458962021</v>
      </c>
      <c r="CP51" s="46">
        <f t="shared" si="85"/>
        <v>560.01476909990947</v>
      </c>
      <c r="CQ51" s="46">
        <f t="shared" si="85"/>
        <v>561.32130564254533</v>
      </c>
      <c r="CR51" s="46">
        <f t="shared" si="85"/>
        <v>562.17596467438943</v>
      </c>
      <c r="CS51" s="46">
        <f t="shared" si="85"/>
        <v>561.8981248690834</v>
      </c>
      <c r="CT51" s="46">
        <f t="shared" si="85"/>
        <v>560.38314840882617</v>
      </c>
      <c r="CU51" s="46">
        <f t="shared" si="85"/>
        <v>559.39951549833836</v>
      </c>
      <c r="CV51" s="46">
        <f t="shared" si="85"/>
        <v>563.92717193044132</v>
      </c>
      <c r="CW51" s="46">
        <f t="shared" si="85"/>
        <v>577.12696445603194</v>
      </c>
      <c r="CX51" s="46">
        <f t="shared" si="85"/>
        <v>588.11720995002486</v>
      </c>
      <c r="CY51" s="46">
        <f t="shared" si="85"/>
        <v>594.34948805329134</v>
      </c>
      <c r="CZ51" s="46">
        <f t="shared" si="85"/>
        <v>599.90885045867435</v>
      </c>
      <c r="DA51" s="46">
        <f t="shared" si="85"/>
        <v>605.57878249891553</v>
      </c>
      <c r="DB51" s="46">
        <f t="shared" si="85"/>
        <v>610.96825274567891</v>
      </c>
      <c r="DC51" s="46">
        <f t="shared" si="85"/>
        <v>616.08344236151697</v>
      </c>
      <c r="DD51" s="46">
        <f t="shared" si="85"/>
        <v>621.39457921127519</v>
      </c>
      <c r="DE51" s="46">
        <f t="shared" si="85"/>
        <v>626.83880491152047</v>
      </c>
      <c r="DF51" s="46">
        <f t="shared" si="85"/>
        <v>631.62211682249324</v>
      </c>
      <c r="DG51" s="46">
        <f t="shared" si="85"/>
        <v>635.33279673418383</v>
      </c>
      <c r="DH51" s="46">
        <f t="shared" si="85"/>
        <v>637.48895023173316</v>
      </c>
      <c r="DI51" s="46">
        <f t="shared" si="85"/>
        <v>638.90660742691739</v>
      </c>
      <c r="DJ51" s="46">
        <f t="shared" si="86"/>
        <v>640.15591348886903</v>
      </c>
      <c r="DK51" s="46">
        <f t="shared" si="86"/>
        <v>643.84676227489399</v>
      </c>
      <c r="DL51" s="46">
        <f t="shared" si="86"/>
        <v>647.65536808388345</v>
      </c>
      <c r="DM51" s="46">
        <f t="shared" si="86"/>
        <v>651.56097459214993</v>
      </c>
      <c r="DN51" s="46">
        <f t="shared" si="86"/>
        <v>655.67647108784297</v>
      </c>
      <c r="DO51" s="46">
        <f t="shared" si="86"/>
        <v>660.04070633905087</v>
      </c>
      <c r="DP51" s="46">
        <f t="shared" si="86"/>
        <v>664.65496198359995</v>
      </c>
      <c r="DQ51" s="46">
        <f t="shared" si="86"/>
        <v>669.54575053354733</v>
      </c>
      <c r="DR51" s="46">
        <f t="shared" si="86"/>
        <v>674.73298984219934</v>
      </c>
      <c r="DS51" s="46">
        <f t="shared" si="86"/>
        <v>680.21744369701958</v>
      </c>
      <c r="DT51" s="46">
        <f t="shared" si="86"/>
        <v>685.87574196480386</v>
      </c>
      <c r="DU51" s="46">
        <f t="shared" si="86"/>
        <v>690.84651995458455</v>
      </c>
      <c r="DV51" s="46">
        <f t="shared" si="86"/>
        <v>695.77315517790203</v>
      </c>
      <c r="DW51" s="46">
        <f t="shared" si="86"/>
        <v>700.5472302967205</v>
      </c>
      <c r="DX51" s="46">
        <f t="shared" si="86"/>
        <v>705.02094287489911</v>
      </c>
      <c r="DY51" s="46">
        <f t="shared" si="86"/>
        <v>709.02169005697169</v>
      </c>
      <c r="DZ51" s="46">
        <f t="shared" si="86"/>
        <v>712.48727049771344</v>
      </c>
      <c r="EA51" s="46">
        <f t="shared" si="86"/>
        <v>715.73304559460985</v>
      </c>
      <c r="EB51" s="46">
        <f t="shared" si="86"/>
        <v>719.35206930432639</v>
      </c>
      <c r="EC51" s="46">
        <f t="shared" si="86"/>
        <v>723.29274857983717</v>
      </c>
      <c r="ED51" s="46">
        <f t="shared" si="86"/>
        <v>727.30819943995607</v>
      </c>
      <c r="EE51" s="46">
        <f t="shared" si="86"/>
        <v>731.35865717551235</v>
      </c>
      <c r="EF51" s="46">
        <f t="shared" si="86"/>
        <v>735.50455160417664</v>
      </c>
      <c r="EG51" s="46">
        <f t="shared" si="86"/>
        <v>739.73252140871944</v>
      </c>
      <c r="EH51" s="46">
        <f t="shared" si="86"/>
        <v>744.04379441953427</v>
      </c>
      <c r="EI51" s="46">
        <f t="shared" si="86"/>
        <v>748.46736267174015</v>
      </c>
      <c r="EJ51" s="46">
        <f t="shared" si="86"/>
        <v>753.03489160856873</v>
      </c>
      <c r="EK51" s="46">
        <f t="shared" si="86"/>
        <v>757.72402383635722</v>
      </c>
      <c r="EL51" s="46">
        <f t="shared" si="86"/>
        <v>762.47428964112339</v>
      </c>
      <c r="EM51" s="46">
        <f t="shared" si="86"/>
        <v>767.1715309137079</v>
      </c>
      <c r="EN51" s="46">
        <f t="shared" si="86"/>
        <v>771.73747126421472</v>
      </c>
      <c r="EO51" s="46">
        <f t="shared" si="86"/>
        <v>776.11929657273447</v>
      </c>
      <c r="EP51" s="46">
        <f t="shared" si="86"/>
        <v>780.45070964217234</v>
      </c>
      <c r="EQ51" s="46">
        <f t="shared" si="86"/>
        <v>784.7277295517739</v>
      </c>
      <c r="ER51" s="46">
        <f t="shared" si="86"/>
        <v>788.94664588148987</v>
      </c>
      <c r="ES51" s="46">
        <f t="shared" si="86"/>
        <v>793.11259956517642</v>
      </c>
      <c r="ET51" s="46">
        <f t="shared" si="86"/>
        <v>797.23611936044767</v>
      </c>
      <c r="EU51" s="46">
        <f t="shared" si="86"/>
        <v>801.33112259567281</v>
      </c>
      <c r="EV51" s="46">
        <f t="shared" si="86"/>
        <v>805.41784268587264</v>
      </c>
      <c r="EW51" s="46">
        <f t="shared" si="86"/>
        <v>809.52243006105869</v>
      </c>
      <c r="EX51" s="46">
        <f t="shared" si="86"/>
        <v>813.67671570604284</v>
      </c>
      <c r="EY51" s="46">
        <f t="shared" si="86"/>
        <v>817.90949815106956</v>
      </c>
      <c r="EZ51" s="46">
        <f t="shared" si="86"/>
        <v>822.19121359966778</v>
      </c>
      <c r="FA51" s="46">
        <f t="shared" si="86"/>
        <v>826.53020192524411</v>
      </c>
      <c r="FB51" s="46">
        <f t="shared" si="86"/>
        <v>830.92735170883827</v>
      </c>
      <c r="FC51" s="46">
        <f t="shared" si="86"/>
        <v>835.37134778485495</v>
      </c>
      <c r="FD51" s="46">
        <f t="shared" si="86"/>
        <v>839.83432531331414</v>
      </c>
      <c r="FE51" s="46">
        <f t="shared" si="86"/>
        <v>844.27618597013816</v>
      </c>
      <c r="FF51" s="46">
        <f t="shared" si="86"/>
        <v>848.66962295347662</v>
      </c>
      <c r="FG51" s="46">
        <f t="shared" si="86"/>
        <v>853.02745622406042</v>
      </c>
      <c r="FH51" s="46">
        <f t="shared" si="86"/>
        <v>857.36396461727588</v>
      </c>
      <c r="FI51" s="46">
        <f t="shared" si="86"/>
        <v>861.67893826933937</v>
      </c>
      <c r="FJ51" s="46">
        <f t="shared" si="86"/>
        <v>865.97133033963246</v>
      </c>
    </row>
    <row r="52" spans="1:166" ht="15" x14ac:dyDescent="0.25">
      <c r="A52" s="9" t="s">
        <v>121</v>
      </c>
      <c r="C52" s="45">
        <f>'Qrtly Credit-Deficit Generation'!C7</f>
        <v>7202</v>
      </c>
      <c r="D52" s="45">
        <f>'Qrtly Credit-Deficit Generation'!D7</f>
        <v>7881</v>
      </c>
      <c r="E52" s="45">
        <f>'Qrtly Credit-Deficit Generation'!E7</f>
        <v>8212</v>
      </c>
      <c r="F52" s="45">
        <f>'Qrtly Credit-Deficit Generation'!F7</f>
        <v>8117</v>
      </c>
      <c r="G52" s="45">
        <f>'Qrtly Credit-Deficit Generation'!G7</f>
        <v>7899</v>
      </c>
      <c r="H52" s="45">
        <f>'Qrtly Credit-Deficit Generation'!H7</f>
        <v>9787</v>
      </c>
      <c r="I52" s="45">
        <f>'Qrtly Credit-Deficit Generation'!I7</f>
        <v>10413</v>
      </c>
      <c r="J52" s="45">
        <f>'Qrtly Credit-Deficit Generation'!J7</f>
        <v>11175</v>
      </c>
      <c r="K52" s="45">
        <f>'Qrtly Credit-Deficit Generation'!K7</f>
        <v>15151</v>
      </c>
      <c r="L52" s="45">
        <f>'Qrtly Credit-Deficit Generation'!L7</f>
        <v>13029</v>
      </c>
      <c r="M52" s="45">
        <f>'Qrtly Credit-Deficit Generation'!M7</f>
        <v>9955</v>
      </c>
      <c r="N52" s="45">
        <f>'Qrtly Credit-Deficit Generation'!N7</f>
        <v>12306</v>
      </c>
      <c r="O52" s="45">
        <f>'Qrtly Credit-Deficit Generation'!O7</f>
        <v>11495</v>
      </c>
      <c r="P52" s="45">
        <f>'Qrtly Credit-Deficit Generation'!P7</f>
        <v>13162</v>
      </c>
      <c r="Q52" s="45">
        <f>'Qrtly Credit-Deficit Generation'!Q7</f>
        <v>7022</v>
      </c>
      <c r="R52" s="45">
        <f>'Qrtly Credit-Deficit Generation'!R7</f>
        <v>4963</v>
      </c>
      <c r="S52" s="45">
        <f>'Qrtly Credit-Deficit Generation'!S7</f>
        <v>9872</v>
      </c>
      <c r="T52" s="45">
        <f>'Qrtly Credit-Deficit Generation'!T7</f>
        <v>7884</v>
      </c>
      <c r="U52" s="45">
        <f>'Qrtly Credit-Deficit Generation'!U7</f>
        <v>3688</v>
      </c>
      <c r="V52" s="45">
        <f>'Qrtly Credit-Deficit Generation'!V7</f>
        <v>806</v>
      </c>
      <c r="W52" s="45">
        <f>'Qrtly Credit-Deficit Generation'!W7</f>
        <v>1980</v>
      </c>
      <c r="X52" s="45">
        <f>'Qrtly Credit-Deficit Generation'!X7</f>
        <v>1973</v>
      </c>
      <c r="Y52" s="45">
        <f>'Qrtly Credit-Deficit Generation'!Y7</f>
        <v>1720</v>
      </c>
      <c r="Z52" s="45">
        <f>'Qrtly Credit-Deficit Generation'!Z7</f>
        <v>1836</v>
      </c>
      <c r="AA52" s="45">
        <f>'Qrtly Credit-Deficit Generation'!AA7</f>
        <v>43</v>
      </c>
      <c r="AB52" s="45">
        <f>'Qrtly Credit-Deficit Generation'!AB7</f>
        <v>9</v>
      </c>
      <c r="AC52" s="45">
        <f>'Qrtly Credit-Deficit Generation'!AC7</f>
        <v>49</v>
      </c>
      <c r="AD52" s="45">
        <f>'Qrtly Credit-Deficit Generation'!AD7</f>
        <v>72</v>
      </c>
      <c r="AE52" s="45">
        <f>'Qrtly Credit-Deficit Generation'!AE7</f>
        <v>41</v>
      </c>
      <c r="AF52" s="45">
        <f>'Qrtly Credit-Deficit Generation'!AF7</f>
        <v>43</v>
      </c>
      <c r="AG52" s="45">
        <f>'Qrtly Credit-Deficit Generation'!AG7</f>
        <v>36</v>
      </c>
      <c r="AH52" s="45">
        <f>'Qrtly Credit-Deficit Generation'!AH7</f>
        <v>49</v>
      </c>
      <c r="AI52" s="45">
        <f>'Qrtly Credit-Deficit Generation'!AI7</f>
        <v>0</v>
      </c>
      <c r="AJ52" s="45">
        <f>'Qrtly Credit-Deficit Generation'!AJ7</f>
        <v>0</v>
      </c>
      <c r="AK52" s="45">
        <f>'Qrtly Credit-Deficit Generation'!AK7</f>
        <v>0</v>
      </c>
      <c r="AL52" s="45">
        <f>'Qrtly Credit-Deficit Generation'!AL7</f>
        <v>0</v>
      </c>
      <c r="AM52" s="45">
        <f>'Qrtly Credit-Deficit Generation'!AM7</f>
        <v>0</v>
      </c>
      <c r="AN52" s="45">
        <f>'Qrtly Credit-Deficit Generation'!AN7</f>
        <v>0</v>
      </c>
      <c r="AO52" s="45">
        <f>'Qrtly Credit-Deficit Generation'!AO7</f>
        <v>0</v>
      </c>
      <c r="AP52" s="45">
        <f>'Qrtly Credit-Deficit Generation'!AP7</f>
        <v>0</v>
      </c>
      <c r="AQ52" s="45">
        <f>'Qrtly Credit-Deficit Generation'!AQ7</f>
        <v>0</v>
      </c>
      <c r="AR52" s="45">
        <f>'Qrtly Credit-Deficit Generation'!AR7</f>
        <v>0</v>
      </c>
      <c r="AS52" s="45">
        <f>'Qrtly Credit-Deficit Generation'!AS7</f>
        <v>0</v>
      </c>
      <c r="AT52" s="45">
        <f>'Qrtly Credit-Deficit Generation'!AT7</f>
        <v>0</v>
      </c>
      <c r="AU52" s="45">
        <f>'Qrtly Credit-Deficit Generation'!AU7</f>
        <v>0</v>
      </c>
      <c r="AV52" s="45">
        <f>'Qrtly Credit-Deficit Generation'!AV7</f>
        <v>0</v>
      </c>
      <c r="AW52" s="45">
        <f>'Qrtly Credit-Deficit Generation'!AW7</f>
        <v>0</v>
      </c>
      <c r="AX52" s="45">
        <f>'Qrtly Credit-Deficit Generation'!AX7</f>
        <v>0</v>
      </c>
      <c r="AY52" s="45">
        <f>'Qrtly Credit-Deficit Generation'!AY7</f>
        <v>0</v>
      </c>
      <c r="AZ52" s="45">
        <f>'Qrtly Credit-Deficit Generation'!AZ7</f>
        <v>0</v>
      </c>
      <c r="BA52" s="46"/>
      <c r="BB52" s="46"/>
      <c r="BC52" s="46"/>
      <c r="BD52" s="46"/>
      <c r="BE52" s="45">
        <v>0</v>
      </c>
      <c r="BF52" s="46"/>
      <c r="BG52" s="46"/>
      <c r="BH52" s="46"/>
      <c r="BI52" s="46"/>
      <c r="BJ52" s="46"/>
      <c r="BK52" s="46"/>
      <c r="BL52" s="46"/>
      <c r="BM52" s="46"/>
      <c r="BN52" s="46"/>
      <c r="BO52" s="46"/>
      <c r="BP52" s="46"/>
      <c r="BQ52" s="46"/>
      <c r="BR52" s="46"/>
      <c r="BS52" s="46"/>
      <c r="BT52" s="46"/>
      <c r="BU52" s="46"/>
      <c r="BV52" s="46"/>
      <c r="BW52" s="46"/>
      <c r="BX52" s="46"/>
      <c r="BY52" s="46"/>
      <c r="BZ52" s="46"/>
      <c r="CA52" s="46"/>
      <c r="CB52" s="46"/>
      <c r="CC52" s="46"/>
      <c r="CD52" s="46"/>
      <c r="CE52" s="46"/>
      <c r="CF52" s="46"/>
      <c r="CG52" s="46"/>
      <c r="CH52" s="46"/>
      <c r="CI52" s="46"/>
      <c r="CJ52" s="46"/>
      <c r="CK52" s="46"/>
      <c r="CL52" s="46"/>
      <c r="CM52" s="46"/>
      <c r="CN52" s="46"/>
      <c r="CO52" s="46"/>
      <c r="CP52" s="46"/>
      <c r="CQ52" s="46"/>
      <c r="CR52" s="46"/>
      <c r="CS52" s="46"/>
      <c r="CT52" s="46"/>
      <c r="CU52" s="46"/>
      <c r="CV52" s="46"/>
      <c r="CW52" s="46"/>
      <c r="CX52" s="46"/>
      <c r="CY52" s="46"/>
      <c r="CZ52" s="46"/>
      <c r="DA52" s="46"/>
      <c r="DB52" s="46"/>
      <c r="DC52" s="46"/>
      <c r="DD52" s="46"/>
      <c r="DE52" s="46"/>
      <c r="DF52" s="46"/>
      <c r="DG52" s="46"/>
      <c r="DH52" s="46"/>
      <c r="DI52" s="46"/>
      <c r="DJ52" s="46"/>
      <c r="DK52" s="46"/>
      <c r="DL52" s="46"/>
      <c r="DM52" s="46"/>
      <c r="DN52" s="46"/>
      <c r="DO52" s="46"/>
      <c r="DP52" s="46"/>
      <c r="DQ52" s="46"/>
      <c r="DR52" s="46"/>
      <c r="DS52" s="46"/>
      <c r="DT52" s="46"/>
      <c r="DU52" s="46"/>
      <c r="DV52" s="46"/>
      <c r="DW52" s="46"/>
      <c r="DX52" s="46"/>
      <c r="DY52" s="46"/>
      <c r="DZ52" s="46"/>
      <c r="EA52" s="46"/>
      <c r="EB52" s="46"/>
      <c r="EC52" s="46"/>
      <c r="ED52" s="46"/>
      <c r="EE52" s="46"/>
      <c r="EF52" s="46"/>
      <c r="EG52" s="46"/>
      <c r="EH52" s="46"/>
      <c r="EI52" s="46"/>
      <c r="EJ52" s="46"/>
      <c r="EK52" s="46"/>
      <c r="EL52" s="46"/>
      <c r="EM52" s="46"/>
      <c r="EN52" s="46"/>
      <c r="EO52" s="46"/>
      <c r="EP52" s="46"/>
      <c r="EQ52" s="46"/>
      <c r="ER52" s="46"/>
      <c r="ES52" s="46"/>
      <c r="ET52" s="46"/>
      <c r="EU52" s="46"/>
      <c r="EV52" s="46"/>
      <c r="EW52" s="46"/>
      <c r="EX52" s="46"/>
      <c r="EY52" s="46"/>
      <c r="EZ52" s="46"/>
      <c r="FA52" s="46"/>
      <c r="FB52" s="46"/>
      <c r="FC52" s="46"/>
      <c r="FD52" s="46"/>
      <c r="FE52" s="46"/>
      <c r="FF52" s="46"/>
      <c r="FG52" s="46"/>
      <c r="FH52" s="46"/>
      <c r="FI52" s="46"/>
      <c r="FJ52" s="46"/>
    </row>
    <row r="53" spans="1:166" ht="15" x14ac:dyDescent="0.25">
      <c r="A53" s="9" t="s">
        <v>122</v>
      </c>
      <c r="C53" s="45">
        <f>'Qrtly Credit-Deficit Generation'!C8</f>
        <v>0</v>
      </c>
      <c r="D53" s="45">
        <f>'Qrtly Credit-Deficit Generation'!D8</f>
        <v>0</v>
      </c>
      <c r="E53" s="45">
        <f>'Qrtly Credit-Deficit Generation'!E8</f>
        <v>0</v>
      </c>
      <c r="F53" s="45">
        <f>'Qrtly Credit-Deficit Generation'!F8</f>
        <v>0</v>
      </c>
      <c r="G53" s="45">
        <f>'Qrtly Credit-Deficit Generation'!G8</f>
        <v>0</v>
      </c>
      <c r="H53" s="45">
        <f>'Qrtly Credit-Deficit Generation'!H8</f>
        <v>0</v>
      </c>
      <c r="I53" s="45">
        <f>'Qrtly Credit-Deficit Generation'!I8</f>
        <v>0</v>
      </c>
      <c r="J53" s="45">
        <f>'Qrtly Credit-Deficit Generation'!J8</f>
        <v>0</v>
      </c>
      <c r="K53" s="45">
        <f>'Qrtly Credit-Deficit Generation'!K8</f>
        <v>0</v>
      </c>
      <c r="L53" s="45">
        <f>'Qrtly Credit-Deficit Generation'!L8</f>
        <v>0</v>
      </c>
      <c r="M53" s="45">
        <f>'Qrtly Credit-Deficit Generation'!M8</f>
        <v>0</v>
      </c>
      <c r="N53" s="45">
        <f>'Qrtly Credit-Deficit Generation'!N8</f>
        <v>0</v>
      </c>
      <c r="O53" s="45">
        <f>'Qrtly Credit-Deficit Generation'!O8</f>
        <v>0</v>
      </c>
      <c r="P53" s="45">
        <f>'Qrtly Credit-Deficit Generation'!P8</f>
        <v>0</v>
      </c>
      <c r="Q53" s="45">
        <f>'Qrtly Credit-Deficit Generation'!Q8</f>
        <v>0</v>
      </c>
      <c r="R53" s="45">
        <f>'Qrtly Credit-Deficit Generation'!R8</f>
        <v>0</v>
      </c>
      <c r="S53" s="45">
        <f>'Qrtly Credit-Deficit Generation'!S8</f>
        <v>0</v>
      </c>
      <c r="T53" s="45">
        <f>'Qrtly Credit-Deficit Generation'!T8</f>
        <v>0</v>
      </c>
      <c r="U53" s="45">
        <f>'Qrtly Credit-Deficit Generation'!U8</f>
        <v>50</v>
      </c>
      <c r="V53" s="45">
        <f>'Qrtly Credit-Deficit Generation'!V8</f>
        <v>24</v>
      </c>
      <c r="W53" s="45">
        <f>'Qrtly Credit-Deficit Generation'!W8</f>
        <v>33</v>
      </c>
      <c r="X53" s="45">
        <f>'Qrtly Credit-Deficit Generation'!X8</f>
        <v>28</v>
      </c>
      <c r="Y53" s="45">
        <f>'Qrtly Credit-Deficit Generation'!Y8</f>
        <v>1</v>
      </c>
      <c r="Z53" s="45">
        <f>'Qrtly Credit-Deficit Generation'!Z8</f>
        <v>2</v>
      </c>
      <c r="AA53" s="45">
        <f>'Qrtly Credit-Deficit Generation'!AA8</f>
        <v>562</v>
      </c>
      <c r="AB53" s="45">
        <f>'Qrtly Credit-Deficit Generation'!AB8</f>
        <v>820</v>
      </c>
      <c r="AC53" s="45">
        <f>'Qrtly Credit-Deficit Generation'!AC8</f>
        <v>970</v>
      </c>
      <c r="AD53" s="45">
        <f>'Qrtly Credit-Deficit Generation'!AD8</f>
        <v>1084</v>
      </c>
      <c r="AE53" s="45">
        <f>'Qrtly Credit-Deficit Generation'!AE8</f>
        <v>1408</v>
      </c>
      <c r="AF53" s="45">
        <f>'Qrtly Credit-Deficit Generation'!AF8</f>
        <v>1664</v>
      </c>
      <c r="AG53" s="45">
        <f>'Qrtly Credit-Deficit Generation'!AG8</f>
        <v>1779</v>
      </c>
      <c r="AH53" s="45">
        <f>'Qrtly Credit-Deficit Generation'!AH8</f>
        <v>2133</v>
      </c>
      <c r="AI53" s="45">
        <f>'Qrtly Credit-Deficit Generation'!AI8</f>
        <v>2535</v>
      </c>
      <c r="AJ53" s="45">
        <f>'Qrtly Credit-Deficit Generation'!AJ8</f>
        <v>3048</v>
      </c>
      <c r="AK53" s="45">
        <f>'Qrtly Credit-Deficit Generation'!AK8</f>
        <v>3886</v>
      </c>
      <c r="AL53" s="45">
        <f>'Qrtly Credit-Deficit Generation'!AL8</f>
        <v>4353</v>
      </c>
      <c r="AM53" s="45">
        <f>'Qrtly Credit-Deficit Generation'!AM8</f>
        <v>3901</v>
      </c>
      <c r="AN53" s="45">
        <f>'Qrtly Credit-Deficit Generation'!AN8</f>
        <v>3026</v>
      </c>
      <c r="AO53" s="45">
        <f>'Qrtly Credit-Deficit Generation'!AO8</f>
        <v>4220</v>
      </c>
      <c r="AP53" s="45">
        <f>'Qrtly Credit-Deficit Generation'!AP8</f>
        <v>6867</v>
      </c>
      <c r="AQ53" s="45">
        <f>'Qrtly Credit-Deficit Generation'!AQ8</f>
        <v>6268</v>
      </c>
      <c r="AR53" s="45">
        <f>'Qrtly Credit-Deficit Generation'!AR8</f>
        <v>9267</v>
      </c>
      <c r="AS53" s="45">
        <f>'Qrtly Credit-Deficit Generation'!AS8</f>
        <v>9620</v>
      </c>
      <c r="AT53" s="45">
        <f>'Qrtly Credit-Deficit Generation'!AT8</f>
        <v>11732</v>
      </c>
      <c r="AU53" s="45">
        <f>'Qrtly Credit-Deficit Generation'!AU8</f>
        <v>12653</v>
      </c>
      <c r="AV53" s="45">
        <f>'Qrtly Credit-Deficit Generation'!AV8</f>
        <v>16883</v>
      </c>
      <c r="AW53" s="45">
        <f>'Qrtly Credit-Deficit Generation'!AW8</f>
        <v>16746</v>
      </c>
      <c r="AX53" s="45">
        <f>'Qrtly Credit-Deficit Generation'!AX8</f>
        <v>16067</v>
      </c>
      <c r="AY53" s="45">
        <v>15098</v>
      </c>
      <c r="AZ53" s="45">
        <v>15828</v>
      </c>
      <c r="BA53" s="45">
        <v>15556</v>
      </c>
      <c r="BB53" s="45">
        <v>14298</v>
      </c>
      <c r="BC53" s="45">
        <v>13327</v>
      </c>
      <c r="BD53" s="45">
        <v>12287</v>
      </c>
      <c r="BE53" s="45">
        <v>11606</v>
      </c>
      <c r="BF53" s="46">
        <f t="shared" ref="BF53:DI57" si="87">IF(FORECAST(BF9,AB53:BE53,AB9:BE9)&lt;0,0,FORECAST(BF9,AB53:BE53,AB9:BE9))</f>
        <v>12854.67849309474</v>
      </c>
      <c r="BG53" s="46">
        <f t="shared" si="87"/>
        <v>15376.28305270033</v>
      </c>
      <c r="BH53" s="46">
        <f t="shared" si="87"/>
        <v>14987.965968493852</v>
      </c>
      <c r="BI53" s="46">
        <f t="shared" si="87"/>
        <v>16099.440888662321</v>
      </c>
      <c r="BJ53" s="46">
        <f t="shared" si="87"/>
        <v>16897.931286406463</v>
      </c>
      <c r="BK53" s="46">
        <f t="shared" si="87"/>
        <v>18555.75164822537</v>
      </c>
      <c r="BL53" s="46">
        <f t="shared" si="87"/>
        <v>19774.149957368136</v>
      </c>
      <c r="BM53" s="46">
        <f t="shared" si="87"/>
        <v>20535.843397100321</v>
      </c>
      <c r="BN53" s="46">
        <f t="shared" si="87"/>
        <v>21162.085875411318</v>
      </c>
      <c r="BO53" s="46">
        <f t="shared" si="87"/>
        <v>21767.022910563144</v>
      </c>
      <c r="BP53" s="46">
        <f t="shared" si="87"/>
        <v>22266.290528782214</v>
      </c>
      <c r="BQ53" s="46">
        <f t="shared" si="87"/>
        <v>22809.784564442507</v>
      </c>
      <c r="BR53" s="46">
        <f t="shared" si="87"/>
        <v>23341.268203237378</v>
      </c>
      <c r="BS53" s="46">
        <f t="shared" si="87"/>
        <v>23965.883636878498</v>
      </c>
      <c r="BT53" s="46">
        <f t="shared" si="87"/>
        <v>24425.884524572946</v>
      </c>
      <c r="BU53" s="46">
        <f t="shared" si="87"/>
        <v>24999.420595853037</v>
      </c>
      <c r="BV53" s="46">
        <f t="shared" si="87"/>
        <v>25611.214426603772</v>
      </c>
      <c r="BW53" s="46">
        <f t="shared" si="87"/>
        <v>26184.873103238908</v>
      </c>
      <c r="BX53" s="46">
        <f t="shared" si="87"/>
        <v>26763.804872286826</v>
      </c>
      <c r="BY53" s="46">
        <f t="shared" si="87"/>
        <v>27380.311164789629</v>
      </c>
      <c r="BZ53" s="46">
        <f t="shared" si="87"/>
        <v>28005.455176857104</v>
      </c>
      <c r="CA53" s="46">
        <f t="shared" si="87"/>
        <v>28589.921053571681</v>
      </c>
      <c r="CB53" s="46">
        <f t="shared" si="87"/>
        <v>29165.10157832965</v>
      </c>
      <c r="CC53" s="46">
        <f t="shared" si="87"/>
        <v>29736.081219919804</v>
      </c>
      <c r="CD53" s="46">
        <f t="shared" si="87"/>
        <v>30332.179229977184</v>
      </c>
      <c r="CE53" s="46">
        <f t="shared" si="87"/>
        <v>30891.494480828736</v>
      </c>
      <c r="CF53" s="46">
        <f t="shared" si="87"/>
        <v>31458.200360374529</v>
      </c>
      <c r="CG53" s="46">
        <f t="shared" si="87"/>
        <v>32036.385446011318</v>
      </c>
      <c r="CH53" s="46">
        <f t="shared" si="87"/>
        <v>32584.441287451231</v>
      </c>
      <c r="CI53" s="46">
        <f t="shared" si="87"/>
        <v>33067.03235157796</v>
      </c>
      <c r="CJ53" s="46">
        <f t="shared" si="87"/>
        <v>33582.794258965034</v>
      </c>
      <c r="CK53" s="46">
        <f t="shared" si="87"/>
        <v>34134.45797391489</v>
      </c>
      <c r="CL53" s="46">
        <f t="shared" si="87"/>
        <v>34660.749820485267</v>
      </c>
      <c r="CM53" s="46">
        <f t="shared" si="87"/>
        <v>35193.864194864771</v>
      </c>
      <c r="CN53" s="46">
        <f t="shared" si="87"/>
        <v>35723.371167489939</v>
      </c>
      <c r="CO53" s="46">
        <f t="shared" si="87"/>
        <v>36310.92150460984</v>
      </c>
      <c r="CP53" s="46">
        <f t="shared" si="87"/>
        <v>36861.661726475999</v>
      </c>
      <c r="CQ53" s="46">
        <f t="shared" si="87"/>
        <v>37419.885453936557</v>
      </c>
      <c r="CR53" s="46">
        <f t="shared" si="87"/>
        <v>37989.714592320757</v>
      </c>
      <c r="CS53" s="46">
        <f t="shared" si="87"/>
        <v>38564.765947107153</v>
      </c>
      <c r="CT53" s="46">
        <f t="shared" si="87"/>
        <v>39142.659102536578</v>
      </c>
      <c r="CU53" s="46">
        <f t="shared" si="87"/>
        <v>39714.086180666243</v>
      </c>
      <c r="CV53" s="46">
        <f t="shared" si="87"/>
        <v>40286.774970691738</v>
      </c>
      <c r="CW53" s="46">
        <f t="shared" si="87"/>
        <v>40857.942477410928</v>
      </c>
      <c r="CX53" s="46">
        <f t="shared" si="87"/>
        <v>41430.60443707071</v>
      </c>
      <c r="CY53" s="46">
        <f t="shared" si="87"/>
        <v>41995.446491630006</v>
      </c>
      <c r="CZ53" s="46">
        <f t="shared" si="87"/>
        <v>42557.387587051613</v>
      </c>
      <c r="DA53" s="46">
        <f t="shared" si="87"/>
        <v>43117.866859099202</v>
      </c>
      <c r="DB53" s="46">
        <f t="shared" si="87"/>
        <v>43676.837326534122</v>
      </c>
      <c r="DC53" s="46">
        <f t="shared" si="87"/>
        <v>44234.096505302405</v>
      </c>
      <c r="DD53" s="46">
        <f t="shared" si="87"/>
        <v>44792.672419338669</v>
      </c>
      <c r="DE53" s="46">
        <f t="shared" si="87"/>
        <v>45354.139744600128</v>
      </c>
      <c r="DF53" s="46">
        <f t="shared" si="87"/>
        <v>45916.325306473576</v>
      </c>
      <c r="DG53" s="46">
        <f t="shared" si="87"/>
        <v>46478.655086770545</v>
      </c>
      <c r="DH53" s="46">
        <f t="shared" si="87"/>
        <v>47040.668151538986</v>
      </c>
      <c r="DI53" s="46">
        <f t="shared" si="87"/>
        <v>47604.14848572186</v>
      </c>
      <c r="DJ53" s="46">
        <f t="shared" si="86"/>
        <v>48167.941233850637</v>
      </c>
      <c r="DK53" s="46">
        <f t="shared" si="86"/>
        <v>48732.977485718438</v>
      </c>
      <c r="DL53" s="46">
        <f t="shared" si="86"/>
        <v>49300.441298532103</v>
      </c>
      <c r="DM53" s="46">
        <f t="shared" si="86"/>
        <v>49869.581405650722</v>
      </c>
      <c r="DN53" s="46">
        <f t="shared" si="86"/>
        <v>50435.753502642925</v>
      </c>
      <c r="DO53" s="46">
        <f t="shared" si="86"/>
        <v>51000.689459044501</v>
      </c>
      <c r="DP53" s="46">
        <f t="shared" si="86"/>
        <v>51566.473266107947</v>
      </c>
      <c r="DQ53" s="46">
        <f t="shared" si="86"/>
        <v>52131.873868018141</v>
      </c>
      <c r="DR53" s="46">
        <f t="shared" si="86"/>
        <v>52697.060619039541</v>
      </c>
      <c r="DS53" s="46">
        <f t="shared" si="86"/>
        <v>53261.693057982942</v>
      </c>
      <c r="DT53" s="46">
        <f t="shared" si="86"/>
        <v>53825.555900026411</v>
      </c>
      <c r="DU53" s="46">
        <f t="shared" si="86"/>
        <v>54388.471743055481</v>
      </c>
      <c r="DV53" s="46">
        <f t="shared" si="86"/>
        <v>54950.650611318793</v>
      </c>
      <c r="DW53" s="46">
        <f t="shared" si="86"/>
        <v>55512.624939231733</v>
      </c>
      <c r="DX53" s="46">
        <f t="shared" si="86"/>
        <v>56074.716910933748</v>
      </c>
      <c r="DY53" s="46">
        <f t="shared" si="86"/>
        <v>56637.191081054087</v>
      </c>
      <c r="DZ53" s="46">
        <f t="shared" si="86"/>
        <v>57200.093032608747</v>
      </c>
      <c r="EA53" s="46">
        <f t="shared" si="86"/>
        <v>57763.520482184671</v>
      </c>
      <c r="EB53" s="46">
        <f t="shared" si="86"/>
        <v>58327.661361908242</v>
      </c>
      <c r="EC53" s="46">
        <f t="shared" si="86"/>
        <v>58894.326908148971</v>
      </c>
      <c r="ED53" s="46">
        <f t="shared" si="86"/>
        <v>59459.374179155006</v>
      </c>
      <c r="EE53" s="46">
        <f t="shared" si="86"/>
        <v>60023.197752019245</v>
      </c>
      <c r="EF53" s="46">
        <f t="shared" si="86"/>
        <v>60588.290333139208</v>
      </c>
      <c r="EG53" s="46">
        <f t="shared" si="86"/>
        <v>61153.767907552181</v>
      </c>
      <c r="EH53" s="46">
        <f t="shared" si="86"/>
        <v>61718.450001617894</v>
      </c>
      <c r="EI53" s="46">
        <f t="shared" si="86"/>
        <v>62283.027669787392</v>
      </c>
      <c r="EJ53" s="46">
        <f t="shared" si="86"/>
        <v>62847.395804883599</v>
      </c>
      <c r="EK53" s="46">
        <f t="shared" si="86"/>
        <v>63411.6765310439</v>
      </c>
      <c r="EL53" s="46">
        <f t="shared" si="86"/>
        <v>63975.7788816135</v>
      </c>
      <c r="EM53" s="46">
        <f t="shared" si="86"/>
        <v>64539.649244480148</v>
      </c>
      <c r="EN53" s="46">
        <f t="shared" si="86"/>
        <v>65103.354961842073</v>
      </c>
      <c r="EO53" s="46">
        <f t="shared" si="86"/>
        <v>65666.864786257385</v>
      </c>
      <c r="EP53" s="46">
        <f t="shared" si="86"/>
        <v>66230.319855877518</v>
      </c>
      <c r="EQ53" s="46">
        <f t="shared" si="86"/>
        <v>66793.872286521932</v>
      </c>
      <c r="ER53" s="46">
        <f t="shared" si="86"/>
        <v>67357.666744321672</v>
      </c>
      <c r="ES53" s="46">
        <f t="shared" si="86"/>
        <v>67921.567434714554</v>
      </c>
      <c r="ET53" s="46">
        <f t="shared" si="86"/>
        <v>68485.520867400512</v>
      </c>
      <c r="EU53" s="46">
        <f t="shared" si="86"/>
        <v>69049.586670980352</v>
      </c>
      <c r="EV53" s="46">
        <f t="shared" si="86"/>
        <v>69613.778195172723</v>
      </c>
      <c r="EW53" s="46">
        <f t="shared" si="86"/>
        <v>70178.100333097012</v>
      </c>
      <c r="EX53" s="46">
        <f t="shared" si="86"/>
        <v>70742.536720803939</v>
      </c>
      <c r="EY53" s="46">
        <f t="shared" si="86"/>
        <v>71307.048158368925</v>
      </c>
      <c r="EZ53" s="46">
        <f t="shared" si="86"/>
        <v>71871.571122859721</v>
      </c>
      <c r="FA53" s="46">
        <f t="shared" si="86"/>
        <v>72436.084354216728</v>
      </c>
      <c r="FB53" s="46">
        <f t="shared" si="86"/>
        <v>73000.468600988388</v>
      </c>
      <c r="FC53" s="46">
        <f t="shared" si="86"/>
        <v>73564.741564597833</v>
      </c>
      <c r="FD53" s="46">
        <f t="shared" si="86"/>
        <v>74128.900822095136</v>
      </c>
      <c r="FE53" s="46">
        <f t="shared" si="86"/>
        <v>74692.95884283699</v>
      </c>
      <c r="FF53" s="46">
        <f t="shared" si="86"/>
        <v>75256.936940142885</v>
      </c>
      <c r="FG53" s="46">
        <f t="shared" si="86"/>
        <v>75820.855376531399</v>
      </c>
      <c r="FH53" s="46">
        <f t="shared" si="86"/>
        <v>76384.762633606399</v>
      </c>
      <c r="FI53" s="46">
        <f t="shared" si="86"/>
        <v>76948.68140491235</v>
      </c>
      <c r="FJ53" s="46">
        <f t="shared" si="86"/>
        <v>77512.627176545473</v>
      </c>
    </row>
    <row r="54" spans="1:166" ht="15" x14ac:dyDescent="0.25">
      <c r="A54" s="9" t="s">
        <v>124</v>
      </c>
      <c r="C54" s="45">
        <f>'Qrtly Credit-Deficit Generation'!C37</f>
        <v>459</v>
      </c>
      <c r="D54" s="45">
        <f>'Qrtly Credit-Deficit Generation'!D37</f>
        <v>1293</v>
      </c>
      <c r="E54" s="45">
        <f>'Qrtly Credit-Deficit Generation'!E37</f>
        <v>2455</v>
      </c>
      <c r="F54" s="45">
        <f>'Qrtly Credit-Deficit Generation'!F37</f>
        <v>3536</v>
      </c>
      <c r="G54" s="45">
        <f>'Qrtly Credit-Deficit Generation'!G37</f>
        <v>4519</v>
      </c>
      <c r="H54" s="45">
        <f>'Qrtly Credit-Deficit Generation'!H37</f>
        <v>5560</v>
      </c>
      <c r="I54" s="45">
        <f>'Qrtly Credit-Deficit Generation'!I37</f>
        <v>7294</v>
      </c>
      <c r="J54" s="45">
        <f>'Qrtly Credit-Deficit Generation'!J37</f>
        <v>9611</v>
      </c>
      <c r="K54" s="45">
        <f>'Qrtly Credit-Deficit Generation'!K37</f>
        <v>15051</v>
      </c>
      <c r="L54" s="45">
        <f>'Qrtly Credit-Deficit Generation'!L37</f>
        <v>19516</v>
      </c>
      <c r="M54" s="45">
        <f>'Qrtly Credit-Deficit Generation'!M37</f>
        <v>25039</v>
      </c>
      <c r="N54" s="45">
        <f>'Qrtly Credit-Deficit Generation'!N37</f>
        <v>34347</v>
      </c>
      <c r="O54" s="45">
        <f>'Qrtly Credit-Deficit Generation'!O37</f>
        <v>41753</v>
      </c>
      <c r="P54" s="45">
        <f>'Qrtly Credit-Deficit Generation'!P37</f>
        <v>51092</v>
      </c>
      <c r="Q54" s="45">
        <f>'Qrtly Credit-Deficit Generation'!Q37</f>
        <v>59366</v>
      </c>
      <c r="R54" s="45">
        <f>'Qrtly Credit-Deficit Generation'!R37</f>
        <v>69119</v>
      </c>
      <c r="S54" s="45">
        <f>'Qrtly Credit-Deficit Generation'!S37</f>
        <v>73708</v>
      </c>
      <c r="T54" s="45">
        <f>'Qrtly Credit-Deficit Generation'!T37</f>
        <v>78072</v>
      </c>
      <c r="U54" s="45">
        <f>'Qrtly Credit-Deficit Generation'!U37</f>
        <v>91036</v>
      </c>
      <c r="V54" s="45">
        <f>'Qrtly Credit-Deficit Generation'!V37</f>
        <v>94924</v>
      </c>
      <c r="W54" s="45">
        <f>'Qrtly Credit-Deficit Generation'!W37</f>
        <v>206464</v>
      </c>
      <c r="X54" s="45">
        <f>'Qrtly Credit-Deficit Generation'!X37</f>
        <v>216149</v>
      </c>
      <c r="Y54" s="45">
        <f>'Qrtly Credit-Deficit Generation'!Y37</f>
        <v>225640</v>
      </c>
      <c r="Z54" s="45">
        <f>'Qrtly Credit-Deficit Generation'!Z37</f>
        <v>256450</v>
      </c>
      <c r="AA54" s="45">
        <f>'Qrtly Credit-Deficit Generation'!AA37</f>
        <v>278442</v>
      </c>
      <c r="AB54" s="45">
        <f>'Qrtly Credit-Deficit Generation'!AB37</f>
        <v>294201</v>
      </c>
      <c r="AC54" s="45">
        <f>'Qrtly Credit-Deficit Generation'!AC37</f>
        <v>302456</v>
      </c>
      <c r="AD54" s="45">
        <f>'Qrtly Credit-Deficit Generation'!AD37</f>
        <v>323013</v>
      </c>
      <c r="AE54" s="45">
        <f>'Qrtly Credit-Deficit Generation'!AE37</f>
        <v>394525</v>
      </c>
      <c r="AF54" s="45">
        <f>'Qrtly Credit-Deficit Generation'!AF37</f>
        <v>424037</v>
      </c>
      <c r="AG54" s="45">
        <f>'Qrtly Credit-Deficit Generation'!AG37</f>
        <v>469813</v>
      </c>
      <c r="AH54" s="45">
        <f>'Qrtly Credit-Deficit Generation'!AH37</f>
        <v>503082</v>
      </c>
      <c r="AI54" s="45">
        <f>'Qrtly Credit-Deficit Generation'!AI37</f>
        <v>627135</v>
      </c>
      <c r="AJ54" s="45">
        <f>'Qrtly Credit-Deficit Generation'!AJ37</f>
        <v>620987</v>
      </c>
      <c r="AK54" s="45">
        <f>'Qrtly Credit-Deficit Generation'!AK37</f>
        <v>734992</v>
      </c>
      <c r="AL54" s="45">
        <f>'Qrtly Credit-Deficit Generation'!AL37</f>
        <v>809706</v>
      </c>
      <c r="AM54" s="45">
        <f>'Qrtly Credit-Deficit Generation'!AM37</f>
        <v>800718</v>
      </c>
      <c r="AN54" s="45">
        <f>'Qrtly Credit-Deficit Generation'!AN37</f>
        <v>597605</v>
      </c>
      <c r="AO54" s="45">
        <f>'Qrtly Credit-Deficit Generation'!AO37</f>
        <v>738935</v>
      </c>
      <c r="AP54" s="45">
        <f>'Qrtly Credit-Deficit Generation'!AP37</f>
        <v>805725</v>
      </c>
      <c r="AQ54" s="45">
        <f>'Qrtly Credit-Deficit Generation'!AQ37</f>
        <v>902043</v>
      </c>
      <c r="AR54" s="45">
        <f>'Qrtly Credit-Deficit Generation'!AR37</f>
        <v>1118939</v>
      </c>
      <c r="AS54" s="45">
        <f>'Qrtly Credit-Deficit Generation'!AS37</f>
        <v>1192806</v>
      </c>
      <c r="AT54" s="45">
        <f>'Qrtly Credit-Deficit Generation'!AT37</f>
        <v>1253460</v>
      </c>
      <c r="AU54" s="45">
        <f>'Qrtly Credit-Deficit Generation'!AU37</f>
        <v>1396820</v>
      </c>
      <c r="AV54" s="45">
        <f>'Qrtly Credit-Deficit Generation'!AV37</f>
        <v>1578935</v>
      </c>
      <c r="AW54" s="45">
        <f>'Qrtly Credit-Deficit Generation'!AW37</f>
        <v>1671348</v>
      </c>
      <c r="AX54" s="45">
        <f>'Qrtly Credit-Deficit Generation'!AX37</f>
        <v>1762547</v>
      </c>
      <c r="AY54" s="45">
        <f>'Qrtly Credit-Deficit Generation'!AY37</f>
        <v>1644097</v>
      </c>
      <c r="AZ54" s="45">
        <f>'Qrtly Credit-Deficit Generation'!AZ37</f>
        <v>1753282</v>
      </c>
      <c r="BA54" s="45">
        <f>'Qrtly Credit-Deficit Generation'!BA37</f>
        <v>1920920</v>
      </c>
      <c r="BB54" s="45">
        <f>'Qrtly Credit-Deficit Generation'!BB37</f>
        <v>2025247</v>
      </c>
      <c r="BC54" s="45">
        <f>'Qrtly Credit-Deficit Generation'!BC37</f>
        <v>2007097</v>
      </c>
      <c r="BD54" s="45">
        <f>'Qrtly Credit-Deficit Generation'!BD37</f>
        <v>2223712</v>
      </c>
      <c r="BE54" s="45">
        <f>'Qrtly Credit-Deficit Generation'!BE37</f>
        <v>2353377.3479779689</v>
      </c>
      <c r="BF54" s="46">
        <f t="shared" si="87"/>
        <v>2165994.4611145258</v>
      </c>
      <c r="BG54" s="46">
        <f t="shared" si="87"/>
        <v>2278383.2951375386</v>
      </c>
      <c r="BH54" s="46">
        <f t="shared" si="87"/>
        <v>2394459.2668838152</v>
      </c>
      <c r="BI54" s="46">
        <f t="shared" si="87"/>
        <v>2505901.7279818831</v>
      </c>
      <c r="BJ54" s="46">
        <f t="shared" si="87"/>
        <v>2623783.9810711406</v>
      </c>
      <c r="BK54" s="46">
        <f t="shared" si="87"/>
        <v>2759082.7731745029</v>
      </c>
      <c r="BL54" s="46">
        <f t="shared" si="87"/>
        <v>2877746.9428380174</v>
      </c>
      <c r="BM54" s="46">
        <f t="shared" si="87"/>
        <v>2996415.6060940246</v>
      </c>
      <c r="BN54" s="46">
        <f t="shared" si="87"/>
        <v>3114922.1893964177</v>
      </c>
      <c r="BO54" s="46">
        <f t="shared" si="87"/>
        <v>3225093.405462238</v>
      </c>
      <c r="BP54" s="46">
        <f t="shared" si="87"/>
        <v>3334947.9907929469</v>
      </c>
      <c r="BQ54" s="46">
        <f t="shared" si="87"/>
        <v>3451971.9864945067</v>
      </c>
      <c r="BR54" s="46">
        <f t="shared" si="87"/>
        <v>3566119.9256147486</v>
      </c>
      <c r="BS54" s="46">
        <f t="shared" si="87"/>
        <v>3682274.7046610825</v>
      </c>
      <c r="BT54" s="46">
        <f t="shared" si="87"/>
        <v>3800460.7776734671</v>
      </c>
      <c r="BU54" s="46">
        <f t="shared" si="87"/>
        <v>3920188.1343641491</v>
      </c>
      <c r="BV54" s="46">
        <f t="shared" si="87"/>
        <v>4037832.1602695431</v>
      </c>
      <c r="BW54" s="46">
        <f t="shared" si="87"/>
        <v>4156515.3890785864</v>
      </c>
      <c r="BX54" s="46">
        <f t="shared" si="87"/>
        <v>4277819.1320362873</v>
      </c>
      <c r="BY54" s="46">
        <f t="shared" si="87"/>
        <v>4412813.6006154278</v>
      </c>
      <c r="BZ54" s="46">
        <f t="shared" si="87"/>
        <v>4541022.352526715</v>
      </c>
      <c r="CA54" s="46">
        <f t="shared" si="87"/>
        <v>4658406.902434852</v>
      </c>
      <c r="CB54" s="46">
        <f t="shared" si="87"/>
        <v>4795389.5946476813</v>
      </c>
      <c r="CC54" s="46">
        <f t="shared" si="87"/>
        <v>4916653.0694932155</v>
      </c>
      <c r="CD54" s="46">
        <f t="shared" si="87"/>
        <v>5026340.9962905962</v>
      </c>
      <c r="CE54" s="46">
        <f t="shared" si="87"/>
        <v>5152635.263902951</v>
      </c>
      <c r="CF54" s="46">
        <f t="shared" si="87"/>
        <v>5267949.0434145909</v>
      </c>
      <c r="CG54" s="46">
        <f t="shared" si="87"/>
        <v>5389433.9809793606</v>
      </c>
      <c r="CH54" s="46">
        <f t="shared" si="87"/>
        <v>5506911.1637071893</v>
      </c>
      <c r="CI54" s="46">
        <f t="shared" si="87"/>
        <v>5624057.437466858</v>
      </c>
      <c r="CJ54" s="46">
        <f t="shared" si="87"/>
        <v>5735665.0770512866</v>
      </c>
      <c r="CK54" s="46">
        <f t="shared" si="87"/>
        <v>5856416.3869881248</v>
      </c>
      <c r="CL54" s="46">
        <f t="shared" si="87"/>
        <v>5971446.6862705946</v>
      </c>
      <c r="CM54" s="46">
        <f t="shared" si="87"/>
        <v>6099684.9620589223</v>
      </c>
      <c r="CN54" s="46">
        <f t="shared" si="87"/>
        <v>6221378.9072241671</v>
      </c>
      <c r="CO54" s="46">
        <f t="shared" si="87"/>
        <v>6336370.12659219</v>
      </c>
      <c r="CP54" s="46">
        <f t="shared" si="87"/>
        <v>6461878.4886687165</v>
      </c>
      <c r="CQ54" s="46">
        <f t="shared" si="87"/>
        <v>6581880.5934277046</v>
      </c>
      <c r="CR54" s="46">
        <f t="shared" si="87"/>
        <v>6700107.5898696538</v>
      </c>
      <c r="CS54" s="46">
        <f t="shared" si="87"/>
        <v>6822131.7120926296</v>
      </c>
      <c r="CT54" s="46">
        <f t="shared" si="87"/>
        <v>6942927.2026400287</v>
      </c>
      <c r="CU54" s="46">
        <f t="shared" si="87"/>
        <v>7062634.6712402469</v>
      </c>
      <c r="CV54" s="46">
        <f t="shared" si="87"/>
        <v>7184404.7727192631</v>
      </c>
      <c r="CW54" s="46">
        <f t="shared" si="87"/>
        <v>7304341.6388338814</v>
      </c>
      <c r="CX54" s="46">
        <f t="shared" si="87"/>
        <v>7424532.8912567198</v>
      </c>
      <c r="CY54" s="46">
        <f t="shared" si="87"/>
        <v>7543941.8900655303</v>
      </c>
      <c r="CZ54" s="46">
        <f t="shared" si="87"/>
        <v>7663329.6064719334</v>
      </c>
      <c r="DA54" s="46">
        <f t="shared" si="87"/>
        <v>7793444.0452212626</v>
      </c>
      <c r="DB54" s="46">
        <f t="shared" si="87"/>
        <v>7914702.8022954669</v>
      </c>
      <c r="DC54" s="46">
        <f t="shared" si="87"/>
        <v>8025556.5232913662</v>
      </c>
      <c r="DD54" s="46">
        <f t="shared" si="87"/>
        <v>8151536.5417126622</v>
      </c>
      <c r="DE54" s="46">
        <f t="shared" si="87"/>
        <v>8268760.1295817615</v>
      </c>
      <c r="DF54" s="46">
        <f t="shared" si="87"/>
        <v>8380734.8926991057</v>
      </c>
      <c r="DG54" s="46">
        <f t="shared" si="87"/>
        <v>8505206.6719864756</v>
      </c>
      <c r="DH54" s="46">
        <f t="shared" si="87"/>
        <v>8622937.8424604908</v>
      </c>
      <c r="DI54" s="46">
        <f t="shared" si="87"/>
        <v>8744682.5515207443</v>
      </c>
      <c r="DJ54" s="46">
        <f t="shared" si="86"/>
        <v>8865842.4486683663</v>
      </c>
      <c r="DK54" s="46">
        <f t="shared" si="86"/>
        <v>8985843.3846530169</v>
      </c>
      <c r="DL54" s="46">
        <f t="shared" si="86"/>
        <v>9105876.811328087</v>
      </c>
      <c r="DM54" s="46">
        <f t="shared" si="86"/>
        <v>9226905.0366711058</v>
      </c>
      <c r="DN54" s="46">
        <f t="shared" si="86"/>
        <v>9346327.8339782655</v>
      </c>
      <c r="DO54" s="46">
        <f t="shared" si="86"/>
        <v>9476778.992090594</v>
      </c>
      <c r="DP54" s="46">
        <f t="shared" si="86"/>
        <v>9599245.4420854729</v>
      </c>
      <c r="DQ54" s="46">
        <f t="shared" si="86"/>
        <v>9712322.4283706155</v>
      </c>
      <c r="DR54" s="46">
        <f t="shared" si="86"/>
        <v>9836725.1141280606</v>
      </c>
      <c r="DS54" s="46">
        <f t="shared" si="86"/>
        <v>9954343.1578058526</v>
      </c>
      <c r="DT54" s="46">
        <f t="shared" si="86"/>
        <v>10068032.642069586</v>
      </c>
      <c r="DU54" s="46">
        <f t="shared" si="86"/>
        <v>10190483.623515636</v>
      </c>
      <c r="DV54" s="46">
        <f t="shared" si="86"/>
        <v>10310050.888885029</v>
      </c>
      <c r="DW54" s="46">
        <f t="shared" si="86"/>
        <v>10429294.715304898</v>
      </c>
      <c r="DX54" s="46">
        <f t="shared" si="86"/>
        <v>10550417.932868708</v>
      </c>
      <c r="DY54" s="46">
        <f t="shared" si="86"/>
        <v>10670342.559845187</v>
      </c>
      <c r="DZ54" s="46">
        <f t="shared" si="86"/>
        <v>10790261.023594942</v>
      </c>
      <c r="EA54" s="46">
        <f t="shared" si="86"/>
        <v>10909669.546661129</v>
      </c>
      <c r="EB54" s="46">
        <f t="shared" si="86"/>
        <v>11029386.629258879</v>
      </c>
      <c r="EC54" s="46">
        <f t="shared" si="86"/>
        <v>11159713.245917372</v>
      </c>
      <c r="ED54" s="46">
        <f t="shared" si="86"/>
        <v>11282437.634291992</v>
      </c>
      <c r="EE54" s="46">
        <f t="shared" si="86"/>
        <v>11395226.287831102</v>
      </c>
      <c r="EF54" s="46">
        <f t="shared" si="86"/>
        <v>11521515.798912086</v>
      </c>
      <c r="EG54" s="46">
        <f t="shared" si="86"/>
        <v>11638984.324270545</v>
      </c>
      <c r="EH54" s="46">
        <f t="shared" si="86"/>
        <v>11751445.486230772</v>
      </c>
      <c r="EI54" s="46">
        <f t="shared" si="86"/>
        <v>11874860.95184976</v>
      </c>
      <c r="EJ54" s="46">
        <f t="shared" si="86"/>
        <v>11993964.73792908</v>
      </c>
      <c r="EK54" s="46">
        <f t="shared" si="86"/>
        <v>12114291.670479234</v>
      </c>
      <c r="EL54" s="46">
        <f t="shared" si="86"/>
        <v>12235356.510325095</v>
      </c>
      <c r="EM54" s="46">
        <f t="shared" si="86"/>
        <v>12356145.854133079</v>
      </c>
      <c r="EN54" s="46">
        <f t="shared" si="86"/>
        <v>12475367.924769789</v>
      </c>
      <c r="EO54" s="46">
        <f t="shared" si="86"/>
        <v>12595176.215482228</v>
      </c>
      <c r="EP54" s="46">
        <f t="shared" si="86"/>
        <v>12714599.244597018</v>
      </c>
      <c r="EQ54" s="46">
        <f t="shared" si="86"/>
        <v>12845138.213981092</v>
      </c>
      <c r="ER54" s="46">
        <f t="shared" si="86"/>
        <v>12967163.379649237</v>
      </c>
      <c r="ES54" s="46">
        <f t="shared" si="86"/>
        <v>13080434.461792763</v>
      </c>
      <c r="ET54" s="46">
        <f t="shared" si="86"/>
        <v>13205911.348033369</v>
      </c>
      <c r="EU54" s="46">
        <f t="shared" si="86"/>
        <v>13323416.885460837</v>
      </c>
      <c r="EV54" s="46">
        <f t="shared" si="86"/>
        <v>13436467.707562905</v>
      </c>
      <c r="EW54" s="46">
        <f t="shared" si="86"/>
        <v>13558160.823928632</v>
      </c>
      <c r="EX54" s="46">
        <f t="shared" si="86"/>
        <v>13677691.959910197</v>
      </c>
      <c r="EY54" s="46">
        <f t="shared" si="86"/>
        <v>13798952.090494068</v>
      </c>
      <c r="EZ54" s="46">
        <f t="shared" si="86"/>
        <v>13919348.395527203</v>
      </c>
      <c r="FA54" s="46">
        <f t="shared" si="86"/>
        <v>14039968.558754707</v>
      </c>
      <c r="FB54" s="46">
        <f t="shared" si="86"/>
        <v>14161100.8708173</v>
      </c>
      <c r="FC54" s="46">
        <f t="shared" si="86"/>
        <v>14280203.064424247</v>
      </c>
      <c r="FD54" s="46">
        <f t="shared" si="86"/>
        <v>14399848.318709532</v>
      </c>
      <c r="FE54" s="46">
        <f t="shared" si="86"/>
        <v>14530119.699706789</v>
      </c>
      <c r="FF54" s="46">
        <f t="shared" si="86"/>
        <v>14652668.300129676</v>
      </c>
      <c r="FG54" s="46">
        <f t="shared" si="86"/>
        <v>14764962.817490669</v>
      </c>
      <c r="FH54" s="46">
        <f t="shared" si="86"/>
        <v>14890990.158547079</v>
      </c>
      <c r="FI54" s="46">
        <f t="shared" ref="FI54:FJ59" si="88">IF(FORECAST(FI10,EE54:FH54,EE10:FH10)&lt;0,0,FORECAST(FI10,EE54:FH54,EE10:FH10))</f>
        <v>15008696.290293472</v>
      </c>
      <c r="FJ54" s="46">
        <f t="shared" si="88"/>
        <v>15120972.232492059</v>
      </c>
    </row>
    <row r="55" spans="1:166" ht="15" x14ac:dyDescent="0.25">
      <c r="A55" s="9" t="s">
        <v>75</v>
      </c>
      <c r="C55" s="45">
        <f>'Qrtly Credit-Deficit Generation'!C9</f>
        <v>217913</v>
      </c>
      <c r="D55" s="45">
        <f>'Qrtly Credit-Deficit Generation'!D9</f>
        <v>252550</v>
      </c>
      <c r="E55" s="45">
        <f>'Qrtly Credit-Deficit Generation'!E9</f>
        <v>282189</v>
      </c>
      <c r="F55" s="45">
        <f>'Qrtly Credit-Deficit Generation'!F9</f>
        <v>270901</v>
      </c>
      <c r="G55" s="45">
        <f>'Qrtly Credit-Deficit Generation'!G9</f>
        <v>261269</v>
      </c>
      <c r="H55" s="45">
        <f>'Qrtly Credit-Deficit Generation'!H9</f>
        <v>264615</v>
      </c>
      <c r="I55" s="45">
        <f>'Qrtly Credit-Deficit Generation'!I9</f>
        <v>358459</v>
      </c>
      <c r="J55" s="45">
        <f>'Qrtly Credit-Deficit Generation'!J9</f>
        <v>334751</v>
      </c>
      <c r="K55" s="45">
        <f>'Qrtly Credit-Deficit Generation'!K9</f>
        <v>446344</v>
      </c>
      <c r="L55" s="45">
        <f>'Qrtly Credit-Deficit Generation'!L9</f>
        <v>439633</v>
      </c>
      <c r="M55" s="45">
        <f>'Qrtly Credit-Deficit Generation'!M9</f>
        <v>586902</v>
      </c>
      <c r="N55" s="45">
        <f>'Qrtly Credit-Deficit Generation'!N9</f>
        <v>510999</v>
      </c>
      <c r="O55" s="45">
        <f>'Qrtly Credit-Deficit Generation'!O9</f>
        <v>459238</v>
      </c>
      <c r="P55" s="45">
        <f>'Qrtly Credit-Deficit Generation'!P9</f>
        <v>551332</v>
      </c>
      <c r="Q55" s="45">
        <f>'Qrtly Credit-Deficit Generation'!Q9</f>
        <v>528433</v>
      </c>
      <c r="R55" s="45">
        <f>'Qrtly Credit-Deficit Generation'!R9</f>
        <v>491880</v>
      </c>
      <c r="S55" s="45">
        <f>'Qrtly Credit-Deficit Generation'!S9</f>
        <v>473209</v>
      </c>
      <c r="T55" s="45">
        <f>'Qrtly Credit-Deficit Generation'!T9</f>
        <v>504542</v>
      </c>
      <c r="U55" s="45">
        <f>'Qrtly Credit-Deficit Generation'!U9</f>
        <v>538519</v>
      </c>
      <c r="V55" s="45">
        <f>'Qrtly Credit-Deficit Generation'!V9</f>
        <v>608484</v>
      </c>
      <c r="W55" s="45">
        <f>'Qrtly Credit-Deficit Generation'!W9</f>
        <v>836629</v>
      </c>
      <c r="X55" s="45">
        <f>'Qrtly Credit-Deficit Generation'!X9</f>
        <v>857168</v>
      </c>
      <c r="Y55" s="45">
        <f>'Qrtly Credit-Deficit Generation'!Y9</f>
        <v>919750</v>
      </c>
      <c r="Z55" s="45">
        <f>'Qrtly Credit-Deficit Generation'!Z9</f>
        <v>905839</v>
      </c>
      <c r="AA55" s="45">
        <f>'Qrtly Credit-Deficit Generation'!AA9</f>
        <v>783039</v>
      </c>
      <c r="AB55" s="45">
        <f>'Qrtly Credit-Deficit Generation'!AB9</f>
        <v>856950</v>
      </c>
      <c r="AC55" s="45">
        <f>'Qrtly Credit-Deficit Generation'!AC9</f>
        <v>931601</v>
      </c>
      <c r="AD55" s="45">
        <f>'Qrtly Credit-Deficit Generation'!AD9</f>
        <v>916634</v>
      </c>
      <c r="AE55" s="45">
        <f>'Qrtly Credit-Deficit Generation'!AE9</f>
        <v>776336</v>
      </c>
      <c r="AF55" s="45">
        <f>'Qrtly Credit-Deficit Generation'!AF9</f>
        <v>775942</v>
      </c>
      <c r="AG55" s="45">
        <f>'Qrtly Credit-Deficit Generation'!AG9</f>
        <v>949941</v>
      </c>
      <c r="AH55" s="45">
        <f>'Qrtly Credit-Deficit Generation'!AH9</f>
        <v>956310</v>
      </c>
      <c r="AI55" s="45">
        <f>'Qrtly Credit-Deficit Generation'!AI9</f>
        <v>946616</v>
      </c>
      <c r="AJ55" s="45">
        <f>'Qrtly Credit-Deficit Generation'!AJ9</f>
        <v>1086445</v>
      </c>
      <c r="AK55" s="45">
        <f>'Qrtly Credit-Deficit Generation'!AK9</f>
        <v>1169325</v>
      </c>
      <c r="AL55" s="45">
        <f>'Qrtly Credit-Deficit Generation'!AL9</f>
        <v>1139746</v>
      </c>
      <c r="AM55" s="45">
        <f>'Qrtly Credit-Deficit Generation'!AM9</f>
        <v>1045797</v>
      </c>
      <c r="AN55" s="45">
        <f>'Qrtly Credit-Deficit Generation'!AN9</f>
        <v>648935</v>
      </c>
      <c r="AO55" s="45">
        <f>'Qrtly Credit-Deficit Generation'!AO9</f>
        <v>1052908</v>
      </c>
      <c r="AP55" s="45">
        <f>'Qrtly Credit-Deficit Generation'!AP9</f>
        <v>989015</v>
      </c>
      <c r="AQ55" s="45">
        <f>'Qrtly Credit-Deficit Generation'!AQ9</f>
        <v>747150</v>
      </c>
      <c r="AR55" s="45">
        <f>'Qrtly Credit-Deficit Generation'!AR9</f>
        <v>1006898</v>
      </c>
      <c r="AS55" s="45">
        <f>'Qrtly Credit-Deficit Generation'!AS9</f>
        <v>1113796</v>
      </c>
      <c r="AT55" s="45">
        <f>'Qrtly Credit-Deficit Generation'!AT9</f>
        <v>957708</v>
      </c>
      <c r="AU55" s="45">
        <f>'Qrtly Credit-Deficit Generation'!AU9</f>
        <v>917950</v>
      </c>
      <c r="AV55" s="45">
        <f>'Qrtly Credit-Deficit Generation'!AV9</f>
        <v>919767</v>
      </c>
      <c r="AW55" s="45">
        <f>'Qrtly Credit-Deficit Generation'!AW9</f>
        <v>975746</v>
      </c>
      <c r="AX55" s="45">
        <f>'Qrtly Credit-Deficit Generation'!AX9</f>
        <v>927177</v>
      </c>
      <c r="AY55" s="45">
        <v>827472</v>
      </c>
      <c r="AZ55" s="45">
        <v>736436</v>
      </c>
      <c r="BA55" s="45">
        <v>882062</v>
      </c>
      <c r="BB55" s="45">
        <v>916926</v>
      </c>
      <c r="BC55" s="45">
        <v>810581</v>
      </c>
      <c r="BD55" s="45">
        <v>910853</v>
      </c>
      <c r="BE55" s="45">
        <v>866406</v>
      </c>
      <c r="BF55" s="46">
        <f t="shared" si="87"/>
        <v>906093.05235575559</v>
      </c>
      <c r="BG55" s="46">
        <f t="shared" si="87"/>
        <v>900355.84559094883</v>
      </c>
      <c r="BH55" s="46">
        <f t="shared" si="87"/>
        <v>933213.05483336234</v>
      </c>
      <c r="BI55" s="46">
        <f t="shared" si="87"/>
        <v>970209.57344730967</v>
      </c>
      <c r="BJ55" s="46">
        <f t="shared" si="87"/>
        <v>918982.74506998109</v>
      </c>
      <c r="BK55" s="46">
        <f t="shared" si="87"/>
        <v>914457.74311546865</v>
      </c>
      <c r="BL55" s="46">
        <f t="shared" si="87"/>
        <v>955642.61710095417</v>
      </c>
      <c r="BM55" s="46">
        <f t="shared" si="87"/>
        <v>1004872.2990071601</v>
      </c>
      <c r="BN55" s="46">
        <f t="shared" si="87"/>
        <v>931490.92581322638</v>
      </c>
      <c r="BO55" s="46">
        <f t="shared" si="87"/>
        <v>918940.21254059952</v>
      </c>
      <c r="BP55" s="46">
        <f t="shared" si="87"/>
        <v>952447.00998822832</v>
      </c>
      <c r="BQ55" s="46">
        <f t="shared" si="87"/>
        <v>986862.10126249609</v>
      </c>
      <c r="BR55" s="46">
        <f t="shared" si="87"/>
        <v>919747.37944165384</v>
      </c>
      <c r="BS55" s="46">
        <f t="shared" si="87"/>
        <v>907506.95610542526</v>
      </c>
      <c r="BT55" s="46">
        <f t="shared" si="87"/>
        <v>939669.47859426192</v>
      </c>
      <c r="BU55" s="46">
        <f t="shared" si="87"/>
        <v>981897.92228836112</v>
      </c>
      <c r="BV55" s="46">
        <f t="shared" si="87"/>
        <v>908604.3923023286</v>
      </c>
      <c r="BW55" s="46">
        <f t="shared" si="87"/>
        <v>895233.66636269761</v>
      </c>
      <c r="BX55" s="46">
        <f t="shared" si="87"/>
        <v>931824.33288568794</v>
      </c>
      <c r="BY55" s="46">
        <f t="shared" si="87"/>
        <v>974756.97476904455</v>
      </c>
      <c r="BZ55" s="46">
        <f t="shared" si="87"/>
        <v>902354.94000601803</v>
      </c>
      <c r="CA55" s="46">
        <f t="shared" si="87"/>
        <v>890131.66705836786</v>
      </c>
      <c r="CB55" s="46">
        <f t="shared" si="87"/>
        <v>929747.07445015619</v>
      </c>
      <c r="CC55" s="46">
        <f t="shared" si="87"/>
        <v>974426.97307896183</v>
      </c>
      <c r="CD55" s="46">
        <f t="shared" si="87"/>
        <v>904046.50510032207</v>
      </c>
      <c r="CE55" s="46">
        <f t="shared" si="87"/>
        <v>895992.54540165141</v>
      </c>
      <c r="CF55" s="46">
        <f t="shared" si="87"/>
        <v>934529.00695348624</v>
      </c>
      <c r="CG55" s="46">
        <f t="shared" si="87"/>
        <v>980306.28958909877</v>
      </c>
      <c r="CH55" s="46">
        <f t="shared" si="87"/>
        <v>911240.15268217155</v>
      </c>
      <c r="CI55" s="46">
        <f t="shared" si="87"/>
        <v>900578.99641627283</v>
      </c>
      <c r="CJ55" s="46">
        <f t="shared" si="87"/>
        <v>939357.43877861323</v>
      </c>
      <c r="CK55" s="46">
        <f t="shared" si="87"/>
        <v>981821.71888086142</v>
      </c>
      <c r="CL55" s="46">
        <f t="shared" si="87"/>
        <v>914366.9860535328</v>
      </c>
      <c r="CM55" s="46">
        <f t="shared" si="87"/>
        <v>902890.15981721552</v>
      </c>
      <c r="CN55" s="46">
        <f t="shared" si="87"/>
        <v>940404.38744142069</v>
      </c>
      <c r="CO55" s="46">
        <f t="shared" si="87"/>
        <v>983476.51655146957</v>
      </c>
      <c r="CP55" s="46">
        <f t="shared" si="87"/>
        <v>913628.89999476739</v>
      </c>
      <c r="CQ55" s="46">
        <f t="shared" si="87"/>
        <v>901052.57032679743</v>
      </c>
      <c r="CR55" s="46">
        <f t="shared" si="87"/>
        <v>938396.77901569114</v>
      </c>
      <c r="CS55" s="46">
        <f t="shared" si="87"/>
        <v>980484.74104047555</v>
      </c>
      <c r="CT55" s="46">
        <f t="shared" si="87"/>
        <v>911182.85140072752</v>
      </c>
      <c r="CU55" s="46">
        <f t="shared" si="87"/>
        <v>898694.25978582213</v>
      </c>
      <c r="CV55" s="46">
        <f t="shared" si="87"/>
        <v>936508.9599769112</v>
      </c>
      <c r="CW55" s="46">
        <f t="shared" si="87"/>
        <v>979486.27762008493</v>
      </c>
      <c r="CX55" s="46">
        <f t="shared" si="87"/>
        <v>909749.46020003711</v>
      </c>
      <c r="CY55" s="46">
        <f t="shared" si="87"/>
        <v>897546.51626975765</v>
      </c>
      <c r="CZ55" s="46">
        <f t="shared" si="87"/>
        <v>935744.46006825753</v>
      </c>
      <c r="DA55" s="46">
        <f t="shared" si="87"/>
        <v>979246.38812874688</v>
      </c>
      <c r="DB55" s="46">
        <f t="shared" si="87"/>
        <v>909831.82601504319</v>
      </c>
      <c r="DC55" s="46">
        <f t="shared" si="87"/>
        <v>897947.92197483964</v>
      </c>
      <c r="DD55" s="46">
        <f t="shared" si="87"/>
        <v>936191.46823726268</v>
      </c>
      <c r="DE55" s="46">
        <f t="shared" si="87"/>
        <v>979903.93730137264</v>
      </c>
      <c r="DF55" s="46">
        <f t="shared" si="87"/>
        <v>910800.21359383001</v>
      </c>
      <c r="DG55" s="46">
        <f t="shared" si="87"/>
        <v>899073.64062061661</v>
      </c>
      <c r="DH55" s="46">
        <f t="shared" si="87"/>
        <v>937139.73042181972</v>
      </c>
      <c r="DI55" s="46">
        <f t="shared" si="87"/>
        <v>980674.38036505389</v>
      </c>
      <c r="DJ55" s="46">
        <f t="shared" ref="DJ55:FH59" si="89">IF(FORECAST(DJ11,CF55:DI55,CF11:DI11)&lt;0,0,FORECAST(DJ11,CF55:DI55,CF11:DI11))</f>
        <v>911538.77118675457</v>
      </c>
      <c r="DK55" s="46">
        <f t="shared" si="89"/>
        <v>899674.88277000142</v>
      </c>
      <c r="DL55" s="46">
        <f t="shared" si="89"/>
        <v>937558.0158984313</v>
      </c>
      <c r="DM55" s="46">
        <f t="shared" si="89"/>
        <v>980768.80152223818</v>
      </c>
      <c r="DN55" s="46">
        <f t="shared" si="89"/>
        <v>911591.75821749563</v>
      </c>
      <c r="DO55" s="46">
        <f t="shared" si="89"/>
        <v>899570.00903258007</v>
      </c>
      <c r="DP55" s="46">
        <f t="shared" si="89"/>
        <v>937431.10915550299</v>
      </c>
      <c r="DQ55" s="46">
        <f t="shared" si="89"/>
        <v>980584.70941361459</v>
      </c>
      <c r="DR55" s="46">
        <f t="shared" si="89"/>
        <v>911196.18532046443</v>
      </c>
      <c r="DS55" s="46">
        <f t="shared" si="89"/>
        <v>899090.00293461035</v>
      </c>
      <c r="DT55" s="46">
        <f t="shared" si="89"/>
        <v>937006.21547634597</v>
      </c>
      <c r="DU55" s="46">
        <f t="shared" si="89"/>
        <v>980177.91369257367</v>
      </c>
      <c r="DV55" s="46">
        <f t="shared" si="89"/>
        <v>910859.08336264291</v>
      </c>
      <c r="DW55" s="46">
        <f t="shared" si="89"/>
        <v>898816.83349778131</v>
      </c>
      <c r="DX55" s="46">
        <f t="shared" si="89"/>
        <v>936806.34734811389</v>
      </c>
      <c r="DY55" s="46">
        <f t="shared" si="89"/>
        <v>980121.75223904895</v>
      </c>
      <c r="DZ55" s="46">
        <f t="shared" si="89"/>
        <v>980119.41872116318</v>
      </c>
      <c r="EA55" s="46">
        <f t="shared" si="89"/>
        <v>898820.126221154</v>
      </c>
      <c r="EB55" s="46">
        <f t="shared" si="89"/>
        <v>936834.62626504025</v>
      </c>
      <c r="EC55" s="46">
        <f t="shared" si="89"/>
        <v>980198.23905625509</v>
      </c>
      <c r="ED55" s="46">
        <f t="shared" si="89"/>
        <v>980172.41459425469</v>
      </c>
      <c r="EE55" s="46">
        <f t="shared" si="89"/>
        <v>899011.76090197137</v>
      </c>
      <c r="EF55" s="46">
        <f t="shared" si="89"/>
        <v>936983.6641108843</v>
      </c>
      <c r="EG55" s="46">
        <f t="shared" si="89"/>
        <v>980303.52615911863</v>
      </c>
      <c r="EH55" s="46">
        <f t="shared" si="89"/>
        <v>980283.47134968243</v>
      </c>
      <c r="EI55" s="46">
        <f t="shared" si="89"/>
        <v>899188.90355901711</v>
      </c>
      <c r="EJ55" s="46">
        <f t="shared" si="89"/>
        <v>937102.48576495156</v>
      </c>
      <c r="EK55" s="46">
        <f t="shared" si="89"/>
        <v>980345.33388280007</v>
      </c>
      <c r="EL55" s="46">
        <f t="shared" si="89"/>
        <v>980343.14286003483</v>
      </c>
      <c r="EM55" s="46">
        <f t="shared" si="89"/>
        <v>899215.92884620698</v>
      </c>
      <c r="EN55" s="46">
        <f t="shared" si="89"/>
        <v>937108.58559579472</v>
      </c>
      <c r="EO55" s="46">
        <f t="shared" si="89"/>
        <v>980315.86189534888</v>
      </c>
      <c r="EP55" s="46">
        <f t="shared" si="89"/>
        <v>980323.29704317858</v>
      </c>
      <c r="EQ55" s="46">
        <f t="shared" si="89"/>
        <v>899132.02436073683</v>
      </c>
      <c r="ER55" s="46">
        <f t="shared" si="89"/>
        <v>937046.26244688407</v>
      </c>
      <c r="ES55" s="46">
        <f t="shared" si="89"/>
        <v>980276.80397102935</v>
      </c>
      <c r="ET55" s="46">
        <f t="shared" si="89"/>
        <v>980283.6316270167</v>
      </c>
      <c r="EU55" s="46">
        <f t="shared" si="89"/>
        <v>899037.74535780889</v>
      </c>
      <c r="EV55" s="46">
        <f t="shared" si="89"/>
        <v>936983.31115701306</v>
      </c>
      <c r="EW55" s="46">
        <f t="shared" si="89"/>
        <v>980251.74485047732</v>
      </c>
      <c r="EX55" s="46">
        <f t="shared" si="89"/>
        <v>980252.60598219</v>
      </c>
      <c r="EY55" s="46">
        <f t="shared" si="89"/>
        <v>899019.61373956432</v>
      </c>
      <c r="EZ55" s="46">
        <f t="shared" si="89"/>
        <v>936973.58592816675</v>
      </c>
      <c r="FA55" s="46">
        <f t="shared" si="89"/>
        <v>980256.55239815498</v>
      </c>
      <c r="FB55" s="46">
        <f t="shared" si="89"/>
        <v>980253.74075104936</v>
      </c>
      <c r="FC55" s="46">
        <f t="shared" si="89"/>
        <v>899064.27055988158</v>
      </c>
      <c r="FD55" s="46">
        <f t="shared" si="89"/>
        <v>937001.40171293519</v>
      </c>
      <c r="FE55" s="46">
        <f t="shared" si="89"/>
        <v>980275.57101321872</v>
      </c>
      <c r="FF55" s="46">
        <f t="shared" si="89"/>
        <v>980272.40095253475</v>
      </c>
      <c r="FG55" s="46">
        <f t="shared" si="89"/>
        <v>899097.71286096994</v>
      </c>
      <c r="FH55" s="46">
        <f t="shared" si="89"/>
        <v>937026.58624182316</v>
      </c>
      <c r="FI55" s="46">
        <f t="shared" si="88"/>
        <v>980288.15899081749</v>
      </c>
      <c r="FJ55" s="46">
        <f t="shared" si="88"/>
        <v>980287.05671239982</v>
      </c>
    </row>
    <row r="56" spans="1:166" ht="15" x14ac:dyDescent="0.25">
      <c r="A56" s="9" t="s">
        <v>76</v>
      </c>
      <c r="C56" s="45">
        <f>'Qrtly Credit-Deficit Generation'!C10</f>
        <v>12300</v>
      </c>
      <c r="D56" s="45">
        <f>'Qrtly Credit-Deficit Generation'!D10</f>
        <v>21555</v>
      </c>
      <c r="E56" s="45">
        <f>'Qrtly Credit-Deficit Generation'!E10</f>
        <v>22424</v>
      </c>
      <c r="F56" s="45">
        <f>'Qrtly Credit-Deficit Generation'!F10</f>
        <v>27988</v>
      </c>
      <c r="G56" s="45">
        <f>'Qrtly Credit-Deficit Generation'!G10</f>
        <v>35382</v>
      </c>
      <c r="H56" s="45">
        <f>'Qrtly Credit-Deficit Generation'!H10</f>
        <v>41919</v>
      </c>
      <c r="I56" s="45">
        <f>'Qrtly Credit-Deficit Generation'!I10</f>
        <v>34052</v>
      </c>
      <c r="J56" s="45">
        <f>'Qrtly Credit-Deficit Generation'!J10</f>
        <v>37994</v>
      </c>
      <c r="K56" s="45">
        <f>'Qrtly Credit-Deficit Generation'!K10</f>
        <v>47386</v>
      </c>
      <c r="L56" s="45">
        <f>'Qrtly Credit-Deficit Generation'!L10</f>
        <v>123072</v>
      </c>
      <c r="M56" s="45">
        <f>'Qrtly Credit-Deficit Generation'!M10</f>
        <v>130475</v>
      </c>
      <c r="N56" s="45">
        <f>'Qrtly Credit-Deficit Generation'!N10</f>
        <v>265737</v>
      </c>
      <c r="O56" s="45">
        <f>'Qrtly Credit-Deficit Generation'!O10</f>
        <v>169218</v>
      </c>
      <c r="P56" s="45">
        <f>'Qrtly Credit-Deficit Generation'!P10</f>
        <v>183308</v>
      </c>
      <c r="Q56" s="45">
        <f>'Qrtly Credit-Deficit Generation'!Q10</f>
        <v>154934</v>
      </c>
      <c r="R56" s="45">
        <f>'Qrtly Credit-Deficit Generation'!R10</f>
        <v>210540</v>
      </c>
      <c r="S56" s="45">
        <f>'Qrtly Credit-Deficit Generation'!S10</f>
        <v>195615</v>
      </c>
      <c r="T56" s="45">
        <f>'Qrtly Credit-Deficit Generation'!T10</f>
        <v>287973</v>
      </c>
      <c r="U56" s="45">
        <f>'Qrtly Credit-Deficit Generation'!U10</f>
        <v>364501</v>
      </c>
      <c r="V56" s="45">
        <f>'Qrtly Credit-Deficit Generation'!V10</f>
        <v>365821</v>
      </c>
      <c r="W56" s="45">
        <f>'Qrtly Credit-Deficit Generation'!W10</f>
        <v>322607</v>
      </c>
      <c r="X56" s="45">
        <f>'Qrtly Credit-Deficit Generation'!X10</f>
        <v>392318</v>
      </c>
      <c r="Y56" s="45">
        <f>'Qrtly Credit-Deficit Generation'!Y10</f>
        <v>470922</v>
      </c>
      <c r="Z56" s="45">
        <f>'Qrtly Credit-Deficit Generation'!Z10</f>
        <v>550936</v>
      </c>
      <c r="AA56" s="45">
        <f>'Qrtly Credit-Deficit Generation'!AA10</f>
        <v>306640</v>
      </c>
      <c r="AB56" s="45">
        <f>'Qrtly Credit-Deficit Generation'!AB10</f>
        <v>321909</v>
      </c>
      <c r="AC56" s="45">
        <f>'Qrtly Credit-Deficit Generation'!AC10</f>
        <v>393587</v>
      </c>
      <c r="AD56" s="45">
        <f>'Qrtly Credit-Deficit Generation'!AD10</f>
        <v>357603</v>
      </c>
      <c r="AE56" s="45">
        <f>'Qrtly Credit-Deficit Generation'!AE10</f>
        <v>306337</v>
      </c>
      <c r="AF56" s="45">
        <f>'Qrtly Credit-Deficit Generation'!AF10</f>
        <v>357508</v>
      </c>
      <c r="AG56" s="45">
        <f>'Qrtly Credit-Deficit Generation'!AG10</f>
        <v>442007</v>
      </c>
      <c r="AH56" s="45">
        <f>'Qrtly Credit-Deficit Generation'!AH10</f>
        <v>500702</v>
      </c>
      <c r="AI56" s="45">
        <f>'Qrtly Credit-Deficit Generation'!AI10</f>
        <v>347140</v>
      </c>
      <c r="AJ56" s="45">
        <f>'Qrtly Credit-Deficit Generation'!AJ10</f>
        <v>490163</v>
      </c>
      <c r="AK56" s="45">
        <f>'Qrtly Credit-Deficit Generation'!AK10</f>
        <v>506350</v>
      </c>
      <c r="AL56" s="45">
        <f>'Qrtly Credit-Deficit Generation'!AL10</f>
        <v>487437</v>
      </c>
      <c r="AM56" s="45">
        <f>'Qrtly Credit-Deficit Generation'!AM10</f>
        <v>477797</v>
      </c>
      <c r="AN56" s="45">
        <f>'Qrtly Credit-Deficit Generation'!AN10</f>
        <v>492495</v>
      </c>
      <c r="AO56" s="45">
        <f>'Qrtly Credit-Deficit Generation'!AO10</f>
        <v>592296</v>
      </c>
      <c r="AP56" s="45">
        <f>'Qrtly Credit-Deficit Generation'!AP10</f>
        <v>650739</v>
      </c>
      <c r="AQ56" s="45">
        <f>'Qrtly Credit-Deficit Generation'!AQ10</f>
        <v>479642</v>
      </c>
      <c r="AR56" s="45">
        <f>'Qrtly Credit-Deficit Generation'!AR10</f>
        <v>622767</v>
      </c>
      <c r="AS56" s="45">
        <f>'Qrtly Credit-Deficit Generation'!AS10</f>
        <v>622949</v>
      </c>
      <c r="AT56" s="45">
        <f>'Qrtly Credit-Deficit Generation'!AT10</f>
        <v>585241</v>
      </c>
      <c r="AU56" s="45">
        <f>'Qrtly Credit-Deficit Generation'!AU10</f>
        <v>565021</v>
      </c>
      <c r="AV56" s="45">
        <f>'Qrtly Credit-Deficit Generation'!AV10</f>
        <v>533220</v>
      </c>
      <c r="AW56" s="45">
        <f>'Qrtly Credit-Deficit Generation'!AW10</f>
        <v>563916</v>
      </c>
      <c r="AX56" s="45">
        <f>'Qrtly Credit-Deficit Generation'!AX10</f>
        <v>542391</v>
      </c>
      <c r="AY56" s="45">
        <v>493424</v>
      </c>
      <c r="AZ56" s="45">
        <v>468031</v>
      </c>
      <c r="BA56" s="45">
        <v>497047</v>
      </c>
      <c r="BB56" s="45">
        <v>511698</v>
      </c>
      <c r="BC56" s="45">
        <v>460829</v>
      </c>
      <c r="BD56" s="45">
        <v>440431</v>
      </c>
      <c r="BE56" s="45">
        <v>441762</v>
      </c>
      <c r="BF56" s="46">
        <f t="shared" si="87"/>
        <v>443691.89065316104</v>
      </c>
      <c r="BG56" s="46">
        <f t="shared" si="87"/>
        <v>612296.88153465348</v>
      </c>
      <c r="BH56" s="46">
        <f t="shared" si="87"/>
        <v>408217.63764407922</v>
      </c>
      <c r="BI56" s="46">
        <f t="shared" si="87"/>
        <v>433615.74335353065</v>
      </c>
      <c r="BJ56" s="46">
        <f t="shared" si="87"/>
        <v>465516.42175417609</v>
      </c>
      <c r="BK56" s="46">
        <f t="shared" si="87"/>
        <v>492305.33007494558</v>
      </c>
      <c r="BL56" s="46">
        <f t="shared" si="87"/>
        <v>429771.8301059872</v>
      </c>
      <c r="BM56" s="46">
        <f t="shared" si="87"/>
        <v>463938.71811127948</v>
      </c>
      <c r="BN56" s="46">
        <f t="shared" si="87"/>
        <v>541850.26966672996</v>
      </c>
      <c r="BO56" s="46">
        <f t="shared" si="87"/>
        <v>517096.27564883977</v>
      </c>
      <c r="BP56" s="46">
        <f t="shared" si="87"/>
        <v>410217.65285773267</v>
      </c>
      <c r="BQ56" s="46">
        <f t="shared" si="87"/>
        <v>446282.43154530844</v>
      </c>
      <c r="BR56" s="46">
        <f t="shared" si="87"/>
        <v>557535.36443050229</v>
      </c>
      <c r="BS56" s="46">
        <f t="shared" si="87"/>
        <v>541851.28925182042</v>
      </c>
      <c r="BT56" s="46">
        <f t="shared" si="87"/>
        <v>238373.14918089932</v>
      </c>
      <c r="BU56" s="46">
        <f t="shared" si="87"/>
        <v>279798.35308109014</v>
      </c>
      <c r="BV56" s="46">
        <f t="shared" si="87"/>
        <v>607852.89258380746</v>
      </c>
      <c r="BW56" s="46">
        <f t="shared" si="87"/>
        <v>507838.73722739721</v>
      </c>
      <c r="BX56" s="46">
        <f t="shared" si="87"/>
        <v>342529.87073927565</v>
      </c>
      <c r="BY56" s="46">
        <f t="shared" si="87"/>
        <v>377567.45681102976</v>
      </c>
      <c r="BZ56" s="46">
        <f t="shared" si="87"/>
        <v>541898.37603260856</v>
      </c>
      <c r="CA56" s="46">
        <f t="shared" si="87"/>
        <v>496827.6642972994</v>
      </c>
      <c r="CB56" s="46">
        <f t="shared" si="87"/>
        <v>359135.28545339656</v>
      </c>
      <c r="CC56" s="46">
        <f t="shared" si="87"/>
        <v>394117.65570139769</v>
      </c>
      <c r="CD56" s="46">
        <f t="shared" si="87"/>
        <v>627139.71736826305</v>
      </c>
      <c r="CE56" s="46">
        <f t="shared" si="87"/>
        <v>482580.08386245655</v>
      </c>
      <c r="CF56" s="46">
        <f t="shared" si="87"/>
        <v>384243.16989100509</v>
      </c>
      <c r="CG56" s="46">
        <f t="shared" si="87"/>
        <v>393735.04380821058</v>
      </c>
      <c r="CH56" s="46">
        <f t="shared" si="87"/>
        <v>603367.96969878138</v>
      </c>
      <c r="CI56" s="46">
        <f t="shared" si="87"/>
        <v>493775.96481071162</v>
      </c>
      <c r="CJ56" s="46">
        <f t="shared" si="87"/>
        <v>397363.83344457281</v>
      </c>
      <c r="CK56" s="46">
        <f t="shared" si="87"/>
        <v>431002.0106357669</v>
      </c>
      <c r="CL56" s="46">
        <f t="shared" si="87"/>
        <v>569103.17024760204</v>
      </c>
      <c r="CM56" s="46">
        <f t="shared" si="87"/>
        <v>511073.01517178671</v>
      </c>
      <c r="CN56" s="46">
        <f t="shared" si="87"/>
        <v>350878.74015838274</v>
      </c>
      <c r="CO56" s="46">
        <f t="shared" si="87"/>
        <v>418958.15898775443</v>
      </c>
      <c r="CP56" s="46">
        <f t="shared" si="87"/>
        <v>597038.04863614577</v>
      </c>
      <c r="CQ56" s="46">
        <f t="shared" si="87"/>
        <v>520555.24305875151</v>
      </c>
      <c r="CR56" s="46">
        <f t="shared" si="87"/>
        <v>339915.33655120071</v>
      </c>
      <c r="CS56" s="46">
        <f t="shared" si="87"/>
        <v>406015.97751780821</v>
      </c>
      <c r="CT56" s="46">
        <f t="shared" si="87"/>
        <v>604657.12668207847</v>
      </c>
      <c r="CU56" s="46">
        <f t="shared" si="87"/>
        <v>525295.60292912531</v>
      </c>
      <c r="CV56" s="46">
        <f t="shared" si="87"/>
        <v>315539.30066353851</v>
      </c>
      <c r="CW56" s="46">
        <f t="shared" si="87"/>
        <v>379788.05753203505</v>
      </c>
      <c r="CX56" s="46">
        <f t="shared" si="87"/>
        <v>612299.22803161282</v>
      </c>
      <c r="CY56" s="46">
        <f t="shared" si="87"/>
        <v>562870.3616912982</v>
      </c>
      <c r="CZ56" s="46">
        <f t="shared" si="87"/>
        <v>216810.78608764851</v>
      </c>
      <c r="DA56" s="46">
        <f t="shared" si="87"/>
        <v>354371.38109920733</v>
      </c>
      <c r="DB56" s="46">
        <f t="shared" si="87"/>
        <v>619747.53459814866</v>
      </c>
      <c r="DC56" s="46">
        <f t="shared" si="87"/>
        <v>618787.83883823571</v>
      </c>
      <c r="DD56" s="46">
        <f t="shared" si="87"/>
        <v>112146.58125493531</v>
      </c>
      <c r="DE56" s="46">
        <f t="shared" si="87"/>
        <v>323387.28883720259</v>
      </c>
      <c r="DF56" s="46">
        <f t="shared" si="87"/>
        <v>632338.5491589813</v>
      </c>
      <c r="DG56" s="46">
        <f t="shared" si="87"/>
        <v>634201.41126394796</v>
      </c>
      <c r="DH56" s="46">
        <f t="shared" si="87"/>
        <v>99940.147705614014</v>
      </c>
      <c r="DI56" s="46">
        <f t="shared" si="87"/>
        <v>330469.69632562716</v>
      </c>
      <c r="DJ56" s="46">
        <f t="shared" si="89"/>
        <v>641177.64340263791</v>
      </c>
      <c r="DK56" s="46">
        <f t="shared" si="89"/>
        <v>677507.83588648774</v>
      </c>
      <c r="DL56" s="46">
        <f t="shared" si="89"/>
        <v>23900.229357063799</v>
      </c>
      <c r="DM56" s="46">
        <f t="shared" si="89"/>
        <v>309209.85821149591</v>
      </c>
      <c r="DN56" s="46">
        <f t="shared" si="89"/>
        <v>655856.5561719602</v>
      </c>
      <c r="DO56" s="46">
        <f t="shared" si="89"/>
        <v>752533.31751275365</v>
      </c>
      <c r="DP56" s="46">
        <f t="shared" si="89"/>
        <v>0</v>
      </c>
      <c r="DQ56" s="46">
        <f t="shared" si="89"/>
        <v>283120.72981702792</v>
      </c>
      <c r="DR56" s="46">
        <f t="shared" si="89"/>
        <v>667174.93794898014</v>
      </c>
      <c r="DS56" s="46">
        <f t="shared" si="89"/>
        <v>667322.10550639988</v>
      </c>
      <c r="DT56" s="46">
        <f t="shared" si="89"/>
        <v>667452.46394227631</v>
      </c>
      <c r="DU56" s="46">
        <f t="shared" si="89"/>
        <v>667152.83566134283</v>
      </c>
      <c r="DV56" s="46">
        <f t="shared" si="89"/>
        <v>667110.92929825431</v>
      </c>
      <c r="DW56" s="46">
        <f t="shared" si="89"/>
        <v>667278.91516287683</v>
      </c>
      <c r="DX56" s="46">
        <f t="shared" si="89"/>
        <v>667441.85073455749</v>
      </c>
      <c r="DY56" s="46">
        <f t="shared" si="89"/>
        <v>667213.49927482009</v>
      </c>
      <c r="DZ56" s="46">
        <f t="shared" si="89"/>
        <v>667208.89904350997</v>
      </c>
      <c r="EA56" s="46">
        <f t="shared" si="89"/>
        <v>667386.75809355406</v>
      </c>
      <c r="EB56" s="46">
        <f t="shared" si="89"/>
        <v>667580.33045878191</v>
      </c>
      <c r="EC56" s="46">
        <f t="shared" si="89"/>
        <v>667399.5435441474</v>
      </c>
      <c r="ED56" s="46">
        <f t="shared" si="89"/>
        <v>667356.83050163579</v>
      </c>
      <c r="EE56" s="46">
        <f t="shared" si="89"/>
        <v>667455.51011976041</v>
      </c>
      <c r="EF56" s="46">
        <f t="shared" si="89"/>
        <v>667658.38523074263</v>
      </c>
      <c r="EG56" s="46">
        <f t="shared" si="89"/>
        <v>667520.79885795573</v>
      </c>
      <c r="EH56" s="46">
        <f t="shared" si="89"/>
        <v>667381.66360021499</v>
      </c>
      <c r="EI56" s="46">
        <f t="shared" si="89"/>
        <v>667349.36268005846</v>
      </c>
      <c r="EJ56" s="46">
        <f t="shared" si="89"/>
        <v>667597.33173649153</v>
      </c>
      <c r="EK56" s="46">
        <f t="shared" si="89"/>
        <v>667433.89735181513</v>
      </c>
      <c r="EL56" s="46">
        <f t="shared" si="89"/>
        <v>667259.92162756098</v>
      </c>
      <c r="EM56" s="46">
        <f t="shared" si="89"/>
        <v>667278.49684912304</v>
      </c>
      <c r="EN56" s="46">
        <f t="shared" si="89"/>
        <v>667623.25180286402</v>
      </c>
      <c r="EO56" s="46">
        <f t="shared" si="89"/>
        <v>667442.13802745647</v>
      </c>
      <c r="EP56" s="46">
        <f t="shared" si="89"/>
        <v>667121.94244593009</v>
      </c>
      <c r="EQ56" s="46">
        <f t="shared" si="89"/>
        <v>667038.23734375509</v>
      </c>
      <c r="ER56" s="46">
        <f t="shared" si="89"/>
        <v>667653.60853551817</v>
      </c>
      <c r="ES56" s="46">
        <f t="shared" si="89"/>
        <v>667475.56517708721</v>
      </c>
      <c r="ET56" s="46">
        <f t="shared" si="89"/>
        <v>666733.59050152474</v>
      </c>
      <c r="EU56" s="46">
        <f t="shared" si="89"/>
        <v>667348.40003651695</v>
      </c>
      <c r="EV56" s="46" t="e">
        <f t="shared" si="89"/>
        <v>#DIV/0!</v>
      </c>
      <c r="EW56" s="46" t="e">
        <f>IF(FORECAST(EW12,DS56:EV56,DS12:EV12)&lt;0,0,FORECAST(EW12,DS56:EV56,DS12:EV12))</f>
        <v>#DIV/0!</v>
      </c>
      <c r="EX56" s="46" t="e">
        <f t="shared" si="89"/>
        <v>#DIV/0!</v>
      </c>
      <c r="EY56" s="46" t="e">
        <f t="shared" si="89"/>
        <v>#DIV/0!</v>
      </c>
      <c r="EZ56" s="46" t="e">
        <f t="shared" si="89"/>
        <v>#DIV/0!</v>
      </c>
      <c r="FA56" s="46" t="e">
        <f t="shared" si="89"/>
        <v>#DIV/0!</v>
      </c>
      <c r="FB56" s="46" t="e">
        <f t="shared" si="89"/>
        <v>#DIV/0!</v>
      </c>
      <c r="FC56" s="46" t="e">
        <f t="shared" si="89"/>
        <v>#DIV/0!</v>
      </c>
      <c r="FD56" s="46" t="e">
        <f t="shared" si="89"/>
        <v>#DIV/0!</v>
      </c>
      <c r="FE56" s="46" t="e">
        <f t="shared" si="89"/>
        <v>#DIV/0!</v>
      </c>
      <c r="FF56" s="46" t="e">
        <f t="shared" si="89"/>
        <v>#DIV/0!</v>
      </c>
      <c r="FG56" s="46" t="e">
        <f t="shared" si="89"/>
        <v>#DIV/0!</v>
      </c>
      <c r="FH56" s="46" t="e">
        <f t="shared" si="89"/>
        <v>#DIV/0!</v>
      </c>
      <c r="FI56" s="46" t="e">
        <f t="shared" si="88"/>
        <v>#DIV/0!</v>
      </c>
      <c r="FJ56" s="46" t="e">
        <f t="shared" si="88"/>
        <v>#DIV/0!</v>
      </c>
    </row>
    <row r="57" spans="1:166" ht="15" x14ac:dyDescent="0.25">
      <c r="A57" s="9" t="s">
        <v>77</v>
      </c>
      <c r="C57" s="45">
        <f>'Qrtly Credit-Deficit Generation'!C11</f>
        <v>3070</v>
      </c>
      <c r="D57" s="45">
        <f>'Qrtly Credit-Deficit Generation'!D11</f>
        <v>3368</v>
      </c>
      <c r="E57" s="45">
        <f>'Qrtly Credit-Deficit Generation'!E11</f>
        <v>4362</v>
      </c>
      <c r="F57" s="45">
        <f>'Qrtly Credit-Deficit Generation'!F11</f>
        <v>6220</v>
      </c>
      <c r="G57" s="45">
        <f>'Qrtly Credit-Deficit Generation'!G11</f>
        <v>6701</v>
      </c>
      <c r="H57" s="45">
        <f>'Qrtly Credit-Deficit Generation'!H11</f>
        <v>6804</v>
      </c>
      <c r="I57" s="45">
        <f>'Qrtly Credit-Deficit Generation'!I11</f>
        <v>7938</v>
      </c>
      <c r="J57" s="45">
        <f>'Qrtly Credit-Deficit Generation'!J11</f>
        <v>51216</v>
      </c>
      <c r="K57" s="45">
        <f>'Qrtly Credit-Deficit Generation'!K11</f>
        <v>64445</v>
      </c>
      <c r="L57" s="45">
        <f>'Qrtly Credit-Deficit Generation'!L11</f>
        <v>178293</v>
      </c>
      <c r="M57" s="45">
        <f>'Qrtly Credit-Deficit Generation'!M11</f>
        <v>288998</v>
      </c>
      <c r="N57" s="45">
        <f>'Qrtly Credit-Deficit Generation'!N11</f>
        <v>258193</v>
      </c>
      <c r="O57" s="45">
        <f>'Qrtly Credit-Deficit Generation'!O11</f>
        <v>192407</v>
      </c>
      <c r="P57" s="45">
        <f>'Qrtly Credit-Deficit Generation'!P11</f>
        <v>211004</v>
      </c>
      <c r="Q57" s="45">
        <f>'Qrtly Credit-Deficit Generation'!Q11</f>
        <v>260522</v>
      </c>
      <c r="R57" s="45">
        <f>'Qrtly Credit-Deficit Generation'!R11</f>
        <v>181046</v>
      </c>
      <c r="S57" s="45">
        <f>'Qrtly Credit-Deficit Generation'!S11</f>
        <v>204352</v>
      </c>
      <c r="T57" s="45">
        <f>'Qrtly Credit-Deficit Generation'!T11</f>
        <v>240167</v>
      </c>
      <c r="U57" s="45">
        <f>'Qrtly Credit-Deficit Generation'!U11</f>
        <v>298591</v>
      </c>
      <c r="V57" s="45">
        <f>'Qrtly Credit-Deficit Generation'!V11</f>
        <v>295061</v>
      </c>
      <c r="W57" s="45">
        <f>'Qrtly Credit-Deficit Generation'!W11</f>
        <v>274568</v>
      </c>
      <c r="X57" s="45">
        <f>'Qrtly Credit-Deficit Generation'!X11</f>
        <v>670559</v>
      </c>
      <c r="Y57" s="45">
        <f>'Qrtly Credit-Deficit Generation'!Y11</f>
        <v>577586</v>
      </c>
      <c r="Z57" s="45">
        <f>'Qrtly Credit-Deficit Generation'!Z11</f>
        <v>718504</v>
      </c>
      <c r="AA57" s="45">
        <f>'Qrtly Credit-Deficit Generation'!AA11</f>
        <v>610652</v>
      </c>
      <c r="AB57" s="45">
        <f>'Qrtly Credit-Deficit Generation'!AB11</f>
        <v>835625</v>
      </c>
      <c r="AC57" s="45">
        <f>'Qrtly Credit-Deficit Generation'!AC11</f>
        <v>844159</v>
      </c>
      <c r="AD57" s="45">
        <f>'Qrtly Credit-Deficit Generation'!AD11</f>
        <v>676294</v>
      </c>
      <c r="AE57" s="45">
        <f>'Qrtly Credit-Deficit Generation'!AE11</f>
        <v>822711</v>
      </c>
      <c r="AF57" s="45">
        <f>'Qrtly Credit-Deficit Generation'!AF11</f>
        <v>904125</v>
      </c>
      <c r="AG57" s="45">
        <f>'Qrtly Credit-Deficit Generation'!AG11</f>
        <v>684773</v>
      </c>
      <c r="AH57" s="45">
        <f>'Qrtly Credit-Deficit Generation'!AH11</f>
        <v>1073782</v>
      </c>
      <c r="AI57" s="45">
        <f>'Qrtly Credit-Deficit Generation'!AI11</f>
        <v>1195556</v>
      </c>
      <c r="AJ57" s="45">
        <f>'Qrtly Credit-Deficit Generation'!AJ11</f>
        <v>1245746</v>
      </c>
      <c r="AK57" s="45">
        <f>'Qrtly Credit-Deficit Generation'!AK11</f>
        <v>1056305</v>
      </c>
      <c r="AL57" s="45">
        <f>'Qrtly Credit-Deficit Generation'!AL11</f>
        <v>1282920</v>
      </c>
      <c r="AM57" s="45">
        <f>'Qrtly Credit-Deficit Generation'!AM11</f>
        <v>1033279</v>
      </c>
      <c r="AN57" s="45">
        <f>'Qrtly Credit-Deficit Generation'!AN11</f>
        <v>1141074</v>
      </c>
      <c r="AO57" s="45">
        <f>'Qrtly Credit-Deficit Generation'!AO11</f>
        <v>1104970</v>
      </c>
      <c r="AP57" s="45">
        <f>'Qrtly Credit-Deficit Generation'!AP11</f>
        <v>1291977</v>
      </c>
      <c r="AQ57" s="45">
        <f>'Qrtly Credit-Deficit Generation'!AQ11</f>
        <v>1432647</v>
      </c>
      <c r="AR57" s="45">
        <f>'Qrtly Credit-Deficit Generation'!AR11</f>
        <v>1503734</v>
      </c>
      <c r="AS57" s="45">
        <f>'Qrtly Credit-Deficit Generation'!AS11</f>
        <v>1724236</v>
      </c>
      <c r="AT57" s="45">
        <f>'Qrtly Credit-Deficit Generation'!AT11</f>
        <v>1895846</v>
      </c>
      <c r="AU57" s="45">
        <f>'Qrtly Credit-Deficit Generation'!AU11</f>
        <v>2222870</v>
      </c>
      <c r="AV57" s="45">
        <f>'Qrtly Credit-Deficit Generation'!AV11</f>
        <v>2447051</v>
      </c>
      <c r="AW57" s="45">
        <f>'Qrtly Credit-Deficit Generation'!AW11</f>
        <v>2389803</v>
      </c>
      <c r="AX57" s="45">
        <f>'Qrtly Credit-Deficit Generation'!AX11</f>
        <v>2557211</v>
      </c>
      <c r="AY57" s="45">
        <v>2504078</v>
      </c>
      <c r="AZ57" s="45">
        <v>2847161</v>
      </c>
      <c r="BA57" s="45">
        <v>3182501</v>
      </c>
      <c r="BB57" s="45">
        <v>3395112</v>
      </c>
      <c r="BC57" s="45">
        <v>3149540</v>
      </c>
      <c r="BD57" s="45">
        <v>3492934</v>
      </c>
      <c r="BE57" s="45">
        <v>3875405</v>
      </c>
      <c r="BF57" s="46">
        <f t="shared" si="87"/>
        <v>3474023.0076604788</v>
      </c>
      <c r="BG57" s="46">
        <f t="shared" si="87"/>
        <v>2756924.0458533536</v>
      </c>
      <c r="BH57" s="46">
        <f t="shared" si="87"/>
        <v>2793118.906153128</v>
      </c>
      <c r="BI57" s="46">
        <f t="shared" si="87"/>
        <v>3506334.0418863702</v>
      </c>
      <c r="BJ57" s="46">
        <f t="shared" si="87"/>
        <v>3247958.0767375478</v>
      </c>
      <c r="BK57" s="46">
        <f t="shared" si="87"/>
        <v>2724166.7105000308</v>
      </c>
      <c r="BL57" s="46">
        <f t="shared" si="87"/>
        <v>2973159.4002919765</v>
      </c>
      <c r="BM57" s="46">
        <f t="shared" si="87"/>
        <v>3079811.0989782619</v>
      </c>
      <c r="BN57" s="46">
        <f t="shared" si="87"/>
        <v>3573334.9338669255</v>
      </c>
      <c r="BO57" s="46">
        <f t="shared" si="87"/>
        <v>2902822.9942377661</v>
      </c>
      <c r="BP57" s="46">
        <f t="shared" si="87"/>
        <v>3178674.3539646869</v>
      </c>
      <c r="BQ57" s="46">
        <f t="shared" si="87"/>
        <v>3281787.7093463028</v>
      </c>
      <c r="BR57" s="46">
        <f>IF(FORECAST(BR13,AN57:BQ57,AN13:BQ13)&lt;0,0,FORECAST(BR13,AN57:BQ57,AN13:BQ13))</f>
        <v>3850062.082383228</v>
      </c>
      <c r="BS57" s="46">
        <f>IF(FORECAST(BS13,AO57:BR57,AO13:BR13)&lt;0,0,FORECAST(BS13,AO57:BR57,AO13:BR13))</f>
        <v>2742439.2233245946</v>
      </c>
      <c r="BT57" s="46">
        <f t="shared" si="87"/>
        <v>2966468.0362123</v>
      </c>
      <c r="BU57" s="46">
        <f t="shared" si="87"/>
        <v>3172288.9803307382</v>
      </c>
      <c r="BV57" s="46">
        <f t="shared" si="87"/>
        <v>3651527.91623906</v>
      </c>
      <c r="BW57" s="46">
        <f t="shared" si="87"/>
        <v>2780378.6130446061</v>
      </c>
      <c r="BX57" s="46">
        <f t="shared" si="87"/>
        <v>2992670.862442804</v>
      </c>
      <c r="BY57" s="46">
        <f t="shared" si="87"/>
        <v>3189695.8507544422</v>
      </c>
      <c r="BZ57" s="46">
        <f t="shared" si="87"/>
        <v>3646801.0229832302</v>
      </c>
      <c r="CA57" s="46">
        <f t="shared" si="87"/>
        <v>2859970.3291270207</v>
      </c>
      <c r="CB57" s="46">
        <f t="shared" si="87"/>
        <v>3083278.5949517856</v>
      </c>
      <c r="CC57" s="46">
        <f t="shared" si="87"/>
        <v>3204022.0391424708</v>
      </c>
      <c r="CD57" s="46">
        <f t="shared" si="87"/>
        <v>3830872.8829032336</v>
      </c>
      <c r="CE57" s="46">
        <f t="shared" si="87"/>
        <v>3009710.0970781059</v>
      </c>
      <c r="CF57" s="46">
        <f t="shared" si="87"/>
        <v>3296134.8833645796</v>
      </c>
      <c r="CG57" s="46">
        <f t="shared" si="87"/>
        <v>3162944.7399037727</v>
      </c>
      <c r="CH57" s="46">
        <f t="shared" si="87"/>
        <v>4105295.4952768143</v>
      </c>
      <c r="CI57" s="46">
        <f t="shared" si="87"/>
        <v>3416993.5707273297</v>
      </c>
      <c r="CJ57" s="46">
        <f t="shared" si="87"/>
        <v>3790365.5984110101</v>
      </c>
      <c r="CK57" s="46">
        <f t="shared" si="87"/>
        <v>2948797.1251852135</v>
      </c>
      <c r="CL57" s="46">
        <f t="shared" si="87"/>
        <v>4786718.5390379168</v>
      </c>
      <c r="CM57" s="46">
        <f t="shared" ref="CM57:DI59" si="90">IF(FORECAST(CM13,BI57:CL57,BI13:CL13)&lt;0,0,FORECAST(CM13,BI57:CL57,BI13:CL13))</f>
        <v>3403908.3671925119</v>
      </c>
      <c r="CN57" s="46">
        <f t="shared" si="90"/>
        <v>3770905.6432463359</v>
      </c>
      <c r="CO57" s="46">
        <f t="shared" si="90"/>
        <v>3009996.216674584</v>
      </c>
      <c r="CP57" s="46">
        <f t="shared" si="90"/>
        <v>4762255.0325168464</v>
      </c>
      <c r="CQ57" s="46">
        <f t="shared" si="90"/>
        <v>3334524.3998619337</v>
      </c>
      <c r="CR57" s="46">
        <f t="shared" si="90"/>
        <v>3684187.6006984301</v>
      </c>
      <c r="CS57" s="46">
        <f t="shared" si="90"/>
        <v>3018804.9537729304</v>
      </c>
      <c r="CT57" s="46">
        <f t="shared" si="90"/>
        <v>4641242.3595377756</v>
      </c>
      <c r="CU57" s="46">
        <f t="shared" si="90"/>
        <v>3577864.5050334288</v>
      </c>
      <c r="CV57" s="46">
        <f t="shared" si="90"/>
        <v>4014285.7718361584</v>
      </c>
      <c r="CW57" s="46">
        <f t="shared" si="90"/>
        <v>2944544.4037750755</v>
      </c>
      <c r="CX57" s="46">
        <f t="shared" si="90"/>
        <v>5027233.7822620142</v>
      </c>
      <c r="CY57" s="46">
        <f t="shared" si="90"/>
        <v>3727050.6606974495</v>
      </c>
      <c r="CZ57" s="46">
        <f t="shared" si="90"/>
        <v>4182729.1888334001</v>
      </c>
      <c r="DA57" s="46">
        <f t="shared" si="90"/>
        <v>2880050.8523975243</v>
      </c>
      <c r="DB57" s="46">
        <f t="shared" si="90"/>
        <v>5301398.4949455317</v>
      </c>
      <c r="DC57" s="46">
        <f t="shared" si="90"/>
        <v>4101116.6816452229</v>
      </c>
      <c r="DD57" s="46">
        <f t="shared" si="90"/>
        <v>4641395.0971551398</v>
      </c>
      <c r="DE57" s="46">
        <f t="shared" si="90"/>
        <v>2719426.2182672713</v>
      </c>
      <c r="DF57" s="46">
        <f t="shared" si="90"/>
        <v>5936402.5386884324</v>
      </c>
      <c r="DG57" s="46">
        <f t="shared" si="90"/>
        <v>4432581.9473261032</v>
      </c>
      <c r="DH57" s="46">
        <f t="shared" si="90"/>
        <v>5047020.4232511595</v>
      </c>
      <c r="DI57" s="46">
        <f t="shared" si="90"/>
        <v>2584934.2601429541</v>
      </c>
      <c r="DJ57" s="46">
        <f t="shared" si="89"/>
        <v>6493403.7865617275</v>
      </c>
      <c r="DK57" s="46">
        <f t="shared" si="89"/>
        <v>4444234.0132100843</v>
      </c>
      <c r="DL57" s="46">
        <f t="shared" si="89"/>
        <v>5061590.9798877472</v>
      </c>
      <c r="DM57" s="46">
        <f t="shared" si="89"/>
        <v>2584799.6392165148</v>
      </c>
      <c r="DN57" s="46">
        <f t="shared" si="89"/>
        <v>6510202.4770739339</v>
      </c>
      <c r="DO57" s="46">
        <f t="shared" si="89"/>
        <v>4018332.9352175673</v>
      </c>
      <c r="DP57" s="46">
        <f t="shared" si="89"/>
        <v>4534784.3401750829</v>
      </c>
      <c r="DQ57" s="46">
        <f t="shared" si="89"/>
        <v>2754800.0549992407</v>
      </c>
      <c r="DR57" s="46">
        <f t="shared" si="89"/>
        <v>5785386.0996051347</v>
      </c>
      <c r="DS57" s="46">
        <f t="shared" si="89"/>
        <v>5785368.9716586526</v>
      </c>
      <c r="DT57" s="46">
        <f t="shared" si="89"/>
        <v>5785362.4416975137</v>
      </c>
      <c r="DU57" s="46">
        <f t="shared" si="89"/>
        <v>5785286.3188554514</v>
      </c>
      <c r="DV57" s="46">
        <f t="shared" si="89"/>
        <v>5785287.7782981377</v>
      </c>
      <c r="DW57" s="46">
        <f t="shared" si="89"/>
        <v>5785279.4523327798</v>
      </c>
      <c r="DX57" s="46">
        <f t="shared" si="89"/>
        <v>5785282.3137739319</v>
      </c>
      <c r="DY57" s="46">
        <f t="shared" si="89"/>
        <v>5785272.0896774381</v>
      </c>
      <c r="DZ57" s="46">
        <f t="shared" si="89"/>
        <v>5785269.6583159268</v>
      </c>
      <c r="EA57" s="46">
        <f t="shared" si="89"/>
        <v>5785264.8484118413</v>
      </c>
      <c r="EB57" s="46">
        <f t="shared" si="89"/>
        <v>5785266.1284613227</v>
      </c>
      <c r="EC57" s="46">
        <f t="shared" si="89"/>
        <v>5785332.477740882</v>
      </c>
      <c r="ED57" s="46">
        <f t="shared" si="89"/>
        <v>5785335.7291812804</v>
      </c>
      <c r="EE57" s="46">
        <f t="shared" si="89"/>
        <v>5785352.5396646634</v>
      </c>
      <c r="EF57" s="46">
        <f t="shared" si="89"/>
        <v>5785356.9950824501</v>
      </c>
      <c r="EG57" s="46">
        <f t="shared" si="89"/>
        <v>5785398.2017901344</v>
      </c>
      <c r="EH57" s="46">
        <f t="shared" si="89"/>
        <v>5785410.6516811484</v>
      </c>
      <c r="EI57" s="46">
        <f t="shared" si="89"/>
        <v>5785430.0105473334</v>
      </c>
      <c r="EJ57" s="46">
        <f t="shared" si="89"/>
        <v>5785428.1308605745</v>
      </c>
      <c r="EK57" s="46">
        <f t="shared" si="89"/>
        <v>5785401.2970608417</v>
      </c>
      <c r="EL57" s="46">
        <f t="shared" si="89"/>
        <v>5785403.6137158601</v>
      </c>
      <c r="EM57" s="46">
        <f t="shared" si="89"/>
        <v>5785400.5787851475</v>
      </c>
      <c r="EN57" s="46">
        <f t="shared" si="89"/>
        <v>5785398.6895151129</v>
      </c>
      <c r="EO57" s="46">
        <f t="shared" si="89"/>
        <v>5785381.6002555005</v>
      </c>
      <c r="EP57" s="46">
        <f t="shared" si="89"/>
        <v>5785381.385514467</v>
      </c>
      <c r="EQ57" s="46">
        <f t="shared" si="89"/>
        <v>5785378.1281325743</v>
      </c>
      <c r="ER57" s="46">
        <f t="shared" si="89"/>
        <v>5785378.8390808022</v>
      </c>
      <c r="ES57" s="46">
        <f t="shared" si="89"/>
        <v>5785356.1812979588</v>
      </c>
      <c r="ET57" s="46">
        <f t="shared" si="89"/>
        <v>5785355.5813743733</v>
      </c>
      <c r="EU57" s="46">
        <f t="shared" si="89"/>
        <v>5785351.9562885929</v>
      </c>
      <c r="EV57" s="46">
        <f t="shared" si="89"/>
        <v>5785351.9562885938</v>
      </c>
      <c r="EW57" s="46">
        <f t="shared" si="89"/>
        <v>5785350.8181780428</v>
      </c>
      <c r="EX57" s="46">
        <f t="shared" si="89"/>
        <v>5785350.2130620219</v>
      </c>
      <c r="EY57" s="46">
        <f t="shared" si="89"/>
        <v>5785349.8054408403</v>
      </c>
      <c r="EZ57" s="46">
        <f t="shared" si="89"/>
        <v>5785351.9216603525</v>
      </c>
      <c r="FA57" s="46">
        <f t="shared" si="89"/>
        <v>5785354.0597724263</v>
      </c>
      <c r="FB57" s="46">
        <f t="shared" si="89"/>
        <v>5785356.5466870805</v>
      </c>
      <c r="FC57" s="46">
        <f t="shared" si="89"/>
        <v>5785359.0211175196</v>
      </c>
      <c r="FD57" s="46">
        <f t="shared" si="89"/>
        <v>5785361.9188321885</v>
      </c>
      <c r="FE57" s="46">
        <f t="shared" si="89"/>
        <v>5785364.994182731</v>
      </c>
      <c r="FF57" s="46">
        <f t="shared" si="89"/>
        <v>5785368.3323750943</v>
      </c>
      <c r="FG57" s="46">
        <f t="shared" si="89"/>
        <v>5785371.7391722202</v>
      </c>
      <c r="FH57" s="46">
        <f t="shared" si="89"/>
        <v>5785373.047886597</v>
      </c>
      <c r="FI57" s="46">
        <f t="shared" si="88"/>
        <v>5785374.2918434422</v>
      </c>
      <c r="FJ57" s="46">
        <f t="shared" si="88"/>
        <v>5785375.0169160673</v>
      </c>
    </row>
    <row r="58" spans="1:166" ht="15" x14ac:dyDescent="0.25">
      <c r="A58" s="9" t="s">
        <v>78</v>
      </c>
      <c r="C58" s="45">
        <f>'Qrtly Credit-Deficit Generation'!C12</f>
        <v>0</v>
      </c>
      <c r="D58" s="45">
        <f>'Qrtly Credit-Deficit Generation'!D12</f>
        <v>0</v>
      </c>
      <c r="E58" s="45">
        <f>'Qrtly Credit-Deficit Generation'!E12</f>
        <v>0</v>
      </c>
      <c r="F58" s="45">
        <f>'Qrtly Credit-Deficit Generation'!F12</f>
        <v>0</v>
      </c>
      <c r="G58" s="45">
        <f>'Qrtly Credit-Deficit Generation'!G12</f>
        <v>0</v>
      </c>
      <c r="H58" s="45">
        <f>'Qrtly Credit-Deficit Generation'!H12</f>
        <v>0</v>
      </c>
      <c r="I58" s="45">
        <f>'Qrtly Credit-Deficit Generation'!I12</f>
        <v>0</v>
      </c>
      <c r="J58" s="45">
        <f>'Qrtly Credit-Deficit Generation'!J12</f>
        <v>0</v>
      </c>
      <c r="K58" s="45">
        <f>'Qrtly Credit-Deficit Generation'!K12</f>
        <v>0</v>
      </c>
      <c r="L58" s="45">
        <f>'Qrtly Credit-Deficit Generation'!L12</f>
        <v>0</v>
      </c>
      <c r="M58" s="45">
        <f>'Qrtly Credit-Deficit Generation'!M12</f>
        <v>0</v>
      </c>
      <c r="N58" s="45">
        <f>'Qrtly Credit-Deficit Generation'!N12</f>
        <v>0</v>
      </c>
      <c r="O58" s="45">
        <f>'Qrtly Credit-Deficit Generation'!O12</f>
        <v>0</v>
      </c>
      <c r="P58" s="45">
        <f>'Qrtly Credit-Deficit Generation'!P12</f>
        <v>0</v>
      </c>
      <c r="Q58" s="45">
        <f>'Qrtly Credit-Deficit Generation'!Q12</f>
        <v>0</v>
      </c>
      <c r="R58" s="45">
        <f>'Qrtly Credit-Deficit Generation'!R12</f>
        <v>0</v>
      </c>
      <c r="S58" s="45">
        <f>'Qrtly Credit-Deficit Generation'!S12</f>
        <v>0</v>
      </c>
      <c r="T58" s="45">
        <f>'Qrtly Credit-Deficit Generation'!T12</f>
        <v>0</v>
      </c>
      <c r="U58" s="45">
        <f>'Qrtly Credit-Deficit Generation'!U12</f>
        <v>0</v>
      </c>
      <c r="V58" s="45">
        <f>'Qrtly Credit-Deficit Generation'!V12</f>
        <v>0</v>
      </c>
      <c r="W58" s="45">
        <f>'Qrtly Credit-Deficit Generation'!W12</f>
        <v>0</v>
      </c>
      <c r="X58" s="45">
        <f>'Qrtly Credit-Deficit Generation'!X12</f>
        <v>0</v>
      </c>
      <c r="Y58" s="45">
        <f>'Qrtly Credit-Deficit Generation'!Y12</f>
        <v>0</v>
      </c>
      <c r="Z58" s="45">
        <f>'Qrtly Credit-Deficit Generation'!Z12</f>
        <v>0</v>
      </c>
      <c r="AA58" s="45">
        <f>'Qrtly Credit-Deficit Generation'!AA12</f>
        <v>0</v>
      </c>
      <c r="AB58" s="45">
        <f>'Qrtly Credit-Deficit Generation'!AB12</f>
        <v>0</v>
      </c>
      <c r="AC58" s="45">
        <f>'Qrtly Credit-Deficit Generation'!AC12</f>
        <v>0</v>
      </c>
      <c r="AD58" s="45">
        <f>'Qrtly Credit-Deficit Generation'!AD12</f>
        <v>0</v>
      </c>
      <c r="AE58" s="45">
        <f>'Qrtly Credit-Deficit Generation'!AE12</f>
        <v>0</v>
      </c>
      <c r="AF58" s="45">
        <f>'Qrtly Credit-Deficit Generation'!AF12</f>
        <v>0</v>
      </c>
      <c r="AG58" s="45">
        <f>'Qrtly Credit-Deficit Generation'!AG12</f>
        <v>0</v>
      </c>
      <c r="AH58" s="45">
        <f>'Qrtly Credit-Deficit Generation'!AH12</f>
        <v>0</v>
      </c>
      <c r="AI58" s="45">
        <f>'Qrtly Credit-Deficit Generation'!AI12</f>
        <v>0</v>
      </c>
      <c r="AJ58" s="45">
        <f>'Qrtly Credit-Deficit Generation'!AJ12</f>
        <v>3600</v>
      </c>
      <c r="AK58" s="45">
        <f>'Qrtly Credit-Deficit Generation'!AK12</f>
        <v>4579</v>
      </c>
      <c r="AL58" s="45">
        <f>'Qrtly Credit-Deficit Generation'!AL12</f>
        <v>2924</v>
      </c>
      <c r="AM58" s="45">
        <f>'Qrtly Credit-Deficit Generation'!AM12</f>
        <v>2082</v>
      </c>
      <c r="AN58" s="45">
        <f>'Qrtly Credit-Deficit Generation'!AN12</f>
        <v>7042</v>
      </c>
      <c r="AO58" s="45">
        <f>'Qrtly Credit-Deficit Generation'!AO12</f>
        <v>14000</v>
      </c>
      <c r="AP58" s="45">
        <f>'Qrtly Credit-Deficit Generation'!AP12</f>
        <v>4613</v>
      </c>
      <c r="AQ58" s="45">
        <f>'Qrtly Credit-Deficit Generation'!AQ12</f>
        <v>7331</v>
      </c>
      <c r="AR58" s="45">
        <f>'Qrtly Credit-Deficit Generation'!AR12</f>
        <v>15656</v>
      </c>
      <c r="AS58" s="45">
        <f>'Qrtly Credit-Deficit Generation'!AS12</f>
        <v>10428</v>
      </c>
      <c r="AT58" s="45">
        <f>'Qrtly Credit-Deficit Generation'!AT12</f>
        <v>19089</v>
      </c>
      <c r="AU58" s="45">
        <f>'Qrtly Credit-Deficit Generation'!AU12</f>
        <v>8458</v>
      </c>
      <c r="AV58" s="45">
        <f>'Qrtly Credit-Deficit Generation'!AV12</f>
        <v>27321</v>
      </c>
      <c r="AW58" s="45">
        <f>'Qrtly Credit-Deficit Generation'!AW12</f>
        <v>24234</v>
      </c>
      <c r="AX58" s="45">
        <f>'Qrtly Credit-Deficit Generation'!AX12</f>
        <v>9549</v>
      </c>
      <c r="AY58" s="45">
        <v>24919</v>
      </c>
      <c r="AZ58" s="45">
        <v>37258</v>
      </c>
      <c r="BA58" s="45">
        <v>22647</v>
      </c>
      <c r="BB58" s="45">
        <v>37508</v>
      </c>
      <c r="BC58" s="45">
        <v>59320</v>
      </c>
      <c r="BD58" s="45">
        <v>122696</v>
      </c>
      <c r="BE58" s="45">
        <v>126286</v>
      </c>
      <c r="BF58" s="46">
        <f t="shared" ref="BF58:CL60" si="91">IF(FORECAST(BF14,AB58:BE58,AB14:BE14)&lt;0,0,FORECAST(BF14,AB58:BE58,AB14:BE14))</f>
        <v>19811.245973902656</v>
      </c>
      <c r="BG58" s="46">
        <f t="shared" si="91"/>
        <v>121001.89543839506</v>
      </c>
      <c r="BH58" s="46">
        <f t="shared" si="91"/>
        <v>168461.20101312015</v>
      </c>
      <c r="BI58" s="46">
        <f t="shared" si="91"/>
        <v>218538.35852303909</v>
      </c>
      <c r="BJ58" s="46">
        <f t="shared" si="91"/>
        <v>60742.571057554407</v>
      </c>
      <c r="BK58" s="46">
        <f t="shared" si="91"/>
        <v>530568.4018719634</v>
      </c>
      <c r="BL58" s="46">
        <f t="shared" si="91"/>
        <v>619038.68770285661</v>
      </c>
      <c r="BM58" s="46">
        <f t="shared" si="91"/>
        <v>837418.67573253077</v>
      </c>
      <c r="BN58" s="46">
        <f t="shared" si="91"/>
        <v>203536.3777337138</v>
      </c>
      <c r="BO58" s="46">
        <f t="shared" si="91"/>
        <v>1369538.0067958962</v>
      </c>
      <c r="BP58" s="46">
        <f t="shared" si="91"/>
        <v>1591601.9619704732</v>
      </c>
      <c r="BQ58" s="46">
        <f t="shared" si="91"/>
        <v>2170296.467509218</v>
      </c>
      <c r="BR58" s="46">
        <f t="shared" si="91"/>
        <v>504916.52817360428</v>
      </c>
      <c r="BS58" s="46">
        <f t="shared" si="91"/>
        <v>1793800.967614142</v>
      </c>
      <c r="BT58" s="46">
        <f t="shared" si="91"/>
        <v>2080894.512510119</v>
      </c>
      <c r="BU58" s="46">
        <f t="shared" si="91"/>
        <v>2839229.0613978379</v>
      </c>
      <c r="BV58" s="46">
        <f t="shared" si="91"/>
        <v>657108.74334387924</v>
      </c>
      <c r="BW58" s="46">
        <f t="shared" si="91"/>
        <v>2151811.8995567146</v>
      </c>
      <c r="BX58" s="46">
        <f t="shared" si="91"/>
        <v>2495233.6049584178</v>
      </c>
      <c r="BY58" s="46">
        <f t="shared" si="91"/>
        <v>3404334.5104410411</v>
      </c>
      <c r="BZ58" s="46">
        <f t="shared" si="91"/>
        <v>779473.68288614391</v>
      </c>
      <c r="CA58" s="46">
        <f t="shared" si="91"/>
        <v>2747116.662639467</v>
      </c>
      <c r="CB58" s="46">
        <f t="shared" si="91"/>
        <v>3167302.2220728621</v>
      </c>
      <c r="CC58" s="46">
        <f t="shared" si="91"/>
        <v>4322350.6070768973</v>
      </c>
      <c r="CD58" s="46">
        <f t="shared" si="91"/>
        <v>990588.51516211545</v>
      </c>
      <c r="CE58" s="46">
        <f t="shared" si="91"/>
        <v>3023182.969437643</v>
      </c>
      <c r="CF58" s="46">
        <f t="shared" si="91"/>
        <v>3484839.1241345163</v>
      </c>
      <c r="CG58" s="46">
        <f t="shared" si="91"/>
        <v>4757547.538499767</v>
      </c>
      <c r="CH58" s="46">
        <f t="shared" si="91"/>
        <v>1092101.2649474868</v>
      </c>
      <c r="CI58" s="46">
        <f t="shared" si="91"/>
        <v>3787333.364180068</v>
      </c>
      <c r="CJ58" s="46">
        <f t="shared" si="91"/>
        <v>4357057.5607194202</v>
      </c>
      <c r="CK58" s="46">
        <f t="shared" si="91"/>
        <v>5950469.8531902982</v>
      </c>
      <c r="CL58" s="46">
        <f t="shared" si="91"/>
        <v>1362559.3725597796</v>
      </c>
      <c r="CM58" s="46">
        <f t="shared" si="90"/>
        <v>4051428.0523473253</v>
      </c>
      <c r="CN58" s="46">
        <f t="shared" si="90"/>
        <v>4664691.1811808608</v>
      </c>
      <c r="CO58" s="46">
        <f t="shared" si="90"/>
        <v>6372094.7132588429</v>
      </c>
      <c r="CP58" s="46">
        <f t="shared" si="90"/>
        <v>1457787.7050790796</v>
      </c>
      <c r="CQ58" s="46">
        <f t="shared" si="90"/>
        <v>4445726.5963914692</v>
      </c>
      <c r="CR58" s="46">
        <f t="shared" si="90"/>
        <v>5113410.6118925046</v>
      </c>
      <c r="CS58" s="46">
        <f t="shared" si="90"/>
        <v>6984691.4269980956</v>
      </c>
      <c r="CT58" s="46">
        <f t="shared" si="90"/>
        <v>1596451.1029718742</v>
      </c>
      <c r="CU58" s="46">
        <f t="shared" si="90"/>
        <v>4660667.0992594473</v>
      </c>
      <c r="CV58" s="46">
        <f t="shared" si="90"/>
        <v>5357916.5867403289</v>
      </c>
      <c r="CW58" s="46">
        <f t="shared" si="90"/>
        <v>7318976.693710085</v>
      </c>
      <c r="CX58" s="46">
        <f t="shared" si="90"/>
        <v>1673128.6496420314</v>
      </c>
      <c r="CY58" s="46">
        <f t="shared" si="90"/>
        <v>3419228.9692843431</v>
      </c>
      <c r="CZ58" s="46">
        <f t="shared" si="90"/>
        <v>3938742.9924701429</v>
      </c>
      <c r="DA58" s="46">
        <f t="shared" si="90"/>
        <v>5378892.3766528871</v>
      </c>
      <c r="DB58" s="46">
        <f t="shared" si="90"/>
        <v>1231951.3742205112</v>
      </c>
      <c r="DC58" s="46">
        <f t="shared" si="90"/>
        <v>3549074.5426124712</v>
      </c>
      <c r="DD58" s="46">
        <f t="shared" si="90"/>
        <v>4087354.5593639864</v>
      </c>
      <c r="DE58" s="46">
        <f t="shared" si="90"/>
        <v>5581929.7279917626</v>
      </c>
      <c r="DF58" s="46">
        <f t="shared" si="90"/>
        <v>1278201.1388962422</v>
      </c>
      <c r="DG58" s="46">
        <f t="shared" si="90"/>
        <v>3719174.3099485631</v>
      </c>
      <c r="DH58" s="46">
        <f t="shared" si="90"/>
        <v>4281445.7668563975</v>
      </c>
      <c r="DI58" s="46">
        <f t="shared" si="90"/>
        <v>5847007.4919015523</v>
      </c>
      <c r="DJ58" s="46">
        <f t="shared" si="89"/>
        <v>1339066.0820159246</v>
      </c>
      <c r="DK58" s="46">
        <f t="shared" si="89"/>
        <v>3681433.2911355253</v>
      </c>
      <c r="DL58" s="46">
        <f t="shared" si="89"/>
        <v>4237879.9656184586</v>
      </c>
      <c r="DM58" s="46">
        <f t="shared" si="89"/>
        <v>5787579.8861610387</v>
      </c>
      <c r="DN58" s="46">
        <f t="shared" si="89"/>
        <v>1325752.7094252214</v>
      </c>
      <c r="DO58" s="46">
        <f t="shared" si="89"/>
        <v>4041105.5625052764</v>
      </c>
      <c r="DP58" s="46">
        <f t="shared" si="89"/>
        <v>4649727.5235690642</v>
      </c>
      <c r="DQ58" s="46">
        <f t="shared" si="89"/>
        <v>6350979.1899348628</v>
      </c>
      <c r="DR58" s="46">
        <f t="shared" si="89"/>
        <v>1453738.8867510965</v>
      </c>
      <c r="DS58" s="46">
        <f t="shared" si="89"/>
        <v>1453738.8465049248</v>
      </c>
      <c r="DT58" s="46">
        <f t="shared" si="89"/>
        <v>1453738.075806262</v>
      </c>
      <c r="DU58" s="46">
        <f t="shared" si="89"/>
        <v>1453735.747963188</v>
      </c>
      <c r="DV58" s="46">
        <f t="shared" si="89"/>
        <v>1453735.786068419</v>
      </c>
      <c r="DW58" s="46">
        <f t="shared" si="89"/>
        <v>1453735.7986639326</v>
      </c>
      <c r="DX58" s="46">
        <f t="shared" si="89"/>
        <v>1453735.3601274698</v>
      </c>
      <c r="DY58" s="46">
        <f t="shared" si="89"/>
        <v>1453734.9339757462</v>
      </c>
      <c r="DZ58" s="46">
        <f t="shared" si="89"/>
        <v>1453734.9681107213</v>
      </c>
      <c r="EA58" s="46">
        <f t="shared" si="89"/>
        <v>1453734.9489634081</v>
      </c>
      <c r="EB58" s="46">
        <f t="shared" si="89"/>
        <v>1453735.0015092262</v>
      </c>
      <c r="EC58" s="46">
        <f t="shared" si="89"/>
        <v>1453735.5034651004</v>
      </c>
      <c r="ED58" s="46">
        <f t="shared" si="89"/>
        <v>1453735.6180068667</v>
      </c>
      <c r="EE58" s="46">
        <f t="shared" si="89"/>
        <v>1453735.6084374585</v>
      </c>
      <c r="EF58" s="46">
        <f t="shared" si="89"/>
        <v>1453735.6299943649</v>
      </c>
      <c r="EG58" s="46">
        <f t="shared" si="89"/>
        <v>1453736.2375503022</v>
      </c>
      <c r="EH58" s="46">
        <f t="shared" si="89"/>
        <v>1453736.2476415043</v>
      </c>
      <c r="EI58" s="46">
        <f t="shared" si="89"/>
        <v>1453736.1988634721</v>
      </c>
      <c r="EJ58" s="46">
        <f t="shared" si="89"/>
        <v>1453736.250195099</v>
      </c>
      <c r="EK58" s="46">
        <f t="shared" si="89"/>
        <v>1453736.3286718838</v>
      </c>
      <c r="EL58" s="46">
        <f t="shared" si="89"/>
        <v>1453736.279376464</v>
      </c>
      <c r="EM58" s="46">
        <f t="shared" si="89"/>
        <v>1453736.2698071825</v>
      </c>
      <c r="EN58" s="46">
        <f t="shared" si="89"/>
        <v>1453736.2962530693</v>
      </c>
      <c r="EO58" s="46">
        <f t="shared" si="89"/>
        <v>1453736.3857286295</v>
      </c>
      <c r="EP58" s="46">
        <f t="shared" si="89"/>
        <v>1453736.3926038102</v>
      </c>
      <c r="EQ58" s="46">
        <f t="shared" si="89"/>
        <v>1453736.3832274145</v>
      </c>
      <c r="ER58" s="46">
        <f t="shared" si="89"/>
        <v>1453736.3883804434</v>
      </c>
      <c r="ES58" s="46">
        <f t="shared" si="89"/>
        <v>1453736.1938126753</v>
      </c>
      <c r="ET58" s="46">
        <f t="shared" si="89"/>
        <v>1453736.1739390697</v>
      </c>
      <c r="EU58" s="46">
        <f t="shared" si="89"/>
        <v>1453736.1634620407</v>
      </c>
      <c r="EV58" s="46">
        <f t="shared" si="89"/>
        <v>1453736.1634620414</v>
      </c>
      <c r="EW58" s="46">
        <f t="shared" si="89"/>
        <v>1453736.0726857397</v>
      </c>
      <c r="EX58" s="46">
        <f t="shared" si="89"/>
        <v>1453735.9802251002</v>
      </c>
      <c r="EY58" s="46">
        <f t="shared" si="89"/>
        <v>1453735.9103723948</v>
      </c>
      <c r="EZ58" s="46">
        <f t="shared" si="89"/>
        <v>1453735.9157860351</v>
      </c>
      <c r="FA58" s="46">
        <f t="shared" si="89"/>
        <v>1453735.9201099556</v>
      </c>
      <c r="FB58" s="46">
        <f t="shared" si="89"/>
        <v>1453735.9241581564</v>
      </c>
      <c r="FC58" s="46">
        <f t="shared" si="89"/>
        <v>1453735.9429591792</v>
      </c>
      <c r="FD58" s="46">
        <f t="shared" si="89"/>
        <v>1453735.9765919603</v>
      </c>
      <c r="FE58" s="46">
        <f t="shared" si="89"/>
        <v>1453736.0102080016</v>
      </c>
      <c r="FF58" s="46">
        <f t="shared" si="89"/>
        <v>1453736.0455828216</v>
      </c>
      <c r="FG58" s="46">
        <f t="shared" si="89"/>
        <v>1453736.0803852745</v>
      </c>
      <c r="FH58" s="46">
        <f t="shared" si="89"/>
        <v>1453736.0996159471</v>
      </c>
      <c r="FI58" s="46">
        <f t="shared" si="88"/>
        <v>1453736.1156695832</v>
      </c>
      <c r="FJ58" s="46">
        <f t="shared" si="88"/>
        <v>1453736.1325773206</v>
      </c>
    </row>
    <row r="59" spans="1:166" ht="15" x14ac:dyDescent="0.25">
      <c r="A59" s="9" t="s">
        <v>79</v>
      </c>
      <c r="C59" s="45">
        <f>'Qrtly Credit-Deficit Generation'!C13</f>
        <v>0</v>
      </c>
      <c r="D59" s="45">
        <f>'Qrtly Credit-Deficit Generation'!D13</f>
        <v>0</v>
      </c>
      <c r="E59" s="45">
        <f>'Qrtly Credit-Deficit Generation'!E13</f>
        <v>0</v>
      </c>
      <c r="F59" s="45">
        <f>'Qrtly Credit-Deficit Generation'!F13</f>
        <v>0</v>
      </c>
      <c r="G59" s="45">
        <f>'Qrtly Credit-Deficit Generation'!G13</f>
        <v>0</v>
      </c>
      <c r="H59" s="45">
        <f>'Qrtly Credit-Deficit Generation'!H13</f>
        <v>0</v>
      </c>
      <c r="I59" s="45">
        <f>'Qrtly Credit-Deficit Generation'!I13</f>
        <v>0</v>
      </c>
      <c r="J59" s="45">
        <f>'Qrtly Credit-Deficit Generation'!J13</f>
        <v>0</v>
      </c>
      <c r="K59" s="45">
        <f>'Qrtly Credit-Deficit Generation'!K13</f>
        <v>0</v>
      </c>
      <c r="L59" s="45">
        <f>'Qrtly Credit-Deficit Generation'!L13</f>
        <v>0</v>
      </c>
      <c r="M59" s="45">
        <f>'Qrtly Credit-Deficit Generation'!M13</f>
        <v>0</v>
      </c>
      <c r="N59" s="45">
        <f>'Qrtly Credit-Deficit Generation'!N13</f>
        <v>0</v>
      </c>
      <c r="O59" s="45">
        <f>'Qrtly Credit-Deficit Generation'!O13</f>
        <v>0</v>
      </c>
      <c r="P59" s="45">
        <f>'Qrtly Credit-Deficit Generation'!P13</f>
        <v>0</v>
      </c>
      <c r="Q59" s="45">
        <f>'Qrtly Credit-Deficit Generation'!Q13</f>
        <v>0</v>
      </c>
      <c r="R59" s="45">
        <f>'Qrtly Credit-Deficit Generation'!R13</f>
        <v>0</v>
      </c>
      <c r="S59" s="45">
        <f>'Qrtly Credit-Deficit Generation'!S13</f>
        <v>0</v>
      </c>
      <c r="T59" s="45">
        <f>'Qrtly Credit-Deficit Generation'!T13</f>
        <v>0</v>
      </c>
      <c r="U59" s="45">
        <f>'Qrtly Credit-Deficit Generation'!U13</f>
        <v>0</v>
      </c>
      <c r="V59" s="45">
        <f>'Qrtly Credit-Deficit Generation'!V13</f>
        <v>0</v>
      </c>
      <c r="W59" s="45">
        <f>'Qrtly Credit-Deficit Generation'!W13</f>
        <v>0</v>
      </c>
      <c r="X59" s="45">
        <f>'Qrtly Credit-Deficit Generation'!X13</f>
        <v>0</v>
      </c>
      <c r="Y59" s="45">
        <f>'Qrtly Credit-Deficit Generation'!Y13</f>
        <v>0</v>
      </c>
      <c r="Z59" s="45">
        <f>'Qrtly Credit-Deficit Generation'!Z13</f>
        <v>0</v>
      </c>
      <c r="AA59" s="45">
        <f>'Qrtly Credit-Deficit Generation'!AA13</f>
        <v>0</v>
      </c>
      <c r="AB59" s="45">
        <f>'Qrtly Credit-Deficit Generation'!AB13</f>
        <v>0</v>
      </c>
      <c r="AC59" s="45">
        <f>'Qrtly Credit-Deficit Generation'!AC13</f>
        <v>0</v>
      </c>
      <c r="AD59" s="45">
        <f>'Qrtly Credit-Deficit Generation'!AD13</f>
        <v>0</v>
      </c>
      <c r="AE59" s="45">
        <f>'Qrtly Credit-Deficit Generation'!AE13</f>
        <v>0</v>
      </c>
      <c r="AF59" s="45">
        <f>'Qrtly Credit-Deficit Generation'!AF13</f>
        <v>0</v>
      </c>
      <c r="AG59" s="45">
        <f>'Qrtly Credit-Deficit Generation'!AG13</f>
        <v>0</v>
      </c>
      <c r="AH59" s="45">
        <f>'Qrtly Credit-Deficit Generation'!AH13</f>
        <v>1082</v>
      </c>
      <c r="AI59" s="45">
        <f>'Qrtly Credit-Deficit Generation'!AI13</f>
        <v>679</v>
      </c>
      <c r="AJ59" s="45">
        <f>'Qrtly Credit-Deficit Generation'!AJ13</f>
        <v>4236</v>
      </c>
      <c r="AK59" s="45">
        <f>'Qrtly Credit-Deficit Generation'!AK13</f>
        <v>1161</v>
      </c>
      <c r="AL59" s="45">
        <f>'Qrtly Credit-Deficit Generation'!AL13</f>
        <v>1942</v>
      </c>
      <c r="AM59" s="45">
        <f>'Qrtly Credit-Deficit Generation'!AM13</f>
        <v>2368</v>
      </c>
      <c r="AN59" s="45">
        <f>'Qrtly Credit-Deficit Generation'!AN13</f>
        <v>2338</v>
      </c>
      <c r="AO59" s="45">
        <f>'Qrtly Credit-Deficit Generation'!AO13</f>
        <v>6472</v>
      </c>
      <c r="AP59" s="45">
        <f>'Qrtly Credit-Deficit Generation'!AP13</f>
        <v>4743</v>
      </c>
      <c r="AQ59" s="45">
        <f>'Qrtly Credit-Deficit Generation'!AQ13</f>
        <v>11377</v>
      </c>
      <c r="AR59" s="45">
        <f>'Qrtly Credit-Deficit Generation'!AR13</f>
        <v>15331</v>
      </c>
      <c r="AS59" s="45">
        <f>'Qrtly Credit-Deficit Generation'!AS13</f>
        <v>10413</v>
      </c>
      <c r="AT59" s="45">
        <f>'Qrtly Credit-Deficit Generation'!AT13</f>
        <v>12304</v>
      </c>
      <c r="AU59" s="45">
        <f>'Qrtly Credit-Deficit Generation'!AU13</f>
        <v>18282</v>
      </c>
      <c r="AV59" s="45">
        <f>'Qrtly Credit-Deficit Generation'!AV13</f>
        <v>28225</v>
      </c>
      <c r="AW59" s="45">
        <f>'Qrtly Credit-Deficit Generation'!AW13</f>
        <v>11198</v>
      </c>
      <c r="AX59" s="45">
        <f>'Qrtly Credit-Deficit Generation'!AX13</f>
        <v>13683</v>
      </c>
      <c r="AY59" s="45">
        <v>20275</v>
      </c>
      <c r="AZ59" s="45">
        <v>27898</v>
      </c>
      <c r="BA59" s="45">
        <v>41231</v>
      </c>
      <c r="BB59" s="45">
        <v>24252</v>
      </c>
      <c r="BC59" s="45">
        <v>25423</v>
      </c>
      <c r="BD59" s="45">
        <v>26532</v>
      </c>
      <c r="BE59" s="45">
        <v>25231</v>
      </c>
      <c r="BF59" s="46">
        <f t="shared" si="91"/>
        <v>42403.855648420955</v>
      </c>
      <c r="BG59" s="46">
        <f t="shared" si="91"/>
        <v>44951.362350545503</v>
      </c>
      <c r="BH59" s="46">
        <f t="shared" si="91"/>
        <v>32853.998939239245</v>
      </c>
      <c r="BI59" s="46">
        <f t="shared" si="91"/>
        <v>40616.300071958343</v>
      </c>
      <c r="BJ59" s="46">
        <f t="shared" si="91"/>
        <v>49611.293789046307</v>
      </c>
      <c r="BK59" s="46">
        <f t="shared" si="91"/>
        <v>38825.515125670499</v>
      </c>
      <c r="BL59" s="46">
        <f t="shared" si="91"/>
        <v>32244.597884200924</v>
      </c>
      <c r="BM59" s="46">
        <f t="shared" si="91"/>
        <v>43235.046182233971</v>
      </c>
      <c r="BN59" s="46">
        <f t="shared" si="91"/>
        <v>55390.109620892981</v>
      </c>
      <c r="BO59" s="46">
        <f t="shared" si="91"/>
        <v>42192.810507559348</v>
      </c>
      <c r="BP59" s="46">
        <f t="shared" si="91"/>
        <v>35246.003867560517</v>
      </c>
      <c r="BQ59" s="46">
        <f t="shared" si="91"/>
        <v>46647.14389658234</v>
      </c>
      <c r="BR59" s="46">
        <f t="shared" si="91"/>
        <v>58486.426652975046</v>
      </c>
      <c r="BS59" s="46">
        <f t="shared" si="91"/>
        <v>44439.610549789126</v>
      </c>
      <c r="BT59" s="46">
        <f t="shared" si="91"/>
        <v>37198.157401342018</v>
      </c>
      <c r="BU59" s="46">
        <f t="shared" si="91"/>
        <v>47075.89750855873</v>
      </c>
      <c r="BV59" s="46">
        <f t="shared" si="91"/>
        <v>59892.511534027341</v>
      </c>
      <c r="BW59" s="46">
        <f t="shared" si="91"/>
        <v>43574.333583084852</v>
      </c>
      <c r="BX59" s="46">
        <f t="shared" si="91"/>
        <v>36692.095288222008</v>
      </c>
      <c r="BY59" s="46">
        <f t="shared" si="91"/>
        <v>47596.173480727884</v>
      </c>
      <c r="BZ59" s="46">
        <f t="shared" si="91"/>
        <v>59700.02154229649</v>
      </c>
      <c r="CA59" s="46">
        <f t="shared" si="91"/>
        <v>47534.414473052049</v>
      </c>
      <c r="CB59" s="46">
        <f t="shared" si="91"/>
        <v>39341.51902844321</v>
      </c>
      <c r="CC59" s="46">
        <f t="shared" si="91"/>
        <v>49896.436944928646</v>
      </c>
      <c r="CD59" s="46">
        <f t="shared" si="91"/>
        <v>63520.717631644598</v>
      </c>
      <c r="CE59" s="46">
        <f t="shared" si="91"/>
        <v>51479.543042163656</v>
      </c>
      <c r="CF59" s="46">
        <f t="shared" si="91"/>
        <v>43354.598881209698</v>
      </c>
      <c r="CG59" s="46">
        <f t="shared" si="91"/>
        <v>55288.731112669797</v>
      </c>
      <c r="CH59" s="46">
        <f t="shared" si="91"/>
        <v>70796.804106563257</v>
      </c>
      <c r="CI59" s="46">
        <f t="shared" si="91"/>
        <v>54605.015057106677</v>
      </c>
      <c r="CJ59" s="46">
        <f t="shared" si="91"/>
        <v>46008.086500576894</v>
      </c>
      <c r="CK59" s="46">
        <f t="shared" si="91"/>
        <v>57850.094392201703</v>
      </c>
      <c r="CL59" s="46">
        <f t="shared" si="91"/>
        <v>74382.588052833977</v>
      </c>
      <c r="CM59" s="46">
        <f t="shared" si="90"/>
        <v>58371.270224765045</v>
      </c>
      <c r="CN59" s="46">
        <f t="shared" si="90"/>
        <v>49171.156050874488</v>
      </c>
      <c r="CO59" s="46">
        <f t="shared" si="90"/>
        <v>61139.330250136198</v>
      </c>
      <c r="CP59" s="46">
        <f t="shared" si="90"/>
        <v>79206.07386323018</v>
      </c>
      <c r="CQ59" s="46">
        <f t="shared" si="90"/>
        <v>62735.570217458349</v>
      </c>
      <c r="CR59" s="46">
        <f t="shared" si="90"/>
        <v>53000.264344573938</v>
      </c>
      <c r="CS59" s="46">
        <f t="shared" si="90"/>
        <v>65402.121275209953</v>
      </c>
      <c r="CT59" s="46">
        <f t="shared" si="90"/>
        <v>85116.81308347758</v>
      </c>
      <c r="CU59" s="46">
        <f t="shared" si="90"/>
        <v>64985.207674842233</v>
      </c>
      <c r="CV59" s="46">
        <f t="shared" si="90"/>
        <v>54881.362045226233</v>
      </c>
      <c r="CW59" s="46">
        <f t="shared" si="90"/>
        <v>67507.322463277553</v>
      </c>
      <c r="CX59" s="46">
        <f t="shared" si="90"/>
        <v>88019.176767782017</v>
      </c>
      <c r="CY59" s="46">
        <f t="shared" si="90"/>
        <v>62460.651156070031</v>
      </c>
      <c r="CZ59" s="46">
        <f t="shared" si="90"/>
        <v>52570.411525072603</v>
      </c>
      <c r="DA59" s="46">
        <f t="shared" si="90"/>
        <v>65654.197106212203</v>
      </c>
      <c r="DB59" s="46">
        <f t="shared" si="90"/>
        <v>85142.996778154949</v>
      </c>
      <c r="DC59" s="46">
        <f t="shared" si="90"/>
        <v>63377.031015472843</v>
      </c>
      <c r="DD59" s="46">
        <f t="shared" si="90"/>
        <v>53256.178024107379</v>
      </c>
      <c r="DE59" s="46">
        <f t="shared" si="90"/>
        <v>66665.380534645403</v>
      </c>
      <c r="DF59" s="46">
        <f t="shared" si="90"/>
        <v>86407.632579663274</v>
      </c>
      <c r="DG59" s="46">
        <f t="shared" si="90"/>
        <v>63520.662986501688</v>
      </c>
      <c r="DH59" s="46">
        <f t="shared" si="90"/>
        <v>53281.263203375085</v>
      </c>
      <c r="DI59" s="46">
        <f t="shared" si="90"/>
        <v>66961.847042922833</v>
      </c>
      <c r="DJ59" s="46">
        <f t="shared" si="89"/>
        <v>86623.169571044637</v>
      </c>
      <c r="DK59" s="46">
        <f t="shared" si="89"/>
        <v>65527.372813216003</v>
      </c>
      <c r="DL59" s="46">
        <f t="shared" si="89"/>
        <v>54978.326762289507</v>
      </c>
      <c r="DM59" s="46">
        <f t="shared" si="89"/>
        <v>68975.741772564914</v>
      </c>
      <c r="DN59" s="46">
        <f t="shared" si="89"/>
        <v>89352.210166803023</v>
      </c>
      <c r="DO59" s="46">
        <f t="shared" si="89"/>
        <v>72411.192295762827</v>
      </c>
      <c r="DP59" s="46">
        <f t="shared" si="89"/>
        <v>61114.812022586542</v>
      </c>
      <c r="DQ59" s="46">
        <f t="shared" si="89"/>
        <v>75355.536605928064</v>
      </c>
      <c r="DR59" s="46">
        <f t="shared" si="89"/>
        <v>98502.406370234676</v>
      </c>
      <c r="DS59" s="46">
        <f t="shared" si="89"/>
        <v>98507.719168316195</v>
      </c>
      <c r="DT59" s="46">
        <f t="shared" si="89"/>
        <v>98508.214672982343</v>
      </c>
      <c r="DU59" s="46">
        <f t="shared" si="89"/>
        <v>98504.332000525203</v>
      </c>
      <c r="DV59" s="46">
        <f t="shared" si="89"/>
        <v>98504.438935014623</v>
      </c>
      <c r="DW59" s="46">
        <f t="shared" si="89"/>
        <v>98505.600997857095</v>
      </c>
      <c r="DX59" s="46">
        <f t="shared" si="89"/>
        <v>98505.631408106594</v>
      </c>
      <c r="DY59" s="46">
        <f t="shared" si="89"/>
        <v>98505.841040084226</v>
      </c>
      <c r="DZ59" s="46">
        <f t="shared" si="89"/>
        <v>98505.870504320905</v>
      </c>
      <c r="EA59" s="46">
        <f t="shared" si="89"/>
        <v>98505.509972162225</v>
      </c>
      <c r="EB59" s="46">
        <f t="shared" si="89"/>
        <v>98505.740856485951</v>
      </c>
      <c r="EC59" s="46">
        <f t="shared" si="89"/>
        <v>98507.171680693107</v>
      </c>
      <c r="ED59" s="46">
        <f t="shared" si="89"/>
        <v>98507.076979608682</v>
      </c>
      <c r="EE59" s="46">
        <f t="shared" si="89"/>
        <v>98506.174087086125</v>
      </c>
      <c r="EF59" s="46">
        <f t="shared" si="89"/>
        <v>98506.210314687065</v>
      </c>
      <c r="EG59" s="46">
        <f t="shared" si="89"/>
        <v>98506.768281948665</v>
      </c>
      <c r="EH59" s="46">
        <f t="shared" si="89"/>
        <v>98506.71789560208</v>
      </c>
      <c r="EI59" s="46">
        <f t="shared" si="89"/>
        <v>98505.780008568836</v>
      </c>
      <c r="EJ59" s="46">
        <f t="shared" si="89"/>
        <v>98505.791571689871</v>
      </c>
      <c r="EK59" s="46">
        <f t="shared" si="89"/>
        <v>98505.264580985429</v>
      </c>
      <c r="EL59" s="46">
        <f t="shared" si="89"/>
        <v>98505.253489486349</v>
      </c>
      <c r="EM59" s="46">
        <f t="shared" si="89"/>
        <v>98505.308401258575</v>
      </c>
      <c r="EN59" s="46">
        <f t="shared" si="89"/>
        <v>98505.30935631966</v>
      </c>
      <c r="EO59" s="46">
        <f t="shared" si="89"/>
        <v>98505.358200462288</v>
      </c>
      <c r="EP59" s="46">
        <f t="shared" si="89"/>
        <v>98505.365240647443</v>
      </c>
      <c r="EQ59" s="46">
        <f t="shared" si="89"/>
        <v>98505.578025653551</v>
      </c>
      <c r="ER59" s="46">
        <f t="shared" si="89"/>
        <v>98505.586984853027</v>
      </c>
      <c r="ES59" s="46">
        <f t="shared" si="89"/>
        <v>98505.761502846071</v>
      </c>
      <c r="ET59" s="46">
        <f t="shared" si="89"/>
        <v>98505.746451207931</v>
      </c>
      <c r="EU59" s="46">
        <f t="shared" si="89"/>
        <v>98505.776861368868</v>
      </c>
      <c r="EV59" s="46">
        <f t="shared" si="89"/>
        <v>98505.77686136878</v>
      </c>
      <c r="EW59" s="46">
        <f t="shared" si="89"/>
        <v>98505.88921107327</v>
      </c>
      <c r="EX59" s="46">
        <f t="shared" si="89"/>
        <v>98505.828212498498</v>
      </c>
      <c r="EY59" s="46">
        <f t="shared" si="89"/>
        <v>98505.748663815699</v>
      </c>
      <c r="EZ59" s="46">
        <f t="shared" si="89"/>
        <v>98505.795885925385</v>
      </c>
      <c r="FA59" s="46">
        <f t="shared" si="89"/>
        <v>98505.841117622418</v>
      </c>
      <c r="FB59" s="46">
        <f t="shared" si="89"/>
        <v>98505.849121614578</v>
      </c>
      <c r="FC59" s="46">
        <f t="shared" si="89"/>
        <v>98505.856378731522</v>
      </c>
      <c r="FD59" s="46">
        <f t="shared" si="89"/>
        <v>98505.856890019757</v>
      </c>
      <c r="FE59" s="46">
        <f t="shared" si="89"/>
        <v>98505.856436209724</v>
      </c>
      <c r="FF59" s="46">
        <f t="shared" si="89"/>
        <v>98505.867985011297</v>
      </c>
      <c r="FG59" s="46">
        <f t="shared" si="89"/>
        <v>98505.872222628808</v>
      </c>
      <c r="FH59" s="46">
        <f t="shared" si="89"/>
        <v>98505.828907360003</v>
      </c>
      <c r="FI59" s="46">
        <f t="shared" si="88"/>
        <v>98505.787304951707</v>
      </c>
      <c r="FJ59" s="46">
        <f t="shared" si="88"/>
        <v>98505.774412213912</v>
      </c>
    </row>
    <row r="60" spans="1:166" ht="15" x14ac:dyDescent="0.25">
      <c r="A60" s="9" t="s">
        <v>80</v>
      </c>
      <c r="C60" s="45">
        <f>'Qrtly Credit-Deficit Generation'!C14</f>
        <v>0</v>
      </c>
      <c r="D60" s="45">
        <f>'Qrtly Credit-Deficit Generation'!D14</f>
        <v>0</v>
      </c>
      <c r="E60" s="45">
        <f>'Qrtly Credit-Deficit Generation'!E14</f>
        <v>0</v>
      </c>
      <c r="F60" s="45">
        <f>'Qrtly Credit-Deficit Generation'!F14</f>
        <v>0</v>
      </c>
      <c r="G60" s="45">
        <f>'Qrtly Credit-Deficit Generation'!G14</f>
        <v>0</v>
      </c>
      <c r="H60" s="45">
        <f>'Qrtly Credit-Deficit Generation'!H14</f>
        <v>0</v>
      </c>
      <c r="I60" s="45">
        <f>'Qrtly Credit-Deficit Generation'!I14</f>
        <v>0</v>
      </c>
      <c r="J60" s="45">
        <f>'Qrtly Credit-Deficit Generation'!J14</f>
        <v>0</v>
      </c>
      <c r="K60" s="45">
        <f>'Qrtly Credit-Deficit Generation'!K14</f>
        <v>0</v>
      </c>
      <c r="L60" s="45">
        <f>'Qrtly Credit-Deficit Generation'!L14</f>
        <v>0</v>
      </c>
      <c r="M60" s="45">
        <f>'Qrtly Credit-Deficit Generation'!M14</f>
        <v>0</v>
      </c>
      <c r="N60" s="45">
        <f>'Qrtly Credit-Deficit Generation'!N14</f>
        <v>0</v>
      </c>
      <c r="O60" s="45">
        <f>'Qrtly Credit-Deficit Generation'!O14</f>
        <v>0</v>
      </c>
      <c r="P60" s="45">
        <f>'Qrtly Credit-Deficit Generation'!P14</f>
        <v>0</v>
      </c>
      <c r="Q60" s="45">
        <f>'Qrtly Credit-Deficit Generation'!Q14</f>
        <v>0</v>
      </c>
      <c r="R60" s="45">
        <f>'Qrtly Credit-Deficit Generation'!R14</f>
        <v>0</v>
      </c>
      <c r="S60" s="45">
        <f>'Qrtly Credit-Deficit Generation'!S14</f>
        <v>0</v>
      </c>
      <c r="T60" s="45">
        <f>'Qrtly Credit-Deficit Generation'!T14</f>
        <v>0</v>
      </c>
      <c r="U60" s="45">
        <f>'Qrtly Credit-Deficit Generation'!U14</f>
        <v>0</v>
      </c>
      <c r="V60" s="45">
        <f>'Qrtly Credit-Deficit Generation'!V14</f>
        <v>0</v>
      </c>
      <c r="W60" s="45">
        <f>'Qrtly Credit-Deficit Generation'!W14</f>
        <v>0</v>
      </c>
      <c r="X60" s="45">
        <f>'Qrtly Credit-Deficit Generation'!X14</f>
        <v>0</v>
      </c>
      <c r="Y60" s="45">
        <f>'Qrtly Credit-Deficit Generation'!Y14</f>
        <v>0</v>
      </c>
      <c r="Z60" s="45">
        <f>'Qrtly Credit-Deficit Generation'!Z14</f>
        <v>0</v>
      </c>
      <c r="AA60" s="45">
        <f>'Qrtly Credit-Deficit Generation'!AA14</f>
        <v>0</v>
      </c>
      <c r="AB60" s="45">
        <f>'Qrtly Credit-Deficit Generation'!AB14</f>
        <v>0</v>
      </c>
      <c r="AC60" s="45">
        <f>'Qrtly Credit-Deficit Generation'!AC14</f>
        <v>0</v>
      </c>
      <c r="AD60" s="45">
        <f>'Qrtly Credit-Deficit Generation'!AD14</f>
        <v>0</v>
      </c>
      <c r="AE60" s="45">
        <f>'Qrtly Credit-Deficit Generation'!AE14</f>
        <v>0</v>
      </c>
      <c r="AF60" s="45">
        <f>'Qrtly Credit-Deficit Generation'!AF14</f>
        <v>0</v>
      </c>
      <c r="AG60" s="45">
        <f>'Qrtly Credit-Deficit Generation'!AG14</f>
        <v>0</v>
      </c>
      <c r="AH60" s="45">
        <f>'Qrtly Credit-Deficit Generation'!AH14</f>
        <v>0</v>
      </c>
      <c r="AI60" s="45">
        <f>'Qrtly Credit-Deficit Generation'!AI14</f>
        <v>64</v>
      </c>
      <c r="AJ60" s="45">
        <f>'Qrtly Credit-Deficit Generation'!AJ14</f>
        <v>623</v>
      </c>
      <c r="AK60" s="45">
        <f>'Qrtly Credit-Deficit Generation'!AK14</f>
        <v>1475</v>
      </c>
      <c r="AL60" s="45">
        <f>'Qrtly Credit-Deficit Generation'!AL14</f>
        <v>1532</v>
      </c>
      <c r="AM60" s="45">
        <f>'Qrtly Credit-Deficit Generation'!AM14</f>
        <v>3328</v>
      </c>
      <c r="AN60" s="45">
        <f>'Qrtly Credit-Deficit Generation'!AN14</f>
        <v>5832</v>
      </c>
      <c r="AO60" s="45">
        <f>'Qrtly Credit-Deficit Generation'!AO14</f>
        <v>5892</v>
      </c>
      <c r="AP60" s="45">
        <f>'Qrtly Credit-Deficit Generation'!AP14</f>
        <v>6160</v>
      </c>
      <c r="AQ60" s="45">
        <f>'Qrtly Credit-Deficit Generation'!AQ14</f>
        <v>9633</v>
      </c>
      <c r="AR60" s="45">
        <f>'Qrtly Credit-Deficit Generation'!AR14</f>
        <v>8451</v>
      </c>
      <c r="AS60" s="45">
        <f>'Qrtly Credit-Deficit Generation'!AS14</f>
        <v>10269</v>
      </c>
      <c r="AT60" s="45">
        <f>'Qrtly Credit-Deficit Generation'!AT14</f>
        <v>11095</v>
      </c>
      <c r="AU60" s="45">
        <f>'Qrtly Credit-Deficit Generation'!AU14</f>
        <v>10004</v>
      </c>
      <c r="AV60" s="45">
        <f>'Qrtly Credit-Deficit Generation'!AV14</f>
        <v>9632</v>
      </c>
      <c r="AW60" s="45">
        <f>'Qrtly Credit-Deficit Generation'!AW14</f>
        <v>8976</v>
      </c>
      <c r="AX60" s="45">
        <f>'Qrtly Credit-Deficit Generation'!AX14</f>
        <v>9585</v>
      </c>
      <c r="AY60" s="45">
        <v>7599</v>
      </c>
      <c r="AZ60" s="45">
        <v>6241</v>
      </c>
      <c r="BA60" s="45">
        <v>8067</v>
      </c>
      <c r="BB60" s="45">
        <v>7101</v>
      </c>
      <c r="BC60" s="45">
        <v>6301</v>
      </c>
      <c r="BD60" s="45">
        <v>4514</v>
      </c>
      <c r="BE60" s="45">
        <v>3843</v>
      </c>
      <c r="BF60" s="46">
        <f t="shared" si="91"/>
        <v>6790.4043825503459</v>
      </c>
      <c r="BG60" s="46">
        <f t="shared" si="91"/>
        <v>5839.3453744162862</v>
      </c>
      <c r="BH60" s="46">
        <f t="shared" si="91"/>
        <v>3909.3436409582864</v>
      </c>
      <c r="BI60" s="46">
        <f t="shared" si="91"/>
        <v>3979.6367366283703</v>
      </c>
      <c r="BJ60" s="46">
        <f t="shared" si="91"/>
        <v>3402.1068168147149</v>
      </c>
      <c r="BK60" s="46">
        <f t="shared" si="91"/>
        <v>0</v>
      </c>
      <c r="BL60" s="46">
        <f t="shared" si="91"/>
        <v>0</v>
      </c>
      <c r="BM60" s="46">
        <f t="shared" si="91"/>
        <v>0</v>
      </c>
      <c r="BN60" s="46">
        <f t="shared" si="91"/>
        <v>0</v>
      </c>
      <c r="BO60" s="46">
        <f t="shared" si="91"/>
        <v>0</v>
      </c>
      <c r="BP60" s="46">
        <f t="shared" si="91"/>
        <v>0</v>
      </c>
      <c r="BQ60" s="46">
        <f t="shared" si="91"/>
        <v>0</v>
      </c>
      <c r="BR60" s="46">
        <f t="shared" si="91"/>
        <v>0</v>
      </c>
      <c r="BS60" s="46">
        <f t="shared" si="91"/>
        <v>0</v>
      </c>
      <c r="BT60" s="46">
        <f t="shared" si="91"/>
        <v>0</v>
      </c>
      <c r="BU60" s="46">
        <f t="shared" si="91"/>
        <v>0</v>
      </c>
      <c r="BV60" s="46">
        <f t="shared" si="91"/>
        <v>0</v>
      </c>
      <c r="BW60" s="46">
        <f t="shared" si="91"/>
        <v>0</v>
      </c>
      <c r="BX60" s="46">
        <f t="shared" si="91"/>
        <v>0</v>
      </c>
      <c r="BY60" s="46">
        <f t="shared" si="91"/>
        <v>0</v>
      </c>
      <c r="BZ60" s="46">
        <f t="shared" si="91"/>
        <v>0</v>
      </c>
      <c r="CA60" s="46">
        <f t="shared" si="91"/>
        <v>0</v>
      </c>
      <c r="CB60" s="46">
        <f t="shared" si="91"/>
        <v>0</v>
      </c>
      <c r="CC60" s="46">
        <f t="shared" si="91"/>
        <v>17.106385871728889</v>
      </c>
      <c r="CD60" s="46">
        <f t="shared" si="91"/>
        <v>23.585942592926813</v>
      </c>
      <c r="CE60" s="46">
        <f t="shared" si="91"/>
        <v>21.124915664100399</v>
      </c>
      <c r="CF60" s="46">
        <f t="shared" si="91"/>
        <v>34.836707770036128</v>
      </c>
      <c r="CG60" s="46">
        <v>0</v>
      </c>
      <c r="CH60" s="46">
        <v>0</v>
      </c>
      <c r="CI60" s="46">
        <v>0</v>
      </c>
      <c r="CJ60" s="46">
        <v>0</v>
      </c>
      <c r="CK60" s="46">
        <v>0</v>
      </c>
      <c r="CL60" s="46">
        <v>0</v>
      </c>
      <c r="CM60" s="46">
        <v>0</v>
      </c>
      <c r="CN60" s="46">
        <v>0</v>
      </c>
      <c r="CO60" s="46">
        <v>0</v>
      </c>
      <c r="CP60" s="46">
        <v>0</v>
      </c>
      <c r="CQ60" s="46">
        <v>0</v>
      </c>
      <c r="CR60" s="46">
        <v>0</v>
      </c>
      <c r="CS60" s="46">
        <v>0</v>
      </c>
      <c r="CT60" s="46">
        <v>0</v>
      </c>
      <c r="CU60" s="46">
        <v>0</v>
      </c>
      <c r="CV60" s="46">
        <v>0</v>
      </c>
      <c r="CW60" s="46">
        <v>0</v>
      </c>
      <c r="CX60" s="46">
        <v>0</v>
      </c>
      <c r="CY60" s="46">
        <v>0</v>
      </c>
      <c r="CZ60" s="46">
        <v>0</v>
      </c>
      <c r="DA60" s="46">
        <v>0</v>
      </c>
      <c r="DB60" s="46">
        <v>0</v>
      </c>
      <c r="DC60" s="46">
        <v>0</v>
      </c>
      <c r="DD60" s="46">
        <v>0</v>
      </c>
      <c r="DE60" s="46">
        <v>0</v>
      </c>
      <c r="DF60" s="46">
        <v>0</v>
      </c>
      <c r="DG60" s="46">
        <v>0</v>
      </c>
      <c r="DH60" s="46">
        <v>0</v>
      </c>
      <c r="DI60" s="46">
        <v>0</v>
      </c>
      <c r="DJ60" s="46">
        <v>0</v>
      </c>
      <c r="DK60" s="46">
        <v>0</v>
      </c>
      <c r="DL60" s="46">
        <v>0</v>
      </c>
      <c r="DM60" s="46">
        <v>0</v>
      </c>
      <c r="DN60" s="46">
        <v>0</v>
      </c>
      <c r="DO60" s="46">
        <v>0</v>
      </c>
      <c r="DP60" s="46">
        <v>0</v>
      </c>
      <c r="DQ60" s="46">
        <v>0</v>
      </c>
      <c r="DR60" s="46">
        <v>0</v>
      </c>
      <c r="DS60" s="46">
        <v>0</v>
      </c>
      <c r="DT60" s="46">
        <v>0</v>
      </c>
      <c r="DU60" s="46">
        <v>0</v>
      </c>
      <c r="DV60" s="46">
        <v>0</v>
      </c>
      <c r="DW60" s="46">
        <v>0</v>
      </c>
      <c r="DX60" s="46">
        <v>0</v>
      </c>
      <c r="DY60" s="46">
        <v>0</v>
      </c>
      <c r="DZ60" s="46">
        <v>0</v>
      </c>
      <c r="EA60" s="46">
        <v>0</v>
      </c>
      <c r="EB60" s="46">
        <v>0</v>
      </c>
      <c r="EC60" s="46">
        <v>0</v>
      </c>
      <c r="ED60" s="46">
        <v>0</v>
      </c>
      <c r="EE60" s="46">
        <v>0</v>
      </c>
      <c r="EF60" s="46">
        <v>0</v>
      </c>
      <c r="EG60" s="46">
        <v>0</v>
      </c>
      <c r="EH60" s="46">
        <v>0</v>
      </c>
      <c r="EI60" s="46">
        <v>0</v>
      </c>
      <c r="EJ60" s="46">
        <v>0</v>
      </c>
      <c r="EK60" s="46">
        <v>0</v>
      </c>
      <c r="EL60" s="46">
        <v>0</v>
      </c>
      <c r="EM60" s="46">
        <v>0</v>
      </c>
      <c r="EN60" s="46">
        <v>0</v>
      </c>
      <c r="EO60" s="46">
        <v>0</v>
      </c>
      <c r="EP60" s="46">
        <v>0</v>
      </c>
      <c r="EQ60" s="46">
        <v>0</v>
      </c>
      <c r="ER60" s="46">
        <v>0</v>
      </c>
      <c r="ES60" s="46">
        <v>0</v>
      </c>
      <c r="ET60" s="46">
        <v>0</v>
      </c>
      <c r="EU60" s="46">
        <v>0</v>
      </c>
      <c r="EV60" s="46">
        <v>0</v>
      </c>
      <c r="EW60" s="46">
        <v>0</v>
      </c>
      <c r="EX60" s="46">
        <v>0</v>
      </c>
      <c r="EY60" s="46">
        <v>0</v>
      </c>
      <c r="EZ60" s="46">
        <v>0</v>
      </c>
      <c r="FA60" s="46">
        <v>0</v>
      </c>
      <c r="FB60" s="46">
        <v>0</v>
      </c>
      <c r="FC60" s="46">
        <v>0</v>
      </c>
      <c r="FD60" s="46">
        <v>0</v>
      </c>
      <c r="FE60" s="46">
        <v>0</v>
      </c>
      <c r="FF60" s="46">
        <v>0</v>
      </c>
      <c r="FG60" s="46">
        <v>0</v>
      </c>
      <c r="FH60" s="46">
        <v>0</v>
      </c>
      <c r="FI60" s="46">
        <v>0</v>
      </c>
      <c r="FJ60" s="46">
        <v>0</v>
      </c>
    </row>
    <row r="61" spans="1:166" s="47" customFormat="1" ht="15" x14ac:dyDescent="0.25">
      <c r="A61" s="47" t="s">
        <v>151</v>
      </c>
      <c r="B61" s="48">
        <f t="shared" ref="B61:BB61" si="92">SUM(B49:B60)-B54</f>
        <v>0</v>
      </c>
      <c r="C61" s="48">
        <f t="shared" si="92"/>
        <v>275429</v>
      </c>
      <c r="D61" s="48">
        <f t="shared" si="92"/>
        <v>322711</v>
      </c>
      <c r="E61" s="48">
        <f t="shared" si="92"/>
        <v>355378</v>
      </c>
      <c r="F61" s="48">
        <f t="shared" si="92"/>
        <v>350427</v>
      </c>
      <c r="G61" s="48">
        <f t="shared" si="92"/>
        <v>347945</v>
      </c>
      <c r="H61" s="48">
        <f t="shared" si="92"/>
        <v>360717</v>
      </c>
      <c r="I61" s="48">
        <f t="shared" si="92"/>
        <v>453968</v>
      </c>
      <c r="J61" s="48">
        <f t="shared" si="92"/>
        <v>476485</v>
      </c>
      <c r="K61" s="48">
        <f t="shared" si="92"/>
        <v>621661</v>
      </c>
      <c r="L61" s="48">
        <f t="shared" si="92"/>
        <v>804226</v>
      </c>
      <c r="M61" s="48">
        <f t="shared" si="92"/>
        <v>1106307</v>
      </c>
      <c r="N61" s="48">
        <f t="shared" si="92"/>
        <v>1128256</v>
      </c>
      <c r="O61" s="48">
        <f t="shared" si="92"/>
        <v>920243</v>
      </c>
      <c r="P61" s="48">
        <f t="shared" si="92"/>
        <v>1053893</v>
      </c>
      <c r="Q61" s="48">
        <f t="shared" si="92"/>
        <v>1077268</v>
      </c>
      <c r="R61" s="48">
        <f t="shared" si="92"/>
        <v>1029032</v>
      </c>
      <c r="S61" s="48">
        <f t="shared" si="92"/>
        <v>1028883</v>
      </c>
      <c r="T61" s="48">
        <f t="shared" si="92"/>
        <v>1227191</v>
      </c>
      <c r="U61" s="48">
        <f t="shared" si="92"/>
        <v>1416627</v>
      </c>
      <c r="V61" s="48">
        <f t="shared" si="92"/>
        <v>1485751</v>
      </c>
      <c r="W61" s="48">
        <f t="shared" si="92"/>
        <v>1664272</v>
      </c>
      <c r="X61" s="48">
        <f t="shared" si="92"/>
        <v>2158313</v>
      </c>
      <c r="Y61" s="48">
        <f t="shared" si="92"/>
        <v>2163707</v>
      </c>
      <c r="Z61" s="48">
        <f t="shared" si="92"/>
        <v>2364004</v>
      </c>
      <c r="AA61" s="48">
        <f t="shared" si="92"/>
        <v>1853645</v>
      </c>
      <c r="AB61" s="48">
        <f t="shared" si="92"/>
        <v>2203124</v>
      </c>
      <c r="AC61" s="48">
        <f t="shared" si="92"/>
        <v>2369643</v>
      </c>
      <c r="AD61" s="48">
        <f t="shared" si="92"/>
        <v>2151196</v>
      </c>
      <c r="AE61" s="48">
        <f t="shared" si="92"/>
        <v>2101591</v>
      </c>
      <c r="AF61" s="48">
        <f t="shared" si="92"/>
        <v>2226698</v>
      </c>
      <c r="AG61" s="48">
        <f t="shared" si="92"/>
        <v>2291380</v>
      </c>
      <c r="AH61" s="48">
        <f t="shared" si="92"/>
        <v>2748934</v>
      </c>
      <c r="AI61" s="48">
        <f t="shared" si="92"/>
        <v>2682648</v>
      </c>
      <c r="AJ61" s="48">
        <f t="shared" si="92"/>
        <v>3040996</v>
      </c>
      <c r="AK61" s="48">
        <f t="shared" si="92"/>
        <v>3002255</v>
      </c>
      <c r="AL61" s="48">
        <f t="shared" si="92"/>
        <v>3232130</v>
      </c>
      <c r="AM61" s="48">
        <f t="shared" si="92"/>
        <v>2871617</v>
      </c>
      <c r="AN61" s="48">
        <f t="shared" si="92"/>
        <v>2625886</v>
      </c>
      <c r="AO61" s="48">
        <f t="shared" si="92"/>
        <v>3271414</v>
      </c>
      <c r="AP61" s="48">
        <f t="shared" si="92"/>
        <v>3508149</v>
      </c>
      <c r="AQ61" s="48">
        <f t="shared" si="92"/>
        <v>3164286</v>
      </c>
      <c r="AR61" s="48">
        <f t="shared" si="92"/>
        <v>3828242</v>
      </c>
      <c r="AS61" s="48">
        <f t="shared" si="92"/>
        <v>4345435</v>
      </c>
      <c r="AT61" s="48">
        <f t="shared" si="92"/>
        <v>4322446</v>
      </c>
      <c r="AU61" s="48">
        <f t="shared" si="92"/>
        <v>4576664</v>
      </c>
      <c r="AV61" s="48">
        <f t="shared" si="92"/>
        <v>5081972</v>
      </c>
      <c r="AW61" s="48">
        <f t="shared" si="92"/>
        <v>5195611</v>
      </c>
      <c r="AX61" s="48">
        <f t="shared" si="92"/>
        <v>5296993</v>
      </c>
      <c r="AY61" s="48">
        <f t="shared" si="92"/>
        <v>4960158</v>
      </c>
      <c r="AZ61" s="48">
        <f t="shared" si="92"/>
        <v>5496033</v>
      </c>
      <c r="BA61" s="48">
        <f t="shared" si="92"/>
        <v>6058457</v>
      </c>
      <c r="BB61" s="48">
        <f t="shared" si="92"/>
        <v>6400234</v>
      </c>
      <c r="BC61" s="48">
        <f>SUM(BC49:BC60)-BC54</f>
        <v>6065553</v>
      </c>
      <c r="BD61" s="48">
        <f t="shared" ref="BD61:DO61" si="93">SUM(BD49:BD60)-BD54</f>
        <v>6873607</v>
      </c>
      <c r="BE61" s="48">
        <f t="shared" si="93"/>
        <v>7465821.0000000009</v>
      </c>
      <c r="BF61" s="49">
        <f t="shared" si="93"/>
        <v>6085410.5408846326</v>
      </c>
      <c r="BG61" s="49">
        <f t="shared" si="93"/>
        <v>5464138.8101690123</v>
      </c>
      <c r="BH61" s="49">
        <f t="shared" si="93"/>
        <v>5465161.5701585319</v>
      </c>
      <c r="BI61" s="49">
        <f t="shared" si="93"/>
        <v>6448196.4490094678</v>
      </c>
      <c r="BJ61" s="49">
        <f t="shared" si="93"/>
        <v>5956156.456241345</v>
      </c>
      <c r="BK61" s="49">
        <f t="shared" si="93"/>
        <v>5709097.4884670014</v>
      </c>
      <c r="BL61" s="49">
        <f t="shared" si="93"/>
        <v>6136885.3851734828</v>
      </c>
      <c r="BM61" s="49">
        <f t="shared" si="93"/>
        <v>6723471.9592931308</v>
      </c>
      <c r="BN61" s="49">
        <f t="shared" si="93"/>
        <v>6522764.2536065234</v>
      </c>
      <c r="BO61" s="49">
        <f t="shared" si="93"/>
        <v>6749944.1798423184</v>
      </c>
      <c r="BP61" s="49">
        <f t="shared" si="93"/>
        <v>7294501.1126902066</v>
      </c>
      <c r="BQ61" s="49">
        <f t="shared" si="93"/>
        <v>8230885.4447222827</v>
      </c>
      <c r="BR61" s="49">
        <f t="shared" si="93"/>
        <v>7109883.020349903</v>
      </c>
      <c r="BS61" s="49">
        <f t="shared" si="93"/>
        <v>6993814.8566588499</v>
      </c>
      <c r="BT61" s="49">
        <f t="shared" si="93"/>
        <v>7369037.2621434899</v>
      </c>
      <c r="BU61" s="49">
        <f t="shared" si="93"/>
        <v>8627383.6314632837</v>
      </c>
      <c r="BV61" s="49">
        <f t="shared" si="93"/>
        <v>7092476.9814586788</v>
      </c>
      <c r="BW61" s="49">
        <f t="shared" si="93"/>
        <v>7305904.8820194146</v>
      </c>
      <c r="BX61" s="49">
        <f t="shared" si="93"/>
        <v>7896473.7002527136</v>
      </c>
      <c r="BY61" s="49">
        <f t="shared" si="93"/>
        <v>9311447.8687871248</v>
      </c>
      <c r="BZ61" s="49">
        <f t="shared" si="93"/>
        <v>7153101.5950110164</v>
      </c>
      <c r="CA61" s="49">
        <f t="shared" si="93"/>
        <v>7992336.222675195</v>
      </c>
      <c r="CB61" s="49">
        <f t="shared" si="93"/>
        <v>8688992.5679481979</v>
      </c>
      <c r="CC61" s="49">
        <f t="shared" si="93"/>
        <v>10268491.405786537</v>
      </c>
      <c r="CD61" s="49">
        <f t="shared" si="93"/>
        <v>7647715.0082246009</v>
      </c>
      <c r="CE61" s="49">
        <f t="shared" si="93"/>
        <v>8422356.1097580623</v>
      </c>
      <c r="CF61" s="49">
        <f t="shared" si="93"/>
        <v>9262699.7055894975</v>
      </c>
      <c r="CG61" s="49">
        <f t="shared" si="93"/>
        <v>10694526.749509273</v>
      </c>
      <c r="CH61" s="49">
        <f t="shared" si="93"/>
        <v>8025987.7600173857</v>
      </c>
      <c r="CI61" s="49">
        <f t="shared" si="93"/>
        <v>9614927.9276334327</v>
      </c>
      <c r="CJ61" s="49">
        <f t="shared" si="93"/>
        <v>10654840.994761989</v>
      </c>
      <c r="CK61" s="49">
        <f t="shared" si="93"/>
        <v>11688613.072071284</v>
      </c>
      <c r="CL61" s="49">
        <f t="shared" si="93"/>
        <v>8937348.9664670508</v>
      </c>
      <c r="CM61" s="49">
        <f t="shared" si="93"/>
        <v>9905401.8323172461</v>
      </c>
      <c r="CN61" s="49">
        <f t="shared" si="93"/>
        <v>10900050.806156855</v>
      </c>
      <c r="CO61" s="49">
        <f t="shared" si="93"/>
        <v>12170052.141509131</v>
      </c>
      <c r="CP61" s="49">
        <f t="shared" si="93"/>
        <v>9042993.2943585888</v>
      </c>
      <c r="CQ61" s="49">
        <f t="shared" si="93"/>
        <v>10237500.932004021</v>
      </c>
      <c r="CR61" s="49">
        <f t="shared" si="93"/>
        <v>11252276.462277202</v>
      </c>
      <c r="CS61" s="49">
        <f t="shared" si="93"/>
        <v>12784207.17151124</v>
      </c>
      <c r="CT61" s="49">
        <f t="shared" si="93"/>
        <v>9073984.2507058587</v>
      </c>
      <c r="CU61" s="49">
        <f t="shared" si="93"/>
        <v>10696641.424589287</v>
      </c>
      <c r="CV61" s="49">
        <f t="shared" si="93"/>
        <v>11802141.815853752</v>
      </c>
      <c r="CW61" s="49">
        <f t="shared" si="93"/>
        <v>13023461.163282629</v>
      </c>
      <c r="CX61" s="49">
        <f t="shared" si="93"/>
        <v>9548310.0553596392</v>
      </c>
      <c r="CY61" s="49">
        <f t="shared" si="93"/>
        <v>9639058.6752550658</v>
      </c>
      <c r="CZ61" s="49">
        <f t="shared" si="93"/>
        <v>10451638.17482505</v>
      </c>
      <c r="DA61" s="49">
        <f t="shared" si="93"/>
        <v>10995759.54925907</v>
      </c>
      <c r="DB61" s="49">
        <f t="shared" si="93"/>
        <v>9389642.1132446397</v>
      </c>
      <c r="DC61" s="49">
        <f t="shared" si="93"/>
        <v>10205890.032501793</v>
      </c>
      <c r="DD61" s="49">
        <f t="shared" si="93"/>
        <v>10960018.582385158</v>
      </c>
      <c r="DE61" s="49">
        <f t="shared" si="93"/>
        <v>11011188.661425628</v>
      </c>
      <c r="DF61" s="49">
        <f t="shared" si="93"/>
        <v>10088799.395059453</v>
      </c>
      <c r="DG61" s="49">
        <f t="shared" si="93"/>
        <v>10727520.983003903</v>
      </c>
      <c r="DH61" s="49">
        <f t="shared" si="93"/>
        <v>11551482.022190414</v>
      </c>
      <c r="DI61" s="49">
        <f t="shared" si="93"/>
        <v>11151905.906010563</v>
      </c>
      <c r="DJ61" s="49">
        <f t="shared" si="93"/>
        <v>10718770.935572831</v>
      </c>
      <c r="DK61" s="49">
        <f t="shared" si="93"/>
        <v>10749864.081472881</v>
      </c>
      <c r="DL61" s="49">
        <f t="shared" si="93"/>
        <v>11450459.471916247</v>
      </c>
      <c r="DM61" s="49">
        <f t="shared" si="93"/>
        <v>11072952.367778178</v>
      </c>
      <c r="DN61" s="49">
        <f t="shared" si="93"/>
        <v>10740325.640253864</v>
      </c>
      <c r="DO61" s="49">
        <f t="shared" si="93"/>
        <v>10768283.830065206</v>
      </c>
      <c r="DP61" s="49">
        <f t="shared" ref="DP61:DZ61" si="94">SUM(DP49:DP60)-DP54</f>
        <v>11319665.897073312</v>
      </c>
      <c r="DQ61" s="49">
        <f t="shared" si="94"/>
        <v>11789186.869279912</v>
      </c>
      <c r="DR61" s="49">
        <f t="shared" si="94"/>
        <v>10166081.40788902</v>
      </c>
      <c r="DS61" s="49">
        <f t="shared" si="94"/>
        <v>9889256.0667434223</v>
      </c>
      <c r="DT61" s="49">
        <f t="shared" si="94"/>
        <v>10080470.07731194</v>
      </c>
      <c r="DU61" s="49">
        <f t="shared" si="94"/>
        <v>10332093.881987732</v>
      </c>
      <c r="DV61" s="49">
        <f t="shared" si="94"/>
        <v>10168019.285898376</v>
      </c>
      <c r="DW61" s="49">
        <f t="shared" si="94"/>
        <v>9890556.0452017728</v>
      </c>
      <c r="DX61" s="49">
        <f t="shared" si="94"/>
        <v>10082300.302357905</v>
      </c>
      <c r="DY61" s="49">
        <f t="shared" si="94"/>
        <v>10334733.299208086</v>
      </c>
      <c r="DZ61" s="49">
        <f t="shared" si="94"/>
        <v>10335243.800786555</v>
      </c>
      <c r="EA61" s="49">
        <f t="shared" ref="EA61:FJ61" si="95">SUM(EA49:EA60)-EA54</f>
        <v>9893144.7501342986</v>
      </c>
      <c r="EB61" s="49">
        <f t="shared" si="95"/>
        <v>10084932.859386414</v>
      </c>
      <c r="EC61" s="49">
        <f t="shared" si="95"/>
        <v>10337455.565270279</v>
      </c>
      <c r="ED61" s="49">
        <f t="shared" si="95"/>
        <v>10337871.867358241</v>
      </c>
      <c r="EE61" s="49">
        <f t="shared" si="95"/>
        <v>9896274.7963027656</v>
      </c>
      <c r="EF61" s="49">
        <f t="shared" si="95"/>
        <v>10087816.262786366</v>
      </c>
      <c r="EG61" s="49">
        <f t="shared" si="95"/>
        <v>10339883.009559108</v>
      </c>
      <c r="EH61" s="49">
        <f t="shared" si="95"/>
        <v>10340288.077034853</v>
      </c>
      <c r="EI61" s="49">
        <f t="shared" si="95"/>
        <v>9898807.1204498913</v>
      </c>
      <c r="EJ61" s="49">
        <f t="shared" si="95"/>
        <v>10090231.611546982</v>
      </c>
      <c r="EK61" s="49">
        <f t="shared" si="95"/>
        <v>10341947.396075163</v>
      </c>
      <c r="EL61" s="49">
        <f t="shared" si="95"/>
        <v>10342347.045939306</v>
      </c>
      <c r="EM61" s="49">
        <f t="shared" si="95"/>
        <v>9900953.5796279516</v>
      </c>
      <c r="EN61" s="49">
        <f t="shared" si="95"/>
        <v>10092411.899213735</v>
      </c>
      <c r="EO61" s="49">
        <f t="shared" si="95"/>
        <v>10344024.078623068</v>
      </c>
      <c r="EP61" s="49">
        <f t="shared" si="95"/>
        <v>10344289.24469839</v>
      </c>
      <c r="EQ61" s="49">
        <f t="shared" si="95"/>
        <v>9902795.7888162732</v>
      </c>
      <c r="ER61" s="49">
        <f t="shared" si="95"/>
        <v>10094571.734703939</v>
      </c>
      <c r="ES61" s="49">
        <f t="shared" si="95"/>
        <v>10346369.077608161</v>
      </c>
      <c r="ET61" s="49">
        <f t="shared" si="95"/>
        <v>10346221.509731837</v>
      </c>
      <c r="EU61" s="49">
        <f t="shared" si="95"/>
        <v>9905098.045429511</v>
      </c>
      <c r="EV61" s="49" t="e">
        <f t="shared" si="95"/>
        <v>#DIV/0!</v>
      </c>
      <c r="EW61" s="49" t="e">
        <f t="shared" si="95"/>
        <v>#DIV/0!</v>
      </c>
      <c r="EX61" s="49" t="e">
        <f t="shared" si="95"/>
        <v>#DIV/0!</v>
      </c>
      <c r="EY61" s="49" t="e">
        <f t="shared" si="95"/>
        <v>#DIV/0!</v>
      </c>
      <c r="EZ61" s="49" t="e">
        <f t="shared" si="95"/>
        <v>#DIV/0!</v>
      </c>
      <c r="FA61" s="49" t="e">
        <f t="shared" si="95"/>
        <v>#DIV/0!</v>
      </c>
      <c r="FB61" s="49" t="e">
        <f t="shared" si="95"/>
        <v>#DIV/0!</v>
      </c>
      <c r="FC61" s="49" t="e">
        <f t="shared" si="95"/>
        <v>#DIV/0!</v>
      </c>
      <c r="FD61" s="49" t="e">
        <f t="shared" si="95"/>
        <v>#DIV/0!</v>
      </c>
      <c r="FE61" s="49" t="e">
        <f t="shared" si="95"/>
        <v>#DIV/0!</v>
      </c>
      <c r="FF61" s="49" t="e">
        <f t="shared" si="95"/>
        <v>#DIV/0!</v>
      </c>
      <c r="FG61" s="49" t="e">
        <f t="shared" si="95"/>
        <v>#DIV/0!</v>
      </c>
      <c r="FH61" s="49" t="e">
        <f t="shared" si="95"/>
        <v>#DIV/0!</v>
      </c>
      <c r="FI61" s="49" t="e">
        <f t="shared" si="95"/>
        <v>#DIV/0!</v>
      </c>
      <c r="FJ61" s="49" t="e">
        <f t="shared" si="95"/>
        <v>#DIV/0!</v>
      </c>
    </row>
    <row r="62" spans="1:166" ht="15" x14ac:dyDescent="0.25">
      <c r="A62" s="8" t="s">
        <v>152</v>
      </c>
      <c r="B62" s="9">
        <v>2011</v>
      </c>
      <c r="C62" s="9">
        <v>2012</v>
      </c>
      <c r="D62" s="9">
        <v>2013</v>
      </c>
      <c r="E62" s="9">
        <v>2014</v>
      </c>
      <c r="F62" s="9">
        <v>2015</v>
      </c>
      <c r="G62" s="9">
        <v>2016</v>
      </c>
      <c r="H62" s="9">
        <v>2017</v>
      </c>
      <c r="I62" s="9">
        <v>2018</v>
      </c>
      <c r="J62" s="9">
        <v>2019</v>
      </c>
      <c r="K62" s="9">
        <v>2020</v>
      </c>
      <c r="L62" s="9">
        <v>2021</v>
      </c>
      <c r="M62" s="9">
        <v>2022</v>
      </c>
      <c r="N62" s="9">
        <v>2023</v>
      </c>
      <c r="O62" s="9">
        <v>2024</v>
      </c>
      <c r="P62" s="9">
        <v>2025</v>
      </c>
      <c r="Q62" s="9">
        <v>2026</v>
      </c>
      <c r="R62" s="9">
        <v>2027</v>
      </c>
      <c r="S62" s="9">
        <v>2028</v>
      </c>
      <c r="T62" s="9">
        <v>2029</v>
      </c>
      <c r="U62" s="9">
        <v>2030</v>
      </c>
      <c r="V62" s="9">
        <v>2031</v>
      </c>
      <c r="W62" s="9">
        <v>2032</v>
      </c>
      <c r="X62" s="9">
        <v>2033</v>
      </c>
      <c r="Y62" s="9">
        <v>2034</v>
      </c>
      <c r="Z62" s="9">
        <v>2035</v>
      </c>
      <c r="AA62" s="9">
        <v>2036</v>
      </c>
      <c r="AB62" s="9">
        <v>2037</v>
      </c>
      <c r="AC62" s="9">
        <v>2038</v>
      </c>
      <c r="AD62" s="9">
        <v>2039</v>
      </c>
      <c r="AE62" s="9">
        <v>2040</v>
      </c>
      <c r="AF62" s="9">
        <v>2041</v>
      </c>
      <c r="AG62" s="9">
        <v>2042</v>
      </c>
      <c r="BC62" s="50"/>
    </row>
    <row r="63" spans="1:166" ht="15" x14ac:dyDescent="0.25">
      <c r="A63" s="9" t="str">
        <f t="shared" ref="A63:A71" si="96">A49</f>
        <v>Bio-CNG</v>
      </c>
      <c r="B63" s="45">
        <f t="shared" ref="B63:B74" si="97">SUM(C49:F49)</f>
        <v>0</v>
      </c>
      <c r="C63" s="45">
        <f t="shared" ref="C63:C74" si="98">SUM(G49:J49)</f>
        <v>0</v>
      </c>
      <c r="D63" s="45">
        <f t="shared" ref="D63:D74" si="99">SUM(K49:N49)</f>
        <v>56759</v>
      </c>
      <c r="E63" s="45">
        <f t="shared" ref="E63:E74" si="100">SUM(O49:R49)</f>
        <v>145349</v>
      </c>
      <c r="F63" s="45">
        <f t="shared" ref="F63:F74" si="101">SUM(S49:V49)</f>
        <v>355730</v>
      </c>
      <c r="G63" s="45">
        <f t="shared" ref="G63:G74" si="102">SUM(W49:Z49)</f>
        <v>468400</v>
      </c>
      <c r="H63" s="45">
        <f t="shared" ref="H63:H74" si="103">SUM(AA49:AD49)</f>
        <v>573945</v>
      </c>
      <c r="I63" s="45">
        <f t="shared" ref="I63:I74" si="104">SUM(AE49:AH49)</f>
        <v>679330</v>
      </c>
      <c r="J63" s="45">
        <f t="shared" ref="J63:J74" si="105">SUM(AI49:AL49)</f>
        <v>873786</v>
      </c>
      <c r="K63" s="45">
        <f t="shared" ref="K63:K74" si="106">SUM(AM49:AP49)</f>
        <v>1595328</v>
      </c>
      <c r="L63" s="50">
        <f>SUM(AQ49:AT49)</f>
        <v>2738490</v>
      </c>
      <c r="M63" s="51">
        <f>SUM(AU49:AX49)</f>
        <v>4291699</v>
      </c>
      <c r="N63" s="51">
        <f t="shared" ref="N63:N74" si="107">SUM(AY49:BB49)</f>
        <v>5266717</v>
      </c>
      <c r="O63" s="51">
        <f t="shared" ref="O63:O74" si="108">SUM(BC49:BF49)</f>
        <v>6640496.1339200595</v>
      </c>
      <c r="P63" s="51">
        <f t="shared" ref="P63:P74" si="109">SUM(BG49:BJ49)</f>
        <v>4510019.9754902031</v>
      </c>
      <c r="Q63" s="51">
        <f t="shared" ref="Q63:Q74" si="110">SUM(BK49:BN49)</f>
        <v>4508372.2036285577</v>
      </c>
      <c r="R63" s="51">
        <f t="shared" ref="R63:R74" si="111">SUM(BO49:BR49)</f>
        <v>4494265.8776229508</v>
      </c>
      <c r="S63" s="51">
        <f t="shared" ref="S63:S74" si="112">SUM(BS49:BV49)</f>
        <v>4427278.4564908911</v>
      </c>
      <c r="T63" s="51">
        <f t="shared" ref="T63:T74" si="113">SUM(BW49:BZ49)</f>
        <v>4397030.6719618756</v>
      </c>
      <c r="U63" s="51">
        <f t="shared" ref="U63:U74" si="114">SUM(CA49:CD49)</f>
        <v>4438198.1694644717</v>
      </c>
      <c r="V63" s="51">
        <f t="shared" ref="V63:V74" si="115">SUM(CE49:CH49)</f>
        <v>4479681.9097191673</v>
      </c>
      <c r="W63" s="51">
        <f t="shared" ref="W63:W74" si="116">SUM(CI49:CL49)</f>
        <v>4439674.8366547814</v>
      </c>
      <c r="X63" s="51">
        <f t="shared" ref="X63:X74" si="117">SUM(CM49:CP49)</f>
        <v>4455195.9189773584</v>
      </c>
      <c r="Y63" s="51">
        <f t="shared" ref="Y63:Y74" si="118">SUM(CQ49:CT49)</f>
        <v>4447429.3504860587</v>
      </c>
      <c r="Z63" s="51">
        <f t="shared" ref="Z63:Z74" si="119">SUM(CU49:CX49)</f>
        <v>4440966.5866876701</v>
      </c>
      <c r="AA63" s="51">
        <f t="shared" ref="AA63:AA74" si="120">SUM(CY49:DB49)</f>
        <v>4442507.4197044335</v>
      </c>
      <c r="AB63" s="51">
        <f t="shared" ref="AB63:AB74" si="121">SUM(DC49:DF49)</f>
        <v>4449143.766988026</v>
      </c>
      <c r="AC63" s="51">
        <f t="shared" ref="AC63:AC74" si="122">SUM(DG49:DJ49)</f>
        <v>4450793.790533131</v>
      </c>
      <c r="AD63" s="51">
        <f t="shared" ref="AD63:AD74" si="123">SUM(DK49:DN49)</f>
        <v>4446531.277277112</v>
      </c>
      <c r="AE63" s="51">
        <f t="shared" ref="AE63:AE74" si="124">SUM(DO49:DR49)</f>
        <v>4447569.9302303251</v>
      </c>
      <c r="AF63" s="51">
        <f t="shared" ref="AF63:AF74" si="125">SUM(DS49:DV49)</f>
        <v>4446468.1607885081</v>
      </c>
      <c r="AG63" s="51">
        <f t="shared" ref="AG63:AG74" si="126">SUM(DW49:DZ49)</f>
        <v>4540889.8846814875</v>
      </c>
      <c r="AL63" s="52"/>
      <c r="AM63" s="52"/>
      <c r="AN63" s="52"/>
      <c r="AO63" s="52"/>
      <c r="AP63" s="52"/>
      <c r="AQ63" s="52"/>
      <c r="AR63" s="52"/>
      <c r="AS63" s="52"/>
      <c r="AT63" s="52"/>
      <c r="AU63" s="52"/>
      <c r="AV63" s="52"/>
      <c r="AW63" s="46"/>
    </row>
    <row r="64" spans="1:166" ht="15" x14ac:dyDescent="0.25">
      <c r="A64" s="9" t="str">
        <f t="shared" si="96"/>
        <v>Bio-LNG</v>
      </c>
      <c r="B64" s="45">
        <f t="shared" si="97"/>
        <v>14715</v>
      </c>
      <c r="C64" s="45">
        <f t="shared" si="98"/>
        <v>14845</v>
      </c>
      <c r="D64" s="45">
        <f t="shared" si="99"/>
        <v>41359</v>
      </c>
      <c r="E64" s="45">
        <f t="shared" si="100"/>
        <v>94209</v>
      </c>
      <c r="F64" s="45">
        <f t="shared" si="101"/>
        <v>220222</v>
      </c>
      <c r="G64" s="45">
        <f t="shared" si="102"/>
        <v>214255</v>
      </c>
      <c r="H64" s="45">
        <f t="shared" si="103"/>
        <v>107040</v>
      </c>
      <c r="I64" s="45">
        <f t="shared" si="104"/>
        <v>71958</v>
      </c>
      <c r="J64" s="45">
        <f t="shared" si="105"/>
        <v>63006</v>
      </c>
      <c r="K64" s="45">
        <f t="shared" si="106"/>
        <v>69379</v>
      </c>
      <c r="L64" s="50">
        <f t="shared" ref="L64:L74" si="127">SUM(AQ50:AT50)</f>
        <v>48594</v>
      </c>
      <c r="M64" s="51">
        <f t="shared" ref="M64:M74" si="128">SUM(AU50:AX50)</f>
        <v>53380</v>
      </c>
      <c r="N64" s="51">
        <f t="shared" si="107"/>
        <v>58805</v>
      </c>
      <c r="O64" s="51">
        <f t="shared" si="108"/>
        <v>57674.271797208901</v>
      </c>
      <c r="P64" s="51">
        <f t="shared" si="109"/>
        <v>59621.301281733875</v>
      </c>
      <c r="Q64" s="51">
        <f t="shared" si="110"/>
        <v>57808.311742700185</v>
      </c>
      <c r="R64" s="51">
        <f t="shared" si="111"/>
        <v>57580.334323251744</v>
      </c>
      <c r="S64" s="51">
        <f t="shared" si="112"/>
        <v>56429.263708957318</v>
      </c>
      <c r="T64" s="51">
        <f t="shared" si="113"/>
        <v>57457.730656192005</v>
      </c>
      <c r="U64" s="51">
        <f t="shared" si="114"/>
        <v>58200.588692590078</v>
      </c>
      <c r="V64" s="51">
        <f t="shared" si="115"/>
        <v>58136.463590826548</v>
      </c>
      <c r="W64" s="51">
        <f t="shared" si="116"/>
        <v>57917.551647819404</v>
      </c>
      <c r="X64" s="51">
        <f t="shared" si="117"/>
        <v>57661.408520591576</v>
      </c>
      <c r="Y64" s="51">
        <f t="shared" si="118"/>
        <v>57622.215733511097</v>
      </c>
      <c r="Z64" s="51">
        <f t="shared" si="119"/>
        <v>57638.185521105712</v>
      </c>
      <c r="AA64" s="51">
        <f t="shared" si="120"/>
        <v>57790.329215905484</v>
      </c>
      <c r="AB64" s="51">
        <f t="shared" si="121"/>
        <v>57849.205493907517</v>
      </c>
      <c r="AC64" s="51">
        <f t="shared" si="122"/>
        <v>57806.326918523147</v>
      </c>
      <c r="AD64" s="51">
        <f t="shared" si="123"/>
        <v>57758.239596906678</v>
      </c>
      <c r="AE64" s="51">
        <f t="shared" si="124"/>
        <v>57733.464203465941</v>
      </c>
      <c r="AF64" s="51">
        <f t="shared" si="125"/>
        <v>57741.845475950155</v>
      </c>
      <c r="AG64" s="51">
        <f t="shared" si="126"/>
        <v>58616.824825083626</v>
      </c>
      <c r="AL64" s="52"/>
      <c r="AM64" s="52"/>
      <c r="AN64" s="52"/>
      <c r="AO64" s="52"/>
      <c r="AP64" s="52"/>
      <c r="AQ64" s="52"/>
      <c r="AR64" s="52"/>
      <c r="AS64" s="52"/>
      <c r="AT64" s="52"/>
      <c r="AU64" s="52"/>
      <c r="AV64" s="52"/>
      <c r="AW64" s="52"/>
    </row>
    <row r="65" spans="1:49" ht="15" x14ac:dyDescent="0.25">
      <c r="A65" s="9" t="str">
        <f t="shared" si="96"/>
        <v>Fossil CNG</v>
      </c>
      <c r="B65" s="45">
        <f t="shared" si="97"/>
        <v>132978</v>
      </c>
      <c r="C65" s="45">
        <f t="shared" si="98"/>
        <v>143896</v>
      </c>
      <c r="D65" s="45">
        <f t="shared" si="99"/>
        <v>171414</v>
      </c>
      <c r="E65" s="45">
        <f t="shared" si="100"/>
        <v>210374</v>
      </c>
      <c r="F65" s="45">
        <f t="shared" si="101"/>
        <v>183341</v>
      </c>
      <c r="G65" s="45">
        <f t="shared" si="102"/>
        <v>162682</v>
      </c>
      <c r="H65" s="45">
        <f t="shared" si="103"/>
        <v>58321</v>
      </c>
      <c r="I65" s="45">
        <f t="shared" si="104"/>
        <v>58606</v>
      </c>
      <c r="J65" s="45">
        <f t="shared" si="105"/>
        <v>30851</v>
      </c>
      <c r="K65" s="45">
        <f t="shared" si="106"/>
        <v>8193</v>
      </c>
      <c r="L65" s="50">
        <f t="shared" si="127"/>
        <v>2447</v>
      </c>
      <c r="M65" s="51">
        <f t="shared" si="128"/>
        <v>2542</v>
      </c>
      <c r="N65" s="51">
        <f t="shared" si="107"/>
        <v>1636</v>
      </c>
      <c r="O65" s="51">
        <f t="shared" si="108"/>
        <v>446</v>
      </c>
      <c r="P65" s="51">
        <f t="shared" si="109"/>
        <v>0</v>
      </c>
      <c r="Q65" s="51">
        <f t="shared" si="110"/>
        <v>951.45180376718247</v>
      </c>
      <c r="R65" s="51">
        <f t="shared" si="111"/>
        <v>1782.2624302666827</v>
      </c>
      <c r="S65" s="51">
        <f t="shared" si="112"/>
        <v>2084.5569861629738</v>
      </c>
      <c r="T65" s="51">
        <f t="shared" si="113"/>
        <v>2138.1733395403617</v>
      </c>
      <c r="U65" s="51">
        <f t="shared" si="114"/>
        <v>1904.9874051198021</v>
      </c>
      <c r="V65" s="51">
        <f t="shared" si="115"/>
        <v>2055.4166939706201</v>
      </c>
      <c r="W65" s="51">
        <f t="shared" si="116"/>
        <v>2182.6509445217307</v>
      </c>
      <c r="X65" s="51">
        <f t="shared" si="117"/>
        <v>2248.2596060847904</v>
      </c>
      <c r="Y65" s="51">
        <f t="shared" si="118"/>
        <v>2245.7785435948445</v>
      </c>
      <c r="Z65" s="51">
        <f t="shared" si="119"/>
        <v>2288.5708618348367</v>
      </c>
      <c r="AA65" s="51">
        <f t="shared" si="120"/>
        <v>2410.8053737565601</v>
      </c>
      <c r="AB65" s="51">
        <f t="shared" si="121"/>
        <v>2495.9389433068059</v>
      </c>
      <c r="AC65" s="51">
        <f t="shared" si="122"/>
        <v>2551.8842678817036</v>
      </c>
      <c r="AD65" s="51">
        <f t="shared" si="123"/>
        <v>2598.7395760387703</v>
      </c>
      <c r="AE65" s="51">
        <f t="shared" si="124"/>
        <v>2668.9744086983974</v>
      </c>
      <c r="AF65" s="51">
        <f t="shared" si="125"/>
        <v>2752.71286079431</v>
      </c>
      <c r="AG65" s="51">
        <f t="shared" si="126"/>
        <v>2827.0771337263045</v>
      </c>
      <c r="AL65" s="52"/>
      <c r="AM65" s="52"/>
      <c r="AN65" s="52"/>
      <c r="AO65" s="52"/>
      <c r="AP65" s="52"/>
      <c r="AQ65" s="52"/>
      <c r="AR65" s="52"/>
      <c r="AS65" s="52"/>
      <c r="AT65" s="52"/>
      <c r="AU65" s="52"/>
      <c r="AV65" s="52"/>
      <c r="AW65" s="52"/>
    </row>
    <row r="66" spans="1:49" ht="15" x14ac:dyDescent="0.25">
      <c r="A66" s="9" t="str">
        <f t="shared" si="96"/>
        <v>Fossil LNG</v>
      </c>
      <c r="B66" s="45">
        <f t="shared" si="97"/>
        <v>31412</v>
      </c>
      <c r="C66" s="45">
        <f t="shared" si="98"/>
        <v>39274</v>
      </c>
      <c r="D66" s="45">
        <f t="shared" si="99"/>
        <v>50441</v>
      </c>
      <c r="E66" s="45">
        <f t="shared" si="100"/>
        <v>36642</v>
      </c>
      <c r="F66" s="45">
        <f t="shared" si="101"/>
        <v>22250</v>
      </c>
      <c r="G66" s="45">
        <f t="shared" si="102"/>
        <v>7509</v>
      </c>
      <c r="H66" s="45">
        <f t="shared" si="103"/>
        <v>173</v>
      </c>
      <c r="I66" s="45">
        <f t="shared" si="104"/>
        <v>169</v>
      </c>
      <c r="J66" s="45">
        <f t="shared" si="105"/>
        <v>0</v>
      </c>
      <c r="K66" s="45">
        <f t="shared" si="106"/>
        <v>0</v>
      </c>
      <c r="L66" s="50">
        <f t="shared" si="127"/>
        <v>0</v>
      </c>
      <c r="M66" s="51">
        <f t="shared" si="128"/>
        <v>0</v>
      </c>
      <c r="N66" s="51">
        <f t="shared" si="107"/>
        <v>0</v>
      </c>
      <c r="O66" s="51">
        <f t="shared" si="108"/>
        <v>0</v>
      </c>
      <c r="P66" s="51">
        <f t="shared" si="109"/>
        <v>0</v>
      </c>
      <c r="Q66" s="51">
        <f t="shared" si="110"/>
        <v>0</v>
      </c>
      <c r="R66" s="51">
        <f t="shared" si="111"/>
        <v>0</v>
      </c>
      <c r="S66" s="51">
        <f t="shared" si="112"/>
        <v>0</v>
      </c>
      <c r="T66" s="51">
        <f t="shared" si="113"/>
        <v>0</v>
      </c>
      <c r="U66" s="51">
        <f t="shared" si="114"/>
        <v>0</v>
      </c>
      <c r="V66" s="51">
        <f t="shared" si="115"/>
        <v>0</v>
      </c>
      <c r="W66" s="51">
        <f t="shared" si="116"/>
        <v>0</v>
      </c>
      <c r="X66" s="51">
        <f t="shared" si="117"/>
        <v>0</v>
      </c>
      <c r="Y66" s="51">
        <f t="shared" si="118"/>
        <v>0</v>
      </c>
      <c r="Z66" s="51">
        <f t="shared" si="119"/>
        <v>0</v>
      </c>
      <c r="AA66" s="51">
        <f t="shared" si="120"/>
        <v>0</v>
      </c>
      <c r="AB66" s="51">
        <f t="shared" si="121"/>
        <v>0</v>
      </c>
      <c r="AC66" s="51">
        <f t="shared" si="122"/>
        <v>0</v>
      </c>
      <c r="AD66" s="51">
        <f t="shared" si="123"/>
        <v>0</v>
      </c>
      <c r="AE66" s="51">
        <f t="shared" si="124"/>
        <v>0</v>
      </c>
      <c r="AF66" s="51">
        <f t="shared" si="125"/>
        <v>0</v>
      </c>
      <c r="AG66" s="51">
        <f t="shared" si="126"/>
        <v>0</v>
      </c>
      <c r="AL66" s="52"/>
      <c r="AM66" s="52"/>
      <c r="AN66" s="52"/>
      <c r="AO66" s="52"/>
      <c r="AP66" s="52"/>
      <c r="AQ66" s="52"/>
      <c r="AR66" s="52"/>
      <c r="AS66" s="52"/>
      <c r="AT66" s="52"/>
      <c r="AU66" s="52"/>
      <c r="AV66" s="52"/>
      <c r="AW66" s="52"/>
    </row>
    <row r="67" spans="1:49" ht="15" x14ac:dyDescent="0.25">
      <c r="A67" s="9" t="str">
        <f t="shared" si="96"/>
        <v>Hydrogen</v>
      </c>
      <c r="B67" s="45">
        <f t="shared" si="97"/>
        <v>0</v>
      </c>
      <c r="C67" s="45">
        <f t="shared" si="98"/>
        <v>0</v>
      </c>
      <c r="D67" s="45">
        <f t="shared" si="99"/>
        <v>0</v>
      </c>
      <c r="E67" s="45">
        <f t="shared" si="100"/>
        <v>0</v>
      </c>
      <c r="F67" s="45">
        <f t="shared" si="101"/>
        <v>74</v>
      </c>
      <c r="G67" s="45">
        <f t="shared" si="102"/>
        <v>64</v>
      </c>
      <c r="H67" s="45">
        <f t="shared" si="103"/>
        <v>3436</v>
      </c>
      <c r="I67" s="45">
        <f t="shared" si="104"/>
        <v>6984</v>
      </c>
      <c r="J67" s="45">
        <f t="shared" si="105"/>
        <v>13822</v>
      </c>
      <c r="K67" s="45">
        <f t="shared" si="106"/>
        <v>18014</v>
      </c>
      <c r="L67" s="50">
        <f t="shared" si="127"/>
        <v>36887</v>
      </c>
      <c r="M67" s="51">
        <f t="shared" si="128"/>
        <v>62349</v>
      </c>
      <c r="N67" s="51">
        <f t="shared" si="107"/>
        <v>60780</v>
      </c>
      <c r="O67" s="51">
        <f t="shared" si="108"/>
        <v>50074.67849309474</v>
      </c>
      <c r="P67" s="51">
        <f t="shared" si="109"/>
        <v>63361.621196262968</v>
      </c>
      <c r="Q67" s="51">
        <f t="shared" si="110"/>
        <v>80027.830878105146</v>
      </c>
      <c r="R67" s="51">
        <f t="shared" si="111"/>
        <v>90184.366207025247</v>
      </c>
      <c r="S67" s="51">
        <f t="shared" si="112"/>
        <v>99002.40318390826</v>
      </c>
      <c r="T67" s="51">
        <f t="shared" si="113"/>
        <v>108334.44431717246</v>
      </c>
      <c r="U67" s="51">
        <f t="shared" si="114"/>
        <v>117823.28308179832</v>
      </c>
      <c r="V67" s="51">
        <f t="shared" si="115"/>
        <v>126970.52157466582</v>
      </c>
      <c r="W67" s="51">
        <f t="shared" si="116"/>
        <v>135445.03440494314</v>
      </c>
      <c r="X67" s="51">
        <f t="shared" si="117"/>
        <v>144089.81859344055</v>
      </c>
      <c r="Y67" s="51">
        <f t="shared" si="118"/>
        <v>153117.02509590104</v>
      </c>
      <c r="Z67" s="51">
        <f t="shared" si="119"/>
        <v>162289.40806583961</v>
      </c>
      <c r="AA67" s="51">
        <f t="shared" si="120"/>
        <v>171347.53826431494</v>
      </c>
      <c r="AB67" s="51">
        <f t="shared" si="121"/>
        <v>180297.23397571477</v>
      </c>
      <c r="AC67" s="51">
        <f t="shared" si="122"/>
        <v>189291.41295788201</v>
      </c>
      <c r="AD67" s="51">
        <f t="shared" si="123"/>
        <v>198338.75369254418</v>
      </c>
      <c r="AE67" s="51">
        <f t="shared" si="124"/>
        <v>207396.09721221015</v>
      </c>
      <c r="AF67" s="51">
        <f t="shared" si="125"/>
        <v>216426.37131238362</v>
      </c>
      <c r="AG67" s="51">
        <f t="shared" si="126"/>
        <v>225424.62596382829</v>
      </c>
      <c r="AL67" s="52"/>
      <c r="AM67" s="52"/>
      <c r="AN67" s="52"/>
      <c r="AO67" s="52"/>
      <c r="AP67" s="52"/>
      <c r="AQ67" s="52"/>
      <c r="AR67" s="52"/>
      <c r="AS67" s="52"/>
      <c r="AT67" s="52"/>
      <c r="AU67" s="52"/>
      <c r="AV67" s="52"/>
      <c r="AW67" s="52"/>
    </row>
    <row r="68" spans="1:49" ht="15" x14ac:dyDescent="0.25">
      <c r="A68" s="9" t="str">
        <f t="shared" si="96"/>
        <v>Electricity</v>
      </c>
      <c r="B68" s="45">
        <f t="shared" si="97"/>
        <v>7743</v>
      </c>
      <c r="C68" s="45">
        <f t="shared" si="98"/>
        <v>26984</v>
      </c>
      <c r="D68" s="45">
        <f>SUM(K54:N54)</f>
        <v>93953</v>
      </c>
      <c r="E68" s="45">
        <f t="shared" si="100"/>
        <v>221330</v>
      </c>
      <c r="F68" s="45">
        <f t="shared" si="101"/>
        <v>337740</v>
      </c>
      <c r="G68" s="45">
        <f t="shared" si="102"/>
        <v>904703</v>
      </c>
      <c r="H68" s="45">
        <f t="shared" si="103"/>
        <v>1198112</v>
      </c>
      <c r="I68" s="45">
        <f t="shared" si="104"/>
        <v>1791457</v>
      </c>
      <c r="J68" s="45">
        <f t="shared" si="105"/>
        <v>2792820</v>
      </c>
      <c r="K68" s="45">
        <f t="shared" si="106"/>
        <v>2942983</v>
      </c>
      <c r="L68" s="50">
        <f t="shared" si="127"/>
        <v>4467248</v>
      </c>
      <c r="M68" s="51">
        <f t="shared" si="128"/>
        <v>6409650</v>
      </c>
      <c r="N68" s="51">
        <f t="shared" si="107"/>
        <v>7343546</v>
      </c>
      <c r="O68" s="51">
        <f t="shared" si="108"/>
        <v>8750180.8090924956</v>
      </c>
      <c r="P68" s="51">
        <f t="shared" si="109"/>
        <v>9802528.271074377</v>
      </c>
      <c r="Q68" s="51">
        <f t="shared" si="110"/>
        <v>11748167.511502963</v>
      </c>
      <c r="R68" s="51">
        <f t="shared" si="111"/>
        <v>13578133.30836444</v>
      </c>
      <c r="S68" s="51">
        <f t="shared" si="112"/>
        <v>15440755.776968243</v>
      </c>
      <c r="T68" s="51">
        <f t="shared" si="113"/>
        <v>17388170.474257015</v>
      </c>
      <c r="U68" s="51">
        <f t="shared" si="114"/>
        <v>19396790.562866345</v>
      </c>
      <c r="V68" s="51">
        <f t="shared" si="115"/>
        <v>21316929.45200409</v>
      </c>
      <c r="W68" s="51">
        <f t="shared" si="116"/>
        <v>23187585.587776866</v>
      </c>
      <c r="X68" s="51">
        <f t="shared" si="117"/>
        <v>25119312.484543998</v>
      </c>
      <c r="Y68" s="51">
        <f t="shared" si="118"/>
        <v>27047047.098030016</v>
      </c>
      <c r="Z68" s="51">
        <f t="shared" si="119"/>
        <v>28975913.974050112</v>
      </c>
      <c r="AA68" s="51">
        <f t="shared" si="120"/>
        <v>30915418.344054192</v>
      </c>
      <c r="AB68" s="51">
        <f t="shared" si="121"/>
        <v>32826588.087284893</v>
      </c>
      <c r="AC68" s="51">
        <f t="shared" si="122"/>
        <v>34738669.514636077</v>
      </c>
      <c r="AD68" s="51">
        <f t="shared" si="123"/>
        <v>36664953.066630475</v>
      </c>
      <c r="AE68" s="51">
        <f t="shared" si="124"/>
        <v>38625071.976674743</v>
      </c>
      <c r="AF68" s="51">
        <f t="shared" si="125"/>
        <v>40522910.312276103</v>
      </c>
      <c r="AG68" s="51">
        <f t="shared" si="126"/>
        <v>42440316.23161374</v>
      </c>
      <c r="AL68" s="52"/>
      <c r="AM68" s="52"/>
      <c r="AN68" s="52"/>
      <c r="AO68" s="52"/>
      <c r="AP68" s="52"/>
      <c r="AQ68" s="52"/>
      <c r="AR68" s="52"/>
      <c r="AS68" s="52"/>
      <c r="AT68" s="52"/>
      <c r="AU68" s="52"/>
      <c r="AV68" s="52"/>
      <c r="AW68" s="52"/>
    </row>
    <row r="69" spans="1:49" ht="15" x14ac:dyDescent="0.25">
      <c r="A69" s="9" t="str">
        <f t="shared" si="96"/>
        <v>Ethanol</v>
      </c>
      <c r="B69" s="45">
        <f t="shared" si="97"/>
        <v>1023553</v>
      </c>
      <c r="C69" s="45">
        <f t="shared" si="98"/>
        <v>1219094</v>
      </c>
      <c r="D69" s="45">
        <f t="shared" si="99"/>
        <v>1983878</v>
      </c>
      <c r="E69" s="45">
        <f t="shared" si="100"/>
        <v>2030883</v>
      </c>
      <c r="F69" s="45">
        <f t="shared" si="101"/>
        <v>2124754</v>
      </c>
      <c r="G69" s="45">
        <f t="shared" si="102"/>
        <v>3519386</v>
      </c>
      <c r="H69" s="45">
        <f t="shared" si="103"/>
        <v>3488224</v>
      </c>
      <c r="I69" s="45">
        <f t="shared" si="104"/>
        <v>3458529</v>
      </c>
      <c r="J69" s="45">
        <f t="shared" si="105"/>
        <v>4342132</v>
      </c>
      <c r="K69" s="45">
        <f t="shared" si="106"/>
        <v>3736655</v>
      </c>
      <c r="L69" s="50">
        <f t="shared" si="127"/>
        <v>3825552</v>
      </c>
      <c r="M69" s="51">
        <f t="shared" si="128"/>
        <v>3740640</v>
      </c>
      <c r="N69" s="51">
        <f t="shared" si="107"/>
        <v>3362896</v>
      </c>
      <c r="O69" s="51">
        <f t="shared" si="108"/>
        <v>3493933.0523557556</v>
      </c>
      <c r="P69" s="51">
        <f t="shared" si="109"/>
        <v>3722761.2189416019</v>
      </c>
      <c r="Q69" s="51">
        <f t="shared" si="110"/>
        <v>3806463.5850368096</v>
      </c>
      <c r="R69" s="51">
        <f t="shared" si="111"/>
        <v>3777996.703232978</v>
      </c>
      <c r="S69" s="51">
        <f t="shared" si="112"/>
        <v>3737678.7492903769</v>
      </c>
      <c r="T69" s="51">
        <f t="shared" si="113"/>
        <v>3704169.9140234482</v>
      </c>
      <c r="U69" s="51">
        <f t="shared" si="114"/>
        <v>3698352.2196878078</v>
      </c>
      <c r="V69" s="51">
        <f t="shared" si="115"/>
        <v>3722067.994626408</v>
      </c>
      <c r="W69" s="51">
        <f t="shared" si="116"/>
        <v>3736125.1401292803</v>
      </c>
      <c r="X69" s="51">
        <f t="shared" si="117"/>
        <v>3740399.9638048732</v>
      </c>
      <c r="Y69" s="51">
        <f t="shared" si="118"/>
        <v>3731116.9417836918</v>
      </c>
      <c r="Z69" s="51">
        <f t="shared" si="119"/>
        <v>3724438.9575828556</v>
      </c>
      <c r="AA69" s="51">
        <f t="shared" si="120"/>
        <v>3722369.1904818052</v>
      </c>
      <c r="AB69" s="51">
        <f t="shared" si="121"/>
        <v>3724843.5411073049</v>
      </c>
      <c r="AC69" s="51">
        <f t="shared" si="122"/>
        <v>3728426.5225942447</v>
      </c>
      <c r="AD69" s="51">
        <f t="shared" si="123"/>
        <v>3729593.4584081667</v>
      </c>
      <c r="AE69" s="51">
        <f t="shared" si="124"/>
        <v>3728782.0129221622</v>
      </c>
      <c r="AF69" s="51">
        <f t="shared" si="125"/>
        <v>3727133.2154661724</v>
      </c>
      <c r="AG69" s="51">
        <f t="shared" si="126"/>
        <v>3795864.3518061074</v>
      </c>
      <c r="AL69" s="52"/>
      <c r="AM69" s="52"/>
      <c r="AN69" s="52"/>
      <c r="AO69" s="52"/>
      <c r="AP69" s="52"/>
      <c r="AQ69" s="52"/>
      <c r="AR69" s="52"/>
      <c r="AS69" s="52"/>
      <c r="AT69" s="52"/>
      <c r="AU69" s="52"/>
      <c r="AV69" s="52"/>
      <c r="AW69" s="52"/>
    </row>
    <row r="70" spans="1:49" ht="15" x14ac:dyDescent="0.25">
      <c r="A70" s="9" t="str">
        <f t="shared" si="96"/>
        <v>Biodiesel</v>
      </c>
      <c r="B70" s="45">
        <f t="shared" si="97"/>
        <v>84267</v>
      </c>
      <c r="C70" s="45">
        <f t="shared" si="98"/>
        <v>149347</v>
      </c>
      <c r="D70" s="45">
        <f t="shared" si="99"/>
        <v>566670</v>
      </c>
      <c r="E70" s="45">
        <f t="shared" si="100"/>
        <v>718000</v>
      </c>
      <c r="F70" s="45">
        <f t="shared" si="101"/>
        <v>1213910</v>
      </c>
      <c r="G70" s="45">
        <f t="shared" si="102"/>
        <v>1736783</v>
      </c>
      <c r="H70" s="45">
        <f t="shared" si="103"/>
        <v>1379739</v>
      </c>
      <c r="I70" s="45">
        <f t="shared" si="104"/>
        <v>1606554</v>
      </c>
      <c r="J70" s="45">
        <f t="shared" si="105"/>
        <v>1831090</v>
      </c>
      <c r="K70" s="45">
        <f t="shared" si="106"/>
        <v>2213327</v>
      </c>
      <c r="L70" s="50">
        <f t="shared" si="127"/>
        <v>2310599</v>
      </c>
      <c r="M70" s="51">
        <f t="shared" si="128"/>
        <v>2204548</v>
      </c>
      <c r="N70" s="51">
        <f t="shared" si="107"/>
        <v>1970200</v>
      </c>
      <c r="O70" s="51">
        <f t="shared" si="108"/>
        <v>1786713.8906531611</v>
      </c>
      <c r="P70" s="51">
        <f t="shared" si="109"/>
        <v>1919646.6842864396</v>
      </c>
      <c r="Q70" s="51">
        <f t="shared" si="110"/>
        <v>1927866.1479589422</v>
      </c>
      <c r="R70" s="51">
        <f t="shared" si="111"/>
        <v>1931131.7244823833</v>
      </c>
      <c r="S70" s="51">
        <f t="shared" si="112"/>
        <v>1667875.6840976174</v>
      </c>
      <c r="T70" s="51">
        <f t="shared" si="113"/>
        <v>1769834.4408103111</v>
      </c>
      <c r="U70" s="51">
        <f t="shared" si="114"/>
        <v>1877220.3228203568</v>
      </c>
      <c r="V70" s="51">
        <f t="shared" si="115"/>
        <v>1863926.2672604537</v>
      </c>
      <c r="W70" s="51">
        <f t="shared" si="116"/>
        <v>1891244.9791386535</v>
      </c>
      <c r="X70" s="51">
        <f t="shared" si="117"/>
        <v>1877947.9629540695</v>
      </c>
      <c r="Y70" s="51">
        <f t="shared" si="118"/>
        <v>1871143.6838098387</v>
      </c>
      <c r="Z70" s="51">
        <f t="shared" si="119"/>
        <v>1832922.1891563116</v>
      </c>
      <c r="AA70" s="51">
        <f t="shared" si="120"/>
        <v>1753800.0634763027</v>
      </c>
      <c r="AB70" s="51">
        <f t="shared" si="121"/>
        <v>1686660.258089355</v>
      </c>
      <c r="AC70" s="51">
        <f t="shared" si="122"/>
        <v>1705788.898697827</v>
      </c>
      <c r="AD70" s="51">
        <f t="shared" si="123"/>
        <v>1666474.4796270076</v>
      </c>
      <c r="AE70" s="51">
        <f t="shared" si="124"/>
        <v>1702828.9852787617</v>
      </c>
      <c r="AF70" s="51">
        <f t="shared" si="125"/>
        <v>2669038.3344082735</v>
      </c>
      <c r="AG70" s="51">
        <f t="shared" si="126"/>
        <v>2669143.164215764</v>
      </c>
      <c r="AL70" s="52"/>
      <c r="AM70" s="52"/>
      <c r="AN70" s="52"/>
      <c r="AO70" s="52"/>
      <c r="AP70" s="52"/>
      <c r="AQ70" s="52"/>
      <c r="AR70" s="52"/>
      <c r="AS70" s="52"/>
      <c r="AT70" s="52"/>
      <c r="AU70" s="52"/>
      <c r="AV70" s="52"/>
      <c r="AW70" s="52"/>
    </row>
    <row r="71" spans="1:49" ht="15" x14ac:dyDescent="0.25">
      <c r="A71" s="9" t="str">
        <f t="shared" si="96"/>
        <v>Renewable Diesel</v>
      </c>
      <c r="B71" s="45">
        <f t="shared" si="97"/>
        <v>17020</v>
      </c>
      <c r="C71" s="45">
        <f t="shared" si="98"/>
        <v>72659</v>
      </c>
      <c r="D71" s="45">
        <f t="shared" si="99"/>
        <v>789929</v>
      </c>
      <c r="E71" s="45">
        <f t="shared" si="100"/>
        <v>844979</v>
      </c>
      <c r="F71" s="45">
        <f t="shared" si="101"/>
        <v>1038171</v>
      </c>
      <c r="G71" s="45">
        <f t="shared" si="102"/>
        <v>2241217</v>
      </c>
      <c r="H71" s="45">
        <f t="shared" si="103"/>
        <v>2966730</v>
      </c>
      <c r="I71" s="45">
        <f t="shared" si="104"/>
        <v>3485391</v>
      </c>
      <c r="J71" s="45">
        <f t="shared" si="105"/>
        <v>4780527</v>
      </c>
      <c r="K71" s="45">
        <f t="shared" si="106"/>
        <v>4571300</v>
      </c>
      <c r="L71" s="50">
        <f t="shared" si="127"/>
        <v>6556463</v>
      </c>
      <c r="M71" s="51">
        <f t="shared" si="128"/>
        <v>9616935</v>
      </c>
      <c r="N71" s="51">
        <f t="shared" si="107"/>
        <v>11928852</v>
      </c>
      <c r="O71" s="51">
        <f t="shared" si="108"/>
        <v>13991902.007660478</v>
      </c>
      <c r="P71" s="51">
        <f t="shared" si="109"/>
        <v>12304335.0706304</v>
      </c>
      <c r="Q71" s="51">
        <f t="shared" si="110"/>
        <v>12350472.143637195</v>
      </c>
      <c r="R71" s="51">
        <f t="shared" si="111"/>
        <v>13213347.139931984</v>
      </c>
      <c r="S71" s="51">
        <f t="shared" si="112"/>
        <v>12532724.156106692</v>
      </c>
      <c r="T71" s="51">
        <f t="shared" si="113"/>
        <v>12609546.349225083</v>
      </c>
      <c r="U71" s="51">
        <f t="shared" si="114"/>
        <v>12978143.846124511</v>
      </c>
      <c r="V71" s="51">
        <f t="shared" si="115"/>
        <v>13574085.215623273</v>
      </c>
      <c r="W71" s="51">
        <f t="shared" si="116"/>
        <v>14942874.833361471</v>
      </c>
      <c r="X71" s="51">
        <f t="shared" si="117"/>
        <v>14947065.25963028</v>
      </c>
      <c r="Y71" s="51">
        <f t="shared" si="118"/>
        <v>14678759.313871071</v>
      </c>
      <c r="Z71" s="51">
        <f t="shared" si="119"/>
        <v>15563928.462906677</v>
      </c>
      <c r="AA71" s="51">
        <f t="shared" si="120"/>
        <v>16091229.196873905</v>
      </c>
      <c r="AB71" s="51">
        <f t="shared" si="121"/>
        <v>17398340.535756066</v>
      </c>
      <c r="AC71" s="51">
        <f t="shared" si="122"/>
        <v>18557940.417281944</v>
      </c>
      <c r="AD71" s="51">
        <f t="shared" si="123"/>
        <v>18600827.109388277</v>
      </c>
      <c r="AE71" s="51">
        <f t="shared" si="124"/>
        <v>17093303.429997027</v>
      </c>
      <c r="AF71" s="51">
        <f t="shared" si="125"/>
        <v>23141305.510509759</v>
      </c>
      <c r="AG71" s="51">
        <f t="shared" si="126"/>
        <v>23141103.514100075</v>
      </c>
      <c r="AL71" s="52"/>
      <c r="AM71" s="52"/>
      <c r="AN71" s="52"/>
      <c r="AO71" s="52"/>
      <c r="AP71" s="52"/>
      <c r="AQ71" s="52"/>
      <c r="AR71" s="52"/>
      <c r="AS71" s="52"/>
      <c r="AT71" s="52"/>
      <c r="AU71" s="52"/>
      <c r="AV71" s="52"/>
      <c r="AW71" s="52"/>
    </row>
    <row r="72" spans="1:49" ht="15" x14ac:dyDescent="0.25">
      <c r="A72" s="9" t="s">
        <v>78</v>
      </c>
      <c r="B72" s="45">
        <f t="shared" si="97"/>
        <v>0</v>
      </c>
      <c r="C72" s="45">
        <f t="shared" si="98"/>
        <v>0</v>
      </c>
      <c r="D72" s="45">
        <f t="shared" si="99"/>
        <v>0</v>
      </c>
      <c r="E72" s="45">
        <f t="shared" si="100"/>
        <v>0</v>
      </c>
      <c r="F72" s="45">
        <f t="shared" si="101"/>
        <v>0</v>
      </c>
      <c r="G72" s="45">
        <f t="shared" si="102"/>
        <v>0</v>
      </c>
      <c r="H72" s="45">
        <f t="shared" si="103"/>
        <v>0</v>
      </c>
      <c r="I72" s="45">
        <f t="shared" si="104"/>
        <v>0</v>
      </c>
      <c r="J72" s="45">
        <f t="shared" si="105"/>
        <v>11103</v>
      </c>
      <c r="K72" s="45">
        <f t="shared" si="106"/>
        <v>27737</v>
      </c>
      <c r="L72" s="50">
        <f t="shared" si="127"/>
        <v>52504</v>
      </c>
      <c r="M72" s="51">
        <f t="shared" si="128"/>
        <v>69562</v>
      </c>
      <c r="N72" s="51">
        <f t="shared" si="107"/>
        <v>122332</v>
      </c>
      <c r="O72" s="51">
        <f t="shared" si="108"/>
        <v>328113.24597390264</v>
      </c>
      <c r="P72" s="51">
        <f t="shared" si="109"/>
        <v>568744.0260321087</v>
      </c>
      <c r="Q72" s="51">
        <f t="shared" si="110"/>
        <v>2190562.1430410645</v>
      </c>
      <c r="R72" s="51">
        <f t="shared" si="111"/>
        <v>5636352.9644491915</v>
      </c>
      <c r="S72" s="51">
        <f t="shared" si="112"/>
        <v>7371033.2848659782</v>
      </c>
      <c r="T72" s="51">
        <f t="shared" si="113"/>
        <v>8830853.6978423167</v>
      </c>
      <c r="U72" s="51">
        <f t="shared" si="114"/>
        <v>11227358.006951341</v>
      </c>
      <c r="V72" s="51">
        <f t="shared" si="115"/>
        <v>12357670.897019414</v>
      </c>
      <c r="W72" s="51">
        <f t="shared" si="116"/>
        <v>15457420.150649568</v>
      </c>
      <c r="X72" s="51">
        <f t="shared" si="117"/>
        <v>16546001.651866108</v>
      </c>
      <c r="Y72" s="51">
        <f t="shared" si="118"/>
        <v>18140279.738253944</v>
      </c>
      <c r="Z72" s="51">
        <f t="shared" si="119"/>
        <v>19010689.029351894</v>
      </c>
      <c r="AA72" s="51">
        <f t="shared" si="120"/>
        <v>13968815.712627884</v>
      </c>
      <c r="AB72" s="51">
        <f t="shared" si="121"/>
        <v>14496559.968864463</v>
      </c>
      <c r="AC72" s="51">
        <f t="shared" si="122"/>
        <v>15186693.650722437</v>
      </c>
      <c r="AD72" s="51">
        <f t="shared" si="123"/>
        <v>15032645.852340244</v>
      </c>
      <c r="AE72" s="51">
        <f t="shared" si="124"/>
        <v>16495551.162760301</v>
      </c>
      <c r="AF72" s="51">
        <f t="shared" si="125"/>
        <v>5814948.456342794</v>
      </c>
      <c r="AG72" s="51">
        <f t="shared" si="126"/>
        <v>5814941.0608778698</v>
      </c>
      <c r="AL72" s="52"/>
      <c r="AM72" s="52"/>
      <c r="AN72" s="52"/>
      <c r="AO72" s="52"/>
      <c r="AP72" s="52"/>
      <c r="AQ72" s="52"/>
      <c r="AR72" s="52"/>
      <c r="AS72" s="52"/>
      <c r="AT72" s="52"/>
      <c r="AU72" s="52"/>
      <c r="AV72" s="52"/>
      <c r="AW72" s="52"/>
    </row>
    <row r="73" spans="1:49" ht="15" x14ac:dyDescent="0.25">
      <c r="A73" s="9" t="s">
        <v>79</v>
      </c>
      <c r="B73" s="45">
        <f t="shared" si="97"/>
        <v>0</v>
      </c>
      <c r="C73" s="45">
        <f t="shared" si="98"/>
        <v>0</v>
      </c>
      <c r="D73" s="45">
        <f t="shared" si="99"/>
        <v>0</v>
      </c>
      <c r="E73" s="45">
        <f t="shared" si="100"/>
        <v>0</v>
      </c>
      <c r="F73" s="45">
        <f t="shared" si="101"/>
        <v>0</v>
      </c>
      <c r="G73" s="45">
        <f t="shared" si="102"/>
        <v>0</v>
      </c>
      <c r="H73" s="45">
        <f t="shared" si="103"/>
        <v>0</v>
      </c>
      <c r="I73" s="45">
        <f t="shared" si="104"/>
        <v>1082</v>
      </c>
      <c r="J73" s="45">
        <f t="shared" si="105"/>
        <v>8018</v>
      </c>
      <c r="K73" s="45">
        <f t="shared" si="106"/>
        <v>15921</v>
      </c>
      <c r="L73" s="50">
        <f t="shared" si="127"/>
        <v>49425</v>
      </c>
      <c r="M73" s="51">
        <f t="shared" si="128"/>
        <v>71388</v>
      </c>
      <c r="N73" s="51">
        <f t="shared" si="107"/>
        <v>113656</v>
      </c>
      <c r="O73" s="51">
        <f t="shared" si="108"/>
        <v>119589.85564842095</v>
      </c>
      <c r="P73" s="51">
        <f t="shared" si="109"/>
        <v>168032.95515078941</v>
      </c>
      <c r="Q73" s="51">
        <f t="shared" si="110"/>
        <v>169695.26881299837</v>
      </c>
      <c r="R73" s="51">
        <f t="shared" si="111"/>
        <v>182572.38492467726</v>
      </c>
      <c r="S73" s="51">
        <f t="shared" si="112"/>
        <v>188606.17699371721</v>
      </c>
      <c r="T73" s="51">
        <f t="shared" si="113"/>
        <v>187562.62389433122</v>
      </c>
      <c r="U73" s="51">
        <f t="shared" si="114"/>
        <v>200293.08807806848</v>
      </c>
      <c r="V73" s="51">
        <f t="shared" si="115"/>
        <v>220919.67714260641</v>
      </c>
      <c r="W73" s="51">
        <f t="shared" si="116"/>
        <v>232845.78400271927</v>
      </c>
      <c r="X73" s="51">
        <f t="shared" si="117"/>
        <v>247887.83038900592</v>
      </c>
      <c r="Y73" s="51">
        <f t="shared" si="118"/>
        <v>266254.76892071986</v>
      </c>
      <c r="Z73" s="51">
        <f t="shared" si="119"/>
        <v>275393.06895112805</v>
      </c>
      <c r="AA73" s="51">
        <f t="shared" si="120"/>
        <v>265828.25656550983</v>
      </c>
      <c r="AB73" s="51">
        <f t="shared" si="121"/>
        <v>269706.2221538889</v>
      </c>
      <c r="AC73" s="51">
        <f t="shared" si="122"/>
        <v>270386.94280384423</v>
      </c>
      <c r="AD73" s="51">
        <f t="shared" si="123"/>
        <v>278833.65151487343</v>
      </c>
      <c r="AE73" s="51">
        <f t="shared" si="124"/>
        <v>307383.94729451207</v>
      </c>
      <c r="AF73" s="51">
        <f t="shared" si="125"/>
        <v>394024.70477683842</v>
      </c>
      <c r="AG73" s="51">
        <f t="shared" si="126"/>
        <v>394022.94395036885</v>
      </c>
      <c r="AL73" s="52"/>
      <c r="AM73" s="52"/>
      <c r="AN73" s="52"/>
      <c r="AO73" s="52"/>
      <c r="AP73" s="52"/>
      <c r="AQ73" s="52"/>
      <c r="AR73" s="52"/>
      <c r="AS73" s="52"/>
      <c r="AT73" s="52"/>
      <c r="AU73" s="52"/>
      <c r="AV73" s="52"/>
      <c r="AW73" s="52"/>
    </row>
    <row r="74" spans="1:49" ht="15" x14ac:dyDescent="0.25">
      <c r="A74" s="9" t="s">
        <v>80</v>
      </c>
      <c r="B74" s="45">
        <f t="shared" si="97"/>
        <v>0</v>
      </c>
      <c r="C74" s="45">
        <f t="shared" si="98"/>
        <v>0</v>
      </c>
      <c r="D74" s="45">
        <f t="shared" si="99"/>
        <v>0</v>
      </c>
      <c r="E74" s="45">
        <f t="shared" si="100"/>
        <v>0</v>
      </c>
      <c r="F74" s="45">
        <f t="shared" si="101"/>
        <v>0</v>
      </c>
      <c r="G74" s="45">
        <f t="shared" si="102"/>
        <v>0</v>
      </c>
      <c r="H74" s="45">
        <f t="shared" si="103"/>
        <v>0</v>
      </c>
      <c r="I74" s="45">
        <f t="shared" si="104"/>
        <v>0</v>
      </c>
      <c r="J74" s="45">
        <f t="shared" si="105"/>
        <v>3694</v>
      </c>
      <c r="K74" s="45">
        <f t="shared" si="106"/>
        <v>21212</v>
      </c>
      <c r="L74" s="50">
        <f t="shared" si="127"/>
        <v>39448</v>
      </c>
      <c r="M74" s="51">
        <f t="shared" si="128"/>
        <v>38197</v>
      </c>
      <c r="N74" s="51">
        <f t="shared" si="107"/>
        <v>29008</v>
      </c>
      <c r="O74" s="51">
        <f t="shared" si="108"/>
        <v>21448.404382550347</v>
      </c>
      <c r="P74" s="51">
        <f t="shared" si="109"/>
        <v>17130.432568817658</v>
      </c>
      <c r="Q74" s="51">
        <f t="shared" si="110"/>
        <v>0</v>
      </c>
      <c r="R74" s="51">
        <f t="shared" si="111"/>
        <v>0</v>
      </c>
      <c r="S74" s="51">
        <f t="shared" si="112"/>
        <v>0</v>
      </c>
      <c r="T74" s="51">
        <f t="shared" si="113"/>
        <v>0</v>
      </c>
      <c r="U74" s="51">
        <f t="shared" si="114"/>
        <v>40.692328464655702</v>
      </c>
      <c r="V74" s="51">
        <f t="shared" si="115"/>
        <v>55.961623434136527</v>
      </c>
      <c r="W74" s="51">
        <f t="shared" si="116"/>
        <v>0</v>
      </c>
      <c r="X74" s="51">
        <f t="shared" si="117"/>
        <v>0</v>
      </c>
      <c r="Y74" s="51">
        <f t="shared" si="118"/>
        <v>0</v>
      </c>
      <c r="Z74" s="51">
        <f t="shared" si="119"/>
        <v>0</v>
      </c>
      <c r="AA74" s="51">
        <f t="shared" si="120"/>
        <v>0</v>
      </c>
      <c r="AB74" s="51">
        <f t="shared" si="121"/>
        <v>0</v>
      </c>
      <c r="AC74" s="51">
        <f t="shared" si="122"/>
        <v>0</v>
      </c>
      <c r="AD74" s="51">
        <f t="shared" si="123"/>
        <v>0</v>
      </c>
      <c r="AE74" s="51">
        <f t="shared" si="124"/>
        <v>0</v>
      </c>
      <c r="AF74" s="51">
        <f t="shared" si="125"/>
        <v>0</v>
      </c>
      <c r="AG74" s="51">
        <f t="shared" si="126"/>
        <v>0</v>
      </c>
      <c r="AL74" s="52"/>
      <c r="AM74" s="52"/>
      <c r="AN74" s="52"/>
      <c r="AO74" s="52"/>
      <c r="AP74" s="52"/>
      <c r="AQ74" s="52"/>
      <c r="AR74" s="52"/>
      <c r="AS74" s="52"/>
      <c r="AT74" s="52"/>
      <c r="AU74" s="52"/>
      <c r="AV74" s="52"/>
      <c r="AW74" s="52"/>
    </row>
    <row r="75" spans="1:49" ht="15" x14ac:dyDescent="0.25">
      <c r="A75" s="9" t="s">
        <v>151</v>
      </c>
      <c r="B75" s="45">
        <f>SUM(B63:B74)</f>
        <v>1311688</v>
      </c>
      <c r="C75" s="45">
        <f t="shared" ref="C75:AG75" si="129">SUM(C63:C74)</f>
        <v>1666099</v>
      </c>
      <c r="D75" s="45">
        <f t="shared" si="129"/>
        <v>3754403</v>
      </c>
      <c r="E75" s="45">
        <f t="shared" si="129"/>
        <v>4301766</v>
      </c>
      <c r="F75" s="45">
        <f t="shared" si="129"/>
        <v>5496192</v>
      </c>
      <c r="G75" s="45">
        <f t="shared" si="129"/>
        <v>9254999</v>
      </c>
      <c r="H75" s="45">
        <f t="shared" si="129"/>
        <v>9775720</v>
      </c>
      <c r="I75" s="45">
        <f t="shared" si="129"/>
        <v>11160060</v>
      </c>
      <c r="J75" s="45">
        <f t="shared" si="129"/>
        <v>14750849</v>
      </c>
      <c r="K75" s="45">
        <f t="shared" si="129"/>
        <v>15220049</v>
      </c>
      <c r="L75" s="45">
        <f t="shared" si="129"/>
        <v>20127657</v>
      </c>
      <c r="M75" s="46">
        <f t="shared" si="129"/>
        <v>26560890</v>
      </c>
      <c r="N75" s="46">
        <f t="shared" si="129"/>
        <v>30258428</v>
      </c>
      <c r="O75" s="46">
        <f t="shared" si="129"/>
        <v>35240572.349977121</v>
      </c>
      <c r="P75" s="46">
        <f t="shared" si="129"/>
        <v>33136181.556652736</v>
      </c>
      <c r="Q75" s="46">
        <f t="shared" si="129"/>
        <v>36840386.598043106</v>
      </c>
      <c r="R75" s="46">
        <f t="shared" si="129"/>
        <v>42963347.065969147</v>
      </c>
      <c r="S75" s="46">
        <f t="shared" si="129"/>
        <v>45523468.50869254</v>
      </c>
      <c r="T75" s="46">
        <f t="shared" si="129"/>
        <v>49055098.520327285</v>
      </c>
      <c r="U75" s="46">
        <f t="shared" si="129"/>
        <v>53994325.767500877</v>
      </c>
      <c r="V75" s="46">
        <f t="shared" si="129"/>
        <v>57722499.776878312</v>
      </c>
      <c r="W75" s="46">
        <f t="shared" si="129"/>
        <v>64083316.548710629</v>
      </c>
      <c r="X75" s="46">
        <f t="shared" si="129"/>
        <v>67137810.558885813</v>
      </c>
      <c r="Y75" s="46">
        <f t="shared" si="129"/>
        <v>70395015.91452834</v>
      </c>
      <c r="Z75" s="46">
        <f t="shared" si="129"/>
        <v>74046468.43313542</v>
      </c>
      <c r="AA75" s="46">
        <f t="shared" si="129"/>
        <v>71391516.856638014</v>
      </c>
      <c r="AB75" s="46">
        <f t="shared" si="129"/>
        <v>75092484.758656934</v>
      </c>
      <c r="AC75" s="46">
        <f t="shared" si="129"/>
        <v>78888349.361413792</v>
      </c>
      <c r="AD75" s="46">
        <f t="shared" si="129"/>
        <v>80678554.628051654</v>
      </c>
      <c r="AE75" s="46">
        <f t="shared" si="129"/>
        <v>82668289.980982214</v>
      </c>
      <c r="AF75" s="46">
        <f t="shared" si="129"/>
        <v>80992749.624217585</v>
      </c>
      <c r="AG75" s="46">
        <f t="shared" si="129"/>
        <v>83083149.679168046</v>
      </c>
    </row>
    <row r="77" spans="1:49" ht="15" x14ac:dyDescent="0.25">
      <c r="A77" s="8" t="s">
        <v>153</v>
      </c>
      <c r="B77" s="8">
        <v>2011</v>
      </c>
      <c r="C77" s="8">
        <v>2012</v>
      </c>
      <c r="D77" s="8">
        <v>2013</v>
      </c>
      <c r="E77" s="8">
        <v>2014</v>
      </c>
      <c r="F77" s="8">
        <v>2015</v>
      </c>
      <c r="G77" s="8">
        <v>2016</v>
      </c>
      <c r="H77" s="8">
        <v>2017</v>
      </c>
      <c r="I77" s="8">
        <v>2018</v>
      </c>
      <c r="J77" s="8">
        <v>2019</v>
      </c>
      <c r="K77" s="8">
        <v>2020</v>
      </c>
      <c r="L77" s="8">
        <v>2021</v>
      </c>
      <c r="M77" s="8">
        <v>2022</v>
      </c>
      <c r="N77" s="8">
        <v>2023</v>
      </c>
      <c r="O77" s="8">
        <v>2024</v>
      </c>
      <c r="P77" s="8">
        <v>2025</v>
      </c>
      <c r="Q77" s="8">
        <v>2026</v>
      </c>
      <c r="R77" s="8">
        <v>2027</v>
      </c>
      <c r="S77" s="8">
        <v>2028</v>
      </c>
      <c r="T77" s="8">
        <v>2029</v>
      </c>
      <c r="U77" s="8">
        <v>2030</v>
      </c>
      <c r="V77" s="8">
        <v>2031</v>
      </c>
      <c r="W77" s="8">
        <v>2032</v>
      </c>
      <c r="X77" s="8">
        <v>2033</v>
      </c>
      <c r="Y77" s="8">
        <v>2034</v>
      </c>
      <c r="Z77" s="8">
        <v>2035</v>
      </c>
      <c r="AA77" s="8">
        <v>2036</v>
      </c>
      <c r="AB77" s="8">
        <v>2037</v>
      </c>
      <c r="AC77" s="8">
        <v>2038</v>
      </c>
      <c r="AD77" s="8">
        <v>2039</v>
      </c>
      <c r="AE77" s="8">
        <v>2040</v>
      </c>
      <c r="AF77" s="8">
        <v>2041</v>
      </c>
      <c r="AG77" s="8">
        <v>2042</v>
      </c>
    </row>
    <row r="78" spans="1:49" ht="15" x14ac:dyDescent="0.25">
      <c r="A78" s="9" t="s">
        <v>76</v>
      </c>
      <c r="B78" s="45">
        <f>SUM('Fuel Vol and Credit Gen'!C39:F39)/1000000</f>
        <v>13.652477587498922</v>
      </c>
      <c r="C78" s="45">
        <f>SUM('Fuel Vol and Credit Gen'!G39:J39)/1000000</f>
        <v>21.752274392212726</v>
      </c>
      <c r="D78" s="45">
        <f>SUM('Fuel Vol and Credit Gen'!K39:N39)/1000000</f>
        <v>65.227742387723396</v>
      </c>
      <c r="E78" s="45">
        <f>SUM('Fuel Vol and Credit Gen'!O39:R39)/1000000</f>
        <v>72.7380112965553</v>
      </c>
      <c r="F78" s="45">
        <f>SUM('Fuel Vol and Credit Gen'!S39:V39)/1000000</f>
        <v>137.69484042605544</v>
      </c>
      <c r="G78" s="45">
        <f>SUM('Fuel Vol and Credit Gen'!W39:Z39)/1000000</f>
        <v>177.87427224889925</v>
      </c>
      <c r="H78" s="45">
        <f>SUM('Fuel Vol and Credit Gen'!AA39:AD39)/1000000</f>
        <v>184.86281290088925</v>
      </c>
      <c r="I78" s="45">
        <f>SUM('Fuel Vol and Credit Gen'!AE39:AH39)/1000000</f>
        <v>200.82479688603991</v>
      </c>
      <c r="J78" s="45">
        <f>SUM('Fuel Vol and Credit Gen'!AI39:AL39)/1000000</f>
        <v>230.37974117119921</v>
      </c>
      <c r="K78" s="45">
        <f>SUM('Fuel Vol and Credit Gen'!AM39:AP39)/1000000</f>
        <v>290.13778418553056</v>
      </c>
      <c r="L78" s="45">
        <f t="shared" ref="L78:L83" si="130">SUM(AQ39:AT39)/1000000</f>
        <v>315.86584648536655</v>
      </c>
      <c r="M78" s="46">
        <f t="shared" ref="M78:M83" si="131">SUM(AU39:AX39)/1000000</f>
        <v>306.16602916092552</v>
      </c>
      <c r="N78" s="46">
        <f t="shared" ref="N78:N83" si="132">SUM(AY39:BB39)/1000000</f>
        <v>1315.422931817405</v>
      </c>
      <c r="O78" s="46">
        <f t="shared" ref="O78:O83" si="133">SUM(BC39:BF39)/1000000</f>
        <v>253.73777165049083</v>
      </c>
      <c r="P78" s="46">
        <f t="shared" ref="P78:P83" si="134">SUM(BG39:BJ39)/1000000</f>
        <v>258.62018828673968</v>
      </c>
      <c r="Q78" s="46">
        <f t="shared" ref="Q78:Q83" si="135">SUM(BK39:BN39)/1000000</f>
        <v>260.45728772759406</v>
      </c>
      <c r="R78" s="46">
        <f t="shared" ref="R78:R83" si="136">SUM(BO39:BR39)/1000000</f>
        <v>263.5381477679241</v>
      </c>
      <c r="S78" s="46">
        <f t="shared" ref="S78:S83" si="137">SUM(BS39:BV39)/1000000</f>
        <v>225.60916326172142</v>
      </c>
      <c r="T78" s="46">
        <f t="shared" ref="T78:T83" si="138">SUM(BW39:BZ39)/1000000</f>
        <v>242.05394084495907</v>
      </c>
      <c r="U78" s="46">
        <f t="shared" ref="U78:U83" si="139">SUM(CA39:CD39)/1000000</f>
        <v>260.03235574805933</v>
      </c>
      <c r="V78" s="46">
        <f t="shared" ref="V78:V83" si="140">SUM(CE39:CH39)/1000000</f>
        <v>255.9182865475542</v>
      </c>
      <c r="W78" s="46">
        <f t="shared" ref="W78:W83" si="141">SUM(CI39:CL39)/1000000</f>
        <v>258.81329062901267</v>
      </c>
      <c r="X78" s="46">
        <f t="shared" ref="X78:X83" si="142">SUM(CM39:CP39)/1000000</f>
        <v>257.13085742344612</v>
      </c>
      <c r="Y78" s="46">
        <f t="shared" ref="Y78:Y83" si="143">SUM(CQ39:CT39)/1000000</f>
        <v>256.76714721353574</v>
      </c>
      <c r="Z78" s="46">
        <f t="shared" ref="Z78:Z83" si="144">SUM(CU39:CX39)/1000000</f>
        <v>251.15313350616981</v>
      </c>
      <c r="AA78" s="46">
        <f t="shared" ref="AA78:AA83" si="145">SUM(CY39:DB39)/1000000</f>
        <v>238.42313866960927</v>
      </c>
      <c r="AB78" s="46">
        <f t="shared" ref="AB78:AB83" si="146">SUM(DC39:DF39)/1000000</f>
        <v>227.61391989913196</v>
      </c>
      <c r="AC78" s="46">
        <f t="shared" ref="AC78:AC83" si="147">SUM(DG39:DJ39)/1000000</f>
        <v>230.41639933169836</v>
      </c>
      <c r="AD78" s="46">
        <f t="shared" ref="AD78:AD83" si="148">SUM(DK39:DN39)/1000000</f>
        <v>224.11276792780129</v>
      </c>
      <c r="AE78" s="46">
        <f t="shared" ref="AE78:AE83" si="149">SUM(DO39:DR39)/1000000</f>
        <v>209.88272306098406</v>
      </c>
      <c r="AF78" s="46">
        <f t="shared" ref="AF78:AF83" si="150">SUM(DS39:DV39)/1000000</f>
        <v>388.65458097779378</v>
      </c>
      <c r="AG78" s="46">
        <f t="shared" ref="AG78:AG83" si="151">SUM(DW39:DZ39)/1000000</f>
        <v>388.65458097779378</v>
      </c>
    </row>
    <row r="79" spans="1:49" ht="15" x14ac:dyDescent="0.25">
      <c r="A79" s="9" t="s">
        <v>147</v>
      </c>
      <c r="B79" s="45">
        <f>SUM('Fuel Vol and Credit Gen'!C40:F40)/1000000</f>
        <v>1.8287560113096777</v>
      </c>
      <c r="C79" s="45">
        <f>SUM('Fuel Vol and Credit Gen'!G40:J40)/1000000</f>
        <v>1.8504746054562722</v>
      </c>
      <c r="D79" s="45">
        <f>SUM('Fuel Vol and Credit Gen'!K40:N40)/1000000</f>
        <v>11.883924109902443</v>
      </c>
      <c r="E79" s="45">
        <f>SUM('Fuel Vol and Credit Gen'!O40:R40)/1000000</f>
        <v>33.367026841837173</v>
      </c>
      <c r="F79" s="45">
        <f>SUM('Fuel Vol and Credit Gen'!S40:V40)/1000000</f>
        <v>77.098967152464823</v>
      </c>
      <c r="G79" s="45">
        <f>SUM('Fuel Vol and Credit Gen'!W40:Z40)/1000000</f>
        <v>103.61048747820081</v>
      </c>
      <c r="H79" s="45">
        <f>SUM('Fuel Vol and Credit Gen'!AA40:AD40)/1000000</f>
        <v>123.96765849305017</v>
      </c>
      <c r="I79" s="45">
        <f>SUM('Fuel Vol and Credit Gen'!AE40:AH40)/1000000</f>
        <v>139.17853502218767</v>
      </c>
      <c r="J79" s="45">
        <f>SUM('Fuel Vol and Credit Gen'!AI40:AL40)/1000000</f>
        <v>161.69648557877926</v>
      </c>
      <c r="K79" s="45">
        <f>SUM('Fuel Vol and Credit Gen'!AM40:AP40)/1000000</f>
        <v>175.98392830294398</v>
      </c>
      <c r="L79" s="45">
        <f t="shared" si="130"/>
        <v>202.64662550746786</v>
      </c>
      <c r="M79" s="46">
        <f t="shared" si="131"/>
        <v>221.10873657325391</v>
      </c>
      <c r="N79" s="46">
        <f t="shared" si="132"/>
        <v>235.78701763524134</v>
      </c>
      <c r="O79" s="46">
        <f t="shared" si="133"/>
        <v>244.64923610981612</v>
      </c>
      <c r="P79" s="46">
        <f t="shared" si="134"/>
        <v>221.10873657325391</v>
      </c>
      <c r="Q79" s="46">
        <f t="shared" si="135"/>
        <v>221.10873657325391</v>
      </c>
      <c r="R79" s="46">
        <f t="shared" si="136"/>
        <v>221.10873657325391</v>
      </c>
      <c r="S79" s="46">
        <f t="shared" si="137"/>
        <v>221.10873657325391</v>
      </c>
      <c r="T79" s="46">
        <f t="shared" si="138"/>
        <v>221.10873657325391</v>
      </c>
      <c r="U79" s="46">
        <f t="shared" si="139"/>
        <v>221.10873657325391</v>
      </c>
      <c r="V79" s="46">
        <f t="shared" si="140"/>
        <v>221.10873657325391</v>
      </c>
      <c r="W79" s="46">
        <f t="shared" si="141"/>
        <v>221.10873657325391</v>
      </c>
      <c r="X79" s="46">
        <f t="shared" si="142"/>
        <v>221.10873657325391</v>
      </c>
      <c r="Y79" s="46">
        <f t="shared" si="143"/>
        <v>221.10873657325391</v>
      </c>
      <c r="Z79" s="46">
        <f t="shared" si="144"/>
        <v>221.10873657325391</v>
      </c>
      <c r="AA79" s="46">
        <f t="shared" si="145"/>
        <v>221.10873657325391</v>
      </c>
      <c r="AB79" s="46">
        <f t="shared" si="146"/>
        <v>221.10873657325391</v>
      </c>
      <c r="AC79" s="46">
        <f t="shared" si="147"/>
        <v>221.10873657325391</v>
      </c>
      <c r="AD79" s="46">
        <f t="shared" si="148"/>
        <v>221.10873657325391</v>
      </c>
      <c r="AE79" s="46">
        <f t="shared" si="149"/>
        <v>221.10873657325391</v>
      </c>
      <c r="AF79" s="46">
        <f t="shared" si="150"/>
        <v>221.10873657325391</v>
      </c>
      <c r="AG79" s="46">
        <f t="shared" si="151"/>
        <v>223.19060684822585</v>
      </c>
    </row>
    <row r="80" spans="1:49" ht="15" x14ac:dyDescent="0.25">
      <c r="A80" s="9" t="s">
        <v>148</v>
      </c>
      <c r="B80" s="45">
        <f>SUM('Fuel Vol and Credit Gen'!C41:F41)/1000000</f>
        <v>85.217063730208068</v>
      </c>
      <c r="C80" s="45">
        <f>SUM('Fuel Vol and Credit Gen'!G41:J41)/1000000</f>
        <v>98.171972953552626</v>
      </c>
      <c r="D80" s="45">
        <f>SUM('Fuel Vol and Credit Gen'!K41:N41)/1000000</f>
        <v>103.45937561124063</v>
      </c>
      <c r="E80" s="45">
        <f>SUM('Fuel Vol and Credit Gen'!O41:R41)/1000000</f>
        <v>112.37210595407063</v>
      </c>
      <c r="F80" s="45">
        <f>SUM('Fuel Vol and Credit Gen'!S41:V41)/1000000</f>
        <v>83.468989718898385</v>
      </c>
      <c r="G80" s="45">
        <f>SUM('Fuel Vol and Credit Gen'!W41:Z41)/1000000</f>
        <v>65.285556496158165</v>
      </c>
      <c r="H80" s="45">
        <f>SUM('Fuel Vol and Credit Gen'!AA41:AD41)/1000000</f>
        <v>59.257889697056029</v>
      </c>
      <c r="I80" s="45">
        <f>SUM('Fuel Vol and Credit Gen'!AE41:AH41)/1000000</f>
        <v>55.915202093671766</v>
      </c>
      <c r="J80" s="45">
        <f>SUM('Fuel Vol and Credit Gen'!AI41:AL41)/1000000</f>
        <v>47.213652224725898</v>
      </c>
      <c r="K80" s="45">
        <f>SUM('Fuel Vol and Credit Gen'!AM41:AP41)/1000000</f>
        <v>14.674661296296295</v>
      </c>
      <c r="L80" s="45">
        <f t="shared" si="130"/>
        <v>4.787474473020807</v>
      </c>
      <c r="M80" s="46">
        <f t="shared" si="131"/>
        <v>8.1161984645601315</v>
      </c>
      <c r="N80" s="46">
        <f t="shared" si="132"/>
        <v>7.887650545281879</v>
      </c>
      <c r="O80" s="46">
        <f t="shared" si="133"/>
        <v>2.6103097969568214</v>
      </c>
      <c r="P80" s="46">
        <f t="shared" si="134"/>
        <v>2.3155159257378637</v>
      </c>
      <c r="Q80" s="46">
        <f t="shared" si="135"/>
        <v>4.2548261693183944</v>
      </c>
      <c r="R80" s="46">
        <f t="shared" si="136"/>
        <v>5.3364321184282728</v>
      </c>
      <c r="S80" s="46">
        <f t="shared" si="137"/>
        <v>6.7551368353202967</v>
      </c>
      <c r="T80" s="46">
        <f t="shared" si="138"/>
        <v>8.0545416181308447</v>
      </c>
      <c r="U80" s="46">
        <f t="shared" si="139"/>
        <v>7.3355786028577246</v>
      </c>
      <c r="V80" s="46">
        <f t="shared" si="140"/>
        <v>7.293636070494907</v>
      </c>
      <c r="W80" s="46">
        <f t="shared" si="141"/>
        <v>7.4702432063887061</v>
      </c>
      <c r="X80" s="46">
        <f t="shared" si="142"/>
        <v>7.8229934314018683</v>
      </c>
      <c r="Y80" s="46">
        <f t="shared" si="143"/>
        <v>8.2317697648299042</v>
      </c>
      <c r="Z80" s="46">
        <f t="shared" si="144"/>
        <v>8.5645208833931736</v>
      </c>
      <c r="AA80" s="46">
        <f t="shared" si="145"/>
        <v>8.88529170884709</v>
      </c>
      <c r="AB80" s="46">
        <f t="shared" si="146"/>
        <v>9.2106709960505633</v>
      </c>
      <c r="AC80" s="46">
        <f t="shared" si="147"/>
        <v>9.5308561372938669</v>
      </c>
      <c r="AD80" s="46">
        <f t="shared" si="148"/>
        <v>9.8166338129812125</v>
      </c>
      <c r="AE80" s="46">
        <f t="shared" si="149"/>
        <v>10.127187903483383</v>
      </c>
      <c r="AF80" s="46">
        <f t="shared" si="150"/>
        <v>10.440825449728104</v>
      </c>
      <c r="AG80" s="46">
        <f t="shared" si="151"/>
        <v>10.758479701143711</v>
      </c>
    </row>
    <row r="81" spans="1:166" ht="15" x14ac:dyDescent="0.25">
      <c r="A81" s="9" t="s">
        <v>124</v>
      </c>
      <c r="B81" s="45">
        <f>SUM('Fuel Vol and Credit Gen'!C42:F42)/1000000</f>
        <v>0.374697</v>
      </c>
      <c r="C81" s="45">
        <f>SUM('Fuel Vol and Credit Gen'!G42:J42)/1000000</f>
        <v>1.3154699999999999</v>
      </c>
      <c r="D81" s="45">
        <f>SUM('Fuel Vol and Credit Gen'!K42:N42)/1000000</f>
        <v>3.5998860000000001</v>
      </c>
      <c r="E81" s="45">
        <f>SUM('Fuel Vol and Credit Gen'!O42:R42)/1000000</f>
        <v>8.4526679999999992</v>
      </c>
      <c r="F81" s="45">
        <f>SUM('Fuel Vol and Credit Gen'!S42:V42)/1000000</f>
        <v>12.975826</v>
      </c>
      <c r="G81" s="45">
        <f>SUM('Fuel Vol and Credit Gen'!W42:Z42)/1000000</f>
        <v>60.213889999999999</v>
      </c>
      <c r="H81" s="45">
        <f>SUM('Fuel Vol and Credit Gen'!AA42:AD42)/1000000</f>
        <v>75.181203999999994</v>
      </c>
      <c r="I81" s="45">
        <f>SUM('Fuel Vol and Credit Gen'!AE42:AH42)/1000000</f>
        <v>109.004857</v>
      </c>
      <c r="J81" s="45">
        <f>SUM('Fuel Vol and Credit Gen'!AI42:AL42)/1000000</f>
        <v>122.832708</v>
      </c>
      <c r="K81" s="45">
        <f>SUM('Fuel Vol and Credit Gen'!AM42:AP42)/1000000</f>
        <v>105.35299500000001</v>
      </c>
      <c r="L81" s="45">
        <f t="shared" si="130"/>
        <v>153.4648</v>
      </c>
      <c r="M81" s="46">
        <f t="shared" si="131"/>
        <v>218.94503749742196</v>
      </c>
      <c r="N81" s="46">
        <f t="shared" si="132"/>
        <v>860.37804300000005</v>
      </c>
      <c r="O81" s="46">
        <f t="shared" si="133"/>
        <v>316.15991802849067</v>
      </c>
      <c r="P81" s="46">
        <f t="shared" si="134"/>
        <v>342.83778126627567</v>
      </c>
      <c r="Q81" s="46">
        <f t="shared" si="135"/>
        <v>411.47688405280803</v>
      </c>
      <c r="R81" s="46">
        <f t="shared" si="136"/>
        <v>479.03212374492801</v>
      </c>
      <c r="S81" s="46">
        <f t="shared" si="137"/>
        <v>546.59412898555161</v>
      </c>
      <c r="T81" s="46">
        <f t="shared" si="138"/>
        <v>615.49479312440633</v>
      </c>
      <c r="U81" s="46">
        <f t="shared" si="139"/>
        <v>684.10158279269569</v>
      </c>
      <c r="V81" s="46">
        <f t="shared" si="140"/>
        <v>752.15778985888323</v>
      </c>
      <c r="W81" s="46">
        <f t="shared" si="141"/>
        <v>819.862537206762</v>
      </c>
      <c r="X81" s="46">
        <f t="shared" si="142"/>
        <v>888.50041526579287</v>
      </c>
      <c r="Y81" s="46">
        <f t="shared" si="143"/>
        <v>956.20087051717996</v>
      </c>
      <c r="Z81" s="46">
        <f t="shared" si="144"/>
        <v>1024.1089967816097</v>
      </c>
      <c r="AA81" s="46">
        <f t="shared" si="145"/>
        <v>1092.8422664468007</v>
      </c>
      <c r="AB81" s="46">
        <f t="shared" si="146"/>
        <v>1160.973748689609</v>
      </c>
      <c r="AC81" s="46">
        <f t="shared" si="147"/>
        <v>1228.7335622733312</v>
      </c>
      <c r="AD81" s="46">
        <f t="shared" si="148"/>
        <v>1296.6738554166502</v>
      </c>
      <c r="AE81" s="46">
        <f t="shared" si="149"/>
        <v>1365.9967759012095</v>
      </c>
      <c r="AF81" s="46">
        <f t="shared" si="150"/>
        <v>1433.3174806607904</v>
      </c>
      <c r="AG81" s="46">
        <f t="shared" si="151"/>
        <v>1501.3120627235946</v>
      </c>
    </row>
    <row r="82" spans="1:166" ht="15" x14ac:dyDescent="0.25">
      <c r="A82" s="9" t="s">
        <v>75</v>
      </c>
      <c r="B82" s="45">
        <f>SUM('Fuel Vol and Credit Gen'!C43:F43)/1000000</f>
        <v>1048.6268945185186</v>
      </c>
      <c r="C82" s="45">
        <f>SUM('Fuel Vol and Credit Gen'!G43:J43)/1000000</f>
        <v>1037.6098402222224</v>
      </c>
      <c r="D82" s="45">
        <f>SUM('Fuel Vol and Credit Gen'!K43:N43)/1000000</f>
        <v>1040.6926071111111</v>
      </c>
      <c r="E82" s="45">
        <f>SUM('Fuel Vol and Credit Gen'!O43:R43)/1000000</f>
        <v>1044.8973345555555</v>
      </c>
      <c r="F82" s="45">
        <f>SUM('Fuel Vol and Credit Gen'!S43:V43)/1000000</f>
        <v>1055.010741111111</v>
      </c>
      <c r="G82" s="45">
        <f>SUM('Fuel Vol and Credit Gen'!W43:Z43)/1000000</f>
        <v>1124.2193079259259</v>
      </c>
      <c r="H82" s="45">
        <f>SUM('Fuel Vol and Credit Gen'!AA43:AD43)/1000000</f>
        <v>1108.3040585555557</v>
      </c>
      <c r="I82" s="45">
        <f>SUM('Fuel Vol and Credit Gen'!AE43:AH43)/1000000</f>
        <v>1126.529636851852</v>
      </c>
      <c r="J82" s="45">
        <f>SUM('Fuel Vol and Credit Gen'!AI43:AL43)/1000000</f>
        <v>1095.9478990370371</v>
      </c>
      <c r="K82" s="45">
        <f>SUM('Fuel Vol and Credit Gen'!AM43:AP43)/1000000</f>
        <v>914.15321581481476</v>
      </c>
      <c r="L82" s="45">
        <f t="shared" si="130"/>
        <v>999.85651651851845</v>
      </c>
      <c r="M82" s="46">
        <f t="shared" si="131"/>
        <v>1025.0633985185186</v>
      </c>
      <c r="N82" s="46">
        <f t="shared" si="132"/>
        <v>552.04893933333324</v>
      </c>
      <c r="O82" s="46">
        <f t="shared" si="133"/>
        <v>1009.2241259259258</v>
      </c>
      <c r="P82" s="46">
        <f t="shared" si="134"/>
        <v>1025.0633985185186</v>
      </c>
      <c r="Q82" s="46">
        <f t="shared" si="135"/>
        <v>1025.0633985185186</v>
      </c>
      <c r="R82" s="46">
        <f t="shared" si="136"/>
        <v>1025.0633985185186</v>
      </c>
      <c r="S82" s="46">
        <f t="shared" si="137"/>
        <v>1025.0633985185186</v>
      </c>
      <c r="T82" s="46">
        <f t="shared" si="138"/>
        <v>1025.0633985185186</v>
      </c>
      <c r="U82" s="46">
        <f t="shared" si="139"/>
        <v>1025.0633985185186</v>
      </c>
      <c r="V82" s="46">
        <f t="shared" si="140"/>
        <v>1025.0633985185186</v>
      </c>
      <c r="W82" s="46">
        <f t="shared" si="141"/>
        <v>1025.0633985185186</v>
      </c>
      <c r="X82" s="46">
        <f t="shared" si="142"/>
        <v>1025.0633985185186</v>
      </c>
      <c r="Y82" s="46">
        <f t="shared" si="143"/>
        <v>1025.0633985185186</v>
      </c>
      <c r="Z82" s="46">
        <f t="shared" si="144"/>
        <v>1025.0633985185186</v>
      </c>
      <c r="AA82" s="46">
        <f t="shared" si="145"/>
        <v>1025.0633985185186</v>
      </c>
      <c r="AB82" s="46">
        <f t="shared" si="146"/>
        <v>1025.0633985185186</v>
      </c>
      <c r="AC82" s="46">
        <f t="shared" si="147"/>
        <v>1025.0633985185186</v>
      </c>
      <c r="AD82" s="46">
        <f t="shared" si="148"/>
        <v>1025.0633985185186</v>
      </c>
      <c r="AE82" s="46">
        <f t="shared" si="149"/>
        <v>1025.0633985185186</v>
      </c>
      <c r="AF82" s="46">
        <f t="shared" si="150"/>
        <v>1025.0633985185186</v>
      </c>
      <c r="AG82" s="46">
        <f t="shared" si="151"/>
        <v>1044.8197301111111</v>
      </c>
    </row>
    <row r="83" spans="1:166" ht="15" x14ac:dyDescent="0.25">
      <c r="A83" s="9" t="s">
        <v>77</v>
      </c>
      <c r="B83" s="45">
        <f>SUM('Fuel Vol and Credit Gen'!C44:F44)/1000000</f>
        <v>2.0186671777605114</v>
      </c>
      <c r="C83" s="45">
        <f>SUM('Fuel Vol and Credit Gen'!G44:J44)/1000000</f>
        <v>9.8666381123197784</v>
      </c>
      <c r="D83" s="45">
        <f>SUM('Fuel Vol and Credit Gen'!K44:N44)/1000000</f>
        <v>130.8913425045325</v>
      </c>
      <c r="E83" s="45">
        <f>SUM('Fuel Vol and Credit Gen'!O44:R44)/1000000</f>
        <v>126.30870470387637</v>
      </c>
      <c r="F83" s="45">
        <f>SUM('Fuel Vol and Credit Gen'!S44:V44)/1000000</f>
        <v>184.86114972589141</v>
      </c>
      <c r="G83" s="45">
        <f>SUM('Fuel Vol and Credit Gen'!W44:Z44)/1000000</f>
        <v>286.17599503626002</v>
      </c>
      <c r="H83" s="45">
        <f>SUM('Fuel Vol and Credit Gen'!AA44:AD44)/1000000</f>
        <v>375.48958544504882</v>
      </c>
      <c r="I83" s="45">
        <f>SUM('Fuel Vol and Credit Gen'!AE44:AH44)/1000000</f>
        <v>429.33038739057235</v>
      </c>
      <c r="J83" s="45">
        <f>SUM('Fuel Vol and Credit Gen'!AI44:AL44)/1000000</f>
        <v>691.61238999827333</v>
      </c>
      <c r="K83" s="45">
        <f>SUM('Fuel Vol and Credit Gen'!AM44:AP44)/1000000</f>
        <v>659.2654156880775</v>
      </c>
      <c r="L83" s="45">
        <f t="shared" si="130"/>
        <v>1053.2809877061211</v>
      </c>
      <c r="M83" s="46">
        <f t="shared" si="131"/>
        <v>1560.3727397176899</v>
      </c>
      <c r="N83" s="46">
        <f t="shared" si="132"/>
        <v>1004.4969387132006</v>
      </c>
      <c r="O83" s="46">
        <f t="shared" si="133"/>
        <v>2626.5293760949994</v>
      </c>
      <c r="P83" s="46">
        <f t="shared" si="134"/>
        <v>2240.952273389044</v>
      </c>
      <c r="Q83" s="46">
        <f t="shared" si="135"/>
        <v>2252.0355945375509</v>
      </c>
      <c r="R83" s="46">
        <f t="shared" si="136"/>
        <v>2433.9102825824848</v>
      </c>
      <c r="S83" s="46">
        <f t="shared" si="137"/>
        <v>2293.3005289553771</v>
      </c>
      <c r="T83" s="46">
        <f t="shared" si="138"/>
        <v>2308.308482301692</v>
      </c>
      <c r="U83" s="46">
        <f t="shared" si="139"/>
        <v>2388.5918589296657</v>
      </c>
      <c r="V83" s="46">
        <f t="shared" si="140"/>
        <v>2518.1699067217942</v>
      </c>
      <c r="W83" s="46">
        <f t="shared" si="141"/>
        <v>2808.7498172862147</v>
      </c>
      <c r="X83" s="46">
        <f t="shared" si="142"/>
        <v>2811.0590682493093</v>
      </c>
      <c r="Y83" s="46">
        <f t="shared" si="143"/>
        <v>2753.5593709174282</v>
      </c>
      <c r="Z83" s="46">
        <f t="shared" si="144"/>
        <v>2945.0987818883955</v>
      </c>
      <c r="AA83" s="46">
        <f t="shared" si="145"/>
        <v>3058.8909158022243</v>
      </c>
      <c r="AB83" s="46">
        <f t="shared" si="146"/>
        <v>3340.4912424775061</v>
      </c>
      <c r="AC83" s="46">
        <f t="shared" si="147"/>
        <v>3590.1545222883478</v>
      </c>
      <c r="AD83" s="46">
        <f t="shared" si="148"/>
        <v>3599.2040751147283</v>
      </c>
      <c r="AE83" s="46">
        <f t="shared" si="149"/>
        <v>3274.3393612642544</v>
      </c>
      <c r="AF83" s="46">
        <f t="shared" si="150"/>
        <v>4578.2597253720014</v>
      </c>
      <c r="AG83" s="46">
        <f t="shared" si="151"/>
        <v>4578.2597253720014</v>
      </c>
    </row>
    <row r="84" spans="1:166" x14ac:dyDescent="0.2">
      <c r="B84" s="45"/>
      <c r="C84" s="45"/>
      <c r="D84" s="45"/>
      <c r="E84" s="45"/>
      <c r="F84" s="45"/>
      <c r="G84" s="45"/>
      <c r="H84" s="45"/>
      <c r="I84" s="45"/>
      <c r="J84" s="45"/>
      <c r="K84" s="45"/>
      <c r="L84" s="45"/>
      <c r="M84" s="45"/>
      <c r="N84" s="45"/>
      <c r="O84" s="45"/>
      <c r="P84" s="45"/>
      <c r="Q84" s="45"/>
      <c r="R84" s="45"/>
      <c r="S84" s="45"/>
      <c r="T84" s="45"/>
      <c r="U84" s="45"/>
      <c r="V84" s="45"/>
      <c r="W84" s="45"/>
      <c r="X84" s="45"/>
      <c r="Y84" s="45"/>
      <c r="Z84" s="45"/>
      <c r="AA84" s="45"/>
      <c r="AB84" s="45"/>
      <c r="AC84" s="45"/>
      <c r="AD84" s="45"/>
      <c r="AE84" s="45"/>
      <c r="AF84" s="45"/>
      <c r="AG84" s="45"/>
    </row>
    <row r="85" spans="1:166" ht="15" x14ac:dyDescent="0.25">
      <c r="A85" s="8" t="s">
        <v>154</v>
      </c>
      <c r="B85" s="8">
        <v>2011</v>
      </c>
      <c r="C85" s="8">
        <v>2012</v>
      </c>
      <c r="D85" s="8">
        <v>2013</v>
      </c>
      <c r="E85" s="8">
        <v>2014</v>
      </c>
      <c r="F85" s="8">
        <v>2015</v>
      </c>
      <c r="G85" s="8">
        <v>2016</v>
      </c>
      <c r="H85" s="8">
        <v>2017</v>
      </c>
      <c r="I85" s="8">
        <v>2018</v>
      </c>
      <c r="J85" s="8">
        <v>2019</v>
      </c>
      <c r="K85" s="8">
        <v>2020</v>
      </c>
      <c r="L85" s="8">
        <v>2021</v>
      </c>
      <c r="M85" s="8">
        <v>2022</v>
      </c>
      <c r="N85" s="8">
        <v>2023</v>
      </c>
      <c r="O85" s="8">
        <v>2024</v>
      </c>
      <c r="P85" s="8">
        <v>2025</v>
      </c>
      <c r="Q85" s="8">
        <v>2026</v>
      </c>
      <c r="R85" s="8">
        <v>2027</v>
      </c>
      <c r="S85" s="8">
        <v>2028</v>
      </c>
      <c r="T85" s="8">
        <v>2029</v>
      </c>
      <c r="U85" s="8">
        <v>2030</v>
      </c>
      <c r="V85" s="8">
        <v>2031</v>
      </c>
      <c r="W85" s="8">
        <v>2032</v>
      </c>
      <c r="X85" s="8">
        <v>2033</v>
      </c>
      <c r="Y85" s="8">
        <v>2034</v>
      </c>
      <c r="Z85" s="8">
        <v>2035</v>
      </c>
      <c r="AA85" s="8">
        <v>2036</v>
      </c>
      <c r="AB85" s="8">
        <v>2037</v>
      </c>
      <c r="AC85" s="8">
        <v>2038</v>
      </c>
      <c r="AD85" s="8">
        <v>2039</v>
      </c>
      <c r="AE85" s="8">
        <v>2040</v>
      </c>
      <c r="AF85" s="8">
        <v>2041</v>
      </c>
      <c r="AG85" s="8">
        <v>2042</v>
      </c>
    </row>
    <row r="86" spans="1:166" ht="15" x14ac:dyDescent="0.25">
      <c r="A86" s="9" t="s">
        <v>76</v>
      </c>
      <c r="B86" s="53">
        <f t="shared" ref="B86:J86" si="152">SUM(B70)/1000000</f>
        <v>8.4266999999999995E-2</v>
      </c>
      <c r="C86" s="53">
        <f t="shared" si="152"/>
        <v>0.14934700000000001</v>
      </c>
      <c r="D86" s="53">
        <f t="shared" si="152"/>
        <v>0.56667000000000001</v>
      </c>
      <c r="E86" s="53">
        <f t="shared" si="152"/>
        <v>0.71799999999999997</v>
      </c>
      <c r="F86" s="53">
        <f t="shared" si="152"/>
        <v>1.21391</v>
      </c>
      <c r="G86" s="53">
        <f t="shared" si="152"/>
        <v>1.736783</v>
      </c>
      <c r="H86" s="53">
        <f t="shared" si="152"/>
        <v>1.379739</v>
      </c>
      <c r="I86" s="53">
        <f t="shared" si="152"/>
        <v>1.606554</v>
      </c>
      <c r="J86" s="53">
        <f t="shared" si="152"/>
        <v>1.8310900000000001</v>
      </c>
      <c r="K86" s="53">
        <f>SUM(K70)/1000000</f>
        <v>2.213327</v>
      </c>
      <c r="L86" s="53">
        <f t="shared" ref="L86:AG86" si="153">L70/1000000</f>
        <v>2.3105989999999998</v>
      </c>
      <c r="M86" s="54">
        <f t="shared" si="153"/>
        <v>2.204548</v>
      </c>
      <c r="N86" s="54">
        <f t="shared" si="153"/>
        <v>1.9702</v>
      </c>
      <c r="O86" s="54">
        <f t="shared" si="153"/>
        <v>1.786713890653161</v>
      </c>
      <c r="P86" s="54">
        <f t="shared" si="153"/>
        <v>1.9196466842864395</v>
      </c>
      <c r="Q86" s="54">
        <f t="shared" si="153"/>
        <v>1.9278661479589423</v>
      </c>
      <c r="R86" s="54">
        <f t="shared" si="153"/>
        <v>1.9311317244823833</v>
      </c>
      <c r="S86" s="54">
        <f t="shared" si="153"/>
        <v>1.6678756840976174</v>
      </c>
      <c r="T86" s="54">
        <f t="shared" si="153"/>
        <v>1.769834440810311</v>
      </c>
      <c r="U86" s="54">
        <f t="shared" si="153"/>
        <v>1.8772203228203568</v>
      </c>
      <c r="V86" s="54">
        <f t="shared" si="153"/>
        <v>1.8639262672604537</v>
      </c>
      <c r="W86" s="54">
        <f t="shared" si="153"/>
        <v>1.8912449791386534</v>
      </c>
      <c r="X86" s="54">
        <f t="shared" si="153"/>
        <v>1.8779479629540694</v>
      </c>
      <c r="Y86" s="54">
        <f t="shared" si="153"/>
        <v>1.8711436838098388</v>
      </c>
      <c r="Z86" s="54">
        <f t="shared" si="153"/>
        <v>1.8329221891563117</v>
      </c>
      <c r="AA86" s="54">
        <f t="shared" si="153"/>
        <v>1.7538000634763027</v>
      </c>
      <c r="AB86" s="54">
        <f t="shared" si="153"/>
        <v>1.686660258089355</v>
      </c>
      <c r="AC86" s="54">
        <f t="shared" si="153"/>
        <v>1.7057888986978269</v>
      </c>
      <c r="AD86" s="54">
        <f t="shared" si="153"/>
        <v>1.6664744796270077</v>
      </c>
      <c r="AE86" s="54">
        <f t="shared" si="153"/>
        <v>1.7028289852787617</v>
      </c>
      <c r="AF86" s="54">
        <f t="shared" si="153"/>
        <v>2.6690383344082735</v>
      </c>
      <c r="AG86" s="54">
        <f t="shared" si="153"/>
        <v>2.6691431642157641</v>
      </c>
    </row>
    <row r="87" spans="1:166" ht="15" x14ac:dyDescent="0.25">
      <c r="A87" s="9" t="s">
        <v>147</v>
      </c>
      <c r="B87" s="53">
        <f t="shared" ref="B87:J87" si="154">SUM(B63:B64)/1000000</f>
        <v>1.4715000000000001E-2</v>
      </c>
      <c r="C87" s="53">
        <f t="shared" si="154"/>
        <v>1.4845000000000001E-2</v>
      </c>
      <c r="D87" s="53">
        <f t="shared" si="154"/>
        <v>9.8117999999999997E-2</v>
      </c>
      <c r="E87" s="53">
        <f t="shared" si="154"/>
        <v>0.23955799999999999</v>
      </c>
      <c r="F87" s="53">
        <f t="shared" si="154"/>
        <v>0.57595200000000002</v>
      </c>
      <c r="G87" s="53">
        <f t="shared" si="154"/>
        <v>0.68265500000000001</v>
      </c>
      <c r="H87" s="53">
        <f t="shared" si="154"/>
        <v>0.68098499999999995</v>
      </c>
      <c r="I87" s="53">
        <f t="shared" si="154"/>
        <v>0.75128799999999996</v>
      </c>
      <c r="J87" s="53">
        <f t="shared" si="154"/>
        <v>0.93679199999999996</v>
      </c>
      <c r="K87" s="53">
        <f>SUM(K63:K64)/1000000</f>
        <v>1.6647069999999999</v>
      </c>
      <c r="L87" s="53">
        <f t="shared" ref="L87:AG87" si="155">SUM(L63:L64)/1000000</f>
        <v>2.7870840000000001</v>
      </c>
      <c r="M87" s="54">
        <f t="shared" si="155"/>
        <v>4.3450790000000001</v>
      </c>
      <c r="N87" s="54">
        <f t="shared" si="155"/>
        <v>5.3255220000000003</v>
      </c>
      <c r="O87" s="54">
        <f t="shared" si="155"/>
        <v>6.6981704057172688</v>
      </c>
      <c r="P87" s="54">
        <f t="shared" si="155"/>
        <v>4.5696412767719368</v>
      </c>
      <c r="Q87" s="54">
        <f t="shared" si="155"/>
        <v>4.5661805153712587</v>
      </c>
      <c r="R87" s="54">
        <f t="shared" si="155"/>
        <v>4.5518462119462022</v>
      </c>
      <c r="S87" s="54">
        <f t="shared" si="155"/>
        <v>4.4837077201998481</v>
      </c>
      <c r="T87" s="54">
        <f t="shared" si="155"/>
        <v>4.4544884026180673</v>
      </c>
      <c r="U87" s="54">
        <f t="shared" si="155"/>
        <v>4.4963987581570617</v>
      </c>
      <c r="V87" s="54">
        <f t="shared" si="155"/>
        <v>4.5378183733099942</v>
      </c>
      <c r="W87" s="54">
        <f t="shared" si="155"/>
        <v>4.4975923883026008</v>
      </c>
      <c r="X87" s="54">
        <f t="shared" si="155"/>
        <v>4.51285732749795</v>
      </c>
      <c r="Y87" s="54">
        <f t="shared" si="155"/>
        <v>4.5050515662195698</v>
      </c>
      <c r="Z87" s="54">
        <f t="shared" si="155"/>
        <v>4.4986047722087754</v>
      </c>
      <c r="AA87" s="54">
        <f t="shared" si="155"/>
        <v>4.5002977489203388</v>
      </c>
      <c r="AB87" s="54">
        <f t="shared" si="155"/>
        <v>4.5069929724819335</v>
      </c>
      <c r="AC87" s="54">
        <f t="shared" si="155"/>
        <v>4.5086001174516541</v>
      </c>
      <c r="AD87" s="54">
        <f t="shared" si="155"/>
        <v>4.5042895168740191</v>
      </c>
      <c r="AE87" s="54">
        <f t="shared" si="155"/>
        <v>4.505303394433791</v>
      </c>
      <c r="AF87" s="54">
        <f t="shared" si="155"/>
        <v>4.5042100062644588</v>
      </c>
      <c r="AG87" s="54">
        <f t="shared" si="155"/>
        <v>4.5995067095065716</v>
      </c>
    </row>
    <row r="88" spans="1:166" ht="15" x14ac:dyDescent="0.25">
      <c r="A88" s="9" t="s">
        <v>148</v>
      </c>
      <c r="B88" s="53">
        <f t="shared" ref="B88:AG88" si="156">SUM(B65:B66)/1000000</f>
        <v>0.16439000000000001</v>
      </c>
      <c r="C88" s="53">
        <f t="shared" si="156"/>
        <v>0.18317</v>
      </c>
      <c r="D88" s="53">
        <f t="shared" si="156"/>
        <v>0.221855</v>
      </c>
      <c r="E88" s="53">
        <f t="shared" si="156"/>
        <v>0.24701600000000001</v>
      </c>
      <c r="F88" s="53">
        <f t="shared" si="156"/>
        <v>0.205591</v>
      </c>
      <c r="G88" s="53">
        <f t="shared" si="156"/>
        <v>0.17019100000000001</v>
      </c>
      <c r="H88" s="53">
        <f t="shared" si="156"/>
        <v>5.8493999999999997E-2</v>
      </c>
      <c r="I88" s="53">
        <f t="shared" si="156"/>
        <v>5.8775000000000001E-2</v>
      </c>
      <c r="J88" s="53">
        <f t="shared" si="156"/>
        <v>3.0851E-2</v>
      </c>
      <c r="K88" s="53">
        <f t="shared" si="156"/>
        <v>8.1930000000000006E-3</v>
      </c>
      <c r="L88" s="53">
        <f t="shared" si="156"/>
        <v>2.447E-3</v>
      </c>
      <c r="M88" s="54">
        <f t="shared" si="156"/>
        <v>2.542E-3</v>
      </c>
      <c r="N88" s="54">
        <f t="shared" si="156"/>
        <v>1.6360000000000001E-3</v>
      </c>
      <c r="O88" s="54">
        <f t="shared" si="156"/>
        <v>4.46E-4</v>
      </c>
      <c r="P88" s="54">
        <f t="shared" si="156"/>
        <v>0</v>
      </c>
      <c r="Q88" s="54">
        <f t="shared" si="156"/>
        <v>9.5145180376718244E-4</v>
      </c>
      <c r="R88" s="54">
        <f t="shared" si="156"/>
        <v>1.7822624302666827E-3</v>
      </c>
      <c r="S88" s="54">
        <f t="shared" si="156"/>
        <v>2.0845569861629738E-3</v>
      </c>
      <c r="T88" s="54">
        <f t="shared" si="156"/>
        <v>2.1381733395403617E-3</v>
      </c>
      <c r="U88" s="54">
        <f t="shared" si="156"/>
        <v>1.9049874051198022E-3</v>
      </c>
      <c r="V88" s="54">
        <f t="shared" si="156"/>
        <v>2.0554166939706201E-3</v>
      </c>
      <c r="W88" s="54">
        <f t="shared" si="156"/>
        <v>2.1826509445217307E-3</v>
      </c>
      <c r="X88" s="54">
        <f t="shared" si="156"/>
        <v>2.2482596060847903E-3</v>
      </c>
      <c r="Y88" s="54">
        <f t="shared" si="156"/>
        <v>2.2457785435948444E-3</v>
      </c>
      <c r="Z88" s="54">
        <f t="shared" si="156"/>
        <v>2.2885708618348368E-3</v>
      </c>
      <c r="AA88" s="54">
        <f t="shared" si="156"/>
        <v>2.4108053737565602E-3</v>
      </c>
      <c r="AB88" s="54">
        <f t="shared" si="156"/>
        <v>2.495938943306806E-3</v>
      </c>
      <c r="AC88" s="54">
        <f t="shared" si="156"/>
        <v>2.5518842678817037E-3</v>
      </c>
      <c r="AD88" s="54">
        <f t="shared" si="156"/>
        <v>2.5987395760387702E-3</v>
      </c>
      <c r="AE88" s="54">
        <f t="shared" si="156"/>
        <v>2.6689744086983973E-3</v>
      </c>
      <c r="AF88" s="54">
        <f t="shared" si="156"/>
        <v>2.75271286079431E-3</v>
      </c>
      <c r="AG88" s="54">
        <f t="shared" si="156"/>
        <v>2.8270771337263047E-3</v>
      </c>
    </row>
    <row r="89" spans="1:166" ht="15" x14ac:dyDescent="0.25">
      <c r="A89" s="9" t="s">
        <v>124</v>
      </c>
      <c r="B89" s="53">
        <f t="shared" ref="B89:AG90" si="157">SUM(B68:B68)/1000000</f>
        <v>7.7429999999999999E-3</v>
      </c>
      <c r="C89" s="53">
        <f>SUM(C68:C68)/1000000</f>
        <v>2.6984000000000001E-2</v>
      </c>
      <c r="D89" s="53">
        <f t="shared" si="157"/>
        <v>9.3952999999999995E-2</v>
      </c>
      <c r="E89" s="53">
        <f t="shared" si="157"/>
        <v>0.22133</v>
      </c>
      <c r="F89" s="53">
        <f t="shared" si="157"/>
        <v>0.33773999999999998</v>
      </c>
      <c r="G89" s="53">
        <f t="shared" si="157"/>
        <v>0.90470300000000003</v>
      </c>
      <c r="H89" s="53">
        <f t="shared" si="157"/>
        <v>1.1981120000000001</v>
      </c>
      <c r="I89" s="53">
        <f t="shared" si="157"/>
        <v>1.7914570000000001</v>
      </c>
      <c r="J89" s="53">
        <f t="shared" si="157"/>
        <v>2.7928199999999999</v>
      </c>
      <c r="K89" s="53">
        <f t="shared" si="157"/>
        <v>2.9429829999999999</v>
      </c>
      <c r="L89" s="53">
        <f t="shared" si="157"/>
        <v>4.4672479999999997</v>
      </c>
      <c r="M89" s="54">
        <f t="shared" si="157"/>
        <v>6.4096500000000001</v>
      </c>
      <c r="N89" s="54">
        <f t="shared" si="157"/>
        <v>7.3435459999999999</v>
      </c>
      <c r="O89" s="54">
        <f t="shared" si="157"/>
        <v>8.7501808090924964</v>
      </c>
      <c r="P89" s="54">
        <f t="shared" si="157"/>
        <v>9.8025282710743777</v>
      </c>
      <c r="Q89" s="54">
        <f t="shared" si="157"/>
        <v>11.748167511502963</v>
      </c>
      <c r="R89" s="54">
        <f t="shared" si="157"/>
        <v>13.578133308364439</v>
      </c>
      <c r="S89" s="54">
        <f t="shared" si="157"/>
        <v>15.440755776968242</v>
      </c>
      <c r="T89" s="54">
        <f t="shared" si="157"/>
        <v>17.388170474257016</v>
      </c>
      <c r="U89" s="54">
        <f t="shared" si="157"/>
        <v>19.396790562866347</v>
      </c>
      <c r="V89" s="54">
        <f t="shared" si="157"/>
        <v>21.316929452004089</v>
      </c>
      <c r="W89" s="54">
        <f t="shared" si="157"/>
        <v>23.187585587776866</v>
      </c>
      <c r="X89" s="54">
        <f t="shared" si="157"/>
        <v>25.119312484543997</v>
      </c>
      <c r="Y89" s="54">
        <f t="shared" si="157"/>
        <v>27.047047098030017</v>
      </c>
      <c r="Z89" s="54">
        <f t="shared" si="157"/>
        <v>28.975913974050112</v>
      </c>
      <c r="AA89" s="54">
        <f t="shared" si="157"/>
        <v>30.915418344054192</v>
      </c>
      <c r="AB89" s="54">
        <f t="shared" si="157"/>
        <v>32.82658808728489</v>
      </c>
      <c r="AC89" s="54">
        <f t="shared" si="157"/>
        <v>34.738669514636079</v>
      </c>
      <c r="AD89" s="54">
        <f t="shared" si="157"/>
        <v>36.664953066630474</v>
      </c>
      <c r="AE89" s="54">
        <f t="shared" si="157"/>
        <v>38.625071976674739</v>
      </c>
      <c r="AF89" s="54">
        <f t="shared" si="157"/>
        <v>40.522910312276103</v>
      </c>
      <c r="AG89" s="54">
        <f t="shared" si="157"/>
        <v>42.440316231613743</v>
      </c>
    </row>
    <row r="90" spans="1:166" ht="15" x14ac:dyDescent="0.25">
      <c r="A90" s="9" t="s">
        <v>75</v>
      </c>
      <c r="B90" s="53">
        <f t="shared" si="157"/>
        <v>1.0235529999999999</v>
      </c>
      <c r="C90" s="53">
        <f t="shared" si="157"/>
        <v>1.2190939999999999</v>
      </c>
      <c r="D90" s="53">
        <f t="shared" si="157"/>
        <v>1.983878</v>
      </c>
      <c r="E90" s="53">
        <f t="shared" si="157"/>
        <v>2.0308830000000002</v>
      </c>
      <c r="F90" s="53">
        <f t="shared" si="157"/>
        <v>2.1247539999999998</v>
      </c>
      <c r="G90" s="53">
        <f t="shared" si="157"/>
        <v>3.5193859999999999</v>
      </c>
      <c r="H90" s="53">
        <f t="shared" si="157"/>
        <v>3.4882240000000002</v>
      </c>
      <c r="I90" s="53">
        <f t="shared" si="157"/>
        <v>3.458529</v>
      </c>
      <c r="J90" s="53">
        <f t="shared" si="157"/>
        <v>4.3421320000000003</v>
      </c>
      <c r="K90" s="53">
        <f t="shared" si="157"/>
        <v>3.7366549999999998</v>
      </c>
      <c r="L90" s="53">
        <f t="shared" si="157"/>
        <v>3.8255520000000001</v>
      </c>
      <c r="M90" s="54">
        <f t="shared" si="157"/>
        <v>3.74064</v>
      </c>
      <c r="N90" s="54">
        <f t="shared" si="157"/>
        <v>3.3628960000000001</v>
      </c>
      <c r="O90" s="54">
        <f t="shared" si="157"/>
        <v>3.4939330523557555</v>
      </c>
      <c r="P90" s="54">
        <f t="shared" si="157"/>
        <v>3.7227612189416019</v>
      </c>
      <c r="Q90" s="54">
        <f t="shared" si="157"/>
        <v>3.8064635850368096</v>
      </c>
      <c r="R90" s="54">
        <f t="shared" si="157"/>
        <v>3.777996703232978</v>
      </c>
      <c r="S90" s="54">
        <f t="shared" si="157"/>
        <v>3.7376787492903767</v>
      </c>
      <c r="T90" s="54">
        <f t="shared" si="157"/>
        <v>3.7041699140234483</v>
      </c>
      <c r="U90" s="54">
        <f t="shared" si="157"/>
        <v>3.6983522196878078</v>
      </c>
      <c r="V90" s="54">
        <f t="shared" si="157"/>
        <v>3.7220679946264079</v>
      </c>
      <c r="W90" s="54">
        <f t="shared" si="157"/>
        <v>3.7361251401292801</v>
      </c>
      <c r="X90" s="54">
        <f t="shared" si="157"/>
        <v>3.7403999638048733</v>
      </c>
      <c r="Y90" s="54">
        <f t="shared" si="157"/>
        <v>3.7311169417836916</v>
      </c>
      <c r="Z90" s="54">
        <f t="shared" si="157"/>
        <v>3.7244389575828558</v>
      </c>
      <c r="AA90" s="54">
        <f t="shared" si="157"/>
        <v>3.722369190481805</v>
      </c>
      <c r="AB90" s="54">
        <f t="shared" si="157"/>
        <v>3.7248435411073046</v>
      </c>
      <c r="AC90" s="54">
        <f t="shared" si="157"/>
        <v>3.7284265225942446</v>
      </c>
      <c r="AD90" s="54">
        <f t="shared" si="157"/>
        <v>3.7295934584081665</v>
      </c>
      <c r="AE90" s="54">
        <f t="shared" si="157"/>
        <v>3.7287820129221623</v>
      </c>
      <c r="AF90" s="54">
        <f t="shared" si="157"/>
        <v>3.7271332154661723</v>
      </c>
      <c r="AG90" s="54">
        <f t="shared" si="157"/>
        <v>3.7958643518061073</v>
      </c>
    </row>
    <row r="91" spans="1:166" ht="15" x14ac:dyDescent="0.25">
      <c r="A91" s="9" t="s">
        <v>77</v>
      </c>
      <c r="B91" s="53">
        <f t="shared" ref="B91:K91" si="158">SUM(B71)/1000000</f>
        <v>1.702E-2</v>
      </c>
      <c r="C91" s="53">
        <f t="shared" si="158"/>
        <v>7.2659000000000001E-2</v>
      </c>
      <c r="D91" s="53">
        <f t="shared" si="158"/>
        <v>0.78992899999999999</v>
      </c>
      <c r="E91" s="53">
        <f t="shared" si="158"/>
        <v>0.84497900000000004</v>
      </c>
      <c r="F91" s="53">
        <f t="shared" si="158"/>
        <v>1.038171</v>
      </c>
      <c r="G91" s="53">
        <f t="shared" si="158"/>
        <v>2.2412169999999998</v>
      </c>
      <c r="H91" s="53">
        <f t="shared" si="158"/>
        <v>2.9667300000000001</v>
      </c>
      <c r="I91" s="53">
        <f t="shared" si="158"/>
        <v>3.4853909999999999</v>
      </c>
      <c r="J91" s="53">
        <f t="shared" si="158"/>
        <v>4.7805270000000002</v>
      </c>
      <c r="K91" s="53">
        <f t="shared" si="158"/>
        <v>4.5712999999999999</v>
      </c>
      <c r="L91" s="53">
        <f t="shared" ref="L91:M91" si="159">SUM(L71)/1000000</f>
        <v>6.5564629999999999</v>
      </c>
      <c r="M91" s="54">
        <f t="shared" si="159"/>
        <v>9.6169349999999998</v>
      </c>
      <c r="N91" s="54">
        <f t="shared" ref="N91:AG91" si="160">SUM(N71)/1000000</f>
        <v>11.928851999999999</v>
      </c>
      <c r="O91" s="54">
        <f t="shared" si="160"/>
        <v>13.991902007660478</v>
      </c>
      <c r="P91" s="54">
        <f t="shared" si="160"/>
        <v>12.304335070630399</v>
      </c>
      <c r="Q91" s="54">
        <f t="shared" si="160"/>
        <v>12.350472143637194</v>
      </c>
      <c r="R91" s="54">
        <f t="shared" si="160"/>
        <v>13.213347139931985</v>
      </c>
      <c r="S91" s="54">
        <f t="shared" si="160"/>
        <v>12.532724156106692</v>
      </c>
      <c r="T91" s="54">
        <f t="shared" si="160"/>
        <v>12.609546349225083</v>
      </c>
      <c r="U91" s="54">
        <f t="shared" si="160"/>
        <v>12.978143846124512</v>
      </c>
      <c r="V91" s="54">
        <f t="shared" si="160"/>
        <v>13.574085215623272</v>
      </c>
      <c r="W91" s="54">
        <f t="shared" si="160"/>
        <v>14.94287483336147</v>
      </c>
      <c r="X91" s="54">
        <f t="shared" si="160"/>
        <v>14.94706525963028</v>
      </c>
      <c r="Y91" s="54">
        <f t="shared" si="160"/>
        <v>14.678759313871071</v>
      </c>
      <c r="Z91" s="54">
        <f t="shared" si="160"/>
        <v>15.563928462906677</v>
      </c>
      <c r="AA91" s="54">
        <f t="shared" si="160"/>
        <v>16.091229196873904</v>
      </c>
      <c r="AB91" s="54">
        <f t="shared" si="160"/>
        <v>17.398340535756066</v>
      </c>
      <c r="AC91" s="54">
        <f t="shared" si="160"/>
        <v>18.557940417281944</v>
      </c>
      <c r="AD91" s="54">
        <f t="shared" si="160"/>
        <v>18.600827109388277</v>
      </c>
      <c r="AE91" s="54">
        <f t="shared" si="160"/>
        <v>17.093303429997025</v>
      </c>
      <c r="AF91" s="54">
        <f t="shared" si="160"/>
        <v>23.14130551050976</v>
      </c>
      <c r="AG91" s="54">
        <f t="shared" si="160"/>
        <v>23.141103514100074</v>
      </c>
    </row>
    <row r="92" spans="1:166" ht="15" x14ac:dyDescent="0.25">
      <c r="A92" s="9" t="s">
        <v>155</v>
      </c>
      <c r="B92" s="55">
        <f>(B67+B72+B73+B74)/1000000</f>
        <v>0</v>
      </c>
      <c r="C92" s="55">
        <f t="shared" ref="C92:AG92" si="161">(C67+C72+C73+C74)/1000000</f>
        <v>0</v>
      </c>
      <c r="D92" s="55">
        <f t="shared" si="161"/>
        <v>0</v>
      </c>
      <c r="E92" s="55">
        <f t="shared" si="161"/>
        <v>0</v>
      </c>
      <c r="F92" s="55">
        <f t="shared" si="161"/>
        <v>7.3999999999999996E-5</v>
      </c>
      <c r="G92" s="55">
        <f t="shared" si="161"/>
        <v>6.3999999999999997E-5</v>
      </c>
      <c r="H92" s="55">
        <f t="shared" si="161"/>
        <v>3.4359999999999998E-3</v>
      </c>
      <c r="I92" s="55">
        <f t="shared" si="161"/>
        <v>8.0660000000000003E-3</v>
      </c>
      <c r="J92" s="55">
        <f t="shared" si="161"/>
        <v>3.6637000000000003E-2</v>
      </c>
      <c r="K92" s="55">
        <f t="shared" si="161"/>
        <v>8.2883999999999999E-2</v>
      </c>
      <c r="L92" s="55">
        <f t="shared" si="161"/>
        <v>0.17826400000000001</v>
      </c>
      <c r="M92" s="56">
        <f t="shared" si="161"/>
        <v>0.24149599999999999</v>
      </c>
      <c r="N92" s="56">
        <f t="shared" si="161"/>
        <v>0.32577600000000001</v>
      </c>
      <c r="O92" s="56">
        <f t="shared" si="161"/>
        <v>0.51922618449796865</v>
      </c>
      <c r="P92" s="56">
        <f t="shared" si="161"/>
        <v>0.81726903494797876</v>
      </c>
      <c r="Q92" s="56">
        <f t="shared" si="161"/>
        <v>2.4402852427321675</v>
      </c>
      <c r="R92" s="56">
        <f t="shared" si="161"/>
        <v>5.909109715580894</v>
      </c>
      <c r="S92" s="56">
        <f t="shared" si="161"/>
        <v>7.6586418650436041</v>
      </c>
      <c r="T92" s="56">
        <f t="shared" si="161"/>
        <v>9.1267507660538225</v>
      </c>
      <c r="U92" s="56">
        <f t="shared" si="161"/>
        <v>11.545515070439672</v>
      </c>
      <c r="V92" s="56">
        <f t="shared" si="161"/>
        <v>12.705617057360122</v>
      </c>
      <c r="W92" s="56">
        <f t="shared" si="161"/>
        <v>15.82571096905723</v>
      </c>
      <c r="X92" s="56">
        <f t="shared" si="161"/>
        <v>16.937979300848554</v>
      </c>
      <c r="Y92" s="56">
        <f t="shared" si="161"/>
        <v>18.559651532270564</v>
      </c>
      <c r="Z92" s="56">
        <f t="shared" si="161"/>
        <v>19.448371506368861</v>
      </c>
      <c r="AA92" s="56">
        <f t="shared" si="161"/>
        <v>14.405991507457708</v>
      </c>
      <c r="AB92" s="56">
        <f t="shared" si="161"/>
        <v>14.946563424994066</v>
      </c>
      <c r="AC92" s="56">
        <f t="shared" si="161"/>
        <v>15.646372006484164</v>
      </c>
      <c r="AD92" s="56">
        <f t="shared" si="161"/>
        <v>15.509818257547662</v>
      </c>
      <c r="AE92" s="56">
        <f t="shared" si="161"/>
        <v>17.010331207267022</v>
      </c>
      <c r="AF92" s="56">
        <f t="shared" si="161"/>
        <v>6.4253995324320163</v>
      </c>
      <c r="AG92" s="56">
        <f t="shared" si="161"/>
        <v>6.4343886307920677</v>
      </c>
    </row>
    <row r="95" spans="1:166" x14ac:dyDescent="0.2">
      <c r="A95" s="9" t="s">
        <v>156</v>
      </c>
      <c r="B95" s="9" t="str">
        <f>'Qrtly Credit-Deficit Generation'!C54</f>
        <v>2011 Q1</v>
      </c>
      <c r="C95" s="9" t="str">
        <f>'Qrtly Credit-Deficit Generation'!D54</f>
        <v>Q2</v>
      </c>
      <c r="D95" s="9" t="str">
        <f>'Qrtly Credit-Deficit Generation'!E54</f>
        <v>Q3</v>
      </c>
      <c r="E95" s="9" t="str">
        <f>'Qrtly Credit-Deficit Generation'!F54</f>
        <v>Q4</v>
      </c>
      <c r="F95" s="9" t="str">
        <f>'Qrtly Credit-Deficit Generation'!G54</f>
        <v>2012 Q1</v>
      </c>
      <c r="G95" s="9" t="str">
        <f>'Qrtly Credit-Deficit Generation'!H54</f>
        <v>Q2</v>
      </c>
      <c r="H95" s="9" t="str">
        <f>'Qrtly Credit-Deficit Generation'!I54</f>
        <v>Q3</v>
      </c>
      <c r="I95" s="9" t="str">
        <f>'Qrtly Credit-Deficit Generation'!J54</f>
        <v>Q4</v>
      </c>
      <c r="J95" s="9" t="str">
        <f>'Qrtly Credit-Deficit Generation'!K54</f>
        <v>2013 Q1</v>
      </c>
      <c r="K95" s="9" t="str">
        <f>'Qrtly Credit-Deficit Generation'!L54</f>
        <v>Q2</v>
      </c>
      <c r="L95" s="9" t="str">
        <f>'Qrtly Credit-Deficit Generation'!M54</f>
        <v>Q3</v>
      </c>
      <c r="M95" s="9" t="str">
        <f>'Qrtly Credit-Deficit Generation'!N54</f>
        <v>Q4</v>
      </c>
      <c r="N95" s="9" t="str">
        <f>'Qrtly Credit-Deficit Generation'!O54</f>
        <v>2014 Q1</v>
      </c>
      <c r="O95" s="9" t="str">
        <f>'Qrtly Credit-Deficit Generation'!P54</f>
        <v>Q2</v>
      </c>
      <c r="P95" s="9" t="str">
        <f>'Qrtly Credit-Deficit Generation'!Q54</f>
        <v>Q3</v>
      </c>
      <c r="Q95" s="9" t="str">
        <f>'Qrtly Credit-Deficit Generation'!R54</f>
        <v>Q4</v>
      </c>
      <c r="R95" s="9" t="str">
        <f>'Qrtly Credit-Deficit Generation'!S54</f>
        <v>2015 Q1</v>
      </c>
      <c r="S95" s="9" t="str">
        <f>'Qrtly Credit-Deficit Generation'!T54</f>
        <v>Q2</v>
      </c>
      <c r="T95" s="9" t="str">
        <f>'Qrtly Credit-Deficit Generation'!U54</f>
        <v>Q3</v>
      </c>
      <c r="U95" s="9" t="str">
        <f>'Qrtly Credit-Deficit Generation'!V54</f>
        <v>Q4</v>
      </c>
      <c r="V95" s="9" t="str">
        <f>'Qrtly Credit-Deficit Generation'!W54</f>
        <v>2016 Q1</v>
      </c>
      <c r="W95" s="9" t="str">
        <f>'Qrtly Credit-Deficit Generation'!X54</f>
        <v>Q2</v>
      </c>
      <c r="X95" s="9" t="str">
        <f>'Qrtly Credit-Deficit Generation'!Y54</f>
        <v>Q3</v>
      </c>
      <c r="Y95" s="9" t="str">
        <f>'Qrtly Credit-Deficit Generation'!Z54</f>
        <v>Q4</v>
      </c>
      <c r="Z95" s="9" t="str">
        <f>'Qrtly Credit-Deficit Generation'!AA54</f>
        <v>2017 Q1</v>
      </c>
      <c r="AA95" s="9" t="str">
        <f>'Qrtly Credit-Deficit Generation'!AB54</f>
        <v>Q2</v>
      </c>
      <c r="AB95" s="9" t="str">
        <f>'Qrtly Credit-Deficit Generation'!AC54</f>
        <v>Q3</v>
      </c>
      <c r="AC95" s="9" t="str">
        <f>'Qrtly Credit-Deficit Generation'!AD54</f>
        <v>Q4</v>
      </c>
      <c r="AD95" s="9" t="str">
        <f>'Qrtly Credit-Deficit Generation'!AE54</f>
        <v>2018 Q1</v>
      </c>
      <c r="AE95" s="9" t="str">
        <f>'Qrtly Credit-Deficit Generation'!AF54</f>
        <v>Q2</v>
      </c>
      <c r="AF95" s="9" t="str">
        <f>'Qrtly Credit-Deficit Generation'!AG54</f>
        <v>Q3</v>
      </c>
      <c r="AG95" s="9" t="str">
        <f>'Qrtly Credit-Deficit Generation'!AH54</f>
        <v>Q4</v>
      </c>
      <c r="AH95" s="9" t="str">
        <f>'Qrtly Credit-Deficit Generation'!AI54</f>
        <v>2019 Q1</v>
      </c>
      <c r="AI95" s="9" t="str">
        <f>'Qrtly Credit-Deficit Generation'!AJ54</f>
        <v>Q2</v>
      </c>
      <c r="AJ95" s="9" t="str">
        <f>'Qrtly Credit-Deficit Generation'!AK54</f>
        <v>Q3</v>
      </c>
      <c r="AK95" s="9" t="str">
        <f>'Qrtly Credit-Deficit Generation'!AL54</f>
        <v>Q4</v>
      </c>
      <c r="AL95" s="9" t="str">
        <f>'Qrtly Credit-Deficit Generation'!AM54</f>
        <v>2020 Q1</v>
      </c>
      <c r="AM95" s="9" t="str">
        <f>'Qrtly Credit-Deficit Generation'!AN54</f>
        <v>Q2</v>
      </c>
      <c r="AN95" s="9" t="str">
        <f>'Qrtly Credit-Deficit Generation'!AO54</f>
        <v>Q3</v>
      </c>
      <c r="AO95" s="9" t="str">
        <f>'Qrtly Credit-Deficit Generation'!AP54</f>
        <v>Q4</v>
      </c>
      <c r="AP95" s="9" t="str">
        <f>'Qrtly Credit-Deficit Generation'!AQ54</f>
        <v>2021 Q1</v>
      </c>
      <c r="AQ95" s="9" t="str">
        <f>'Qrtly Credit-Deficit Generation'!AR54</f>
        <v>Q2</v>
      </c>
      <c r="AR95" s="9" t="str">
        <f>'Qrtly Credit-Deficit Generation'!AS54</f>
        <v>Q3</v>
      </c>
      <c r="AS95" s="9" t="str">
        <f>'Qrtly Credit-Deficit Generation'!AT54</f>
        <v>Q4</v>
      </c>
      <c r="AT95" s="9" t="str">
        <f>'Qrtly Credit-Deficit Generation'!AU54</f>
        <v>2022 Q1</v>
      </c>
      <c r="AU95" s="9" t="str">
        <f>'Qrtly Credit-Deficit Generation'!AV54</f>
        <v>Q2</v>
      </c>
      <c r="AV95" s="9" t="str">
        <f>'Qrtly Credit-Deficit Generation'!AW54</f>
        <v>Q3</v>
      </c>
      <c r="AW95" s="9" t="str">
        <f>'Qrtly Credit-Deficit Generation'!AX54</f>
        <v>Q4</v>
      </c>
      <c r="AX95" s="9" t="str">
        <f>'Qrtly Credit-Deficit Generation'!AY54</f>
        <v>2023 Q1</v>
      </c>
      <c r="AY95" s="9" t="str">
        <f>'Qrtly Credit-Deficit Generation'!AZ54</f>
        <v>Q2</v>
      </c>
      <c r="AZ95" s="9" t="str">
        <f>'Qrtly Credit-Deficit Generation'!BA54</f>
        <v>Q3</v>
      </c>
      <c r="BA95" s="9" t="str">
        <f>'Qrtly Credit-Deficit Generation'!BB54</f>
        <v>Q4</v>
      </c>
      <c r="BB95" s="9" t="str">
        <f>'Qrtly Credit-Deficit Generation'!BC54</f>
        <v>2024Q1</v>
      </c>
      <c r="BC95" s="9" t="str">
        <f>'Qrtly Credit-Deficit Generation'!BD54</f>
        <v>Q2</v>
      </c>
      <c r="BD95" s="9" t="str">
        <f>'Qrtly Credit-Deficit Generation'!BE54</f>
        <v>Q3</v>
      </c>
      <c r="BE95" s="9" t="str">
        <f>'Qrtly Credit-Deficit Generation'!BF54</f>
        <v>Q4</v>
      </c>
      <c r="BF95" s="9" t="str">
        <f>'Qrtly Credit-Deficit Generation'!BG54</f>
        <v>2025Q1</v>
      </c>
      <c r="BG95" s="9" t="str">
        <f>'Qrtly Credit-Deficit Generation'!BH54</f>
        <v>Q2</v>
      </c>
      <c r="BH95" s="9" t="str">
        <f>'Qrtly Credit-Deficit Generation'!BI54</f>
        <v>Q3</v>
      </c>
      <c r="BI95" s="9" t="str">
        <f>'Qrtly Credit-Deficit Generation'!BJ54</f>
        <v>Q4</v>
      </c>
      <c r="BJ95" s="9" t="str">
        <f>'Qrtly Credit-Deficit Generation'!BK54</f>
        <v>2026Q1</v>
      </c>
      <c r="BK95" s="9" t="str">
        <f>'Qrtly Credit-Deficit Generation'!BL54</f>
        <v>Q2</v>
      </c>
      <c r="BL95" s="9" t="str">
        <f>'Qrtly Credit-Deficit Generation'!BM54</f>
        <v>Q3</v>
      </c>
      <c r="BM95" s="9" t="str">
        <f>'Qrtly Credit-Deficit Generation'!BN54</f>
        <v>Q4</v>
      </c>
      <c r="BN95" s="9" t="str">
        <f>'Qrtly Credit-Deficit Generation'!BO54</f>
        <v>2027Q1</v>
      </c>
      <c r="BO95" s="9" t="str">
        <f>'Qrtly Credit-Deficit Generation'!BP54</f>
        <v>Q2</v>
      </c>
      <c r="BP95" s="9" t="str">
        <f>'Qrtly Credit-Deficit Generation'!BQ54</f>
        <v>Q3</v>
      </c>
      <c r="BQ95" s="9" t="str">
        <f>'Qrtly Credit-Deficit Generation'!BR54</f>
        <v>Q4</v>
      </c>
      <c r="BR95" s="9" t="str">
        <f>'Qrtly Credit-Deficit Generation'!BS54</f>
        <v>2028Q1</v>
      </c>
      <c r="BS95" s="9" t="str">
        <f>'Qrtly Credit-Deficit Generation'!BT54</f>
        <v>Q2</v>
      </c>
      <c r="BT95" s="9" t="str">
        <f>'Qrtly Credit-Deficit Generation'!BU54</f>
        <v>Q3</v>
      </c>
      <c r="BU95" s="9" t="str">
        <f>'Qrtly Credit-Deficit Generation'!BV54</f>
        <v>Q4</v>
      </c>
      <c r="BV95" s="9" t="str">
        <f>'Qrtly Credit-Deficit Generation'!BW54</f>
        <v>2029Q1</v>
      </c>
      <c r="BW95" s="9" t="str">
        <f>'Qrtly Credit-Deficit Generation'!BX54</f>
        <v>Q2</v>
      </c>
      <c r="BX95" s="9" t="str">
        <f>'Qrtly Credit-Deficit Generation'!BY54</f>
        <v>Q3</v>
      </c>
      <c r="BY95" s="9" t="str">
        <f>'Qrtly Credit-Deficit Generation'!BZ54</f>
        <v>Q4</v>
      </c>
      <c r="BZ95" s="9" t="str">
        <f>'Qrtly Credit-Deficit Generation'!CA54</f>
        <v>2030Q1</v>
      </c>
      <c r="CA95" s="9" t="str">
        <f>'Qrtly Credit-Deficit Generation'!CB54</f>
        <v>Q2</v>
      </c>
      <c r="CB95" s="9" t="str">
        <f>'Qrtly Credit-Deficit Generation'!CC54</f>
        <v>Q3</v>
      </c>
      <c r="CC95" s="9" t="str">
        <f>'Qrtly Credit-Deficit Generation'!CD54</f>
        <v>Q4</v>
      </c>
      <c r="CD95" s="9" t="str">
        <f>'Qrtly Credit-Deficit Generation'!CE54</f>
        <v>2031Q1</v>
      </c>
      <c r="CE95" s="9" t="str">
        <f>'Qrtly Credit-Deficit Generation'!CF54</f>
        <v>Q2</v>
      </c>
      <c r="CF95" s="9" t="str">
        <f>'Qrtly Credit-Deficit Generation'!CG54</f>
        <v>Q3</v>
      </c>
      <c r="CG95" s="9" t="str">
        <f>'Qrtly Credit-Deficit Generation'!CH54</f>
        <v>Q4</v>
      </c>
      <c r="CH95" s="9" t="str">
        <f>'Qrtly Credit-Deficit Generation'!CI54</f>
        <v>2032Q1</v>
      </c>
      <c r="CI95" s="9" t="str">
        <f>'Qrtly Credit-Deficit Generation'!CJ54</f>
        <v>Q2</v>
      </c>
      <c r="CJ95" s="9" t="str">
        <f>'Qrtly Credit-Deficit Generation'!CK54</f>
        <v>Q3</v>
      </c>
      <c r="CK95" s="9" t="str">
        <f>'Qrtly Credit-Deficit Generation'!CL54</f>
        <v>Q4</v>
      </c>
      <c r="CL95" s="9" t="str">
        <f>'Qrtly Credit-Deficit Generation'!CM54</f>
        <v>2033Q1</v>
      </c>
      <c r="CM95" s="9" t="str">
        <f>'Qrtly Credit-Deficit Generation'!CN54</f>
        <v>Q2</v>
      </c>
      <c r="CN95" s="9" t="str">
        <f>'Qrtly Credit-Deficit Generation'!CO54</f>
        <v>Q3</v>
      </c>
      <c r="CO95" s="9" t="str">
        <f>'Qrtly Credit-Deficit Generation'!CP54</f>
        <v>Q4</v>
      </c>
      <c r="CP95" s="9" t="str">
        <f>'Qrtly Credit-Deficit Generation'!CQ54</f>
        <v>2034Q1</v>
      </c>
      <c r="CQ95" s="9" t="str">
        <f>'Qrtly Credit-Deficit Generation'!CR54</f>
        <v>Q2</v>
      </c>
      <c r="CR95" s="9" t="str">
        <f>'Qrtly Credit-Deficit Generation'!CS54</f>
        <v>Q3</v>
      </c>
      <c r="CS95" s="9" t="str">
        <f>'Qrtly Credit-Deficit Generation'!CT54</f>
        <v>Q4</v>
      </c>
      <c r="CT95" s="9" t="str">
        <f>'Qrtly Credit-Deficit Generation'!CU54</f>
        <v>2035Q1</v>
      </c>
      <c r="CU95" s="9" t="str">
        <f>'Qrtly Credit-Deficit Generation'!CV54</f>
        <v>Q2</v>
      </c>
      <c r="CV95" s="9" t="str">
        <f>'Qrtly Credit-Deficit Generation'!CW54</f>
        <v>Q3</v>
      </c>
      <c r="CW95" s="9" t="str">
        <f>'Qrtly Credit-Deficit Generation'!CX54</f>
        <v>Q4</v>
      </c>
      <c r="CX95" s="9" t="str">
        <f>'Qrtly Credit-Deficit Generation'!CY54</f>
        <v>2036Q1</v>
      </c>
      <c r="CY95" s="9" t="str">
        <f>'Qrtly Credit-Deficit Generation'!CZ54</f>
        <v>Q2</v>
      </c>
      <c r="CZ95" s="9" t="str">
        <f>'Qrtly Credit-Deficit Generation'!DA54</f>
        <v>Q3</v>
      </c>
      <c r="DA95" s="9" t="str">
        <f>'Qrtly Credit-Deficit Generation'!DB54</f>
        <v>Q4</v>
      </c>
      <c r="DB95" s="9" t="str">
        <f>'Qrtly Credit-Deficit Generation'!DC54</f>
        <v>2037Q1</v>
      </c>
      <c r="DC95" s="9" t="str">
        <f>'Qrtly Credit-Deficit Generation'!DD54</f>
        <v>Q2</v>
      </c>
      <c r="DD95" s="9" t="str">
        <f>'Qrtly Credit-Deficit Generation'!DE54</f>
        <v>Q3</v>
      </c>
      <c r="DE95" s="9" t="str">
        <f>'Qrtly Credit-Deficit Generation'!DF54</f>
        <v>Q4</v>
      </c>
      <c r="DF95" s="9" t="str">
        <f>'Qrtly Credit-Deficit Generation'!DG54</f>
        <v>2038Q1</v>
      </c>
      <c r="DG95" s="9" t="str">
        <f>'Qrtly Credit-Deficit Generation'!DH54</f>
        <v>Q2</v>
      </c>
      <c r="DH95" s="9" t="str">
        <f>'Qrtly Credit-Deficit Generation'!DI54</f>
        <v>Q3</v>
      </c>
      <c r="DI95" s="9" t="str">
        <f>'Qrtly Credit-Deficit Generation'!DJ54</f>
        <v>Q4</v>
      </c>
      <c r="DJ95" s="9" t="str">
        <f>'Qrtly Credit-Deficit Generation'!DK54</f>
        <v>2039Q1</v>
      </c>
      <c r="DK95" s="9" t="str">
        <f>'Qrtly Credit-Deficit Generation'!DL54</f>
        <v>Q2</v>
      </c>
      <c r="DL95" s="9" t="str">
        <f>'Qrtly Credit-Deficit Generation'!DM54</f>
        <v>Q3</v>
      </c>
      <c r="DM95" s="9" t="str">
        <f>'Qrtly Credit-Deficit Generation'!DN54</f>
        <v>Q4</v>
      </c>
      <c r="DN95" s="9" t="str">
        <f>'Qrtly Credit-Deficit Generation'!DO54</f>
        <v>2040Q1</v>
      </c>
      <c r="DO95" s="9" t="str">
        <f>'Qrtly Credit-Deficit Generation'!DP54</f>
        <v>Q2</v>
      </c>
      <c r="DP95" s="9" t="str">
        <f>'Qrtly Credit-Deficit Generation'!DQ54</f>
        <v>Q3</v>
      </c>
      <c r="DQ95" s="9" t="str">
        <f>'Qrtly Credit-Deficit Generation'!DR54</f>
        <v>Q4</v>
      </c>
      <c r="DR95" s="9" t="str">
        <f>'Qrtly Credit-Deficit Generation'!DS54</f>
        <v>2041Q1</v>
      </c>
      <c r="DS95" s="9" t="str">
        <f>'Qrtly Credit-Deficit Generation'!DT54</f>
        <v>Q2</v>
      </c>
      <c r="DT95" s="9" t="str">
        <f>'Qrtly Credit-Deficit Generation'!DU54</f>
        <v>Q3</v>
      </c>
      <c r="DU95" s="9" t="str">
        <f>'Qrtly Credit-Deficit Generation'!DV54</f>
        <v>Q4</v>
      </c>
      <c r="DV95" s="9" t="str">
        <f>'Qrtly Credit-Deficit Generation'!DW54</f>
        <v>2042Q1</v>
      </c>
      <c r="DW95" s="9" t="str">
        <f>'Qrtly Credit-Deficit Generation'!DX54</f>
        <v>Q2</v>
      </c>
      <c r="DX95" s="9" t="str">
        <f>'Qrtly Credit-Deficit Generation'!DY54</f>
        <v>Q3</v>
      </c>
      <c r="DY95" s="9" t="str">
        <f>'Qrtly Credit-Deficit Generation'!DZ54</f>
        <v>Q4</v>
      </c>
      <c r="EA95" s="9">
        <f>'Qrtly Credit-Deficit Generation'!EB54</f>
        <v>0</v>
      </c>
      <c r="EB95" s="9">
        <f>'Qrtly Credit-Deficit Generation'!EC54</f>
        <v>0</v>
      </c>
      <c r="EC95" s="9">
        <f>'Qrtly Credit-Deficit Generation'!ED54</f>
        <v>0</v>
      </c>
      <c r="EE95" s="9">
        <f>'Qrtly Credit-Deficit Generation'!EF54</f>
        <v>0</v>
      </c>
      <c r="EF95" s="9">
        <f>'Qrtly Credit-Deficit Generation'!EG54</f>
        <v>0</v>
      </c>
      <c r="EG95" s="9">
        <f>'Qrtly Credit-Deficit Generation'!EH54</f>
        <v>0</v>
      </c>
      <c r="EI95" s="9">
        <f>'Qrtly Credit-Deficit Generation'!EJ54</f>
        <v>0</v>
      </c>
      <c r="EJ95" s="9">
        <f>'Qrtly Credit-Deficit Generation'!EK54</f>
        <v>0</v>
      </c>
      <c r="EK95" s="9">
        <f>'Qrtly Credit-Deficit Generation'!EL54</f>
        <v>0</v>
      </c>
      <c r="EM95" s="9">
        <f>'Qrtly Credit-Deficit Generation'!EN54</f>
        <v>0</v>
      </c>
      <c r="EN95" s="9">
        <f>'Qrtly Credit-Deficit Generation'!EO54</f>
        <v>0</v>
      </c>
      <c r="EO95" s="9">
        <f>'Qrtly Credit-Deficit Generation'!EP54</f>
        <v>0</v>
      </c>
      <c r="EQ95" s="9">
        <f>'Qrtly Credit-Deficit Generation'!ER54</f>
        <v>0</v>
      </c>
      <c r="ER95" s="9">
        <f>'Qrtly Credit-Deficit Generation'!ES54</f>
        <v>0</v>
      </c>
      <c r="ES95" s="9">
        <f>'Qrtly Credit-Deficit Generation'!ET54</f>
        <v>0</v>
      </c>
      <c r="EU95" s="9">
        <f>'Qrtly Credit-Deficit Generation'!EV54</f>
        <v>0</v>
      </c>
      <c r="EV95" s="9">
        <f>'Qrtly Credit-Deficit Generation'!EW54</f>
        <v>0</v>
      </c>
      <c r="EW95" s="9">
        <f>'Qrtly Credit-Deficit Generation'!EX54</f>
        <v>0</v>
      </c>
      <c r="EY95" s="9">
        <f>'Qrtly Credit-Deficit Generation'!EZ54</f>
        <v>0</v>
      </c>
      <c r="EZ95" s="9">
        <f>'Qrtly Credit-Deficit Generation'!FA54</f>
        <v>0</v>
      </c>
      <c r="FA95" s="9">
        <f>'Qrtly Credit-Deficit Generation'!FB54</f>
        <v>0</v>
      </c>
      <c r="FC95" s="9">
        <f>'Qrtly Credit-Deficit Generation'!FD54</f>
        <v>0</v>
      </c>
      <c r="FD95" s="9">
        <f>'Qrtly Credit-Deficit Generation'!FE54</f>
        <v>0</v>
      </c>
      <c r="FE95" s="9">
        <f>'Qrtly Credit-Deficit Generation'!FF54</f>
        <v>0</v>
      </c>
      <c r="FG95" s="9">
        <f>'Qrtly Credit-Deficit Generation'!FH54</f>
        <v>0</v>
      </c>
      <c r="FH95" s="9">
        <f>'Qrtly Credit-Deficit Generation'!FI54</f>
        <v>0</v>
      </c>
      <c r="FI95" s="9">
        <f>'Qrtly Credit-Deficit Generation'!FJ54</f>
        <v>0</v>
      </c>
    </row>
    <row r="96" spans="1:166" ht="15" x14ac:dyDescent="0.25">
      <c r="A96" s="9" t="s">
        <v>76</v>
      </c>
      <c r="B96" s="57">
        <f>C56/1000</f>
        <v>12.3</v>
      </c>
      <c r="C96" s="57">
        <f>D56/1000</f>
        <v>21.555</v>
      </c>
      <c r="D96" s="57">
        <f t="shared" ref="D96:BO96" si="162">E56/1000</f>
        <v>22.423999999999999</v>
      </c>
      <c r="E96" s="57">
        <f t="shared" si="162"/>
        <v>27.988</v>
      </c>
      <c r="F96" s="57">
        <f t="shared" si="162"/>
        <v>35.381999999999998</v>
      </c>
      <c r="G96" s="57">
        <f t="shared" si="162"/>
        <v>41.918999999999997</v>
      </c>
      <c r="H96" s="57">
        <f t="shared" si="162"/>
        <v>34.052</v>
      </c>
      <c r="I96" s="57">
        <f t="shared" si="162"/>
        <v>37.994</v>
      </c>
      <c r="J96" s="57">
        <f t="shared" si="162"/>
        <v>47.386000000000003</v>
      </c>
      <c r="K96" s="57">
        <f t="shared" si="162"/>
        <v>123.072</v>
      </c>
      <c r="L96" s="57">
        <f t="shared" si="162"/>
        <v>130.47499999999999</v>
      </c>
      <c r="M96" s="57">
        <f t="shared" si="162"/>
        <v>265.73700000000002</v>
      </c>
      <c r="N96" s="57">
        <f t="shared" si="162"/>
        <v>169.21799999999999</v>
      </c>
      <c r="O96" s="57">
        <f t="shared" si="162"/>
        <v>183.30799999999999</v>
      </c>
      <c r="P96" s="57">
        <f t="shared" si="162"/>
        <v>154.934</v>
      </c>
      <c r="Q96" s="57">
        <f t="shared" si="162"/>
        <v>210.54</v>
      </c>
      <c r="R96" s="57">
        <f t="shared" si="162"/>
        <v>195.61500000000001</v>
      </c>
      <c r="S96" s="57">
        <f t="shared" si="162"/>
        <v>287.97300000000001</v>
      </c>
      <c r="T96" s="57">
        <f t="shared" si="162"/>
        <v>364.50099999999998</v>
      </c>
      <c r="U96" s="57">
        <f t="shared" si="162"/>
        <v>365.82100000000003</v>
      </c>
      <c r="V96" s="57">
        <f t="shared" si="162"/>
        <v>322.60700000000003</v>
      </c>
      <c r="W96" s="57">
        <f t="shared" si="162"/>
        <v>392.31799999999998</v>
      </c>
      <c r="X96" s="57">
        <f t="shared" si="162"/>
        <v>470.92200000000003</v>
      </c>
      <c r="Y96" s="57">
        <f t="shared" si="162"/>
        <v>550.93600000000004</v>
      </c>
      <c r="Z96" s="57">
        <f t="shared" si="162"/>
        <v>306.64</v>
      </c>
      <c r="AA96" s="57">
        <f t="shared" si="162"/>
        <v>321.90899999999999</v>
      </c>
      <c r="AB96" s="57">
        <f t="shared" si="162"/>
        <v>393.58699999999999</v>
      </c>
      <c r="AC96" s="57">
        <f t="shared" si="162"/>
        <v>357.60300000000001</v>
      </c>
      <c r="AD96" s="57">
        <f t="shared" si="162"/>
        <v>306.33699999999999</v>
      </c>
      <c r="AE96" s="57">
        <f t="shared" si="162"/>
        <v>357.50799999999998</v>
      </c>
      <c r="AF96" s="57">
        <f t="shared" si="162"/>
        <v>442.00700000000001</v>
      </c>
      <c r="AG96" s="57">
        <f t="shared" si="162"/>
        <v>500.702</v>
      </c>
      <c r="AH96" s="57">
        <f t="shared" si="162"/>
        <v>347.14</v>
      </c>
      <c r="AI96" s="57">
        <f t="shared" si="162"/>
        <v>490.16300000000001</v>
      </c>
      <c r="AJ96" s="57">
        <f t="shared" si="162"/>
        <v>506.35</v>
      </c>
      <c r="AK96" s="57">
        <f t="shared" si="162"/>
        <v>487.43700000000001</v>
      </c>
      <c r="AL96" s="57">
        <f t="shared" si="162"/>
        <v>477.79700000000003</v>
      </c>
      <c r="AM96" s="57">
        <f t="shared" si="162"/>
        <v>492.495</v>
      </c>
      <c r="AN96" s="57">
        <f t="shared" si="162"/>
        <v>592.29600000000005</v>
      </c>
      <c r="AO96" s="57">
        <f t="shared" si="162"/>
        <v>650.73900000000003</v>
      </c>
      <c r="AP96" s="57">
        <f t="shared" si="162"/>
        <v>479.642</v>
      </c>
      <c r="AQ96" s="57">
        <f t="shared" si="162"/>
        <v>622.76700000000005</v>
      </c>
      <c r="AR96" s="57">
        <f t="shared" si="162"/>
        <v>622.94899999999996</v>
      </c>
      <c r="AS96" s="57">
        <f t="shared" si="162"/>
        <v>585.24099999999999</v>
      </c>
      <c r="AT96" s="57">
        <f t="shared" si="162"/>
        <v>565.02099999999996</v>
      </c>
      <c r="AU96" s="57">
        <f t="shared" si="162"/>
        <v>533.22</v>
      </c>
      <c r="AV96" s="57">
        <f t="shared" si="162"/>
        <v>563.91600000000005</v>
      </c>
      <c r="AW96" s="57">
        <f t="shared" si="162"/>
        <v>542.39099999999996</v>
      </c>
      <c r="AX96" s="57">
        <f t="shared" si="162"/>
        <v>493.42399999999998</v>
      </c>
      <c r="AY96" s="57">
        <f t="shared" si="162"/>
        <v>468.03100000000001</v>
      </c>
      <c r="AZ96" s="57">
        <f t="shared" si="162"/>
        <v>497.04700000000003</v>
      </c>
      <c r="BA96" s="57">
        <f t="shared" si="162"/>
        <v>511.69799999999998</v>
      </c>
      <c r="BB96" s="57">
        <f t="shared" si="162"/>
        <v>460.82900000000001</v>
      </c>
      <c r="BC96" s="57">
        <f t="shared" si="162"/>
        <v>440.43099999999998</v>
      </c>
      <c r="BD96" s="58">
        <f t="shared" si="162"/>
        <v>441.762</v>
      </c>
      <c r="BE96" s="58">
        <f t="shared" si="162"/>
        <v>443.69189065316107</v>
      </c>
      <c r="BF96" s="58">
        <f t="shared" si="162"/>
        <v>612.29688153465349</v>
      </c>
      <c r="BG96" s="58">
        <f t="shared" si="162"/>
        <v>408.21763764407922</v>
      </c>
      <c r="BH96" s="58">
        <f t="shared" si="162"/>
        <v>433.61574335353066</v>
      </c>
      <c r="BI96" s="58">
        <f t="shared" si="162"/>
        <v>465.51642175417606</v>
      </c>
      <c r="BJ96" s="58">
        <f t="shared" si="162"/>
        <v>492.30533007494557</v>
      </c>
      <c r="BK96" s="58">
        <f t="shared" si="162"/>
        <v>429.77183010598719</v>
      </c>
      <c r="BL96" s="58">
        <f t="shared" si="162"/>
        <v>463.93871811127946</v>
      </c>
      <c r="BM96" s="58">
        <f t="shared" si="162"/>
        <v>541.85026966673001</v>
      </c>
      <c r="BN96" s="58">
        <f t="shared" si="162"/>
        <v>517.09627564883976</v>
      </c>
      <c r="BO96" s="58">
        <f t="shared" si="162"/>
        <v>410.21765285773267</v>
      </c>
      <c r="BP96" s="58">
        <f t="shared" ref="BP96:DY96" si="163">BQ56/1000</f>
        <v>446.28243154530844</v>
      </c>
      <c r="BQ96" s="58">
        <f t="shared" si="163"/>
        <v>557.53536443050234</v>
      </c>
      <c r="BR96" s="58">
        <f t="shared" si="163"/>
        <v>541.85128925182039</v>
      </c>
      <c r="BS96" s="58">
        <f t="shared" si="163"/>
        <v>238.3731491808993</v>
      </c>
      <c r="BT96" s="58">
        <f t="shared" si="163"/>
        <v>279.79835308109017</v>
      </c>
      <c r="BU96" s="58">
        <f t="shared" si="163"/>
        <v>607.85289258380749</v>
      </c>
      <c r="BV96" s="58">
        <f t="shared" si="163"/>
        <v>507.83873722739719</v>
      </c>
      <c r="BW96" s="58">
        <f t="shared" si="163"/>
        <v>342.52987073927562</v>
      </c>
      <c r="BX96" s="58">
        <f t="shared" si="163"/>
        <v>377.56745681102973</v>
      </c>
      <c r="BY96" s="58">
        <f t="shared" si="163"/>
        <v>541.89837603260855</v>
      </c>
      <c r="BZ96" s="58">
        <f t="shared" si="163"/>
        <v>496.82766429729941</v>
      </c>
      <c r="CA96" s="58">
        <f t="shared" si="163"/>
        <v>359.13528545339653</v>
      </c>
      <c r="CB96" s="58">
        <f t="shared" si="163"/>
        <v>394.11765570139767</v>
      </c>
      <c r="CC96" s="58">
        <f t="shared" si="163"/>
        <v>627.13971736826306</v>
      </c>
      <c r="CD96" s="58">
        <f t="shared" si="163"/>
        <v>482.58008386245655</v>
      </c>
      <c r="CE96" s="58">
        <f t="shared" si="163"/>
        <v>384.2431698910051</v>
      </c>
      <c r="CF96" s="58">
        <f t="shared" si="163"/>
        <v>393.73504380821061</v>
      </c>
      <c r="CG96" s="58">
        <f t="shared" si="163"/>
        <v>603.36796969878139</v>
      </c>
      <c r="CH96" s="58">
        <f t="shared" si="163"/>
        <v>493.77596481071163</v>
      </c>
      <c r="CI96" s="58">
        <f t="shared" si="163"/>
        <v>397.36383344457283</v>
      </c>
      <c r="CJ96" s="58">
        <f t="shared" si="163"/>
        <v>431.00201063576691</v>
      </c>
      <c r="CK96" s="58">
        <f t="shared" si="163"/>
        <v>569.10317024760207</v>
      </c>
      <c r="CL96" s="58">
        <f t="shared" si="163"/>
        <v>511.07301517178672</v>
      </c>
      <c r="CM96" s="58">
        <f t="shared" si="163"/>
        <v>350.87874015838275</v>
      </c>
      <c r="CN96" s="58">
        <f t="shared" si="163"/>
        <v>418.95815898775442</v>
      </c>
      <c r="CO96" s="58">
        <f t="shared" si="163"/>
        <v>597.03804863614573</v>
      </c>
      <c r="CP96" s="58">
        <f t="shared" si="163"/>
        <v>520.55524305875156</v>
      </c>
      <c r="CQ96" s="58">
        <f t="shared" si="163"/>
        <v>339.91533655120071</v>
      </c>
      <c r="CR96" s="58">
        <f t="shared" si="163"/>
        <v>406.01597751780821</v>
      </c>
      <c r="CS96" s="58">
        <f t="shared" si="163"/>
        <v>604.65712668207846</v>
      </c>
      <c r="CT96" s="58">
        <f t="shared" si="163"/>
        <v>525.29560292912527</v>
      </c>
      <c r="CU96" s="58">
        <f t="shared" si="163"/>
        <v>315.53930066353848</v>
      </c>
      <c r="CV96" s="58">
        <f t="shared" si="163"/>
        <v>379.78805753203505</v>
      </c>
      <c r="CW96" s="58">
        <f t="shared" si="163"/>
        <v>612.29922803161287</v>
      </c>
      <c r="CX96" s="58">
        <f t="shared" si="163"/>
        <v>562.87036169129817</v>
      </c>
      <c r="CY96" s="58">
        <f t="shared" si="163"/>
        <v>216.81078608764849</v>
      </c>
      <c r="CZ96" s="58">
        <f t="shared" si="163"/>
        <v>354.37138109920733</v>
      </c>
      <c r="DA96" s="58">
        <f t="shared" si="163"/>
        <v>619.7475345981486</v>
      </c>
      <c r="DB96" s="58">
        <f t="shared" si="163"/>
        <v>618.78783883823576</v>
      </c>
      <c r="DC96" s="58">
        <f t="shared" si="163"/>
        <v>112.14658125493531</v>
      </c>
      <c r="DD96" s="58">
        <f t="shared" si="163"/>
        <v>323.38728883720262</v>
      </c>
      <c r="DE96" s="58">
        <f t="shared" si="163"/>
        <v>632.33854915898132</v>
      </c>
      <c r="DF96" s="58">
        <f t="shared" si="163"/>
        <v>634.20141126394799</v>
      </c>
      <c r="DG96" s="58">
        <f t="shared" si="163"/>
        <v>99.94014770561401</v>
      </c>
      <c r="DH96" s="58">
        <f t="shared" si="163"/>
        <v>330.46969632562718</v>
      </c>
      <c r="DI96" s="58">
        <f t="shared" si="163"/>
        <v>641.17764340263795</v>
      </c>
      <c r="DJ96" s="58">
        <f t="shared" si="163"/>
        <v>677.50783588648778</v>
      </c>
      <c r="DK96" s="58">
        <f t="shared" si="163"/>
        <v>23.9002293570638</v>
      </c>
      <c r="DL96" s="58">
        <f t="shared" si="163"/>
        <v>309.20985821149594</v>
      </c>
      <c r="DM96" s="58">
        <f t="shared" si="163"/>
        <v>655.85655617196016</v>
      </c>
      <c r="DN96" s="58">
        <f t="shared" si="163"/>
        <v>752.53331751275368</v>
      </c>
      <c r="DO96" s="58">
        <f t="shared" si="163"/>
        <v>0</v>
      </c>
      <c r="DP96" s="58">
        <f t="shared" si="163"/>
        <v>283.12072981702795</v>
      </c>
      <c r="DQ96" s="58">
        <f t="shared" si="163"/>
        <v>667.17493794898019</v>
      </c>
      <c r="DR96" s="58">
        <f t="shared" si="163"/>
        <v>667.32210550639991</v>
      </c>
      <c r="DS96" s="58">
        <f t="shared" si="163"/>
        <v>667.45246394227627</v>
      </c>
      <c r="DT96" s="58">
        <f t="shared" si="163"/>
        <v>667.15283566134281</v>
      </c>
      <c r="DU96" s="58">
        <f t="shared" si="163"/>
        <v>667.11092929825429</v>
      </c>
      <c r="DV96" s="58">
        <f t="shared" si="163"/>
        <v>667.27891516287684</v>
      </c>
      <c r="DW96" s="58">
        <f t="shared" si="163"/>
        <v>667.44185073455753</v>
      </c>
      <c r="DX96" s="58">
        <f t="shared" si="163"/>
        <v>667.21349927482004</v>
      </c>
      <c r="DY96" s="58">
        <f t="shared" si="163"/>
        <v>667.20889904350997</v>
      </c>
      <c r="DZ96" s="58"/>
      <c r="EA96" s="58">
        <f t="shared" ref="EA96:EC96" si="164">EB56/1000</f>
        <v>667.58033045878187</v>
      </c>
      <c r="EB96" s="58">
        <f t="shared" si="164"/>
        <v>667.39954354414738</v>
      </c>
      <c r="EC96" s="58">
        <f t="shared" si="164"/>
        <v>667.35683050163584</v>
      </c>
      <c r="ED96" s="58"/>
      <c r="EE96" s="58">
        <f t="shared" ref="EE96:EG96" si="165">EF56/1000</f>
        <v>667.65838523074262</v>
      </c>
      <c r="EF96" s="58">
        <f t="shared" si="165"/>
        <v>667.5207988579557</v>
      </c>
      <c r="EG96" s="58">
        <f t="shared" si="165"/>
        <v>667.38166360021501</v>
      </c>
      <c r="EH96" s="58"/>
      <c r="EI96" s="58">
        <f t="shared" ref="EI96:EK96" si="166">EJ56/1000</f>
        <v>667.59733173649158</v>
      </c>
      <c r="EJ96" s="58">
        <f t="shared" si="166"/>
        <v>667.43389735181518</v>
      </c>
      <c r="EK96" s="58">
        <f t="shared" si="166"/>
        <v>667.25992162756097</v>
      </c>
      <c r="EL96" s="58"/>
      <c r="EM96" s="58">
        <f t="shared" ref="EM96:EO96" si="167">EN56/1000</f>
        <v>667.62325180286405</v>
      </c>
      <c r="EN96" s="58">
        <f t="shared" si="167"/>
        <v>667.44213802745651</v>
      </c>
      <c r="EO96" s="58">
        <f t="shared" si="167"/>
        <v>667.12194244593013</v>
      </c>
      <c r="EP96" s="58"/>
      <c r="EQ96" s="58">
        <f t="shared" ref="EQ96:ES96" si="168">ER56/1000</f>
        <v>667.65360853551817</v>
      </c>
      <c r="ER96" s="58">
        <f t="shared" si="168"/>
        <v>667.47556517708722</v>
      </c>
      <c r="ES96" s="58">
        <f t="shared" si="168"/>
        <v>666.73359050152476</v>
      </c>
      <c r="ET96" s="58"/>
      <c r="EU96" s="58" t="e">
        <f t="shared" ref="EU96:EW96" si="169">EV56/1000</f>
        <v>#DIV/0!</v>
      </c>
      <c r="EV96" s="58" t="e">
        <f t="shared" si="169"/>
        <v>#DIV/0!</v>
      </c>
      <c r="EW96" s="58" t="e">
        <f t="shared" si="169"/>
        <v>#DIV/0!</v>
      </c>
      <c r="EX96" s="58"/>
      <c r="EY96" s="58" t="e">
        <f t="shared" ref="EY96:FA96" si="170">EZ56/1000</f>
        <v>#DIV/0!</v>
      </c>
      <c r="EZ96" s="58" t="e">
        <f t="shared" si="170"/>
        <v>#DIV/0!</v>
      </c>
      <c r="FA96" s="58" t="e">
        <f t="shared" si="170"/>
        <v>#DIV/0!</v>
      </c>
      <c r="FB96" s="58"/>
      <c r="FC96" s="58" t="e">
        <f t="shared" ref="FC96:FE96" si="171">FD56/1000</f>
        <v>#DIV/0!</v>
      </c>
      <c r="FD96" s="58" t="e">
        <f t="shared" si="171"/>
        <v>#DIV/0!</v>
      </c>
      <c r="FE96" s="58" t="e">
        <f t="shared" si="171"/>
        <v>#DIV/0!</v>
      </c>
      <c r="FF96" s="58"/>
      <c r="FG96" s="58" t="e">
        <f t="shared" ref="FG96:FI96" si="172">FH56/1000</f>
        <v>#DIV/0!</v>
      </c>
      <c r="FH96" s="58" t="e">
        <f t="shared" si="172"/>
        <v>#DIV/0!</v>
      </c>
      <c r="FI96" s="58" t="e">
        <f t="shared" si="172"/>
        <v>#DIV/0!</v>
      </c>
      <c r="FJ96" s="58"/>
    </row>
    <row r="97" spans="1:166" ht="15" x14ac:dyDescent="0.25">
      <c r="A97" s="9" t="s">
        <v>147</v>
      </c>
      <c r="B97" s="57">
        <f>SUM(C49:C50)/1000</f>
        <v>2.2120000000000002</v>
      </c>
      <c r="C97" s="57">
        <f t="shared" ref="C97:AW97" si="173">SUM(D49:D50)/1000</f>
        <v>3.069</v>
      </c>
      <c r="D97" s="57">
        <f t="shared" si="173"/>
        <v>4.96</v>
      </c>
      <c r="E97" s="57">
        <f t="shared" si="173"/>
        <v>4.4740000000000002</v>
      </c>
      <c r="F97" s="57">
        <f t="shared" si="173"/>
        <v>4.367</v>
      </c>
      <c r="G97" s="57">
        <f t="shared" si="173"/>
        <v>4.2210000000000001</v>
      </c>
      <c r="H97" s="57">
        <f t="shared" si="173"/>
        <v>3.577</v>
      </c>
      <c r="I97" s="57">
        <f t="shared" si="173"/>
        <v>2.68</v>
      </c>
      <c r="J97" s="57">
        <f t="shared" si="173"/>
        <v>4.24</v>
      </c>
      <c r="K97" s="57">
        <f t="shared" si="173"/>
        <v>5.1829999999999998</v>
      </c>
      <c r="L97" s="57">
        <f t="shared" si="173"/>
        <v>49.133000000000003</v>
      </c>
      <c r="M97" s="57">
        <f t="shared" si="173"/>
        <v>39.561999999999998</v>
      </c>
      <c r="N97" s="57">
        <f t="shared" si="173"/>
        <v>41.738999999999997</v>
      </c>
      <c r="O97" s="57">
        <f t="shared" si="173"/>
        <v>37.893999999999998</v>
      </c>
      <c r="P97" s="57">
        <f t="shared" si="173"/>
        <v>72.585999999999999</v>
      </c>
      <c r="Q97" s="57">
        <f t="shared" si="173"/>
        <v>87.338999999999999</v>
      </c>
      <c r="R97" s="57">
        <f t="shared" si="173"/>
        <v>96.046999999999997</v>
      </c>
      <c r="S97" s="57">
        <f t="shared" si="173"/>
        <v>143.83099999999999</v>
      </c>
      <c r="T97" s="57">
        <f t="shared" si="173"/>
        <v>165.38800000000001</v>
      </c>
      <c r="U97" s="57">
        <f t="shared" si="173"/>
        <v>170.68600000000001</v>
      </c>
      <c r="V97" s="57">
        <f t="shared" si="173"/>
        <v>186.80799999999999</v>
      </c>
      <c r="W97" s="57">
        <f t="shared" si="173"/>
        <v>191.624</v>
      </c>
      <c r="X97" s="57">
        <f t="shared" si="173"/>
        <v>154.49100000000001</v>
      </c>
      <c r="Y97" s="57">
        <f t="shared" si="173"/>
        <v>149.732</v>
      </c>
      <c r="Z97" s="57">
        <f t="shared" si="173"/>
        <v>136.721</v>
      </c>
      <c r="AA97" s="57">
        <f t="shared" si="173"/>
        <v>173.49700000000001</v>
      </c>
      <c r="AB97" s="57">
        <f t="shared" si="173"/>
        <v>185.321</v>
      </c>
      <c r="AC97" s="57">
        <f t="shared" si="173"/>
        <v>185.446</v>
      </c>
      <c r="AD97" s="57">
        <f t="shared" si="173"/>
        <v>179.50700000000001</v>
      </c>
      <c r="AE97" s="57">
        <f t="shared" si="173"/>
        <v>170.495</v>
      </c>
      <c r="AF97" s="57">
        <f t="shared" si="173"/>
        <v>197.971</v>
      </c>
      <c r="AG97" s="57">
        <f t="shared" si="173"/>
        <v>203.315</v>
      </c>
      <c r="AH97" s="57">
        <f t="shared" si="173"/>
        <v>181.92500000000001</v>
      </c>
      <c r="AI97" s="57">
        <f t="shared" si="173"/>
        <v>199.91499999999999</v>
      </c>
      <c r="AJ97" s="57">
        <f t="shared" si="173"/>
        <v>251.06700000000001</v>
      </c>
      <c r="AK97" s="57">
        <f t="shared" si="173"/>
        <v>303.88499999999999</v>
      </c>
      <c r="AL97" s="57">
        <f t="shared" si="173"/>
        <v>299.36500000000001</v>
      </c>
      <c r="AM97" s="57">
        <f t="shared" si="173"/>
        <v>322.69299999999998</v>
      </c>
      <c r="AN97" s="57">
        <f t="shared" si="173"/>
        <v>489.19900000000001</v>
      </c>
      <c r="AO97" s="57">
        <f t="shared" si="173"/>
        <v>553.45000000000005</v>
      </c>
      <c r="AP97" s="57">
        <f t="shared" si="173"/>
        <v>469.75099999999998</v>
      </c>
      <c r="AQ97" s="57">
        <f t="shared" si="173"/>
        <v>645.55899999999997</v>
      </c>
      <c r="AR97" s="57">
        <f t="shared" si="173"/>
        <v>843.17899999999997</v>
      </c>
      <c r="AS97" s="57">
        <f t="shared" si="173"/>
        <v>828.59500000000003</v>
      </c>
      <c r="AT97" s="57">
        <f t="shared" si="173"/>
        <v>820.91700000000003</v>
      </c>
      <c r="AU97" s="57">
        <f t="shared" si="173"/>
        <v>1099.239</v>
      </c>
      <c r="AV97" s="57">
        <f t="shared" si="173"/>
        <v>1204.337</v>
      </c>
      <c r="AW97" s="57">
        <f t="shared" si="173"/>
        <v>1220.586</v>
      </c>
      <c r="AX97" s="57">
        <f t="shared" ref="AX97:DI97" si="174">SUM(AY49:AY50)/1000</f>
        <v>1066.9110000000001</v>
      </c>
      <c r="AY97" s="57">
        <f t="shared" si="174"/>
        <v>1356.7750000000001</v>
      </c>
      <c r="AZ97" s="57">
        <f t="shared" si="174"/>
        <v>1408.826</v>
      </c>
      <c r="BA97" s="57">
        <f t="shared" si="174"/>
        <v>1493.01</v>
      </c>
      <c r="BB97" s="57">
        <f t="shared" si="174"/>
        <v>1540.0640000000001</v>
      </c>
      <c r="BC97" s="57">
        <f t="shared" si="174"/>
        <v>1863.182</v>
      </c>
      <c r="BD97" s="58">
        <f t="shared" si="174"/>
        <v>2115.1819999999998</v>
      </c>
      <c r="BE97" s="58">
        <f t="shared" si="174"/>
        <v>1179.7424057172684</v>
      </c>
      <c r="BF97" s="58">
        <f t="shared" si="174"/>
        <v>1007.3931509739988</v>
      </c>
      <c r="BG97" s="58">
        <f t="shared" si="174"/>
        <v>1110.3994619661496</v>
      </c>
      <c r="BH97" s="58">
        <f t="shared" si="174"/>
        <v>1258.8033541019704</v>
      </c>
      <c r="BI97" s="58">
        <f t="shared" si="174"/>
        <v>1193.0453097298189</v>
      </c>
      <c r="BJ97" s="58">
        <f t="shared" si="174"/>
        <v>990.21803613069721</v>
      </c>
      <c r="BK97" s="58">
        <f t="shared" si="174"/>
        <v>1106.9541722751071</v>
      </c>
      <c r="BL97" s="58">
        <f t="shared" si="174"/>
        <v>1273.345630286605</v>
      </c>
      <c r="BM97" s="58">
        <f t="shared" si="174"/>
        <v>1195.6626766788481</v>
      </c>
      <c r="BN97" s="58">
        <f t="shared" si="174"/>
        <v>977.21807352842382</v>
      </c>
      <c r="BO97" s="58">
        <f t="shared" si="174"/>
        <v>1103.6327701129419</v>
      </c>
      <c r="BP97" s="58">
        <f t="shared" si="174"/>
        <v>1275.7267624505698</v>
      </c>
      <c r="BQ97" s="58">
        <f t="shared" si="174"/>
        <v>1195.268605854267</v>
      </c>
      <c r="BR97" s="58">
        <f t="shared" si="174"/>
        <v>939.27049294395465</v>
      </c>
      <c r="BS97" s="58">
        <f t="shared" si="174"/>
        <v>1081.5037393180187</v>
      </c>
      <c r="BT97" s="58">
        <f t="shared" si="174"/>
        <v>1281.5706923027667</v>
      </c>
      <c r="BU97" s="58">
        <f t="shared" si="174"/>
        <v>1181.3627956351077</v>
      </c>
      <c r="BV97" s="58">
        <f t="shared" si="174"/>
        <v>900.36372974526523</v>
      </c>
      <c r="BW97" s="58">
        <f t="shared" si="174"/>
        <v>1070.2244343074926</v>
      </c>
      <c r="BX97" s="58">
        <f t="shared" si="174"/>
        <v>1289.5713052542262</v>
      </c>
      <c r="BY97" s="58">
        <f t="shared" si="174"/>
        <v>1194.3289333110831</v>
      </c>
      <c r="BZ97" s="58">
        <f t="shared" si="174"/>
        <v>921.65982594840034</v>
      </c>
      <c r="CA97" s="58">
        <f t="shared" si="174"/>
        <v>1080.5429420785379</v>
      </c>
      <c r="CB97" s="58">
        <f t="shared" si="174"/>
        <v>1293.4656525233906</v>
      </c>
      <c r="CC97" s="58">
        <f t="shared" si="174"/>
        <v>1200.730337606733</v>
      </c>
      <c r="CD97" s="58">
        <f t="shared" si="174"/>
        <v>928.02612030751914</v>
      </c>
      <c r="CE97" s="58">
        <f t="shared" si="174"/>
        <v>1087.5832794411999</v>
      </c>
      <c r="CF97" s="58">
        <f t="shared" si="174"/>
        <v>1312.1398994121621</v>
      </c>
      <c r="CG97" s="58">
        <f t="shared" si="174"/>
        <v>1210.0690741491123</v>
      </c>
      <c r="CH97" s="58">
        <f t="shared" si="174"/>
        <v>928.03569477225346</v>
      </c>
      <c r="CI97" s="58">
        <f t="shared" si="174"/>
        <v>1090.5623880015758</v>
      </c>
      <c r="CJ97" s="58">
        <f t="shared" si="174"/>
        <v>1283.9895190633242</v>
      </c>
      <c r="CK97" s="58">
        <f t="shared" si="174"/>
        <v>1195.0047864654471</v>
      </c>
      <c r="CL97" s="58">
        <f t="shared" si="174"/>
        <v>941.97924177027232</v>
      </c>
      <c r="CM97" s="58">
        <f t="shared" si="174"/>
        <v>1087.7131545775953</v>
      </c>
      <c r="CN97" s="58">
        <f t="shared" si="174"/>
        <v>1287.5090733771399</v>
      </c>
      <c r="CO97" s="58">
        <f t="shared" si="174"/>
        <v>1195.6558577729425</v>
      </c>
      <c r="CP97" s="58">
        <f t="shared" si="174"/>
        <v>934.92534538803272</v>
      </c>
      <c r="CQ97" s="58">
        <f t="shared" si="174"/>
        <v>1084.8139792178076</v>
      </c>
      <c r="CR97" s="58">
        <f t="shared" si="174"/>
        <v>1289.6812868347483</v>
      </c>
      <c r="CS97" s="58">
        <f t="shared" si="174"/>
        <v>1195.630954778981</v>
      </c>
      <c r="CT97" s="58">
        <f t="shared" si="174"/>
        <v>928.86126421045913</v>
      </c>
      <c r="CU97" s="58">
        <f t="shared" si="174"/>
        <v>1082.1591324489705</v>
      </c>
      <c r="CV97" s="58">
        <f t="shared" si="174"/>
        <v>1291.7233387402048</v>
      </c>
      <c r="CW97" s="58">
        <f t="shared" si="174"/>
        <v>1195.8610368091415</v>
      </c>
      <c r="CX97" s="58">
        <f t="shared" si="174"/>
        <v>927.31172017646247</v>
      </c>
      <c r="CY97" s="58">
        <f t="shared" si="174"/>
        <v>1081.8830394030144</v>
      </c>
      <c r="CZ97" s="58">
        <f t="shared" si="174"/>
        <v>1293.8209082328954</v>
      </c>
      <c r="DA97" s="58">
        <f t="shared" si="174"/>
        <v>1197.2820811079666</v>
      </c>
      <c r="DB97" s="58">
        <f t="shared" si="174"/>
        <v>930.73583646788359</v>
      </c>
      <c r="DC97" s="58">
        <f t="shared" si="174"/>
        <v>1084.260631351179</v>
      </c>
      <c r="DD97" s="58">
        <f t="shared" si="174"/>
        <v>1293.8951299438593</v>
      </c>
      <c r="DE97" s="58">
        <f t="shared" si="174"/>
        <v>1198.1013747190116</v>
      </c>
      <c r="DF97" s="58">
        <f t="shared" si="174"/>
        <v>931.85502297466644</v>
      </c>
      <c r="DG97" s="58">
        <f t="shared" si="174"/>
        <v>1084.9765336502778</v>
      </c>
      <c r="DH97" s="58">
        <f t="shared" si="174"/>
        <v>1293.6151751393061</v>
      </c>
      <c r="DI97" s="58">
        <f t="shared" si="174"/>
        <v>1198.153385687403</v>
      </c>
      <c r="DJ97" s="58">
        <f t="shared" ref="DJ97:DY97" si="175">SUM(DK49:DK50)/1000</f>
        <v>932.10986140957266</v>
      </c>
      <c r="DK97" s="58">
        <f t="shared" si="175"/>
        <v>1084.6038577256443</v>
      </c>
      <c r="DL97" s="58">
        <f t="shared" si="175"/>
        <v>1291.0972985140836</v>
      </c>
      <c r="DM97" s="58">
        <f t="shared" si="175"/>
        <v>1196.4784992247182</v>
      </c>
      <c r="DN97" s="58">
        <f t="shared" si="175"/>
        <v>932.67008333588342</v>
      </c>
      <c r="DO97" s="58">
        <f t="shared" si="175"/>
        <v>1084.3769839229878</v>
      </c>
      <c r="DP97" s="58">
        <f t="shared" si="175"/>
        <v>1291.5452288906897</v>
      </c>
      <c r="DQ97" s="58">
        <f t="shared" si="175"/>
        <v>1196.7110982842291</v>
      </c>
      <c r="DR97" s="58">
        <f t="shared" si="175"/>
        <v>931.28651046883601</v>
      </c>
      <c r="DS97" s="58">
        <f t="shared" si="175"/>
        <v>1083.8912340745692</v>
      </c>
      <c r="DT97" s="58">
        <f t="shared" si="175"/>
        <v>1292.157415551645</v>
      </c>
      <c r="DU97" s="58">
        <f t="shared" si="175"/>
        <v>1196.8748461694086</v>
      </c>
      <c r="DV97" s="58">
        <f t="shared" si="175"/>
        <v>930.72627237701613</v>
      </c>
      <c r="DW97" s="58">
        <f t="shared" si="175"/>
        <v>1083.7490611119113</v>
      </c>
      <c r="DX97" s="58">
        <f t="shared" si="175"/>
        <v>1292.538970229838</v>
      </c>
      <c r="DY97" s="58">
        <f t="shared" si="175"/>
        <v>1292.4924057878063</v>
      </c>
      <c r="DZ97" s="58"/>
      <c r="EA97" s="58">
        <f t="shared" ref="EA97:EC97" si="176">SUM(EB49:EB50)/1000</f>
        <v>1083.9640184043444</v>
      </c>
      <c r="EB97" s="58">
        <f t="shared" si="176"/>
        <v>1292.6650101264738</v>
      </c>
      <c r="EC97" s="58">
        <f t="shared" si="176"/>
        <v>1292.5775157159992</v>
      </c>
      <c r="ED97" s="58"/>
      <c r="EE97" s="58">
        <f t="shared" ref="EE97:EG97" si="177">SUM(EF49:EF50)/1000</f>
        <v>1084.2515831684907</v>
      </c>
      <c r="EF97" s="58">
        <f t="shared" si="177"/>
        <v>1292.5239764906885</v>
      </c>
      <c r="EG97" s="58">
        <f t="shared" si="177"/>
        <v>1292.5068310706631</v>
      </c>
      <c r="EH97" s="58"/>
      <c r="EI97" s="58">
        <f t="shared" ref="EI97:EK97" si="178">SUM(EJ49:EJ50)/1000</f>
        <v>1084.2611907216822</v>
      </c>
      <c r="EJ97" s="58">
        <f t="shared" si="178"/>
        <v>1292.3558739719624</v>
      </c>
      <c r="EK97" s="58">
        <f t="shared" si="178"/>
        <v>1292.3605816986419</v>
      </c>
      <c r="EL97" s="58"/>
      <c r="EM97" s="58">
        <f t="shared" ref="EM97:EO97" si="179">SUM(EN49:EN50)/1000</f>
        <v>1084.1646742574678</v>
      </c>
      <c r="EN97" s="58">
        <f t="shared" si="179"/>
        <v>1292.199750432839</v>
      </c>
      <c r="EO97" s="58">
        <f t="shared" si="179"/>
        <v>1292.2100912848364</v>
      </c>
      <c r="EP97" s="58"/>
      <c r="EQ97" s="58">
        <f t="shared" ref="EQ97:ES97" si="180">SUM(ER49:ER50)/1000</f>
        <v>1084.1044358852366</v>
      </c>
      <c r="ER97" s="58">
        <f t="shared" si="180"/>
        <v>1292.3038918122836</v>
      </c>
      <c r="ES97" s="58">
        <f t="shared" si="180"/>
        <v>1292.3240288518878</v>
      </c>
      <c r="ET97" s="58"/>
      <c r="EU97" s="58">
        <f t="shared" ref="EU97:EW97" si="181">SUM(EV49:EV50)/1000</f>
        <v>1084.0547300133801</v>
      </c>
      <c r="EV97" s="58">
        <f t="shared" si="181"/>
        <v>1292.3862698181729</v>
      </c>
      <c r="EW97" s="58">
        <f t="shared" si="181"/>
        <v>1292.3867703000521</v>
      </c>
      <c r="EX97" s="58"/>
      <c r="EY97" s="58">
        <f t="shared" ref="EY97:FA97" si="182">SUM(EZ49:EZ50)/1000</f>
        <v>1084.0752788864013</v>
      </c>
      <c r="EZ97" s="58">
        <f t="shared" si="182"/>
        <v>1292.4156802081577</v>
      </c>
      <c r="FA97" s="58">
        <f t="shared" si="182"/>
        <v>1292.4088371993703</v>
      </c>
      <c r="FB97" s="58"/>
      <c r="FC97" s="58">
        <f t="shared" ref="FC97:FE97" si="183">SUM(FD49:FD50)/1000</f>
        <v>1084.1247282785985</v>
      </c>
      <c r="FD97" s="58">
        <f t="shared" si="183"/>
        <v>1292.4022840981618</v>
      </c>
      <c r="FE97" s="58">
        <f t="shared" si="183"/>
        <v>1292.3972673600178</v>
      </c>
      <c r="FF97" s="58"/>
      <c r="FG97" s="58">
        <f t="shared" ref="FG97:FI97" si="184">SUM(FH49:FH50)/1000</f>
        <v>1084.1473854390586</v>
      </c>
      <c r="FH97" s="58">
        <f t="shared" si="184"/>
        <v>1292.3713010583604</v>
      </c>
      <c r="FI97" s="58">
        <f t="shared" si="184"/>
        <v>1292.3719173017032</v>
      </c>
      <c r="FJ97" s="58"/>
    </row>
    <row r="98" spans="1:166" ht="15" x14ac:dyDescent="0.25">
      <c r="A98" s="9" t="s">
        <v>148</v>
      </c>
      <c r="B98" s="57">
        <f>SUM(C51:C52)/1000</f>
        <v>39.933999999999997</v>
      </c>
      <c r="C98" s="57">
        <f>SUM(D51:D52)/1000</f>
        <v>42.168999999999997</v>
      </c>
      <c r="D98" s="57">
        <f t="shared" ref="D98:BO98" si="185">SUM(E51:E52)/1000</f>
        <v>41.442999999999998</v>
      </c>
      <c r="E98" s="57">
        <f t="shared" si="185"/>
        <v>40.844000000000001</v>
      </c>
      <c r="F98" s="57">
        <f t="shared" si="185"/>
        <v>40.225999999999999</v>
      </c>
      <c r="G98" s="57">
        <f t="shared" si="185"/>
        <v>43.158000000000001</v>
      </c>
      <c r="H98" s="57">
        <f t="shared" si="185"/>
        <v>49.942</v>
      </c>
      <c r="I98" s="57">
        <f t="shared" si="185"/>
        <v>49.844000000000001</v>
      </c>
      <c r="J98" s="57">
        <f t="shared" si="185"/>
        <v>59.246000000000002</v>
      </c>
      <c r="K98" s="57">
        <f t="shared" si="185"/>
        <v>58.045000000000002</v>
      </c>
      <c r="L98" s="57">
        <f t="shared" si="185"/>
        <v>50.798999999999999</v>
      </c>
      <c r="M98" s="57">
        <f t="shared" si="185"/>
        <v>53.765000000000001</v>
      </c>
      <c r="N98" s="57">
        <f t="shared" si="185"/>
        <v>57.640999999999998</v>
      </c>
      <c r="O98" s="57">
        <f t="shared" si="185"/>
        <v>70.355000000000004</v>
      </c>
      <c r="P98" s="57">
        <f t="shared" si="185"/>
        <v>60.792999999999999</v>
      </c>
      <c r="Q98" s="57">
        <f t="shared" si="185"/>
        <v>58.226999999999997</v>
      </c>
      <c r="R98" s="57">
        <f t="shared" si="185"/>
        <v>59.66</v>
      </c>
      <c r="S98" s="57">
        <f t="shared" si="185"/>
        <v>50.677999999999997</v>
      </c>
      <c r="T98" s="57">
        <f t="shared" si="185"/>
        <v>49.578000000000003</v>
      </c>
      <c r="U98" s="57">
        <f t="shared" si="185"/>
        <v>45.674999999999997</v>
      </c>
      <c r="V98" s="57">
        <f t="shared" si="185"/>
        <v>43.627000000000002</v>
      </c>
      <c r="W98" s="57">
        <f t="shared" si="185"/>
        <v>46.616</v>
      </c>
      <c r="X98" s="57">
        <f t="shared" si="185"/>
        <v>40.957000000000001</v>
      </c>
      <c r="Y98" s="57">
        <f t="shared" si="185"/>
        <v>38.991</v>
      </c>
      <c r="Z98" s="57">
        <f t="shared" si="185"/>
        <v>16.030999999999999</v>
      </c>
      <c r="AA98" s="57">
        <f t="shared" si="185"/>
        <v>14.323</v>
      </c>
      <c r="AB98" s="57">
        <f t="shared" si="185"/>
        <v>14.005000000000001</v>
      </c>
      <c r="AC98" s="57">
        <f t="shared" si="185"/>
        <v>14.135</v>
      </c>
      <c r="AD98" s="57">
        <f t="shared" si="185"/>
        <v>15.292</v>
      </c>
      <c r="AE98" s="57">
        <f t="shared" si="185"/>
        <v>16.963999999999999</v>
      </c>
      <c r="AF98" s="57">
        <f t="shared" si="185"/>
        <v>14.909000000000001</v>
      </c>
      <c r="AG98" s="57">
        <f t="shared" si="185"/>
        <v>11.61</v>
      </c>
      <c r="AH98" s="57">
        <f t="shared" si="185"/>
        <v>8.1329999999999991</v>
      </c>
      <c r="AI98" s="57">
        <f t="shared" si="185"/>
        <v>7.22</v>
      </c>
      <c r="AJ98" s="57">
        <f t="shared" si="185"/>
        <v>8.1069999999999993</v>
      </c>
      <c r="AK98" s="57">
        <f t="shared" si="185"/>
        <v>7.391</v>
      </c>
      <c r="AL98" s="57">
        <f t="shared" si="185"/>
        <v>3.7</v>
      </c>
      <c r="AM98" s="57">
        <f t="shared" si="185"/>
        <v>2.4510000000000001</v>
      </c>
      <c r="AN98" s="57">
        <f t="shared" si="185"/>
        <v>1.4570000000000001</v>
      </c>
      <c r="AO98" s="57">
        <f t="shared" si="185"/>
        <v>0.58499999999999996</v>
      </c>
      <c r="AP98" s="57">
        <f t="shared" si="185"/>
        <v>0.48699999999999999</v>
      </c>
      <c r="AQ98" s="57">
        <f t="shared" si="185"/>
        <v>0.57899999999999996</v>
      </c>
      <c r="AR98" s="57">
        <f t="shared" si="185"/>
        <v>0.54500000000000004</v>
      </c>
      <c r="AS98" s="57">
        <f t="shared" si="185"/>
        <v>0.83599999999999997</v>
      </c>
      <c r="AT98" s="57">
        <f t="shared" si="185"/>
        <v>0.50900000000000001</v>
      </c>
      <c r="AU98" s="57">
        <f t="shared" si="185"/>
        <v>0.63400000000000001</v>
      </c>
      <c r="AV98" s="57">
        <f t="shared" si="185"/>
        <v>0.65500000000000003</v>
      </c>
      <c r="AW98" s="57">
        <f t="shared" si="185"/>
        <v>0.74399999999999999</v>
      </c>
      <c r="AX98" s="57">
        <f t="shared" si="185"/>
        <v>0.38200000000000001</v>
      </c>
      <c r="AY98" s="57">
        <f t="shared" si="185"/>
        <v>0.40500000000000003</v>
      </c>
      <c r="AZ98" s="57">
        <f t="shared" si="185"/>
        <v>0.52</v>
      </c>
      <c r="BA98" s="57">
        <f t="shared" si="185"/>
        <v>0.32900000000000001</v>
      </c>
      <c r="BB98" s="57">
        <f t="shared" si="185"/>
        <v>0.16800000000000001</v>
      </c>
      <c r="BC98" s="57">
        <f t="shared" si="185"/>
        <v>0.17799999999999999</v>
      </c>
      <c r="BD98" s="58">
        <f t="shared" si="185"/>
        <v>0.1</v>
      </c>
      <c r="BE98" s="58">
        <f t="shared" si="185"/>
        <v>0</v>
      </c>
      <c r="BF98" s="58">
        <f t="shared" si="185"/>
        <v>0</v>
      </c>
      <c r="BG98" s="58">
        <f t="shared" si="185"/>
        <v>0</v>
      </c>
      <c r="BH98" s="58">
        <f t="shared" si="185"/>
        <v>0</v>
      </c>
      <c r="BI98" s="58">
        <f t="shared" si="185"/>
        <v>0</v>
      </c>
      <c r="BJ98" s="58">
        <f t="shared" si="185"/>
        <v>0</v>
      </c>
      <c r="BK98" s="58">
        <f t="shared" si="185"/>
        <v>0.29992985503108127</v>
      </c>
      <c r="BL98" s="58">
        <f t="shared" si="185"/>
        <v>0.31464759796000269</v>
      </c>
      <c r="BM98" s="58">
        <f t="shared" si="185"/>
        <v>0.33687435077609851</v>
      </c>
      <c r="BN98" s="58">
        <f t="shared" si="185"/>
        <v>0.36878367266907752</v>
      </c>
      <c r="BO98" s="58">
        <f t="shared" si="185"/>
        <v>0.41506939980055629</v>
      </c>
      <c r="BP98" s="58">
        <f t="shared" ref="BP98:DY98" si="186">SUM(BQ51:BQ52)/1000</f>
        <v>0.47304414736292405</v>
      </c>
      <c r="BQ98" s="58">
        <f t="shared" si="186"/>
        <v>0.52536521043412499</v>
      </c>
      <c r="BR98" s="58">
        <f t="shared" si="186"/>
        <v>0.54043323224505802</v>
      </c>
      <c r="BS98" s="58">
        <f t="shared" si="186"/>
        <v>0.50430440197541537</v>
      </c>
      <c r="BT98" s="58">
        <f t="shared" si="186"/>
        <v>0.52330395807781993</v>
      </c>
      <c r="BU98" s="58">
        <f t="shared" si="186"/>
        <v>0.51651539386468048</v>
      </c>
      <c r="BV98" s="58">
        <f t="shared" si="186"/>
        <v>0.51902939640927481</v>
      </c>
      <c r="BW98" s="58">
        <f t="shared" si="186"/>
        <v>0.53469475852694903</v>
      </c>
      <c r="BX98" s="58">
        <f t="shared" si="186"/>
        <v>0.5452861118236263</v>
      </c>
      <c r="BY98" s="58">
        <f t="shared" si="186"/>
        <v>0.53916307278051157</v>
      </c>
      <c r="BZ98" s="58">
        <f t="shared" si="186"/>
        <v>0.50573807801641724</v>
      </c>
      <c r="CA98" s="58">
        <f t="shared" si="186"/>
        <v>0.4798283346863686</v>
      </c>
      <c r="CB98" s="58">
        <f t="shared" si="186"/>
        <v>0.45885371269824227</v>
      </c>
      <c r="CC98" s="58">
        <f t="shared" si="186"/>
        <v>0.46056727971877404</v>
      </c>
      <c r="CD98" s="58">
        <f t="shared" si="186"/>
        <v>0.47213123202945828</v>
      </c>
      <c r="CE98" s="58">
        <f t="shared" si="186"/>
        <v>0.52260585535420412</v>
      </c>
      <c r="CF98" s="58">
        <f t="shared" si="186"/>
        <v>0.52812173758117609</v>
      </c>
      <c r="CG98" s="58">
        <f t="shared" si="186"/>
        <v>0.53255786900578184</v>
      </c>
      <c r="CH98" s="58">
        <f t="shared" si="186"/>
        <v>0.53828931811386793</v>
      </c>
      <c r="CI98" s="58">
        <f t="shared" si="186"/>
        <v>0.5432946472532344</v>
      </c>
      <c r="CJ98" s="58">
        <f t="shared" si="186"/>
        <v>0.54829274970224307</v>
      </c>
      <c r="CK98" s="58">
        <f t="shared" si="186"/>
        <v>0.55277422945238508</v>
      </c>
      <c r="CL98" s="58">
        <f t="shared" si="186"/>
        <v>0.55786159850432981</v>
      </c>
      <c r="CM98" s="58">
        <f t="shared" si="186"/>
        <v>0.56317233389093113</v>
      </c>
      <c r="CN98" s="58">
        <f t="shared" si="186"/>
        <v>0.5672109045896202</v>
      </c>
      <c r="CO98" s="58">
        <f t="shared" si="186"/>
        <v>0.56001476909990944</v>
      </c>
      <c r="CP98" s="58">
        <f t="shared" si="186"/>
        <v>0.56132130564254534</v>
      </c>
      <c r="CQ98" s="58">
        <f t="shared" si="186"/>
        <v>0.56217596467438946</v>
      </c>
      <c r="CR98" s="58">
        <f t="shared" si="186"/>
        <v>0.56189812486908342</v>
      </c>
      <c r="CS98" s="58">
        <f t="shared" si="186"/>
        <v>0.56038314840882619</v>
      </c>
      <c r="CT98" s="58">
        <f t="shared" si="186"/>
        <v>0.55939951549833833</v>
      </c>
      <c r="CU98" s="58">
        <f t="shared" si="186"/>
        <v>0.56392717193044128</v>
      </c>
      <c r="CV98" s="58">
        <f t="shared" si="186"/>
        <v>0.57712696445603195</v>
      </c>
      <c r="CW98" s="58">
        <f t="shared" si="186"/>
        <v>0.58811720995002481</v>
      </c>
      <c r="CX98" s="58">
        <f t="shared" si="186"/>
        <v>0.59434948805329135</v>
      </c>
      <c r="CY98" s="58">
        <f t="shared" si="186"/>
        <v>0.59990885045867437</v>
      </c>
      <c r="CZ98" s="58">
        <f t="shared" si="186"/>
        <v>0.6055787824989155</v>
      </c>
      <c r="DA98" s="58">
        <f t="shared" si="186"/>
        <v>0.6109682527456789</v>
      </c>
      <c r="DB98" s="58">
        <f t="shared" si="186"/>
        <v>0.61608344236151702</v>
      </c>
      <c r="DC98" s="58">
        <f t="shared" si="186"/>
        <v>0.62139457921127517</v>
      </c>
      <c r="DD98" s="58">
        <f t="shared" si="186"/>
        <v>0.62683880491152044</v>
      </c>
      <c r="DE98" s="58">
        <f t="shared" si="186"/>
        <v>0.63162211682249325</v>
      </c>
      <c r="DF98" s="58">
        <f t="shared" si="186"/>
        <v>0.63533279673418386</v>
      </c>
      <c r="DG98" s="58">
        <f t="shared" si="186"/>
        <v>0.63748895023173313</v>
      </c>
      <c r="DH98" s="58">
        <f t="shared" si="186"/>
        <v>0.63890660742691741</v>
      </c>
      <c r="DI98" s="58">
        <f t="shared" si="186"/>
        <v>0.64015591348886902</v>
      </c>
      <c r="DJ98" s="58">
        <f t="shared" si="186"/>
        <v>0.64384676227489401</v>
      </c>
      <c r="DK98" s="58">
        <f t="shared" si="186"/>
        <v>0.64765536808388346</v>
      </c>
      <c r="DL98" s="58">
        <f t="shared" si="186"/>
        <v>0.6515609745921499</v>
      </c>
      <c r="DM98" s="58">
        <f t="shared" si="186"/>
        <v>0.65567647108784299</v>
      </c>
      <c r="DN98" s="58">
        <f t="shared" si="186"/>
        <v>0.66004070633905088</v>
      </c>
      <c r="DO98" s="58">
        <f t="shared" si="186"/>
        <v>0.66465496198359997</v>
      </c>
      <c r="DP98" s="58">
        <f t="shared" si="186"/>
        <v>0.66954575053354737</v>
      </c>
      <c r="DQ98" s="58">
        <f t="shared" si="186"/>
        <v>0.67473298984219932</v>
      </c>
      <c r="DR98" s="58">
        <f t="shared" si="186"/>
        <v>0.68021744369701953</v>
      </c>
      <c r="DS98" s="58">
        <f t="shared" si="186"/>
        <v>0.68587574196480383</v>
      </c>
      <c r="DT98" s="58">
        <f t="shared" si="186"/>
        <v>0.69084651995458457</v>
      </c>
      <c r="DU98" s="58">
        <f t="shared" si="186"/>
        <v>0.69577315517790206</v>
      </c>
      <c r="DV98" s="58">
        <f t="shared" si="186"/>
        <v>0.7005472302967205</v>
      </c>
      <c r="DW98" s="58">
        <f t="shared" si="186"/>
        <v>0.70502094287489914</v>
      </c>
      <c r="DX98" s="58">
        <f t="shared" si="186"/>
        <v>0.70902169005697169</v>
      </c>
      <c r="DY98" s="58">
        <f t="shared" si="186"/>
        <v>0.71248727049771343</v>
      </c>
      <c r="DZ98" s="58"/>
      <c r="EA98" s="58">
        <f t="shared" ref="EA98:EC98" si="187">SUM(EB51:EB52)/1000</f>
        <v>0.71935206930432638</v>
      </c>
      <c r="EB98" s="58">
        <f t="shared" si="187"/>
        <v>0.72329274857983716</v>
      </c>
      <c r="EC98" s="58">
        <f t="shared" si="187"/>
        <v>0.72730819943995606</v>
      </c>
      <c r="ED98" s="58"/>
      <c r="EE98" s="58">
        <f t="shared" ref="EE98:EG98" si="188">SUM(EF51:EF52)/1000</f>
        <v>0.7355045516041766</v>
      </c>
      <c r="EF98" s="58">
        <f t="shared" si="188"/>
        <v>0.73973252140871948</v>
      </c>
      <c r="EG98" s="58">
        <f t="shared" si="188"/>
        <v>0.74404379441953428</v>
      </c>
      <c r="EH98" s="58"/>
      <c r="EI98" s="58">
        <f t="shared" ref="EI98:EK98" si="189">SUM(EJ51:EJ52)/1000</f>
        <v>0.75303489160856873</v>
      </c>
      <c r="EJ98" s="58">
        <f t="shared" si="189"/>
        <v>0.75772402383635717</v>
      </c>
      <c r="EK98" s="58">
        <f t="shared" si="189"/>
        <v>0.7624742896411234</v>
      </c>
      <c r="EL98" s="58"/>
      <c r="EM98" s="58">
        <f t="shared" ref="EM98:EO98" si="190">SUM(EN51:EN52)/1000</f>
        <v>0.77173747126421477</v>
      </c>
      <c r="EN98" s="58">
        <f t="shared" si="190"/>
        <v>0.77611929657273449</v>
      </c>
      <c r="EO98" s="58">
        <f t="shared" si="190"/>
        <v>0.78045070964217234</v>
      </c>
      <c r="EP98" s="58"/>
      <c r="EQ98" s="58">
        <f t="shared" ref="EQ98:ES98" si="191">SUM(ER51:ER52)/1000</f>
        <v>0.78894664588148988</v>
      </c>
      <c r="ER98" s="58">
        <f t="shared" si="191"/>
        <v>0.79311259956517643</v>
      </c>
      <c r="ES98" s="58">
        <f t="shared" si="191"/>
        <v>0.79723611936044769</v>
      </c>
      <c r="ET98" s="58"/>
      <c r="EU98" s="58">
        <f t="shared" ref="EU98:EW98" si="192">SUM(EV51:EV52)/1000</f>
        <v>0.80541784268587269</v>
      </c>
      <c r="EV98" s="58">
        <f t="shared" si="192"/>
        <v>0.80952243006105873</v>
      </c>
      <c r="EW98" s="58">
        <f t="shared" si="192"/>
        <v>0.81367671570604283</v>
      </c>
      <c r="EX98" s="58"/>
      <c r="EY98" s="58">
        <f t="shared" ref="EY98:FA98" si="193">SUM(EZ51:EZ52)/1000</f>
        <v>0.82219121359966774</v>
      </c>
      <c r="EZ98" s="58">
        <f t="shared" si="193"/>
        <v>0.82653020192524407</v>
      </c>
      <c r="FA98" s="58">
        <f t="shared" si="193"/>
        <v>0.83092735170883825</v>
      </c>
      <c r="FB98" s="58"/>
      <c r="FC98" s="58">
        <f t="shared" ref="FC98:FE98" si="194">SUM(FD51:FD52)/1000</f>
        <v>0.83983432531331415</v>
      </c>
      <c r="FD98" s="58">
        <f t="shared" si="194"/>
        <v>0.8442761859701382</v>
      </c>
      <c r="FE98" s="58">
        <f t="shared" si="194"/>
        <v>0.84866962295347659</v>
      </c>
      <c r="FF98" s="58"/>
      <c r="FG98" s="58">
        <f t="shared" ref="FG98:FI98" si="195">SUM(FH51:FH52)/1000</f>
        <v>0.85736396461727593</v>
      </c>
      <c r="FH98" s="58">
        <f t="shared" si="195"/>
        <v>0.86167893826933939</v>
      </c>
      <c r="FI98" s="58">
        <f t="shared" si="195"/>
        <v>0.86597133033963247</v>
      </c>
      <c r="FJ98" s="58"/>
    </row>
    <row r="99" spans="1:166" ht="15" x14ac:dyDescent="0.25">
      <c r="A99" s="9" t="s">
        <v>124</v>
      </c>
      <c r="B99" s="57">
        <f>C54/1000</f>
        <v>0.45900000000000002</v>
      </c>
      <c r="C99" s="57">
        <f>D54/1000</f>
        <v>1.2929999999999999</v>
      </c>
      <c r="D99" s="57">
        <f t="shared" ref="D99:BO100" si="196">E54/1000</f>
        <v>2.4550000000000001</v>
      </c>
      <c r="E99" s="57">
        <f t="shared" si="196"/>
        <v>3.536</v>
      </c>
      <c r="F99" s="57">
        <f t="shared" si="196"/>
        <v>4.5190000000000001</v>
      </c>
      <c r="G99" s="57">
        <f t="shared" si="196"/>
        <v>5.56</v>
      </c>
      <c r="H99" s="57">
        <f t="shared" si="196"/>
        <v>7.2939999999999996</v>
      </c>
      <c r="I99" s="57">
        <f t="shared" si="196"/>
        <v>9.6110000000000007</v>
      </c>
      <c r="J99" s="57">
        <f t="shared" si="196"/>
        <v>15.051</v>
      </c>
      <c r="K99" s="57">
        <f t="shared" si="196"/>
        <v>19.515999999999998</v>
      </c>
      <c r="L99" s="57">
        <f t="shared" si="196"/>
        <v>25.039000000000001</v>
      </c>
      <c r="M99" s="57">
        <f t="shared" si="196"/>
        <v>34.347000000000001</v>
      </c>
      <c r="N99" s="57">
        <f t="shared" si="196"/>
        <v>41.753</v>
      </c>
      <c r="O99" s="57">
        <f t="shared" si="196"/>
        <v>51.091999999999999</v>
      </c>
      <c r="P99" s="57">
        <f t="shared" si="196"/>
        <v>59.366</v>
      </c>
      <c r="Q99" s="57">
        <f t="shared" si="196"/>
        <v>69.119</v>
      </c>
      <c r="R99" s="57">
        <f t="shared" si="196"/>
        <v>73.707999999999998</v>
      </c>
      <c r="S99" s="57">
        <f t="shared" si="196"/>
        <v>78.072000000000003</v>
      </c>
      <c r="T99" s="57">
        <f t="shared" si="196"/>
        <v>91.036000000000001</v>
      </c>
      <c r="U99" s="57">
        <f t="shared" si="196"/>
        <v>94.924000000000007</v>
      </c>
      <c r="V99" s="57">
        <f t="shared" si="196"/>
        <v>206.464</v>
      </c>
      <c r="W99" s="57">
        <f t="shared" si="196"/>
        <v>216.149</v>
      </c>
      <c r="X99" s="57">
        <f t="shared" si="196"/>
        <v>225.64</v>
      </c>
      <c r="Y99" s="57">
        <f t="shared" si="196"/>
        <v>256.45</v>
      </c>
      <c r="Z99" s="57">
        <f t="shared" si="196"/>
        <v>278.44200000000001</v>
      </c>
      <c r="AA99" s="57">
        <f t="shared" si="196"/>
        <v>294.20100000000002</v>
      </c>
      <c r="AB99" s="57">
        <f t="shared" si="196"/>
        <v>302.45600000000002</v>
      </c>
      <c r="AC99" s="57">
        <f t="shared" si="196"/>
        <v>323.01299999999998</v>
      </c>
      <c r="AD99" s="57">
        <f t="shared" si="196"/>
        <v>394.52499999999998</v>
      </c>
      <c r="AE99" s="57">
        <f t="shared" si="196"/>
        <v>424.03699999999998</v>
      </c>
      <c r="AF99" s="57">
        <f t="shared" si="196"/>
        <v>469.81299999999999</v>
      </c>
      <c r="AG99" s="57">
        <f t="shared" si="196"/>
        <v>503.08199999999999</v>
      </c>
      <c r="AH99" s="57">
        <f t="shared" si="196"/>
        <v>627.13499999999999</v>
      </c>
      <c r="AI99" s="57">
        <f t="shared" si="196"/>
        <v>620.98699999999997</v>
      </c>
      <c r="AJ99" s="57">
        <f t="shared" si="196"/>
        <v>734.99199999999996</v>
      </c>
      <c r="AK99" s="57">
        <f t="shared" si="196"/>
        <v>809.70600000000002</v>
      </c>
      <c r="AL99" s="57">
        <f t="shared" si="196"/>
        <v>800.71799999999996</v>
      </c>
      <c r="AM99" s="57">
        <f t="shared" si="196"/>
        <v>597.60500000000002</v>
      </c>
      <c r="AN99" s="57">
        <f t="shared" si="196"/>
        <v>738.93499999999995</v>
      </c>
      <c r="AO99" s="57">
        <f t="shared" si="196"/>
        <v>805.72500000000002</v>
      </c>
      <c r="AP99" s="57">
        <f t="shared" si="196"/>
        <v>902.04300000000001</v>
      </c>
      <c r="AQ99" s="57">
        <f t="shared" si="196"/>
        <v>1118.9390000000001</v>
      </c>
      <c r="AR99" s="57">
        <f t="shared" si="196"/>
        <v>1192.806</v>
      </c>
      <c r="AS99" s="57">
        <f t="shared" si="196"/>
        <v>1253.46</v>
      </c>
      <c r="AT99" s="57">
        <f t="shared" si="196"/>
        <v>1396.82</v>
      </c>
      <c r="AU99" s="57">
        <f t="shared" si="196"/>
        <v>1578.9349999999999</v>
      </c>
      <c r="AV99" s="57">
        <f t="shared" si="196"/>
        <v>1671.348</v>
      </c>
      <c r="AW99" s="57">
        <f t="shared" si="196"/>
        <v>1762.547</v>
      </c>
      <c r="AX99" s="57">
        <f t="shared" si="196"/>
        <v>1644.097</v>
      </c>
      <c r="AY99" s="57">
        <f t="shared" si="196"/>
        <v>1753.2819999999999</v>
      </c>
      <c r="AZ99" s="57">
        <f t="shared" si="196"/>
        <v>1920.92</v>
      </c>
      <c r="BA99" s="57">
        <f t="shared" si="196"/>
        <v>2025.2470000000001</v>
      </c>
      <c r="BB99" s="57">
        <f t="shared" si="196"/>
        <v>2007.097</v>
      </c>
      <c r="BC99" s="57">
        <f t="shared" si="196"/>
        <v>2223.712</v>
      </c>
      <c r="BD99" s="58">
        <f t="shared" si="196"/>
        <v>2353.3773479779688</v>
      </c>
      <c r="BE99" s="58">
        <f t="shared" si="196"/>
        <v>2165.9944611145256</v>
      </c>
      <c r="BF99" s="58">
        <f t="shared" si="196"/>
        <v>2278.3832951375384</v>
      </c>
      <c r="BG99" s="58">
        <f t="shared" si="196"/>
        <v>2394.459266883815</v>
      </c>
      <c r="BH99" s="58">
        <f t="shared" si="196"/>
        <v>2505.9017279818831</v>
      </c>
      <c r="BI99" s="58">
        <f t="shared" si="196"/>
        <v>2623.7839810711407</v>
      </c>
      <c r="BJ99" s="58">
        <f t="shared" si="196"/>
        <v>2759.082773174503</v>
      </c>
      <c r="BK99" s="58">
        <f t="shared" si="196"/>
        <v>2877.7469428380173</v>
      </c>
      <c r="BL99" s="58">
        <f t="shared" si="196"/>
        <v>2996.4156060940245</v>
      </c>
      <c r="BM99" s="58">
        <f t="shared" si="196"/>
        <v>3114.9221893964177</v>
      </c>
      <c r="BN99" s="58">
        <f t="shared" si="196"/>
        <v>3225.093405462238</v>
      </c>
      <c r="BO99" s="58">
        <f t="shared" si="196"/>
        <v>3334.9479907929467</v>
      </c>
      <c r="BP99" s="58">
        <f t="shared" ref="BP99:CE100" si="197">BQ54/1000</f>
        <v>3451.9719864945068</v>
      </c>
      <c r="BQ99" s="58">
        <f t="shared" si="197"/>
        <v>3566.1199256147488</v>
      </c>
      <c r="BR99" s="58">
        <f t="shared" si="197"/>
        <v>3682.2747046610825</v>
      </c>
      <c r="BS99" s="58">
        <f t="shared" si="197"/>
        <v>3800.460777673467</v>
      </c>
      <c r="BT99" s="58">
        <f t="shared" si="197"/>
        <v>3920.1881343641489</v>
      </c>
      <c r="BU99" s="58">
        <f t="shared" si="197"/>
        <v>4037.8321602695432</v>
      </c>
      <c r="BV99" s="58">
        <f t="shared" si="197"/>
        <v>4156.5153890785859</v>
      </c>
      <c r="BW99" s="58">
        <f t="shared" si="197"/>
        <v>4277.8191320362876</v>
      </c>
      <c r="BX99" s="58">
        <f t="shared" si="197"/>
        <v>4412.8136006154282</v>
      </c>
      <c r="BY99" s="58">
        <f t="shared" si="197"/>
        <v>4541.0223525267147</v>
      </c>
      <c r="BZ99" s="58">
        <f t="shared" si="197"/>
        <v>4658.4069024348519</v>
      </c>
      <c r="CA99" s="58">
        <f t="shared" si="197"/>
        <v>4795.3895946476814</v>
      </c>
      <c r="CB99" s="58">
        <f t="shared" si="197"/>
        <v>4916.6530694932153</v>
      </c>
      <c r="CC99" s="58">
        <f t="shared" si="197"/>
        <v>5026.3409962905962</v>
      </c>
      <c r="CD99" s="58">
        <f t="shared" si="197"/>
        <v>5152.635263902951</v>
      </c>
      <c r="CE99" s="58">
        <f t="shared" si="197"/>
        <v>5267.949043414591</v>
      </c>
      <c r="CF99" s="58">
        <f t="shared" ref="CF99:CU100" si="198">CG54/1000</f>
        <v>5389.433980979361</v>
      </c>
      <c r="CG99" s="58">
        <f t="shared" si="198"/>
        <v>5506.9111637071892</v>
      </c>
      <c r="CH99" s="58">
        <f t="shared" si="198"/>
        <v>5624.0574374668577</v>
      </c>
      <c r="CI99" s="58">
        <f t="shared" si="198"/>
        <v>5735.665077051287</v>
      </c>
      <c r="CJ99" s="58">
        <f t="shared" si="198"/>
        <v>5856.4163869881249</v>
      </c>
      <c r="CK99" s="58">
        <f t="shared" si="198"/>
        <v>5971.4466862705949</v>
      </c>
      <c r="CL99" s="58">
        <f t="shared" si="198"/>
        <v>6099.6849620589219</v>
      </c>
      <c r="CM99" s="58">
        <f t="shared" si="198"/>
        <v>6221.3789072241671</v>
      </c>
      <c r="CN99" s="58">
        <f t="shared" si="198"/>
        <v>6336.37012659219</v>
      </c>
      <c r="CO99" s="58">
        <f t="shared" si="198"/>
        <v>6461.8784886687163</v>
      </c>
      <c r="CP99" s="58">
        <f t="shared" si="198"/>
        <v>6581.8805934277043</v>
      </c>
      <c r="CQ99" s="58">
        <f t="shared" si="198"/>
        <v>6700.1075898696536</v>
      </c>
      <c r="CR99" s="58">
        <f t="shared" si="198"/>
        <v>6822.1317120926296</v>
      </c>
      <c r="CS99" s="58">
        <f t="shared" si="198"/>
        <v>6942.9272026400286</v>
      </c>
      <c r="CT99" s="58">
        <f t="shared" si="198"/>
        <v>7062.6346712402465</v>
      </c>
      <c r="CU99" s="58">
        <f t="shared" si="198"/>
        <v>7184.4047727192628</v>
      </c>
      <c r="CV99" s="58">
        <f t="shared" ref="CV99:DK100" si="199">CW54/1000</f>
        <v>7304.341638833881</v>
      </c>
      <c r="CW99" s="58">
        <f t="shared" si="199"/>
        <v>7424.5328912567202</v>
      </c>
      <c r="CX99" s="58">
        <f t="shared" si="199"/>
        <v>7543.9418900655301</v>
      </c>
      <c r="CY99" s="58">
        <f t="shared" si="199"/>
        <v>7663.3296064719334</v>
      </c>
      <c r="CZ99" s="58">
        <f t="shared" si="199"/>
        <v>7793.444045221263</v>
      </c>
      <c r="DA99" s="58">
        <f t="shared" si="199"/>
        <v>7914.7028022954673</v>
      </c>
      <c r="DB99" s="58">
        <f t="shared" si="199"/>
        <v>8025.5565232913659</v>
      </c>
      <c r="DC99" s="58">
        <f t="shared" si="199"/>
        <v>8151.5365417126623</v>
      </c>
      <c r="DD99" s="58">
        <f t="shared" si="199"/>
        <v>8268.7601295817622</v>
      </c>
      <c r="DE99" s="58">
        <f t="shared" si="199"/>
        <v>8380.7348926991053</v>
      </c>
      <c r="DF99" s="58">
        <f t="shared" si="199"/>
        <v>8505.2066719864761</v>
      </c>
      <c r="DG99" s="58">
        <f t="shared" si="199"/>
        <v>8622.9378424604911</v>
      </c>
      <c r="DH99" s="58">
        <f t="shared" si="199"/>
        <v>8744.6825515207438</v>
      </c>
      <c r="DI99" s="58">
        <f t="shared" si="199"/>
        <v>8865.8424486683671</v>
      </c>
      <c r="DJ99" s="58">
        <f t="shared" si="199"/>
        <v>8985.843384653017</v>
      </c>
      <c r="DK99" s="58">
        <f t="shared" si="199"/>
        <v>9105.8768113280876</v>
      </c>
      <c r="DL99" s="58">
        <f t="shared" ref="DL99:DY100" si="200">DM54/1000</f>
        <v>9226.9050366711053</v>
      </c>
      <c r="DM99" s="58">
        <f t="shared" si="200"/>
        <v>9346.3278339782664</v>
      </c>
      <c r="DN99" s="58">
        <f t="shared" si="200"/>
        <v>9476.7789920905943</v>
      </c>
      <c r="DO99" s="58">
        <f t="shared" si="200"/>
        <v>9599.2454420854738</v>
      </c>
      <c r="DP99" s="58">
        <f t="shared" si="200"/>
        <v>9712.3224283706149</v>
      </c>
      <c r="DQ99" s="58">
        <f t="shared" si="200"/>
        <v>9836.7251141280613</v>
      </c>
      <c r="DR99" s="58">
        <f t="shared" si="200"/>
        <v>9954.3431578058535</v>
      </c>
      <c r="DS99" s="58">
        <f t="shared" si="200"/>
        <v>10068.032642069586</v>
      </c>
      <c r="DT99" s="58">
        <f t="shared" si="200"/>
        <v>10190.483623515636</v>
      </c>
      <c r="DU99" s="58">
        <f t="shared" si="200"/>
        <v>10310.050888885029</v>
      </c>
      <c r="DV99" s="58">
        <f t="shared" si="200"/>
        <v>10429.294715304899</v>
      </c>
      <c r="DW99" s="58">
        <f t="shared" si="200"/>
        <v>10550.417932868708</v>
      </c>
      <c r="DX99" s="58">
        <f t="shared" si="200"/>
        <v>10670.342559845187</v>
      </c>
      <c r="DY99" s="58">
        <f t="shared" si="200"/>
        <v>10790.261023594941</v>
      </c>
      <c r="DZ99" s="58"/>
      <c r="EA99" s="58">
        <f t="shared" ref="EA99:EC100" si="201">EB54/1000</f>
        <v>11029.386629258879</v>
      </c>
      <c r="EB99" s="58">
        <f t="shared" si="201"/>
        <v>11159.713245917372</v>
      </c>
      <c r="EC99" s="58">
        <f t="shared" si="201"/>
        <v>11282.437634291991</v>
      </c>
      <c r="ED99" s="58"/>
      <c r="EE99" s="58">
        <f t="shared" ref="EE99:EG100" si="202">EF54/1000</f>
        <v>11521.515798912085</v>
      </c>
      <c r="EF99" s="58">
        <f t="shared" si="202"/>
        <v>11638.984324270545</v>
      </c>
      <c r="EG99" s="58">
        <f t="shared" si="202"/>
        <v>11751.445486230772</v>
      </c>
      <c r="EH99" s="58"/>
      <c r="EI99" s="58">
        <f t="shared" ref="EI99:EK100" si="203">EJ54/1000</f>
        <v>11993.96473792908</v>
      </c>
      <c r="EJ99" s="58">
        <f t="shared" si="203"/>
        <v>12114.291670479235</v>
      </c>
      <c r="EK99" s="58">
        <f t="shared" si="203"/>
        <v>12235.356510325095</v>
      </c>
      <c r="EL99" s="58"/>
      <c r="EM99" s="58">
        <f t="shared" ref="EM99:EO100" si="204">EN54/1000</f>
        <v>12475.367924769789</v>
      </c>
      <c r="EN99" s="58">
        <f t="shared" si="204"/>
        <v>12595.176215482228</v>
      </c>
      <c r="EO99" s="58">
        <f t="shared" si="204"/>
        <v>12714.599244597017</v>
      </c>
      <c r="EP99" s="58"/>
      <c r="EQ99" s="58">
        <f t="shared" ref="EQ99:ES100" si="205">ER54/1000</f>
        <v>12967.163379649237</v>
      </c>
      <c r="ER99" s="58">
        <f t="shared" si="205"/>
        <v>13080.434461792764</v>
      </c>
      <c r="ES99" s="58">
        <f t="shared" si="205"/>
        <v>13205.911348033369</v>
      </c>
      <c r="ET99" s="58"/>
      <c r="EU99" s="58">
        <f t="shared" ref="EU99:EW100" si="206">EV54/1000</f>
        <v>13436.467707562904</v>
      </c>
      <c r="EV99" s="58">
        <f t="shared" si="206"/>
        <v>13558.160823928632</v>
      </c>
      <c r="EW99" s="58">
        <f t="shared" si="206"/>
        <v>13677.691959910197</v>
      </c>
      <c r="EX99" s="58"/>
      <c r="EY99" s="58">
        <f t="shared" ref="EY99:FA100" si="207">EZ54/1000</f>
        <v>13919.348395527202</v>
      </c>
      <c r="EZ99" s="58">
        <f t="shared" si="207"/>
        <v>14039.968558754706</v>
      </c>
      <c r="FA99" s="58">
        <f t="shared" si="207"/>
        <v>14161.100870817299</v>
      </c>
      <c r="FB99" s="58"/>
      <c r="FC99" s="58">
        <f t="shared" ref="FC99:FE100" si="208">FD54/1000</f>
        <v>14399.848318709532</v>
      </c>
      <c r="FD99" s="58">
        <f t="shared" si="208"/>
        <v>14530.119699706789</v>
      </c>
      <c r="FE99" s="58">
        <f t="shared" si="208"/>
        <v>14652.668300129677</v>
      </c>
      <c r="FF99" s="58"/>
      <c r="FG99" s="58">
        <f t="shared" ref="FG99:FI100" si="209">FH54/1000</f>
        <v>14890.99015854708</v>
      </c>
      <c r="FH99" s="58">
        <f t="shared" si="209"/>
        <v>15008.696290293472</v>
      </c>
      <c r="FI99" s="58">
        <f t="shared" si="209"/>
        <v>15120.97223249206</v>
      </c>
      <c r="FJ99" s="58"/>
    </row>
    <row r="100" spans="1:166" ht="15" x14ac:dyDescent="0.25">
      <c r="A100" s="9" t="s">
        <v>75</v>
      </c>
      <c r="B100" s="57">
        <f>C55/1000</f>
        <v>217.91300000000001</v>
      </c>
      <c r="C100" s="57">
        <f>D55/1000</f>
        <v>252.55</v>
      </c>
      <c r="D100" s="57">
        <f t="shared" si="196"/>
        <v>282.18900000000002</v>
      </c>
      <c r="E100" s="57">
        <f t="shared" si="196"/>
        <v>270.90100000000001</v>
      </c>
      <c r="F100" s="57">
        <f t="shared" si="196"/>
        <v>261.26900000000001</v>
      </c>
      <c r="G100" s="57">
        <f t="shared" si="196"/>
        <v>264.61500000000001</v>
      </c>
      <c r="H100" s="57">
        <f t="shared" si="196"/>
        <v>358.459</v>
      </c>
      <c r="I100" s="57">
        <f t="shared" si="196"/>
        <v>334.75099999999998</v>
      </c>
      <c r="J100" s="57">
        <f t="shared" si="196"/>
        <v>446.34399999999999</v>
      </c>
      <c r="K100" s="57">
        <f t="shared" si="196"/>
        <v>439.63299999999998</v>
      </c>
      <c r="L100" s="57">
        <f t="shared" si="196"/>
        <v>586.90200000000004</v>
      </c>
      <c r="M100" s="57">
        <f t="shared" si="196"/>
        <v>510.99900000000002</v>
      </c>
      <c r="N100" s="57">
        <f t="shared" si="196"/>
        <v>459.238</v>
      </c>
      <c r="O100" s="57">
        <f t="shared" si="196"/>
        <v>551.33199999999999</v>
      </c>
      <c r="P100" s="57">
        <f t="shared" si="196"/>
        <v>528.43299999999999</v>
      </c>
      <c r="Q100" s="57">
        <f t="shared" si="196"/>
        <v>491.88</v>
      </c>
      <c r="R100" s="57">
        <f t="shared" si="196"/>
        <v>473.209</v>
      </c>
      <c r="S100" s="57">
        <f t="shared" si="196"/>
        <v>504.54199999999997</v>
      </c>
      <c r="T100" s="57">
        <f t="shared" si="196"/>
        <v>538.51900000000001</v>
      </c>
      <c r="U100" s="57">
        <f t="shared" si="196"/>
        <v>608.48400000000004</v>
      </c>
      <c r="V100" s="57">
        <f t="shared" si="196"/>
        <v>836.62900000000002</v>
      </c>
      <c r="W100" s="57">
        <f t="shared" si="196"/>
        <v>857.16800000000001</v>
      </c>
      <c r="X100" s="57">
        <f t="shared" si="196"/>
        <v>919.75</v>
      </c>
      <c r="Y100" s="57">
        <f t="shared" si="196"/>
        <v>905.83900000000006</v>
      </c>
      <c r="Z100" s="57">
        <f t="shared" si="196"/>
        <v>783.03899999999999</v>
      </c>
      <c r="AA100" s="57">
        <f t="shared" si="196"/>
        <v>856.95</v>
      </c>
      <c r="AB100" s="57">
        <f t="shared" si="196"/>
        <v>931.601</v>
      </c>
      <c r="AC100" s="57">
        <f t="shared" si="196"/>
        <v>916.63400000000001</v>
      </c>
      <c r="AD100" s="57">
        <f t="shared" si="196"/>
        <v>776.33600000000001</v>
      </c>
      <c r="AE100" s="57">
        <f t="shared" si="196"/>
        <v>775.94200000000001</v>
      </c>
      <c r="AF100" s="57">
        <f t="shared" si="196"/>
        <v>949.94100000000003</v>
      </c>
      <c r="AG100" s="57">
        <f t="shared" si="196"/>
        <v>956.31</v>
      </c>
      <c r="AH100" s="57">
        <f t="shared" si="196"/>
        <v>946.61599999999999</v>
      </c>
      <c r="AI100" s="57">
        <f t="shared" si="196"/>
        <v>1086.4449999999999</v>
      </c>
      <c r="AJ100" s="57">
        <f t="shared" si="196"/>
        <v>1169.325</v>
      </c>
      <c r="AK100" s="57">
        <f t="shared" si="196"/>
        <v>1139.7460000000001</v>
      </c>
      <c r="AL100" s="57">
        <f t="shared" si="196"/>
        <v>1045.797</v>
      </c>
      <c r="AM100" s="57">
        <f t="shared" si="196"/>
        <v>648.93499999999995</v>
      </c>
      <c r="AN100" s="57">
        <f t="shared" si="196"/>
        <v>1052.9079999999999</v>
      </c>
      <c r="AO100" s="57">
        <f t="shared" si="196"/>
        <v>989.01499999999999</v>
      </c>
      <c r="AP100" s="57">
        <f t="shared" si="196"/>
        <v>747.15</v>
      </c>
      <c r="AQ100" s="57">
        <f t="shared" si="196"/>
        <v>1006.898</v>
      </c>
      <c r="AR100" s="57">
        <f t="shared" si="196"/>
        <v>1113.796</v>
      </c>
      <c r="AS100" s="57">
        <f t="shared" si="196"/>
        <v>957.70799999999997</v>
      </c>
      <c r="AT100" s="57">
        <f t="shared" si="196"/>
        <v>917.95</v>
      </c>
      <c r="AU100" s="57">
        <f t="shared" si="196"/>
        <v>919.76700000000005</v>
      </c>
      <c r="AV100" s="57">
        <f t="shared" si="196"/>
        <v>975.74599999999998</v>
      </c>
      <c r="AW100" s="57">
        <f t="shared" si="196"/>
        <v>927.17700000000002</v>
      </c>
      <c r="AX100" s="57">
        <f t="shared" si="196"/>
        <v>827.47199999999998</v>
      </c>
      <c r="AY100" s="57">
        <f t="shared" si="196"/>
        <v>736.43600000000004</v>
      </c>
      <c r="AZ100" s="57">
        <f t="shared" si="196"/>
        <v>882.06200000000001</v>
      </c>
      <c r="BA100" s="57">
        <f t="shared" si="196"/>
        <v>916.92600000000004</v>
      </c>
      <c r="BB100" s="57">
        <f t="shared" si="196"/>
        <v>810.58100000000002</v>
      </c>
      <c r="BC100" s="57">
        <f t="shared" si="196"/>
        <v>910.85299999999995</v>
      </c>
      <c r="BD100" s="58">
        <f t="shared" si="196"/>
        <v>866.40599999999995</v>
      </c>
      <c r="BE100" s="58">
        <f t="shared" si="196"/>
        <v>906.09305235575562</v>
      </c>
      <c r="BF100" s="58">
        <f t="shared" si="196"/>
        <v>900.35584559094877</v>
      </c>
      <c r="BG100" s="58">
        <f t="shared" si="196"/>
        <v>933.21305483336232</v>
      </c>
      <c r="BH100" s="58">
        <f t="shared" si="196"/>
        <v>970.20957344730971</v>
      </c>
      <c r="BI100" s="58">
        <f t="shared" si="196"/>
        <v>918.98274506998109</v>
      </c>
      <c r="BJ100" s="58">
        <f t="shared" si="196"/>
        <v>914.4577431154687</v>
      </c>
      <c r="BK100" s="58">
        <f t="shared" si="196"/>
        <v>955.64261710095423</v>
      </c>
      <c r="BL100" s="58">
        <f t="shared" si="196"/>
        <v>1004.8722990071601</v>
      </c>
      <c r="BM100" s="58">
        <f t="shared" si="196"/>
        <v>931.49092581322634</v>
      </c>
      <c r="BN100" s="58">
        <f t="shared" si="196"/>
        <v>918.94021254059953</v>
      </c>
      <c r="BO100" s="58">
        <f t="shared" si="196"/>
        <v>952.44700998822827</v>
      </c>
      <c r="BP100" s="58">
        <f t="shared" si="197"/>
        <v>986.86210126249614</v>
      </c>
      <c r="BQ100" s="58">
        <f t="shared" si="197"/>
        <v>919.74737944165383</v>
      </c>
      <c r="BR100" s="58">
        <f t="shared" si="197"/>
        <v>907.50695610542527</v>
      </c>
      <c r="BS100" s="58">
        <f t="shared" si="197"/>
        <v>939.66947859426193</v>
      </c>
      <c r="BT100" s="58">
        <f t="shared" si="197"/>
        <v>981.89792228836109</v>
      </c>
      <c r="BU100" s="58">
        <f t="shared" si="197"/>
        <v>908.60439230232862</v>
      </c>
      <c r="BV100" s="58">
        <f t="shared" si="197"/>
        <v>895.23366636269759</v>
      </c>
      <c r="BW100" s="58">
        <f t="shared" si="197"/>
        <v>931.82433288568791</v>
      </c>
      <c r="BX100" s="58">
        <f t="shared" si="197"/>
        <v>974.75697476904452</v>
      </c>
      <c r="BY100" s="58">
        <f t="shared" si="197"/>
        <v>902.35494000601807</v>
      </c>
      <c r="BZ100" s="58">
        <f t="shared" si="197"/>
        <v>890.13166705836784</v>
      </c>
      <c r="CA100" s="58">
        <f t="shared" si="197"/>
        <v>929.74707445015622</v>
      </c>
      <c r="CB100" s="58">
        <f t="shared" si="197"/>
        <v>974.42697307896185</v>
      </c>
      <c r="CC100" s="58">
        <f t="shared" si="197"/>
        <v>904.04650510032207</v>
      </c>
      <c r="CD100" s="58">
        <f t="shared" si="197"/>
        <v>895.99254540165145</v>
      </c>
      <c r="CE100" s="58">
        <f t="shared" si="197"/>
        <v>934.52900695348626</v>
      </c>
      <c r="CF100" s="58">
        <f t="shared" si="198"/>
        <v>980.30628958909881</v>
      </c>
      <c r="CG100" s="58">
        <f t="shared" si="198"/>
        <v>911.24015268217158</v>
      </c>
      <c r="CH100" s="58">
        <f t="shared" si="198"/>
        <v>900.57899641627284</v>
      </c>
      <c r="CI100" s="58">
        <f t="shared" si="198"/>
        <v>939.35743877861319</v>
      </c>
      <c r="CJ100" s="58">
        <f t="shared" si="198"/>
        <v>981.82171888086145</v>
      </c>
      <c r="CK100" s="58">
        <f t="shared" si="198"/>
        <v>914.36698605353286</v>
      </c>
      <c r="CL100" s="58">
        <f t="shared" si="198"/>
        <v>902.89015981721548</v>
      </c>
      <c r="CM100" s="58">
        <f t="shared" si="198"/>
        <v>940.40438744142068</v>
      </c>
      <c r="CN100" s="58">
        <f t="shared" si="198"/>
        <v>983.47651655146956</v>
      </c>
      <c r="CO100" s="58">
        <f t="shared" si="198"/>
        <v>913.62889999476738</v>
      </c>
      <c r="CP100" s="58">
        <f t="shared" si="198"/>
        <v>901.05257032679742</v>
      </c>
      <c r="CQ100" s="58">
        <f t="shared" si="198"/>
        <v>938.3967790156911</v>
      </c>
      <c r="CR100" s="58">
        <f t="shared" si="198"/>
        <v>980.48474104047557</v>
      </c>
      <c r="CS100" s="58">
        <f t="shared" si="198"/>
        <v>911.18285140072749</v>
      </c>
      <c r="CT100" s="58">
        <f t="shared" si="198"/>
        <v>898.69425978582217</v>
      </c>
      <c r="CU100" s="58">
        <f t="shared" si="198"/>
        <v>936.50895997691123</v>
      </c>
      <c r="CV100" s="58">
        <f t="shared" si="199"/>
        <v>979.48627762008493</v>
      </c>
      <c r="CW100" s="58">
        <f t="shared" si="199"/>
        <v>909.74946020003711</v>
      </c>
      <c r="CX100" s="58">
        <f t="shared" si="199"/>
        <v>897.5465162697576</v>
      </c>
      <c r="CY100" s="58">
        <f t="shared" si="199"/>
        <v>935.74446006825758</v>
      </c>
      <c r="CZ100" s="58">
        <f t="shared" si="199"/>
        <v>979.24638812874684</v>
      </c>
      <c r="DA100" s="58">
        <f t="shared" si="199"/>
        <v>909.83182601504313</v>
      </c>
      <c r="DB100" s="58">
        <f t="shared" si="199"/>
        <v>897.94792197483969</v>
      </c>
      <c r="DC100" s="58">
        <f t="shared" si="199"/>
        <v>936.19146823726271</v>
      </c>
      <c r="DD100" s="58">
        <f t="shared" si="199"/>
        <v>979.90393730137259</v>
      </c>
      <c r="DE100" s="58">
        <f t="shared" si="199"/>
        <v>910.80021359382999</v>
      </c>
      <c r="DF100" s="58">
        <f t="shared" si="199"/>
        <v>899.07364062061663</v>
      </c>
      <c r="DG100" s="58">
        <f t="shared" si="199"/>
        <v>937.13973042181976</v>
      </c>
      <c r="DH100" s="58">
        <f t="shared" si="199"/>
        <v>980.67438036505393</v>
      </c>
      <c r="DI100" s="58">
        <f t="shared" si="199"/>
        <v>911.53877118675462</v>
      </c>
      <c r="DJ100" s="58">
        <f t="shared" si="199"/>
        <v>899.67488277000143</v>
      </c>
      <c r="DK100" s="58">
        <f t="shared" si="199"/>
        <v>937.55801589843134</v>
      </c>
      <c r="DL100" s="58">
        <f t="shared" si="200"/>
        <v>980.76880152223816</v>
      </c>
      <c r="DM100" s="58">
        <f t="shared" si="200"/>
        <v>911.59175821749568</v>
      </c>
      <c r="DN100" s="58">
        <f t="shared" si="200"/>
        <v>899.57000903258006</v>
      </c>
      <c r="DO100" s="58">
        <f t="shared" si="200"/>
        <v>937.43110915550301</v>
      </c>
      <c r="DP100" s="58">
        <f t="shared" si="200"/>
        <v>980.58470941361463</v>
      </c>
      <c r="DQ100" s="58">
        <f t="shared" si="200"/>
        <v>911.19618532046445</v>
      </c>
      <c r="DR100" s="58">
        <f t="shared" si="200"/>
        <v>899.09000293461031</v>
      </c>
      <c r="DS100" s="58">
        <f t="shared" si="200"/>
        <v>937.00621547634591</v>
      </c>
      <c r="DT100" s="58">
        <f t="shared" si="200"/>
        <v>980.17791369257361</v>
      </c>
      <c r="DU100" s="58">
        <f t="shared" si="200"/>
        <v>910.85908336264288</v>
      </c>
      <c r="DV100" s="58">
        <f t="shared" si="200"/>
        <v>898.81683349778132</v>
      </c>
      <c r="DW100" s="58">
        <f t="shared" si="200"/>
        <v>936.80634734811395</v>
      </c>
      <c r="DX100" s="58">
        <f t="shared" si="200"/>
        <v>980.12175223904899</v>
      </c>
      <c r="DY100" s="58">
        <f t="shared" si="200"/>
        <v>980.11941872116313</v>
      </c>
      <c r="DZ100" s="58"/>
      <c r="EA100" s="58">
        <f t="shared" si="201"/>
        <v>936.83462626504024</v>
      </c>
      <c r="EB100" s="58">
        <f t="shared" si="201"/>
        <v>980.19823905625503</v>
      </c>
      <c r="EC100" s="58">
        <f t="shared" si="201"/>
        <v>980.17241459425463</v>
      </c>
      <c r="ED100" s="58"/>
      <c r="EE100" s="58">
        <f t="shared" si="202"/>
        <v>936.98366411088432</v>
      </c>
      <c r="EF100" s="58">
        <f t="shared" si="202"/>
        <v>980.30352615911863</v>
      </c>
      <c r="EG100" s="58">
        <f t="shared" si="202"/>
        <v>980.28347134968237</v>
      </c>
      <c r="EH100" s="58"/>
      <c r="EI100" s="58">
        <f t="shared" si="203"/>
        <v>937.10248576495155</v>
      </c>
      <c r="EJ100" s="58">
        <f t="shared" si="203"/>
        <v>980.34533388280011</v>
      </c>
      <c r="EK100" s="58">
        <f t="shared" si="203"/>
        <v>980.34314286003485</v>
      </c>
      <c r="EL100" s="58"/>
      <c r="EM100" s="58">
        <f t="shared" si="204"/>
        <v>937.10858559579469</v>
      </c>
      <c r="EN100" s="58">
        <f t="shared" si="204"/>
        <v>980.31586189534892</v>
      </c>
      <c r="EO100" s="58">
        <f t="shared" si="204"/>
        <v>980.32329704317863</v>
      </c>
      <c r="EP100" s="58"/>
      <c r="EQ100" s="58">
        <f t="shared" si="205"/>
        <v>937.04626244688404</v>
      </c>
      <c r="ER100" s="58">
        <f t="shared" si="205"/>
        <v>980.27680397102938</v>
      </c>
      <c r="ES100" s="58">
        <f t="shared" si="205"/>
        <v>980.28363162701669</v>
      </c>
      <c r="ET100" s="58"/>
      <c r="EU100" s="58">
        <f t="shared" si="206"/>
        <v>936.98331115701308</v>
      </c>
      <c r="EV100" s="58">
        <f t="shared" si="206"/>
        <v>980.25174485047728</v>
      </c>
      <c r="EW100" s="58">
        <f t="shared" si="206"/>
        <v>980.25260598218995</v>
      </c>
      <c r="EX100" s="58"/>
      <c r="EY100" s="58">
        <f t="shared" si="207"/>
        <v>936.9735859281667</v>
      </c>
      <c r="EZ100" s="58">
        <f t="shared" si="207"/>
        <v>980.25655239815501</v>
      </c>
      <c r="FA100" s="58">
        <f t="shared" si="207"/>
        <v>980.25374075104935</v>
      </c>
      <c r="FB100" s="58"/>
      <c r="FC100" s="58">
        <f t="shared" si="208"/>
        <v>937.00140171293515</v>
      </c>
      <c r="FD100" s="58">
        <f t="shared" si="208"/>
        <v>980.27557101321872</v>
      </c>
      <c r="FE100" s="58">
        <f t="shared" si="208"/>
        <v>980.27240095253478</v>
      </c>
      <c r="FF100" s="58"/>
      <c r="FG100" s="58">
        <f t="shared" si="209"/>
        <v>937.02658624182311</v>
      </c>
      <c r="FH100" s="58">
        <f t="shared" si="209"/>
        <v>980.28815899081746</v>
      </c>
      <c r="FI100" s="58">
        <f t="shared" si="209"/>
        <v>980.28705671239982</v>
      </c>
      <c r="FJ100" s="58"/>
    </row>
    <row r="101" spans="1:166" ht="15" x14ac:dyDescent="0.25">
      <c r="A101" s="9" t="s">
        <v>77</v>
      </c>
      <c r="B101" s="57">
        <f>C57/1000</f>
        <v>3.07</v>
      </c>
      <c r="C101" s="57">
        <f>D57/1000</f>
        <v>3.3679999999999999</v>
      </c>
      <c r="D101" s="57">
        <f t="shared" ref="D101:BO101" si="210">E57/1000</f>
        <v>4.3620000000000001</v>
      </c>
      <c r="E101" s="57">
        <f t="shared" si="210"/>
        <v>6.22</v>
      </c>
      <c r="F101" s="57">
        <f t="shared" si="210"/>
        <v>6.7009999999999996</v>
      </c>
      <c r="G101" s="57">
        <f t="shared" si="210"/>
        <v>6.8040000000000003</v>
      </c>
      <c r="H101" s="57">
        <f t="shared" si="210"/>
        <v>7.9379999999999997</v>
      </c>
      <c r="I101" s="57">
        <f t="shared" si="210"/>
        <v>51.216000000000001</v>
      </c>
      <c r="J101" s="57">
        <f t="shared" si="210"/>
        <v>64.444999999999993</v>
      </c>
      <c r="K101" s="57">
        <f t="shared" si="210"/>
        <v>178.29300000000001</v>
      </c>
      <c r="L101" s="57">
        <f t="shared" si="210"/>
        <v>288.99799999999999</v>
      </c>
      <c r="M101" s="57">
        <f t="shared" si="210"/>
        <v>258.19299999999998</v>
      </c>
      <c r="N101" s="57">
        <f t="shared" si="210"/>
        <v>192.40700000000001</v>
      </c>
      <c r="O101" s="57">
        <f t="shared" si="210"/>
        <v>211.00399999999999</v>
      </c>
      <c r="P101" s="57">
        <f t="shared" si="210"/>
        <v>260.52199999999999</v>
      </c>
      <c r="Q101" s="57">
        <f t="shared" si="210"/>
        <v>181.04599999999999</v>
      </c>
      <c r="R101" s="57">
        <f t="shared" si="210"/>
        <v>204.352</v>
      </c>
      <c r="S101" s="57">
        <f t="shared" si="210"/>
        <v>240.167</v>
      </c>
      <c r="T101" s="57">
        <f t="shared" si="210"/>
        <v>298.59100000000001</v>
      </c>
      <c r="U101" s="57">
        <f t="shared" si="210"/>
        <v>295.06099999999998</v>
      </c>
      <c r="V101" s="57">
        <f t="shared" si="210"/>
        <v>274.56799999999998</v>
      </c>
      <c r="W101" s="57">
        <f t="shared" si="210"/>
        <v>670.55899999999997</v>
      </c>
      <c r="X101" s="57">
        <f t="shared" si="210"/>
        <v>577.58600000000001</v>
      </c>
      <c r="Y101" s="57">
        <f t="shared" si="210"/>
        <v>718.50400000000002</v>
      </c>
      <c r="Z101" s="57">
        <f t="shared" si="210"/>
        <v>610.65200000000004</v>
      </c>
      <c r="AA101" s="57">
        <f t="shared" si="210"/>
        <v>835.625</v>
      </c>
      <c r="AB101" s="57">
        <f t="shared" si="210"/>
        <v>844.15899999999999</v>
      </c>
      <c r="AC101" s="57">
        <f t="shared" si="210"/>
        <v>676.29399999999998</v>
      </c>
      <c r="AD101" s="57">
        <f t="shared" si="210"/>
        <v>822.71100000000001</v>
      </c>
      <c r="AE101" s="57">
        <f t="shared" si="210"/>
        <v>904.125</v>
      </c>
      <c r="AF101" s="57">
        <f t="shared" si="210"/>
        <v>684.77300000000002</v>
      </c>
      <c r="AG101" s="57">
        <f t="shared" si="210"/>
        <v>1073.7819999999999</v>
      </c>
      <c r="AH101" s="57">
        <f t="shared" si="210"/>
        <v>1195.556</v>
      </c>
      <c r="AI101" s="57">
        <f t="shared" si="210"/>
        <v>1245.7460000000001</v>
      </c>
      <c r="AJ101" s="57">
        <f t="shared" si="210"/>
        <v>1056.3050000000001</v>
      </c>
      <c r="AK101" s="57">
        <f t="shared" si="210"/>
        <v>1282.92</v>
      </c>
      <c r="AL101" s="57">
        <f t="shared" si="210"/>
        <v>1033.279</v>
      </c>
      <c r="AM101" s="57">
        <f t="shared" si="210"/>
        <v>1141.0740000000001</v>
      </c>
      <c r="AN101" s="57">
        <f t="shared" si="210"/>
        <v>1104.97</v>
      </c>
      <c r="AO101" s="57">
        <f t="shared" si="210"/>
        <v>1291.9770000000001</v>
      </c>
      <c r="AP101" s="57">
        <f t="shared" si="210"/>
        <v>1432.6469999999999</v>
      </c>
      <c r="AQ101" s="57">
        <f t="shared" si="210"/>
        <v>1503.7339999999999</v>
      </c>
      <c r="AR101" s="57">
        <f t="shared" si="210"/>
        <v>1724.2360000000001</v>
      </c>
      <c r="AS101" s="57">
        <f t="shared" si="210"/>
        <v>1895.846</v>
      </c>
      <c r="AT101" s="57">
        <f t="shared" si="210"/>
        <v>2222.87</v>
      </c>
      <c r="AU101" s="57">
        <f t="shared" si="210"/>
        <v>2447.0509999999999</v>
      </c>
      <c r="AV101" s="57">
        <f t="shared" si="210"/>
        <v>2389.8029999999999</v>
      </c>
      <c r="AW101" s="57">
        <f t="shared" si="210"/>
        <v>2557.2109999999998</v>
      </c>
      <c r="AX101" s="57">
        <f t="shared" si="210"/>
        <v>2504.078</v>
      </c>
      <c r="AY101" s="57">
        <f t="shared" si="210"/>
        <v>2847.1610000000001</v>
      </c>
      <c r="AZ101" s="57">
        <f t="shared" si="210"/>
        <v>3182.5010000000002</v>
      </c>
      <c r="BA101" s="57">
        <f t="shared" si="210"/>
        <v>3395.1120000000001</v>
      </c>
      <c r="BB101" s="57">
        <f t="shared" si="210"/>
        <v>3149.54</v>
      </c>
      <c r="BC101" s="57">
        <f t="shared" si="210"/>
        <v>3492.9340000000002</v>
      </c>
      <c r="BD101" s="58">
        <f t="shared" si="210"/>
        <v>3875.4050000000002</v>
      </c>
      <c r="BE101" s="58">
        <f t="shared" si="210"/>
        <v>3474.0230076604789</v>
      </c>
      <c r="BF101" s="58">
        <f t="shared" si="210"/>
        <v>2756.9240458533536</v>
      </c>
      <c r="BG101" s="58">
        <f t="shared" si="210"/>
        <v>2793.1189061531281</v>
      </c>
      <c r="BH101" s="58">
        <f t="shared" si="210"/>
        <v>3506.33404188637</v>
      </c>
      <c r="BI101" s="58">
        <f t="shared" si="210"/>
        <v>3247.9580767375478</v>
      </c>
      <c r="BJ101" s="58">
        <f t="shared" si="210"/>
        <v>2724.1667105000306</v>
      </c>
      <c r="BK101" s="58">
        <f t="shared" si="210"/>
        <v>2973.1594002919765</v>
      </c>
      <c r="BL101" s="58">
        <f t="shared" si="210"/>
        <v>3079.8110989782617</v>
      </c>
      <c r="BM101" s="58">
        <f t="shared" si="210"/>
        <v>3573.3349338669254</v>
      </c>
      <c r="BN101" s="58">
        <f t="shared" si="210"/>
        <v>2902.8229942377661</v>
      </c>
      <c r="BO101" s="58">
        <f t="shared" si="210"/>
        <v>3178.6743539646868</v>
      </c>
      <c r="BP101" s="58">
        <f t="shared" ref="BP101:DY101" si="211">BQ57/1000</f>
        <v>3281.7877093463026</v>
      </c>
      <c r="BQ101" s="58">
        <f t="shared" si="211"/>
        <v>3850.0620823832278</v>
      </c>
      <c r="BR101" s="58">
        <f t="shared" si="211"/>
        <v>2742.4392233245944</v>
      </c>
      <c r="BS101" s="58">
        <f t="shared" si="211"/>
        <v>2966.4680362122999</v>
      </c>
      <c r="BT101" s="58">
        <f t="shared" si="211"/>
        <v>3172.288980330738</v>
      </c>
      <c r="BU101" s="58">
        <f t="shared" si="211"/>
        <v>3651.5279162390598</v>
      </c>
      <c r="BV101" s="58">
        <f t="shared" si="211"/>
        <v>2780.378613044606</v>
      </c>
      <c r="BW101" s="58">
        <f t="shared" si="211"/>
        <v>2992.6708624428038</v>
      </c>
      <c r="BX101" s="58">
        <f t="shared" si="211"/>
        <v>3189.6958507544423</v>
      </c>
      <c r="BY101" s="58">
        <f t="shared" si="211"/>
        <v>3646.8010229832303</v>
      </c>
      <c r="BZ101" s="58">
        <f t="shared" si="211"/>
        <v>2859.9703291270207</v>
      </c>
      <c r="CA101" s="58">
        <f t="shared" si="211"/>
        <v>3083.2785949517856</v>
      </c>
      <c r="CB101" s="58">
        <f t="shared" si="211"/>
        <v>3204.0220391424709</v>
      </c>
      <c r="CC101" s="58">
        <f t="shared" si="211"/>
        <v>3830.8728829032339</v>
      </c>
      <c r="CD101" s="58">
        <f t="shared" si="211"/>
        <v>3009.7100970781057</v>
      </c>
      <c r="CE101" s="58">
        <f t="shared" si="211"/>
        <v>3296.1348833645798</v>
      </c>
      <c r="CF101" s="58">
        <f t="shared" si="211"/>
        <v>3162.9447399037726</v>
      </c>
      <c r="CG101" s="58">
        <f t="shared" si="211"/>
        <v>4105.2954952768141</v>
      </c>
      <c r="CH101" s="58">
        <f t="shared" si="211"/>
        <v>3416.9935707273298</v>
      </c>
      <c r="CI101" s="58">
        <f t="shared" si="211"/>
        <v>3790.3655984110101</v>
      </c>
      <c r="CJ101" s="58">
        <f t="shared" si="211"/>
        <v>2948.7971251852136</v>
      </c>
      <c r="CK101" s="58">
        <f t="shared" si="211"/>
        <v>4786.7185390379173</v>
      </c>
      <c r="CL101" s="58">
        <f t="shared" si="211"/>
        <v>3403.9083671925118</v>
      </c>
      <c r="CM101" s="58">
        <f t="shared" si="211"/>
        <v>3770.9056432463358</v>
      </c>
      <c r="CN101" s="58">
        <f t="shared" si="211"/>
        <v>3009.996216674584</v>
      </c>
      <c r="CO101" s="58">
        <f t="shared" si="211"/>
        <v>4762.2550325168468</v>
      </c>
      <c r="CP101" s="58">
        <f t="shared" si="211"/>
        <v>3334.5243998619335</v>
      </c>
      <c r="CQ101" s="58">
        <f t="shared" si="211"/>
        <v>3684.1876006984303</v>
      </c>
      <c r="CR101" s="58">
        <f t="shared" si="211"/>
        <v>3018.8049537729303</v>
      </c>
      <c r="CS101" s="58">
        <f t="shared" si="211"/>
        <v>4641.2423595377759</v>
      </c>
      <c r="CT101" s="58">
        <f t="shared" si="211"/>
        <v>3577.8645050334289</v>
      </c>
      <c r="CU101" s="58">
        <f t="shared" si="211"/>
        <v>4014.2857718361583</v>
      </c>
      <c r="CV101" s="58">
        <f t="shared" si="211"/>
        <v>2944.5444037750754</v>
      </c>
      <c r="CW101" s="58">
        <f t="shared" si="211"/>
        <v>5027.2337822620138</v>
      </c>
      <c r="CX101" s="58">
        <f t="shared" si="211"/>
        <v>3727.0506606974495</v>
      </c>
      <c r="CY101" s="58">
        <f t="shared" si="211"/>
        <v>4182.7291888334003</v>
      </c>
      <c r="CZ101" s="58">
        <f t="shared" si="211"/>
        <v>2880.0508523975241</v>
      </c>
      <c r="DA101" s="58">
        <f t="shared" si="211"/>
        <v>5301.3984949455316</v>
      </c>
      <c r="DB101" s="58">
        <f t="shared" si="211"/>
        <v>4101.1166816452233</v>
      </c>
      <c r="DC101" s="58">
        <f t="shared" si="211"/>
        <v>4641.3950971551394</v>
      </c>
      <c r="DD101" s="58">
        <f t="shared" si="211"/>
        <v>2719.4262182672715</v>
      </c>
      <c r="DE101" s="58">
        <f t="shared" si="211"/>
        <v>5936.4025386884323</v>
      </c>
      <c r="DF101" s="58">
        <f t="shared" si="211"/>
        <v>4432.5819473261035</v>
      </c>
      <c r="DG101" s="58">
        <f t="shared" si="211"/>
        <v>5047.0204232511596</v>
      </c>
      <c r="DH101" s="58">
        <f t="shared" si="211"/>
        <v>2584.9342601429539</v>
      </c>
      <c r="DI101" s="58">
        <f t="shared" si="211"/>
        <v>6493.4037865617274</v>
      </c>
      <c r="DJ101" s="58">
        <f t="shared" si="211"/>
        <v>4444.2340132100844</v>
      </c>
      <c r="DK101" s="58">
        <f t="shared" si="211"/>
        <v>5061.5909798877474</v>
      </c>
      <c r="DL101" s="58">
        <f t="shared" si="211"/>
        <v>2584.7996392165146</v>
      </c>
      <c r="DM101" s="58">
        <f t="shared" si="211"/>
        <v>6510.2024770739336</v>
      </c>
      <c r="DN101" s="58">
        <f t="shared" si="211"/>
        <v>4018.3329352175674</v>
      </c>
      <c r="DO101" s="58">
        <f t="shared" si="211"/>
        <v>4534.7843401750833</v>
      </c>
      <c r="DP101" s="58">
        <f t="shared" si="211"/>
        <v>2754.8000549992407</v>
      </c>
      <c r="DQ101" s="58">
        <f t="shared" si="211"/>
        <v>5785.3860996051344</v>
      </c>
      <c r="DR101" s="58">
        <f t="shared" si="211"/>
        <v>5785.3689716586523</v>
      </c>
      <c r="DS101" s="58">
        <f t="shared" si="211"/>
        <v>5785.3624416975135</v>
      </c>
      <c r="DT101" s="58">
        <f t="shared" si="211"/>
        <v>5785.2863188554511</v>
      </c>
      <c r="DU101" s="58">
        <f t="shared" si="211"/>
        <v>5785.2877782981377</v>
      </c>
      <c r="DV101" s="58">
        <f t="shared" si="211"/>
        <v>5785.2794523327793</v>
      </c>
      <c r="DW101" s="58">
        <f t="shared" si="211"/>
        <v>5785.2823137739315</v>
      </c>
      <c r="DX101" s="58">
        <f t="shared" si="211"/>
        <v>5785.2720896774381</v>
      </c>
      <c r="DY101" s="58">
        <f t="shared" si="211"/>
        <v>5785.2696583159268</v>
      </c>
      <c r="DZ101" s="58"/>
      <c r="EA101" s="58">
        <f t="shared" ref="EA101:EC101" si="212">EB57/1000</f>
        <v>5785.2661284613223</v>
      </c>
      <c r="EB101" s="58">
        <f t="shared" si="212"/>
        <v>5785.3324777408816</v>
      </c>
      <c r="EC101" s="58">
        <f t="shared" si="212"/>
        <v>5785.3357291812799</v>
      </c>
      <c r="ED101" s="58"/>
      <c r="EE101" s="58">
        <f t="shared" ref="EE101:EG101" si="213">EF57/1000</f>
        <v>5785.3569950824503</v>
      </c>
      <c r="EF101" s="58">
        <f t="shared" si="213"/>
        <v>5785.3982017901344</v>
      </c>
      <c r="EG101" s="58">
        <f t="shared" si="213"/>
        <v>5785.410651681148</v>
      </c>
      <c r="EH101" s="58"/>
      <c r="EI101" s="58">
        <f t="shared" ref="EI101:EK101" si="214">EJ57/1000</f>
        <v>5785.4281308605741</v>
      </c>
      <c r="EJ101" s="58">
        <f t="shared" si="214"/>
        <v>5785.4012970608419</v>
      </c>
      <c r="EK101" s="58">
        <f t="shared" si="214"/>
        <v>5785.40361371586</v>
      </c>
      <c r="EL101" s="58"/>
      <c r="EM101" s="58">
        <f t="shared" ref="EM101:EO101" si="215">EN57/1000</f>
        <v>5785.3986895151129</v>
      </c>
      <c r="EN101" s="58">
        <f t="shared" si="215"/>
        <v>5785.3816002555004</v>
      </c>
      <c r="EO101" s="58">
        <f t="shared" si="215"/>
        <v>5785.3813855144672</v>
      </c>
      <c r="EP101" s="58"/>
      <c r="EQ101" s="58">
        <f t="shared" ref="EQ101:ES101" si="216">ER57/1000</f>
        <v>5785.3788390808022</v>
      </c>
      <c r="ER101" s="58">
        <f t="shared" si="216"/>
        <v>5785.3561812979588</v>
      </c>
      <c r="ES101" s="58">
        <f t="shared" si="216"/>
        <v>5785.3555813743733</v>
      </c>
      <c r="ET101" s="58"/>
      <c r="EU101" s="58">
        <f t="shared" ref="EU101:EW101" si="217">EV57/1000</f>
        <v>5785.351956288594</v>
      </c>
      <c r="EV101" s="58">
        <f t="shared" si="217"/>
        <v>5785.3508181780426</v>
      </c>
      <c r="EW101" s="58">
        <f t="shared" si="217"/>
        <v>5785.3502130620218</v>
      </c>
      <c r="EX101" s="58"/>
      <c r="EY101" s="58">
        <f t="shared" ref="EY101:FA101" si="218">EZ57/1000</f>
        <v>5785.3519216603527</v>
      </c>
      <c r="EZ101" s="58">
        <f t="shared" si="218"/>
        <v>5785.3540597724259</v>
      </c>
      <c r="FA101" s="58">
        <f t="shared" si="218"/>
        <v>5785.3565466870805</v>
      </c>
      <c r="FB101" s="58"/>
      <c r="FC101" s="58">
        <f t="shared" ref="FC101:FE101" si="219">FD57/1000</f>
        <v>5785.3619188321882</v>
      </c>
      <c r="FD101" s="58">
        <f t="shared" si="219"/>
        <v>5785.3649941827307</v>
      </c>
      <c r="FE101" s="58">
        <f t="shared" si="219"/>
        <v>5785.3683323750947</v>
      </c>
      <c r="FF101" s="58"/>
      <c r="FG101" s="58">
        <f t="shared" ref="FG101:FI101" si="220">FH57/1000</f>
        <v>5785.3730478865973</v>
      </c>
      <c r="FH101" s="58">
        <f t="shared" si="220"/>
        <v>5785.3742918434418</v>
      </c>
      <c r="FI101" s="58">
        <f t="shared" si="220"/>
        <v>5785.3750169160676</v>
      </c>
      <c r="FJ101" s="58"/>
    </row>
    <row r="102" spans="1:166" ht="15" x14ac:dyDescent="0.25">
      <c r="A102" s="9" t="s">
        <v>155</v>
      </c>
      <c r="B102" s="57">
        <f t="shared" ref="B102:AV102" si="221">SUM(C53,C58:C60)/1000</f>
        <v>0</v>
      </c>
      <c r="C102" s="57">
        <f t="shared" si="221"/>
        <v>0</v>
      </c>
      <c r="D102" s="57">
        <f t="shared" si="221"/>
        <v>0</v>
      </c>
      <c r="E102" s="57">
        <f t="shared" si="221"/>
        <v>0</v>
      </c>
      <c r="F102" s="57">
        <f t="shared" si="221"/>
        <v>0</v>
      </c>
      <c r="G102" s="57">
        <f t="shared" si="221"/>
        <v>0</v>
      </c>
      <c r="H102" s="57">
        <f t="shared" si="221"/>
        <v>0</v>
      </c>
      <c r="I102" s="57">
        <f t="shared" si="221"/>
        <v>0</v>
      </c>
      <c r="J102" s="57">
        <f t="shared" si="221"/>
        <v>0</v>
      </c>
      <c r="K102" s="57">
        <f t="shared" si="221"/>
        <v>0</v>
      </c>
      <c r="L102" s="57">
        <f t="shared" si="221"/>
        <v>0</v>
      </c>
      <c r="M102" s="57">
        <f t="shared" si="221"/>
        <v>0</v>
      </c>
      <c r="N102" s="57">
        <f t="shared" si="221"/>
        <v>0</v>
      </c>
      <c r="O102" s="57">
        <f t="shared" si="221"/>
        <v>0</v>
      </c>
      <c r="P102" s="57">
        <f t="shared" si="221"/>
        <v>0</v>
      </c>
      <c r="Q102" s="57">
        <f t="shared" si="221"/>
        <v>0</v>
      </c>
      <c r="R102" s="57">
        <f t="shared" si="221"/>
        <v>0</v>
      </c>
      <c r="S102" s="57">
        <f t="shared" si="221"/>
        <v>0</v>
      </c>
      <c r="T102" s="57">
        <f t="shared" si="221"/>
        <v>0.05</v>
      </c>
      <c r="U102" s="57">
        <f t="shared" si="221"/>
        <v>2.4E-2</v>
      </c>
      <c r="V102" s="57">
        <f t="shared" si="221"/>
        <v>3.3000000000000002E-2</v>
      </c>
      <c r="W102" s="57">
        <f t="shared" si="221"/>
        <v>2.8000000000000001E-2</v>
      </c>
      <c r="X102" s="57">
        <f t="shared" si="221"/>
        <v>1E-3</v>
      </c>
      <c r="Y102" s="57">
        <f t="shared" si="221"/>
        <v>2E-3</v>
      </c>
      <c r="Z102" s="57">
        <f t="shared" si="221"/>
        <v>0.56200000000000006</v>
      </c>
      <c r="AA102" s="57">
        <f t="shared" si="221"/>
        <v>0.82</v>
      </c>
      <c r="AB102" s="57">
        <f t="shared" si="221"/>
        <v>0.97</v>
      </c>
      <c r="AC102" s="57">
        <f t="shared" si="221"/>
        <v>1.0840000000000001</v>
      </c>
      <c r="AD102" s="57">
        <f t="shared" si="221"/>
        <v>1.4079999999999999</v>
      </c>
      <c r="AE102" s="57">
        <f t="shared" si="221"/>
        <v>1.6639999999999999</v>
      </c>
      <c r="AF102" s="57">
        <f t="shared" si="221"/>
        <v>1.7789999999999999</v>
      </c>
      <c r="AG102" s="57">
        <f t="shared" si="221"/>
        <v>3.2149999999999999</v>
      </c>
      <c r="AH102" s="57">
        <f t="shared" si="221"/>
        <v>3.278</v>
      </c>
      <c r="AI102" s="57">
        <f t="shared" si="221"/>
        <v>11.507</v>
      </c>
      <c r="AJ102" s="57">
        <f t="shared" si="221"/>
        <v>11.101000000000001</v>
      </c>
      <c r="AK102" s="57">
        <f t="shared" si="221"/>
        <v>10.750999999999999</v>
      </c>
      <c r="AL102" s="57">
        <f t="shared" si="221"/>
        <v>11.679</v>
      </c>
      <c r="AM102" s="57">
        <f t="shared" si="221"/>
        <v>18.238</v>
      </c>
      <c r="AN102" s="57">
        <f t="shared" si="221"/>
        <v>30.584</v>
      </c>
      <c r="AO102" s="57">
        <f t="shared" si="221"/>
        <v>22.382999999999999</v>
      </c>
      <c r="AP102" s="57">
        <f t="shared" si="221"/>
        <v>34.609000000000002</v>
      </c>
      <c r="AQ102" s="57">
        <f t="shared" si="221"/>
        <v>48.704999999999998</v>
      </c>
      <c r="AR102" s="57">
        <f t="shared" si="221"/>
        <v>40.729999999999997</v>
      </c>
      <c r="AS102" s="57">
        <f t="shared" si="221"/>
        <v>54.22</v>
      </c>
      <c r="AT102" s="57">
        <f t="shared" si="221"/>
        <v>49.396999999999998</v>
      </c>
      <c r="AU102" s="57">
        <f t="shared" si="221"/>
        <v>82.061000000000007</v>
      </c>
      <c r="AV102" s="57">
        <f t="shared" si="221"/>
        <v>61.154000000000003</v>
      </c>
      <c r="AW102" s="57">
        <f>SUM(AX53,AX58:AX60)/1000</f>
        <v>48.884</v>
      </c>
      <c r="AX102" s="57">
        <f t="shared" ref="AX102:AZ102" si="222">SUM(AY53,AY58:AY60)/1000</f>
        <v>67.891000000000005</v>
      </c>
      <c r="AY102" s="57">
        <f t="shared" si="222"/>
        <v>87.224999999999994</v>
      </c>
      <c r="AZ102" s="57">
        <f t="shared" si="222"/>
        <v>87.501000000000005</v>
      </c>
      <c r="BA102" s="57">
        <f>SUM(BB53,BB58:BB60)/1000</f>
        <v>83.159000000000006</v>
      </c>
      <c r="BB102" s="57">
        <f>SUM(BC53,BC58:BC60)/1000</f>
        <v>104.371</v>
      </c>
      <c r="BC102" s="57">
        <f t="shared" ref="BC102:DN102" si="223">SUM(BD53,BD58:BD60)/1000</f>
        <v>166.029</v>
      </c>
      <c r="BD102" s="58">
        <f t="shared" si="223"/>
        <v>166.96600000000001</v>
      </c>
      <c r="BE102" s="58">
        <f t="shared" si="223"/>
        <v>81.860184497968703</v>
      </c>
      <c r="BF102" s="58">
        <f t="shared" si="223"/>
        <v>187.16888621605719</v>
      </c>
      <c r="BG102" s="58">
        <f t="shared" si="223"/>
        <v>220.21250956181154</v>
      </c>
      <c r="BH102" s="58">
        <f t="shared" si="223"/>
        <v>279.23373622028816</v>
      </c>
      <c r="BI102" s="58">
        <f t="shared" si="223"/>
        <v>130.65390294982188</v>
      </c>
      <c r="BJ102" s="58">
        <f t="shared" si="223"/>
        <v>587.94966864585922</v>
      </c>
      <c r="BK102" s="58">
        <f t="shared" si="223"/>
        <v>671.05743554442574</v>
      </c>
      <c r="BL102" s="58">
        <f t="shared" si="223"/>
        <v>901.18956531186507</v>
      </c>
      <c r="BM102" s="58">
        <f t="shared" si="223"/>
        <v>280.08857323001808</v>
      </c>
      <c r="BN102" s="58">
        <f t="shared" si="223"/>
        <v>1433.4978402140187</v>
      </c>
      <c r="BO102" s="58">
        <f t="shared" si="223"/>
        <v>1649.1142563668159</v>
      </c>
      <c r="BP102" s="58">
        <f t="shared" si="223"/>
        <v>2239.7533959702432</v>
      </c>
      <c r="BQ102" s="58">
        <f t="shared" si="223"/>
        <v>586.74422302981668</v>
      </c>
      <c r="BR102" s="58">
        <f t="shared" si="223"/>
        <v>1862.2064618008096</v>
      </c>
      <c r="BS102" s="58">
        <f t="shared" si="223"/>
        <v>2142.5185544360343</v>
      </c>
      <c r="BT102" s="58">
        <f t="shared" si="223"/>
        <v>2911.30437950225</v>
      </c>
      <c r="BU102" s="58">
        <f t="shared" si="223"/>
        <v>742.61246930451023</v>
      </c>
      <c r="BV102" s="58">
        <f t="shared" si="223"/>
        <v>2221.5711062430387</v>
      </c>
      <c r="BW102" s="58">
        <f t="shared" si="223"/>
        <v>2558.6895051189272</v>
      </c>
      <c r="BX102" s="58">
        <f t="shared" si="223"/>
        <v>3479.3109950865587</v>
      </c>
      <c r="BY102" s="58">
        <f t="shared" si="223"/>
        <v>867.17915960529751</v>
      </c>
      <c r="BZ102" s="58">
        <f t="shared" si="223"/>
        <v>2823.2409981660908</v>
      </c>
      <c r="CA102" s="58">
        <f t="shared" si="223"/>
        <v>3235.8088426796353</v>
      </c>
      <c r="CB102" s="58">
        <f t="shared" si="223"/>
        <v>4402.0002316276177</v>
      </c>
      <c r="CC102" s="58">
        <f t="shared" si="223"/>
        <v>1084.4649979663302</v>
      </c>
      <c r="CD102" s="58">
        <f t="shared" si="223"/>
        <v>3105.5751318762996</v>
      </c>
      <c r="CE102" s="58">
        <f t="shared" si="223"/>
        <v>3559.6867600838705</v>
      </c>
      <c r="CF102" s="58">
        <f t="shared" si="223"/>
        <v>4844.8726550584479</v>
      </c>
      <c r="CG102" s="58">
        <f t="shared" si="223"/>
        <v>1195.4825103415014</v>
      </c>
      <c r="CH102" s="58">
        <f t="shared" si="223"/>
        <v>3875.0054115887528</v>
      </c>
      <c r="CI102" s="58">
        <f t="shared" si="223"/>
        <v>4436.648441478962</v>
      </c>
      <c r="CJ102" s="58">
        <f t="shared" si="223"/>
        <v>6042.4544055564156</v>
      </c>
      <c r="CK102" s="58">
        <f t="shared" si="223"/>
        <v>1471.6027104330988</v>
      </c>
      <c r="CL102" s="58">
        <f t="shared" si="223"/>
        <v>4144.9931867669548</v>
      </c>
      <c r="CM102" s="58">
        <f t="shared" si="223"/>
        <v>4749.585708399226</v>
      </c>
      <c r="CN102" s="58">
        <f t="shared" si="223"/>
        <v>6469.5449650135897</v>
      </c>
      <c r="CO102" s="58">
        <f t="shared" si="223"/>
        <v>1573.8554406687856</v>
      </c>
      <c r="CP102" s="58">
        <f t="shared" si="223"/>
        <v>4545.8820520628642</v>
      </c>
      <c r="CQ102" s="58">
        <f t="shared" si="223"/>
        <v>5204.4005908293993</v>
      </c>
      <c r="CR102" s="58">
        <f t="shared" si="223"/>
        <v>7088.6583142204126</v>
      </c>
      <c r="CS102" s="58">
        <f t="shared" si="223"/>
        <v>1720.7105751578883</v>
      </c>
      <c r="CT102" s="58">
        <f t="shared" si="223"/>
        <v>4765.3663931149558</v>
      </c>
      <c r="CU102" s="58">
        <f t="shared" si="223"/>
        <v>5453.0847237562475</v>
      </c>
      <c r="CV102" s="58">
        <f t="shared" si="223"/>
        <v>7427.3419586507734</v>
      </c>
      <c r="CW102" s="58">
        <f t="shared" si="223"/>
        <v>1802.5784308468842</v>
      </c>
      <c r="CX102" s="58">
        <f t="shared" si="223"/>
        <v>3523.6850669320429</v>
      </c>
      <c r="CY102" s="58">
        <f t="shared" si="223"/>
        <v>4033.8707915822674</v>
      </c>
      <c r="CZ102" s="58">
        <f t="shared" si="223"/>
        <v>5487.6644406181986</v>
      </c>
      <c r="DA102" s="58">
        <f t="shared" si="223"/>
        <v>1360.7712083252002</v>
      </c>
      <c r="DB102" s="58">
        <f t="shared" si="223"/>
        <v>3656.6856701332467</v>
      </c>
      <c r="DC102" s="58">
        <f t="shared" si="223"/>
        <v>4185.4034098074326</v>
      </c>
      <c r="DD102" s="58">
        <f t="shared" si="223"/>
        <v>5693.9492482710084</v>
      </c>
      <c r="DE102" s="58">
        <f t="shared" si="223"/>
        <v>1410.525096782379</v>
      </c>
      <c r="DF102" s="58">
        <f t="shared" si="223"/>
        <v>3829.1736280218352</v>
      </c>
      <c r="DG102" s="58">
        <f t="shared" si="223"/>
        <v>4381.7676982113117</v>
      </c>
      <c r="DH102" s="58">
        <f t="shared" si="223"/>
        <v>5961.573487430197</v>
      </c>
      <c r="DI102" s="58">
        <f t="shared" si="223"/>
        <v>1473.8571928208198</v>
      </c>
      <c r="DJ102" s="58">
        <f t="shared" si="223"/>
        <v>3795.6936414344596</v>
      </c>
      <c r="DK102" s="58">
        <f t="shared" si="223"/>
        <v>4342.1587336792809</v>
      </c>
      <c r="DL102" s="58">
        <f t="shared" si="223"/>
        <v>5906.4252093392543</v>
      </c>
      <c r="DM102" s="58">
        <f t="shared" si="223"/>
        <v>1465.5406730946675</v>
      </c>
      <c r="DN102" s="58">
        <f t="shared" si="223"/>
        <v>4164.5174442600837</v>
      </c>
      <c r="DO102" s="58">
        <f t="shared" ref="DO102:DY102" si="224">SUM(DP53,DP58:DP60)/1000</f>
        <v>4762.4088088577582</v>
      </c>
      <c r="DP102" s="58">
        <f t="shared" si="224"/>
        <v>6478.4666004088094</v>
      </c>
      <c r="DQ102" s="58">
        <f t="shared" si="224"/>
        <v>1604.9383537403705</v>
      </c>
      <c r="DR102" s="58">
        <f t="shared" si="224"/>
        <v>1605.5082587312238</v>
      </c>
      <c r="DS102" s="58">
        <f t="shared" si="224"/>
        <v>1606.0718463792707</v>
      </c>
      <c r="DT102" s="58">
        <f t="shared" si="224"/>
        <v>1606.6285517067686</v>
      </c>
      <c r="DU102" s="58">
        <f t="shared" si="224"/>
        <v>1607.1908756147525</v>
      </c>
      <c r="DV102" s="58">
        <f t="shared" si="224"/>
        <v>1607.7540246010212</v>
      </c>
      <c r="DW102" s="58">
        <f t="shared" si="224"/>
        <v>1608.3157084465101</v>
      </c>
      <c r="DX102" s="58">
        <f t="shared" si="224"/>
        <v>1608.8779660968844</v>
      </c>
      <c r="DY102" s="58">
        <f t="shared" si="224"/>
        <v>1609.4409316476508</v>
      </c>
      <c r="DZ102" s="58"/>
      <c r="EA102" s="58">
        <f t="shared" ref="EA102:EC102" si="225">SUM(EB53,EB58:EB60)/1000</f>
        <v>1610.5684037276203</v>
      </c>
      <c r="EB102" s="58">
        <f t="shared" si="225"/>
        <v>1611.1370020539425</v>
      </c>
      <c r="EC102" s="58">
        <f t="shared" si="225"/>
        <v>1611.7020691656305</v>
      </c>
      <c r="ED102" s="58"/>
      <c r="EE102" s="58">
        <f t="shared" ref="EE102:EG102" si="226">SUM(EF53,EF58:EF60)/1000</f>
        <v>1612.8301306421913</v>
      </c>
      <c r="EF102" s="58">
        <f t="shared" si="226"/>
        <v>1613.3967737398032</v>
      </c>
      <c r="EG102" s="58">
        <f t="shared" si="226"/>
        <v>1613.9614155387242</v>
      </c>
      <c r="EH102" s="58"/>
      <c r="EI102" s="58">
        <f t="shared" ref="EI102:EK102" si="227">SUM(EJ53,EJ58:EJ60)/1000</f>
        <v>1615.0894375716725</v>
      </c>
      <c r="EJ102" s="58">
        <f t="shared" si="227"/>
        <v>1615.6532697839132</v>
      </c>
      <c r="EK102" s="58">
        <f t="shared" si="227"/>
        <v>1616.2173117475638</v>
      </c>
      <c r="EL102" s="58"/>
      <c r="EM102" s="58">
        <f t="shared" ref="EM102:EO102" si="228">SUM(EN53,EN58:EN60)/1000</f>
        <v>1617.344960571231</v>
      </c>
      <c r="EN102" s="58">
        <f t="shared" si="228"/>
        <v>1617.9086087153491</v>
      </c>
      <c r="EO102" s="58">
        <f t="shared" si="228"/>
        <v>1618.4720777003351</v>
      </c>
      <c r="EP102" s="58"/>
      <c r="EQ102" s="58">
        <f t="shared" ref="EQ102:ES102" si="229">SUM(ER53,ER58:ER60)/1000</f>
        <v>1619.5996421096181</v>
      </c>
      <c r="ER102" s="58">
        <f t="shared" si="229"/>
        <v>1620.1635227502361</v>
      </c>
      <c r="ES102" s="58">
        <f t="shared" si="229"/>
        <v>1620.7274412576783</v>
      </c>
      <c r="ET102" s="58"/>
      <c r="EU102" s="58">
        <f t="shared" ref="EU102:EW102" si="230">SUM(EV53,EV58:EV60)/1000</f>
        <v>1621.8557185185828</v>
      </c>
      <c r="EV102" s="58">
        <f t="shared" si="230"/>
        <v>1622.4200622299099</v>
      </c>
      <c r="EW102" s="58">
        <f t="shared" si="230"/>
        <v>1622.9843451584027</v>
      </c>
      <c r="EX102" s="58"/>
      <c r="EY102" s="58">
        <f t="shared" ref="EY102:FA102" si="231">SUM(EZ53,EZ58:EZ60)/1000</f>
        <v>1624.1132827948204</v>
      </c>
      <c r="EZ102" s="58">
        <f t="shared" si="231"/>
        <v>1624.6778455817946</v>
      </c>
      <c r="FA102" s="58">
        <f t="shared" si="231"/>
        <v>1625.2422418807594</v>
      </c>
      <c r="FB102" s="58"/>
      <c r="FC102" s="58">
        <f t="shared" ref="FC102:FE102" si="232">SUM(FD53,FD58:FD60)/1000</f>
        <v>1626.3707343040751</v>
      </c>
      <c r="FD102" s="58">
        <f t="shared" si="232"/>
        <v>1626.9348254870483</v>
      </c>
      <c r="FE102" s="58">
        <f t="shared" si="232"/>
        <v>1627.4988505079757</v>
      </c>
      <c r="FF102" s="58"/>
      <c r="FG102" s="58">
        <f t="shared" ref="FG102:FI102" si="233">SUM(FH53,FH58:FH60)/1000</f>
        <v>1628.6266911569135</v>
      </c>
      <c r="FH102" s="58">
        <f t="shared" si="233"/>
        <v>1629.1905843794475</v>
      </c>
      <c r="FI102" s="58">
        <f t="shared" si="233"/>
        <v>1629.75453416608</v>
      </c>
      <c r="FJ102" s="58"/>
    </row>
    <row r="103" spans="1:166" ht="15" x14ac:dyDescent="0.25">
      <c r="A103" s="9" t="s">
        <v>122</v>
      </c>
      <c r="B103" s="57">
        <f>C53/1000</f>
        <v>0</v>
      </c>
      <c r="C103" s="57">
        <f t="shared" ref="C103:BN103" si="234">D53/1000</f>
        <v>0</v>
      </c>
      <c r="D103" s="57">
        <f t="shared" si="234"/>
        <v>0</v>
      </c>
      <c r="E103" s="57">
        <f t="shared" si="234"/>
        <v>0</v>
      </c>
      <c r="F103" s="57">
        <f t="shared" si="234"/>
        <v>0</v>
      </c>
      <c r="G103" s="57">
        <f t="shared" si="234"/>
        <v>0</v>
      </c>
      <c r="H103" s="57">
        <f t="shared" si="234"/>
        <v>0</v>
      </c>
      <c r="I103" s="57">
        <f t="shared" si="234"/>
        <v>0</v>
      </c>
      <c r="J103" s="57">
        <f t="shared" si="234"/>
        <v>0</v>
      </c>
      <c r="K103" s="57">
        <f t="shared" si="234"/>
        <v>0</v>
      </c>
      <c r="L103" s="57">
        <f t="shared" si="234"/>
        <v>0</v>
      </c>
      <c r="M103" s="57">
        <f t="shared" si="234"/>
        <v>0</v>
      </c>
      <c r="N103" s="57">
        <f t="shared" si="234"/>
        <v>0</v>
      </c>
      <c r="O103" s="57">
        <f t="shared" si="234"/>
        <v>0</v>
      </c>
      <c r="P103" s="57">
        <f t="shared" si="234"/>
        <v>0</v>
      </c>
      <c r="Q103" s="57">
        <f t="shared" si="234"/>
        <v>0</v>
      </c>
      <c r="R103" s="57">
        <f t="shared" si="234"/>
        <v>0</v>
      </c>
      <c r="S103" s="57">
        <f t="shared" si="234"/>
        <v>0</v>
      </c>
      <c r="T103" s="57">
        <f t="shared" si="234"/>
        <v>0.05</v>
      </c>
      <c r="U103" s="57">
        <f t="shared" si="234"/>
        <v>2.4E-2</v>
      </c>
      <c r="V103" s="57">
        <f t="shared" si="234"/>
        <v>3.3000000000000002E-2</v>
      </c>
      <c r="W103" s="57">
        <f t="shared" si="234"/>
        <v>2.8000000000000001E-2</v>
      </c>
      <c r="X103" s="57">
        <f t="shared" si="234"/>
        <v>1E-3</v>
      </c>
      <c r="Y103" s="57">
        <f t="shared" si="234"/>
        <v>2E-3</v>
      </c>
      <c r="Z103" s="57">
        <f t="shared" si="234"/>
        <v>0.56200000000000006</v>
      </c>
      <c r="AA103" s="57">
        <f t="shared" si="234"/>
        <v>0.82</v>
      </c>
      <c r="AB103" s="57">
        <f t="shared" si="234"/>
        <v>0.97</v>
      </c>
      <c r="AC103" s="57">
        <f t="shared" si="234"/>
        <v>1.0840000000000001</v>
      </c>
      <c r="AD103" s="57">
        <f t="shared" si="234"/>
        <v>1.4079999999999999</v>
      </c>
      <c r="AE103" s="57">
        <f t="shared" si="234"/>
        <v>1.6639999999999999</v>
      </c>
      <c r="AF103" s="57">
        <f t="shared" si="234"/>
        <v>1.7789999999999999</v>
      </c>
      <c r="AG103" s="57">
        <f t="shared" si="234"/>
        <v>2.133</v>
      </c>
      <c r="AH103" s="57">
        <f t="shared" si="234"/>
        <v>2.5350000000000001</v>
      </c>
      <c r="AI103" s="57">
        <f t="shared" si="234"/>
        <v>3.048</v>
      </c>
      <c r="AJ103" s="57">
        <f t="shared" si="234"/>
        <v>3.8860000000000001</v>
      </c>
      <c r="AK103" s="57">
        <f t="shared" si="234"/>
        <v>4.3529999999999998</v>
      </c>
      <c r="AL103" s="57">
        <f t="shared" si="234"/>
        <v>3.9009999999999998</v>
      </c>
      <c r="AM103" s="57">
        <f t="shared" si="234"/>
        <v>3.0259999999999998</v>
      </c>
      <c r="AN103" s="57">
        <f t="shared" si="234"/>
        <v>4.22</v>
      </c>
      <c r="AO103" s="57">
        <f t="shared" si="234"/>
        <v>6.867</v>
      </c>
      <c r="AP103" s="57">
        <f t="shared" si="234"/>
        <v>6.2679999999999998</v>
      </c>
      <c r="AQ103" s="57">
        <f t="shared" si="234"/>
        <v>9.2669999999999995</v>
      </c>
      <c r="AR103" s="57">
        <f t="shared" si="234"/>
        <v>9.6199999999999992</v>
      </c>
      <c r="AS103" s="57">
        <f t="shared" si="234"/>
        <v>11.731999999999999</v>
      </c>
      <c r="AT103" s="57">
        <f t="shared" si="234"/>
        <v>12.653</v>
      </c>
      <c r="AU103" s="57">
        <f t="shared" si="234"/>
        <v>16.882999999999999</v>
      </c>
      <c r="AV103" s="57">
        <f t="shared" si="234"/>
        <v>16.745999999999999</v>
      </c>
      <c r="AW103" s="57">
        <f t="shared" si="234"/>
        <v>16.067</v>
      </c>
      <c r="AX103" s="57">
        <f t="shared" si="234"/>
        <v>15.098000000000001</v>
      </c>
      <c r="AY103" s="57">
        <f t="shared" si="234"/>
        <v>15.827999999999999</v>
      </c>
      <c r="AZ103" s="57">
        <f t="shared" si="234"/>
        <v>15.555999999999999</v>
      </c>
      <c r="BA103" s="57">
        <f t="shared" si="234"/>
        <v>14.298</v>
      </c>
      <c r="BB103" s="57">
        <f t="shared" si="234"/>
        <v>13.327</v>
      </c>
      <c r="BC103" s="57">
        <f t="shared" si="234"/>
        <v>12.287000000000001</v>
      </c>
      <c r="BD103" s="58">
        <f t="shared" si="234"/>
        <v>11.606</v>
      </c>
      <c r="BE103" s="58">
        <f t="shared" si="234"/>
        <v>12.85467849309474</v>
      </c>
      <c r="BF103" s="58">
        <f t="shared" si="234"/>
        <v>15.37628305270033</v>
      </c>
      <c r="BG103" s="58">
        <f t="shared" si="234"/>
        <v>14.987965968493853</v>
      </c>
      <c r="BH103" s="58">
        <f t="shared" si="234"/>
        <v>16.099440888662322</v>
      </c>
      <c r="BI103" s="58">
        <f t="shared" si="234"/>
        <v>16.897931286406465</v>
      </c>
      <c r="BJ103" s="58">
        <f t="shared" si="234"/>
        <v>18.555751648225371</v>
      </c>
      <c r="BK103" s="58">
        <f t="shared" si="234"/>
        <v>19.774149957368135</v>
      </c>
      <c r="BL103" s="58">
        <f t="shared" si="234"/>
        <v>20.535843397100322</v>
      </c>
      <c r="BM103" s="58">
        <f t="shared" si="234"/>
        <v>21.162085875411318</v>
      </c>
      <c r="BN103" s="58">
        <f t="shared" si="234"/>
        <v>21.767022910563146</v>
      </c>
      <c r="BO103" s="58">
        <f t="shared" ref="BO103:DY103" si="235">BP53/1000</f>
        <v>22.266290528782214</v>
      </c>
      <c r="BP103" s="58">
        <f t="shared" si="235"/>
        <v>22.809784564442506</v>
      </c>
      <c r="BQ103" s="58">
        <f t="shared" si="235"/>
        <v>23.341268203237377</v>
      </c>
      <c r="BR103" s="58">
        <f t="shared" si="235"/>
        <v>23.965883636878498</v>
      </c>
      <c r="BS103" s="58">
        <f t="shared" si="235"/>
        <v>24.425884524572947</v>
      </c>
      <c r="BT103" s="58">
        <f t="shared" si="235"/>
        <v>24.999420595853035</v>
      </c>
      <c r="BU103" s="58">
        <f t="shared" si="235"/>
        <v>25.611214426603773</v>
      </c>
      <c r="BV103" s="58">
        <f t="shared" si="235"/>
        <v>26.184873103238907</v>
      </c>
      <c r="BW103" s="58">
        <f t="shared" si="235"/>
        <v>26.763804872286826</v>
      </c>
      <c r="BX103" s="58">
        <f t="shared" si="235"/>
        <v>27.380311164789628</v>
      </c>
      <c r="BY103" s="58">
        <f t="shared" si="235"/>
        <v>28.005455176857105</v>
      </c>
      <c r="BZ103" s="58">
        <f t="shared" si="235"/>
        <v>28.589921053571683</v>
      </c>
      <c r="CA103" s="58">
        <f t="shared" si="235"/>
        <v>29.165101578329651</v>
      </c>
      <c r="CB103" s="58">
        <f t="shared" si="235"/>
        <v>29.736081219919804</v>
      </c>
      <c r="CC103" s="58">
        <f t="shared" si="235"/>
        <v>30.332179229977186</v>
      </c>
      <c r="CD103" s="58">
        <f t="shared" si="235"/>
        <v>30.891494480828737</v>
      </c>
      <c r="CE103" s="58">
        <f t="shared" si="235"/>
        <v>31.45820036037453</v>
      </c>
      <c r="CF103" s="58">
        <f t="shared" si="235"/>
        <v>32.036385446011316</v>
      </c>
      <c r="CG103" s="58">
        <f t="shared" si="235"/>
        <v>32.584441287451234</v>
      </c>
      <c r="CH103" s="58">
        <f t="shared" si="235"/>
        <v>33.067032351577957</v>
      </c>
      <c r="CI103" s="58">
        <f t="shared" si="235"/>
        <v>33.582794258965031</v>
      </c>
      <c r="CJ103" s="58">
        <f t="shared" si="235"/>
        <v>34.134457973914891</v>
      </c>
      <c r="CK103" s="58">
        <f t="shared" si="235"/>
        <v>34.660749820485265</v>
      </c>
      <c r="CL103" s="58">
        <f t="shared" si="235"/>
        <v>35.193864194864773</v>
      </c>
      <c r="CM103" s="58">
        <f t="shared" si="235"/>
        <v>35.723371167489937</v>
      </c>
      <c r="CN103" s="58">
        <f t="shared" si="235"/>
        <v>36.310921504609837</v>
      </c>
      <c r="CO103" s="58">
        <f t="shared" si="235"/>
        <v>36.861661726476001</v>
      </c>
      <c r="CP103" s="58">
        <f t="shared" si="235"/>
        <v>37.419885453936558</v>
      </c>
      <c r="CQ103" s="58">
        <f t="shared" si="235"/>
        <v>37.989714592320759</v>
      </c>
      <c r="CR103" s="58">
        <f t="shared" si="235"/>
        <v>38.564765947107155</v>
      </c>
      <c r="CS103" s="58">
        <f t="shared" si="235"/>
        <v>39.142659102536577</v>
      </c>
      <c r="CT103" s="58">
        <f t="shared" si="235"/>
        <v>39.714086180666243</v>
      </c>
      <c r="CU103" s="58">
        <f t="shared" si="235"/>
        <v>40.286774970691738</v>
      </c>
      <c r="CV103" s="58">
        <f t="shared" si="235"/>
        <v>40.85794247741093</v>
      </c>
      <c r="CW103" s="58">
        <f t="shared" si="235"/>
        <v>41.430604437070713</v>
      </c>
      <c r="CX103" s="58">
        <f t="shared" si="235"/>
        <v>41.995446491630005</v>
      </c>
      <c r="CY103" s="58">
        <f t="shared" si="235"/>
        <v>42.557387587051615</v>
      </c>
      <c r="CZ103" s="58">
        <f t="shared" si="235"/>
        <v>43.117866859099202</v>
      </c>
      <c r="DA103" s="58">
        <f t="shared" si="235"/>
        <v>43.67683732653412</v>
      </c>
      <c r="DB103" s="58">
        <f t="shared" si="235"/>
        <v>44.234096505302404</v>
      </c>
      <c r="DC103" s="58">
        <f t="shared" si="235"/>
        <v>44.792672419338672</v>
      </c>
      <c r="DD103" s="58">
        <f t="shared" si="235"/>
        <v>45.354139744600126</v>
      </c>
      <c r="DE103" s="58">
        <f t="shared" si="235"/>
        <v>45.916325306473574</v>
      </c>
      <c r="DF103" s="58">
        <f t="shared" si="235"/>
        <v>46.478655086770544</v>
      </c>
      <c r="DG103" s="58">
        <f t="shared" si="235"/>
        <v>47.040668151538988</v>
      </c>
      <c r="DH103" s="58">
        <f t="shared" si="235"/>
        <v>47.604148485721858</v>
      </c>
      <c r="DI103" s="58">
        <f t="shared" si="235"/>
        <v>48.167941233850634</v>
      </c>
      <c r="DJ103" s="58">
        <f t="shared" si="235"/>
        <v>48.732977485718436</v>
      </c>
      <c r="DK103" s="58">
        <f t="shared" si="235"/>
        <v>49.300441298532107</v>
      </c>
      <c r="DL103" s="58">
        <f t="shared" si="235"/>
        <v>49.86958140565072</v>
      </c>
      <c r="DM103" s="58">
        <f t="shared" si="235"/>
        <v>50.435753502642925</v>
      </c>
      <c r="DN103" s="58">
        <f t="shared" si="235"/>
        <v>51.000689459044501</v>
      </c>
      <c r="DO103" s="58">
        <f t="shared" si="235"/>
        <v>51.566473266107948</v>
      </c>
      <c r="DP103" s="58">
        <f t="shared" si="235"/>
        <v>52.13187386801814</v>
      </c>
      <c r="DQ103" s="58">
        <f t="shared" si="235"/>
        <v>52.69706061903954</v>
      </c>
      <c r="DR103" s="58">
        <f t="shared" si="235"/>
        <v>53.261693057982946</v>
      </c>
      <c r="DS103" s="58">
        <f t="shared" si="235"/>
        <v>53.825555900026409</v>
      </c>
      <c r="DT103" s="58">
        <f t="shared" si="235"/>
        <v>54.388471743055483</v>
      </c>
      <c r="DU103" s="58">
        <f t="shared" si="235"/>
        <v>54.950650611318792</v>
      </c>
      <c r="DV103" s="58">
        <f t="shared" si="235"/>
        <v>55.512624939231735</v>
      </c>
      <c r="DW103" s="58">
        <f t="shared" si="235"/>
        <v>56.074716910933745</v>
      </c>
      <c r="DX103" s="58">
        <f t="shared" si="235"/>
        <v>56.637191081054084</v>
      </c>
      <c r="DY103" s="58">
        <f t="shared" si="235"/>
        <v>57.200093032608748</v>
      </c>
      <c r="DZ103" s="58"/>
      <c r="EA103" s="58">
        <f t="shared" ref="EA103:EC103" si="236">EB53/1000</f>
        <v>58.327661361908241</v>
      </c>
      <c r="EB103" s="58">
        <f t="shared" si="236"/>
        <v>58.894326908148969</v>
      </c>
      <c r="EC103" s="58">
        <f t="shared" si="236"/>
        <v>59.459374179155006</v>
      </c>
      <c r="ED103" s="58"/>
      <c r="EE103" s="58">
        <f t="shared" ref="EE103:EG103" si="237">EF53/1000</f>
        <v>60.588290333139206</v>
      </c>
      <c r="EF103" s="58">
        <f t="shared" si="237"/>
        <v>61.153767907552179</v>
      </c>
      <c r="EG103" s="58">
        <f t="shared" si="237"/>
        <v>61.718450001617896</v>
      </c>
      <c r="EH103" s="58"/>
      <c r="EI103" s="58">
        <f t="shared" ref="EI103:EK103" si="238">EJ53/1000</f>
        <v>62.847395804883597</v>
      </c>
      <c r="EJ103" s="58">
        <f t="shared" si="238"/>
        <v>63.411676531043902</v>
      </c>
      <c r="EK103" s="58">
        <f t="shared" si="238"/>
        <v>63.9757788816135</v>
      </c>
      <c r="EL103" s="58"/>
      <c r="EM103" s="58">
        <f t="shared" ref="EM103:EO103" si="239">EN53/1000</f>
        <v>65.103354961842072</v>
      </c>
      <c r="EN103" s="58">
        <f t="shared" si="239"/>
        <v>65.666864786257392</v>
      </c>
      <c r="EO103" s="58">
        <f t="shared" si="239"/>
        <v>66.230319855877525</v>
      </c>
      <c r="EP103" s="58"/>
      <c r="EQ103" s="58">
        <f t="shared" ref="EQ103:ES103" si="240">ER53/1000</f>
        <v>67.357666744321676</v>
      </c>
      <c r="ER103" s="58">
        <f t="shared" si="240"/>
        <v>67.921567434714561</v>
      </c>
      <c r="ES103" s="58">
        <f t="shared" si="240"/>
        <v>68.48552086740051</v>
      </c>
      <c r="ET103" s="58"/>
      <c r="EU103" s="58">
        <f t="shared" ref="EU103:EW103" si="241">EV53/1000</f>
        <v>69.613778195172728</v>
      </c>
      <c r="EV103" s="58">
        <f t="shared" si="241"/>
        <v>70.178100333097007</v>
      </c>
      <c r="EW103" s="58">
        <f t="shared" si="241"/>
        <v>70.74253672080394</v>
      </c>
      <c r="EX103" s="58"/>
      <c r="EY103" s="58">
        <f t="shared" ref="EY103:FA103" si="242">EZ53/1000</f>
        <v>71.87157112285972</v>
      </c>
      <c r="EZ103" s="58">
        <f t="shared" si="242"/>
        <v>72.436084354216732</v>
      </c>
      <c r="FA103" s="58">
        <f t="shared" si="242"/>
        <v>73.000468600988384</v>
      </c>
      <c r="FB103" s="58"/>
      <c r="FC103" s="58">
        <f t="shared" ref="FC103:FE103" si="243">FD53/1000</f>
        <v>74.128900822095133</v>
      </c>
      <c r="FD103" s="58">
        <f t="shared" si="243"/>
        <v>74.692958842836987</v>
      </c>
      <c r="FE103" s="58">
        <f t="shared" si="243"/>
        <v>75.256936940142879</v>
      </c>
      <c r="FF103" s="58"/>
      <c r="FG103" s="58">
        <f t="shared" ref="FG103:FI103" si="244">FH53/1000</f>
        <v>76.3847626336064</v>
      </c>
      <c r="FH103" s="58">
        <f t="shared" si="244"/>
        <v>76.94868140491235</v>
      </c>
      <c r="FI103" s="58">
        <f t="shared" si="244"/>
        <v>77.512627176545479</v>
      </c>
      <c r="FJ103" s="58"/>
    </row>
    <row r="105" spans="1:166" x14ac:dyDescent="0.2">
      <c r="A105" s="9" t="s">
        <v>157</v>
      </c>
      <c r="B105" s="9" t="str">
        <f>B95</f>
        <v>2011 Q1</v>
      </c>
      <c r="C105" s="9" t="str">
        <f t="shared" ref="C105:BN105" si="245">C95</f>
        <v>Q2</v>
      </c>
      <c r="D105" s="9" t="str">
        <f t="shared" si="245"/>
        <v>Q3</v>
      </c>
      <c r="E105" s="9" t="str">
        <f t="shared" si="245"/>
        <v>Q4</v>
      </c>
      <c r="F105" s="9" t="str">
        <f t="shared" si="245"/>
        <v>2012 Q1</v>
      </c>
      <c r="G105" s="9" t="str">
        <f t="shared" si="245"/>
        <v>Q2</v>
      </c>
      <c r="H105" s="9" t="str">
        <f t="shared" si="245"/>
        <v>Q3</v>
      </c>
      <c r="I105" s="9" t="str">
        <f t="shared" si="245"/>
        <v>Q4</v>
      </c>
      <c r="J105" s="9" t="str">
        <f t="shared" si="245"/>
        <v>2013 Q1</v>
      </c>
      <c r="K105" s="9" t="str">
        <f t="shared" si="245"/>
        <v>Q2</v>
      </c>
      <c r="L105" s="9" t="str">
        <f t="shared" si="245"/>
        <v>Q3</v>
      </c>
      <c r="M105" s="9" t="str">
        <f t="shared" si="245"/>
        <v>Q4</v>
      </c>
      <c r="N105" s="9" t="str">
        <f t="shared" si="245"/>
        <v>2014 Q1</v>
      </c>
      <c r="O105" s="9" t="str">
        <f t="shared" si="245"/>
        <v>Q2</v>
      </c>
      <c r="P105" s="9" t="str">
        <f t="shared" si="245"/>
        <v>Q3</v>
      </c>
      <c r="Q105" s="9" t="str">
        <f t="shared" si="245"/>
        <v>Q4</v>
      </c>
      <c r="R105" s="9" t="str">
        <f t="shared" si="245"/>
        <v>2015 Q1</v>
      </c>
      <c r="S105" s="9" t="str">
        <f t="shared" si="245"/>
        <v>Q2</v>
      </c>
      <c r="T105" s="9" t="str">
        <f t="shared" si="245"/>
        <v>Q3</v>
      </c>
      <c r="U105" s="9" t="str">
        <f t="shared" si="245"/>
        <v>Q4</v>
      </c>
      <c r="V105" s="9" t="str">
        <f t="shared" si="245"/>
        <v>2016 Q1</v>
      </c>
      <c r="W105" s="9" t="str">
        <f t="shared" si="245"/>
        <v>Q2</v>
      </c>
      <c r="X105" s="9" t="str">
        <f t="shared" si="245"/>
        <v>Q3</v>
      </c>
      <c r="Y105" s="9" t="str">
        <f t="shared" si="245"/>
        <v>Q4</v>
      </c>
      <c r="Z105" s="9" t="str">
        <f t="shared" si="245"/>
        <v>2017 Q1</v>
      </c>
      <c r="AA105" s="9" t="str">
        <f t="shared" si="245"/>
        <v>Q2</v>
      </c>
      <c r="AB105" s="9" t="str">
        <f t="shared" si="245"/>
        <v>Q3</v>
      </c>
      <c r="AC105" s="9" t="str">
        <f t="shared" si="245"/>
        <v>Q4</v>
      </c>
      <c r="AD105" s="9" t="str">
        <f t="shared" si="245"/>
        <v>2018 Q1</v>
      </c>
      <c r="AE105" s="9" t="str">
        <f t="shared" si="245"/>
        <v>Q2</v>
      </c>
      <c r="AF105" s="9" t="str">
        <f t="shared" si="245"/>
        <v>Q3</v>
      </c>
      <c r="AG105" s="9" t="str">
        <f t="shared" si="245"/>
        <v>Q4</v>
      </c>
      <c r="AH105" s="9" t="str">
        <f t="shared" si="245"/>
        <v>2019 Q1</v>
      </c>
      <c r="AI105" s="9" t="str">
        <f t="shared" si="245"/>
        <v>Q2</v>
      </c>
      <c r="AJ105" s="9" t="str">
        <f t="shared" si="245"/>
        <v>Q3</v>
      </c>
      <c r="AK105" s="9" t="str">
        <f t="shared" si="245"/>
        <v>Q4</v>
      </c>
      <c r="AL105" s="9" t="str">
        <f t="shared" si="245"/>
        <v>2020 Q1</v>
      </c>
      <c r="AM105" s="9" t="str">
        <f t="shared" si="245"/>
        <v>Q2</v>
      </c>
      <c r="AN105" s="9" t="str">
        <f t="shared" si="245"/>
        <v>Q3</v>
      </c>
      <c r="AO105" s="9" t="str">
        <f t="shared" si="245"/>
        <v>Q4</v>
      </c>
      <c r="AP105" s="9" t="str">
        <f t="shared" si="245"/>
        <v>2021 Q1</v>
      </c>
      <c r="AQ105" s="9" t="str">
        <f t="shared" si="245"/>
        <v>Q2</v>
      </c>
      <c r="AR105" s="9" t="str">
        <f t="shared" si="245"/>
        <v>Q3</v>
      </c>
      <c r="AS105" s="9" t="str">
        <f t="shared" si="245"/>
        <v>Q4</v>
      </c>
      <c r="AT105" s="9" t="str">
        <f t="shared" si="245"/>
        <v>2022 Q1</v>
      </c>
      <c r="AU105" s="9" t="str">
        <f t="shared" si="245"/>
        <v>Q2</v>
      </c>
      <c r="AV105" s="9" t="str">
        <f t="shared" si="245"/>
        <v>Q3</v>
      </c>
      <c r="AW105" s="9" t="str">
        <f t="shared" si="245"/>
        <v>Q4</v>
      </c>
      <c r="AX105" s="47" t="str">
        <f t="shared" si="245"/>
        <v>2023 Q1</v>
      </c>
      <c r="AY105" s="47" t="str">
        <f t="shared" si="245"/>
        <v>Q2</v>
      </c>
      <c r="AZ105" s="47" t="str">
        <f t="shared" si="245"/>
        <v>Q3</v>
      </c>
      <c r="BA105" s="47" t="str">
        <f t="shared" si="245"/>
        <v>Q4</v>
      </c>
      <c r="BB105" s="47" t="str">
        <f t="shared" si="245"/>
        <v>2024Q1</v>
      </c>
      <c r="BC105" s="9" t="str">
        <f t="shared" si="245"/>
        <v>Q2</v>
      </c>
      <c r="BD105" s="9" t="str">
        <f t="shared" si="245"/>
        <v>Q3</v>
      </c>
      <c r="BE105" s="9" t="str">
        <f t="shared" si="245"/>
        <v>Q4</v>
      </c>
      <c r="BF105" s="9" t="str">
        <f t="shared" si="245"/>
        <v>2025Q1</v>
      </c>
      <c r="BG105" s="9" t="str">
        <f t="shared" si="245"/>
        <v>Q2</v>
      </c>
      <c r="BH105" s="9" t="str">
        <f t="shared" si="245"/>
        <v>Q3</v>
      </c>
      <c r="BI105" s="9" t="str">
        <f t="shared" si="245"/>
        <v>Q4</v>
      </c>
      <c r="BJ105" s="9" t="str">
        <f t="shared" si="245"/>
        <v>2026Q1</v>
      </c>
      <c r="BK105" s="9" t="str">
        <f t="shared" si="245"/>
        <v>Q2</v>
      </c>
      <c r="BL105" s="9" t="str">
        <f t="shared" si="245"/>
        <v>Q3</v>
      </c>
      <c r="BM105" s="9" t="str">
        <f t="shared" si="245"/>
        <v>Q4</v>
      </c>
      <c r="BN105" s="9" t="str">
        <f t="shared" si="245"/>
        <v>2027Q1</v>
      </c>
      <c r="BO105" s="9" t="str">
        <f t="shared" ref="BO105:DY105" si="246">BO95</f>
        <v>Q2</v>
      </c>
      <c r="BP105" s="9" t="str">
        <f t="shared" si="246"/>
        <v>Q3</v>
      </c>
      <c r="BQ105" s="9" t="str">
        <f t="shared" si="246"/>
        <v>Q4</v>
      </c>
      <c r="BR105" s="9" t="str">
        <f t="shared" si="246"/>
        <v>2028Q1</v>
      </c>
      <c r="BS105" s="9" t="str">
        <f t="shared" si="246"/>
        <v>Q2</v>
      </c>
      <c r="BT105" s="9" t="str">
        <f t="shared" si="246"/>
        <v>Q3</v>
      </c>
      <c r="BU105" s="9" t="str">
        <f t="shared" si="246"/>
        <v>Q4</v>
      </c>
      <c r="BV105" s="9" t="str">
        <f t="shared" si="246"/>
        <v>2029Q1</v>
      </c>
      <c r="BW105" s="9" t="str">
        <f t="shared" si="246"/>
        <v>Q2</v>
      </c>
      <c r="BX105" s="9" t="str">
        <f t="shared" si="246"/>
        <v>Q3</v>
      </c>
      <c r="BY105" s="9" t="str">
        <f t="shared" si="246"/>
        <v>Q4</v>
      </c>
      <c r="BZ105" s="9" t="str">
        <f t="shared" si="246"/>
        <v>2030Q1</v>
      </c>
      <c r="CA105" s="9" t="str">
        <f t="shared" si="246"/>
        <v>Q2</v>
      </c>
      <c r="CB105" s="9" t="str">
        <f t="shared" si="246"/>
        <v>Q3</v>
      </c>
      <c r="CC105" s="9" t="str">
        <f t="shared" si="246"/>
        <v>Q4</v>
      </c>
      <c r="CD105" s="9" t="str">
        <f t="shared" si="246"/>
        <v>2031Q1</v>
      </c>
      <c r="CE105" s="9" t="str">
        <f t="shared" si="246"/>
        <v>Q2</v>
      </c>
      <c r="CF105" s="9" t="str">
        <f t="shared" si="246"/>
        <v>Q3</v>
      </c>
      <c r="CG105" s="9" t="str">
        <f t="shared" si="246"/>
        <v>Q4</v>
      </c>
      <c r="CH105" s="9" t="str">
        <f t="shared" si="246"/>
        <v>2032Q1</v>
      </c>
      <c r="CI105" s="9" t="str">
        <f t="shared" si="246"/>
        <v>Q2</v>
      </c>
      <c r="CJ105" s="9" t="str">
        <f t="shared" si="246"/>
        <v>Q3</v>
      </c>
      <c r="CK105" s="9" t="str">
        <f t="shared" si="246"/>
        <v>Q4</v>
      </c>
      <c r="CL105" s="9" t="str">
        <f t="shared" si="246"/>
        <v>2033Q1</v>
      </c>
      <c r="CM105" s="9" t="str">
        <f t="shared" si="246"/>
        <v>Q2</v>
      </c>
      <c r="CN105" s="9" t="str">
        <f t="shared" si="246"/>
        <v>Q3</v>
      </c>
      <c r="CO105" s="9" t="str">
        <f t="shared" si="246"/>
        <v>Q4</v>
      </c>
      <c r="CP105" s="9" t="str">
        <f t="shared" si="246"/>
        <v>2034Q1</v>
      </c>
      <c r="CQ105" s="9" t="str">
        <f t="shared" si="246"/>
        <v>Q2</v>
      </c>
      <c r="CR105" s="9" t="str">
        <f t="shared" si="246"/>
        <v>Q3</v>
      </c>
      <c r="CS105" s="9" t="str">
        <f t="shared" si="246"/>
        <v>Q4</v>
      </c>
      <c r="CT105" s="9" t="str">
        <f t="shared" si="246"/>
        <v>2035Q1</v>
      </c>
      <c r="CU105" s="9" t="str">
        <f t="shared" si="246"/>
        <v>Q2</v>
      </c>
      <c r="CV105" s="9" t="str">
        <f t="shared" si="246"/>
        <v>Q3</v>
      </c>
      <c r="CW105" s="9" t="str">
        <f t="shared" si="246"/>
        <v>Q4</v>
      </c>
      <c r="CX105" s="9" t="str">
        <f t="shared" si="246"/>
        <v>2036Q1</v>
      </c>
      <c r="CY105" s="9" t="str">
        <f t="shared" si="246"/>
        <v>Q2</v>
      </c>
      <c r="CZ105" s="9" t="str">
        <f t="shared" si="246"/>
        <v>Q3</v>
      </c>
      <c r="DA105" s="9" t="str">
        <f t="shared" si="246"/>
        <v>Q4</v>
      </c>
      <c r="DB105" s="9" t="str">
        <f t="shared" si="246"/>
        <v>2037Q1</v>
      </c>
      <c r="DC105" s="9" t="str">
        <f t="shared" si="246"/>
        <v>Q2</v>
      </c>
      <c r="DD105" s="9" t="str">
        <f t="shared" si="246"/>
        <v>Q3</v>
      </c>
      <c r="DE105" s="9" t="str">
        <f t="shared" si="246"/>
        <v>Q4</v>
      </c>
      <c r="DF105" s="9" t="str">
        <f t="shared" si="246"/>
        <v>2038Q1</v>
      </c>
      <c r="DG105" s="9" t="str">
        <f t="shared" si="246"/>
        <v>Q2</v>
      </c>
      <c r="DH105" s="9" t="str">
        <f t="shared" si="246"/>
        <v>Q3</v>
      </c>
      <c r="DI105" s="9" t="str">
        <f t="shared" si="246"/>
        <v>Q4</v>
      </c>
      <c r="DJ105" s="9" t="str">
        <f t="shared" si="246"/>
        <v>2039Q1</v>
      </c>
      <c r="DK105" s="9" t="str">
        <f t="shared" si="246"/>
        <v>Q2</v>
      </c>
      <c r="DL105" s="9" t="str">
        <f t="shared" si="246"/>
        <v>Q3</v>
      </c>
      <c r="DM105" s="9" t="str">
        <f t="shared" si="246"/>
        <v>Q4</v>
      </c>
      <c r="DN105" s="9" t="str">
        <f t="shared" si="246"/>
        <v>2040Q1</v>
      </c>
      <c r="DO105" s="9" t="str">
        <f t="shared" si="246"/>
        <v>Q2</v>
      </c>
      <c r="DP105" s="9" t="str">
        <f t="shared" si="246"/>
        <v>Q3</v>
      </c>
      <c r="DQ105" s="9" t="str">
        <f t="shared" si="246"/>
        <v>Q4</v>
      </c>
      <c r="DR105" s="9" t="str">
        <f t="shared" si="246"/>
        <v>2041Q1</v>
      </c>
      <c r="DS105" s="9" t="str">
        <f t="shared" si="246"/>
        <v>Q2</v>
      </c>
      <c r="DT105" s="9" t="str">
        <f t="shared" si="246"/>
        <v>Q3</v>
      </c>
      <c r="DU105" s="9" t="str">
        <f t="shared" si="246"/>
        <v>Q4</v>
      </c>
      <c r="DV105" s="9" t="str">
        <f t="shared" si="246"/>
        <v>2042Q1</v>
      </c>
      <c r="DW105" s="9" t="str">
        <f t="shared" si="246"/>
        <v>Q2</v>
      </c>
      <c r="DX105" s="9" t="str">
        <f t="shared" si="246"/>
        <v>Q3</v>
      </c>
      <c r="DY105" s="9" t="str">
        <f t="shared" si="246"/>
        <v>Q4</v>
      </c>
      <c r="EA105" s="9">
        <f t="shared" ref="EA105:EC105" si="247">EA95</f>
        <v>0</v>
      </c>
      <c r="EB105" s="9">
        <f t="shared" si="247"/>
        <v>0</v>
      </c>
      <c r="EC105" s="9">
        <f t="shared" si="247"/>
        <v>0</v>
      </c>
      <c r="EE105" s="9">
        <f t="shared" ref="EE105:EG105" si="248">EE95</f>
        <v>0</v>
      </c>
      <c r="EF105" s="9">
        <f t="shared" si="248"/>
        <v>0</v>
      </c>
      <c r="EG105" s="9">
        <f t="shared" si="248"/>
        <v>0</v>
      </c>
      <c r="EI105" s="9">
        <f t="shared" ref="EI105:EK105" si="249">EI95</f>
        <v>0</v>
      </c>
      <c r="EJ105" s="9">
        <f t="shared" si="249"/>
        <v>0</v>
      </c>
      <c r="EK105" s="9">
        <f t="shared" si="249"/>
        <v>0</v>
      </c>
      <c r="EM105" s="9">
        <f t="shared" ref="EM105:EO105" si="250">EM95</f>
        <v>0</v>
      </c>
      <c r="EN105" s="9">
        <f t="shared" si="250"/>
        <v>0</v>
      </c>
      <c r="EO105" s="9">
        <f t="shared" si="250"/>
        <v>0</v>
      </c>
      <c r="EQ105" s="9">
        <f t="shared" ref="EQ105:ES105" si="251">EQ95</f>
        <v>0</v>
      </c>
      <c r="ER105" s="9">
        <f t="shared" si="251"/>
        <v>0</v>
      </c>
      <c r="ES105" s="9">
        <f t="shared" si="251"/>
        <v>0</v>
      </c>
      <c r="EU105" s="9">
        <f t="shared" ref="EU105:EW105" si="252">EU95</f>
        <v>0</v>
      </c>
      <c r="EV105" s="9">
        <f t="shared" si="252"/>
        <v>0</v>
      </c>
      <c r="EW105" s="9">
        <f t="shared" si="252"/>
        <v>0</v>
      </c>
      <c r="EY105" s="9">
        <f t="shared" ref="EY105:FA105" si="253">EY95</f>
        <v>0</v>
      </c>
      <c r="EZ105" s="9">
        <f t="shared" si="253"/>
        <v>0</v>
      </c>
      <c r="FA105" s="9">
        <f t="shared" si="253"/>
        <v>0</v>
      </c>
      <c r="FC105" s="9">
        <f t="shared" ref="FC105:FE105" si="254">FC95</f>
        <v>0</v>
      </c>
      <c r="FD105" s="9">
        <f t="shared" si="254"/>
        <v>0</v>
      </c>
      <c r="FE105" s="9">
        <f t="shared" si="254"/>
        <v>0</v>
      </c>
      <c r="FG105" s="9">
        <f t="shared" ref="FG105:FI105" si="255">FG95</f>
        <v>0</v>
      </c>
      <c r="FH105" s="9">
        <f t="shared" si="255"/>
        <v>0</v>
      </c>
      <c r="FI105" s="9">
        <f t="shared" si="255"/>
        <v>0</v>
      </c>
    </row>
    <row r="106" spans="1:166" ht="15" x14ac:dyDescent="0.25">
      <c r="A106" s="9" t="s">
        <v>76</v>
      </c>
      <c r="N106" s="59">
        <v>165</v>
      </c>
      <c r="O106" s="59">
        <v>165</v>
      </c>
      <c r="P106" s="59">
        <v>165</v>
      </c>
      <c r="Q106" s="59">
        <v>165</v>
      </c>
      <c r="R106" s="59">
        <v>282.5</v>
      </c>
      <c r="S106" s="59">
        <v>282.5</v>
      </c>
      <c r="T106" s="59">
        <v>282.5</v>
      </c>
      <c r="U106" s="59">
        <v>282.5</v>
      </c>
      <c r="V106" s="59">
        <v>427.74725000000001</v>
      </c>
      <c r="W106" s="59">
        <v>427.74725000000001</v>
      </c>
      <c r="X106" s="59">
        <v>427.74725000000001</v>
      </c>
      <c r="Y106" s="59">
        <v>427.74725000000001</v>
      </c>
      <c r="Z106" s="59">
        <v>346.13225</v>
      </c>
      <c r="AA106" s="59">
        <v>346.13225</v>
      </c>
      <c r="AB106" s="59">
        <v>346.13225</v>
      </c>
      <c r="AC106" s="59">
        <v>346.13225</v>
      </c>
      <c r="AD106" s="59">
        <v>403.69641606897756</v>
      </c>
      <c r="AE106" s="59">
        <v>403.69641606897756</v>
      </c>
      <c r="AF106" s="59">
        <v>403.69641606897756</v>
      </c>
      <c r="AG106" s="59">
        <v>403.69641606897756</v>
      </c>
      <c r="AH106" s="59">
        <v>518.07122271747221</v>
      </c>
      <c r="AI106" s="59">
        <v>518.07122271747221</v>
      </c>
      <c r="AJ106" s="59">
        <v>518.07122271747221</v>
      </c>
      <c r="AK106" s="59">
        <v>518.07122271747221</v>
      </c>
      <c r="AL106" s="59">
        <v>645.50561251532486</v>
      </c>
      <c r="AM106" s="59">
        <v>645.50561251532486</v>
      </c>
      <c r="AN106" s="59">
        <v>645.50561251532486</v>
      </c>
      <c r="AO106" s="59">
        <v>645.50561251532486</v>
      </c>
      <c r="AP106" s="59">
        <v>767.00096151930575</v>
      </c>
      <c r="AQ106" s="59">
        <v>767.00096151930575</v>
      </c>
      <c r="AR106" s="59">
        <v>767.00096151930575</v>
      </c>
      <c r="AS106" s="59">
        <v>767.00096151930575</v>
      </c>
      <c r="AT106" s="59">
        <v>882.55726972941534</v>
      </c>
      <c r="AU106" s="59">
        <v>882.55726972941534</v>
      </c>
      <c r="AV106" s="59">
        <v>882.55726972941534</v>
      </c>
      <c r="AW106" s="59">
        <v>882.55726972941534</v>
      </c>
      <c r="AX106" s="60">
        <f>AW106*1.12</f>
        <v>988.46414209694524</v>
      </c>
      <c r="AY106" s="60">
        <f>AX106</f>
        <v>988.46414209694524</v>
      </c>
      <c r="AZ106" s="60">
        <f>AY106</f>
        <v>988.46414209694524</v>
      </c>
      <c r="BA106" s="60">
        <f>AZ106</f>
        <v>988.46414209694524</v>
      </c>
      <c r="BB106" s="60">
        <f>BA106</f>
        <v>988.46414209694524</v>
      </c>
      <c r="BC106" s="59">
        <f t="shared" ref="BC106:BR111" si="256">BB106</f>
        <v>988.46414209694524</v>
      </c>
      <c r="BD106" s="61">
        <f t="shared" si="256"/>
        <v>988.46414209694524</v>
      </c>
      <c r="BE106" s="61">
        <f t="shared" si="256"/>
        <v>988.46414209694524</v>
      </c>
      <c r="BF106" s="61">
        <f t="shared" si="256"/>
        <v>988.46414209694524</v>
      </c>
      <c r="BG106" s="61">
        <f t="shared" si="256"/>
        <v>988.46414209694524</v>
      </c>
      <c r="BH106" s="61">
        <f t="shared" si="256"/>
        <v>988.46414209694524</v>
      </c>
      <c r="BI106" s="61">
        <f t="shared" si="256"/>
        <v>988.46414209694524</v>
      </c>
      <c r="BJ106" s="61">
        <f t="shared" si="256"/>
        <v>988.46414209694524</v>
      </c>
      <c r="BK106" s="61">
        <f t="shared" si="256"/>
        <v>988.46414209694524</v>
      </c>
      <c r="BL106" s="61">
        <f t="shared" si="256"/>
        <v>988.46414209694524</v>
      </c>
      <c r="BM106" s="61">
        <f t="shared" si="256"/>
        <v>988.46414209694524</v>
      </c>
      <c r="BN106" s="61">
        <f t="shared" si="256"/>
        <v>988.46414209694524</v>
      </c>
      <c r="BO106" s="61">
        <f t="shared" si="256"/>
        <v>988.46414209694524</v>
      </c>
      <c r="BP106" s="61">
        <f t="shared" si="256"/>
        <v>988.46414209694524</v>
      </c>
      <c r="BQ106" s="61">
        <f t="shared" si="256"/>
        <v>988.46414209694524</v>
      </c>
      <c r="BR106" s="61">
        <f t="shared" si="256"/>
        <v>988.46414209694524</v>
      </c>
      <c r="BS106" s="61">
        <f t="shared" ref="BS106:CH111" si="257">BR106</f>
        <v>988.46414209694524</v>
      </c>
      <c r="BT106" s="61">
        <f t="shared" si="257"/>
        <v>988.46414209694524</v>
      </c>
      <c r="BU106" s="61">
        <f t="shared" si="257"/>
        <v>988.46414209694524</v>
      </c>
      <c r="BV106" s="61">
        <f t="shared" si="257"/>
        <v>988.46414209694524</v>
      </c>
      <c r="BW106" s="61">
        <f t="shared" si="257"/>
        <v>988.46414209694524</v>
      </c>
      <c r="BX106" s="61">
        <f t="shared" si="257"/>
        <v>988.46414209694524</v>
      </c>
      <c r="BY106" s="61">
        <f t="shared" si="257"/>
        <v>988.46414209694524</v>
      </c>
      <c r="BZ106" s="61">
        <f t="shared" si="257"/>
        <v>988.46414209694524</v>
      </c>
      <c r="CA106" s="61">
        <f t="shared" si="257"/>
        <v>988.46414209694524</v>
      </c>
      <c r="CB106" s="61">
        <f t="shared" si="257"/>
        <v>988.46414209694524</v>
      </c>
      <c r="CC106" s="61">
        <f t="shared" si="257"/>
        <v>988.46414209694524</v>
      </c>
      <c r="CD106" s="61">
        <f t="shared" si="257"/>
        <v>988.46414209694524</v>
      </c>
      <c r="CE106" s="61">
        <f t="shared" si="257"/>
        <v>988.46414209694524</v>
      </c>
      <c r="CF106" s="61">
        <f t="shared" si="257"/>
        <v>988.46414209694524</v>
      </c>
      <c r="CG106" s="61">
        <f t="shared" si="257"/>
        <v>988.46414209694524</v>
      </c>
      <c r="CH106" s="61">
        <f t="shared" si="257"/>
        <v>988.46414209694524</v>
      </c>
      <c r="CI106" s="61">
        <f t="shared" ref="CI106:CX111" si="258">CH106</f>
        <v>988.46414209694524</v>
      </c>
      <c r="CJ106" s="61">
        <f t="shared" si="258"/>
        <v>988.46414209694524</v>
      </c>
      <c r="CK106" s="61">
        <f t="shared" si="258"/>
        <v>988.46414209694524</v>
      </c>
      <c r="CL106" s="61">
        <f t="shared" si="258"/>
        <v>988.46414209694524</v>
      </c>
      <c r="CM106" s="61">
        <f t="shared" si="258"/>
        <v>988.46414209694524</v>
      </c>
      <c r="CN106" s="61">
        <f t="shared" si="258"/>
        <v>988.46414209694524</v>
      </c>
      <c r="CO106" s="61">
        <f t="shared" si="258"/>
        <v>988.46414209694524</v>
      </c>
      <c r="CP106" s="61">
        <f t="shared" si="258"/>
        <v>988.46414209694524</v>
      </c>
      <c r="CQ106" s="61">
        <f t="shared" si="258"/>
        <v>988.46414209694524</v>
      </c>
      <c r="CR106" s="61">
        <f t="shared" si="258"/>
        <v>988.46414209694524</v>
      </c>
      <c r="CS106" s="61">
        <f t="shared" si="258"/>
        <v>988.46414209694524</v>
      </c>
      <c r="CT106" s="61">
        <f t="shared" si="258"/>
        <v>988.46414209694524</v>
      </c>
      <c r="CU106" s="61">
        <f t="shared" si="258"/>
        <v>988.46414209694524</v>
      </c>
      <c r="CV106" s="61">
        <f t="shared" si="258"/>
        <v>988.46414209694524</v>
      </c>
      <c r="CW106" s="61">
        <f t="shared" si="258"/>
        <v>988.46414209694524</v>
      </c>
      <c r="CX106" s="61">
        <f t="shared" si="258"/>
        <v>988.46414209694524</v>
      </c>
      <c r="CY106" s="61">
        <f t="shared" ref="CY106:DN111" si="259">CX106</f>
        <v>988.46414209694524</v>
      </c>
      <c r="CZ106" s="61">
        <f t="shared" si="259"/>
        <v>988.46414209694524</v>
      </c>
      <c r="DA106" s="61">
        <f t="shared" si="259"/>
        <v>988.46414209694524</v>
      </c>
      <c r="DB106" s="61">
        <f t="shared" si="259"/>
        <v>988.46414209694524</v>
      </c>
      <c r="DC106" s="61">
        <f t="shared" si="259"/>
        <v>988.46414209694524</v>
      </c>
      <c r="DD106" s="61">
        <f t="shared" si="259"/>
        <v>988.46414209694524</v>
      </c>
      <c r="DE106" s="61">
        <f t="shared" si="259"/>
        <v>988.46414209694524</v>
      </c>
      <c r="DF106" s="61">
        <f t="shared" si="259"/>
        <v>988.46414209694524</v>
      </c>
      <c r="DG106" s="61">
        <f t="shared" si="259"/>
        <v>988.46414209694524</v>
      </c>
      <c r="DH106" s="61">
        <f t="shared" si="259"/>
        <v>988.46414209694524</v>
      </c>
      <c r="DI106" s="61">
        <f t="shared" si="259"/>
        <v>988.46414209694524</v>
      </c>
      <c r="DJ106" s="61">
        <f t="shared" si="259"/>
        <v>988.46414209694524</v>
      </c>
      <c r="DK106" s="61">
        <f t="shared" si="259"/>
        <v>988.46414209694524</v>
      </c>
      <c r="DL106" s="61">
        <f t="shared" si="259"/>
        <v>988.46414209694524</v>
      </c>
      <c r="DM106" s="61">
        <f t="shared" si="259"/>
        <v>988.46414209694524</v>
      </c>
      <c r="DN106" s="61">
        <f t="shared" si="259"/>
        <v>988.46414209694524</v>
      </c>
      <c r="DO106" s="61">
        <f t="shared" ref="DO106:DY111" si="260">DN106</f>
        <v>988.46414209694524</v>
      </c>
      <c r="DP106" s="61">
        <f t="shared" si="260"/>
        <v>988.46414209694524</v>
      </c>
      <c r="DQ106" s="61">
        <f t="shared" si="260"/>
        <v>988.46414209694524</v>
      </c>
      <c r="DR106" s="61">
        <f t="shared" si="260"/>
        <v>988.46414209694524</v>
      </c>
      <c r="DS106" s="61">
        <f t="shared" si="260"/>
        <v>988.46414209694524</v>
      </c>
      <c r="DT106" s="61">
        <f t="shared" si="260"/>
        <v>988.46414209694524</v>
      </c>
      <c r="DU106" s="61">
        <f t="shared" si="260"/>
        <v>988.46414209694524</v>
      </c>
      <c r="DV106" s="61">
        <f t="shared" si="260"/>
        <v>988.46414209694524</v>
      </c>
      <c r="DW106" s="61">
        <f t="shared" si="260"/>
        <v>988.46414209694524</v>
      </c>
      <c r="DX106" s="61">
        <f t="shared" si="260"/>
        <v>988.46414209694524</v>
      </c>
      <c r="DY106" s="61">
        <f t="shared" si="260"/>
        <v>988.46414209694524</v>
      </c>
      <c r="EA106" s="61">
        <f t="shared" ref="EA106:EC111" si="261">DZ106</f>
        <v>0</v>
      </c>
      <c r="EB106" s="61">
        <f t="shared" si="261"/>
        <v>0</v>
      </c>
      <c r="EC106" s="61">
        <f t="shared" si="261"/>
        <v>0</v>
      </c>
      <c r="EE106" s="61">
        <f t="shared" ref="EE106:EG111" si="262">ED106</f>
        <v>0</v>
      </c>
      <c r="EF106" s="61">
        <f t="shared" si="262"/>
        <v>0</v>
      </c>
      <c r="EG106" s="61">
        <f t="shared" si="262"/>
        <v>0</v>
      </c>
      <c r="EI106" s="61">
        <f t="shared" ref="EI106:EK111" si="263">EH106</f>
        <v>0</v>
      </c>
      <c r="EJ106" s="61">
        <f t="shared" si="263"/>
        <v>0</v>
      </c>
      <c r="EK106" s="61">
        <f t="shared" si="263"/>
        <v>0</v>
      </c>
      <c r="EM106" s="61">
        <f t="shared" ref="EM106:EO111" si="264">EL106</f>
        <v>0</v>
      </c>
      <c r="EN106" s="61">
        <f t="shared" si="264"/>
        <v>0</v>
      </c>
      <c r="EO106" s="61">
        <f t="shared" si="264"/>
        <v>0</v>
      </c>
      <c r="EQ106" s="61">
        <f t="shared" ref="EQ106:ES111" si="265">EP106</f>
        <v>0</v>
      </c>
      <c r="ER106" s="61">
        <f t="shared" si="265"/>
        <v>0</v>
      </c>
      <c r="ES106" s="61">
        <f t="shared" si="265"/>
        <v>0</v>
      </c>
      <c r="EU106" s="61">
        <f t="shared" ref="EU106:EW111" si="266">ET106</f>
        <v>0</v>
      </c>
      <c r="EV106" s="61">
        <f t="shared" si="266"/>
        <v>0</v>
      </c>
      <c r="EW106" s="61">
        <f t="shared" si="266"/>
        <v>0</v>
      </c>
      <c r="EY106" s="61">
        <f t="shared" ref="EY106:FA111" si="267">EX106</f>
        <v>0</v>
      </c>
      <c r="EZ106" s="61">
        <f t="shared" si="267"/>
        <v>0</v>
      </c>
      <c r="FA106" s="61">
        <f t="shared" si="267"/>
        <v>0</v>
      </c>
      <c r="FC106" s="61">
        <f t="shared" ref="FC106:FE111" si="268">FB106</f>
        <v>0</v>
      </c>
      <c r="FD106" s="61">
        <f t="shared" si="268"/>
        <v>0</v>
      </c>
      <c r="FE106" s="61">
        <f t="shared" si="268"/>
        <v>0</v>
      </c>
      <c r="FG106" s="61">
        <f t="shared" ref="FG106:FI111" si="269">FF106</f>
        <v>0</v>
      </c>
      <c r="FH106" s="61">
        <f t="shared" si="269"/>
        <v>0</v>
      </c>
      <c r="FI106" s="61">
        <f t="shared" si="269"/>
        <v>0</v>
      </c>
    </row>
    <row r="107" spans="1:166" ht="15" x14ac:dyDescent="0.25">
      <c r="A107" s="9" t="s">
        <v>77</v>
      </c>
      <c r="N107" s="59">
        <v>210</v>
      </c>
      <c r="O107" s="59">
        <v>210</v>
      </c>
      <c r="P107" s="59">
        <v>210</v>
      </c>
      <c r="Q107" s="59">
        <v>210</v>
      </c>
      <c r="R107" s="59">
        <v>257.5</v>
      </c>
      <c r="S107" s="59">
        <v>257.5</v>
      </c>
      <c r="T107" s="59">
        <v>257.5</v>
      </c>
      <c r="U107" s="59">
        <v>257.5</v>
      </c>
      <c r="V107" s="59">
        <v>540.98749999999995</v>
      </c>
      <c r="W107" s="59">
        <v>540.98749999999995</v>
      </c>
      <c r="X107" s="59">
        <v>540.98749999999995</v>
      </c>
      <c r="Y107" s="59">
        <v>540.98749999999995</v>
      </c>
      <c r="Z107" s="59">
        <v>739.76075000000003</v>
      </c>
      <c r="AA107" s="59">
        <v>739.76075000000003</v>
      </c>
      <c r="AB107" s="59">
        <v>739.76075000000003</v>
      </c>
      <c r="AC107" s="59">
        <v>739.76075000000003</v>
      </c>
      <c r="AD107" s="59">
        <v>992.33316493532141</v>
      </c>
      <c r="AE107" s="59">
        <v>992.33316493532141</v>
      </c>
      <c r="AF107" s="59">
        <v>992.33316493532141</v>
      </c>
      <c r="AG107" s="59">
        <v>992.33316493532141</v>
      </c>
      <c r="AH107" s="59">
        <v>1136.7643151726845</v>
      </c>
      <c r="AI107" s="59">
        <v>1136.7643151726845</v>
      </c>
      <c r="AJ107" s="59">
        <v>1136.7643151726845</v>
      </c>
      <c r="AK107" s="59">
        <v>1136.7643151726845</v>
      </c>
      <c r="AL107" s="59">
        <v>1316.9950716600479</v>
      </c>
      <c r="AM107" s="59">
        <v>1316.9950716600479</v>
      </c>
      <c r="AN107" s="59">
        <v>1316.9950716600479</v>
      </c>
      <c r="AO107" s="59">
        <v>1316.9950716600479</v>
      </c>
      <c r="AP107" s="59">
        <v>1489.0862390849106</v>
      </c>
      <c r="AQ107" s="59">
        <v>1489.0862390849106</v>
      </c>
      <c r="AR107" s="59">
        <v>1489.0862390849106</v>
      </c>
      <c r="AS107" s="59">
        <v>1489.0862390849106</v>
      </c>
      <c r="AT107" s="59">
        <v>1653.0378174472739</v>
      </c>
      <c r="AU107" s="59">
        <v>1653.0378174472739</v>
      </c>
      <c r="AV107" s="59">
        <v>1653.0378174472739</v>
      </c>
      <c r="AW107" s="59">
        <v>1653.0378174472739</v>
      </c>
      <c r="AX107" s="60">
        <f>AW107*1.1</f>
        <v>1818.3415991920015</v>
      </c>
      <c r="AY107" s="60">
        <f>AX107</f>
        <v>1818.3415991920015</v>
      </c>
      <c r="AZ107" s="60">
        <f t="shared" ref="AZ107:BB107" si="270">AY107</f>
        <v>1818.3415991920015</v>
      </c>
      <c r="BA107" s="60">
        <f t="shared" si="270"/>
        <v>1818.3415991920015</v>
      </c>
      <c r="BB107" s="60">
        <f t="shared" si="270"/>
        <v>1818.3415991920015</v>
      </c>
      <c r="BC107" s="59">
        <f t="shared" si="256"/>
        <v>1818.3415991920015</v>
      </c>
      <c r="BD107" s="61">
        <f t="shared" si="256"/>
        <v>1818.3415991920015</v>
      </c>
      <c r="BE107" s="61">
        <f t="shared" si="256"/>
        <v>1818.3415991920015</v>
      </c>
      <c r="BF107" s="61">
        <f t="shared" si="256"/>
        <v>1818.3415991920015</v>
      </c>
      <c r="BG107" s="61">
        <f t="shared" si="256"/>
        <v>1818.3415991920015</v>
      </c>
      <c r="BH107" s="61">
        <f t="shared" si="256"/>
        <v>1818.3415991920015</v>
      </c>
      <c r="BI107" s="61">
        <f t="shared" si="256"/>
        <v>1818.3415991920015</v>
      </c>
      <c r="BJ107" s="61">
        <f t="shared" si="256"/>
        <v>1818.3415991920015</v>
      </c>
      <c r="BK107" s="61">
        <f t="shared" si="256"/>
        <v>1818.3415991920015</v>
      </c>
      <c r="BL107" s="61">
        <f t="shared" si="256"/>
        <v>1818.3415991920015</v>
      </c>
      <c r="BM107" s="61">
        <f t="shared" si="256"/>
        <v>1818.3415991920015</v>
      </c>
      <c r="BN107" s="61">
        <f t="shared" si="256"/>
        <v>1818.3415991920015</v>
      </c>
      <c r="BO107" s="61">
        <f t="shared" si="256"/>
        <v>1818.3415991920015</v>
      </c>
      <c r="BP107" s="61">
        <f t="shared" si="256"/>
        <v>1818.3415991920015</v>
      </c>
      <c r="BQ107" s="61">
        <f t="shared" si="256"/>
        <v>1818.3415991920015</v>
      </c>
      <c r="BR107" s="61">
        <f t="shared" si="256"/>
        <v>1818.3415991920015</v>
      </c>
      <c r="BS107" s="61">
        <f t="shared" si="257"/>
        <v>1818.3415991920015</v>
      </c>
      <c r="BT107" s="61">
        <f t="shared" si="257"/>
        <v>1818.3415991920015</v>
      </c>
      <c r="BU107" s="61">
        <f t="shared" si="257"/>
        <v>1818.3415991920015</v>
      </c>
      <c r="BV107" s="61">
        <f t="shared" si="257"/>
        <v>1818.3415991920015</v>
      </c>
      <c r="BW107" s="61">
        <f t="shared" si="257"/>
        <v>1818.3415991920015</v>
      </c>
      <c r="BX107" s="61">
        <f t="shared" si="257"/>
        <v>1818.3415991920015</v>
      </c>
      <c r="BY107" s="61">
        <f t="shared" si="257"/>
        <v>1818.3415991920015</v>
      </c>
      <c r="BZ107" s="61">
        <f t="shared" si="257"/>
        <v>1818.3415991920015</v>
      </c>
      <c r="CA107" s="61">
        <f t="shared" si="257"/>
        <v>1818.3415991920015</v>
      </c>
      <c r="CB107" s="61">
        <f t="shared" si="257"/>
        <v>1818.3415991920015</v>
      </c>
      <c r="CC107" s="61">
        <f t="shared" si="257"/>
        <v>1818.3415991920015</v>
      </c>
      <c r="CD107" s="61">
        <f t="shared" si="257"/>
        <v>1818.3415991920015</v>
      </c>
      <c r="CE107" s="61">
        <f t="shared" si="257"/>
        <v>1818.3415991920015</v>
      </c>
      <c r="CF107" s="61">
        <f t="shared" si="257"/>
        <v>1818.3415991920015</v>
      </c>
      <c r="CG107" s="61">
        <f t="shared" si="257"/>
        <v>1818.3415991920015</v>
      </c>
      <c r="CH107" s="61">
        <f t="shared" si="257"/>
        <v>1818.3415991920015</v>
      </c>
      <c r="CI107" s="61">
        <f t="shared" si="258"/>
        <v>1818.3415991920015</v>
      </c>
      <c r="CJ107" s="61">
        <f t="shared" si="258"/>
        <v>1818.3415991920015</v>
      </c>
      <c r="CK107" s="61">
        <f t="shared" si="258"/>
        <v>1818.3415991920015</v>
      </c>
      <c r="CL107" s="61">
        <f t="shared" si="258"/>
        <v>1818.3415991920015</v>
      </c>
      <c r="CM107" s="61">
        <f t="shared" si="258"/>
        <v>1818.3415991920015</v>
      </c>
      <c r="CN107" s="61">
        <f t="shared" si="258"/>
        <v>1818.3415991920015</v>
      </c>
      <c r="CO107" s="61">
        <f t="shared" si="258"/>
        <v>1818.3415991920015</v>
      </c>
      <c r="CP107" s="61">
        <f t="shared" si="258"/>
        <v>1818.3415991920015</v>
      </c>
      <c r="CQ107" s="61">
        <f t="shared" si="258"/>
        <v>1818.3415991920015</v>
      </c>
      <c r="CR107" s="61">
        <f t="shared" si="258"/>
        <v>1818.3415991920015</v>
      </c>
      <c r="CS107" s="61">
        <f t="shared" si="258"/>
        <v>1818.3415991920015</v>
      </c>
      <c r="CT107" s="61">
        <f t="shared" si="258"/>
        <v>1818.3415991920015</v>
      </c>
      <c r="CU107" s="61">
        <f t="shared" si="258"/>
        <v>1818.3415991920015</v>
      </c>
      <c r="CV107" s="61">
        <f t="shared" si="258"/>
        <v>1818.3415991920015</v>
      </c>
      <c r="CW107" s="61">
        <f t="shared" si="258"/>
        <v>1818.3415991920015</v>
      </c>
      <c r="CX107" s="61">
        <f t="shared" si="258"/>
        <v>1818.3415991920015</v>
      </c>
      <c r="CY107" s="61">
        <f t="shared" si="259"/>
        <v>1818.3415991920015</v>
      </c>
      <c r="CZ107" s="61">
        <f t="shared" si="259"/>
        <v>1818.3415991920015</v>
      </c>
      <c r="DA107" s="61">
        <f t="shared" si="259"/>
        <v>1818.3415991920015</v>
      </c>
      <c r="DB107" s="61">
        <f t="shared" si="259"/>
        <v>1818.3415991920015</v>
      </c>
      <c r="DC107" s="61">
        <f t="shared" si="259"/>
        <v>1818.3415991920015</v>
      </c>
      <c r="DD107" s="61">
        <f t="shared" si="259"/>
        <v>1818.3415991920015</v>
      </c>
      <c r="DE107" s="61">
        <f t="shared" si="259"/>
        <v>1818.3415991920015</v>
      </c>
      <c r="DF107" s="61">
        <f t="shared" si="259"/>
        <v>1818.3415991920015</v>
      </c>
      <c r="DG107" s="61">
        <f t="shared" si="259"/>
        <v>1818.3415991920015</v>
      </c>
      <c r="DH107" s="61">
        <f t="shared" si="259"/>
        <v>1818.3415991920015</v>
      </c>
      <c r="DI107" s="61">
        <f t="shared" si="259"/>
        <v>1818.3415991920015</v>
      </c>
      <c r="DJ107" s="61">
        <f t="shared" si="259"/>
        <v>1818.3415991920015</v>
      </c>
      <c r="DK107" s="61">
        <f t="shared" si="259"/>
        <v>1818.3415991920015</v>
      </c>
      <c r="DL107" s="61">
        <f t="shared" si="259"/>
        <v>1818.3415991920015</v>
      </c>
      <c r="DM107" s="61">
        <f t="shared" si="259"/>
        <v>1818.3415991920015</v>
      </c>
      <c r="DN107" s="61">
        <f t="shared" si="259"/>
        <v>1818.3415991920015</v>
      </c>
      <c r="DO107" s="61">
        <f t="shared" si="260"/>
        <v>1818.3415991920015</v>
      </c>
      <c r="DP107" s="61">
        <f t="shared" si="260"/>
        <v>1818.3415991920015</v>
      </c>
      <c r="DQ107" s="61">
        <f t="shared" si="260"/>
        <v>1818.3415991920015</v>
      </c>
      <c r="DR107" s="61">
        <f t="shared" si="260"/>
        <v>1818.3415991920015</v>
      </c>
      <c r="DS107" s="61">
        <f t="shared" si="260"/>
        <v>1818.3415991920015</v>
      </c>
      <c r="DT107" s="61">
        <f t="shared" si="260"/>
        <v>1818.3415991920015</v>
      </c>
      <c r="DU107" s="61">
        <f t="shared" si="260"/>
        <v>1818.3415991920015</v>
      </c>
      <c r="DV107" s="61">
        <f t="shared" si="260"/>
        <v>1818.3415991920015</v>
      </c>
      <c r="DW107" s="61">
        <f t="shared" si="260"/>
        <v>1818.3415991920015</v>
      </c>
      <c r="DX107" s="61">
        <f t="shared" si="260"/>
        <v>1818.3415991920015</v>
      </c>
      <c r="DY107" s="61">
        <f t="shared" si="260"/>
        <v>1818.3415991920015</v>
      </c>
      <c r="EA107" s="61">
        <f t="shared" si="261"/>
        <v>0</v>
      </c>
      <c r="EB107" s="61">
        <f t="shared" si="261"/>
        <v>0</v>
      </c>
      <c r="EC107" s="61">
        <f t="shared" si="261"/>
        <v>0</v>
      </c>
      <c r="EE107" s="61">
        <f t="shared" si="262"/>
        <v>0</v>
      </c>
      <c r="EF107" s="61">
        <f t="shared" si="262"/>
        <v>0</v>
      </c>
      <c r="EG107" s="61">
        <f t="shared" si="262"/>
        <v>0</v>
      </c>
      <c r="EI107" s="61">
        <f t="shared" si="263"/>
        <v>0</v>
      </c>
      <c r="EJ107" s="61">
        <f t="shared" si="263"/>
        <v>0</v>
      </c>
      <c r="EK107" s="61">
        <f t="shared" si="263"/>
        <v>0</v>
      </c>
      <c r="EM107" s="61">
        <f t="shared" si="264"/>
        <v>0</v>
      </c>
      <c r="EN107" s="61">
        <f t="shared" si="264"/>
        <v>0</v>
      </c>
      <c r="EO107" s="61">
        <f t="shared" si="264"/>
        <v>0</v>
      </c>
      <c r="EQ107" s="61">
        <f t="shared" si="265"/>
        <v>0</v>
      </c>
      <c r="ER107" s="61">
        <f t="shared" si="265"/>
        <v>0</v>
      </c>
      <c r="ES107" s="61">
        <f t="shared" si="265"/>
        <v>0</v>
      </c>
      <c r="EU107" s="61">
        <f t="shared" si="266"/>
        <v>0</v>
      </c>
      <c r="EV107" s="61">
        <f t="shared" si="266"/>
        <v>0</v>
      </c>
      <c r="EW107" s="61">
        <f t="shared" si="266"/>
        <v>0</v>
      </c>
      <c r="EY107" s="61">
        <f t="shared" si="267"/>
        <v>0</v>
      </c>
      <c r="EZ107" s="61">
        <f t="shared" si="267"/>
        <v>0</v>
      </c>
      <c r="FA107" s="61">
        <f t="shared" si="267"/>
        <v>0</v>
      </c>
      <c r="FC107" s="61">
        <f t="shared" si="268"/>
        <v>0</v>
      </c>
      <c r="FD107" s="61">
        <f t="shared" si="268"/>
        <v>0</v>
      </c>
      <c r="FE107" s="61">
        <f t="shared" si="268"/>
        <v>0</v>
      </c>
      <c r="FG107" s="61">
        <f t="shared" si="269"/>
        <v>0</v>
      </c>
      <c r="FH107" s="61">
        <f t="shared" si="269"/>
        <v>0</v>
      </c>
      <c r="FI107" s="61">
        <f t="shared" si="269"/>
        <v>0</v>
      </c>
    </row>
    <row r="108" spans="1:166" ht="15" x14ac:dyDescent="0.25">
      <c r="A108" s="9" t="s">
        <v>75</v>
      </c>
      <c r="N108" s="59">
        <v>485</v>
      </c>
      <c r="O108" s="59">
        <v>485</v>
      </c>
      <c r="P108" s="59">
        <v>485</v>
      </c>
      <c r="Q108" s="59">
        <v>485</v>
      </c>
      <c r="R108" s="59">
        <v>507.49999999999994</v>
      </c>
      <c r="S108" s="59">
        <v>507.49999999999994</v>
      </c>
      <c r="T108" s="59">
        <v>507.49999999999994</v>
      </c>
      <c r="U108" s="59">
        <v>507.49999999999994</v>
      </c>
      <c r="V108" s="59">
        <v>829.399</v>
      </c>
      <c r="W108" s="59">
        <v>829.399</v>
      </c>
      <c r="X108" s="59">
        <v>829.399</v>
      </c>
      <c r="Y108" s="59">
        <v>829.399</v>
      </c>
      <c r="Z108" s="59">
        <v>801.03049999999996</v>
      </c>
      <c r="AA108" s="59">
        <v>801.03049999999996</v>
      </c>
      <c r="AB108" s="59">
        <v>801.03049999999996</v>
      </c>
      <c r="AC108" s="59">
        <v>801.03049999999996</v>
      </c>
      <c r="AD108" s="59">
        <v>789.56565720271453</v>
      </c>
      <c r="AE108" s="59">
        <v>789.56565720271453</v>
      </c>
      <c r="AF108" s="59">
        <v>789.56565720271453</v>
      </c>
      <c r="AG108" s="59">
        <v>789.56565720271453</v>
      </c>
      <c r="AH108" s="59">
        <v>813.51731081225057</v>
      </c>
      <c r="AI108" s="59">
        <v>813.51731081225057</v>
      </c>
      <c r="AJ108" s="59">
        <v>813.51731081225057</v>
      </c>
      <c r="AK108" s="59">
        <v>813.51731081225057</v>
      </c>
      <c r="AL108" s="59">
        <v>769.89125821273115</v>
      </c>
      <c r="AM108" s="59">
        <v>769.89125821273115</v>
      </c>
      <c r="AN108" s="59">
        <v>769.89125821273115</v>
      </c>
      <c r="AO108" s="59">
        <v>769.89125821273115</v>
      </c>
      <c r="AP108" s="59">
        <v>879.01748270258213</v>
      </c>
      <c r="AQ108" s="59">
        <v>879.01748270258213</v>
      </c>
      <c r="AR108" s="59">
        <v>879.01748270258213</v>
      </c>
      <c r="AS108" s="59">
        <v>879.01748270258213</v>
      </c>
      <c r="AT108" s="59">
        <v>949.87477758919829</v>
      </c>
      <c r="AU108" s="59">
        <v>949.87477758919829</v>
      </c>
      <c r="AV108" s="59">
        <v>949.87477758919829</v>
      </c>
      <c r="AW108" s="59">
        <v>949.87477758919829</v>
      </c>
      <c r="AX108" s="60">
        <f>AW108*1.05</f>
        <v>997.3685164686583</v>
      </c>
      <c r="AY108" s="60">
        <f t="shared" ref="AY108:BB111" si="271">AX108</f>
        <v>997.3685164686583</v>
      </c>
      <c r="AZ108" s="60">
        <f t="shared" si="271"/>
        <v>997.3685164686583</v>
      </c>
      <c r="BA108" s="60">
        <f t="shared" si="271"/>
        <v>997.3685164686583</v>
      </c>
      <c r="BB108" s="60">
        <f t="shared" si="271"/>
        <v>997.3685164686583</v>
      </c>
      <c r="BC108" s="59">
        <f t="shared" si="256"/>
        <v>997.3685164686583</v>
      </c>
      <c r="BD108" s="61">
        <f t="shared" si="256"/>
        <v>997.3685164686583</v>
      </c>
      <c r="BE108" s="61">
        <f t="shared" si="256"/>
        <v>997.3685164686583</v>
      </c>
      <c r="BF108" s="61">
        <f t="shared" si="256"/>
        <v>997.3685164686583</v>
      </c>
      <c r="BG108" s="61">
        <f t="shared" si="256"/>
        <v>997.3685164686583</v>
      </c>
      <c r="BH108" s="61">
        <f t="shared" si="256"/>
        <v>997.3685164686583</v>
      </c>
      <c r="BI108" s="61">
        <f t="shared" si="256"/>
        <v>997.3685164686583</v>
      </c>
      <c r="BJ108" s="61">
        <f t="shared" si="256"/>
        <v>997.3685164686583</v>
      </c>
      <c r="BK108" s="61">
        <f t="shared" si="256"/>
        <v>997.3685164686583</v>
      </c>
      <c r="BL108" s="61">
        <f t="shared" si="256"/>
        <v>997.3685164686583</v>
      </c>
      <c r="BM108" s="61">
        <f t="shared" si="256"/>
        <v>997.3685164686583</v>
      </c>
      <c r="BN108" s="61">
        <f t="shared" si="256"/>
        <v>997.3685164686583</v>
      </c>
      <c r="BO108" s="61">
        <f t="shared" si="256"/>
        <v>997.3685164686583</v>
      </c>
      <c r="BP108" s="61">
        <f t="shared" si="256"/>
        <v>997.3685164686583</v>
      </c>
      <c r="BQ108" s="61">
        <f t="shared" si="256"/>
        <v>997.3685164686583</v>
      </c>
      <c r="BR108" s="61">
        <f t="shared" si="256"/>
        <v>997.3685164686583</v>
      </c>
      <c r="BS108" s="61">
        <f t="shared" si="257"/>
        <v>997.3685164686583</v>
      </c>
      <c r="BT108" s="61">
        <f t="shared" si="257"/>
        <v>997.3685164686583</v>
      </c>
      <c r="BU108" s="61">
        <f t="shared" si="257"/>
        <v>997.3685164686583</v>
      </c>
      <c r="BV108" s="61">
        <f t="shared" si="257"/>
        <v>997.3685164686583</v>
      </c>
      <c r="BW108" s="61">
        <f t="shared" si="257"/>
        <v>997.3685164686583</v>
      </c>
      <c r="BX108" s="61">
        <f t="shared" si="257"/>
        <v>997.3685164686583</v>
      </c>
      <c r="BY108" s="61">
        <f t="shared" si="257"/>
        <v>997.3685164686583</v>
      </c>
      <c r="BZ108" s="61">
        <f t="shared" si="257"/>
        <v>997.3685164686583</v>
      </c>
      <c r="CA108" s="61">
        <f t="shared" si="257"/>
        <v>997.3685164686583</v>
      </c>
      <c r="CB108" s="61">
        <f t="shared" si="257"/>
        <v>997.3685164686583</v>
      </c>
      <c r="CC108" s="61">
        <f t="shared" si="257"/>
        <v>997.3685164686583</v>
      </c>
      <c r="CD108" s="61">
        <f t="shared" si="257"/>
        <v>997.3685164686583</v>
      </c>
      <c r="CE108" s="61">
        <f t="shared" si="257"/>
        <v>997.3685164686583</v>
      </c>
      <c r="CF108" s="61">
        <f t="shared" si="257"/>
        <v>997.3685164686583</v>
      </c>
      <c r="CG108" s="61">
        <f t="shared" si="257"/>
        <v>997.3685164686583</v>
      </c>
      <c r="CH108" s="61">
        <f t="shared" si="257"/>
        <v>997.3685164686583</v>
      </c>
      <c r="CI108" s="61">
        <f t="shared" si="258"/>
        <v>997.3685164686583</v>
      </c>
      <c r="CJ108" s="61">
        <f t="shared" si="258"/>
        <v>997.3685164686583</v>
      </c>
      <c r="CK108" s="61">
        <f t="shared" si="258"/>
        <v>997.3685164686583</v>
      </c>
      <c r="CL108" s="61">
        <f t="shared" si="258"/>
        <v>997.3685164686583</v>
      </c>
      <c r="CM108" s="61">
        <f t="shared" si="258"/>
        <v>997.3685164686583</v>
      </c>
      <c r="CN108" s="61">
        <f t="shared" si="258"/>
        <v>997.3685164686583</v>
      </c>
      <c r="CO108" s="61">
        <f t="shared" si="258"/>
        <v>997.3685164686583</v>
      </c>
      <c r="CP108" s="61">
        <f t="shared" si="258"/>
        <v>997.3685164686583</v>
      </c>
      <c r="CQ108" s="61">
        <f t="shared" si="258"/>
        <v>997.3685164686583</v>
      </c>
      <c r="CR108" s="61">
        <f t="shared" si="258"/>
        <v>997.3685164686583</v>
      </c>
      <c r="CS108" s="61">
        <f t="shared" si="258"/>
        <v>997.3685164686583</v>
      </c>
      <c r="CT108" s="61">
        <f t="shared" si="258"/>
        <v>997.3685164686583</v>
      </c>
      <c r="CU108" s="61">
        <f t="shared" si="258"/>
        <v>997.3685164686583</v>
      </c>
      <c r="CV108" s="61">
        <f t="shared" si="258"/>
        <v>997.3685164686583</v>
      </c>
      <c r="CW108" s="61">
        <f t="shared" si="258"/>
        <v>997.3685164686583</v>
      </c>
      <c r="CX108" s="61">
        <f t="shared" si="258"/>
        <v>997.3685164686583</v>
      </c>
      <c r="CY108" s="61">
        <f t="shared" si="259"/>
        <v>997.3685164686583</v>
      </c>
      <c r="CZ108" s="61">
        <f t="shared" si="259"/>
        <v>997.3685164686583</v>
      </c>
      <c r="DA108" s="61">
        <f t="shared" si="259"/>
        <v>997.3685164686583</v>
      </c>
      <c r="DB108" s="61">
        <f t="shared" si="259"/>
        <v>997.3685164686583</v>
      </c>
      <c r="DC108" s="61">
        <f t="shared" si="259"/>
        <v>997.3685164686583</v>
      </c>
      <c r="DD108" s="61">
        <f t="shared" si="259"/>
        <v>997.3685164686583</v>
      </c>
      <c r="DE108" s="61">
        <f t="shared" si="259"/>
        <v>997.3685164686583</v>
      </c>
      <c r="DF108" s="61">
        <f t="shared" si="259"/>
        <v>997.3685164686583</v>
      </c>
      <c r="DG108" s="61">
        <f t="shared" si="259"/>
        <v>997.3685164686583</v>
      </c>
      <c r="DH108" s="61">
        <f t="shared" si="259"/>
        <v>997.3685164686583</v>
      </c>
      <c r="DI108" s="61">
        <f t="shared" si="259"/>
        <v>997.3685164686583</v>
      </c>
      <c r="DJ108" s="61">
        <f t="shared" si="259"/>
        <v>997.3685164686583</v>
      </c>
      <c r="DK108" s="61">
        <f t="shared" si="259"/>
        <v>997.3685164686583</v>
      </c>
      <c r="DL108" s="61">
        <f t="shared" si="259"/>
        <v>997.3685164686583</v>
      </c>
      <c r="DM108" s="61">
        <f t="shared" si="259"/>
        <v>997.3685164686583</v>
      </c>
      <c r="DN108" s="61">
        <f t="shared" si="259"/>
        <v>997.3685164686583</v>
      </c>
      <c r="DO108" s="61">
        <f t="shared" si="260"/>
        <v>997.3685164686583</v>
      </c>
      <c r="DP108" s="61">
        <f t="shared" si="260"/>
        <v>997.3685164686583</v>
      </c>
      <c r="DQ108" s="61">
        <f t="shared" si="260"/>
        <v>997.3685164686583</v>
      </c>
      <c r="DR108" s="61">
        <f t="shared" si="260"/>
        <v>997.3685164686583</v>
      </c>
      <c r="DS108" s="61">
        <f t="shared" si="260"/>
        <v>997.3685164686583</v>
      </c>
      <c r="DT108" s="61">
        <f t="shared" si="260"/>
        <v>997.3685164686583</v>
      </c>
      <c r="DU108" s="61">
        <f t="shared" si="260"/>
        <v>997.3685164686583</v>
      </c>
      <c r="DV108" s="61">
        <f t="shared" si="260"/>
        <v>997.3685164686583</v>
      </c>
      <c r="DW108" s="61">
        <f t="shared" si="260"/>
        <v>997.3685164686583</v>
      </c>
      <c r="DX108" s="61">
        <f t="shared" si="260"/>
        <v>997.3685164686583</v>
      </c>
      <c r="DY108" s="61">
        <f t="shared" si="260"/>
        <v>997.3685164686583</v>
      </c>
      <c r="EA108" s="61">
        <f t="shared" si="261"/>
        <v>0</v>
      </c>
      <c r="EB108" s="61">
        <f t="shared" si="261"/>
        <v>0</v>
      </c>
      <c r="EC108" s="61">
        <f t="shared" si="261"/>
        <v>0</v>
      </c>
      <c r="EE108" s="61">
        <f t="shared" si="262"/>
        <v>0</v>
      </c>
      <c r="EF108" s="61">
        <f t="shared" si="262"/>
        <v>0</v>
      </c>
      <c r="EG108" s="61">
        <f t="shared" si="262"/>
        <v>0</v>
      </c>
      <c r="EI108" s="61">
        <f t="shared" si="263"/>
        <v>0</v>
      </c>
      <c r="EJ108" s="61">
        <f t="shared" si="263"/>
        <v>0</v>
      </c>
      <c r="EK108" s="61">
        <f t="shared" si="263"/>
        <v>0</v>
      </c>
      <c r="EM108" s="61">
        <f t="shared" si="264"/>
        <v>0</v>
      </c>
      <c r="EN108" s="61">
        <f t="shared" si="264"/>
        <v>0</v>
      </c>
      <c r="EO108" s="61">
        <f t="shared" si="264"/>
        <v>0</v>
      </c>
      <c r="EQ108" s="61">
        <f t="shared" si="265"/>
        <v>0</v>
      </c>
      <c r="ER108" s="61">
        <f t="shared" si="265"/>
        <v>0</v>
      </c>
      <c r="ES108" s="61">
        <f t="shared" si="265"/>
        <v>0</v>
      </c>
      <c r="EU108" s="61">
        <f t="shared" si="266"/>
        <v>0</v>
      </c>
      <c r="EV108" s="61">
        <f t="shared" si="266"/>
        <v>0</v>
      </c>
      <c r="EW108" s="61">
        <f t="shared" si="266"/>
        <v>0</v>
      </c>
      <c r="EY108" s="61">
        <f t="shared" si="267"/>
        <v>0</v>
      </c>
      <c r="EZ108" s="61">
        <f t="shared" si="267"/>
        <v>0</v>
      </c>
      <c r="FA108" s="61">
        <f t="shared" si="267"/>
        <v>0</v>
      </c>
      <c r="FC108" s="61">
        <f t="shared" si="268"/>
        <v>0</v>
      </c>
      <c r="FD108" s="61">
        <f t="shared" si="268"/>
        <v>0</v>
      </c>
      <c r="FE108" s="61">
        <f t="shared" si="268"/>
        <v>0</v>
      </c>
      <c r="FG108" s="61">
        <f t="shared" si="269"/>
        <v>0</v>
      </c>
      <c r="FH108" s="61">
        <f t="shared" si="269"/>
        <v>0</v>
      </c>
      <c r="FI108" s="61">
        <f t="shared" si="269"/>
        <v>0</v>
      </c>
    </row>
    <row r="109" spans="1:166" ht="15" x14ac:dyDescent="0.25">
      <c r="A109" s="9" t="s">
        <v>147</v>
      </c>
      <c r="N109" s="59">
        <v>60</v>
      </c>
      <c r="O109" s="59">
        <v>60</v>
      </c>
      <c r="P109" s="59">
        <v>60</v>
      </c>
      <c r="Q109" s="59">
        <v>60</v>
      </c>
      <c r="R109" s="59">
        <v>150</v>
      </c>
      <c r="S109" s="59">
        <v>150</v>
      </c>
      <c r="T109" s="59">
        <v>150</v>
      </c>
      <c r="U109" s="59">
        <v>150</v>
      </c>
      <c r="V109" s="59">
        <v>173.3485</v>
      </c>
      <c r="W109" s="59">
        <v>173.3485</v>
      </c>
      <c r="X109" s="59">
        <v>173.3485</v>
      </c>
      <c r="Y109" s="59">
        <v>173.3485</v>
      </c>
      <c r="Z109" s="59">
        <v>170.20025000000001</v>
      </c>
      <c r="AA109" s="59">
        <v>170.20025000000001</v>
      </c>
      <c r="AB109" s="59">
        <v>170.20025000000001</v>
      </c>
      <c r="AC109" s="59">
        <v>170.20025000000001</v>
      </c>
      <c r="AD109" s="59">
        <v>234.1838155625</v>
      </c>
      <c r="AE109" s="59">
        <v>234.1838155625</v>
      </c>
      <c r="AF109" s="59">
        <v>234.1838155625</v>
      </c>
      <c r="AG109" s="59">
        <v>234.1838155625</v>
      </c>
      <c r="AH109" s="59">
        <v>299.01259492187501</v>
      </c>
      <c r="AI109" s="59">
        <v>299.01259492187501</v>
      </c>
      <c r="AJ109" s="59">
        <v>299.01259492187501</v>
      </c>
      <c r="AK109" s="59">
        <v>299.01259492187501</v>
      </c>
      <c r="AL109" s="59">
        <v>339.73384090625007</v>
      </c>
      <c r="AM109" s="59">
        <v>339.73384090625007</v>
      </c>
      <c r="AN109" s="59">
        <v>339.73384090625007</v>
      </c>
      <c r="AO109" s="59">
        <v>339.73384090625007</v>
      </c>
      <c r="AP109" s="59">
        <v>388.19254823437501</v>
      </c>
      <c r="AQ109" s="59">
        <v>388.19254823437501</v>
      </c>
      <c r="AR109" s="59">
        <v>388.19254823437501</v>
      </c>
      <c r="AS109" s="59">
        <v>388.19254823437501</v>
      </c>
      <c r="AT109" s="59">
        <v>465.04434075000006</v>
      </c>
      <c r="AU109" s="59">
        <v>465.04434075000006</v>
      </c>
      <c r="AV109" s="59">
        <v>465.04434075000006</v>
      </c>
      <c r="AW109" s="59">
        <v>465.04434075000006</v>
      </c>
      <c r="AX109" s="60">
        <f>AW109*1.175</f>
        <v>546.42710038125006</v>
      </c>
      <c r="AY109" s="60">
        <f t="shared" si="271"/>
        <v>546.42710038125006</v>
      </c>
      <c r="AZ109" s="60">
        <f t="shared" si="271"/>
        <v>546.42710038125006</v>
      </c>
      <c r="BA109" s="60">
        <f t="shared" si="271"/>
        <v>546.42710038125006</v>
      </c>
      <c r="BB109" s="60">
        <f t="shared" si="271"/>
        <v>546.42710038125006</v>
      </c>
      <c r="BC109" s="59">
        <f t="shared" si="256"/>
        <v>546.42710038125006</v>
      </c>
      <c r="BD109" s="61">
        <f t="shared" si="256"/>
        <v>546.42710038125006</v>
      </c>
      <c r="BE109" s="61">
        <f t="shared" si="256"/>
        <v>546.42710038125006</v>
      </c>
      <c r="BF109" s="61">
        <f t="shared" si="256"/>
        <v>546.42710038125006</v>
      </c>
      <c r="BG109" s="61">
        <f t="shared" si="256"/>
        <v>546.42710038125006</v>
      </c>
      <c r="BH109" s="61">
        <f t="shared" si="256"/>
        <v>546.42710038125006</v>
      </c>
      <c r="BI109" s="61">
        <f t="shared" si="256"/>
        <v>546.42710038125006</v>
      </c>
      <c r="BJ109" s="61">
        <f t="shared" si="256"/>
        <v>546.42710038125006</v>
      </c>
      <c r="BK109" s="61">
        <f t="shared" si="256"/>
        <v>546.42710038125006</v>
      </c>
      <c r="BL109" s="61">
        <f t="shared" si="256"/>
        <v>546.42710038125006</v>
      </c>
      <c r="BM109" s="61">
        <f t="shared" si="256"/>
        <v>546.42710038125006</v>
      </c>
      <c r="BN109" s="61">
        <f t="shared" si="256"/>
        <v>546.42710038125006</v>
      </c>
      <c r="BO109" s="61">
        <f t="shared" si="256"/>
        <v>546.42710038125006</v>
      </c>
      <c r="BP109" s="61">
        <f t="shared" si="256"/>
        <v>546.42710038125006</v>
      </c>
      <c r="BQ109" s="61">
        <f t="shared" si="256"/>
        <v>546.42710038125006</v>
      </c>
      <c r="BR109" s="61">
        <f t="shared" si="256"/>
        <v>546.42710038125006</v>
      </c>
      <c r="BS109" s="61">
        <f t="shared" si="257"/>
        <v>546.42710038125006</v>
      </c>
      <c r="BT109" s="61">
        <f t="shared" si="257"/>
        <v>546.42710038125006</v>
      </c>
      <c r="BU109" s="61">
        <f t="shared" si="257"/>
        <v>546.42710038125006</v>
      </c>
      <c r="BV109" s="61">
        <f t="shared" si="257"/>
        <v>546.42710038125006</v>
      </c>
      <c r="BW109" s="61">
        <f t="shared" si="257"/>
        <v>546.42710038125006</v>
      </c>
      <c r="BX109" s="61">
        <f t="shared" si="257"/>
        <v>546.42710038125006</v>
      </c>
      <c r="BY109" s="61">
        <f t="shared" si="257"/>
        <v>546.42710038125006</v>
      </c>
      <c r="BZ109" s="61">
        <f t="shared" si="257"/>
        <v>546.42710038125006</v>
      </c>
      <c r="CA109" s="61">
        <f t="shared" si="257"/>
        <v>546.42710038125006</v>
      </c>
      <c r="CB109" s="61">
        <f t="shared" si="257"/>
        <v>546.42710038125006</v>
      </c>
      <c r="CC109" s="61">
        <f t="shared" si="257"/>
        <v>546.42710038125006</v>
      </c>
      <c r="CD109" s="61">
        <f t="shared" si="257"/>
        <v>546.42710038125006</v>
      </c>
      <c r="CE109" s="61">
        <f t="shared" si="257"/>
        <v>546.42710038125006</v>
      </c>
      <c r="CF109" s="61">
        <f t="shared" si="257"/>
        <v>546.42710038125006</v>
      </c>
      <c r="CG109" s="61">
        <f t="shared" si="257"/>
        <v>546.42710038125006</v>
      </c>
      <c r="CH109" s="61">
        <f t="shared" si="257"/>
        <v>546.42710038125006</v>
      </c>
      <c r="CI109" s="61">
        <f t="shared" si="258"/>
        <v>546.42710038125006</v>
      </c>
      <c r="CJ109" s="61">
        <f t="shared" si="258"/>
        <v>546.42710038125006</v>
      </c>
      <c r="CK109" s="61">
        <f t="shared" si="258"/>
        <v>546.42710038125006</v>
      </c>
      <c r="CL109" s="61">
        <f t="shared" si="258"/>
        <v>546.42710038125006</v>
      </c>
      <c r="CM109" s="61">
        <f t="shared" si="258"/>
        <v>546.42710038125006</v>
      </c>
      <c r="CN109" s="61">
        <f t="shared" si="258"/>
        <v>546.42710038125006</v>
      </c>
      <c r="CO109" s="61">
        <f t="shared" si="258"/>
        <v>546.42710038125006</v>
      </c>
      <c r="CP109" s="61">
        <f t="shared" si="258"/>
        <v>546.42710038125006</v>
      </c>
      <c r="CQ109" s="61">
        <f t="shared" si="258"/>
        <v>546.42710038125006</v>
      </c>
      <c r="CR109" s="61">
        <f t="shared" si="258"/>
        <v>546.42710038125006</v>
      </c>
      <c r="CS109" s="61">
        <f t="shared" si="258"/>
        <v>546.42710038125006</v>
      </c>
      <c r="CT109" s="61">
        <f t="shared" si="258"/>
        <v>546.42710038125006</v>
      </c>
      <c r="CU109" s="61">
        <f t="shared" si="258"/>
        <v>546.42710038125006</v>
      </c>
      <c r="CV109" s="61">
        <f t="shared" si="258"/>
        <v>546.42710038125006</v>
      </c>
      <c r="CW109" s="61">
        <f t="shared" si="258"/>
        <v>546.42710038125006</v>
      </c>
      <c r="CX109" s="61">
        <f t="shared" si="258"/>
        <v>546.42710038125006</v>
      </c>
      <c r="CY109" s="61">
        <f t="shared" si="259"/>
        <v>546.42710038125006</v>
      </c>
      <c r="CZ109" s="61">
        <f t="shared" si="259"/>
        <v>546.42710038125006</v>
      </c>
      <c r="DA109" s="61">
        <f t="shared" si="259"/>
        <v>546.42710038125006</v>
      </c>
      <c r="DB109" s="61">
        <f t="shared" si="259"/>
        <v>546.42710038125006</v>
      </c>
      <c r="DC109" s="61">
        <f t="shared" si="259"/>
        <v>546.42710038125006</v>
      </c>
      <c r="DD109" s="61">
        <f t="shared" si="259"/>
        <v>546.42710038125006</v>
      </c>
      <c r="DE109" s="61">
        <f t="shared" si="259"/>
        <v>546.42710038125006</v>
      </c>
      <c r="DF109" s="61">
        <f t="shared" si="259"/>
        <v>546.42710038125006</v>
      </c>
      <c r="DG109" s="61">
        <f t="shared" si="259"/>
        <v>546.42710038125006</v>
      </c>
      <c r="DH109" s="61">
        <f t="shared" si="259"/>
        <v>546.42710038125006</v>
      </c>
      <c r="DI109" s="61">
        <f t="shared" si="259"/>
        <v>546.42710038125006</v>
      </c>
      <c r="DJ109" s="61">
        <f t="shared" si="259"/>
        <v>546.42710038125006</v>
      </c>
      <c r="DK109" s="61">
        <f t="shared" si="259"/>
        <v>546.42710038125006</v>
      </c>
      <c r="DL109" s="61">
        <f t="shared" si="259"/>
        <v>546.42710038125006</v>
      </c>
      <c r="DM109" s="61">
        <f t="shared" si="259"/>
        <v>546.42710038125006</v>
      </c>
      <c r="DN109" s="61">
        <f t="shared" si="259"/>
        <v>546.42710038125006</v>
      </c>
      <c r="DO109" s="61">
        <f t="shared" si="260"/>
        <v>546.42710038125006</v>
      </c>
      <c r="DP109" s="61">
        <f t="shared" si="260"/>
        <v>546.42710038125006</v>
      </c>
      <c r="DQ109" s="61">
        <f t="shared" si="260"/>
        <v>546.42710038125006</v>
      </c>
      <c r="DR109" s="61">
        <f t="shared" si="260"/>
        <v>546.42710038125006</v>
      </c>
      <c r="DS109" s="61">
        <f t="shared" si="260"/>
        <v>546.42710038125006</v>
      </c>
      <c r="DT109" s="61">
        <f t="shared" si="260"/>
        <v>546.42710038125006</v>
      </c>
      <c r="DU109" s="61">
        <f t="shared" si="260"/>
        <v>546.42710038125006</v>
      </c>
      <c r="DV109" s="61">
        <f t="shared" si="260"/>
        <v>546.42710038125006</v>
      </c>
      <c r="DW109" s="61">
        <f t="shared" si="260"/>
        <v>546.42710038125006</v>
      </c>
      <c r="DX109" s="61">
        <f t="shared" si="260"/>
        <v>546.42710038125006</v>
      </c>
      <c r="DY109" s="61">
        <f t="shared" si="260"/>
        <v>546.42710038125006</v>
      </c>
      <c r="EA109" s="61">
        <f t="shared" si="261"/>
        <v>0</v>
      </c>
      <c r="EB109" s="61">
        <f t="shared" si="261"/>
        <v>0</v>
      </c>
      <c r="EC109" s="61">
        <f t="shared" si="261"/>
        <v>0</v>
      </c>
      <c r="EE109" s="61">
        <f t="shared" si="262"/>
        <v>0</v>
      </c>
      <c r="EF109" s="61">
        <f t="shared" si="262"/>
        <v>0</v>
      </c>
      <c r="EG109" s="61">
        <f t="shared" si="262"/>
        <v>0</v>
      </c>
      <c r="EI109" s="61">
        <f t="shared" si="263"/>
        <v>0</v>
      </c>
      <c r="EJ109" s="61">
        <f t="shared" si="263"/>
        <v>0</v>
      </c>
      <c r="EK109" s="61">
        <f t="shared" si="263"/>
        <v>0</v>
      </c>
      <c r="EM109" s="61">
        <f t="shared" si="264"/>
        <v>0</v>
      </c>
      <c r="EN109" s="61">
        <f t="shared" si="264"/>
        <v>0</v>
      </c>
      <c r="EO109" s="61">
        <f t="shared" si="264"/>
        <v>0</v>
      </c>
      <c r="EQ109" s="61">
        <f t="shared" si="265"/>
        <v>0</v>
      </c>
      <c r="ER109" s="61">
        <f t="shared" si="265"/>
        <v>0</v>
      </c>
      <c r="ES109" s="61">
        <f t="shared" si="265"/>
        <v>0</v>
      </c>
      <c r="EU109" s="61">
        <f t="shared" si="266"/>
        <v>0</v>
      </c>
      <c r="EV109" s="61">
        <f t="shared" si="266"/>
        <v>0</v>
      </c>
      <c r="EW109" s="61">
        <f t="shared" si="266"/>
        <v>0</v>
      </c>
      <c r="EY109" s="61">
        <f t="shared" si="267"/>
        <v>0</v>
      </c>
      <c r="EZ109" s="61">
        <f t="shared" si="267"/>
        <v>0</v>
      </c>
      <c r="FA109" s="61">
        <f t="shared" si="267"/>
        <v>0</v>
      </c>
      <c r="FC109" s="61">
        <f t="shared" si="268"/>
        <v>0</v>
      </c>
      <c r="FD109" s="61">
        <f t="shared" si="268"/>
        <v>0</v>
      </c>
      <c r="FE109" s="61">
        <f t="shared" si="268"/>
        <v>0</v>
      </c>
      <c r="FG109" s="61">
        <f t="shared" si="269"/>
        <v>0</v>
      </c>
      <c r="FH109" s="61">
        <f t="shared" si="269"/>
        <v>0</v>
      </c>
      <c r="FI109" s="61">
        <f t="shared" si="269"/>
        <v>0</v>
      </c>
    </row>
    <row r="110" spans="1:166" ht="15" x14ac:dyDescent="0.25">
      <c r="A110" s="9" t="s">
        <v>124</v>
      </c>
      <c r="N110" s="59">
        <v>55</v>
      </c>
      <c r="O110" s="59">
        <v>55</v>
      </c>
      <c r="P110" s="59">
        <v>55</v>
      </c>
      <c r="Q110" s="59">
        <v>55</v>
      </c>
      <c r="R110" s="59">
        <v>85</v>
      </c>
      <c r="S110" s="59">
        <v>85</v>
      </c>
      <c r="T110" s="59">
        <v>85</v>
      </c>
      <c r="U110" s="59">
        <v>85</v>
      </c>
      <c r="V110" s="59">
        <v>227.45149999999998</v>
      </c>
      <c r="W110" s="59">
        <v>227.45149999999998</v>
      </c>
      <c r="X110" s="59">
        <v>227.45149999999998</v>
      </c>
      <c r="Y110" s="59">
        <v>227.45149999999998</v>
      </c>
      <c r="Z110" s="59">
        <v>303.98947902673825</v>
      </c>
      <c r="AA110" s="59">
        <v>303.98947902673825</v>
      </c>
      <c r="AB110" s="59">
        <v>303.98947902673825</v>
      </c>
      <c r="AC110" s="59">
        <v>303.98947902673825</v>
      </c>
      <c r="AD110" s="59">
        <v>360.60844188161099</v>
      </c>
      <c r="AE110" s="59">
        <v>360.60844188161099</v>
      </c>
      <c r="AF110" s="59">
        <v>360.60844188161099</v>
      </c>
      <c r="AG110" s="59">
        <v>360.60844188161099</v>
      </c>
      <c r="AH110" s="59">
        <v>421.78653244520132</v>
      </c>
      <c r="AI110" s="59">
        <v>421.78653244520132</v>
      </c>
      <c r="AJ110" s="59">
        <v>421.78653244520132</v>
      </c>
      <c r="AK110" s="59">
        <v>421.78653244520132</v>
      </c>
      <c r="AL110" s="59">
        <v>495.76205448580498</v>
      </c>
      <c r="AM110" s="59">
        <v>495.76205448580498</v>
      </c>
      <c r="AN110" s="59">
        <v>495.76205448580498</v>
      </c>
      <c r="AO110" s="59">
        <v>495.76205448580498</v>
      </c>
      <c r="AP110" s="59">
        <v>588.37628805158158</v>
      </c>
      <c r="AQ110" s="59">
        <v>588.37628805158158</v>
      </c>
      <c r="AR110" s="59">
        <v>588.37628805158158</v>
      </c>
      <c r="AS110" s="59">
        <v>588.37628805158158</v>
      </c>
      <c r="AT110" s="59">
        <v>702.34935732790859</v>
      </c>
      <c r="AU110" s="59">
        <v>702.34935732790859</v>
      </c>
      <c r="AV110" s="59">
        <v>702.34935732790859</v>
      </c>
      <c r="AW110" s="59">
        <v>702.34935732790859</v>
      </c>
      <c r="AX110" s="60">
        <f>AW110*1.2</f>
        <v>842.81922879349031</v>
      </c>
      <c r="AY110" s="60">
        <f t="shared" si="271"/>
        <v>842.81922879349031</v>
      </c>
      <c r="AZ110" s="60">
        <f t="shared" si="271"/>
        <v>842.81922879349031</v>
      </c>
      <c r="BA110" s="60">
        <f t="shared" si="271"/>
        <v>842.81922879349031</v>
      </c>
      <c r="BB110" s="60">
        <f t="shared" si="271"/>
        <v>842.81922879349031</v>
      </c>
      <c r="BC110" s="59">
        <f t="shared" si="256"/>
        <v>842.81922879349031</v>
      </c>
      <c r="BD110" s="61">
        <f t="shared" si="256"/>
        <v>842.81922879349031</v>
      </c>
      <c r="BE110" s="61">
        <f t="shared" si="256"/>
        <v>842.81922879349031</v>
      </c>
      <c r="BF110" s="61">
        <f t="shared" si="256"/>
        <v>842.81922879349031</v>
      </c>
      <c r="BG110" s="61">
        <f t="shared" si="256"/>
        <v>842.81922879349031</v>
      </c>
      <c r="BH110" s="61">
        <f t="shared" si="256"/>
        <v>842.81922879349031</v>
      </c>
      <c r="BI110" s="61">
        <f t="shared" si="256"/>
        <v>842.81922879349031</v>
      </c>
      <c r="BJ110" s="61">
        <f t="shared" si="256"/>
        <v>842.81922879349031</v>
      </c>
      <c r="BK110" s="61">
        <f t="shared" si="256"/>
        <v>842.81922879349031</v>
      </c>
      <c r="BL110" s="61">
        <f t="shared" si="256"/>
        <v>842.81922879349031</v>
      </c>
      <c r="BM110" s="61">
        <f t="shared" si="256"/>
        <v>842.81922879349031</v>
      </c>
      <c r="BN110" s="61">
        <f t="shared" si="256"/>
        <v>842.81922879349031</v>
      </c>
      <c r="BO110" s="61">
        <f t="shared" si="256"/>
        <v>842.81922879349031</v>
      </c>
      <c r="BP110" s="61">
        <f t="shared" si="256"/>
        <v>842.81922879349031</v>
      </c>
      <c r="BQ110" s="61">
        <f t="shared" si="256"/>
        <v>842.81922879349031</v>
      </c>
      <c r="BR110" s="61">
        <f t="shared" si="256"/>
        <v>842.81922879349031</v>
      </c>
      <c r="BS110" s="61">
        <f t="shared" si="257"/>
        <v>842.81922879349031</v>
      </c>
      <c r="BT110" s="61">
        <f t="shared" si="257"/>
        <v>842.81922879349031</v>
      </c>
      <c r="BU110" s="61">
        <f t="shared" si="257"/>
        <v>842.81922879349031</v>
      </c>
      <c r="BV110" s="61">
        <f t="shared" si="257"/>
        <v>842.81922879349031</v>
      </c>
      <c r="BW110" s="61">
        <f t="shared" si="257"/>
        <v>842.81922879349031</v>
      </c>
      <c r="BX110" s="61">
        <f t="shared" si="257"/>
        <v>842.81922879349031</v>
      </c>
      <c r="BY110" s="61">
        <f t="shared" si="257"/>
        <v>842.81922879349031</v>
      </c>
      <c r="BZ110" s="61">
        <f t="shared" si="257"/>
        <v>842.81922879349031</v>
      </c>
      <c r="CA110" s="61">
        <f t="shared" si="257"/>
        <v>842.81922879349031</v>
      </c>
      <c r="CB110" s="61">
        <f t="shared" si="257"/>
        <v>842.81922879349031</v>
      </c>
      <c r="CC110" s="61">
        <f t="shared" si="257"/>
        <v>842.81922879349031</v>
      </c>
      <c r="CD110" s="61">
        <f t="shared" si="257"/>
        <v>842.81922879349031</v>
      </c>
      <c r="CE110" s="61">
        <f t="shared" si="257"/>
        <v>842.81922879349031</v>
      </c>
      <c r="CF110" s="61">
        <f t="shared" si="257"/>
        <v>842.81922879349031</v>
      </c>
      <c r="CG110" s="61">
        <f t="shared" si="257"/>
        <v>842.81922879349031</v>
      </c>
      <c r="CH110" s="61">
        <f t="shared" si="257"/>
        <v>842.81922879349031</v>
      </c>
      <c r="CI110" s="61">
        <f t="shared" si="258"/>
        <v>842.81922879349031</v>
      </c>
      <c r="CJ110" s="61">
        <f t="shared" si="258"/>
        <v>842.81922879349031</v>
      </c>
      <c r="CK110" s="61">
        <f t="shared" si="258"/>
        <v>842.81922879349031</v>
      </c>
      <c r="CL110" s="61">
        <f t="shared" si="258"/>
        <v>842.81922879349031</v>
      </c>
      <c r="CM110" s="61">
        <f t="shared" si="258"/>
        <v>842.81922879349031</v>
      </c>
      <c r="CN110" s="61">
        <f t="shared" si="258"/>
        <v>842.81922879349031</v>
      </c>
      <c r="CO110" s="61">
        <f t="shared" si="258"/>
        <v>842.81922879349031</v>
      </c>
      <c r="CP110" s="61">
        <f t="shared" si="258"/>
        <v>842.81922879349031</v>
      </c>
      <c r="CQ110" s="61">
        <f t="shared" si="258"/>
        <v>842.81922879349031</v>
      </c>
      <c r="CR110" s="61">
        <f t="shared" si="258"/>
        <v>842.81922879349031</v>
      </c>
      <c r="CS110" s="61">
        <f t="shared" si="258"/>
        <v>842.81922879349031</v>
      </c>
      <c r="CT110" s="61">
        <f t="shared" si="258"/>
        <v>842.81922879349031</v>
      </c>
      <c r="CU110" s="61">
        <f t="shared" si="258"/>
        <v>842.81922879349031</v>
      </c>
      <c r="CV110" s="61">
        <f t="shared" si="258"/>
        <v>842.81922879349031</v>
      </c>
      <c r="CW110" s="61">
        <f t="shared" si="258"/>
        <v>842.81922879349031</v>
      </c>
      <c r="CX110" s="61">
        <f t="shared" si="258"/>
        <v>842.81922879349031</v>
      </c>
      <c r="CY110" s="61">
        <f t="shared" si="259"/>
        <v>842.81922879349031</v>
      </c>
      <c r="CZ110" s="61">
        <f t="shared" si="259"/>
        <v>842.81922879349031</v>
      </c>
      <c r="DA110" s="61">
        <f t="shared" si="259"/>
        <v>842.81922879349031</v>
      </c>
      <c r="DB110" s="61">
        <f t="shared" si="259"/>
        <v>842.81922879349031</v>
      </c>
      <c r="DC110" s="61">
        <f t="shared" si="259"/>
        <v>842.81922879349031</v>
      </c>
      <c r="DD110" s="61">
        <f t="shared" si="259"/>
        <v>842.81922879349031</v>
      </c>
      <c r="DE110" s="61">
        <f t="shared" si="259"/>
        <v>842.81922879349031</v>
      </c>
      <c r="DF110" s="61">
        <f t="shared" si="259"/>
        <v>842.81922879349031</v>
      </c>
      <c r="DG110" s="61">
        <f t="shared" si="259"/>
        <v>842.81922879349031</v>
      </c>
      <c r="DH110" s="61">
        <f t="shared" si="259"/>
        <v>842.81922879349031</v>
      </c>
      <c r="DI110" s="61">
        <f t="shared" si="259"/>
        <v>842.81922879349031</v>
      </c>
      <c r="DJ110" s="61">
        <f t="shared" si="259"/>
        <v>842.81922879349031</v>
      </c>
      <c r="DK110" s="61">
        <f t="shared" si="259"/>
        <v>842.81922879349031</v>
      </c>
      <c r="DL110" s="61">
        <f t="shared" si="259"/>
        <v>842.81922879349031</v>
      </c>
      <c r="DM110" s="61">
        <f t="shared" si="259"/>
        <v>842.81922879349031</v>
      </c>
      <c r="DN110" s="61">
        <f t="shared" si="259"/>
        <v>842.81922879349031</v>
      </c>
      <c r="DO110" s="61">
        <f t="shared" si="260"/>
        <v>842.81922879349031</v>
      </c>
      <c r="DP110" s="61">
        <f t="shared" si="260"/>
        <v>842.81922879349031</v>
      </c>
      <c r="DQ110" s="61">
        <f t="shared" si="260"/>
        <v>842.81922879349031</v>
      </c>
      <c r="DR110" s="61">
        <f t="shared" si="260"/>
        <v>842.81922879349031</v>
      </c>
      <c r="DS110" s="61">
        <f t="shared" si="260"/>
        <v>842.81922879349031</v>
      </c>
      <c r="DT110" s="61">
        <f t="shared" si="260"/>
        <v>842.81922879349031</v>
      </c>
      <c r="DU110" s="61">
        <f t="shared" si="260"/>
        <v>842.81922879349031</v>
      </c>
      <c r="DV110" s="61">
        <f t="shared" si="260"/>
        <v>842.81922879349031</v>
      </c>
      <c r="DW110" s="61">
        <f t="shared" si="260"/>
        <v>842.81922879349031</v>
      </c>
      <c r="DX110" s="61">
        <f t="shared" si="260"/>
        <v>842.81922879349031</v>
      </c>
      <c r="DY110" s="61">
        <f t="shared" si="260"/>
        <v>842.81922879349031</v>
      </c>
      <c r="EA110" s="61">
        <f t="shared" si="261"/>
        <v>0</v>
      </c>
      <c r="EB110" s="61">
        <f t="shared" si="261"/>
        <v>0</v>
      </c>
      <c r="EC110" s="61">
        <f t="shared" si="261"/>
        <v>0</v>
      </c>
      <c r="EE110" s="61">
        <f t="shared" si="262"/>
        <v>0</v>
      </c>
      <c r="EF110" s="61">
        <f t="shared" si="262"/>
        <v>0</v>
      </c>
      <c r="EG110" s="61">
        <f t="shared" si="262"/>
        <v>0</v>
      </c>
      <c r="EI110" s="61">
        <f t="shared" si="263"/>
        <v>0</v>
      </c>
      <c r="EJ110" s="61">
        <f t="shared" si="263"/>
        <v>0</v>
      </c>
      <c r="EK110" s="61">
        <f t="shared" si="263"/>
        <v>0</v>
      </c>
      <c r="EM110" s="61">
        <f t="shared" si="264"/>
        <v>0</v>
      </c>
      <c r="EN110" s="61">
        <f t="shared" si="264"/>
        <v>0</v>
      </c>
      <c r="EO110" s="61">
        <f t="shared" si="264"/>
        <v>0</v>
      </c>
      <c r="EQ110" s="61">
        <f t="shared" si="265"/>
        <v>0</v>
      </c>
      <c r="ER110" s="61">
        <f t="shared" si="265"/>
        <v>0</v>
      </c>
      <c r="ES110" s="61">
        <f t="shared" si="265"/>
        <v>0</v>
      </c>
      <c r="EU110" s="61">
        <f t="shared" si="266"/>
        <v>0</v>
      </c>
      <c r="EV110" s="61">
        <f t="shared" si="266"/>
        <v>0</v>
      </c>
      <c r="EW110" s="61">
        <f t="shared" si="266"/>
        <v>0</v>
      </c>
      <c r="EY110" s="61">
        <f t="shared" si="267"/>
        <v>0</v>
      </c>
      <c r="EZ110" s="61">
        <f t="shared" si="267"/>
        <v>0</v>
      </c>
      <c r="FA110" s="61">
        <f t="shared" si="267"/>
        <v>0</v>
      </c>
      <c r="FC110" s="61">
        <f t="shared" si="268"/>
        <v>0</v>
      </c>
      <c r="FD110" s="61">
        <f t="shared" si="268"/>
        <v>0</v>
      </c>
      <c r="FE110" s="61">
        <f t="shared" si="268"/>
        <v>0</v>
      </c>
      <c r="FG110" s="61">
        <f t="shared" si="269"/>
        <v>0</v>
      </c>
      <c r="FH110" s="61">
        <f t="shared" si="269"/>
        <v>0</v>
      </c>
      <c r="FI110" s="61">
        <f t="shared" si="269"/>
        <v>0</v>
      </c>
    </row>
    <row r="111" spans="1:166" ht="15" x14ac:dyDescent="0.25">
      <c r="A111" s="9" t="s">
        <v>122</v>
      </c>
      <c r="B111" s="59"/>
      <c r="C111" s="59"/>
      <c r="D111" s="59"/>
      <c r="E111" s="59"/>
      <c r="F111" s="59"/>
      <c r="G111" s="59"/>
      <c r="H111" s="59"/>
      <c r="I111" s="59"/>
      <c r="J111" s="59"/>
      <c r="K111" s="59"/>
      <c r="L111" s="59"/>
      <c r="M111" s="59"/>
      <c r="N111" s="59">
        <v>0</v>
      </c>
      <c r="O111" s="59">
        <v>0</v>
      </c>
      <c r="P111" s="59">
        <v>0</v>
      </c>
      <c r="Q111" s="59">
        <v>0</v>
      </c>
      <c r="R111" s="59">
        <v>0</v>
      </c>
      <c r="S111" s="59">
        <v>0</v>
      </c>
      <c r="T111" s="59">
        <v>0</v>
      </c>
      <c r="U111" s="59">
        <v>0</v>
      </c>
      <c r="V111" s="59">
        <v>1.6E-2</v>
      </c>
      <c r="W111" s="59">
        <v>1.6E-2</v>
      </c>
      <c r="X111" s="59">
        <v>1.6E-2</v>
      </c>
      <c r="Y111" s="59">
        <v>1.6E-2</v>
      </c>
      <c r="Z111" s="59">
        <v>1.718</v>
      </c>
      <c r="AA111" s="59">
        <v>1.718</v>
      </c>
      <c r="AB111" s="59">
        <v>1.718</v>
      </c>
      <c r="AC111" s="59">
        <v>1.718</v>
      </c>
      <c r="AD111" s="59">
        <v>3.0115061327261969</v>
      </c>
      <c r="AE111" s="59">
        <v>3.0115061327261969</v>
      </c>
      <c r="AF111" s="59">
        <v>3.0115061327261969</v>
      </c>
      <c r="AG111" s="59">
        <v>3.0115061327261969</v>
      </c>
      <c r="AH111" s="59">
        <v>5.5476544283141926</v>
      </c>
      <c r="AI111" s="59">
        <v>5.5476544283141926</v>
      </c>
      <c r="AJ111" s="59">
        <v>5.5476544283141926</v>
      </c>
      <c r="AK111" s="59">
        <v>5.5476544283141926</v>
      </c>
      <c r="AL111" s="59">
        <v>9.5940925515666837</v>
      </c>
      <c r="AM111" s="59">
        <v>9.5940925515666837</v>
      </c>
      <c r="AN111" s="59">
        <v>9.5940925515666837</v>
      </c>
      <c r="AO111" s="59">
        <v>9.5940925515666837</v>
      </c>
      <c r="AP111" s="59">
        <v>15.132720472625278</v>
      </c>
      <c r="AQ111" s="59">
        <v>15.132720472625278</v>
      </c>
      <c r="AR111" s="59">
        <v>15.132720472625278</v>
      </c>
      <c r="AS111" s="59">
        <v>15.132720472625278</v>
      </c>
      <c r="AT111" s="59">
        <v>23.38070643083287</v>
      </c>
      <c r="AU111" s="59">
        <v>23.38070643083287</v>
      </c>
      <c r="AV111" s="59">
        <v>23.38070643083287</v>
      </c>
      <c r="AW111" s="59">
        <v>23.38070643083287</v>
      </c>
      <c r="AX111" s="60">
        <f>AW111*1.52</f>
        <v>35.538673774865963</v>
      </c>
      <c r="AY111" s="60">
        <f t="shared" si="271"/>
        <v>35.538673774865963</v>
      </c>
      <c r="AZ111" s="60">
        <f t="shared" si="271"/>
        <v>35.538673774865963</v>
      </c>
      <c r="BA111" s="60">
        <f t="shared" si="271"/>
        <v>35.538673774865963</v>
      </c>
      <c r="BB111" s="60">
        <f t="shared" si="271"/>
        <v>35.538673774865963</v>
      </c>
      <c r="BC111" s="59">
        <f t="shared" si="256"/>
        <v>35.538673774865963</v>
      </c>
      <c r="BD111" s="61">
        <f t="shared" si="256"/>
        <v>35.538673774865963</v>
      </c>
      <c r="BE111" s="61">
        <f t="shared" si="256"/>
        <v>35.538673774865963</v>
      </c>
      <c r="BF111" s="61">
        <f t="shared" si="256"/>
        <v>35.538673774865963</v>
      </c>
      <c r="BG111" s="61">
        <f t="shared" si="256"/>
        <v>35.538673774865963</v>
      </c>
      <c r="BH111" s="61">
        <f t="shared" si="256"/>
        <v>35.538673774865963</v>
      </c>
      <c r="BI111" s="61">
        <f t="shared" si="256"/>
        <v>35.538673774865963</v>
      </c>
      <c r="BJ111" s="61">
        <f t="shared" si="256"/>
        <v>35.538673774865963</v>
      </c>
      <c r="BK111" s="61">
        <f t="shared" si="256"/>
        <v>35.538673774865963</v>
      </c>
      <c r="BL111" s="61">
        <f t="shared" si="256"/>
        <v>35.538673774865963</v>
      </c>
      <c r="BM111" s="61">
        <f t="shared" si="256"/>
        <v>35.538673774865963</v>
      </c>
      <c r="BN111" s="61">
        <f t="shared" si="256"/>
        <v>35.538673774865963</v>
      </c>
      <c r="BO111" s="61">
        <f t="shared" si="256"/>
        <v>35.538673774865963</v>
      </c>
      <c r="BP111" s="61">
        <f t="shared" si="256"/>
        <v>35.538673774865963</v>
      </c>
      <c r="BQ111" s="61">
        <f t="shared" si="256"/>
        <v>35.538673774865963</v>
      </c>
      <c r="BR111" s="61">
        <f t="shared" si="256"/>
        <v>35.538673774865963</v>
      </c>
      <c r="BS111" s="61">
        <f t="shared" si="257"/>
        <v>35.538673774865963</v>
      </c>
      <c r="BT111" s="61">
        <f t="shared" si="257"/>
        <v>35.538673774865963</v>
      </c>
      <c r="BU111" s="61">
        <f t="shared" si="257"/>
        <v>35.538673774865963</v>
      </c>
      <c r="BV111" s="61">
        <f t="shared" si="257"/>
        <v>35.538673774865963</v>
      </c>
      <c r="BW111" s="61">
        <f t="shared" si="257"/>
        <v>35.538673774865963</v>
      </c>
      <c r="BX111" s="61">
        <f t="shared" si="257"/>
        <v>35.538673774865963</v>
      </c>
      <c r="BY111" s="61">
        <f t="shared" si="257"/>
        <v>35.538673774865963</v>
      </c>
      <c r="BZ111" s="61">
        <f t="shared" si="257"/>
        <v>35.538673774865963</v>
      </c>
      <c r="CA111" s="61">
        <f t="shared" si="257"/>
        <v>35.538673774865963</v>
      </c>
      <c r="CB111" s="61">
        <f t="shared" si="257"/>
        <v>35.538673774865963</v>
      </c>
      <c r="CC111" s="61">
        <f t="shared" si="257"/>
        <v>35.538673774865963</v>
      </c>
      <c r="CD111" s="61">
        <f t="shared" si="257"/>
        <v>35.538673774865963</v>
      </c>
      <c r="CE111" s="61">
        <f t="shared" si="257"/>
        <v>35.538673774865963</v>
      </c>
      <c r="CF111" s="61">
        <f t="shared" si="257"/>
        <v>35.538673774865963</v>
      </c>
      <c r="CG111" s="61">
        <f t="shared" si="257"/>
        <v>35.538673774865963</v>
      </c>
      <c r="CH111" s="61">
        <f t="shared" si="257"/>
        <v>35.538673774865963</v>
      </c>
      <c r="CI111" s="61">
        <f t="shared" si="258"/>
        <v>35.538673774865963</v>
      </c>
      <c r="CJ111" s="61">
        <f t="shared" si="258"/>
        <v>35.538673774865963</v>
      </c>
      <c r="CK111" s="61">
        <f t="shared" si="258"/>
        <v>35.538673774865963</v>
      </c>
      <c r="CL111" s="61">
        <f t="shared" si="258"/>
        <v>35.538673774865963</v>
      </c>
      <c r="CM111" s="61">
        <f t="shared" si="258"/>
        <v>35.538673774865963</v>
      </c>
      <c r="CN111" s="61">
        <f t="shared" si="258"/>
        <v>35.538673774865963</v>
      </c>
      <c r="CO111" s="61">
        <f t="shared" si="258"/>
        <v>35.538673774865963</v>
      </c>
      <c r="CP111" s="61">
        <f t="shared" si="258"/>
        <v>35.538673774865963</v>
      </c>
      <c r="CQ111" s="61">
        <f t="shared" si="258"/>
        <v>35.538673774865963</v>
      </c>
      <c r="CR111" s="61">
        <f t="shared" si="258"/>
        <v>35.538673774865963</v>
      </c>
      <c r="CS111" s="61">
        <f t="shared" si="258"/>
        <v>35.538673774865963</v>
      </c>
      <c r="CT111" s="61">
        <f t="shared" si="258"/>
        <v>35.538673774865963</v>
      </c>
      <c r="CU111" s="61">
        <f t="shared" si="258"/>
        <v>35.538673774865963</v>
      </c>
      <c r="CV111" s="61">
        <f t="shared" si="258"/>
        <v>35.538673774865963</v>
      </c>
      <c r="CW111" s="61">
        <f t="shared" si="258"/>
        <v>35.538673774865963</v>
      </c>
      <c r="CX111" s="61">
        <f t="shared" si="258"/>
        <v>35.538673774865963</v>
      </c>
      <c r="CY111" s="61">
        <f t="shared" si="259"/>
        <v>35.538673774865963</v>
      </c>
      <c r="CZ111" s="61">
        <f t="shared" si="259"/>
        <v>35.538673774865963</v>
      </c>
      <c r="DA111" s="61">
        <f t="shared" si="259"/>
        <v>35.538673774865963</v>
      </c>
      <c r="DB111" s="61">
        <f t="shared" si="259"/>
        <v>35.538673774865963</v>
      </c>
      <c r="DC111" s="61">
        <f t="shared" si="259"/>
        <v>35.538673774865963</v>
      </c>
      <c r="DD111" s="61">
        <f t="shared" si="259"/>
        <v>35.538673774865963</v>
      </c>
      <c r="DE111" s="61">
        <f t="shared" si="259"/>
        <v>35.538673774865963</v>
      </c>
      <c r="DF111" s="61">
        <f t="shared" si="259"/>
        <v>35.538673774865963</v>
      </c>
      <c r="DG111" s="61">
        <f t="shared" si="259"/>
        <v>35.538673774865963</v>
      </c>
      <c r="DH111" s="61">
        <f t="shared" si="259"/>
        <v>35.538673774865963</v>
      </c>
      <c r="DI111" s="61">
        <f t="shared" si="259"/>
        <v>35.538673774865963</v>
      </c>
      <c r="DJ111" s="61">
        <f t="shared" si="259"/>
        <v>35.538673774865963</v>
      </c>
      <c r="DK111" s="61">
        <f t="shared" si="259"/>
        <v>35.538673774865963</v>
      </c>
      <c r="DL111" s="61">
        <f t="shared" si="259"/>
        <v>35.538673774865963</v>
      </c>
      <c r="DM111" s="61">
        <f t="shared" si="259"/>
        <v>35.538673774865963</v>
      </c>
      <c r="DN111" s="61">
        <f t="shared" si="259"/>
        <v>35.538673774865963</v>
      </c>
      <c r="DO111" s="61">
        <f t="shared" si="260"/>
        <v>35.538673774865963</v>
      </c>
      <c r="DP111" s="61">
        <f t="shared" si="260"/>
        <v>35.538673774865963</v>
      </c>
      <c r="DQ111" s="61">
        <f t="shared" si="260"/>
        <v>35.538673774865963</v>
      </c>
      <c r="DR111" s="61">
        <f t="shared" si="260"/>
        <v>35.538673774865963</v>
      </c>
      <c r="DS111" s="61">
        <f t="shared" si="260"/>
        <v>35.538673774865963</v>
      </c>
      <c r="DT111" s="61">
        <f t="shared" si="260"/>
        <v>35.538673774865963</v>
      </c>
      <c r="DU111" s="61">
        <f t="shared" si="260"/>
        <v>35.538673774865963</v>
      </c>
      <c r="DV111" s="61">
        <f t="shared" si="260"/>
        <v>35.538673774865963</v>
      </c>
      <c r="DW111" s="61">
        <f t="shared" si="260"/>
        <v>35.538673774865963</v>
      </c>
      <c r="DX111" s="61">
        <f t="shared" si="260"/>
        <v>35.538673774865963</v>
      </c>
      <c r="DY111" s="61">
        <f t="shared" si="260"/>
        <v>35.538673774865963</v>
      </c>
      <c r="EA111" s="61">
        <f t="shared" si="261"/>
        <v>0</v>
      </c>
      <c r="EB111" s="61">
        <f t="shared" si="261"/>
        <v>0</v>
      </c>
      <c r="EC111" s="61">
        <f t="shared" si="261"/>
        <v>0</v>
      </c>
      <c r="EE111" s="61">
        <f t="shared" si="262"/>
        <v>0</v>
      </c>
      <c r="EF111" s="61">
        <f t="shared" si="262"/>
        <v>0</v>
      </c>
      <c r="EG111" s="61">
        <f t="shared" si="262"/>
        <v>0</v>
      </c>
      <c r="EI111" s="61">
        <f t="shared" si="263"/>
        <v>0</v>
      </c>
      <c r="EJ111" s="61">
        <f t="shared" si="263"/>
        <v>0</v>
      </c>
      <c r="EK111" s="61">
        <f t="shared" si="263"/>
        <v>0</v>
      </c>
      <c r="EM111" s="61">
        <f t="shared" si="264"/>
        <v>0</v>
      </c>
      <c r="EN111" s="61">
        <f t="shared" si="264"/>
        <v>0</v>
      </c>
      <c r="EO111" s="61">
        <f t="shared" si="264"/>
        <v>0</v>
      </c>
      <c r="EQ111" s="61">
        <f t="shared" si="265"/>
        <v>0</v>
      </c>
      <c r="ER111" s="61">
        <f t="shared" si="265"/>
        <v>0</v>
      </c>
      <c r="ES111" s="61">
        <f t="shared" si="265"/>
        <v>0</v>
      </c>
      <c r="EU111" s="61">
        <f t="shared" si="266"/>
        <v>0</v>
      </c>
      <c r="EV111" s="61">
        <f t="shared" si="266"/>
        <v>0</v>
      </c>
      <c r="EW111" s="61">
        <f t="shared" si="266"/>
        <v>0</v>
      </c>
      <c r="EY111" s="61">
        <f t="shared" si="267"/>
        <v>0</v>
      </c>
      <c r="EZ111" s="61">
        <f t="shared" si="267"/>
        <v>0</v>
      </c>
      <c r="FA111" s="61">
        <f t="shared" si="267"/>
        <v>0</v>
      </c>
      <c r="FC111" s="61">
        <f t="shared" si="268"/>
        <v>0</v>
      </c>
      <c r="FD111" s="61">
        <f t="shared" si="268"/>
        <v>0</v>
      </c>
      <c r="FE111" s="61">
        <f t="shared" si="268"/>
        <v>0</v>
      </c>
      <c r="FG111" s="61">
        <f t="shared" si="269"/>
        <v>0</v>
      </c>
      <c r="FH111" s="61">
        <f t="shared" si="269"/>
        <v>0</v>
      </c>
      <c r="FI111" s="61">
        <f t="shared" si="269"/>
        <v>0</v>
      </c>
    </row>
    <row r="112" spans="1:166" x14ac:dyDescent="0.2">
      <c r="AP112" s="9">
        <f t="shared" ref="AP112:AP117" si="272">R106/Q106</f>
        <v>1.7121212121212122</v>
      </c>
      <c r="AQ112" s="9">
        <f t="shared" ref="AQ112:AQ117" si="273">V106/U106</f>
        <v>1.514149557522124</v>
      </c>
      <c r="AR112" s="9">
        <f t="shared" ref="AR112:AR117" si="274">Z106/Y106</f>
        <v>0.80919807199228044</v>
      </c>
      <c r="AS112" s="9">
        <f t="shared" ref="AS112:AS117" si="275">AD106/AC106</f>
        <v>1.1663068554547504</v>
      </c>
      <c r="AT112" s="9">
        <f t="shared" ref="AT112:AT117" si="276">AH106/AG106</f>
        <v>1.2833188556941562</v>
      </c>
      <c r="AU112" s="9">
        <f t="shared" ref="AU112:AU117" si="277">AL106/AK106</f>
        <v>1.2459785145552245</v>
      </c>
      <c r="AV112" s="9">
        <f t="shared" ref="AV112:AV117" si="278">AP106/AO106</f>
        <v>1.1882173394752575</v>
      </c>
      <c r="AW112" s="9">
        <f t="shared" ref="AW112:AW117" si="279">AT106/AS106</f>
        <v>1.1506599261377861</v>
      </c>
      <c r="AX112" s="9">
        <f>AX106/AW106</f>
        <v>1.1200000000000001</v>
      </c>
    </row>
    <row r="113" spans="42:50" x14ac:dyDescent="0.2">
      <c r="AP113" s="9">
        <f t="shared" si="272"/>
        <v>1.2261904761904763</v>
      </c>
      <c r="AQ113" s="9">
        <f t="shared" si="273"/>
        <v>2.1009223300970872</v>
      </c>
      <c r="AR113" s="9">
        <f t="shared" si="274"/>
        <v>1.3674266965502901</v>
      </c>
      <c r="AS113" s="9">
        <f t="shared" si="275"/>
        <v>1.3414244604560615</v>
      </c>
      <c r="AT113" s="9">
        <f t="shared" si="276"/>
        <v>1.1455470353515564</v>
      </c>
      <c r="AU113" s="9">
        <f t="shared" si="277"/>
        <v>1.1585471623992567</v>
      </c>
      <c r="AV113" s="9">
        <f t="shared" si="278"/>
        <v>1.1306695606749273</v>
      </c>
      <c r="AW113" s="9">
        <f t="shared" si="279"/>
        <v>1.1101021378473799</v>
      </c>
      <c r="AX113" s="9">
        <f t="shared" ref="AX113:AX117" si="280">AX107/AW107</f>
        <v>1.1000000000000001</v>
      </c>
    </row>
    <row r="114" spans="42:50" x14ac:dyDescent="0.2">
      <c r="AP114" s="9">
        <f t="shared" si="272"/>
        <v>1.0463917525773194</v>
      </c>
      <c r="AQ114" s="9">
        <f t="shared" si="273"/>
        <v>1.6342837438423647</v>
      </c>
      <c r="AR114" s="9">
        <f t="shared" si="274"/>
        <v>0.96579631757453288</v>
      </c>
      <c r="AS114" s="9">
        <f t="shared" si="275"/>
        <v>0.98568738294323943</v>
      </c>
      <c r="AT114" s="9">
        <f t="shared" si="276"/>
        <v>1.0303352272113662</v>
      </c>
      <c r="AU114" s="9">
        <f t="shared" si="277"/>
        <v>0.94637354114080097</v>
      </c>
      <c r="AV114" s="9">
        <f t="shared" si="278"/>
        <v>1.141742386766649</v>
      </c>
      <c r="AW114" s="9">
        <f t="shared" si="279"/>
        <v>1.0806096537110523</v>
      </c>
      <c r="AX114" s="9">
        <f t="shared" si="280"/>
        <v>1.05</v>
      </c>
    </row>
    <row r="115" spans="42:50" x14ac:dyDescent="0.2">
      <c r="AP115" s="9">
        <f t="shared" si="272"/>
        <v>2.5</v>
      </c>
      <c r="AQ115" s="9">
        <f t="shared" si="273"/>
        <v>1.1556566666666668</v>
      </c>
      <c r="AR115" s="9">
        <f t="shared" si="274"/>
        <v>0.98183860835253844</v>
      </c>
      <c r="AS115" s="9">
        <f t="shared" si="275"/>
        <v>1.3759310903626756</v>
      </c>
      <c r="AT115" s="9">
        <f t="shared" si="276"/>
        <v>1.2768286066381611</v>
      </c>
      <c r="AU115" s="9">
        <f t="shared" si="277"/>
        <v>1.1361857215245885</v>
      </c>
      <c r="AV115" s="9">
        <f t="shared" si="278"/>
        <v>1.1426372692189271</v>
      </c>
      <c r="AW115" s="9">
        <f t="shared" si="279"/>
        <v>1.1979733842526648</v>
      </c>
      <c r="AX115" s="9">
        <f t="shared" si="280"/>
        <v>1.175</v>
      </c>
    </row>
    <row r="116" spans="42:50" x14ac:dyDescent="0.2">
      <c r="AP116" s="9">
        <f t="shared" si="272"/>
        <v>1.5454545454545454</v>
      </c>
      <c r="AQ116" s="9">
        <f t="shared" si="273"/>
        <v>2.6758999999999999</v>
      </c>
      <c r="AR116" s="9">
        <f t="shared" si="274"/>
        <v>1.3365024149180738</v>
      </c>
      <c r="AS116" s="9">
        <f t="shared" si="275"/>
        <v>1.1862530342699547</v>
      </c>
      <c r="AT116" s="9">
        <f t="shared" si="276"/>
        <v>1.1696524081476587</v>
      </c>
      <c r="AU116" s="9">
        <f t="shared" si="277"/>
        <v>1.1753861642090591</v>
      </c>
      <c r="AV116" s="9">
        <f t="shared" si="278"/>
        <v>1.18681186413477</v>
      </c>
      <c r="AW116" s="9">
        <f t="shared" si="279"/>
        <v>1.1937077880105449</v>
      </c>
      <c r="AX116" s="9">
        <f t="shared" si="280"/>
        <v>1.2</v>
      </c>
    </row>
    <row r="117" spans="42:50" x14ac:dyDescent="0.2">
      <c r="AP117" s="9" t="e">
        <f t="shared" si="272"/>
        <v>#DIV/0!</v>
      </c>
      <c r="AQ117" s="9" t="e">
        <f t="shared" si="273"/>
        <v>#DIV/0!</v>
      </c>
      <c r="AR117" s="9">
        <f t="shared" si="274"/>
        <v>107.375</v>
      </c>
      <c r="AS117" s="9">
        <f t="shared" si="275"/>
        <v>1.7529139305740378</v>
      </c>
      <c r="AT117" s="9">
        <f t="shared" si="276"/>
        <v>1.8421527912653199</v>
      </c>
      <c r="AU117" s="9">
        <f t="shared" si="277"/>
        <v>1.7293962115953414</v>
      </c>
      <c r="AV117" s="9">
        <f t="shared" si="278"/>
        <v>1.5772956526413908</v>
      </c>
      <c r="AW117" s="9">
        <f t="shared" si="279"/>
        <v>1.5450431713932731</v>
      </c>
      <c r="AX117" s="9">
        <f t="shared" si="280"/>
        <v>1.52</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C12F99-8CC4-493F-99C3-9310E81537B5}">
  <sheetPr>
    <tabColor rgb="FF5D803B"/>
  </sheetPr>
  <dimension ref="A1:EN154"/>
  <sheetViews>
    <sheetView showGridLines="0" tabSelected="1" zoomScale="120" zoomScaleNormal="120" workbookViewId="0">
      <pane xSplit="1" ySplit="3" topLeftCell="BD152" activePane="bottomRight" state="frozen"/>
      <selection pane="topRight" activeCell="B1" sqref="B1"/>
      <selection pane="bottomLeft" activeCell="A4" sqref="A4"/>
      <selection pane="bottomRight" activeCell="AR154" sqref="AR154:BG154"/>
    </sheetView>
  </sheetViews>
  <sheetFormatPr defaultColWidth="8.85546875" defaultRowHeight="14.25" x14ac:dyDescent="0.2"/>
  <cols>
    <col min="1" max="1" width="43.140625" style="9" customWidth="1"/>
    <col min="2" max="2" width="19.140625" style="9" customWidth="1"/>
    <col min="3" max="3" width="17.42578125" style="9" bestFit="1" customWidth="1"/>
    <col min="4" max="34" width="19.42578125" style="9" customWidth="1"/>
    <col min="35" max="35" width="21.140625" style="9" customWidth="1"/>
    <col min="36" max="36" width="21.42578125" style="9" customWidth="1"/>
    <col min="37" max="37" width="21.140625" style="9" customWidth="1"/>
    <col min="38" max="39" width="14.85546875" style="9" bestFit="1" customWidth="1"/>
    <col min="40" max="41" width="14.85546875" style="9" customWidth="1"/>
    <col min="42" max="42" width="14.85546875" style="9" bestFit="1" customWidth="1"/>
    <col min="43" max="43" width="13.42578125" style="9" bestFit="1" customWidth="1"/>
    <col min="44" max="53" width="13.42578125" style="9" customWidth="1"/>
    <col min="54" max="54" width="16.28515625" style="9" customWidth="1"/>
    <col min="55" max="57" width="14.28515625" style="9" bestFit="1" customWidth="1"/>
    <col min="58" max="130" width="13.42578125" style="9" customWidth="1"/>
    <col min="131" max="16384" width="8.85546875" style="9"/>
  </cols>
  <sheetData>
    <row r="1" spans="1:130" ht="18" customHeight="1" x14ac:dyDescent="0.2">
      <c r="G1" s="62">
        <f t="shared" ref="G1:AV1" si="0">G38-C38</f>
        <v>73433</v>
      </c>
      <c r="H1" s="62">
        <f t="shared" si="0"/>
        <v>39212</v>
      </c>
      <c r="I1" s="62">
        <f t="shared" si="0"/>
        <v>97370</v>
      </c>
      <c r="J1" s="62">
        <f t="shared" si="0"/>
        <v>125960</v>
      </c>
      <c r="K1" s="62">
        <f t="shared" si="0"/>
        <v>276497</v>
      </c>
      <c r="L1" s="62">
        <f t="shared" si="0"/>
        <v>445108</v>
      </c>
      <c r="M1" s="62">
        <f t="shared" si="0"/>
        <v>653022</v>
      </c>
      <c r="N1" s="62">
        <f t="shared" si="0"/>
        <v>652173</v>
      </c>
      <c r="O1" s="62">
        <f t="shared" si="0"/>
        <v>295917</v>
      </c>
      <c r="P1" s="62">
        <f t="shared" si="0"/>
        <v>252266</v>
      </c>
      <c r="Q1" s="62">
        <f t="shared" si="0"/>
        <v>-17820</v>
      </c>
      <c r="R1" s="62">
        <f t="shared" si="0"/>
        <v>-99675</v>
      </c>
      <c r="S1" s="62">
        <f t="shared" si="0"/>
        <v>112148</v>
      </c>
      <c r="T1" s="62">
        <f t="shared" si="0"/>
        <v>169143</v>
      </c>
      <c r="U1" s="62">
        <f t="shared" si="0"/>
        <v>331643</v>
      </c>
      <c r="V1" s="62">
        <f t="shared" si="0"/>
        <v>458354</v>
      </c>
      <c r="W1" s="62">
        <f t="shared" si="0"/>
        <v>631777</v>
      </c>
      <c r="X1" s="62">
        <f t="shared" si="0"/>
        <v>941499</v>
      </c>
      <c r="Y1" s="62">
        <f t="shared" si="0"/>
        <v>760929</v>
      </c>
      <c r="Z1" s="62">
        <f t="shared" si="0"/>
        <v>882206</v>
      </c>
      <c r="AA1" s="62">
        <f t="shared" si="0"/>
        <v>216872</v>
      </c>
      <c r="AB1" s="62">
        <f t="shared" si="0"/>
        <v>80575</v>
      </c>
      <c r="AC1" s="62">
        <f t="shared" si="0"/>
        <v>207732</v>
      </c>
      <c r="AD1" s="62">
        <f t="shared" si="0"/>
        <v>-206832</v>
      </c>
      <c r="AE1" s="62">
        <f t="shared" si="0"/>
        <v>201383</v>
      </c>
      <c r="AF1" s="62">
        <f t="shared" si="0"/>
        <v>-579</v>
      </c>
      <c r="AG1" s="62">
        <f t="shared" si="0"/>
        <v>-90814</v>
      </c>
      <c r="AH1" s="62">
        <f t="shared" si="0"/>
        <v>599808</v>
      </c>
      <c r="AI1" s="62">
        <f t="shared" si="0"/>
        <v>579873</v>
      </c>
      <c r="AJ1" s="62">
        <f t="shared" si="0"/>
        <v>791410</v>
      </c>
      <c r="AK1" s="62">
        <f t="shared" si="0"/>
        <v>727676</v>
      </c>
      <c r="AL1" s="62">
        <f t="shared" si="0"/>
        <v>458560</v>
      </c>
      <c r="AM1" s="62">
        <f t="shared" si="0"/>
        <v>211017</v>
      </c>
      <c r="AN1" s="62">
        <f t="shared" si="0"/>
        <v>-404704</v>
      </c>
      <c r="AO1" s="62">
        <f t="shared" si="0"/>
        <v>276529</v>
      </c>
      <c r="AP1" s="62">
        <f t="shared" si="0"/>
        <v>294735</v>
      </c>
      <c r="AQ1" s="62">
        <f t="shared" si="0"/>
        <v>279468</v>
      </c>
      <c r="AR1" s="62">
        <f t="shared" si="0"/>
        <v>1171942</v>
      </c>
      <c r="AS1" s="62">
        <f t="shared" si="0"/>
        <v>1025901</v>
      </c>
      <c r="AT1" s="62">
        <f t="shared" si="0"/>
        <v>806411</v>
      </c>
      <c r="AU1" s="62">
        <f t="shared" si="0"/>
        <v>1474041</v>
      </c>
      <c r="AV1" s="62">
        <f t="shared" si="0"/>
        <v>1284361</v>
      </c>
      <c r="AW1" s="62">
        <f>AW38-AS38</f>
        <v>875914</v>
      </c>
      <c r="AX1" s="62">
        <f>AX38-AT38</f>
        <v>975397</v>
      </c>
    </row>
    <row r="2" spans="1:130" ht="18" x14ac:dyDescent="0.2">
      <c r="A2" s="63" t="s">
        <v>158</v>
      </c>
      <c r="B2" s="64" t="s">
        <v>87</v>
      </c>
      <c r="C2" s="65"/>
      <c r="D2" s="65"/>
      <c r="E2" s="65"/>
      <c r="F2" s="65">
        <v>2011</v>
      </c>
      <c r="G2" s="65"/>
      <c r="H2" s="65"/>
      <c r="I2" s="65"/>
      <c r="J2" s="65">
        <v>2012</v>
      </c>
      <c r="K2" s="65"/>
      <c r="L2" s="65"/>
      <c r="M2" s="65"/>
      <c r="N2" s="65">
        <v>2013</v>
      </c>
      <c r="O2" s="65"/>
      <c r="P2" s="65"/>
      <c r="Q2" s="65"/>
      <c r="R2" s="65">
        <v>2014</v>
      </c>
      <c r="S2" s="65"/>
      <c r="T2" s="65"/>
      <c r="U2" s="65"/>
      <c r="V2" s="65">
        <v>2015</v>
      </c>
      <c r="W2" s="65"/>
      <c r="X2" s="65"/>
      <c r="Y2" s="65"/>
      <c r="Z2" s="65">
        <v>2016</v>
      </c>
      <c r="AA2" s="65"/>
      <c r="AB2" s="65"/>
      <c r="AC2" s="65"/>
      <c r="AD2" s="65">
        <v>2017</v>
      </c>
      <c r="AE2" s="66"/>
      <c r="AF2" s="66"/>
      <c r="AG2" s="66"/>
      <c r="AH2" s="67">
        <v>2018</v>
      </c>
      <c r="AI2" s="67"/>
      <c r="AJ2" s="67"/>
      <c r="AK2" s="67"/>
      <c r="AL2" s="67">
        <v>2019</v>
      </c>
      <c r="AM2" s="67"/>
      <c r="AN2" s="67"/>
      <c r="AO2" s="66"/>
      <c r="AP2" s="66">
        <v>2020</v>
      </c>
      <c r="AQ2" s="66"/>
      <c r="AR2" s="66"/>
      <c r="AS2" s="66"/>
      <c r="AT2" s="66">
        <v>2021</v>
      </c>
      <c r="AU2" s="66"/>
      <c r="AV2" s="66"/>
      <c r="AW2" s="66"/>
      <c r="AX2" s="66">
        <v>2022</v>
      </c>
      <c r="AY2" s="66"/>
      <c r="AZ2" s="66"/>
      <c r="BA2" s="66"/>
      <c r="BB2" s="66">
        <v>2023</v>
      </c>
      <c r="BC2" s="66"/>
      <c r="BD2" s="66"/>
      <c r="BE2" s="66"/>
      <c r="BF2" s="66">
        <v>2024</v>
      </c>
      <c r="BG2" s="66"/>
      <c r="BH2" s="66"/>
      <c r="BI2" s="66"/>
      <c r="BJ2" s="66">
        <v>2025</v>
      </c>
      <c r="BK2" s="66"/>
      <c r="BL2" s="66"/>
      <c r="BM2" s="66"/>
      <c r="BN2" s="66">
        <v>2026</v>
      </c>
      <c r="BO2" s="66"/>
      <c r="BP2" s="66"/>
      <c r="BQ2" s="66"/>
      <c r="BR2" s="66">
        <v>2027</v>
      </c>
      <c r="BS2" s="66"/>
      <c r="BT2" s="66"/>
      <c r="BU2" s="66"/>
      <c r="BV2" s="66">
        <v>2028</v>
      </c>
      <c r="BW2" s="66"/>
      <c r="BX2" s="66"/>
      <c r="BY2" s="66"/>
      <c r="BZ2" s="66">
        <v>2029</v>
      </c>
      <c r="CA2" s="66"/>
      <c r="CB2" s="66"/>
      <c r="CC2" s="66"/>
      <c r="CD2" s="66">
        <v>2030</v>
      </c>
      <c r="CE2" s="66"/>
      <c r="CF2" s="66"/>
      <c r="CG2" s="66"/>
      <c r="CH2" s="66">
        <v>2031</v>
      </c>
      <c r="CI2" s="66"/>
      <c r="CJ2" s="66"/>
      <c r="CK2" s="66"/>
      <c r="CL2" s="66">
        <v>2032</v>
      </c>
      <c r="CM2" s="66"/>
      <c r="CN2" s="66"/>
      <c r="CO2" s="66"/>
      <c r="CP2" s="66">
        <v>2033</v>
      </c>
      <c r="CQ2" s="66"/>
      <c r="CR2" s="66"/>
      <c r="CS2" s="66"/>
      <c r="CT2" s="66">
        <v>2034</v>
      </c>
      <c r="CU2" s="66"/>
      <c r="CV2" s="66"/>
      <c r="CW2" s="66"/>
      <c r="CX2" s="66">
        <v>2035</v>
      </c>
      <c r="CY2" s="66"/>
      <c r="CZ2" s="66"/>
      <c r="DA2" s="66"/>
      <c r="DB2" s="66">
        <v>2036</v>
      </c>
      <c r="DC2" s="66"/>
      <c r="DD2" s="66"/>
      <c r="DE2" s="66"/>
      <c r="DF2" s="66">
        <v>2037</v>
      </c>
      <c r="DG2" s="66"/>
      <c r="DH2" s="66"/>
      <c r="DI2" s="66"/>
      <c r="DJ2" s="66">
        <v>2038</v>
      </c>
      <c r="DK2" s="66"/>
      <c r="DL2" s="66"/>
      <c r="DM2" s="66"/>
      <c r="DN2" s="66">
        <v>2039</v>
      </c>
      <c r="DO2" s="66"/>
      <c r="DP2" s="66"/>
      <c r="DQ2" s="66"/>
      <c r="DR2" s="66">
        <v>2040</v>
      </c>
      <c r="DS2" s="66"/>
      <c r="DT2" s="66"/>
      <c r="DU2" s="66"/>
      <c r="DV2" s="66">
        <v>2041</v>
      </c>
      <c r="DW2" s="66"/>
      <c r="DX2" s="66"/>
      <c r="DY2" s="66"/>
      <c r="DZ2" s="66">
        <v>2042</v>
      </c>
    </row>
    <row r="3" spans="1:130" x14ac:dyDescent="0.2">
      <c r="A3" s="68" t="s">
        <v>159</v>
      </c>
      <c r="B3" s="39" t="s">
        <v>130</v>
      </c>
      <c r="C3" s="39" t="s">
        <v>160</v>
      </c>
      <c r="D3" s="39" t="s">
        <v>69</v>
      </c>
      <c r="E3" s="39" t="s">
        <v>70</v>
      </c>
      <c r="F3" s="39" t="s">
        <v>71</v>
      </c>
      <c r="G3" s="39" t="s">
        <v>161</v>
      </c>
      <c r="H3" s="39" t="s">
        <v>69</v>
      </c>
      <c r="I3" s="39" t="s">
        <v>70</v>
      </c>
      <c r="J3" s="39" t="s">
        <v>71</v>
      </c>
      <c r="K3" s="39" t="s">
        <v>162</v>
      </c>
      <c r="L3" s="39" t="s">
        <v>69</v>
      </c>
      <c r="M3" s="39" t="s">
        <v>70</v>
      </c>
      <c r="N3" s="39" t="s">
        <v>71</v>
      </c>
      <c r="O3" s="39" t="s">
        <v>163</v>
      </c>
      <c r="P3" s="39" t="s">
        <v>69</v>
      </c>
      <c r="Q3" s="39" t="s">
        <v>70</v>
      </c>
      <c r="R3" s="39" t="s">
        <v>71</v>
      </c>
      <c r="S3" s="39" t="s">
        <v>164</v>
      </c>
      <c r="T3" s="39" t="s">
        <v>69</v>
      </c>
      <c r="U3" s="39" t="s">
        <v>70</v>
      </c>
      <c r="V3" s="39" t="s">
        <v>71</v>
      </c>
      <c r="W3" s="39" t="s">
        <v>165</v>
      </c>
      <c r="X3" s="39" t="s">
        <v>69</v>
      </c>
      <c r="Y3" s="39" t="s">
        <v>70</v>
      </c>
      <c r="Z3" s="39" t="s">
        <v>71</v>
      </c>
      <c r="AA3" s="39" t="s">
        <v>166</v>
      </c>
      <c r="AB3" s="39" t="s">
        <v>69</v>
      </c>
      <c r="AC3" s="39" t="s">
        <v>70</v>
      </c>
      <c r="AD3" s="39" t="s">
        <v>71</v>
      </c>
      <c r="AE3" s="39" t="s">
        <v>167</v>
      </c>
      <c r="AF3" s="39" t="s">
        <v>69</v>
      </c>
      <c r="AG3" s="39" t="s">
        <v>70</v>
      </c>
      <c r="AH3" s="39" t="s">
        <v>71</v>
      </c>
      <c r="AI3" s="39" t="s">
        <v>168</v>
      </c>
      <c r="AJ3" s="69" t="s">
        <v>69</v>
      </c>
      <c r="AK3" s="69" t="s">
        <v>70</v>
      </c>
      <c r="AL3" s="69" t="s">
        <v>71</v>
      </c>
      <c r="AM3" s="39" t="s">
        <v>169</v>
      </c>
      <c r="AN3" s="39" t="s">
        <v>69</v>
      </c>
      <c r="AO3" s="39" t="s">
        <v>70</v>
      </c>
      <c r="AP3" s="39" t="s">
        <v>71</v>
      </c>
      <c r="AQ3" s="39" t="str">
        <f>'Fuel Vol and Credit Gen'!AQ48</f>
        <v>2021Q1</v>
      </c>
      <c r="AR3" s="39" t="str">
        <f>'Fuel Vol and Credit Gen'!AR48</f>
        <v>Q2</v>
      </c>
      <c r="AS3" s="39" t="str">
        <f>'Fuel Vol and Credit Gen'!AS48</f>
        <v>Q3</v>
      </c>
      <c r="AT3" s="39" t="str">
        <f>'Fuel Vol and Credit Gen'!AT48</f>
        <v>Q4</v>
      </c>
      <c r="AU3" s="39" t="str">
        <f>'Fuel Vol and Credit Gen'!AU48</f>
        <v>2022Q1</v>
      </c>
      <c r="AV3" s="39" t="str">
        <f>'Fuel Vol and Credit Gen'!AV48</f>
        <v>Q2</v>
      </c>
      <c r="AW3" s="39" t="str">
        <f>'Fuel Vol and Credit Gen'!AW48</f>
        <v>Q3</v>
      </c>
      <c r="AX3" s="39" t="str">
        <f>'Fuel Vol and Credit Gen'!AX48</f>
        <v>Q4</v>
      </c>
      <c r="AY3" s="39" t="str">
        <f>'Fuel Vol and Credit Gen'!AY48</f>
        <v>2023Q1</v>
      </c>
      <c r="AZ3" s="39" t="s">
        <v>69</v>
      </c>
      <c r="BA3" s="39" t="s">
        <v>70</v>
      </c>
      <c r="BB3" s="39" t="s">
        <v>71</v>
      </c>
      <c r="BC3" s="39" t="str">
        <f>BC21</f>
        <v>2024Q1</v>
      </c>
      <c r="BD3" s="39" t="str">
        <f t="shared" ref="BD3:DO3" si="1">BD21</f>
        <v>Q2</v>
      </c>
      <c r="BE3" s="39" t="str">
        <f t="shared" si="1"/>
        <v>Q3</v>
      </c>
      <c r="BF3" s="39" t="str">
        <f t="shared" si="1"/>
        <v>Q4</v>
      </c>
      <c r="BG3" s="39" t="str">
        <f t="shared" si="1"/>
        <v>2025Q1</v>
      </c>
      <c r="BH3" s="39" t="str">
        <f t="shared" si="1"/>
        <v>Q2</v>
      </c>
      <c r="BI3" s="39" t="str">
        <f t="shared" si="1"/>
        <v>Q3</v>
      </c>
      <c r="BJ3" s="39" t="str">
        <f t="shared" si="1"/>
        <v>Q4</v>
      </c>
      <c r="BK3" s="39" t="str">
        <f t="shared" si="1"/>
        <v>2026Q1</v>
      </c>
      <c r="BL3" s="39" t="str">
        <f t="shared" si="1"/>
        <v>Q2</v>
      </c>
      <c r="BM3" s="39" t="str">
        <f t="shared" si="1"/>
        <v>Q3</v>
      </c>
      <c r="BN3" s="39" t="str">
        <f t="shared" si="1"/>
        <v>Q4</v>
      </c>
      <c r="BO3" s="39" t="str">
        <f t="shared" si="1"/>
        <v>2027Q1</v>
      </c>
      <c r="BP3" s="39" t="str">
        <f t="shared" si="1"/>
        <v>Q2</v>
      </c>
      <c r="BQ3" s="39" t="str">
        <f t="shared" si="1"/>
        <v>Q3</v>
      </c>
      <c r="BR3" s="39" t="str">
        <f t="shared" si="1"/>
        <v>Q4</v>
      </c>
      <c r="BS3" s="39" t="str">
        <f t="shared" si="1"/>
        <v>2028Q1</v>
      </c>
      <c r="BT3" s="39" t="str">
        <f t="shared" si="1"/>
        <v>Q2</v>
      </c>
      <c r="BU3" s="39" t="str">
        <f t="shared" si="1"/>
        <v>Q3</v>
      </c>
      <c r="BV3" s="39" t="str">
        <f t="shared" si="1"/>
        <v>Q4</v>
      </c>
      <c r="BW3" s="39" t="str">
        <f t="shared" si="1"/>
        <v>2029Q1</v>
      </c>
      <c r="BX3" s="39" t="str">
        <f t="shared" si="1"/>
        <v>Q2</v>
      </c>
      <c r="BY3" s="39" t="str">
        <f t="shared" si="1"/>
        <v>Q3</v>
      </c>
      <c r="BZ3" s="39" t="str">
        <f t="shared" si="1"/>
        <v>Q4</v>
      </c>
      <c r="CA3" s="39" t="str">
        <f t="shared" si="1"/>
        <v>2030Q1</v>
      </c>
      <c r="CB3" s="39" t="str">
        <f t="shared" si="1"/>
        <v>Q2</v>
      </c>
      <c r="CC3" s="39" t="str">
        <f t="shared" si="1"/>
        <v>Q3</v>
      </c>
      <c r="CD3" s="39" t="str">
        <f t="shared" si="1"/>
        <v>Q4</v>
      </c>
      <c r="CE3" s="39" t="str">
        <f t="shared" si="1"/>
        <v>2031Q1</v>
      </c>
      <c r="CF3" s="39" t="str">
        <f t="shared" si="1"/>
        <v>Q2</v>
      </c>
      <c r="CG3" s="39" t="str">
        <f t="shared" si="1"/>
        <v>Q3</v>
      </c>
      <c r="CH3" s="39" t="str">
        <f t="shared" si="1"/>
        <v>Q4</v>
      </c>
      <c r="CI3" s="39" t="str">
        <f t="shared" si="1"/>
        <v>2032Q1</v>
      </c>
      <c r="CJ3" s="39" t="str">
        <f t="shared" si="1"/>
        <v>Q2</v>
      </c>
      <c r="CK3" s="39" t="str">
        <f t="shared" si="1"/>
        <v>Q3</v>
      </c>
      <c r="CL3" s="39" t="str">
        <f t="shared" si="1"/>
        <v>Q4</v>
      </c>
      <c r="CM3" s="39" t="str">
        <f t="shared" si="1"/>
        <v>2033Q1</v>
      </c>
      <c r="CN3" s="39" t="str">
        <f t="shared" si="1"/>
        <v>Q2</v>
      </c>
      <c r="CO3" s="39" t="str">
        <f t="shared" si="1"/>
        <v>Q3</v>
      </c>
      <c r="CP3" s="39" t="str">
        <f t="shared" si="1"/>
        <v>Q4</v>
      </c>
      <c r="CQ3" s="39" t="str">
        <f t="shared" si="1"/>
        <v>2034Q1</v>
      </c>
      <c r="CR3" s="39" t="str">
        <f t="shared" si="1"/>
        <v>Q2</v>
      </c>
      <c r="CS3" s="39" t="str">
        <f t="shared" si="1"/>
        <v>Q3</v>
      </c>
      <c r="CT3" s="39" t="str">
        <f t="shared" si="1"/>
        <v>Q4</v>
      </c>
      <c r="CU3" s="39" t="str">
        <f t="shared" si="1"/>
        <v>2035Q1</v>
      </c>
      <c r="CV3" s="39" t="str">
        <f t="shared" si="1"/>
        <v>Q2</v>
      </c>
      <c r="CW3" s="39" t="str">
        <f t="shared" si="1"/>
        <v>Q3</v>
      </c>
      <c r="CX3" s="39" t="str">
        <f t="shared" si="1"/>
        <v>Q4</v>
      </c>
      <c r="CY3" s="39" t="str">
        <f t="shared" si="1"/>
        <v>2036Q1</v>
      </c>
      <c r="CZ3" s="39" t="str">
        <f t="shared" si="1"/>
        <v>Q2</v>
      </c>
      <c r="DA3" s="39" t="str">
        <f t="shared" si="1"/>
        <v>Q3</v>
      </c>
      <c r="DB3" s="39" t="str">
        <f t="shared" si="1"/>
        <v>Q4</v>
      </c>
      <c r="DC3" s="39" t="str">
        <f t="shared" si="1"/>
        <v>2037Q1</v>
      </c>
      <c r="DD3" s="39" t="str">
        <f t="shared" si="1"/>
        <v>Q2</v>
      </c>
      <c r="DE3" s="39" t="str">
        <f t="shared" si="1"/>
        <v>Q3</v>
      </c>
      <c r="DF3" s="39" t="str">
        <f t="shared" si="1"/>
        <v>Q4</v>
      </c>
      <c r="DG3" s="39" t="str">
        <f t="shared" si="1"/>
        <v>2038Q1</v>
      </c>
      <c r="DH3" s="39" t="str">
        <f t="shared" si="1"/>
        <v>Q2</v>
      </c>
      <c r="DI3" s="39" t="str">
        <f t="shared" si="1"/>
        <v>Q3</v>
      </c>
      <c r="DJ3" s="39" t="str">
        <f t="shared" si="1"/>
        <v>Q4</v>
      </c>
      <c r="DK3" s="39" t="str">
        <f t="shared" si="1"/>
        <v>2039Q1</v>
      </c>
      <c r="DL3" s="39" t="str">
        <f t="shared" si="1"/>
        <v>Q2</v>
      </c>
      <c r="DM3" s="39" t="str">
        <f t="shared" si="1"/>
        <v>Q3</v>
      </c>
      <c r="DN3" s="39" t="str">
        <f t="shared" si="1"/>
        <v>Q4</v>
      </c>
      <c r="DO3" s="39" t="str">
        <f t="shared" si="1"/>
        <v>2040Q1</v>
      </c>
      <c r="DP3" s="39" t="str">
        <f t="shared" ref="DP3:DZ3" si="2">DP21</f>
        <v>Q2</v>
      </c>
      <c r="DQ3" s="39" t="str">
        <f t="shared" si="2"/>
        <v>Q3</v>
      </c>
      <c r="DR3" s="39" t="str">
        <f t="shared" si="2"/>
        <v>Q4</v>
      </c>
      <c r="DS3" s="39" t="str">
        <f t="shared" si="2"/>
        <v>2041Q1</v>
      </c>
      <c r="DT3" s="39" t="str">
        <f t="shared" si="2"/>
        <v>Q2</v>
      </c>
      <c r="DU3" s="39" t="str">
        <f t="shared" si="2"/>
        <v>Q3</v>
      </c>
      <c r="DV3" s="39" t="str">
        <f t="shared" si="2"/>
        <v>Q4</v>
      </c>
      <c r="DW3" s="39" t="str">
        <f t="shared" si="2"/>
        <v>2042Q1</v>
      </c>
      <c r="DX3" s="39" t="str">
        <f t="shared" si="2"/>
        <v>Q2</v>
      </c>
      <c r="DY3" s="39" t="str">
        <f t="shared" si="2"/>
        <v>Q3</v>
      </c>
      <c r="DZ3" s="39" t="str">
        <f t="shared" si="2"/>
        <v>Q4</v>
      </c>
    </row>
    <row r="4" spans="1:130" x14ac:dyDescent="0.2">
      <c r="A4" s="39" t="s">
        <v>66</v>
      </c>
      <c r="B4" s="39" t="s">
        <v>170</v>
      </c>
      <c r="C4" s="70">
        <v>0</v>
      </c>
      <c r="D4" s="70">
        <v>0</v>
      </c>
      <c r="E4" s="70">
        <v>0</v>
      </c>
      <c r="F4" s="70">
        <v>0</v>
      </c>
      <c r="G4" s="70">
        <v>0</v>
      </c>
      <c r="H4" s="70">
        <v>0</v>
      </c>
      <c r="I4" s="70">
        <v>0</v>
      </c>
      <c r="J4" s="70">
        <v>0</v>
      </c>
      <c r="K4" s="70">
        <v>0</v>
      </c>
      <c r="L4" s="70">
        <v>56</v>
      </c>
      <c r="M4" s="70">
        <v>26185</v>
      </c>
      <c r="N4" s="70">
        <v>30518</v>
      </c>
      <c r="O4" s="70">
        <v>27846</v>
      </c>
      <c r="P4" s="70">
        <v>29117</v>
      </c>
      <c r="Q4" s="70">
        <v>42349</v>
      </c>
      <c r="R4" s="70">
        <v>46037</v>
      </c>
      <c r="S4" s="70">
        <v>57602</v>
      </c>
      <c r="T4" s="70">
        <v>91272</v>
      </c>
      <c r="U4" s="70">
        <v>103743</v>
      </c>
      <c r="V4" s="70">
        <v>103113</v>
      </c>
      <c r="W4" s="70">
        <v>130217</v>
      </c>
      <c r="X4" s="70">
        <v>126524</v>
      </c>
      <c r="Y4" s="70">
        <v>105850</v>
      </c>
      <c r="Z4" s="70">
        <v>105809</v>
      </c>
      <c r="AA4" s="70">
        <v>101510</v>
      </c>
      <c r="AB4" s="70">
        <v>139921</v>
      </c>
      <c r="AC4" s="70">
        <v>165589</v>
      </c>
      <c r="AD4" s="70">
        <v>166925</v>
      </c>
      <c r="AE4" s="70">
        <v>161892</v>
      </c>
      <c r="AF4" s="70">
        <v>152281</v>
      </c>
      <c r="AG4" s="70">
        <v>179106</v>
      </c>
      <c r="AH4" s="70">
        <v>186051</v>
      </c>
      <c r="AI4" s="70">
        <v>168937</v>
      </c>
      <c r="AJ4" s="70">
        <v>184279</v>
      </c>
      <c r="AK4" s="70">
        <v>234371</v>
      </c>
      <c r="AL4" s="70">
        <v>286199</v>
      </c>
      <c r="AM4" s="70">
        <v>280099</v>
      </c>
      <c r="AN4" s="70">
        <v>305217</v>
      </c>
      <c r="AO4" s="70">
        <v>473106</v>
      </c>
      <c r="AP4" s="70">
        <v>536906</v>
      </c>
      <c r="AQ4" s="70">
        <v>458226</v>
      </c>
      <c r="AR4" s="70">
        <v>633488</v>
      </c>
      <c r="AS4" s="70">
        <v>831673</v>
      </c>
      <c r="AT4" s="70">
        <v>815103</v>
      </c>
      <c r="AU4" s="70">
        <v>807393</v>
      </c>
      <c r="AV4" s="71">
        <v>1085120</v>
      </c>
      <c r="AW4" s="71">
        <v>1190315</v>
      </c>
      <c r="AX4" s="71">
        <v>1208871</v>
      </c>
      <c r="AY4" s="71">
        <v>1052639</v>
      </c>
      <c r="AZ4" s="71">
        <v>1341628</v>
      </c>
      <c r="BA4" s="71">
        <v>1394087</v>
      </c>
      <c r="BB4" s="71">
        <v>1478363</v>
      </c>
      <c r="BC4" s="71">
        <v>1526145</v>
      </c>
      <c r="BD4" s="71">
        <v>1848652</v>
      </c>
      <c r="BE4" s="71">
        <f>'Fuel Vol and Credit Gen'!BE49</f>
        <v>2098711</v>
      </c>
      <c r="BF4" s="72">
        <f>'Fuel Vol and Credit Gen'!BF49</f>
        <v>1166988.1339200595</v>
      </c>
      <c r="BG4" s="72">
        <f>'Fuel Vol and Credit Gen'!BG49</f>
        <v>992292.14209374809</v>
      </c>
      <c r="BH4" s="72">
        <f>'Fuel Vol and Credit Gen'!BH49</f>
        <v>1095076.3205734198</v>
      </c>
      <c r="BI4" s="72">
        <f>'Fuel Vol and Credit Gen'!BI49</f>
        <v>1243474.3001750058</v>
      </c>
      <c r="BJ4" s="72">
        <f>'Fuel Vol and Credit Gen'!BJ49</f>
        <v>1179177.2126480299</v>
      </c>
      <c r="BK4" s="72">
        <f>'Fuel Vol and Credit Gen'!BK49</f>
        <v>975650.2496459973</v>
      </c>
      <c r="BL4" s="72">
        <f>'Fuel Vol and Credit Gen'!BL49</f>
        <v>1092076.6986145454</v>
      </c>
      <c r="BM4" s="72">
        <f>'Fuel Vol and Credit Gen'!BM49</f>
        <v>1258418.691908814</v>
      </c>
      <c r="BN4" s="72">
        <f>'Fuel Vol and Credit Gen'!BN49</f>
        <v>1182226.5634592008</v>
      </c>
      <c r="BO4" s="72">
        <f>'Fuel Vol and Credit Gen'!BO49</f>
        <v>962916.10250008106</v>
      </c>
      <c r="BP4" s="72">
        <f>'Fuel Vol and Credit Gen'!BP49</f>
        <v>1088872.9419915341</v>
      </c>
      <c r="BQ4" s="72">
        <f>'Fuel Vol and Credit Gen'!BQ49</f>
        <v>1260926.3228884018</v>
      </c>
      <c r="BR4" s="72">
        <f>'Fuel Vol and Credit Gen'!BR49</f>
        <v>1181550.5102429339</v>
      </c>
      <c r="BS4" s="72">
        <f>'Fuel Vol and Credit Gen'!BS49</f>
        <v>925105.87780082878</v>
      </c>
      <c r="BT4" s="72">
        <f>'Fuel Vol and Credit Gen'!BT49</f>
        <v>1067289.6044050921</v>
      </c>
      <c r="BU4" s="72">
        <f>'Fuel Vol and Credit Gen'!BU49</f>
        <v>1267579.076894681</v>
      </c>
      <c r="BV4" s="72">
        <f>'Fuel Vol and Credit Gen'!BV49</f>
        <v>1167303.8973902888</v>
      </c>
      <c r="BW4" s="72">
        <f>'Fuel Vol and Credit Gen'!BW49</f>
        <v>886134.22472953144</v>
      </c>
      <c r="BX4" s="72">
        <f>'Fuel Vol and Credit Gen'!BX49</f>
        <v>1055614.8480965798</v>
      </c>
      <c r="BY4" s="72">
        <f>'Fuel Vol and Credit Gen'!BY49</f>
        <v>1274782.2249127543</v>
      </c>
      <c r="BZ4" s="72">
        <f>'Fuel Vol and Credit Gen'!BZ49</f>
        <v>1180499.3742230097</v>
      </c>
      <c r="CA4" s="72">
        <f>'Fuel Vol and Credit Gen'!CA49</f>
        <v>907206.90097236587</v>
      </c>
      <c r="CB4" s="72">
        <f>'Fuel Vol and Credit Gen'!CB49</f>
        <v>1065704.7880206709</v>
      </c>
      <c r="CC4" s="72">
        <f>'Fuel Vol and Credit Gen'!CC49</f>
        <v>1278576.9927432756</v>
      </c>
      <c r="CD4" s="72">
        <f>'Fuel Vol and Credit Gen'!CD49</f>
        <v>1186709.4877281594</v>
      </c>
      <c r="CE4" s="72">
        <f>'Fuel Vol and Credit Gen'!CE49</f>
        <v>913502.12411801238</v>
      </c>
      <c r="CF4" s="72">
        <f>'Fuel Vol and Credit Gen'!CF49</f>
        <v>1072803.3581796628</v>
      </c>
      <c r="CG4" s="72">
        <f>'Fuel Vol and Credit Gen'!CG49</f>
        <v>1297284.1225346942</v>
      </c>
      <c r="CH4" s="72">
        <f>'Fuel Vol and Credit Gen'!CH49</f>
        <v>1196092.3048867974</v>
      </c>
      <c r="CI4" s="72">
        <f>'Fuel Vol and Credit Gen'!CI49</f>
        <v>913545.50776771829</v>
      </c>
      <c r="CJ4" s="72">
        <f>'Fuel Vol and Credit Gen'!CJ49</f>
        <v>1075807.0108447205</v>
      </c>
      <c r="CK4" s="72">
        <f>'Fuel Vol and Credit Gen'!CK49</f>
        <v>1269150.802472149</v>
      </c>
      <c r="CL4" s="72">
        <f>'Fuel Vol and Credit Gen'!CL49</f>
        <v>1181171.5155701935</v>
      </c>
      <c r="CM4" s="72">
        <f>'Fuel Vol and Credit Gen'!CM49</f>
        <v>927570.47551982244</v>
      </c>
      <c r="CN4" s="72">
        <f>'Fuel Vol and Credit Gen'!CN49</f>
        <v>1073046.0538442279</v>
      </c>
      <c r="CO4" s="72">
        <f>'Fuel Vol and Credit Gen'!CO49</f>
        <v>1272758.7724594041</v>
      </c>
      <c r="CP4" s="72">
        <f>'Fuel Vol and Credit Gen'!CP49</f>
        <v>1181820.6171539039</v>
      </c>
      <c r="CQ4" s="72">
        <f>'Fuel Vol and Credit Gen'!CQ49</f>
        <v>920548.40593219362</v>
      </c>
      <c r="CR4" s="72">
        <f>'Fuel Vol and Credit Gen'!CR49</f>
        <v>1070174.5390971019</v>
      </c>
      <c r="CS4" s="72">
        <f>'Fuel Vol and Credit Gen'!CS49</f>
        <v>1274969.260171914</v>
      </c>
      <c r="CT4" s="72">
        <f>'Fuel Vol and Credit Gen'!CT49</f>
        <v>1181737.1452848488</v>
      </c>
      <c r="CU4" s="72">
        <f>'Fuel Vol and Credit Gen'!CU49</f>
        <v>914476.38844194636</v>
      </c>
      <c r="CV4" s="72">
        <f>'Fuel Vol and Credit Gen'!CV49</f>
        <v>1067531.2467831667</v>
      </c>
      <c r="CW4" s="72">
        <f>'Fuel Vol and Credit Gen'!CW49</f>
        <v>1277025.2603140725</v>
      </c>
      <c r="CX4" s="72">
        <f>'Fuel Vol and Credit Gen'!CX49</f>
        <v>1181933.6911484846</v>
      </c>
      <c r="CY4" s="72">
        <f>'Fuel Vol and Credit Gen'!CY49</f>
        <v>912901.97008572659</v>
      </c>
      <c r="CZ4" s="72">
        <f>'Fuel Vol and Credit Gen'!CZ49</f>
        <v>1067184.7933131489</v>
      </c>
      <c r="DA4" s="72">
        <f>'Fuel Vol and Credit Gen'!DA49</f>
        <v>1279040.6713538328</v>
      </c>
      <c r="DB4" s="72">
        <f>'Fuel Vol and Credit Gen'!DB49</f>
        <v>1183379.9849517252</v>
      </c>
      <c r="DC4" s="72">
        <f>'Fuel Vol and Credit Gen'!DC49</f>
        <v>916297.48286502622</v>
      </c>
      <c r="DD4" s="72">
        <f>'Fuel Vol and Credit Gen'!DD49</f>
        <v>1069550.3590348493</v>
      </c>
      <c r="DE4" s="72">
        <f>'Fuel Vol and Credit Gen'!DE49</f>
        <v>1279104.8649886558</v>
      </c>
      <c r="DF4" s="72">
        <f>'Fuel Vol and Credit Gen'!DF49</f>
        <v>1184191.0600994946</v>
      </c>
      <c r="DG4" s="72">
        <f>'Fuel Vol and Credit Gen'!DG49</f>
        <v>917418.39453419019</v>
      </c>
      <c r="DH4" s="72">
        <f>'Fuel Vol and Credit Gen'!DH49</f>
        <v>1070279.8427695907</v>
      </c>
      <c r="DI4" s="72">
        <f>'Fuel Vol and Credit Gen'!DI49</f>
        <v>1278837.4143582014</v>
      </c>
      <c r="DJ4" s="72">
        <f>'Fuel Vol and Credit Gen'!DJ49</f>
        <v>1184258.1388711482</v>
      </c>
      <c r="DK4" s="72">
        <f>'Fuel Vol and Credit Gen'!DK49</f>
        <v>917686.84675219655</v>
      </c>
      <c r="DL4" s="72">
        <f>'Fuel Vol and Credit Gen'!DL49</f>
        <v>1069918.7626990322</v>
      </c>
      <c r="DM4" s="72">
        <f>'Fuel Vol and Credit Gen'!DM49</f>
        <v>1276331.2922338909</v>
      </c>
      <c r="DN4" s="72">
        <f>'Fuel Vol and Credit Gen'!DN49</f>
        <v>1182594.3755919924</v>
      </c>
      <c r="DO4" s="72">
        <f>'Fuel Vol and Credit Gen'!DO49</f>
        <v>918257.74451767234</v>
      </c>
      <c r="DP4" s="72">
        <f>'Fuel Vol and Credit Gen'!DP49</f>
        <v>1069701.9167696545</v>
      </c>
      <c r="DQ4" s="72">
        <f>'Fuel Vol and Credit Gen'!DQ49</f>
        <v>1276791.7294037677</v>
      </c>
      <c r="DR4" s="72">
        <f>'Fuel Vol and Credit Gen'!DR49</f>
        <v>1182818.5395392301</v>
      </c>
      <c r="DS4" s="72">
        <f>'Fuel Vol and Credit Gen'!DS49</f>
        <v>916874.42499295203</v>
      </c>
      <c r="DT4" s="72">
        <f>'Fuel Vol and Credit Gen'!DT49</f>
        <v>1069215.7999848751</v>
      </c>
      <c r="DU4" s="72">
        <f>'Fuel Vol and Credit Gen'!DU49</f>
        <v>1277404.2743835836</v>
      </c>
      <c r="DV4" s="72">
        <f>'Fuel Vol and Credit Gen'!DV49</f>
        <v>1182973.6614270979</v>
      </c>
      <c r="DW4" s="72">
        <f>'Fuel Vol and Credit Gen'!DW49</f>
        <v>916309.42152241385</v>
      </c>
      <c r="DX4" s="72">
        <f>'Fuel Vol and Credit Gen'!DX49</f>
        <v>1069068.3719091504</v>
      </c>
      <c r="DY4" s="72">
        <f>'Fuel Vol and Credit Gen'!DY49</f>
        <v>1277779.8280450245</v>
      </c>
      <c r="DZ4" s="72">
        <f>'Fuel Vol and Credit Gen'!DZ49</f>
        <v>1277732.2632048992</v>
      </c>
    </row>
    <row r="5" spans="1:130" x14ac:dyDescent="0.2">
      <c r="A5" s="39" t="s">
        <v>74</v>
      </c>
      <c r="B5" s="39" t="s">
        <v>170</v>
      </c>
      <c r="C5" s="70">
        <v>2212</v>
      </c>
      <c r="D5" s="70">
        <v>3069</v>
      </c>
      <c r="E5" s="70">
        <v>4960</v>
      </c>
      <c r="F5" s="70">
        <v>4474</v>
      </c>
      <c r="G5" s="70">
        <v>4367</v>
      </c>
      <c r="H5" s="70">
        <v>4221</v>
      </c>
      <c r="I5" s="70">
        <v>3577</v>
      </c>
      <c r="J5" s="70">
        <v>2680</v>
      </c>
      <c r="K5" s="70">
        <v>4240</v>
      </c>
      <c r="L5" s="70">
        <v>5127</v>
      </c>
      <c r="M5" s="70">
        <v>22948</v>
      </c>
      <c r="N5" s="70">
        <v>9044</v>
      </c>
      <c r="O5" s="70">
        <v>13893</v>
      </c>
      <c r="P5" s="70">
        <v>8777</v>
      </c>
      <c r="Q5" s="70">
        <v>30237</v>
      </c>
      <c r="R5" s="70">
        <v>41302</v>
      </c>
      <c r="S5" s="70">
        <v>38445</v>
      </c>
      <c r="T5" s="70">
        <v>52559</v>
      </c>
      <c r="U5" s="70">
        <v>61645</v>
      </c>
      <c r="V5" s="70">
        <v>67573</v>
      </c>
      <c r="W5" s="70">
        <v>56591</v>
      </c>
      <c r="X5" s="70">
        <v>65100</v>
      </c>
      <c r="Y5" s="70">
        <v>48641</v>
      </c>
      <c r="Z5" s="70">
        <v>43923</v>
      </c>
      <c r="AA5" s="70">
        <v>35211</v>
      </c>
      <c r="AB5" s="70">
        <v>33576</v>
      </c>
      <c r="AC5" s="70">
        <v>19732</v>
      </c>
      <c r="AD5" s="70">
        <v>18521</v>
      </c>
      <c r="AE5" s="70">
        <v>17615</v>
      </c>
      <c r="AF5" s="70">
        <v>18214</v>
      </c>
      <c r="AG5" s="70">
        <v>18865</v>
      </c>
      <c r="AH5" s="70">
        <v>17264</v>
      </c>
      <c r="AI5" s="70">
        <v>12988</v>
      </c>
      <c r="AJ5" s="70">
        <v>15636</v>
      </c>
      <c r="AK5" s="70">
        <v>16696</v>
      </c>
      <c r="AL5" s="70">
        <v>17686</v>
      </c>
      <c r="AM5" s="70">
        <v>19266</v>
      </c>
      <c r="AN5" s="70">
        <v>17476</v>
      </c>
      <c r="AO5" s="70">
        <v>16093</v>
      </c>
      <c r="AP5" s="70">
        <v>16544</v>
      </c>
      <c r="AQ5" s="70">
        <v>11525</v>
      </c>
      <c r="AR5" s="70">
        <v>12071</v>
      </c>
      <c r="AS5" s="70">
        <v>11506</v>
      </c>
      <c r="AT5" s="70">
        <v>13492</v>
      </c>
      <c r="AU5" s="70">
        <v>13524</v>
      </c>
      <c r="AV5" s="71">
        <v>14119</v>
      </c>
      <c r="AW5" s="71">
        <v>14022</v>
      </c>
      <c r="AX5" s="71">
        <v>11715</v>
      </c>
      <c r="AY5" s="71">
        <v>14272</v>
      </c>
      <c r="AZ5" s="71">
        <v>15147</v>
      </c>
      <c r="BA5" s="71">
        <v>14739</v>
      </c>
      <c r="BB5" s="71">
        <v>14647</v>
      </c>
      <c r="BC5" s="71">
        <v>13919</v>
      </c>
      <c r="BD5" s="71">
        <v>14530</v>
      </c>
      <c r="BE5" s="71">
        <f>'Fuel Vol and Credit Gen'!BE50</f>
        <v>16471</v>
      </c>
      <c r="BF5" s="72">
        <f>'Fuel Vol and Credit Gen'!BF50</f>
        <v>12754.271797208901</v>
      </c>
      <c r="BG5" s="72">
        <f>'Fuel Vol and Credit Gen'!BG50</f>
        <v>15101.008880250698</v>
      </c>
      <c r="BH5" s="72">
        <f>'Fuel Vol and Credit Gen'!BH50</f>
        <v>15323.141392729651</v>
      </c>
      <c r="BI5" s="72">
        <f>'Fuel Vol and Credit Gen'!BI50</f>
        <v>15329.053926964565</v>
      </c>
      <c r="BJ5" s="72">
        <f>'Fuel Vol and Credit Gen'!BJ50</f>
        <v>13868.097081788957</v>
      </c>
      <c r="BK5" s="72">
        <f>'Fuel Vol and Credit Gen'!BK50</f>
        <v>14567.786484699896</v>
      </c>
      <c r="BL5" s="72">
        <f>'Fuel Vol and Credit Gen'!BL50</f>
        <v>14877.473660561705</v>
      </c>
      <c r="BM5" s="72">
        <f>'Fuel Vol and Credit Gen'!BM50</f>
        <v>14926.938377791175</v>
      </c>
      <c r="BN5" s="72">
        <f>'Fuel Vol and Credit Gen'!BN50</f>
        <v>13436.11321964741</v>
      </c>
      <c r="BO5" s="72">
        <f>'Fuel Vol and Credit Gen'!BO50</f>
        <v>14301.971028342714</v>
      </c>
      <c r="BP5" s="72">
        <f>'Fuel Vol and Credit Gen'!BP50</f>
        <v>14759.828121407914</v>
      </c>
      <c r="BQ5" s="72">
        <f>'Fuel Vol and Credit Gen'!BQ50</f>
        <v>14800.439562168005</v>
      </c>
      <c r="BR5" s="72">
        <f>'Fuel Vol and Credit Gen'!BR50</f>
        <v>13718.095611333112</v>
      </c>
      <c r="BS5" s="72">
        <f>'Fuel Vol and Credit Gen'!BS50</f>
        <v>14164.61514312591</v>
      </c>
      <c r="BT5" s="72">
        <f>'Fuel Vol and Credit Gen'!BT50</f>
        <v>14214.134912926789</v>
      </c>
      <c r="BU5" s="72">
        <f>'Fuel Vol and Credit Gen'!BU50</f>
        <v>13991.615408085689</v>
      </c>
      <c r="BV5" s="72">
        <f>'Fuel Vol and Credit Gen'!BV50</f>
        <v>14058.898244818933</v>
      </c>
      <c r="BW5" s="72">
        <f>'Fuel Vol and Credit Gen'!BW50</f>
        <v>14229.505015733719</v>
      </c>
      <c r="BX5" s="72">
        <f>'Fuel Vol and Credit Gen'!BX50</f>
        <v>14609.586210912779</v>
      </c>
      <c r="BY5" s="72">
        <f>'Fuel Vol and Credit Gen'!BY50</f>
        <v>14789.080341472076</v>
      </c>
      <c r="BZ5" s="72">
        <f>'Fuel Vol and Credit Gen'!BZ50</f>
        <v>13829.559088073431</v>
      </c>
      <c r="CA5" s="72">
        <f>'Fuel Vol and Credit Gen'!CA50</f>
        <v>14452.924976034483</v>
      </c>
      <c r="CB5" s="72">
        <f>'Fuel Vol and Credit Gen'!CB50</f>
        <v>14838.154057866956</v>
      </c>
      <c r="CC5" s="72">
        <f>'Fuel Vol and Credit Gen'!CC50</f>
        <v>14888.659780115151</v>
      </c>
      <c r="CD5" s="72">
        <f>'Fuel Vol and Credit Gen'!CD50</f>
        <v>14020.84987857349</v>
      </c>
      <c r="CE5" s="72">
        <f>'Fuel Vol and Credit Gen'!CE50</f>
        <v>14523.996189506743</v>
      </c>
      <c r="CF5" s="72">
        <f>'Fuel Vol and Credit Gen'!CF50</f>
        <v>14779.92126153702</v>
      </c>
      <c r="CG5" s="72">
        <f>'Fuel Vol and Credit Gen'!CG50</f>
        <v>14855.776877467895</v>
      </c>
      <c r="CH5" s="72">
        <f>'Fuel Vol and Credit Gen'!CH50</f>
        <v>13976.769262314892</v>
      </c>
      <c r="CI5" s="72">
        <f>'Fuel Vol and Credit Gen'!CI50</f>
        <v>14490.187004535266</v>
      </c>
      <c r="CJ5" s="72">
        <f>'Fuel Vol and Credit Gen'!CJ50</f>
        <v>14755.377156855291</v>
      </c>
      <c r="CK5" s="72">
        <f>'Fuel Vol and Credit Gen'!CK50</f>
        <v>14838.716591175187</v>
      </c>
      <c r="CL5" s="72">
        <f>'Fuel Vol and Credit Gen'!CL50</f>
        <v>13833.270895253663</v>
      </c>
      <c r="CM5" s="72">
        <f>'Fuel Vol and Credit Gen'!CM50</f>
        <v>14408.766250449888</v>
      </c>
      <c r="CN5" s="72">
        <f>'Fuel Vol and Credit Gen'!CN50</f>
        <v>14667.100733367442</v>
      </c>
      <c r="CO5" s="72">
        <f>'Fuel Vol and Credit Gen'!CO50</f>
        <v>14750.300917735851</v>
      </c>
      <c r="CP5" s="72">
        <f>'Fuel Vol and Credit Gen'!CP50</f>
        <v>13835.240619038388</v>
      </c>
      <c r="CQ5" s="72">
        <f>'Fuel Vol and Credit Gen'!CQ50</f>
        <v>14376.939455839083</v>
      </c>
      <c r="CR5" s="72">
        <f>'Fuel Vol and Credit Gen'!CR50</f>
        <v>14639.440120705611</v>
      </c>
      <c r="CS5" s="72">
        <f>'Fuel Vol and Credit Gen'!CS50</f>
        <v>14712.026662834109</v>
      </c>
      <c r="CT5" s="72">
        <f>'Fuel Vol and Credit Gen'!CT50</f>
        <v>13893.809494132294</v>
      </c>
      <c r="CU5" s="72">
        <f>'Fuel Vol and Credit Gen'!CU50</f>
        <v>14384.875768512711</v>
      </c>
      <c r="CV5" s="72">
        <f>'Fuel Vol and Credit Gen'!CV50</f>
        <v>14627.88566580394</v>
      </c>
      <c r="CW5" s="72">
        <f>'Fuel Vol and Credit Gen'!CW50</f>
        <v>14698.078426132179</v>
      </c>
      <c r="CX5" s="72">
        <f>'Fuel Vol and Credit Gen'!CX50</f>
        <v>13927.34566065688</v>
      </c>
      <c r="CY5" s="72">
        <f>'Fuel Vol and Credit Gen'!CY50</f>
        <v>14409.750090735799</v>
      </c>
      <c r="CZ5" s="72">
        <f>'Fuel Vol and Credit Gen'!CZ50</f>
        <v>14698.24608986555</v>
      </c>
      <c r="DA5" s="72">
        <f>'Fuel Vol and Credit Gen'!DA50</f>
        <v>14780.236879062675</v>
      </c>
      <c r="DB5" s="72">
        <f>'Fuel Vol and Credit Gen'!DB50</f>
        <v>13902.096156241456</v>
      </c>
      <c r="DC5" s="72">
        <f>'Fuel Vol and Credit Gen'!DC50</f>
        <v>14438.353602857387</v>
      </c>
      <c r="DD5" s="72">
        <f>'Fuel Vol and Credit Gen'!DD50</f>
        <v>14710.272316329541</v>
      </c>
      <c r="DE5" s="72">
        <f>'Fuel Vol and Credit Gen'!DE50</f>
        <v>14790.264955203567</v>
      </c>
      <c r="DF5" s="72">
        <f>'Fuel Vol and Credit Gen'!DF50</f>
        <v>13910.314619517023</v>
      </c>
      <c r="DG5" s="72">
        <f>'Fuel Vol and Credit Gen'!DG50</f>
        <v>14436.628440476288</v>
      </c>
      <c r="DH5" s="72">
        <f>'Fuel Vol and Credit Gen'!DH50</f>
        <v>14696.690880687289</v>
      </c>
      <c r="DI5" s="72">
        <f>'Fuel Vol and Credit Gen'!DI50</f>
        <v>14777.760781104773</v>
      </c>
      <c r="DJ5" s="72">
        <f>'Fuel Vol and Credit Gen'!DJ50</f>
        <v>13895.246816254796</v>
      </c>
      <c r="DK5" s="72">
        <f>'Fuel Vol and Credit Gen'!DK50</f>
        <v>14423.014657376079</v>
      </c>
      <c r="DL5" s="72">
        <f>'Fuel Vol and Credit Gen'!DL50</f>
        <v>14685.095026612034</v>
      </c>
      <c r="DM5" s="72">
        <f>'Fuel Vol and Credit Gen'!DM50</f>
        <v>14766.006280192692</v>
      </c>
      <c r="DN5" s="72">
        <f>'Fuel Vol and Credit Gen'!DN50</f>
        <v>13884.123632725872</v>
      </c>
      <c r="DO5" s="72">
        <f>'Fuel Vol and Credit Gen'!DO50</f>
        <v>14412.338818211152</v>
      </c>
      <c r="DP5" s="72">
        <f>'Fuel Vol and Credit Gen'!DP50</f>
        <v>14675.067153333461</v>
      </c>
      <c r="DQ5" s="72">
        <f>'Fuel Vol and Credit Gen'!DQ50</f>
        <v>14753.499486922134</v>
      </c>
      <c r="DR5" s="72">
        <f>'Fuel Vol and Credit Gen'!DR50</f>
        <v>13892.558744999196</v>
      </c>
      <c r="DS5" s="72">
        <f>'Fuel Vol and Credit Gen'!DS50</f>
        <v>14412.085475884027</v>
      </c>
      <c r="DT5" s="72">
        <f>'Fuel Vol and Credit Gen'!DT50</f>
        <v>14675.434089693968</v>
      </c>
      <c r="DU5" s="72">
        <f>'Fuel Vol and Credit Gen'!DU50</f>
        <v>14753.1411680614</v>
      </c>
      <c r="DV5" s="72">
        <f>'Fuel Vol and Credit Gen'!DV50</f>
        <v>13901.184742310761</v>
      </c>
      <c r="DW5" s="72">
        <f>'Fuel Vol and Credit Gen'!DW50</f>
        <v>14416.850854602328</v>
      </c>
      <c r="DX5" s="72">
        <f>'Fuel Vol and Credit Gen'!DX50</f>
        <v>14680.689202760801</v>
      </c>
      <c r="DY5" s="72">
        <f>'Fuel Vol and Credit Gen'!DY50</f>
        <v>14759.142184813401</v>
      </c>
      <c r="DZ5" s="72">
        <f>'Fuel Vol and Credit Gen'!DZ50</f>
        <v>14760.142582907099</v>
      </c>
    </row>
    <row r="6" spans="1:130" x14ac:dyDescent="0.2">
      <c r="A6" s="39" t="s">
        <v>120</v>
      </c>
      <c r="B6" s="39" t="s">
        <v>170</v>
      </c>
      <c r="C6" s="70">
        <v>32732</v>
      </c>
      <c r="D6" s="70">
        <v>34288</v>
      </c>
      <c r="E6" s="70">
        <v>33231</v>
      </c>
      <c r="F6" s="70">
        <v>32727</v>
      </c>
      <c r="G6" s="70">
        <v>32327</v>
      </c>
      <c r="H6" s="70">
        <v>33371</v>
      </c>
      <c r="I6" s="70">
        <v>39529</v>
      </c>
      <c r="J6" s="70">
        <v>38669</v>
      </c>
      <c r="K6" s="70">
        <v>44095</v>
      </c>
      <c r="L6" s="70">
        <v>45016</v>
      </c>
      <c r="M6" s="70">
        <v>40844</v>
      </c>
      <c r="N6" s="70">
        <v>41459</v>
      </c>
      <c r="O6" s="70">
        <v>46146</v>
      </c>
      <c r="P6" s="70">
        <v>57193</v>
      </c>
      <c r="Q6" s="70">
        <v>53771</v>
      </c>
      <c r="R6" s="70">
        <v>53264</v>
      </c>
      <c r="S6" s="70">
        <v>49788</v>
      </c>
      <c r="T6" s="70">
        <v>42794</v>
      </c>
      <c r="U6" s="70">
        <v>45890</v>
      </c>
      <c r="V6" s="70">
        <v>44869</v>
      </c>
      <c r="W6" s="70">
        <v>41647</v>
      </c>
      <c r="X6" s="70">
        <v>44643</v>
      </c>
      <c r="Y6" s="70">
        <v>39237</v>
      </c>
      <c r="Z6" s="70">
        <v>37155</v>
      </c>
      <c r="AA6" s="70">
        <v>15988</v>
      </c>
      <c r="AB6" s="70">
        <v>14314</v>
      </c>
      <c r="AC6" s="70">
        <v>13956</v>
      </c>
      <c r="AD6" s="70">
        <v>14063</v>
      </c>
      <c r="AE6" s="70">
        <v>15251</v>
      </c>
      <c r="AF6" s="70">
        <v>16921</v>
      </c>
      <c r="AG6" s="70">
        <v>14873</v>
      </c>
      <c r="AH6" s="70">
        <v>11561</v>
      </c>
      <c r="AI6" s="70">
        <v>8133</v>
      </c>
      <c r="AJ6" s="70">
        <v>7220</v>
      </c>
      <c r="AK6" s="70">
        <v>8107</v>
      </c>
      <c r="AL6" s="70">
        <v>7391</v>
      </c>
      <c r="AM6" s="70">
        <v>3700</v>
      </c>
      <c r="AN6" s="70">
        <v>2451</v>
      </c>
      <c r="AO6" s="70">
        <v>1457</v>
      </c>
      <c r="AP6" s="70">
        <v>585</v>
      </c>
      <c r="AQ6" s="70">
        <v>487</v>
      </c>
      <c r="AR6" s="70">
        <v>579</v>
      </c>
      <c r="AS6" s="70">
        <v>545</v>
      </c>
      <c r="AT6" s="70">
        <v>836</v>
      </c>
      <c r="AU6" s="70">
        <v>509</v>
      </c>
      <c r="AV6" s="71">
        <v>634</v>
      </c>
      <c r="AW6" s="71">
        <v>655</v>
      </c>
      <c r="AX6" s="71">
        <v>744</v>
      </c>
      <c r="AY6" s="71">
        <v>382</v>
      </c>
      <c r="AZ6" s="71">
        <v>405</v>
      </c>
      <c r="BA6" s="71">
        <v>520</v>
      </c>
      <c r="BB6" s="71">
        <v>329</v>
      </c>
      <c r="BC6" s="71">
        <v>168</v>
      </c>
      <c r="BD6" s="71">
        <v>178</v>
      </c>
      <c r="BE6" s="71">
        <f>'Fuel Vol and Credit Gen'!BE51</f>
        <v>100</v>
      </c>
      <c r="BF6" s="72">
        <f>'Fuel Vol and Credit Gen'!BF51</f>
        <v>0</v>
      </c>
      <c r="BG6" s="72">
        <f>'Fuel Vol and Credit Gen'!BG51</f>
        <v>0</v>
      </c>
      <c r="BH6" s="72">
        <f>'Fuel Vol and Credit Gen'!BH51</f>
        <v>0</v>
      </c>
      <c r="BI6" s="72">
        <f>'Fuel Vol and Credit Gen'!BI51</f>
        <v>0</v>
      </c>
      <c r="BJ6" s="72">
        <f>'Fuel Vol and Credit Gen'!BJ51</f>
        <v>0</v>
      </c>
      <c r="BK6" s="72">
        <f>'Fuel Vol and Credit Gen'!BK51</f>
        <v>0</v>
      </c>
      <c r="BL6" s="72">
        <f>'Fuel Vol and Credit Gen'!BL51</f>
        <v>299.92985503108127</v>
      </c>
      <c r="BM6" s="72">
        <f>'Fuel Vol and Credit Gen'!BM51</f>
        <v>314.64759796000271</v>
      </c>
      <c r="BN6" s="72">
        <f>'Fuel Vol and Credit Gen'!BN51</f>
        <v>336.87435077609848</v>
      </c>
      <c r="BO6" s="72">
        <f>'Fuel Vol and Credit Gen'!BO51</f>
        <v>368.78367266907753</v>
      </c>
      <c r="BP6" s="72">
        <f>'Fuel Vol and Credit Gen'!BP51</f>
        <v>415.06939980055631</v>
      </c>
      <c r="BQ6" s="72">
        <f>'Fuel Vol and Credit Gen'!BQ51</f>
        <v>473.04414736292404</v>
      </c>
      <c r="BR6" s="72">
        <f>'Fuel Vol and Credit Gen'!BR51</f>
        <v>525.36521043412495</v>
      </c>
      <c r="BS6" s="72">
        <f>'Fuel Vol and Credit Gen'!BS51</f>
        <v>540.43323224505798</v>
      </c>
      <c r="BT6" s="72">
        <f>'Fuel Vol and Credit Gen'!BT51</f>
        <v>504.30440197541537</v>
      </c>
      <c r="BU6" s="72">
        <f>'Fuel Vol and Credit Gen'!BU51</f>
        <v>523.30395807781997</v>
      </c>
      <c r="BV6" s="72">
        <f>'Fuel Vol and Credit Gen'!BV51</f>
        <v>516.5153938646805</v>
      </c>
      <c r="BW6" s="72">
        <f>'Fuel Vol and Credit Gen'!BW51</f>
        <v>519.0293964092748</v>
      </c>
      <c r="BX6" s="72">
        <f>'Fuel Vol and Credit Gen'!BX51</f>
        <v>534.69475852694904</v>
      </c>
      <c r="BY6" s="72">
        <f>'Fuel Vol and Credit Gen'!BY51</f>
        <v>545.28611182362624</v>
      </c>
      <c r="BZ6" s="72">
        <f>'Fuel Vol and Credit Gen'!BZ51</f>
        <v>539.16307278051158</v>
      </c>
      <c r="CA6" s="72">
        <f>'Fuel Vol and Credit Gen'!CA51</f>
        <v>505.73807801641726</v>
      </c>
      <c r="CB6" s="72">
        <f>'Fuel Vol and Credit Gen'!CB51</f>
        <v>479.82833468636858</v>
      </c>
      <c r="CC6" s="72">
        <f>'Fuel Vol and Credit Gen'!CC51</f>
        <v>458.85371269824225</v>
      </c>
      <c r="CD6" s="72">
        <f>'Fuel Vol and Credit Gen'!CD51</f>
        <v>460.56727971877405</v>
      </c>
      <c r="CE6" s="72">
        <f>'Fuel Vol and Credit Gen'!CE51</f>
        <v>472.13123202945826</v>
      </c>
      <c r="CF6" s="72">
        <f>'Fuel Vol and Credit Gen'!CF51</f>
        <v>522.6058553542041</v>
      </c>
      <c r="CG6" s="72">
        <f>'Fuel Vol and Credit Gen'!CG51</f>
        <v>528.12173758117603</v>
      </c>
      <c r="CH6" s="72">
        <f>'Fuel Vol and Credit Gen'!CH51</f>
        <v>532.55786900578187</v>
      </c>
      <c r="CI6" s="72">
        <f>'Fuel Vol and Credit Gen'!CI51</f>
        <v>538.28931811386792</v>
      </c>
      <c r="CJ6" s="72">
        <f>'Fuel Vol and Credit Gen'!CJ51</f>
        <v>543.29464725323442</v>
      </c>
      <c r="CK6" s="72">
        <f>'Fuel Vol and Credit Gen'!CK51</f>
        <v>548.2927497022431</v>
      </c>
      <c r="CL6" s="72">
        <f>'Fuel Vol and Credit Gen'!CL51</f>
        <v>552.77422945238504</v>
      </c>
      <c r="CM6" s="72">
        <f>'Fuel Vol and Credit Gen'!CM51</f>
        <v>557.86159850432978</v>
      </c>
      <c r="CN6" s="72">
        <f>'Fuel Vol and Credit Gen'!CN51</f>
        <v>563.1723338909311</v>
      </c>
      <c r="CO6" s="72">
        <f>'Fuel Vol and Credit Gen'!CO51</f>
        <v>567.21090458962021</v>
      </c>
      <c r="CP6" s="72">
        <f>'Fuel Vol and Credit Gen'!CP51</f>
        <v>560.01476909990947</v>
      </c>
      <c r="CQ6" s="72">
        <f>'Fuel Vol and Credit Gen'!CQ51</f>
        <v>561.32130564254533</v>
      </c>
      <c r="CR6" s="72">
        <f>'Fuel Vol and Credit Gen'!CR51</f>
        <v>562.17596467438943</v>
      </c>
      <c r="CS6" s="72">
        <f>'Fuel Vol and Credit Gen'!CS51</f>
        <v>561.8981248690834</v>
      </c>
      <c r="CT6" s="72">
        <f>'Fuel Vol and Credit Gen'!CT51</f>
        <v>560.38314840882617</v>
      </c>
      <c r="CU6" s="72">
        <f>'Fuel Vol and Credit Gen'!CU51</f>
        <v>559.39951549833836</v>
      </c>
      <c r="CV6" s="72">
        <f>'Fuel Vol and Credit Gen'!CV51</f>
        <v>563.92717193044132</v>
      </c>
      <c r="CW6" s="72">
        <f>'Fuel Vol and Credit Gen'!CW51</f>
        <v>577.12696445603194</v>
      </c>
      <c r="CX6" s="72">
        <f>'Fuel Vol and Credit Gen'!CX51</f>
        <v>588.11720995002486</v>
      </c>
      <c r="CY6" s="72">
        <f>'Fuel Vol and Credit Gen'!CY51</f>
        <v>594.34948805329134</v>
      </c>
      <c r="CZ6" s="72">
        <f>'Fuel Vol and Credit Gen'!CZ51</f>
        <v>599.90885045867435</v>
      </c>
      <c r="DA6" s="72">
        <f>'Fuel Vol and Credit Gen'!DA51</f>
        <v>605.57878249891553</v>
      </c>
      <c r="DB6" s="72">
        <f>'Fuel Vol and Credit Gen'!DB51</f>
        <v>610.96825274567891</v>
      </c>
      <c r="DC6" s="72">
        <f>'Fuel Vol and Credit Gen'!DC51</f>
        <v>616.08344236151697</v>
      </c>
      <c r="DD6" s="72">
        <f>'Fuel Vol and Credit Gen'!DD51</f>
        <v>621.39457921127519</v>
      </c>
      <c r="DE6" s="72">
        <f>'Fuel Vol and Credit Gen'!DE51</f>
        <v>626.83880491152047</v>
      </c>
      <c r="DF6" s="72">
        <f>'Fuel Vol and Credit Gen'!DF51</f>
        <v>631.62211682249324</v>
      </c>
      <c r="DG6" s="72">
        <f>'Fuel Vol and Credit Gen'!DG51</f>
        <v>635.33279673418383</v>
      </c>
      <c r="DH6" s="72">
        <f>'Fuel Vol and Credit Gen'!DH51</f>
        <v>637.48895023173316</v>
      </c>
      <c r="DI6" s="72">
        <f>'Fuel Vol and Credit Gen'!DI51</f>
        <v>638.90660742691739</v>
      </c>
      <c r="DJ6" s="72">
        <f>'Fuel Vol and Credit Gen'!DJ51</f>
        <v>640.15591348886903</v>
      </c>
      <c r="DK6" s="72">
        <f>'Fuel Vol and Credit Gen'!DK51</f>
        <v>643.84676227489399</v>
      </c>
      <c r="DL6" s="72">
        <f>'Fuel Vol and Credit Gen'!DL51</f>
        <v>647.65536808388345</v>
      </c>
      <c r="DM6" s="72">
        <f>'Fuel Vol and Credit Gen'!DM51</f>
        <v>651.56097459214993</v>
      </c>
      <c r="DN6" s="72">
        <f>'Fuel Vol and Credit Gen'!DN51</f>
        <v>655.67647108784297</v>
      </c>
      <c r="DO6" s="72">
        <f>'Fuel Vol and Credit Gen'!DO51</f>
        <v>660.04070633905087</v>
      </c>
      <c r="DP6" s="72">
        <f>'Fuel Vol and Credit Gen'!DP51</f>
        <v>664.65496198359995</v>
      </c>
      <c r="DQ6" s="72">
        <f>'Fuel Vol and Credit Gen'!DQ51</f>
        <v>669.54575053354733</v>
      </c>
      <c r="DR6" s="72">
        <f>'Fuel Vol and Credit Gen'!DR51</f>
        <v>674.73298984219934</v>
      </c>
      <c r="DS6" s="72">
        <f>'Fuel Vol and Credit Gen'!DS51</f>
        <v>680.21744369701958</v>
      </c>
      <c r="DT6" s="72">
        <f>'Fuel Vol and Credit Gen'!DT51</f>
        <v>685.87574196480386</v>
      </c>
      <c r="DU6" s="72">
        <f>'Fuel Vol and Credit Gen'!DU51</f>
        <v>690.84651995458455</v>
      </c>
      <c r="DV6" s="72">
        <f>'Fuel Vol and Credit Gen'!DV51</f>
        <v>695.77315517790203</v>
      </c>
      <c r="DW6" s="72">
        <f>'Fuel Vol and Credit Gen'!DW51</f>
        <v>700.5472302967205</v>
      </c>
      <c r="DX6" s="72">
        <f>'Fuel Vol and Credit Gen'!DX51</f>
        <v>705.02094287489911</v>
      </c>
      <c r="DY6" s="72">
        <f>'Fuel Vol and Credit Gen'!DY51</f>
        <v>709.02169005697169</v>
      </c>
      <c r="DZ6" s="72">
        <f>'Fuel Vol and Credit Gen'!DZ51</f>
        <v>712.48727049771344</v>
      </c>
    </row>
    <row r="7" spans="1:130" x14ac:dyDescent="0.2">
      <c r="A7" s="39" t="s">
        <v>121</v>
      </c>
      <c r="B7" s="39" t="s">
        <v>170</v>
      </c>
      <c r="C7" s="70">
        <v>7202</v>
      </c>
      <c r="D7" s="70">
        <v>7881</v>
      </c>
      <c r="E7" s="70">
        <v>8212</v>
      </c>
      <c r="F7" s="70">
        <v>8117</v>
      </c>
      <c r="G7" s="70">
        <v>7899</v>
      </c>
      <c r="H7" s="70">
        <v>9787</v>
      </c>
      <c r="I7" s="70">
        <v>10413</v>
      </c>
      <c r="J7" s="70">
        <v>11175</v>
      </c>
      <c r="K7" s="70">
        <v>15151</v>
      </c>
      <c r="L7" s="70">
        <v>13029</v>
      </c>
      <c r="M7" s="70">
        <v>9955</v>
      </c>
      <c r="N7" s="70">
        <v>12306</v>
      </c>
      <c r="O7" s="70">
        <v>11495</v>
      </c>
      <c r="P7" s="70">
        <v>13162</v>
      </c>
      <c r="Q7" s="70">
        <v>7022</v>
      </c>
      <c r="R7" s="70">
        <v>4963</v>
      </c>
      <c r="S7" s="70">
        <v>9872</v>
      </c>
      <c r="T7" s="70">
        <v>7884</v>
      </c>
      <c r="U7" s="70">
        <v>3688</v>
      </c>
      <c r="V7" s="70">
        <v>806</v>
      </c>
      <c r="W7" s="70">
        <v>1980</v>
      </c>
      <c r="X7" s="70">
        <v>1973</v>
      </c>
      <c r="Y7" s="70">
        <v>1720</v>
      </c>
      <c r="Z7" s="70">
        <v>1836</v>
      </c>
      <c r="AA7" s="70">
        <v>43</v>
      </c>
      <c r="AB7" s="70">
        <v>9</v>
      </c>
      <c r="AC7" s="70">
        <v>49</v>
      </c>
      <c r="AD7" s="70">
        <v>72</v>
      </c>
      <c r="AE7" s="70">
        <v>41</v>
      </c>
      <c r="AF7" s="70">
        <v>43</v>
      </c>
      <c r="AG7" s="70">
        <v>36</v>
      </c>
      <c r="AH7" s="70">
        <v>49</v>
      </c>
      <c r="AI7" s="70">
        <v>0</v>
      </c>
      <c r="AJ7" s="70">
        <v>0</v>
      </c>
      <c r="AK7" s="70">
        <v>0</v>
      </c>
      <c r="AL7" s="70">
        <v>0</v>
      </c>
      <c r="AM7" s="70">
        <v>0</v>
      </c>
      <c r="AN7" s="70">
        <v>0</v>
      </c>
      <c r="AO7" s="70">
        <v>0</v>
      </c>
      <c r="AP7" s="70">
        <v>0</v>
      </c>
      <c r="AQ7" s="70">
        <v>0</v>
      </c>
      <c r="AR7" s="70">
        <v>0</v>
      </c>
      <c r="AS7" s="70">
        <v>0</v>
      </c>
      <c r="AT7" s="70">
        <v>0</v>
      </c>
      <c r="AU7" s="70">
        <v>0</v>
      </c>
      <c r="AV7" s="71">
        <v>0</v>
      </c>
      <c r="AW7" s="71">
        <v>0</v>
      </c>
      <c r="AX7" s="71">
        <v>0</v>
      </c>
      <c r="AY7" s="71">
        <v>0</v>
      </c>
      <c r="AZ7" s="71">
        <v>0</v>
      </c>
      <c r="BA7" s="71">
        <v>0</v>
      </c>
      <c r="BB7" s="71">
        <v>0</v>
      </c>
      <c r="BC7" s="71">
        <v>0</v>
      </c>
      <c r="BD7" s="71">
        <f>'Fuel Vol and Credit Gen'!BD52</f>
        <v>0</v>
      </c>
      <c r="BE7" s="71">
        <f>'Fuel Vol and Credit Gen'!BE52</f>
        <v>0</v>
      </c>
      <c r="BF7" s="72">
        <f>'Fuel Vol and Credit Gen'!BF52</f>
        <v>0</v>
      </c>
      <c r="BG7" s="72">
        <f>'Fuel Vol and Credit Gen'!BG52</f>
        <v>0</v>
      </c>
      <c r="BH7" s="72">
        <f>'Fuel Vol and Credit Gen'!BH52</f>
        <v>0</v>
      </c>
      <c r="BI7" s="72">
        <f>'Fuel Vol and Credit Gen'!BI52</f>
        <v>0</v>
      </c>
      <c r="BJ7" s="72">
        <f>'Fuel Vol and Credit Gen'!BJ52</f>
        <v>0</v>
      </c>
      <c r="BK7" s="72">
        <f>'Fuel Vol and Credit Gen'!BK52</f>
        <v>0</v>
      </c>
      <c r="BL7" s="72">
        <f>'Fuel Vol and Credit Gen'!BL52</f>
        <v>0</v>
      </c>
      <c r="BM7" s="72">
        <f>'Fuel Vol and Credit Gen'!BM52</f>
        <v>0</v>
      </c>
      <c r="BN7" s="72">
        <f>'Fuel Vol and Credit Gen'!BN52</f>
        <v>0</v>
      </c>
      <c r="BO7" s="72">
        <f>'Fuel Vol and Credit Gen'!BO52</f>
        <v>0</v>
      </c>
      <c r="BP7" s="72">
        <f>'Fuel Vol and Credit Gen'!BP52</f>
        <v>0</v>
      </c>
      <c r="BQ7" s="72">
        <f>'Fuel Vol and Credit Gen'!BQ52</f>
        <v>0</v>
      </c>
      <c r="BR7" s="72">
        <f>'Fuel Vol and Credit Gen'!BR52</f>
        <v>0</v>
      </c>
      <c r="BS7" s="72">
        <f>'Fuel Vol and Credit Gen'!BS52</f>
        <v>0</v>
      </c>
      <c r="BT7" s="72">
        <f>'Fuel Vol and Credit Gen'!BT52</f>
        <v>0</v>
      </c>
      <c r="BU7" s="72">
        <f>'Fuel Vol and Credit Gen'!BU52</f>
        <v>0</v>
      </c>
      <c r="BV7" s="72">
        <f>'Fuel Vol and Credit Gen'!BV52</f>
        <v>0</v>
      </c>
      <c r="BW7" s="72">
        <f>'Fuel Vol and Credit Gen'!BW52</f>
        <v>0</v>
      </c>
      <c r="BX7" s="72">
        <f>'Fuel Vol and Credit Gen'!BX52</f>
        <v>0</v>
      </c>
      <c r="BY7" s="72">
        <f>'Fuel Vol and Credit Gen'!BY52</f>
        <v>0</v>
      </c>
      <c r="BZ7" s="72">
        <f>'Fuel Vol and Credit Gen'!BZ52</f>
        <v>0</v>
      </c>
      <c r="CA7" s="72">
        <f>'Fuel Vol and Credit Gen'!CA52</f>
        <v>0</v>
      </c>
      <c r="CB7" s="72">
        <f>'Fuel Vol and Credit Gen'!CB52</f>
        <v>0</v>
      </c>
      <c r="CC7" s="72">
        <f>'Fuel Vol and Credit Gen'!CC52</f>
        <v>0</v>
      </c>
      <c r="CD7" s="72">
        <f>'Fuel Vol and Credit Gen'!CD52</f>
        <v>0</v>
      </c>
      <c r="CE7" s="72">
        <f>'Fuel Vol and Credit Gen'!CE52</f>
        <v>0</v>
      </c>
      <c r="CF7" s="72">
        <f>'Fuel Vol and Credit Gen'!CF52</f>
        <v>0</v>
      </c>
      <c r="CG7" s="72">
        <f>'Fuel Vol and Credit Gen'!CG52</f>
        <v>0</v>
      </c>
      <c r="CH7" s="72">
        <f>'Fuel Vol and Credit Gen'!CH52</f>
        <v>0</v>
      </c>
      <c r="CI7" s="72">
        <f>'Fuel Vol and Credit Gen'!CI52</f>
        <v>0</v>
      </c>
      <c r="CJ7" s="72">
        <f>'Fuel Vol and Credit Gen'!CJ52</f>
        <v>0</v>
      </c>
      <c r="CK7" s="72">
        <f>'Fuel Vol and Credit Gen'!CK52</f>
        <v>0</v>
      </c>
      <c r="CL7" s="72">
        <f>'Fuel Vol and Credit Gen'!CL52</f>
        <v>0</v>
      </c>
      <c r="CM7" s="72">
        <f>'Fuel Vol and Credit Gen'!CM52</f>
        <v>0</v>
      </c>
      <c r="CN7" s="72">
        <f>'Fuel Vol and Credit Gen'!CN52</f>
        <v>0</v>
      </c>
      <c r="CO7" s="72">
        <f>'Fuel Vol and Credit Gen'!CO52</f>
        <v>0</v>
      </c>
      <c r="CP7" s="72">
        <f>'Fuel Vol and Credit Gen'!CP52</f>
        <v>0</v>
      </c>
      <c r="CQ7" s="72">
        <f>'Fuel Vol and Credit Gen'!CQ52</f>
        <v>0</v>
      </c>
      <c r="CR7" s="72">
        <f>'Fuel Vol and Credit Gen'!CR52</f>
        <v>0</v>
      </c>
      <c r="CS7" s="72">
        <f>'Fuel Vol and Credit Gen'!CS52</f>
        <v>0</v>
      </c>
      <c r="CT7" s="72">
        <f>'Fuel Vol and Credit Gen'!CT52</f>
        <v>0</v>
      </c>
      <c r="CU7" s="72">
        <f>'Fuel Vol and Credit Gen'!CU52</f>
        <v>0</v>
      </c>
      <c r="CV7" s="72">
        <f>'Fuel Vol and Credit Gen'!CV52</f>
        <v>0</v>
      </c>
      <c r="CW7" s="72">
        <f>'Fuel Vol and Credit Gen'!CW52</f>
        <v>0</v>
      </c>
      <c r="CX7" s="72">
        <f>'Fuel Vol and Credit Gen'!CX52</f>
        <v>0</v>
      </c>
      <c r="CY7" s="72">
        <f>'Fuel Vol and Credit Gen'!CY52</f>
        <v>0</v>
      </c>
      <c r="CZ7" s="72">
        <f>'Fuel Vol and Credit Gen'!CZ52</f>
        <v>0</v>
      </c>
      <c r="DA7" s="72">
        <f>'Fuel Vol and Credit Gen'!DA52</f>
        <v>0</v>
      </c>
      <c r="DB7" s="72">
        <f>'Fuel Vol and Credit Gen'!DB52</f>
        <v>0</v>
      </c>
      <c r="DC7" s="72">
        <f>'Fuel Vol and Credit Gen'!DC52</f>
        <v>0</v>
      </c>
      <c r="DD7" s="72">
        <f>'Fuel Vol and Credit Gen'!DD52</f>
        <v>0</v>
      </c>
      <c r="DE7" s="72">
        <f>'Fuel Vol and Credit Gen'!DE52</f>
        <v>0</v>
      </c>
      <c r="DF7" s="72">
        <f>'Fuel Vol and Credit Gen'!DF52</f>
        <v>0</v>
      </c>
      <c r="DG7" s="72">
        <f>'Fuel Vol and Credit Gen'!DG52</f>
        <v>0</v>
      </c>
      <c r="DH7" s="72">
        <f>'Fuel Vol and Credit Gen'!DH52</f>
        <v>0</v>
      </c>
      <c r="DI7" s="72">
        <f>'Fuel Vol and Credit Gen'!DI52</f>
        <v>0</v>
      </c>
      <c r="DJ7" s="72">
        <f>'Fuel Vol and Credit Gen'!DJ52</f>
        <v>0</v>
      </c>
      <c r="DK7" s="72">
        <f>'Fuel Vol and Credit Gen'!DK52</f>
        <v>0</v>
      </c>
      <c r="DL7" s="72">
        <f>'Fuel Vol and Credit Gen'!DL52</f>
        <v>0</v>
      </c>
      <c r="DM7" s="72">
        <f>'Fuel Vol and Credit Gen'!DM52</f>
        <v>0</v>
      </c>
      <c r="DN7" s="72">
        <f>'Fuel Vol and Credit Gen'!DN52</f>
        <v>0</v>
      </c>
      <c r="DO7" s="72">
        <f>'Fuel Vol and Credit Gen'!DO52</f>
        <v>0</v>
      </c>
      <c r="DP7" s="72">
        <f>'Fuel Vol and Credit Gen'!DP52</f>
        <v>0</v>
      </c>
      <c r="DQ7" s="72">
        <f>'Fuel Vol and Credit Gen'!DQ52</f>
        <v>0</v>
      </c>
      <c r="DR7" s="72">
        <f>'Fuel Vol and Credit Gen'!DR52</f>
        <v>0</v>
      </c>
      <c r="DS7" s="72">
        <f>'Fuel Vol and Credit Gen'!DS52</f>
        <v>0</v>
      </c>
      <c r="DT7" s="72">
        <f>'Fuel Vol and Credit Gen'!DT52</f>
        <v>0</v>
      </c>
      <c r="DU7" s="72">
        <f>'Fuel Vol and Credit Gen'!DU52</f>
        <v>0</v>
      </c>
      <c r="DV7" s="72">
        <f>'Fuel Vol and Credit Gen'!DV52</f>
        <v>0</v>
      </c>
      <c r="DW7" s="72">
        <f>'Fuel Vol and Credit Gen'!DW52</f>
        <v>0</v>
      </c>
      <c r="DX7" s="72">
        <f>'Fuel Vol and Credit Gen'!DX52</f>
        <v>0</v>
      </c>
      <c r="DY7" s="72">
        <f>'Fuel Vol and Credit Gen'!DY52</f>
        <v>0</v>
      </c>
      <c r="DZ7" s="72">
        <f>'Fuel Vol and Credit Gen'!DZ52</f>
        <v>0</v>
      </c>
    </row>
    <row r="8" spans="1:130" x14ac:dyDescent="0.2">
      <c r="A8" s="39" t="s">
        <v>122</v>
      </c>
      <c r="B8" s="39" t="s">
        <v>170</v>
      </c>
      <c r="C8" s="70">
        <v>0</v>
      </c>
      <c r="D8" s="70">
        <v>0</v>
      </c>
      <c r="E8" s="70">
        <v>0</v>
      </c>
      <c r="F8" s="70">
        <v>0</v>
      </c>
      <c r="G8" s="70">
        <v>0</v>
      </c>
      <c r="H8" s="70">
        <v>0</v>
      </c>
      <c r="I8" s="70">
        <v>0</v>
      </c>
      <c r="J8" s="70">
        <v>0</v>
      </c>
      <c r="K8" s="70">
        <v>0</v>
      </c>
      <c r="L8" s="70">
        <v>0</v>
      </c>
      <c r="M8" s="70">
        <v>0</v>
      </c>
      <c r="N8" s="70">
        <v>0</v>
      </c>
      <c r="O8" s="70">
        <v>0</v>
      </c>
      <c r="P8" s="70">
        <v>0</v>
      </c>
      <c r="Q8" s="70">
        <v>0</v>
      </c>
      <c r="R8" s="70">
        <v>0</v>
      </c>
      <c r="S8" s="70">
        <v>0</v>
      </c>
      <c r="T8" s="70">
        <v>0</v>
      </c>
      <c r="U8" s="70">
        <v>50</v>
      </c>
      <c r="V8" s="70">
        <v>24</v>
      </c>
      <c r="W8" s="70">
        <v>33</v>
      </c>
      <c r="X8" s="70">
        <v>28</v>
      </c>
      <c r="Y8" s="70">
        <v>1</v>
      </c>
      <c r="Z8" s="70">
        <v>2</v>
      </c>
      <c r="AA8" s="70">
        <v>562</v>
      </c>
      <c r="AB8" s="70">
        <v>820</v>
      </c>
      <c r="AC8" s="70">
        <v>970</v>
      </c>
      <c r="AD8" s="70">
        <v>1084</v>
      </c>
      <c r="AE8" s="70">
        <v>1408</v>
      </c>
      <c r="AF8" s="70">
        <v>1664</v>
      </c>
      <c r="AG8" s="70">
        <v>1779</v>
      </c>
      <c r="AH8" s="70">
        <v>2133</v>
      </c>
      <c r="AI8" s="70">
        <v>2535</v>
      </c>
      <c r="AJ8" s="70">
        <v>3048</v>
      </c>
      <c r="AK8" s="70">
        <v>3886</v>
      </c>
      <c r="AL8" s="70">
        <v>4353</v>
      </c>
      <c r="AM8" s="70">
        <v>3901</v>
      </c>
      <c r="AN8" s="70">
        <v>3026</v>
      </c>
      <c r="AO8" s="70">
        <v>4220</v>
      </c>
      <c r="AP8" s="70">
        <v>6867</v>
      </c>
      <c r="AQ8" s="70">
        <v>6268</v>
      </c>
      <c r="AR8" s="70">
        <v>9267</v>
      </c>
      <c r="AS8" s="70">
        <v>9620</v>
      </c>
      <c r="AT8" s="70">
        <v>11732</v>
      </c>
      <c r="AU8" s="70">
        <v>12653</v>
      </c>
      <c r="AV8" s="71">
        <v>16883</v>
      </c>
      <c r="AW8" s="71">
        <v>16746</v>
      </c>
      <c r="AX8" s="71">
        <v>16067</v>
      </c>
      <c r="AY8" s="71">
        <v>15098</v>
      </c>
      <c r="AZ8" s="71">
        <v>15828</v>
      </c>
      <c r="BA8" s="71">
        <v>15556</v>
      </c>
      <c r="BB8" s="71">
        <v>14298</v>
      </c>
      <c r="BC8" s="71">
        <v>13327</v>
      </c>
      <c r="BD8" s="71">
        <v>12287</v>
      </c>
      <c r="BE8" s="71">
        <f>'Fuel Vol and Credit Gen'!BE53</f>
        <v>11606</v>
      </c>
      <c r="BF8" s="72">
        <f>'Fuel Vol and Credit Gen'!BF53</f>
        <v>12854.67849309474</v>
      </c>
      <c r="BG8" s="72">
        <f>'Fuel Vol and Credit Gen'!BG53</f>
        <v>15376.28305270033</v>
      </c>
      <c r="BH8" s="72">
        <f>'Fuel Vol and Credit Gen'!BH53</f>
        <v>14987.965968493852</v>
      </c>
      <c r="BI8" s="72">
        <f>'Fuel Vol and Credit Gen'!BI53</f>
        <v>16099.440888662321</v>
      </c>
      <c r="BJ8" s="72">
        <f>'Fuel Vol and Credit Gen'!BJ53</f>
        <v>16897.931286406463</v>
      </c>
      <c r="BK8" s="72">
        <f>'Fuel Vol and Credit Gen'!BK53</f>
        <v>18555.75164822537</v>
      </c>
      <c r="BL8" s="72">
        <f>'Fuel Vol and Credit Gen'!BL53</f>
        <v>19774.149957368136</v>
      </c>
      <c r="BM8" s="72">
        <f>'Fuel Vol and Credit Gen'!BM53</f>
        <v>20535.843397100321</v>
      </c>
      <c r="BN8" s="72">
        <f>'Fuel Vol and Credit Gen'!BN53</f>
        <v>21162.085875411318</v>
      </c>
      <c r="BO8" s="72">
        <f>'Fuel Vol and Credit Gen'!BO53</f>
        <v>21767.022910563144</v>
      </c>
      <c r="BP8" s="72">
        <f>'Fuel Vol and Credit Gen'!BP53</f>
        <v>22266.290528782214</v>
      </c>
      <c r="BQ8" s="72">
        <f>'Fuel Vol and Credit Gen'!BQ53</f>
        <v>22809.784564442507</v>
      </c>
      <c r="BR8" s="72">
        <f>'Fuel Vol and Credit Gen'!BR53</f>
        <v>23341.268203237378</v>
      </c>
      <c r="BS8" s="72">
        <f>'Fuel Vol and Credit Gen'!BS53</f>
        <v>23965.883636878498</v>
      </c>
      <c r="BT8" s="72">
        <f>'Fuel Vol and Credit Gen'!BT53</f>
        <v>24425.884524572946</v>
      </c>
      <c r="BU8" s="72">
        <f>'Fuel Vol and Credit Gen'!BU53</f>
        <v>24999.420595853037</v>
      </c>
      <c r="BV8" s="72">
        <f>'Fuel Vol and Credit Gen'!BV53</f>
        <v>25611.214426603772</v>
      </c>
      <c r="BW8" s="72">
        <f>'Fuel Vol and Credit Gen'!BW53</f>
        <v>26184.873103238908</v>
      </c>
      <c r="BX8" s="72">
        <f>'Fuel Vol and Credit Gen'!BX53</f>
        <v>26763.804872286826</v>
      </c>
      <c r="BY8" s="72">
        <f>'Fuel Vol and Credit Gen'!BY53</f>
        <v>27380.311164789629</v>
      </c>
      <c r="BZ8" s="72">
        <f>'Fuel Vol and Credit Gen'!BZ53</f>
        <v>28005.455176857104</v>
      </c>
      <c r="CA8" s="72">
        <f>'Fuel Vol and Credit Gen'!CA53</f>
        <v>28589.921053571681</v>
      </c>
      <c r="CB8" s="72">
        <f>'Fuel Vol and Credit Gen'!CB53</f>
        <v>29165.10157832965</v>
      </c>
      <c r="CC8" s="72">
        <f>'Fuel Vol and Credit Gen'!CC53</f>
        <v>29736.081219919804</v>
      </c>
      <c r="CD8" s="72">
        <f>'Fuel Vol and Credit Gen'!CD53</f>
        <v>30332.179229977184</v>
      </c>
      <c r="CE8" s="72">
        <f>'Fuel Vol and Credit Gen'!CE53</f>
        <v>30891.494480828736</v>
      </c>
      <c r="CF8" s="72">
        <f>'Fuel Vol and Credit Gen'!CF53</f>
        <v>31458.200360374529</v>
      </c>
      <c r="CG8" s="72">
        <f>'Fuel Vol and Credit Gen'!CG53</f>
        <v>32036.385446011318</v>
      </c>
      <c r="CH8" s="72">
        <f>'Fuel Vol and Credit Gen'!CH53</f>
        <v>32584.441287451231</v>
      </c>
      <c r="CI8" s="72">
        <f>'Fuel Vol and Credit Gen'!CI53</f>
        <v>33067.03235157796</v>
      </c>
      <c r="CJ8" s="72">
        <f>'Fuel Vol and Credit Gen'!CJ53</f>
        <v>33582.794258965034</v>
      </c>
      <c r="CK8" s="72">
        <f>'Fuel Vol and Credit Gen'!CK53</f>
        <v>34134.45797391489</v>
      </c>
      <c r="CL8" s="72">
        <f>'Fuel Vol and Credit Gen'!CL53</f>
        <v>34660.749820485267</v>
      </c>
      <c r="CM8" s="72">
        <f>'Fuel Vol and Credit Gen'!CM53</f>
        <v>35193.864194864771</v>
      </c>
      <c r="CN8" s="72">
        <f>'Fuel Vol and Credit Gen'!CN53</f>
        <v>35723.371167489939</v>
      </c>
      <c r="CO8" s="72">
        <f>'Fuel Vol and Credit Gen'!CO53</f>
        <v>36310.92150460984</v>
      </c>
      <c r="CP8" s="72">
        <f>'Fuel Vol and Credit Gen'!CP53</f>
        <v>36861.661726475999</v>
      </c>
      <c r="CQ8" s="72">
        <f>'Fuel Vol and Credit Gen'!CQ53</f>
        <v>37419.885453936557</v>
      </c>
      <c r="CR8" s="72">
        <f>'Fuel Vol and Credit Gen'!CR53</f>
        <v>37989.714592320757</v>
      </c>
      <c r="CS8" s="72">
        <f>'Fuel Vol and Credit Gen'!CS53</f>
        <v>38564.765947107153</v>
      </c>
      <c r="CT8" s="72">
        <f>'Fuel Vol and Credit Gen'!CT53</f>
        <v>39142.659102536578</v>
      </c>
      <c r="CU8" s="72">
        <f>'Fuel Vol and Credit Gen'!CU53</f>
        <v>39714.086180666243</v>
      </c>
      <c r="CV8" s="72">
        <f>'Fuel Vol and Credit Gen'!CV53</f>
        <v>40286.774970691738</v>
      </c>
      <c r="CW8" s="72">
        <f>'Fuel Vol and Credit Gen'!CW53</f>
        <v>40857.942477410928</v>
      </c>
      <c r="CX8" s="72">
        <f>'Fuel Vol and Credit Gen'!CX53</f>
        <v>41430.60443707071</v>
      </c>
      <c r="CY8" s="72">
        <f>'Fuel Vol and Credit Gen'!CY53</f>
        <v>41995.446491630006</v>
      </c>
      <c r="CZ8" s="72">
        <f>'Fuel Vol and Credit Gen'!CZ53</f>
        <v>42557.387587051613</v>
      </c>
      <c r="DA8" s="72">
        <f>'Fuel Vol and Credit Gen'!DA53</f>
        <v>43117.866859099202</v>
      </c>
      <c r="DB8" s="72">
        <f>'Fuel Vol and Credit Gen'!DB53</f>
        <v>43676.837326534122</v>
      </c>
      <c r="DC8" s="72">
        <f>'Fuel Vol and Credit Gen'!DC53</f>
        <v>44234.096505302405</v>
      </c>
      <c r="DD8" s="72">
        <f>'Fuel Vol and Credit Gen'!DD53</f>
        <v>44792.672419338669</v>
      </c>
      <c r="DE8" s="72">
        <f>'Fuel Vol and Credit Gen'!DE53</f>
        <v>45354.139744600128</v>
      </c>
      <c r="DF8" s="72">
        <f>'Fuel Vol and Credit Gen'!DF53</f>
        <v>45916.325306473576</v>
      </c>
      <c r="DG8" s="72">
        <f>'Fuel Vol and Credit Gen'!DG53</f>
        <v>46478.655086770545</v>
      </c>
      <c r="DH8" s="72">
        <f>'Fuel Vol and Credit Gen'!DH53</f>
        <v>47040.668151538986</v>
      </c>
      <c r="DI8" s="72">
        <f>'Fuel Vol and Credit Gen'!DI53</f>
        <v>47604.14848572186</v>
      </c>
      <c r="DJ8" s="72">
        <f>'Fuel Vol and Credit Gen'!DJ53</f>
        <v>48167.941233850637</v>
      </c>
      <c r="DK8" s="72">
        <f>'Fuel Vol and Credit Gen'!DK53</f>
        <v>48732.977485718438</v>
      </c>
      <c r="DL8" s="72">
        <f>'Fuel Vol and Credit Gen'!DL53</f>
        <v>49300.441298532103</v>
      </c>
      <c r="DM8" s="72">
        <f>'Fuel Vol and Credit Gen'!DM53</f>
        <v>49869.581405650722</v>
      </c>
      <c r="DN8" s="72">
        <f>'Fuel Vol and Credit Gen'!DN53</f>
        <v>50435.753502642925</v>
      </c>
      <c r="DO8" s="72">
        <f>'Fuel Vol and Credit Gen'!DO53</f>
        <v>51000.689459044501</v>
      </c>
      <c r="DP8" s="72">
        <f>'Fuel Vol and Credit Gen'!DP53</f>
        <v>51566.473266107947</v>
      </c>
      <c r="DQ8" s="72">
        <f>'Fuel Vol and Credit Gen'!DQ53</f>
        <v>52131.873868018141</v>
      </c>
      <c r="DR8" s="72">
        <f>'Fuel Vol and Credit Gen'!DR53</f>
        <v>52697.060619039541</v>
      </c>
      <c r="DS8" s="72">
        <f>'Fuel Vol and Credit Gen'!DS53</f>
        <v>53261.693057982942</v>
      </c>
      <c r="DT8" s="72">
        <f>'Fuel Vol and Credit Gen'!DT53</f>
        <v>53825.555900026411</v>
      </c>
      <c r="DU8" s="72">
        <f>'Fuel Vol and Credit Gen'!DU53</f>
        <v>54388.471743055481</v>
      </c>
      <c r="DV8" s="72">
        <f>'Fuel Vol and Credit Gen'!DV53</f>
        <v>54950.650611318793</v>
      </c>
      <c r="DW8" s="72">
        <f>'Fuel Vol and Credit Gen'!DW53</f>
        <v>55512.624939231733</v>
      </c>
      <c r="DX8" s="72">
        <f>'Fuel Vol and Credit Gen'!DX53</f>
        <v>56074.716910933748</v>
      </c>
      <c r="DY8" s="72">
        <f>'Fuel Vol and Credit Gen'!DY53</f>
        <v>56637.191081054087</v>
      </c>
      <c r="DZ8" s="72">
        <f>'Fuel Vol and Credit Gen'!DZ53</f>
        <v>57200.093032608747</v>
      </c>
    </row>
    <row r="9" spans="1:130" x14ac:dyDescent="0.2">
      <c r="A9" s="39" t="s">
        <v>75</v>
      </c>
      <c r="B9" s="39" t="s">
        <v>170</v>
      </c>
      <c r="C9" s="70">
        <v>217913</v>
      </c>
      <c r="D9" s="70">
        <v>252550</v>
      </c>
      <c r="E9" s="70">
        <v>282189</v>
      </c>
      <c r="F9" s="70">
        <v>270901</v>
      </c>
      <c r="G9" s="70">
        <v>261269</v>
      </c>
      <c r="H9" s="70">
        <v>264615</v>
      </c>
      <c r="I9" s="70">
        <v>358459</v>
      </c>
      <c r="J9" s="70">
        <v>334751</v>
      </c>
      <c r="K9" s="70">
        <v>446344</v>
      </c>
      <c r="L9" s="70">
        <v>439633</v>
      </c>
      <c r="M9" s="70">
        <v>586902</v>
      </c>
      <c r="N9" s="70">
        <v>510999</v>
      </c>
      <c r="O9" s="70">
        <v>459238</v>
      </c>
      <c r="P9" s="70">
        <v>551332</v>
      </c>
      <c r="Q9" s="70">
        <v>528433</v>
      </c>
      <c r="R9" s="70">
        <v>491880</v>
      </c>
      <c r="S9" s="70">
        <v>473209</v>
      </c>
      <c r="T9" s="70">
        <v>504542</v>
      </c>
      <c r="U9" s="70">
        <v>538519</v>
      </c>
      <c r="V9" s="70">
        <v>608484</v>
      </c>
      <c r="W9" s="70">
        <v>836629</v>
      </c>
      <c r="X9" s="70">
        <v>857168</v>
      </c>
      <c r="Y9" s="70">
        <v>919750</v>
      </c>
      <c r="Z9" s="70">
        <v>905839</v>
      </c>
      <c r="AA9" s="70">
        <v>783039</v>
      </c>
      <c r="AB9" s="70">
        <v>856950</v>
      </c>
      <c r="AC9" s="70">
        <v>931601</v>
      </c>
      <c r="AD9" s="70">
        <v>916634</v>
      </c>
      <c r="AE9" s="70">
        <v>776336</v>
      </c>
      <c r="AF9" s="70">
        <v>775942</v>
      </c>
      <c r="AG9" s="70">
        <v>949941</v>
      </c>
      <c r="AH9" s="70">
        <v>956310</v>
      </c>
      <c r="AI9" s="70">
        <v>946616</v>
      </c>
      <c r="AJ9" s="70">
        <v>1086445</v>
      </c>
      <c r="AK9" s="70">
        <v>1169325</v>
      </c>
      <c r="AL9" s="70">
        <v>1139746</v>
      </c>
      <c r="AM9" s="70">
        <v>1045797</v>
      </c>
      <c r="AN9" s="70">
        <v>648935</v>
      </c>
      <c r="AO9" s="70">
        <v>1052908</v>
      </c>
      <c r="AP9" s="70">
        <v>989015</v>
      </c>
      <c r="AQ9" s="70">
        <v>747150</v>
      </c>
      <c r="AR9" s="70">
        <v>1006898</v>
      </c>
      <c r="AS9" s="70">
        <v>1113796</v>
      </c>
      <c r="AT9" s="70">
        <v>957708</v>
      </c>
      <c r="AU9" s="70">
        <v>917950</v>
      </c>
      <c r="AV9" s="71">
        <v>919767</v>
      </c>
      <c r="AW9" s="71">
        <v>975746</v>
      </c>
      <c r="AX9" s="71">
        <v>927177</v>
      </c>
      <c r="AY9" s="71">
        <v>827472</v>
      </c>
      <c r="AZ9" s="71">
        <v>736436</v>
      </c>
      <c r="BA9" s="71">
        <v>882062</v>
      </c>
      <c r="BB9" s="71">
        <v>916926</v>
      </c>
      <c r="BC9" s="71">
        <v>810581</v>
      </c>
      <c r="BD9" s="71">
        <v>910853</v>
      </c>
      <c r="BE9" s="71">
        <f>'Fuel Vol and Credit Gen'!BE55</f>
        <v>866406</v>
      </c>
      <c r="BF9" s="72">
        <f>'Fuel Vol and Credit Gen'!BF55</f>
        <v>906093.05235575559</v>
      </c>
      <c r="BG9" s="72">
        <f>'Fuel Vol and Credit Gen'!BG55</f>
        <v>900355.84559094883</v>
      </c>
      <c r="BH9" s="72">
        <f>'Fuel Vol and Credit Gen'!BH55</f>
        <v>933213.05483336234</v>
      </c>
      <c r="BI9" s="72">
        <f>'Fuel Vol and Credit Gen'!BI55</f>
        <v>970209.57344730967</v>
      </c>
      <c r="BJ9" s="72">
        <f>'Fuel Vol and Credit Gen'!BJ55</f>
        <v>918982.74506998109</v>
      </c>
      <c r="BK9" s="72">
        <f>'Fuel Vol and Credit Gen'!BK55</f>
        <v>914457.74311546865</v>
      </c>
      <c r="BL9" s="72">
        <f>'Fuel Vol and Credit Gen'!BL55</f>
        <v>955642.61710095417</v>
      </c>
      <c r="BM9" s="72">
        <f>'Fuel Vol and Credit Gen'!BM55</f>
        <v>1004872.2990071601</v>
      </c>
      <c r="BN9" s="72">
        <f>'Fuel Vol and Credit Gen'!BN55</f>
        <v>931490.92581322638</v>
      </c>
      <c r="BO9" s="72">
        <f>'Fuel Vol and Credit Gen'!BO55</f>
        <v>918940.21254059952</v>
      </c>
      <c r="BP9" s="72">
        <f>'Fuel Vol and Credit Gen'!BP55</f>
        <v>952447.00998822832</v>
      </c>
      <c r="BQ9" s="72">
        <f>'Fuel Vol and Credit Gen'!BQ55</f>
        <v>986862.10126249609</v>
      </c>
      <c r="BR9" s="72">
        <f>'Fuel Vol and Credit Gen'!BR55</f>
        <v>919747.37944165384</v>
      </c>
      <c r="BS9" s="72">
        <f>'Fuel Vol and Credit Gen'!BS55</f>
        <v>907506.95610542526</v>
      </c>
      <c r="BT9" s="72">
        <f>'Fuel Vol and Credit Gen'!BT55</f>
        <v>939669.47859426192</v>
      </c>
      <c r="BU9" s="72">
        <f>'Fuel Vol and Credit Gen'!BU55</f>
        <v>981897.92228836112</v>
      </c>
      <c r="BV9" s="72">
        <f>'Fuel Vol and Credit Gen'!BV55</f>
        <v>908604.3923023286</v>
      </c>
      <c r="BW9" s="72">
        <f>'Fuel Vol and Credit Gen'!BW55</f>
        <v>895233.66636269761</v>
      </c>
      <c r="BX9" s="72">
        <f>'Fuel Vol and Credit Gen'!BX55</f>
        <v>931824.33288568794</v>
      </c>
      <c r="BY9" s="72">
        <f>'Fuel Vol and Credit Gen'!BY55</f>
        <v>974756.97476904455</v>
      </c>
      <c r="BZ9" s="72">
        <f>'Fuel Vol and Credit Gen'!BZ55</f>
        <v>902354.94000601803</v>
      </c>
      <c r="CA9" s="72">
        <f>'Fuel Vol and Credit Gen'!CA55</f>
        <v>890131.66705836786</v>
      </c>
      <c r="CB9" s="72">
        <f>'Fuel Vol and Credit Gen'!CB55</f>
        <v>929747.07445015619</v>
      </c>
      <c r="CC9" s="72">
        <f>'Fuel Vol and Credit Gen'!CC55</f>
        <v>974426.97307896183</v>
      </c>
      <c r="CD9" s="72">
        <f>'Fuel Vol and Credit Gen'!CD55</f>
        <v>904046.50510032207</v>
      </c>
      <c r="CE9" s="72">
        <f>'Fuel Vol and Credit Gen'!CE55</f>
        <v>895992.54540165141</v>
      </c>
      <c r="CF9" s="72">
        <f>'Fuel Vol and Credit Gen'!CF55</f>
        <v>934529.00695348624</v>
      </c>
      <c r="CG9" s="72">
        <f>'Fuel Vol and Credit Gen'!CG55</f>
        <v>980306.28958909877</v>
      </c>
      <c r="CH9" s="72">
        <f>'Fuel Vol and Credit Gen'!CH55</f>
        <v>911240.15268217155</v>
      </c>
      <c r="CI9" s="72">
        <f>'Fuel Vol and Credit Gen'!CI55</f>
        <v>900578.99641627283</v>
      </c>
      <c r="CJ9" s="72">
        <f>'Fuel Vol and Credit Gen'!CJ55</f>
        <v>939357.43877861323</v>
      </c>
      <c r="CK9" s="72">
        <f>'Fuel Vol and Credit Gen'!CK55</f>
        <v>981821.71888086142</v>
      </c>
      <c r="CL9" s="72">
        <f>'Fuel Vol and Credit Gen'!CL55</f>
        <v>914366.9860535328</v>
      </c>
      <c r="CM9" s="72">
        <f>'Fuel Vol and Credit Gen'!CM55</f>
        <v>902890.15981721552</v>
      </c>
      <c r="CN9" s="72">
        <f>'Fuel Vol and Credit Gen'!CN55</f>
        <v>940404.38744142069</v>
      </c>
      <c r="CO9" s="72">
        <f>'Fuel Vol and Credit Gen'!CO55</f>
        <v>983476.51655146957</v>
      </c>
      <c r="CP9" s="72">
        <f>'Fuel Vol and Credit Gen'!CP55</f>
        <v>913628.89999476739</v>
      </c>
      <c r="CQ9" s="72">
        <f>'Fuel Vol and Credit Gen'!CQ55</f>
        <v>901052.57032679743</v>
      </c>
      <c r="CR9" s="72">
        <f>'Fuel Vol and Credit Gen'!CR55</f>
        <v>938396.77901569114</v>
      </c>
      <c r="CS9" s="72">
        <f>'Fuel Vol and Credit Gen'!CS55</f>
        <v>980484.74104047555</v>
      </c>
      <c r="CT9" s="72">
        <f>'Fuel Vol and Credit Gen'!CT55</f>
        <v>911182.85140072752</v>
      </c>
      <c r="CU9" s="72">
        <f>'Fuel Vol and Credit Gen'!CU55</f>
        <v>898694.25978582213</v>
      </c>
      <c r="CV9" s="72">
        <f>'Fuel Vol and Credit Gen'!CV55</f>
        <v>936508.9599769112</v>
      </c>
      <c r="CW9" s="72">
        <f>'Fuel Vol and Credit Gen'!CW55</f>
        <v>979486.27762008493</v>
      </c>
      <c r="CX9" s="72">
        <f>'Fuel Vol and Credit Gen'!CX55</f>
        <v>909749.46020003711</v>
      </c>
      <c r="CY9" s="72">
        <f>'Fuel Vol and Credit Gen'!CY55</f>
        <v>897546.51626975765</v>
      </c>
      <c r="CZ9" s="72">
        <f>'Fuel Vol and Credit Gen'!CZ55</f>
        <v>935744.46006825753</v>
      </c>
      <c r="DA9" s="72">
        <f>'Fuel Vol and Credit Gen'!DA55</f>
        <v>979246.38812874688</v>
      </c>
      <c r="DB9" s="72">
        <f>'Fuel Vol and Credit Gen'!DB55</f>
        <v>909831.82601504319</v>
      </c>
      <c r="DC9" s="72">
        <f>'Fuel Vol and Credit Gen'!DC55</f>
        <v>897947.92197483964</v>
      </c>
      <c r="DD9" s="72">
        <f>'Fuel Vol and Credit Gen'!DD55</f>
        <v>936191.46823726268</v>
      </c>
      <c r="DE9" s="72">
        <f>'Fuel Vol and Credit Gen'!DE55</f>
        <v>979903.93730137264</v>
      </c>
      <c r="DF9" s="72">
        <f>'Fuel Vol and Credit Gen'!DF55</f>
        <v>910800.21359383001</v>
      </c>
      <c r="DG9" s="72">
        <f>'Fuel Vol and Credit Gen'!DG55</f>
        <v>899073.64062061661</v>
      </c>
      <c r="DH9" s="72">
        <f>'Fuel Vol and Credit Gen'!DH55</f>
        <v>937139.73042181972</v>
      </c>
      <c r="DI9" s="72">
        <f>'Fuel Vol and Credit Gen'!DI55</f>
        <v>980674.38036505389</v>
      </c>
      <c r="DJ9" s="72">
        <f>'Fuel Vol and Credit Gen'!DJ55</f>
        <v>911538.77118675457</v>
      </c>
      <c r="DK9" s="72">
        <f>'Fuel Vol and Credit Gen'!DK55</f>
        <v>899674.88277000142</v>
      </c>
      <c r="DL9" s="72">
        <f>'Fuel Vol and Credit Gen'!DL55</f>
        <v>937558.0158984313</v>
      </c>
      <c r="DM9" s="72">
        <f>'Fuel Vol and Credit Gen'!DM55</f>
        <v>980768.80152223818</v>
      </c>
      <c r="DN9" s="72">
        <f>'Fuel Vol and Credit Gen'!DN55</f>
        <v>911591.75821749563</v>
      </c>
      <c r="DO9" s="72">
        <f>'Fuel Vol and Credit Gen'!DO55</f>
        <v>899570.00903258007</v>
      </c>
      <c r="DP9" s="72">
        <f>'Fuel Vol and Credit Gen'!DP55</f>
        <v>937431.10915550299</v>
      </c>
      <c r="DQ9" s="72">
        <f>'Fuel Vol and Credit Gen'!DQ55</f>
        <v>980584.70941361459</v>
      </c>
      <c r="DR9" s="72">
        <f>'Fuel Vol and Credit Gen'!DR55</f>
        <v>911196.18532046443</v>
      </c>
      <c r="DS9" s="72">
        <f>'Fuel Vol and Credit Gen'!DS55</f>
        <v>899090.00293461035</v>
      </c>
      <c r="DT9" s="72">
        <f>'Fuel Vol and Credit Gen'!DT55</f>
        <v>937006.21547634597</v>
      </c>
      <c r="DU9" s="72">
        <f>'Fuel Vol and Credit Gen'!DU55</f>
        <v>980177.91369257367</v>
      </c>
      <c r="DV9" s="72">
        <f>'Fuel Vol and Credit Gen'!DV55</f>
        <v>910859.08336264291</v>
      </c>
      <c r="DW9" s="72">
        <f>'Fuel Vol and Credit Gen'!DW55</f>
        <v>898816.83349778131</v>
      </c>
      <c r="DX9" s="72">
        <f>'Fuel Vol and Credit Gen'!DX55</f>
        <v>936806.34734811389</v>
      </c>
      <c r="DY9" s="72">
        <f>'Fuel Vol and Credit Gen'!DY55</f>
        <v>980121.75223904895</v>
      </c>
      <c r="DZ9" s="72">
        <f>'Fuel Vol and Credit Gen'!DZ55</f>
        <v>980119.41872116318</v>
      </c>
    </row>
    <row r="10" spans="1:130" x14ac:dyDescent="0.2">
      <c r="A10" s="39" t="s">
        <v>76</v>
      </c>
      <c r="B10" s="39" t="s">
        <v>170</v>
      </c>
      <c r="C10" s="70">
        <v>12300</v>
      </c>
      <c r="D10" s="70">
        <v>21555</v>
      </c>
      <c r="E10" s="70">
        <v>22424</v>
      </c>
      <c r="F10" s="70">
        <v>27988</v>
      </c>
      <c r="G10" s="70">
        <v>35382</v>
      </c>
      <c r="H10" s="70">
        <v>41919</v>
      </c>
      <c r="I10" s="70">
        <v>34052</v>
      </c>
      <c r="J10" s="70">
        <v>37994</v>
      </c>
      <c r="K10" s="70">
        <v>47386</v>
      </c>
      <c r="L10" s="70">
        <v>123072</v>
      </c>
      <c r="M10" s="70">
        <v>130475</v>
      </c>
      <c r="N10" s="70">
        <v>265737</v>
      </c>
      <c r="O10" s="70">
        <v>169218</v>
      </c>
      <c r="P10" s="70">
        <v>183308</v>
      </c>
      <c r="Q10" s="70">
        <v>154934</v>
      </c>
      <c r="R10" s="70">
        <v>210540</v>
      </c>
      <c r="S10" s="70">
        <v>195615</v>
      </c>
      <c r="T10" s="70">
        <v>287973</v>
      </c>
      <c r="U10" s="70">
        <v>364501</v>
      </c>
      <c r="V10" s="70">
        <v>365821</v>
      </c>
      <c r="W10" s="70">
        <v>322607</v>
      </c>
      <c r="X10" s="70">
        <v>392318</v>
      </c>
      <c r="Y10" s="70">
        <v>470922</v>
      </c>
      <c r="Z10" s="70">
        <v>550936</v>
      </c>
      <c r="AA10" s="70">
        <v>306640</v>
      </c>
      <c r="AB10" s="70">
        <v>321909</v>
      </c>
      <c r="AC10" s="70">
        <v>393587</v>
      </c>
      <c r="AD10" s="70">
        <v>357603</v>
      </c>
      <c r="AE10" s="70">
        <v>306337</v>
      </c>
      <c r="AF10" s="70">
        <v>357508</v>
      </c>
      <c r="AG10" s="70">
        <v>442007</v>
      </c>
      <c r="AH10" s="70">
        <v>500702</v>
      </c>
      <c r="AI10" s="70">
        <v>347140</v>
      </c>
      <c r="AJ10" s="70">
        <v>490163</v>
      </c>
      <c r="AK10" s="70">
        <v>506350</v>
      </c>
      <c r="AL10" s="70">
        <v>487437</v>
      </c>
      <c r="AM10" s="70">
        <v>477797</v>
      </c>
      <c r="AN10" s="70">
        <v>492495</v>
      </c>
      <c r="AO10" s="70">
        <v>592296</v>
      </c>
      <c r="AP10" s="70">
        <v>650739</v>
      </c>
      <c r="AQ10" s="70">
        <v>479642</v>
      </c>
      <c r="AR10" s="70">
        <v>622767</v>
      </c>
      <c r="AS10" s="70">
        <v>622949</v>
      </c>
      <c r="AT10" s="70">
        <v>585241</v>
      </c>
      <c r="AU10" s="70">
        <v>565021</v>
      </c>
      <c r="AV10" s="71">
        <v>533220</v>
      </c>
      <c r="AW10" s="71">
        <v>563916</v>
      </c>
      <c r="AX10" s="71">
        <v>542391</v>
      </c>
      <c r="AY10" s="71">
        <v>493424</v>
      </c>
      <c r="AZ10" s="71">
        <v>468031</v>
      </c>
      <c r="BA10" s="71">
        <v>497047</v>
      </c>
      <c r="BB10" s="71">
        <v>511698</v>
      </c>
      <c r="BC10" s="71">
        <v>460829</v>
      </c>
      <c r="BD10" s="71">
        <v>440431</v>
      </c>
      <c r="BE10" s="71">
        <f>'Fuel Vol and Credit Gen'!BE56</f>
        <v>441762</v>
      </c>
      <c r="BF10" s="72">
        <f>'Fuel Vol and Credit Gen'!BF56</f>
        <v>443691.89065316104</v>
      </c>
      <c r="BG10" s="72">
        <f>'Fuel Vol and Credit Gen'!BG56</f>
        <v>612296.88153465348</v>
      </c>
      <c r="BH10" s="72">
        <f>'Fuel Vol and Credit Gen'!BH56</f>
        <v>408217.63764407922</v>
      </c>
      <c r="BI10" s="72">
        <f>'Fuel Vol and Credit Gen'!BI56</f>
        <v>433615.74335353065</v>
      </c>
      <c r="BJ10" s="72">
        <f>'Fuel Vol and Credit Gen'!BJ56</f>
        <v>465516.42175417609</v>
      </c>
      <c r="BK10" s="72">
        <f>'Fuel Vol and Credit Gen'!BK56</f>
        <v>492305.33007494558</v>
      </c>
      <c r="BL10" s="72">
        <f>'Fuel Vol and Credit Gen'!BL56</f>
        <v>429771.8301059872</v>
      </c>
      <c r="BM10" s="72">
        <f>'Fuel Vol and Credit Gen'!BM56</f>
        <v>463938.71811127948</v>
      </c>
      <c r="BN10" s="72">
        <f>'Fuel Vol and Credit Gen'!BN56</f>
        <v>541850.26966672996</v>
      </c>
      <c r="BO10" s="72">
        <f>'Fuel Vol and Credit Gen'!BO56</f>
        <v>517096.27564883977</v>
      </c>
      <c r="BP10" s="72">
        <f>'Fuel Vol and Credit Gen'!BP56</f>
        <v>410217.65285773267</v>
      </c>
      <c r="BQ10" s="72">
        <f>'Fuel Vol and Credit Gen'!BQ56</f>
        <v>446282.43154530844</v>
      </c>
      <c r="BR10" s="72">
        <f>'Fuel Vol and Credit Gen'!BR56</f>
        <v>557535.36443050229</v>
      </c>
      <c r="BS10" s="72">
        <f>'Fuel Vol and Credit Gen'!BS56</f>
        <v>541851.28925182042</v>
      </c>
      <c r="BT10" s="72">
        <f>'Fuel Vol and Credit Gen'!BT56</f>
        <v>238373.14918089932</v>
      </c>
      <c r="BU10" s="72">
        <f>'Fuel Vol and Credit Gen'!BU56</f>
        <v>279798.35308109014</v>
      </c>
      <c r="BV10" s="72">
        <f>'Fuel Vol and Credit Gen'!BV56</f>
        <v>607852.89258380746</v>
      </c>
      <c r="BW10" s="72">
        <f>'Fuel Vol and Credit Gen'!BW56</f>
        <v>507838.73722739721</v>
      </c>
      <c r="BX10" s="72">
        <f>'Fuel Vol and Credit Gen'!BX56</f>
        <v>342529.87073927565</v>
      </c>
      <c r="BY10" s="72">
        <f>'Fuel Vol and Credit Gen'!BY56</f>
        <v>377567.45681102976</v>
      </c>
      <c r="BZ10" s="72">
        <f>'Fuel Vol and Credit Gen'!BZ56</f>
        <v>541898.37603260856</v>
      </c>
      <c r="CA10" s="72">
        <f>'Fuel Vol and Credit Gen'!CA56</f>
        <v>496827.6642972994</v>
      </c>
      <c r="CB10" s="72">
        <f>'Fuel Vol and Credit Gen'!CB56</f>
        <v>359135.28545339656</v>
      </c>
      <c r="CC10" s="72">
        <f>'Fuel Vol and Credit Gen'!CC56</f>
        <v>394117.65570139769</v>
      </c>
      <c r="CD10" s="72">
        <f>'Fuel Vol and Credit Gen'!CD56</f>
        <v>627139.71736826305</v>
      </c>
      <c r="CE10" s="72">
        <f>'Fuel Vol and Credit Gen'!CE56</f>
        <v>482580.08386245655</v>
      </c>
      <c r="CF10" s="72">
        <f>'Fuel Vol and Credit Gen'!CF56</f>
        <v>384243.16989100509</v>
      </c>
      <c r="CG10" s="72">
        <f>'Fuel Vol and Credit Gen'!CG56</f>
        <v>393735.04380821058</v>
      </c>
      <c r="CH10" s="72">
        <f>'Fuel Vol and Credit Gen'!CH56</f>
        <v>603367.96969878138</v>
      </c>
      <c r="CI10" s="72">
        <f>'Fuel Vol and Credit Gen'!CI56</f>
        <v>493775.96481071162</v>
      </c>
      <c r="CJ10" s="72">
        <f>'Fuel Vol and Credit Gen'!CJ56</f>
        <v>397363.83344457281</v>
      </c>
      <c r="CK10" s="72">
        <f>'Fuel Vol and Credit Gen'!CK56</f>
        <v>431002.0106357669</v>
      </c>
      <c r="CL10" s="72">
        <f>'Fuel Vol and Credit Gen'!CL56</f>
        <v>569103.17024760204</v>
      </c>
      <c r="CM10" s="72">
        <f>'Fuel Vol and Credit Gen'!CM56</f>
        <v>511073.01517178671</v>
      </c>
      <c r="CN10" s="72">
        <f>'Fuel Vol and Credit Gen'!CN56</f>
        <v>350878.74015838274</v>
      </c>
      <c r="CO10" s="72">
        <f>'Fuel Vol and Credit Gen'!CO56</f>
        <v>418958.15898775443</v>
      </c>
      <c r="CP10" s="72">
        <f>'Fuel Vol and Credit Gen'!CP56</f>
        <v>597038.04863614577</v>
      </c>
      <c r="CQ10" s="72">
        <f>'Fuel Vol and Credit Gen'!CQ56</f>
        <v>520555.24305875151</v>
      </c>
      <c r="CR10" s="72">
        <f>'Fuel Vol and Credit Gen'!CR56</f>
        <v>339915.33655120071</v>
      </c>
      <c r="CS10" s="72">
        <f>'Fuel Vol and Credit Gen'!CS56</f>
        <v>406015.97751780821</v>
      </c>
      <c r="CT10" s="72">
        <f>'Fuel Vol and Credit Gen'!CT56</f>
        <v>604657.12668207847</v>
      </c>
      <c r="CU10" s="72">
        <f>'Fuel Vol and Credit Gen'!CU56</f>
        <v>525295.60292912531</v>
      </c>
      <c r="CV10" s="72">
        <f>'Fuel Vol and Credit Gen'!CV56</f>
        <v>315539.30066353851</v>
      </c>
      <c r="CW10" s="72">
        <f>'Fuel Vol and Credit Gen'!CW56</f>
        <v>379788.05753203505</v>
      </c>
      <c r="CX10" s="72">
        <f>'Fuel Vol and Credit Gen'!CX56</f>
        <v>612299.22803161282</v>
      </c>
      <c r="CY10" s="72">
        <f>'Fuel Vol and Credit Gen'!CY56</f>
        <v>562870.3616912982</v>
      </c>
      <c r="CZ10" s="72">
        <f>'Fuel Vol and Credit Gen'!CZ56</f>
        <v>216810.78608764851</v>
      </c>
      <c r="DA10" s="72">
        <f>'Fuel Vol and Credit Gen'!DA56</f>
        <v>354371.38109920733</v>
      </c>
      <c r="DB10" s="72">
        <f>'Fuel Vol and Credit Gen'!DB56</f>
        <v>619747.53459814866</v>
      </c>
      <c r="DC10" s="72">
        <f>'Fuel Vol and Credit Gen'!DC56</f>
        <v>618787.83883823571</v>
      </c>
      <c r="DD10" s="72">
        <f>'Fuel Vol and Credit Gen'!DD56</f>
        <v>112146.58125493531</v>
      </c>
      <c r="DE10" s="72">
        <f>'Fuel Vol and Credit Gen'!DE56</f>
        <v>323387.28883720259</v>
      </c>
      <c r="DF10" s="72">
        <f>'Fuel Vol and Credit Gen'!DF56</f>
        <v>632338.5491589813</v>
      </c>
      <c r="DG10" s="72">
        <f>'Fuel Vol and Credit Gen'!DG56</f>
        <v>634201.41126394796</v>
      </c>
      <c r="DH10" s="72">
        <f>'Fuel Vol and Credit Gen'!DH56</f>
        <v>99940.147705614014</v>
      </c>
      <c r="DI10" s="72">
        <f>'Fuel Vol and Credit Gen'!DI56</f>
        <v>330469.69632562716</v>
      </c>
      <c r="DJ10" s="72">
        <f>'Fuel Vol and Credit Gen'!DJ56</f>
        <v>641177.64340263791</v>
      </c>
      <c r="DK10" s="72">
        <f>'Fuel Vol and Credit Gen'!DK56</f>
        <v>677507.83588648774</v>
      </c>
      <c r="DL10" s="72">
        <f>'Fuel Vol and Credit Gen'!DL56</f>
        <v>23900.229357063799</v>
      </c>
      <c r="DM10" s="72">
        <f>'Fuel Vol and Credit Gen'!DM56</f>
        <v>309209.85821149591</v>
      </c>
      <c r="DN10" s="72">
        <f>'Fuel Vol and Credit Gen'!DN56</f>
        <v>655856.5561719602</v>
      </c>
      <c r="DO10" s="72">
        <f>'Fuel Vol and Credit Gen'!DO56</f>
        <v>752533.31751275365</v>
      </c>
      <c r="DP10" s="72">
        <f>'Fuel Vol and Credit Gen'!DP56</f>
        <v>0</v>
      </c>
      <c r="DQ10" s="72">
        <f>'Fuel Vol and Credit Gen'!DQ56</f>
        <v>283120.72981702792</v>
      </c>
      <c r="DR10" s="72">
        <f>'Fuel Vol and Credit Gen'!DR56</f>
        <v>667174.93794898014</v>
      </c>
      <c r="DS10" s="72">
        <f>'Fuel Vol and Credit Gen'!DS56</f>
        <v>667322.10550639988</v>
      </c>
      <c r="DT10" s="72">
        <f>'Fuel Vol and Credit Gen'!DT56</f>
        <v>667452.46394227631</v>
      </c>
      <c r="DU10" s="72">
        <f>'Fuel Vol and Credit Gen'!DU56</f>
        <v>667152.83566134283</v>
      </c>
      <c r="DV10" s="72">
        <f>'Fuel Vol and Credit Gen'!DV56</f>
        <v>667110.92929825431</v>
      </c>
      <c r="DW10" s="72">
        <f>'Fuel Vol and Credit Gen'!DW56</f>
        <v>667278.91516287683</v>
      </c>
      <c r="DX10" s="72">
        <f>'Fuel Vol and Credit Gen'!DX56</f>
        <v>667441.85073455749</v>
      </c>
      <c r="DY10" s="72">
        <f>'Fuel Vol and Credit Gen'!DY56</f>
        <v>667213.49927482009</v>
      </c>
      <c r="DZ10" s="72">
        <f>'Fuel Vol and Credit Gen'!DZ56</f>
        <v>667208.89904350997</v>
      </c>
    </row>
    <row r="11" spans="1:130" x14ac:dyDescent="0.2">
      <c r="A11" s="39" t="s">
        <v>77</v>
      </c>
      <c r="B11" s="39" t="s">
        <v>170</v>
      </c>
      <c r="C11" s="70">
        <v>3070</v>
      </c>
      <c r="D11" s="70">
        <v>3368</v>
      </c>
      <c r="E11" s="70">
        <v>4362</v>
      </c>
      <c r="F11" s="70">
        <v>6220</v>
      </c>
      <c r="G11" s="70">
        <v>6701</v>
      </c>
      <c r="H11" s="70">
        <v>6804</v>
      </c>
      <c r="I11" s="70">
        <v>7938</v>
      </c>
      <c r="J11" s="70">
        <v>51216</v>
      </c>
      <c r="K11" s="70">
        <v>64445</v>
      </c>
      <c r="L11" s="70">
        <v>178293</v>
      </c>
      <c r="M11" s="70">
        <v>288998</v>
      </c>
      <c r="N11" s="70">
        <v>258193</v>
      </c>
      <c r="O11" s="70">
        <v>192407</v>
      </c>
      <c r="P11" s="70">
        <v>211004</v>
      </c>
      <c r="Q11" s="70">
        <v>260522</v>
      </c>
      <c r="R11" s="70">
        <v>181046</v>
      </c>
      <c r="S11" s="70">
        <v>204352</v>
      </c>
      <c r="T11" s="70">
        <v>240167</v>
      </c>
      <c r="U11" s="70">
        <v>298591</v>
      </c>
      <c r="V11" s="70">
        <v>295061</v>
      </c>
      <c r="W11" s="70">
        <v>274568</v>
      </c>
      <c r="X11" s="70">
        <v>670559</v>
      </c>
      <c r="Y11" s="70">
        <v>577586</v>
      </c>
      <c r="Z11" s="70">
        <v>718504</v>
      </c>
      <c r="AA11" s="70">
        <v>610652</v>
      </c>
      <c r="AB11" s="70">
        <v>835625</v>
      </c>
      <c r="AC11" s="70">
        <v>844159</v>
      </c>
      <c r="AD11" s="70">
        <v>676294</v>
      </c>
      <c r="AE11" s="70">
        <v>822711</v>
      </c>
      <c r="AF11" s="70">
        <v>904125</v>
      </c>
      <c r="AG11" s="70">
        <v>684773</v>
      </c>
      <c r="AH11" s="70">
        <v>1073782</v>
      </c>
      <c r="AI11" s="70">
        <v>1195556</v>
      </c>
      <c r="AJ11" s="70">
        <v>1245746</v>
      </c>
      <c r="AK11" s="70">
        <v>1056305</v>
      </c>
      <c r="AL11" s="70">
        <v>1282920</v>
      </c>
      <c r="AM11" s="70">
        <v>1033279</v>
      </c>
      <c r="AN11" s="70">
        <v>1141074</v>
      </c>
      <c r="AO11" s="70">
        <v>1104970</v>
      </c>
      <c r="AP11" s="70">
        <v>1291977</v>
      </c>
      <c r="AQ11" s="70">
        <v>1432647</v>
      </c>
      <c r="AR11" s="70">
        <v>1503734</v>
      </c>
      <c r="AS11" s="70">
        <v>1724236</v>
      </c>
      <c r="AT11" s="70">
        <v>1895846</v>
      </c>
      <c r="AU11" s="70">
        <v>2222870</v>
      </c>
      <c r="AV11" s="71">
        <v>2447051</v>
      </c>
      <c r="AW11" s="71">
        <v>2389803</v>
      </c>
      <c r="AX11" s="71">
        <v>2557211</v>
      </c>
      <c r="AY11" s="71">
        <v>2504078</v>
      </c>
      <c r="AZ11" s="71">
        <v>2847161</v>
      </c>
      <c r="BA11" s="71">
        <v>3182501</v>
      </c>
      <c r="BB11" s="71">
        <v>3395112</v>
      </c>
      <c r="BC11" s="71">
        <v>3149540</v>
      </c>
      <c r="BD11" s="71">
        <v>3492934</v>
      </c>
      <c r="BE11" s="71">
        <f>'Fuel Vol and Credit Gen'!BE57</f>
        <v>3875405</v>
      </c>
      <c r="BF11" s="72">
        <f>'Fuel Vol and Credit Gen'!BF57</f>
        <v>3474023.0076604788</v>
      </c>
      <c r="BG11" s="72">
        <f>'Fuel Vol and Credit Gen'!BG57</f>
        <v>2756924.0458533536</v>
      </c>
      <c r="BH11" s="72">
        <f>'Fuel Vol and Credit Gen'!BH57</f>
        <v>2793118.906153128</v>
      </c>
      <c r="BI11" s="72">
        <f>'Fuel Vol and Credit Gen'!BI57</f>
        <v>3506334.0418863702</v>
      </c>
      <c r="BJ11" s="72">
        <f>'Fuel Vol and Credit Gen'!BJ57</f>
        <v>3247958.0767375478</v>
      </c>
      <c r="BK11" s="72">
        <f>'Fuel Vol and Credit Gen'!BK57</f>
        <v>2724166.7105000308</v>
      </c>
      <c r="BL11" s="72">
        <f>'Fuel Vol and Credit Gen'!BL57</f>
        <v>2973159.4002919765</v>
      </c>
      <c r="BM11" s="72">
        <f>'Fuel Vol and Credit Gen'!BM57</f>
        <v>3079811.0989782619</v>
      </c>
      <c r="BN11" s="72">
        <f>'Fuel Vol and Credit Gen'!BN57</f>
        <v>3573334.9338669255</v>
      </c>
      <c r="BO11" s="72">
        <f>'Fuel Vol and Credit Gen'!BO57</f>
        <v>2902822.9942377661</v>
      </c>
      <c r="BP11" s="72">
        <f>'Fuel Vol and Credit Gen'!BP57</f>
        <v>3178674.3539646869</v>
      </c>
      <c r="BQ11" s="72">
        <f>'Fuel Vol and Credit Gen'!BQ57</f>
        <v>3281787.7093463028</v>
      </c>
      <c r="BR11" s="72">
        <f>'Fuel Vol and Credit Gen'!BR57</f>
        <v>3850062.082383228</v>
      </c>
      <c r="BS11" s="72">
        <f>'Fuel Vol and Credit Gen'!BS57</f>
        <v>2742439.2233245946</v>
      </c>
      <c r="BT11" s="72">
        <f>'Fuel Vol and Credit Gen'!BT57</f>
        <v>2966468.0362123</v>
      </c>
      <c r="BU11" s="72">
        <f>'Fuel Vol and Credit Gen'!BU57</f>
        <v>3172288.9803307382</v>
      </c>
      <c r="BV11" s="72">
        <f>'Fuel Vol and Credit Gen'!BV57</f>
        <v>3651527.91623906</v>
      </c>
      <c r="BW11" s="72">
        <f>'Fuel Vol and Credit Gen'!BW57</f>
        <v>2780378.6130446061</v>
      </c>
      <c r="BX11" s="72">
        <f>'Fuel Vol and Credit Gen'!BX57</f>
        <v>2992670.862442804</v>
      </c>
      <c r="BY11" s="72">
        <f>'Fuel Vol and Credit Gen'!BY57</f>
        <v>3189695.8507544422</v>
      </c>
      <c r="BZ11" s="72">
        <f>'Fuel Vol and Credit Gen'!BZ57</f>
        <v>3646801.0229832302</v>
      </c>
      <c r="CA11" s="72">
        <f>'Fuel Vol and Credit Gen'!CA57</f>
        <v>2859970.3291270207</v>
      </c>
      <c r="CB11" s="72">
        <f>'Fuel Vol and Credit Gen'!CB57</f>
        <v>3083278.5949517856</v>
      </c>
      <c r="CC11" s="72">
        <f>'Fuel Vol and Credit Gen'!CC57</f>
        <v>3204022.0391424708</v>
      </c>
      <c r="CD11" s="72">
        <f>'Fuel Vol and Credit Gen'!CD57</f>
        <v>3830872.8829032336</v>
      </c>
      <c r="CE11" s="72">
        <f>'Fuel Vol and Credit Gen'!CE57</f>
        <v>3009710.0970781059</v>
      </c>
      <c r="CF11" s="72">
        <f>'Fuel Vol and Credit Gen'!CF57</f>
        <v>3296134.8833645796</v>
      </c>
      <c r="CG11" s="72">
        <f>'Fuel Vol and Credit Gen'!CG57</f>
        <v>3162944.7399037727</v>
      </c>
      <c r="CH11" s="72">
        <f>'Fuel Vol and Credit Gen'!CH57</f>
        <v>4105295.4952768143</v>
      </c>
      <c r="CI11" s="72">
        <f>'Fuel Vol and Credit Gen'!CI57</f>
        <v>3416993.5707273297</v>
      </c>
      <c r="CJ11" s="72">
        <f>'Fuel Vol and Credit Gen'!CJ57</f>
        <v>3790365.5984110101</v>
      </c>
      <c r="CK11" s="72">
        <f>'Fuel Vol and Credit Gen'!CK57</f>
        <v>2948797.1251852135</v>
      </c>
      <c r="CL11" s="72">
        <f>'Fuel Vol and Credit Gen'!CL57</f>
        <v>4786718.5390379168</v>
      </c>
      <c r="CM11" s="72">
        <f>'Fuel Vol and Credit Gen'!CM57</f>
        <v>3403908.3671925119</v>
      </c>
      <c r="CN11" s="72">
        <f>'Fuel Vol and Credit Gen'!CN57</f>
        <v>3770905.6432463359</v>
      </c>
      <c r="CO11" s="72">
        <f>'Fuel Vol and Credit Gen'!CO57</f>
        <v>3009996.216674584</v>
      </c>
      <c r="CP11" s="72">
        <f>'Fuel Vol and Credit Gen'!CP57</f>
        <v>4762255.0325168464</v>
      </c>
      <c r="CQ11" s="72">
        <f>'Fuel Vol and Credit Gen'!CQ57</f>
        <v>3334524.3998619337</v>
      </c>
      <c r="CR11" s="72">
        <f>'Fuel Vol and Credit Gen'!CR57</f>
        <v>3684187.6006984301</v>
      </c>
      <c r="CS11" s="72">
        <f>'Fuel Vol and Credit Gen'!CS57</f>
        <v>3018804.9537729304</v>
      </c>
      <c r="CT11" s="72">
        <f>'Fuel Vol and Credit Gen'!CT57</f>
        <v>4641242.3595377756</v>
      </c>
      <c r="CU11" s="72">
        <f>'Fuel Vol and Credit Gen'!CU57</f>
        <v>3577864.5050334288</v>
      </c>
      <c r="CV11" s="72">
        <f>'Fuel Vol and Credit Gen'!CV57</f>
        <v>4014285.7718361584</v>
      </c>
      <c r="CW11" s="72">
        <f>'Fuel Vol and Credit Gen'!CW57</f>
        <v>2944544.4037750755</v>
      </c>
      <c r="CX11" s="72">
        <f>'Fuel Vol and Credit Gen'!CX57</f>
        <v>5027233.7822620142</v>
      </c>
      <c r="CY11" s="72">
        <f>'Fuel Vol and Credit Gen'!CY57</f>
        <v>3727050.6606974495</v>
      </c>
      <c r="CZ11" s="72">
        <f>'Fuel Vol and Credit Gen'!CZ57</f>
        <v>4182729.1888334001</v>
      </c>
      <c r="DA11" s="72">
        <f>'Fuel Vol and Credit Gen'!DA57</f>
        <v>2880050.8523975243</v>
      </c>
      <c r="DB11" s="72">
        <f>'Fuel Vol and Credit Gen'!DB57</f>
        <v>5301398.4949455317</v>
      </c>
      <c r="DC11" s="72">
        <f>'Fuel Vol and Credit Gen'!DC57</f>
        <v>4101116.6816452229</v>
      </c>
      <c r="DD11" s="72">
        <f>'Fuel Vol and Credit Gen'!DD57</f>
        <v>4641395.0971551398</v>
      </c>
      <c r="DE11" s="72">
        <f>'Fuel Vol and Credit Gen'!DE57</f>
        <v>2719426.2182672713</v>
      </c>
      <c r="DF11" s="72">
        <f>'Fuel Vol and Credit Gen'!DF57</f>
        <v>5936402.5386884324</v>
      </c>
      <c r="DG11" s="72">
        <f>'Fuel Vol and Credit Gen'!DG57</f>
        <v>4432581.9473261032</v>
      </c>
      <c r="DH11" s="72">
        <f>'Fuel Vol and Credit Gen'!DH57</f>
        <v>5047020.4232511595</v>
      </c>
      <c r="DI11" s="72">
        <f>'Fuel Vol and Credit Gen'!DI57</f>
        <v>2584934.2601429541</v>
      </c>
      <c r="DJ11" s="72">
        <f>'Fuel Vol and Credit Gen'!DJ57</f>
        <v>6493403.7865617275</v>
      </c>
      <c r="DK11" s="72">
        <f>'Fuel Vol and Credit Gen'!DK57</f>
        <v>4444234.0132100843</v>
      </c>
      <c r="DL11" s="72">
        <f>'Fuel Vol and Credit Gen'!DL57</f>
        <v>5061590.9798877472</v>
      </c>
      <c r="DM11" s="72">
        <f>'Fuel Vol and Credit Gen'!DM57</f>
        <v>2584799.6392165148</v>
      </c>
      <c r="DN11" s="72">
        <f>'Fuel Vol and Credit Gen'!DN57</f>
        <v>6510202.4770739339</v>
      </c>
      <c r="DO11" s="72">
        <f>'Fuel Vol and Credit Gen'!DO57</f>
        <v>4018332.9352175673</v>
      </c>
      <c r="DP11" s="72">
        <f>'Fuel Vol and Credit Gen'!DP57</f>
        <v>4534784.3401750829</v>
      </c>
      <c r="DQ11" s="72">
        <f>'Fuel Vol and Credit Gen'!DQ57</f>
        <v>2754800.0549992407</v>
      </c>
      <c r="DR11" s="72">
        <f>'Fuel Vol and Credit Gen'!DR57</f>
        <v>5785386.0996051347</v>
      </c>
      <c r="DS11" s="72">
        <f>'Fuel Vol and Credit Gen'!DS57</f>
        <v>5785368.9716586526</v>
      </c>
      <c r="DT11" s="72">
        <f>'Fuel Vol and Credit Gen'!DT57</f>
        <v>5785362.4416975137</v>
      </c>
      <c r="DU11" s="72">
        <f>'Fuel Vol and Credit Gen'!DU57</f>
        <v>5785286.3188554514</v>
      </c>
      <c r="DV11" s="72">
        <f>'Fuel Vol and Credit Gen'!DV57</f>
        <v>5785287.7782981377</v>
      </c>
      <c r="DW11" s="72">
        <f>'Fuel Vol and Credit Gen'!DW57</f>
        <v>5785279.4523327798</v>
      </c>
      <c r="DX11" s="72">
        <f>'Fuel Vol and Credit Gen'!DX57</f>
        <v>5785282.3137739319</v>
      </c>
      <c r="DY11" s="72">
        <f>'Fuel Vol and Credit Gen'!DY57</f>
        <v>5785272.0896774381</v>
      </c>
      <c r="DZ11" s="72">
        <f>'Fuel Vol and Credit Gen'!DZ57</f>
        <v>5785269.6583159268</v>
      </c>
    </row>
    <row r="12" spans="1:130" x14ac:dyDescent="0.2">
      <c r="A12" s="39" t="s">
        <v>78</v>
      </c>
      <c r="B12" s="39" t="s">
        <v>170</v>
      </c>
      <c r="C12" s="70">
        <v>0</v>
      </c>
      <c r="D12" s="70">
        <v>0</v>
      </c>
      <c r="E12" s="70">
        <v>0</v>
      </c>
      <c r="F12" s="70">
        <v>0</v>
      </c>
      <c r="G12" s="70">
        <v>0</v>
      </c>
      <c r="H12" s="70">
        <v>0</v>
      </c>
      <c r="I12" s="70">
        <v>0</v>
      </c>
      <c r="J12" s="70">
        <v>0</v>
      </c>
      <c r="K12" s="70">
        <v>0</v>
      </c>
      <c r="L12" s="70">
        <v>0</v>
      </c>
      <c r="M12" s="70">
        <v>0</v>
      </c>
      <c r="N12" s="70">
        <v>0</v>
      </c>
      <c r="O12" s="70">
        <v>0</v>
      </c>
      <c r="P12" s="70">
        <v>0</v>
      </c>
      <c r="Q12" s="70">
        <v>0</v>
      </c>
      <c r="R12" s="70">
        <v>0</v>
      </c>
      <c r="S12" s="70">
        <v>0</v>
      </c>
      <c r="T12" s="70">
        <v>0</v>
      </c>
      <c r="U12" s="70">
        <v>0</v>
      </c>
      <c r="V12" s="70">
        <v>0</v>
      </c>
      <c r="W12" s="70">
        <v>0</v>
      </c>
      <c r="X12" s="70">
        <v>0</v>
      </c>
      <c r="Y12" s="70">
        <v>0</v>
      </c>
      <c r="Z12" s="70">
        <v>0</v>
      </c>
      <c r="AA12" s="70">
        <v>0</v>
      </c>
      <c r="AB12" s="70">
        <v>0</v>
      </c>
      <c r="AC12" s="70">
        <v>0</v>
      </c>
      <c r="AD12" s="70">
        <v>0</v>
      </c>
      <c r="AE12" s="70">
        <v>0</v>
      </c>
      <c r="AF12" s="70">
        <v>0</v>
      </c>
      <c r="AG12" s="70">
        <v>0</v>
      </c>
      <c r="AH12" s="70">
        <v>0</v>
      </c>
      <c r="AI12" s="70">
        <v>0</v>
      </c>
      <c r="AJ12" s="70">
        <v>3600</v>
      </c>
      <c r="AK12" s="70">
        <v>4579</v>
      </c>
      <c r="AL12" s="70">
        <v>2924</v>
      </c>
      <c r="AM12" s="70">
        <v>2082</v>
      </c>
      <c r="AN12" s="70">
        <v>7042</v>
      </c>
      <c r="AO12" s="70">
        <v>14000</v>
      </c>
      <c r="AP12" s="70">
        <v>4613</v>
      </c>
      <c r="AQ12" s="70">
        <v>7331</v>
      </c>
      <c r="AR12" s="70">
        <v>15656</v>
      </c>
      <c r="AS12" s="70">
        <v>10428</v>
      </c>
      <c r="AT12" s="70">
        <v>19089</v>
      </c>
      <c r="AU12" s="70">
        <v>8458</v>
      </c>
      <c r="AV12" s="71">
        <v>27321</v>
      </c>
      <c r="AW12" s="71">
        <v>24234</v>
      </c>
      <c r="AX12" s="71">
        <v>9549</v>
      </c>
      <c r="AY12" s="71">
        <v>24919</v>
      </c>
      <c r="AZ12" s="71">
        <v>37258</v>
      </c>
      <c r="BA12" s="71">
        <v>22647</v>
      </c>
      <c r="BB12" s="71">
        <v>37508</v>
      </c>
      <c r="BC12" s="71">
        <v>59320</v>
      </c>
      <c r="BD12" s="71">
        <v>122696</v>
      </c>
      <c r="BE12" s="71">
        <f>'Fuel Vol and Credit Gen'!BE58</f>
        <v>126286</v>
      </c>
      <c r="BF12" s="72">
        <f>'Fuel Vol and Credit Gen'!BF58</f>
        <v>19811.245973902656</v>
      </c>
      <c r="BG12" s="72">
        <f>'Fuel Vol and Credit Gen'!BG58</f>
        <v>121001.89543839506</v>
      </c>
      <c r="BH12" s="72">
        <f>'Fuel Vol and Credit Gen'!BH58</f>
        <v>168461.20101312015</v>
      </c>
      <c r="BI12" s="72">
        <f>'Fuel Vol and Credit Gen'!BI58</f>
        <v>218538.35852303909</v>
      </c>
      <c r="BJ12" s="72">
        <f>'Fuel Vol and Credit Gen'!BJ58</f>
        <v>60742.571057554407</v>
      </c>
      <c r="BK12" s="72">
        <f>'Fuel Vol and Credit Gen'!BK58</f>
        <v>530568.4018719634</v>
      </c>
      <c r="BL12" s="72">
        <f>'Fuel Vol and Credit Gen'!BL58</f>
        <v>619038.68770285661</v>
      </c>
      <c r="BM12" s="72">
        <f>'Fuel Vol and Credit Gen'!BM58</f>
        <v>837418.67573253077</v>
      </c>
      <c r="BN12" s="72">
        <f>'Fuel Vol and Credit Gen'!BN58</f>
        <v>203536.3777337138</v>
      </c>
      <c r="BO12" s="72">
        <f>'Fuel Vol and Credit Gen'!BO58</f>
        <v>1369538.0067958962</v>
      </c>
      <c r="BP12" s="72">
        <f>'Fuel Vol and Credit Gen'!BP58</f>
        <v>1591601.9619704732</v>
      </c>
      <c r="BQ12" s="72">
        <f>'Fuel Vol and Credit Gen'!BQ58</f>
        <v>2170296.467509218</v>
      </c>
      <c r="BR12" s="72">
        <f>'Fuel Vol and Credit Gen'!BR58</f>
        <v>504916.52817360428</v>
      </c>
      <c r="BS12" s="72">
        <f>'Fuel Vol and Credit Gen'!BS58</f>
        <v>1793800.967614142</v>
      </c>
      <c r="BT12" s="72">
        <f>'Fuel Vol and Credit Gen'!BT58</f>
        <v>2080894.512510119</v>
      </c>
      <c r="BU12" s="72">
        <f>'Fuel Vol and Credit Gen'!BU58</f>
        <v>2839229.0613978379</v>
      </c>
      <c r="BV12" s="72">
        <f>'Fuel Vol and Credit Gen'!BV58</f>
        <v>657108.74334387924</v>
      </c>
      <c r="BW12" s="72">
        <f>'Fuel Vol and Credit Gen'!BW58</f>
        <v>2151811.8995567146</v>
      </c>
      <c r="BX12" s="72">
        <f>'Fuel Vol and Credit Gen'!BX58</f>
        <v>2495233.6049584178</v>
      </c>
      <c r="BY12" s="72">
        <f>'Fuel Vol and Credit Gen'!BY58</f>
        <v>3404334.5104410411</v>
      </c>
      <c r="BZ12" s="72">
        <f>'Fuel Vol and Credit Gen'!BZ58</f>
        <v>779473.68288614391</v>
      </c>
      <c r="CA12" s="72">
        <f>'Fuel Vol and Credit Gen'!CA58</f>
        <v>2747116.662639467</v>
      </c>
      <c r="CB12" s="72">
        <f>'Fuel Vol and Credit Gen'!CB58</f>
        <v>3167302.2220728621</v>
      </c>
      <c r="CC12" s="72">
        <f>'Fuel Vol and Credit Gen'!CC58</f>
        <v>4322350.6070768973</v>
      </c>
      <c r="CD12" s="72">
        <f>'Fuel Vol and Credit Gen'!CD58</f>
        <v>990588.51516211545</v>
      </c>
      <c r="CE12" s="72">
        <f>'Fuel Vol and Credit Gen'!CE58</f>
        <v>3023182.969437643</v>
      </c>
      <c r="CF12" s="72">
        <f>'Fuel Vol and Credit Gen'!CF58</f>
        <v>3484839.1241345163</v>
      </c>
      <c r="CG12" s="72">
        <f>'Fuel Vol and Credit Gen'!CG58</f>
        <v>4757547.538499767</v>
      </c>
      <c r="CH12" s="72">
        <f>'Fuel Vol and Credit Gen'!CH58</f>
        <v>1092101.2649474868</v>
      </c>
      <c r="CI12" s="72">
        <f>'Fuel Vol and Credit Gen'!CI58</f>
        <v>3787333.364180068</v>
      </c>
      <c r="CJ12" s="72">
        <f>'Fuel Vol and Credit Gen'!CJ58</f>
        <v>4357057.5607194202</v>
      </c>
      <c r="CK12" s="72">
        <f>'Fuel Vol and Credit Gen'!CK58</f>
        <v>5950469.8531902982</v>
      </c>
      <c r="CL12" s="72">
        <f>'Fuel Vol and Credit Gen'!CL58</f>
        <v>1362559.3725597796</v>
      </c>
      <c r="CM12" s="72">
        <f>'Fuel Vol and Credit Gen'!CM58</f>
        <v>4051428.0523473253</v>
      </c>
      <c r="CN12" s="72">
        <f>'Fuel Vol and Credit Gen'!CN58</f>
        <v>4664691.1811808608</v>
      </c>
      <c r="CO12" s="72">
        <f>'Fuel Vol and Credit Gen'!CO58</f>
        <v>6372094.7132588429</v>
      </c>
      <c r="CP12" s="72">
        <f>'Fuel Vol and Credit Gen'!CP58</f>
        <v>1457787.7050790796</v>
      </c>
      <c r="CQ12" s="72">
        <f>'Fuel Vol and Credit Gen'!CQ58</f>
        <v>4445726.5963914692</v>
      </c>
      <c r="CR12" s="72">
        <f>'Fuel Vol and Credit Gen'!CR58</f>
        <v>5113410.6118925046</v>
      </c>
      <c r="CS12" s="72">
        <f>'Fuel Vol and Credit Gen'!CS58</f>
        <v>6984691.4269980956</v>
      </c>
      <c r="CT12" s="72">
        <f>'Fuel Vol and Credit Gen'!CT58</f>
        <v>1596451.1029718742</v>
      </c>
      <c r="CU12" s="72">
        <f>'Fuel Vol and Credit Gen'!CU58</f>
        <v>4660667.0992594473</v>
      </c>
      <c r="CV12" s="72">
        <f>'Fuel Vol and Credit Gen'!CV58</f>
        <v>5357916.5867403289</v>
      </c>
      <c r="CW12" s="72">
        <f>'Fuel Vol and Credit Gen'!CW58</f>
        <v>7318976.693710085</v>
      </c>
      <c r="CX12" s="72">
        <f>'Fuel Vol and Credit Gen'!CX58</f>
        <v>1673128.6496420314</v>
      </c>
      <c r="CY12" s="72">
        <f>'Fuel Vol and Credit Gen'!CY58</f>
        <v>3419228.9692843431</v>
      </c>
      <c r="CZ12" s="72">
        <f>'Fuel Vol and Credit Gen'!CZ58</f>
        <v>3938742.9924701429</v>
      </c>
      <c r="DA12" s="72">
        <f>'Fuel Vol and Credit Gen'!DA58</f>
        <v>5378892.3766528871</v>
      </c>
      <c r="DB12" s="72">
        <f>'Fuel Vol and Credit Gen'!DB58</f>
        <v>1231951.3742205112</v>
      </c>
      <c r="DC12" s="72">
        <f>'Fuel Vol and Credit Gen'!DC58</f>
        <v>3549074.5426124712</v>
      </c>
      <c r="DD12" s="72">
        <f>'Fuel Vol and Credit Gen'!DD58</f>
        <v>4087354.5593639864</v>
      </c>
      <c r="DE12" s="72">
        <f>'Fuel Vol and Credit Gen'!DE58</f>
        <v>5581929.7279917626</v>
      </c>
      <c r="DF12" s="72">
        <f>'Fuel Vol and Credit Gen'!DF58</f>
        <v>1278201.1388962422</v>
      </c>
      <c r="DG12" s="72">
        <f>'Fuel Vol and Credit Gen'!DG58</f>
        <v>3719174.3099485631</v>
      </c>
      <c r="DH12" s="72">
        <f>'Fuel Vol and Credit Gen'!DH58</f>
        <v>4281445.7668563975</v>
      </c>
      <c r="DI12" s="72">
        <f>'Fuel Vol and Credit Gen'!DI58</f>
        <v>5847007.4919015523</v>
      </c>
      <c r="DJ12" s="72">
        <f>'Fuel Vol and Credit Gen'!DJ58</f>
        <v>1339066.0820159246</v>
      </c>
      <c r="DK12" s="72">
        <f>'Fuel Vol and Credit Gen'!DK58</f>
        <v>3681433.2911355253</v>
      </c>
      <c r="DL12" s="72">
        <f>'Fuel Vol and Credit Gen'!DL58</f>
        <v>4237879.9656184586</v>
      </c>
      <c r="DM12" s="72">
        <f>'Fuel Vol and Credit Gen'!DM58</f>
        <v>5787579.8861610387</v>
      </c>
      <c r="DN12" s="72">
        <f>'Fuel Vol and Credit Gen'!DN58</f>
        <v>1325752.7094252214</v>
      </c>
      <c r="DO12" s="72">
        <f>'Fuel Vol and Credit Gen'!DO58</f>
        <v>4041105.5625052764</v>
      </c>
      <c r="DP12" s="72">
        <f>'Fuel Vol and Credit Gen'!DP58</f>
        <v>4649727.5235690642</v>
      </c>
      <c r="DQ12" s="72">
        <f>'Fuel Vol and Credit Gen'!DQ58</f>
        <v>6350979.1899348628</v>
      </c>
      <c r="DR12" s="72">
        <f>'Fuel Vol and Credit Gen'!DR58</f>
        <v>1453738.8867510965</v>
      </c>
      <c r="DS12" s="72">
        <f>'Fuel Vol and Credit Gen'!DS58</f>
        <v>1453738.8465049248</v>
      </c>
      <c r="DT12" s="72">
        <f>'Fuel Vol and Credit Gen'!DT58</f>
        <v>1453738.075806262</v>
      </c>
      <c r="DU12" s="72">
        <f>'Fuel Vol and Credit Gen'!DU58</f>
        <v>1453735.747963188</v>
      </c>
      <c r="DV12" s="72">
        <f>'Fuel Vol and Credit Gen'!DV58</f>
        <v>1453735.786068419</v>
      </c>
      <c r="DW12" s="72">
        <f>'Fuel Vol and Credit Gen'!DW58</f>
        <v>1453735.7986639326</v>
      </c>
      <c r="DX12" s="72">
        <f>'Fuel Vol and Credit Gen'!DX58</f>
        <v>1453735.3601274698</v>
      </c>
      <c r="DY12" s="72">
        <f>'Fuel Vol and Credit Gen'!DY58</f>
        <v>1453734.9339757462</v>
      </c>
      <c r="DZ12" s="72">
        <f>'Fuel Vol and Credit Gen'!DZ58</f>
        <v>1453734.9681107213</v>
      </c>
    </row>
    <row r="13" spans="1:130" x14ac:dyDescent="0.2">
      <c r="A13" s="39" t="s">
        <v>171</v>
      </c>
      <c r="B13" s="39" t="s">
        <v>170</v>
      </c>
      <c r="C13" s="70">
        <v>0</v>
      </c>
      <c r="D13" s="70">
        <v>0</v>
      </c>
      <c r="E13" s="70">
        <v>0</v>
      </c>
      <c r="F13" s="70">
        <v>0</v>
      </c>
      <c r="G13" s="70">
        <v>0</v>
      </c>
      <c r="H13" s="70">
        <v>0</v>
      </c>
      <c r="I13" s="70">
        <v>0</v>
      </c>
      <c r="J13" s="70">
        <v>0</v>
      </c>
      <c r="K13" s="70">
        <v>0</v>
      </c>
      <c r="L13" s="70">
        <v>0</v>
      </c>
      <c r="M13" s="70">
        <v>0</v>
      </c>
      <c r="N13" s="70">
        <v>0</v>
      </c>
      <c r="O13" s="70">
        <v>0</v>
      </c>
      <c r="P13" s="70">
        <v>0</v>
      </c>
      <c r="Q13" s="70">
        <v>0</v>
      </c>
      <c r="R13" s="70">
        <v>0</v>
      </c>
      <c r="S13" s="70">
        <v>0</v>
      </c>
      <c r="T13" s="70">
        <v>0</v>
      </c>
      <c r="U13" s="70">
        <v>0</v>
      </c>
      <c r="V13" s="70">
        <v>0</v>
      </c>
      <c r="W13" s="70">
        <v>0</v>
      </c>
      <c r="X13" s="70">
        <v>0</v>
      </c>
      <c r="Y13" s="70">
        <v>0</v>
      </c>
      <c r="Z13" s="70">
        <v>0</v>
      </c>
      <c r="AA13" s="70">
        <v>0</v>
      </c>
      <c r="AB13" s="70">
        <v>0</v>
      </c>
      <c r="AC13" s="70">
        <v>0</v>
      </c>
      <c r="AD13" s="70">
        <v>0</v>
      </c>
      <c r="AE13" s="70">
        <v>0</v>
      </c>
      <c r="AF13" s="70">
        <v>0</v>
      </c>
      <c r="AG13" s="70">
        <v>0</v>
      </c>
      <c r="AH13" s="70">
        <v>1082</v>
      </c>
      <c r="AI13" s="70">
        <v>679</v>
      </c>
      <c r="AJ13" s="70">
        <v>4236</v>
      </c>
      <c r="AK13" s="70">
        <v>1161</v>
      </c>
      <c r="AL13" s="70">
        <v>1942</v>
      </c>
      <c r="AM13" s="70">
        <v>2368</v>
      </c>
      <c r="AN13" s="70">
        <v>2338</v>
      </c>
      <c r="AO13" s="70">
        <v>6472</v>
      </c>
      <c r="AP13" s="70">
        <v>4743</v>
      </c>
      <c r="AQ13" s="70">
        <v>11377</v>
      </c>
      <c r="AR13" s="70">
        <v>15331</v>
      </c>
      <c r="AS13" s="70">
        <v>10413</v>
      </c>
      <c r="AT13" s="70">
        <v>12304</v>
      </c>
      <c r="AU13" s="70">
        <v>18282</v>
      </c>
      <c r="AV13" s="71">
        <v>28225</v>
      </c>
      <c r="AW13" s="71">
        <v>11198</v>
      </c>
      <c r="AX13" s="71">
        <v>13683</v>
      </c>
      <c r="AY13" s="71">
        <v>20275</v>
      </c>
      <c r="AZ13" s="71">
        <v>27898</v>
      </c>
      <c r="BA13" s="71">
        <v>41231</v>
      </c>
      <c r="BB13" s="71">
        <v>24252</v>
      </c>
      <c r="BC13" s="71">
        <v>25423</v>
      </c>
      <c r="BD13" s="71">
        <v>26532</v>
      </c>
      <c r="BE13" s="71">
        <f>'Fuel Vol and Credit Gen'!BE58</f>
        <v>126286</v>
      </c>
      <c r="BF13" s="72">
        <f>'Fuel Vol and Credit Gen'!BF58</f>
        <v>19811.245973902656</v>
      </c>
      <c r="BG13" s="72">
        <f>'Fuel Vol and Credit Gen'!BG58</f>
        <v>121001.89543839506</v>
      </c>
      <c r="BH13" s="72">
        <f>'Fuel Vol and Credit Gen'!BH58</f>
        <v>168461.20101312015</v>
      </c>
      <c r="BI13" s="72">
        <f>'Fuel Vol and Credit Gen'!BI58</f>
        <v>218538.35852303909</v>
      </c>
      <c r="BJ13" s="72">
        <f>'Fuel Vol and Credit Gen'!BJ58</f>
        <v>60742.571057554407</v>
      </c>
      <c r="BK13" s="72">
        <f>'Fuel Vol and Credit Gen'!BK58</f>
        <v>530568.4018719634</v>
      </c>
      <c r="BL13" s="72">
        <f>'Fuel Vol and Credit Gen'!BL58</f>
        <v>619038.68770285661</v>
      </c>
      <c r="BM13" s="72">
        <f>'Fuel Vol and Credit Gen'!BM58</f>
        <v>837418.67573253077</v>
      </c>
      <c r="BN13" s="72">
        <f>'Fuel Vol and Credit Gen'!BN58</f>
        <v>203536.3777337138</v>
      </c>
      <c r="BO13" s="72">
        <f>'Fuel Vol and Credit Gen'!BO58</f>
        <v>1369538.0067958962</v>
      </c>
      <c r="BP13" s="72">
        <f>'Fuel Vol and Credit Gen'!BP58</f>
        <v>1591601.9619704732</v>
      </c>
      <c r="BQ13" s="72">
        <f>'Fuel Vol and Credit Gen'!BQ58</f>
        <v>2170296.467509218</v>
      </c>
      <c r="BR13" s="72">
        <f>'Fuel Vol and Credit Gen'!BR58</f>
        <v>504916.52817360428</v>
      </c>
      <c r="BS13" s="72">
        <f>'Fuel Vol and Credit Gen'!BS58</f>
        <v>1793800.967614142</v>
      </c>
      <c r="BT13" s="72">
        <f>'Fuel Vol and Credit Gen'!BT58</f>
        <v>2080894.512510119</v>
      </c>
      <c r="BU13" s="72">
        <f>'Fuel Vol and Credit Gen'!BU58</f>
        <v>2839229.0613978379</v>
      </c>
      <c r="BV13" s="72">
        <f>'Fuel Vol and Credit Gen'!BV58</f>
        <v>657108.74334387924</v>
      </c>
      <c r="BW13" s="72">
        <f>'Fuel Vol and Credit Gen'!BW58</f>
        <v>2151811.8995567146</v>
      </c>
      <c r="BX13" s="72">
        <f>'Fuel Vol and Credit Gen'!BX58</f>
        <v>2495233.6049584178</v>
      </c>
      <c r="BY13" s="72">
        <f>'Fuel Vol and Credit Gen'!BY58</f>
        <v>3404334.5104410411</v>
      </c>
      <c r="BZ13" s="72">
        <f>'Fuel Vol and Credit Gen'!BZ58</f>
        <v>779473.68288614391</v>
      </c>
      <c r="CA13" s="72">
        <f>'Fuel Vol and Credit Gen'!CA58</f>
        <v>2747116.662639467</v>
      </c>
      <c r="CB13" s="72">
        <f>'Fuel Vol and Credit Gen'!CB58</f>
        <v>3167302.2220728621</v>
      </c>
      <c r="CC13" s="72">
        <f>'Fuel Vol and Credit Gen'!CC58</f>
        <v>4322350.6070768973</v>
      </c>
      <c r="CD13" s="72">
        <f>'Fuel Vol and Credit Gen'!CD58</f>
        <v>990588.51516211545</v>
      </c>
      <c r="CE13" s="72">
        <f>'Fuel Vol and Credit Gen'!CE58</f>
        <v>3023182.969437643</v>
      </c>
      <c r="CF13" s="72">
        <f>'Fuel Vol and Credit Gen'!CF58</f>
        <v>3484839.1241345163</v>
      </c>
      <c r="CG13" s="72">
        <f>'Fuel Vol and Credit Gen'!CG58</f>
        <v>4757547.538499767</v>
      </c>
      <c r="CH13" s="72">
        <f>'Fuel Vol and Credit Gen'!CH58</f>
        <v>1092101.2649474868</v>
      </c>
      <c r="CI13" s="72">
        <f>'Fuel Vol and Credit Gen'!CI58</f>
        <v>3787333.364180068</v>
      </c>
      <c r="CJ13" s="72">
        <f>'Fuel Vol and Credit Gen'!CJ58</f>
        <v>4357057.5607194202</v>
      </c>
      <c r="CK13" s="72">
        <f>'Fuel Vol and Credit Gen'!CK58</f>
        <v>5950469.8531902982</v>
      </c>
      <c r="CL13" s="72">
        <f>'Fuel Vol and Credit Gen'!CL58</f>
        <v>1362559.3725597796</v>
      </c>
      <c r="CM13" s="72">
        <f>'Fuel Vol and Credit Gen'!CM58</f>
        <v>4051428.0523473253</v>
      </c>
      <c r="CN13" s="72">
        <f>'Fuel Vol and Credit Gen'!CN58</f>
        <v>4664691.1811808608</v>
      </c>
      <c r="CO13" s="72">
        <f>'Fuel Vol and Credit Gen'!CO58</f>
        <v>6372094.7132588429</v>
      </c>
      <c r="CP13" s="72">
        <f>'Fuel Vol and Credit Gen'!CP58</f>
        <v>1457787.7050790796</v>
      </c>
      <c r="CQ13" s="72">
        <f>'Fuel Vol and Credit Gen'!CQ58</f>
        <v>4445726.5963914692</v>
      </c>
      <c r="CR13" s="72">
        <f>'Fuel Vol and Credit Gen'!CR58</f>
        <v>5113410.6118925046</v>
      </c>
      <c r="CS13" s="72">
        <f>'Fuel Vol and Credit Gen'!CS58</f>
        <v>6984691.4269980956</v>
      </c>
      <c r="CT13" s="72">
        <f>'Fuel Vol and Credit Gen'!CT58</f>
        <v>1596451.1029718742</v>
      </c>
      <c r="CU13" s="72">
        <f>'Fuel Vol and Credit Gen'!CU58</f>
        <v>4660667.0992594473</v>
      </c>
      <c r="CV13" s="72">
        <f>'Fuel Vol and Credit Gen'!CV58</f>
        <v>5357916.5867403289</v>
      </c>
      <c r="CW13" s="72">
        <f>'Fuel Vol and Credit Gen'!CW58</f>
        <v>7318976.693710085</v>
      </c>
      <c r="CX13" s="72">
        <f>'Fuel Vol and Credit Gen'!CX58</f>
        <v>1673128.6496420314</v>
      </c>
      <c r="CY13" s="72">
        <f>'Fuel Vol and Credit Gen'!CY58</f>
        <v>3419228.9692843431</v>
      </c>
      <c r="CZ13" s="72">
        <f>'Fuel Vol and Credit Gen'!CZ58</f>
        <v>3938742.9924701429</v>
      </c>
      <c r="DA13" s="72">
        <f>'Fuel Vol and Credit Gen'!DA58</f>
        <v>5378892.3766528871</v>
      </c>
      <c r="DB13" s="72">
        <f>'Fuel Vol and Credit Gen'!DB58</f>
        <v>1231951.3742205112</v>
      </c>
      <c r="DC13" s="72">
        <f>'Fuel Vol and Credit Gen'!DC58</f>
        <v>3549074.5426124712</v>
      </c>
      <c r="DD13" s="72">
        <f>'Fuel Vol and Credit Gen'!DD58</f>
        <v>4087354.5593639864</v>
      </c>
      <c r="DE13" s="72">
        <f>'Fuel Vol and Credit Gen'!DE58</f>
        <v>5581929.7279917626</v>
      </c>
      <c r="DF13" s="72">
        <f>'Fuel Vol and Credit Gen'!DF58</f>
        <v>1278201.1388962422</v>
      </c>
      <c r="DG13" s="72">
        <f>'Fuel Vol and Credit Gen'!DG58</f>
        <v>3719174.3099485631</v>
      </c>
      <c r="DH13" s="72">
        <f>'Fuel Vol and Credit Gen'!DH58</f>
        <v>4281445.7668563975</v>
      </c>
      <c r="DI13" s="72">
        <f>'Fuel Vol and Credit Gen'!DI58</f>
        <v>5847007.4919015523</v>
      </c>
      <c r="DJ13" s="72">
        <f>'Fuel Vol and Credit Gen'!DJ58</f>
        <v>1339066.0820159246</v>
      </c>
      <c r="DK13" s="72">
        <f>'Fuel Vol and Credit Gen'!DK58</f>
        <v>3681433.2911355253</v>
      </c>
      <c r="DL13" s="72">
        <f>'Fuel Vol and Credit Gen'!DL58</f>
        <v>4237879.9656184586</v>
      </c>
      <c r="DM13" s="72">
        <f>'Fuel Vol and Credit Gen'!DM58</f>
        <v>5787579.8861610387</v>
      </c>
      <c r="DN13" s="72">
        <f>'Fuel Vol and Credit Gen'!DN58</f>
        <v>1325752.7094252214</v>
      </c>
      <c r="DO13" s="72">
        <f>'Fuel Vol and Credit Gen'!DO58</f>
        <v>4041105.5625052764</v>
      </c>
      <c r="DP13" s="72">
        <f>'Fuel Vol and Credit Gen'!DP58</f>
        <v>4649727.5235690642</v>
      </c>
      <c r="DQ13" s="72">
        <f>'Fuel Vol and Credit Gen'!DQ58</f>
        <v>6350979.1899348628</v>
      </c>
      <c r="DR13" s="72">
        <f>'Fuel Vol and Credit Gen'!DR58</f>
        <v>1453738.8867510965</v>
      </c>
      <c r="DS13" s="72">
        <f>'Fuel Vol and Credit Gen'!DS58</f>
        <v>1453738.8465049248</v>
      </c>
      <c r="DT13" s="72">
        <f>'Fuel Vol and Credit Gen'!DT58</f>
        <v>1453738.075806262</v>
      </c>
      <c r="DU13" s="72">
        <f>'Fuel Vol and Credit Gen'!DU58</f>
        <v>1453735.747963188</v>
      </c>
      <c r="DV13" s="72">
        <f>'Fuel Vol and Credit Gen'!DV58</f>
        <v>1453735.786068419</v>
      </c>
      <c r="DW13" s="72">
        <f>'Fuel Vol and Credit Gen'!DW58</f>
        <v>1453735.7986639326</v>
      </c>
      <c r="DX13" s="72">
        <f>'Fuel Vol and Credit Gen'!DX58</f>
        <v>1453735.3601274698</v>
      </c>
      <c r="DY13" s="72">
        <f>'Fuel Vol and Credit Gen'!DY58</f>
        <v>1453734.9339757462</v>
      </c>
      <c r="DZ13" s="72">
        <f>'Fuel Vol and Credit Gen'!DZ58</f>
        <v>1453734.9681107213</v>
      </c>
    </row>
    <row r="14" spans="1:130" x14ac:dyDescent="0.2">
      <c r="A14" s="39" t="s">
        <v>80</v>
      </c>
      <c r="B14" s="39" t="s">
        <v>170</v>
      </c>
      <c r="C14" s="70">
        <v>0</v>
      </c>
      <c r="D14" s="70">
        <v>0</v>
      </c>
      <c r="E14" s="70">
        <v>0</v>
      </c>
      <c r="F14" s="70">
        <v>0</v>
      </c>
      <c r="G14" s="70">
        <v>0</v>
      </c>
      <c r="H14" s="70">
        <v>0</v>
      </c>
      <c r="I14" s="70">
        <v>0</v>
      </c>
      <c r="J14" s="70">
        <v>0</v>
      </c>
      <c r="K14" s="70">
        <v>0</v>
      </c>
      <c r="L14" s="70">
        <v>0</v>
      </c>
      <c r="M14" s="70">
        <v>0</v>
      </c>
      <c r="N14" s="70">
        <v>0</v>
      </c>
      <c r="O14" s="70">
        <v>0</v>
      </c>
      <c r="P14" s="70">
        <v>0</v>
      </c>
      <c r="Q14" s="70">
        <v>0</v>
      </c>
      <c r="R14" s="70">
        <v>0</v>
      </c>
      <c r="S14" s="70">
        <v>0</v>
      </c>
      <c r="T14" s="70">
        <v>0</v>
      </c>
      <c r="U14" s="70">
        <v>0</v>
      </c>
      <c r="V14" s="70">
        <v>0</v>
      </c>
      <c r="W14" s="70">
        <v>0</v>
      </c>
      <c r="X14" s="70">
        <v>0</v>
      </c>
      <c r="Y14" s="70">
        <v>0</v>
      </c>
      <c r="Z14" s="70">
        <v>0</v>
      </c>
      <c r="AA14" s="70">
        <v>0</v>
      </c>
      <c r="AB14" s="70">
        <v>0</v>
      </c>
      <c r="AC14" s="70">
        <v>0</v>
      </c>
      <c r="AD14" s="70">
        <v>0</v>
      </c>
      <c r="AE14" s="70">
        <v>0</v>
      </c>
      <c r="AF14" s="70">
        <v>0</v>
      </c>
      <c r="AG14" s="70">
        <v>0</v>
      </c>
      <c r="AH14" s="70">
        <v>0</v>
      </c>
      <c r="AI14" s="70">
        <v>64</v>
      </c>
      <c r="AJ14" s="70">
        <v>623</v>
      </c>
      <c r="AK14" s="70">
        <v>1475</v>
      </c>
      <c r="AL14" s="70">
        <v>1532</v>
      </c>
      <c r="AM14" s="70">
        <v>3328</v>
      </c>
      <c r="AN14" s="70">
        <v>5832</v>
      </c>
      <c r="AO14" s="70">
        <v>5892</v>
      </c>
      <c r="AP14" s="70">
        <v>6160</v>
      </c>
      <c r="AQ14" s="70">
        <v>9633</v>
      </c>
      <c r="AR14" s="70">
        <v>8451</v>
      </c>
      <c r="AS14" s="70">
        <v>10269</v>
      </c>
      <c r="AT14" s="70">
        <v>11095</v>
      </c>
      <c r="AU14" s="70">
        <v>10004</v>
      </c>
      <c r="AV14" s="71">
        <v>9632</v>
      </c>
      <c r="AW14" s="71">
        <v>8976</v>
      </c>
      <c r="AX14" s="71">
        <v>9585</v>
      </c>
      <c r="AY14" s="71">
        <v>7599</v>
      </c>
      <c r="AZ14" s="71">
        <v>6241</v>
      </c>
      <c r="BA14" s="71">
        <v>8067</v>
      </c>
      <c r="BB14" s="71">
        <v>7101</v>
      </c>
      <c r="BC14" s="71">
        <v>6301</v>
      </c>
      <c r="BD14" s="71">
        <v>4514</v>
      </c>
      <c r="BE14" s="71">
        <f>'Fuel Vol and Credit Gen'!BE60</f>
        <v>3843</v>
      </c>
      <c r="BF14" s="72">
        <f>'Fuel Vol and Credit Gen'!BF60</f>
        <v>6790.4043825503459</v>
      </c>
      <c r="BG14" s="72">
        <f>'Fuel Vol and Credit Gen'!BG60</f>
        <v>5839.3453744162862</v>
      </c>
      <c r="BH14" s="72">
        <f>'Fuel Vol and Credit Gen'!BH60</f>
        <v>3909.3436409582864</v>
      </c>
      <c r="BI14" s="72">
        <f>'Fuel Vol and Credit Gen'!BI60</f>
        <v>3979.6367366283703</v>
      </c>
      <c r="BJ14" s="72">
        <f>'Fuel Vol and Credit Gen'!BJ60</f>
        <v>3402.1068168147149</v>
      </c>
      <c r="BK14" s="72">
        <f>'Fuel Vol and Credit Gen'!BK60</f>
        <v>0</v>
      </c>
      <c r="BL14" s="72">
        <f>'Fuel Vol and Credit Gen'!BL60</f>
        <v>0</v>
      </c>
      <c r="BM14" s="72">
        <f>'Fuel Vol and Credit Gen'!BM60</f>
        <v>0</v>
      </c>
      <c r="BN14" s="72">
        <f>'Fuel Vol and Credit Gen'!BN60</f>
        <v>0</v>
      </c>
      <c r="BO14" s="72">
        <f>'Fuel Vol and Credit Gen'!BO60</f>
        <v>0</v>
      </c>
      <c r="BP14" s="72">
        <f>'Fuel Vol and Credit Gen'!BP60</f>
        <v>0</v>
      </c>
      <c r="BQ14" s="72">
        <f>'Fuel Vol and Credit Gen'!BQ60</f>
        <v>0</v>
      </c>
      <c r="BR14" s="72">
        <f>'Fuel Vol and Credit Gen'!BR60</f>
        <v>0</v>
      </c>
      <c r="BS14" s="72">
        <f>'Fuel Vol and Credit Gen'!BS60</f>
        <v>0</v>
      </c>
      <c r="BT14" s="72">
        <f>'Fuel Vol and Credit Gen'!BT60</f>
        <v>0</v>
      </c>
      <c r="BU14" s="72">
        <f>'Fuel Vol and Credit Gen'!BU60</f>
        <v>0</v>
      </c>
      <c r="BV14" s="72">
        <f>'Fuel Vol and Credit Gen'!BV60</f>
        <v>0</v>
      </c>
      <c r="BW14" s="72">
        <f>'Fuel Vol and Credit Gen'!BW60</f>
        <v>0</v>
      </c>
      <c r="BX14" s="72">
        <f>'Fuel Vol and Credit Gen'!BX60</f>
        <v>0</v>
      </c>
      <c r="BY14" s="72">
        <f>'Fuel Vol and Credit Gen'!BY60</f>
        <v>0</v>
      </c>
      <c r="BZ14" s="72">
        <f>'Fuel Vol and Credit Gen'!BZ60</f>
        <v>0</v>
      </c>
      <c r="CA14" s="72">
        <f>'Fuel Vol and Credit Gen'!CA60</f>
        <v>0</v>
      </c>
      <c r="CB14" s="72">
        <f>'Fuel Vol and Credit Gen'!CB60</f>
        <v>0</v>
      </c>
      <c r="CC14" s="72">
        <f>'Fuel Vol and Credit Gen'!CC60</f>
        <v>17.106385871728889</v>
      </c>
      <c r="CD14" s="72">
        <f>'Fuel Vol and Credit Gen'!CD60</f>
        <v>23.585942592926813</v>
      </c>
      <c r="CE14" s="72">
        <f>'Fuel Vol and Credit Gen'!CE60</f>
        <v>21.124915664100399</v>
      </c>
      <c r="CF14" s="72">
        <f>'Fuel Vol and Credit Gen'!CF60</f>
        <v>34.836707770036128</v>
      </c>
      <c r="CG14" s="72">
        <f>'Fuel Vol and Credit Gen'!CG60</f>
        <v>0</v>
      </c>
      <c r="CH14" s="72">
        <f>'Fuel Vol and Credit Gen'!CH60</f>
        <v>0</v>
      </c>
      <c r="CI14" s="72">
        <f>'Fuel Vol and Credit Gen'!CI60</f>
        <v>0</v>
      </c>
      <c r="CJ14" s="72">
        <f>'Fuel Vol and Credit Gen'!CJ60</f>
        <v>0</v>
      </c>
      <c r="CK14" s="72">
        <f>'Fuel Vol and Credit Gen'!CK60</f>
        <v>0</v>
      </c>
      <c r="CL14" s="72">
        <f>'Fuel Vol and Credit Gen'!CL60</f>
        <v>0</v>
      </c>
      <c r="CM14" s="72">
        <f>'Fuel Vol and Credit Gen'!CM60</f>
        <v>0</v>
      </c>
      <c r="CN14" s="72">
        <f>'Fuel Vol and Credit Gen'!CN60</f>
        <v>0</v>
      </c>
      <c r="CO14" s="72">
        <f>'Fuel Vol and Credit Gen'!CO60</f>
        <v>0</v>
      </c>
      <c r="CP14" s="72">
        <f>'Fuel Vol and Credit Gen'!CP60</f>
        <v>0</v>
      </c>
      <c r="CQ14" s="72">
        <f>'Fuel Vol and Credit Gen'!CQ60</f>
        <v>0</v>
      </c>
      <c r="CR14" s="72">
        <f>'Fuel Vol and Credit Gen'!CR60</f>
        <v>0</v>
      </c>
      <c r="CS14" s="72">
        <f>'Fuel Vol and Credit Gen'!CS60</f>
        <v>0</v>
      </c>
      <c r="CT14" s="72">
        <f>'Fuel Vol and Credit Gen'!CT60</f>
        <v>0</v>
      </c>
      <c r="CU14" s="72">
        <f>'Fuel Vol and Credit Gen'!CU60</f>
        <v>0</v>
      </c>
      <c r="CV14" s="72">
        <f>'Fuel Vol and Credit Gen'!CV60</f>
        <v>0</v>
      </c>
      <c r="CW14" s="72">
        <f>'Fuel Vol and Credit Gen'!CW60</f>
        <v>0</v>
      </c>
      <c r="CX14" s="72">
        <f>'Fuel Vol and Credit Gen'!CX60</f>
        <v>0</v>
      </c>
      <c r="CY14" s="72">
        <f>'Fuel Vol and Credit Gen'!CY60</f>
        <v>0</v>
      </c>
      <c r="CZ14" s="72">
        <f>'Fuel Vol and Credit Gen'!CZ60</f>
        <v>0</v>
      </c>
      <c r="DA14" s="72">
        <f>'Fuel Vol and Credit Gen'!DA60</f>
        <v>0</v>
      </c>
      <c r="DB14" s="72">
        <f>'Fuel Vol and Credit Gen'!DB60</f>
        <v>0</v>
      </c>
      <c r="DC14" s="72">
        <f>'Fuel Vol and Credit Gen'!DC60</f>
        <v>0</v>
      </c>
      <c r="DD14" s="72">
        <f>'Fuel Vol and Credit Gen'!DD60</f>
        <v>0</v>
      </c>
      <c r="DE14" s="72">
        <f>'Fuel Vol and Credit Gen'!DE60</f>
        <v>0</v>
      </c>
      <c r="DF14" s="72">
        <f>'Fuel Vol and Credit Gen'!DF60</f>
        <v>0</v>
      </c>
      <c r="DG14" s="72">
        <f>'Fuel Vol and Credit Gen'!DG60</f>
        <v>0</v>
      </c>
      <c r="DH14" s="72">
        <f>'Fuel Vol and Credit Gen'!DH60</f>
        <v>0</v>
      </c>
      <c r="DI14" s="72">
        <f>'Fuel Vol and Credit Gen'!DI60</f>
        <v>0</v>
      </c>
      <c r="DJ14" s="72">
        <f>'Fuel Vol and Credit Gen'!DJ60</f>
        <v>0</v>
      </c>
      <c r="DK14" s="72">
        <f>'Fuel Vol and Credit Gen'!DK60</f>
        <v>0</v>
      </c>
      <c r="DL14" s="72">
        <f>'Fuel Vol and Credit Gen'!DL60</f>
        <v>0</v>
      </c>
      <c r="DM14" s="72">
        <f>'Fuel Vol and Credit Gen'!DM60</f>
        <v>0</v>
      </c>
      <c r="DN14" s="72">
        <f>'Fuel Vol and Credit Gen'!DN60</f>
        <v>0</v>
      </c>
      <c r="DO14" s="72">
        <f>'Fuel Vol and Credit Gen'!DO60</f>
        <v>0</v>
      </c>
      <c r="DP14" s="72">
        <f>'Fuel Vol and Credit Gen'!DP60</f>
        <v>0</v>
      </c>
      <c r="DQ14" s="72">
        <f>'Fuel Vol and Credit Gen'!DQ60</f>
        <v>0</v>
      </c>
      <c r="DR14" s="72">
        <f>'Fuel Vol and Credit Gen'!DR60</f>
        <v>0</v>
      </c>
      <c r="DS14" s="72">
        <f>'Fuel Vol and Credit Gen'!DS60</f>
        <v>0</v>
      </c>
      <c r="DT14" s="72">
        <f>'Fuel Vol and Credit Gen'!DT60</f>
        <v>0</v>
      </c>
      <c r="DU14" s="72">
        <f>'Fuel Vol and Credit Gen'!DU60</f>
        <v>0</v>
      </c>
      <c r="DV14" s="72">
        <f>'Fuel Vol and Credit Gen'!DV60</f>
        <v>0</v>
      </c>
      <c r="DW14" s="72">
        <f>'Fuel Vol and Credit Gen'!DW60</f>
        <v>0</v>
      </c>
      <c r="DX14" s="72">
        <f>'Fuel Vol and Credit Gen'!DX60</f>
        <v>0</v>
      </c>
      <c r="DY14" s="72">
        <f>'Fuel Vol and Credit Gen'!DY60</f>
        <v>0</v>
      </c>
      <c r="DZ14" s="72">
        <f>'Fuel Vol and Credit Gen'!DZ60</f>
        <v>0</v>
      </c>
    </row>
    <row r="15" spans="1:130" x14ac:dyDescent="0.2">
      <c r="A15" s="39" t="s">
        <v>126</v>
      </c>
      <c r="B15" s="39" t="s">
        <v>170</v>
      </c>
      <c r="C15" s="70">
        <v>0</v>
      </c>
      <c r="D15" s="70">
        <v>553</v>
      </c>
      <c r="E15" s="70">
        <v>1245</v>
      </c>
      <c r="F15" s="70">
        <v>184</v>
      </c>
      <c r="G15" s="70">
        <v>163</v>
      </c>
      <c r="H15" s="70">
        <v>927</v>
      </c>
      <c r="I15" s="70">
        <v>2</v>
      </c>
      <c r="J15" s="70">
        <v>0</v>
      </c>
      <c r="K15" s="70">
        <v>2510</v>
      </c>
      <c r="L15" s="70">
        <v>2663</v>
      </c>
      <c r="M15" s="70">
        <v>68</v>
      </c>
      <c r="N15" s="70">
        <v>488</v>
      </c>
      <c r="O15" s="70">
        <v>1062</v>
      </c>
      <c r="P15" s="70">
        <v>1844</v>
      </c>
      <c r="Q15" s="70">
        <v>837</v>
      </c>
      <c r="R15" s="70">
        <v>17</v>
      </c>
      <c r="S15" s="70">
        <v>3285</v>
      </c>
      <c r="T15" s="70">
        <v>266</v>
      </c>
      <c r="U15" s="70">
        <v>2158</v>
      </c>
      <c r="V15" s="70">
        <v>1459</v>
      </c>
      <c r="W15" s="70">
        <v>831</v>
      </c>
      <c r="X15" s="70">
        <v>9181</v>
      </c>
      <c r="Y15" s="70">
        <v>17351</v>
      </c>
      <c r="Z15" s="70">
        <v>2</v>
      </c>
      <c r="AA15" s="70">
        <v>11603</v>
      </c>
      <c r="AB15" s="70">
        <v>36644</v>
      </c>
      <c r="AC15" s="70">
        <v>8789</v>
      </c>
      <c r="AD15" s="70">
        <v>1037</v>
      </c>
      <c r="AE15" s="70">
        <v>1374</v>
      </c>
      <c r="AF15" s="70">
        <v>37577</v>
      </c>
      <c r="AG15" s="70">
        <v>17258</v>
      </c>
      <c r="AH15" s="70">
        <v>16809</v>
      </c>
      <c r="AI15" s="70">
        <v>125</v>
      </c>
      <c r="AJ15" s="70">
        <v>12824</v>
      </c>
      <c r="AK15" s="70">
        <v>39097</v>
      </c>
      <c r="AL15" s="70">
        <v>73</v>
      </c>
      <c r="AM15" s="70">
        <v>14798</v>
      </c>
      <c r="AN15" s="70">
        <v>8411</v>
      </c>
      <c r="AO15" s="70">
        <v>23421</v>
      </c>
      <c r="AP15" s="70">
        <v>86</v>
      </c>
      <c r="AQ15" s="70">
        <v>12400</v>
      </c>
      <c r="AR15" s="70">
        <v>26755</v>
      </c>
      <c r="AS15" s="70">
        <v>0</v>
      </c>
      <c r="AT15" s="70">
        <v>6962</v>
      </c>
      <c r="AU15" s="70">
        <v>13362</v>
      </c>
      <c r="AV15" s="71">
        <v>5088</v>
      </c>
      <c r="AW15" s="71">
        <v>306</v>
      </c>
      <c r="AX15" s="71">
        <v>0</v>
      </c>
      <c r="AY15" s="71">
        <v>1650</v>
      </c>
      <c r="AZ15" s="71">
        <v>21138</v>
      </c>
      <c r="BA15" s="71">
        <v>0</v>
      </c>
      <c r="BB15" s="71">
        <v>6663</v>
      </c>
      <c r="BC15" s="71">
        <v>4</v>
      </c>
      <c r="BD15" s="71">
        <v>0</v>
      </c>
      <c r="BE15" s="71">
        <v>375</v>
      </c>
      <c r="BF15" s="72">
        <v>325</v>
      </c>
      <c r="BG15" s="72">
        <v>300</v>
      </c>
      <c r="BH15" s="72">
        <v>275</v>
      </c>
      <c r="BI15" s="72">
        <v>250</v>
      </c>
      <c r="BJ15" s="72">
        <f t="shared" ref="BJ15" si="3">_xlfn.FORECAST.ETS(BJ$19,AZ15:BI15,AZ$19:BI$19)</f>
        <v>-1508.8478904680535</v>
      </c>
      <c r="BK15" s="72">
        <v>200</v>
      </c>
      <c r="BL15" s="72">
        <f t="shared" ref="BL15:BM15" si="4">_xlfn.FORECAST.ETS(BL$19,BB15:BK15,BB$19:BK$19)</f>
        <v>-413.86268624601945</v>
      </c>
      <c r="BM15" s="72">
        <f t="shared" si="4"/>
        <v>-520.19914152877823</v>
      </c>
      <c r="BN15" s="72">
        <v>125</v>
      </c>
      <c r="BO15" s="72">
        <v>100</v>
      </c>
      <c r="BP15" s="72">
        <v>0</v>
      </c>
      <c r="BQ15" s="72">
        <v>0</v>
      </c>
      <c r="BR15" s="72">
        <v>0</v>
      </c>
      <c r="BS15" s="72">
        <v>0</v>
      </c>
      <c r="BT15" s="72">
        <v>0</v>
      </c>
      <c r="BU15" s="72">
        <v>0</v>
      </c>
      <c r="BV15" s="72">
        <v>0</v>
      </c>
      <c r="BW15" s="72">
        <v>0</v>
      </c>
      <c r="BX15" s="72">
        <v>0</v>
      </c>
      <c r="BY15" s="72">
        <v>0</v>
      </c>
      <c r="BZ15" s="72">
        <v>0</v>
      </c>
      <c r="CA15" s="72">
        <v>0</v>
      </c>
      <c r="CB15" s="72">
        <v>0</v>
      </c>
      <c r="CC15" s="72">
        <v>0</v>
      </c>
      <c r="CD15" s="72">
        <v>0</v>
      </c>
      <c r="CE15" s="72">
        <v>0</v>
      </c>
      <c r="CF15" s="72">
        <v>0</v>
      </c>
      <c r="CG15" s="72">
        <v>0</v>
      </c>
      <c r="CH15" s="72">
        <v>0</v>
      </c>
      <c r="CI15" s="72">
        <v>0</v>
      </c>
      <c r="CJ15" s="72">
        <v>0</v>
      </c>
      <c r="CK15" s="72">
        <v>0</v>
      </c>
      <c r="CL15" s="72">
        <v>0</v>
      </c>
      <c r="CM15" s="72">
        <v>0</v>
      </c>
      <c r="CN15" s="72">
        <v>0</v>
      </c>
      <c r="CO15" s="72">
        <v>0</v>
      </c>
      <c r="CP15" s="72">
        <v>0</v>
      </c>
      <c r="CQ15" s="72">
        <v>0</v>
      </c>
      <c r="CR15" s="72">
        <v>0</v>
      </c>
      <c r="CS15" s="72">
        <v>0</v>
      </c>
      <c r="CT15" s="72">
        <v>0</v>
      </c>
      <c r="CU15" s="72">
        <v>0</v>
      </c>
      <c r="CV15" s="72">
        <v>0</v>
      </c>
      <c r="CW15" s="72">
        <v>0</v>
      </c>
      <c r="CX15" s="72">
        <v>0</v>
      </c>
      <c r="CY15" s="72">
        <v>0</v>
      </c>
      <c r="CZ15" s="72">
        <v>0</v>
      </c>
      <c r="DA15" s="72">
        <v>0</v>
      </c>
      <c r="DB15" s="72">
        <v>0</v>
      </c>
      <c r="DC15" s="72">
        <v>0</v>
      </c>
      <c r="DD15" s="72">
        <v>0</v>
      </c>
      <c r="DE15" s="72">
        <v>0</v>
      </c>
      <c r="DF15" s="72">
        <v>0</v>
      </c>
      <c r="DG15" s="72">
        <v>0</v>
      </c>
      <c r="DH15" s="72">
        <v>0</v>
      </c>
      <c r="DI15" s="72">
        <v>0</v>
      </c>
      <c r="DJ15" s="72">
        <v>0</v>
      </c>
      <c r="DK15" s="72">
        <v>0</v>
      </c>
      <c r="DL15" s="72">
        <v>0</v>
      </c>
      <c r="DM15" s="72">
        <v>0</v>
      </c>
      <c r="DN15" s="72">
        <v>0</v>
      </c>
      <c r="DO15" s="72">
        <v>0</v>
      </c>
      <c r="DP15" s="72">
        <v>0</v>
      </c>
      <c r="DQ15" s="72">
        <v>0</v>
      </c>
      <c r="DR15" s="72">
        <v>0</v>
      </c>
      <c r="DS15" s="72">
        <v>0</v>
      </c>
      <c r="DT15" s="72">
        <v>0</v>
      </c>
      <c r="DU15" s="72">
        <v>0</v>
      </c>
      <c r="DV15" s="72">
        <v>0</v>
      </c>
      <c r="DW15" s="72">
        <v>0</v>
      </c>
      <c r="DX15" s="72">
        <v>0</v>
      </c>
      <c r="DY15" s="72">
        <v>0</v>
      </c>
      <c r="DZ15" s="72">
        <v>0</v>
      </c>
    </row>
    <row r="16" spans="1:130" x14ac:dyDescent="0.2">
      <c r="A16" s="39" t="s">
        <v>127</v>
      </c>
      <c r="B16" s="39" t="s">
        <v>170</v>
      </c>
      <c r="C16" s="70">
        <v>76</v>
      </c>
      <c r="D16" s="70">
        <v>862</v>
      </c>
      <c r="E16" s="70">
        <v>98</v>
      </c>
      <c r="F16" s="70">
        <v>0</v>
      </c>
      <c r="G16" s="70">
        <v>830</v>
      </c>
      <c r="H16" s="70">
        <v>1694</v>
      </c>
      <c r="I16" s="70">
        <v>121</v>
      </c>
      <c r="J16" s="70">
        <v>86</v>
      </c>
      <c r="K16" s="70">
        <v>1264</v>
      </c>
      <c r="L16" s="70">
        <v>1557</v>
      </c>
      <c r="M16" s="70">
        <v>738</v>
      </c>
      <c r="N16" s="70">
        <v>0</v>
      </c>
      <c r="O16" s="70">
        <v>47</v>
      </c>
      <c r="P16" s="70">
        <v>4975</v>
      </c>
      <c r="Q16" s="70">
        <v>11188</v>
      </c>
      <c r="R16" s="70">
        <v>20</v>
      </c>
      <c r="S16" s="70">
        <v>1332</v>
      </c>
      <c r="T16" s="70">
        <v>2398</v>
      </c>
      <c r="U16" s="70">
        <v>2151</v>
      </c>
      <c r="V16" s="70">
        <v>213</v>
      </c>
      <c r="W16" s="70">
        <v>174</v>
      </c>
      <c r="X16" s="70">
        <v>3860</v>
      </c>
      <c r="Y16" s="70">
        <v>807</v>
      </c>
      <c r="Z16" s="70">
        <v>5623</v>
      </c>
      <c r="AA16" s="70">
        <v>16901</v>
      </c>
      <c r="AB16" s="70">
        <v>12161</v>
      </c>
      <c r="AC16" s="70">
        <v>11165</v>
      </c>
      <c r="AD16" s="70">
        <v>10564</v>
      </c>
      <c r="AE16" s="70">
        <v>11253</v>
      </c>
      <c r="AF16" s="70">
        <v>15405</v>
      </c>
      <c r="AG16" s="70">
        <v>16170</v>
      </c>
      <c r="AH16" s="70">
        <v>21311</v>
      </c>
      <c r="AI16" s="70">
        <v>5338</v>
      </c>
      <c r="AJ16" s="70">
        <v>11184</v>
      </c>
      <c r="AK16" s="70">
        <v>486</v>
      </c>
      <c r="AL16" s="70">
        <v>0</v>
      </c>
      <c r="AM16" s="70">
        <v>27</v>
      </c>
      <c r="AN16" s="70">
        <v>73</v>
      </c>
      <c r="AO16" s="70">
        <v>1944</v>
      </c>
      <c r="AP16" s="70">
        <v>3417</v>
      </c>
      <c r="AQ16" s="70">
        <v>1560</v>
      </c>
      <c r="AR16" s="70">
        <v>0</v>
      </c>
      <c r="AS16" s="70">
        <v>4400</v>
      </c>
      <c r="AT16" s="70">
        <v>0</v>
      </c>
      <c r="AU16" s="70">
        <v>0</v>
      </c>
      <c r="AV16" s="71">
        <v>2849</v>
      </c>
      <c r="AW16" s="71">
        <v>8117</v>
      </c>
      <c r="AX16" s="71">
        <v>655</v>
      </c>
      <c r="AY16" s="71">
        <v>2742</v>
      </c>
      <c r="AZ16" s="71">
        <v>2400</v>
      </c>
      <c r="BA16" s="71">
        <v>1029</v>
      </c>
      <c r="BB16" s="71">
        <v>291</v>
      </c>
      <c r="BC16" s="71">
        <v>556</v>
      </c>
      <c r="BD16" s="71">
        <v>394</v>
      </c>
      <c r="BE16" s="71">
        <f>'Fuel Vol and Credit Gen'!BE61</f>
        <v>7465821.0000000009</v>
      </c>
      <c r="BF16" s="72">
        <f>'Fuel Vol and Credit Gen'!BF61</f>
        <v>6085410.5408846326</v>
      </c>
      <c r="BG16" s="72">
        <f>'Fuel Vol and Credit Gen'!BG61</f>
        <v>5464138.8101690123</v>
      </c>
      <c r="BH16" s="72">
        <f>'Fuel Vol and Credit Gen'!BH61</f>
        <v>5465161.5701585319</v>
      </c>
      <c r="BI16" s="72">
        <f>'Fuel Vol and Credit Gen'!BI61</f>
        <v>6448196.4490094678</v>
      </c>
      <c r="BJ16" s="72">
        <f>'Fuel Vol and Credit Gen'!BJ61</f>
        <v>5956156.456241345</v>
      </c>
      <c r="BK16" s="72">
        <f>'Fuel Vol and Credit Gen'!BK61</f>
        <v>5709097.4884670014</v>
      </c>
      <c r="BL16" s="72">
        <f>'Fuel Vol and Credit Gen'!BL61</f>
        <v>6136885.3851734828</v>
      </c>
      <c r="BM16" s="72">
        <f>'Fuel Vol and Credit Gen'!BM61</f>
        <v>6723471.9592931308</v>
      </c>
      <c r="BN16" s="72">
        <f>'Fuel Vol and Credit Gen'!BN61</f>
        <v>6522764.2536065234</v>
      </c>
      <c r="BO16" s="72">
        <f>'Fuel Vol and Credit Gen'!BO61</f>
        <v>6749944.1798423184</v>
      </c>
      <c r="BP16" s="72">
        <f>'Fuel Vol and Credit Gen'!BP61</f>
        <v>7294501.1126902066</v>
      </c>
      <c r="BQ16" s="72">
        <f>'Fuel Vol and Credit Gen'!BQ61</f>
        <v>8230885.4447222827</v>
      </c>
      <c r="BR16" s="72">
        <f>'Fuel Vol and Credit Gen'!BR61</f>
        <v>7109883.020349903</v>
      </c>
      <c r="BS16" s="72">
        <f>'Fuel Vol and Credit Gen'!BS61</f>
        <v>6993814.8566588499</v>
      </c>
      <c r="BT16" s="72">
        <f>'Fuel Vol and Credit Gen'!BT61</f>
        <v>7369037.2621434899</v>
      </c>
      <c r="BU16" s="72">
        <f>'Fuel Vol and Credit Gen'!BU61</f>
        <v>8627383.6314632837</v>
      </c>
      <c r="BV16" s="72">
        <f>'Fuel Vol and Credit Gen'!BV61</f>
        <v>7092476.9814586788</v>
      </c>
      <c r="BW16" s="72">
        <f>'Fuel Vol and Credit Gen'!BW61</f>
        <v>7305904.8820194146</v>
      </c>
      <c r="BX16" s="72">
        <f>'Fuel Vol and Credit Gen'!BX61</f>
        <v>7896473.7002527136</v>
      </c>
      <c r="BY16" s="72">
        <f>'Fuel Vol and Credit Gen'!BY61</f>
        <v>9311447.8687871248</v>
      </c>
      <c r="BZ16" s="72">
        <f>'Fuel Vol and Credit Gen'!BZ61</f>
        <v>7153101.5950110164</v>
      </c>
      <c r="CA16" s="72">
        <f>'Fuel Vol and Credit Gen'!CA61</f>
        <v>7992336.222675195</v>
      </c>
      <c r="CB16" s="72">
        <f>'Fuel Vol and Credit Gen'!CB61</f>
        <v>8688992.5679481979</v>
      </c>
      <c r="CC16" s="72">
        <f>'Fuel Vol and Credit Gen'!CC61</f>
        <v>10268491.405786537</v>
      </c>
      <c r="CD16" s="72">
        <f>'Fuel Vol and Credit Gen'!CD61</f>
        <v>7647715.0082246009</v>
      </c>
      <c r="CE16" s="72">
        <f>'Fuel Vol and Credit Gen'!CE61</f>
        <v>8422356.1097580623</v>
      </c>
      <c r="CF16" s="72">
        <f>'Fuel Vol and Credit Gen'!CF61</f>
        <v>9262699.7055894975</v>
      </c>
      <c r="CG16" s="72">
        <f>'Fuel Vol and Credit Gen'!CG61</f>
        <v>10694526.749509273</v>
      </c>
      <c r="CH16" s="72">
        <f>'Fuel Vol and Credit Gen'!CH61</f>
        <v>8025987.7600173857</v>
      </c>
      <c r="CI16" s="72">
        <f>'Fuel Vol and Credit Gen'!CI61</f>
        <v>9614927.9276334327</v>
      </c>
      <c r="CJ16" s="72">
        <f>'Fuel Vol and Credit Gen'!CJ61</f>
        <v>10654840.994761989</v>
      </c>
      <c r="CK16" s="72">
        <f>'Fuel Vol and Credit Gen'!CK61</f>
        <v>11688613.072071284</v>
      </c>
      <c r="CL16" s="72">
        <f>'Fuel Vol and Credit Gen'!CL61</f>
        <v>8937348.9664670508</v>
      </c>
      <c r="CM16" s="72">
        <f>'Fuel Vol and Credit Gen'!CM61</f>
        <v>9905401.8323172461</v>
      </c>
      <c r="CN16" s="72">
        <f>'Fuel Vol and Credit Gen'!CN61</f>
        <v>10900050.806156855</v>
      </c>
      <c r="CO16" s="72">
        <f>'Fuel Vol and Credit Gen'!CO61</f>
        <v>12170052.141509131</v>
      </c>
      <c r="CP16" s="72">
        <f>'Fuel Vol and Credit Gen'!CP61</f>
        <v>9042993.2943585888</v>
      </c>
      <c r="CQ16" s="72">
        <f>'Fuel Vol and Credit Gen'!CQ61</f>
        <v>10237500.932004021</v>
      </c>
      <c r="CR16" s="72">
        <f>'Fuel Vol and Credit Gen'!CR61</f>
        <v>11252276.462277202</v>
      </c>
      <c r="CS16" s="72">
        <f>'Fuel Vol and Credit Gen'!CS61</f>
        <v>12784207.17151124</v>
      </c>
      <c r="CT16" s="72">
        <f>'Fuel Vol and Credit Gen'!CT61</f>
        <v>9073984.2507058587</v>
      </c>
      <c r="CU16" s="72">
        <f>'Fuel Vol and Credit Gen'!CU61</f>
        <v>10696641.424589287</v>
      </c>
      <c r="CV16" s="72">
        <f>'Fuel Vol and Credit Gen'!CV61</f>
        <v>11802141.815853752</v>
      </c>
      <c r="CW16" s="72">
        <f>'Fuel Vol and Credit Gen'!CW61</f>
        <v>13023461.163282629</v>
      </c>
      <c r="CX16" s="72">
        <f>'Fuel Vol and Credit Gen'!CX61</f>
        <v>9548310.0553596392</v>
      </c>
      <c r="CY16" s="72">
        <f>'Fuel Vol and Credit Gen'!CY61</f>
        <v>9639058.6752550658</v>
      </c>
      <c r="CZ16" s="72">
        <f>'Fuel Vol and Credit Gen'!CZ61</f>
        <v>10451638.17482505</v>
      </c>
      <c r="DA16" s="72">
        <f>'Fuel Vol and Credit Gen'!DA61</f>
        <v>10995759.54925907</v>
      </c>
      <c r="DB16" s="72">
        <f>'Fuel Vol and Credit Gen'!DB61</f>
        <v>9389642.1132446397</v>
      </c>
      <c r="DC16" s="72">
        <f>'Fuel Vol and Credit Gen'!DC61</f>
        <v>10205890.032501793</v>
      </c>
      <c r="DD16" s="72">
        <f>'Fuel Vol and Credit Gen'!DD61</f>
        <v>10960018.582385158</v>
      </c>
      <c r="DE16" s="72">
        <f>'Fuel Vol and Credit Gen'!DE61</f>
        <v>11011188.661425628</v>
      </c>
      <c r="DF16" s="72">
        <f>'Fuel Vol and Credit Gen'!DF61</f>
        <v>10088799.395059453</v>
      </c>
      <c r="DG16" s="72">
        <f>'Fuel Vol and Credit Gen'!DG61</f>
        <v>10727520.983003903</v>
      </c>
      <c r="DH16" s="72">
        <f>'Fuel Vol and Credit Gen'!DH61</f>
        <v>11551482.022190414</v>
      </c>
      <c r="DI16" s="72">
        <f>'Fuel Vol and Credit Gen'!DI61</f>
        <v>11151905.906010563</v>
      </c>
      <c r="DJ16" s="72">
        <f>'Fuel Vol and Credit Gen'!DJ61</f>
        <v>10718770.935572831</v>
      </c>
      <c r="DK16" s="72">
        <f>'Fuel Vol and Credit Gen'!DK61</f>
        <v>10749864.081472881</v>
      </c>
      <c r="DL16" s="72">
        <f>'Fuel Vol and Credit Gen'!DL61</f>
        <v>11450459.471916247</v>
      </c>
      <c r="DM16" s="72">
        <f>'Fuel Vol and Credit Gen'!DM61</f>
        <v>11072952.367778178</v>
      </c>
      <c r="DN16" s="72">
        <f>'Fuel Vol and Credit Gen'!DN61</f>
        <v>10740325.640253864</v>
      </c>
      <c r="DO16" s="72">
        <f>'Fuel Vol and Credit Gen'!DO61</f>
        <v>10768283.830065206</v>
      </c>
      <c r="DP16" s="72">
        <f>'Fuel Vol and Credit Gen'!DP61</f>
        <v>11319665.897073312</v>
      </c>
      <c r="DQ16" s="72">
        <f>'Fuel Vol and Credit Gen'!DQ61</f>
        <v>11789186.869279912</v>
      </c>
      <c r="DR16" s="72">
        <f>'Fuel Vol and Credit Gen'!DR61</f>
        <v>10166081.40788902</v>
      </c>
      <c r="DS16" s="72">
        <f>'Fuel Vol and Credit Gen'!DS61</f>
        <v>9889256.0667434223</v>
      </c>
      <c r="DT16" s="72">
        <f>'Fuel Vol and Credit Gen'!DT61</f>
        <v>10080470.07731194</v>
      </c>
      <c r="DU16" s="72">
        <f>'Fuel Vol and Credit Gen'!DU61</f>
        <v>10332093.881987732</v>
      </c>
      <c r="DV16" s="72">
        <f>'Fuel Vol and Credit Gen'!DV61</f>
        <v>10168019.285898376</v>
      </c>
      <c r="DW16" s="72">
        <f>'Fuel Vol and Credit Gen'!DW61</f>
        <v>9890556.0452017728</v>
      </c>
      <c r="DX16" s="72">
        <f>'Fuel Vol and Credit Gen'!DX61</f>
        <v>10082300.302357905</v>
      </c>
      <c r="DY16" s="72">
        <f>'Fuel Vol and Credit Gen'!DY61</f>
        <v>10334733.299208086</v>
      </c>
      <c r="DZ16" s="72">
        <f>'Fuel Vol and Credit Gen'!DZ61</f>
        <v>10335243.800786555</v>
      </c>
    </row>
    <row r="17" spans="1:144" x14ac:dyDescent="0.2">
      <c r="A17" s="39" t="s">
        <v>172</v>
      </c>
      <c r="B17" s="39" t="s">
        <v>170</v>
      </c>
      <c r="C17" s="70">
        <v>0</v>
      </c>
      <c r="D17" s="70">
        <v>0</v>
      </c>
      <c r="E17" s="70">
        <v>0</v>
      </c>
      <c r="F17" s="70">
        <v>0</v>
      </c>
      <c r="G17" s="70">
        <v>0</v>
      </c>
      <c r="H17" s="70">
        <v>0</v>
      </c>
      <c r="I17" s="70">
        <v>0</v>
      </c>
      <c r="J17" s="70">
        <v>0</v>
      </c>
      <c r="K17" s="70">
        <v>0</v>
      </c>
      <c r="L17" s="70">
        <v>0</v>
      </c>
      <c r="M17" s="70">
        <v>0</v>
      </c>
      <c r="N17" s="70">
        <v>0</v>
      </c>
      <c r="O17" s="70">
        <v>0</v>
      </c>
      <c r="P17" s="70">
        <v>0</v>
      </c>
      <c r="Q17" s="70">
        <v>0</v>
      </c>
      <c r="R17" s="70">
        <v>0</v>
      </c>
      <c r="S17" s="70">
        <v>0</v>
      </c>
      <c r="T17" s="70">
        <v>0</v>
      </c>
      <c r="U17" s="70">
        <v>0</v>
      </c>
      <c r="V17" s="70">
        <v>0</v>
      </c>
      <c r="W17" s="70">
        <v>0</v>
      </c>
      <c r="X17" s="70">
        <v>0</v>
      </c>
      <c r="Y17" s="70">
        <v>0</v>
      </c>
      <c r="Z17" s="70">
        <v>0</v>
      </c>
      <c r="AA17" s="70">
        <v>0</v>
      </c>
      <c r="AB17" s="70">
        <v>0</v>
      </c>
      <c r="AC17" s="70">
        <v>0</v>
      </c>
      <c r="AD17" s="70">
        <v>0</v>
      </c>
      <c r="AE17" s="70">
        <v>0</v>
      </c>
      <c r="AF17" s="70">
        <v>0</v>
      </c>
      <c r="AG17" s="70">
        <v>0</v>
      </c>
      <c r="AH17" s="70">
        <v>0</v>
      </c>
      <c r="AI17" s="70">
        <v>0</v>
      </c>
      <c r="AJ17" s="70">
        <v>0</v>
      </c>
      <c r="AK17" s="70">
        <v>0</v>
      </c>
      <c r="AL17" s="70">
        <v>0</v>
      </c>
      <c r="AM17" s="70">
        <v>124</v>
      </c>
      <c r="AN17" s="70">
        <v>56</v>
      </c>
      <c r="AO17" s="70">
        <v>609</v>
      </c>
      <c r="AP17" s="70">
        <v>2</v>
      </c>
      <c r="AQ17" s="70">
        <v>504</v>
      </c>
      <c r="AR17" s="70">
        <v>1088</v>
      </c>
      <c r="AS17" s="70">
        <v>0</v>
      </c>
      <c r="AT17" s="70">
        <v>283</v>
      </c>
      <c r="AU17" s="70">
        <v>1086</v>
      </c>
      <c r="AV17" s="71">
        <v>413</v>
      </c>
      <c r="AW17" s="71">
        <v>25</v>
      </c>
      <c r="AX17" s="71">
        <v>0</v>
      </c>
      <c r="AY17" s="71">
        <v>145</v>
      </c>
      <c r="AZ17" s="71">
        <v>1844</v>
      </c>
      <c r="BA17" s="71">
        <v>0</v>
      </c>
      <c r="BB17" s="71">
        <v>583</v>
      </c>
      <c r="BC17" s="71">
        <v>0</v>
      </c>
      <c r="BD17" s="71">
        <v>0</v>
      </c>
      <c r="BE17" s="71">
        <f>_xlfn.FORECAST.ETS(BE19,AU17:BD17,AU19:BD19)+125</f>
        <v>365.78133209890638</v>
      </c>
      <c r="BF17" s="72">
        <f>_xlfn.FORECAST.ETS(BF19,AV17:BE17,AV19:BE19)+125</f>
        <v>466.27657895647576</v>
      </c>
      <c r="BG17" s="72">
        <f t="shared" ref="BG17" si="5">_xlfn.FORECAST.ETS(BG19,AW17:BF17,AW19:BF19)+125</f>
        <v>400.41927641844006</v>
      </c>
      <c r="BH17" s="72">
        <f>_xlfn.FORECAST.ETS(BH19,AX17:BG17,AX19:BG19)+50</f>
        <v>256.90753564786132</v>
      </c>
      <c r="BI17" s="72">
        <f>_xlfn.FORECAST.ETS(BI19,AY17:BH17,AY19:BH19)+25</f>
        <v>79.628247355049524</v>
      </c>
      <c r="BJ17" s="72">
        <f t="shared" ref="BJ17" si="6">_xlfn.FORECAST.ETS(BJ19,AZ17:BI17,AZ19:BI19)+25</f>
        <v>49.577631916001359</v>
      </c>
      <c r="BK17" s="72">
        <f>_xlfn.FORECAST.ETS(BK19,BA17:BJ17,BA19:BJ19)</f>
        <v>170.84139938461365</v>
      </c>
      <c r="BL17" s="72">
        <f t="shared" ref="BL17:BS17" si="7">_xlfn.FORECAST.ETS(BL19,BB17:BK17,BB19:BK19)</f>
        <v>136.29160223194739</v>
      </c>
      <c r="BM17" s="72">
        <f t="shared" si="7"/>
        <v>135.67261925296273</v>
      </c>
      <c r="BN17" s="72">
        <f t="shared" si="7"/>
        <v>115.50772953160988</v>
      </c>
      <c r="BO17" s="72">
        <f t="shared" si="7"/>
        <v>-7.0137304656578072</v>
      </c>
      <c r="BP17" s="72">
        <f t="shared" si="7"/>
        <v>-38.914283543190727</v>
      </c>
      <c r="BQ17" s="72">
        <f t="shared" si="7"/>
        <v>-71.005470183177707</v>
      </c>
      <c r="BR17" s="72">
        <f t="shared" si="7"/>
        <v>-95.958755913228472</v>
      </c>
      <c r="BS17" s="72">
        <f t="shared" si="7"/>
        <v>-119.47005433480589</v>
      </c>
      <c r="BT17" s="72">
        <f>_xlfn.FORECAST.ETS(BT19,BJ17:BS17,BJ19:BS19)</f>
        <v>-150.85682959517388</v>
      </c>
      <c r="BU17" s="72">
        <f t="shared" ref="BU17:CW17" si="8">_xlfn.FORECAST.ETS(BU19,BK17:BT17,BK19:BT19)</f>
        <v>-210.75470573244968</v>
      </c>
      <c r="BV17" s="72">
        <f t="shared" si="8"/>
        <v>-254.76627182681162</v>
      </c>
      <c r="BW17" s="72">
        <f t="shared" si="8"/>
        <v>-292.55510195662737</v>
      </c>
      <c r="BX17" s="72">
        <f t="shared" si="8"/>
        <v>-332.30351153554295</v>
      </c>
      <c r="BY17" s="72">
        <f t="shared" si="8"/>
        <v>-369.35852777018908</v>
      </c>
      <c r="BZ17" s="72">
        <f t="shared" si="8"/>
        <v>-407.30001760014483</v>
      </c>
      <c r="CA17" s="72">
        <f t="shared" si="8"/>
        <v>-446.66520033649448</v>
      </c>
      <c r="CB17" s="72">
        <f t="shared" si="8"/>
        <v>-487.18197745834181</v>
      </c>
      <c r="CC17" s="72">
        <f t="shared" si="8"/>
        <v>-529.2548311947395</v>
      </c>
      <c r="CD17" s="72">
        <f t="shared" si="8"/>
        <v>-569.60779924760197</v>
      </c>
      <c r="CE17" s="72">
        <f t="shared" si="8"/>
        <v>-608.91798774685378</v>
      </c>
      <c r="CF17" s="72">
        <f t="shared" si="8"/>
        <v>-648.43374515850792</v>
      </c>
      <c r="CG17" s="72">
        <f t="shared" si="8"/>
        <v>-687.93838955071351</v>
      </c>
      <c r="CH17" s="72">
        <f t="shared" si="8"/>
        <v>-727.44320290760118</v>
      </c>
      <c r="CI17" s="72">
        <f t="shared" si="8"/>
        <v>-767.50690560464454</v>
      </c>
      <c r="CJ17" s="72">
        <f t="shared" si="8"/>
        <v>-807.55921670501732</v>
      </c>
      <c r="CK17" s="72">
        <f t="shared" si="8"/>
        <v>-847.55183436538164</v>
      </c>
      <c r="CL17" s="72">
        <f t="shared" si="8"/>
        <v>-887.39267337025467</v>
      </c>
      <c r="CM17" s="72">
        <f t="shared" si="8"/>
        <v>-927.13147529677053</v>
      </c>
      <c r="CN17" s="72">
        <f t="shared" si="8"/>
        <v>-966.88213265807792</v>
      </c>
      <c r="CO17" s="72">
        <f t="shared" si="8"/>
        <v>-1006.6325536947129</v>
      </c>
      <c r="CP17" s="72">
        <f t="shared" si="8"/>
        <v>-1046.4537603859858</v>
      </c>
      <c r="CQ17" s="72">
        <f t="shared" si="8"/>
        <v>-1086.3152428822548</v>
      </c>
      <c r="CR17" s="72">
        <f t="shared" si="8"/>
        <v>-1126.1719675769582</v>
      </c>
      <c r="CS17" s="72">
        <f t="shared" si="8"/>
        <v>-1166.0287874050832</v>
      </c>
      <c r="CT17" s="72">
        <f t="shared" si="8"/>
        <v>-1205.8354423516664</v>
      </c>
      <c r="CU17" s="72">
        <f t="shared" si="8"/>
        <v>-1245.6472642810213</v>
      </c>
      <c r="CV17" s="72">
        <f t="shared" si="8"/>
        <v>-1285.4589858806107</v>
      </c>
      <c r="CW17" s="72">
        <f t="shared" si="8"/>
        <v>-1325.2707074802115</v>
      </c>
      <c r="CX17" s="72">
        <f>_xlfn.FORECAST.ETS(CX19,CN17:CW17,CN19:CW19)+1</f>
        <v>-1364.1007570116078</v>
      </c>
      <c r="CY17" s="72">
        <f t="shared" ref="CY17" si="9">_xlfn.FORECAST.ETS(CY19,CO17:CX17,CO19:CX19)+1</f>
        <v>-1403.4945698869269</v>
      </c>
      <c r="CZ17" s="72">
        <f>_xlfn.FORECAST.ETS(CZ19,CP17:CY17,CP19:CY19)</f>
        <v>-1442.6079972786767</v>
      </c>
      <c r="DA17" s="72">
        <f t="shared" ref="DA17:DL17" si="10">_xlfn.FORECAST.ETS(DA19,CQ17:CZ17,CQ19:CZ19)</f>
        <v>-1481.7396556490478</v>
      </c>
      <c r="DB17" s="72">
        <f t="shared" si="10"/>
        <v>-1520.8718213236898</v>
      </c>
      <c r="DC17" s="72">
        <f t="shared" si="10"/>
        <v>-1560.0004633761055</v>
      </c>
      <c r="DD17" s="72">
        <f t="shared" si="10"/>
        <v>-1599.299440139866</v>
      </c>
      <c r="DE17" s="72">
        <f t="shared" si="10"/>
        <v>-1638.5360040805699</v>
      </c>
      <c r="DF17" s="72">
        <f t="shared" si="10"/>
        <v>-1677.69327004362</v>
      </c>
      <c r="DG17" s="72">
        <f t="shared" si="10"/>
        <v>-1716.8424536089897</v>
      </c>
      <c r="DH17" s="72">
        <f t="shared" si="10"/>
        <v>-1756.0343035424098</v>
      </c>
      <c r="DI17" s="72">
        <f t="shared" si="10"/>
        <v>-1795.2123987162295</v>
      </c>
      <c r="DJ17" s="72">
        <f t="shared" si="10"/>
        <v>-1834.3989549837133</v>
      </c>
      <c r="DK17" s="72">
        <f t="shared" si="10"/>
        <v>-1873.6117784587818</v>
      </c>
      <c r="DL17" s="72">
        <f t="shared" si="10"/>
        <v>-1912.791585898048</v>
      </c>
      <c r="DM17" s="72">
        <f>_xlfn.FORECAST.ETS(DM19,DC17:DL17,DC19:DL19)</f>
        <v>-1951.9826187709268</v>
      </c>
      <c r="DN17" s="72">
        <f t="shared" ref="DN17:DY17" si="11">_xlfn.FORECAST.ETS(DN19,DD17:DM17,DD19:DM19)</f>
        <v>-1991.1503910117722</v>
      </c>
      <c r="DO17" s="72">
        <f t="shared" si="11"/>
        <v>-2030.3349609002607</v>
      </c>
      <c r="DP17" s="72">
        <f t="shared" si="11"/>
        <v>-2069.5217886146579</v>
      </c>
      <c r="DQ17" s="72">
        <f t="shared" si="11"/>
        <v>-2108.7145148998075</v>
      </c>
      <c r="DR17" s="72">
        <f t="shared" si="11"/>
        <v>-2147.8995549412298</v>
      </c>
      <c r="DS17" s="72">
        <f t="shared" si="11"/>
        <v>-2187.0858156114487</v>
      </c>
      <c r="DT17" s="72">
        <f t="shared" si="11"/>
        <v>-2226.2711136413131</v>
      </c>
      <c r="DU17" s="72">
        <f t="shared" si="11"/>
        <v>-2265.455378734453</v>
      </c>
      <c r="DV17" s="72">
        <f t="shared" si="11"/>
        <v>-2304.6406779898384</v>
      </c>
      <c r="DW17" s="72">
        <f t="shared" si="11"/>
        <v>-2343.8262488683326</v>
      </c>
      <c r="DX17" s="72">
        <f t="shared" si="11"/>
        <v>-2383.0126814138566</v>
      </c>
      <c r="DY17" s="72">
        <f t="shared" si="11"/>
        <v>-2422.1988097789026</v>
      </c>
      <c r="DZ17" s="72">
        <f>_xlfn.FORECAST.ETS(DZ19,DP17:DY17,DP19:DY19)</f>
        <v>-2461.384614573918</v>
      </c>
    </row>
    <row r="18" spans="1:144" x14ac:dyDescent="0.2">
      <c r="A18" s="39" t="s">
        <v>173</v>
      </c>
      <c r="B18" s="39" t="s">
        <v>170</v>
      </c>
      <c r="C18" s="70">
        <v>0</v>
      </c>
      <c r="D18" s="70">
        <v>0</v>
      </c>
      <c r="E18" s="70">
        <v>0</v>
      </c>
      <c r="F18" s="70">
        <v>0</v>
      </c>
      <c r="G18" s="70">
        <v>0</v>
      </c>
      <c r="H18" s="70">
        <v>0</v>
      </c>
      <c r="I18" s="70">
        <v>0</v>
      </c>
      <c r="J18" s="70">
        <v>0</v>
      </c>
      <c r="K18" s="70">
        <v>0</v>
      </c>
      <c r="L18" s="70">
        <v>0</v>
      </c>
      <c r="M18" s="70">
        <v>0</v>
      </c>
      <c r="N18" s="70">
        <v>0</v>
      </c>
      <c r="O18" s="70">
        <v>0</v>
      </c>
      <c r="P18" s="70">
        <v>0</v>
      </c>
      <c r="Q18" s="70">
        <v>0</v>
      </c>
      <c r="R18" s="70">
        <v>0</v>
      </c>
      <c r="S18" s="70">
        <v>0</v>
      </c>
      <c r="T18" s="70">
        <v>0</v>
      </c>
      <c r="U18" s="70">
        <v>0</v>
      </c>
      <c r="V18" s="70">
        <v>0</v>
      </c>
      <c r="W18" s="70">
        <v>0</v>
      </c>
      <c r="X18" s="70">
        <v>0</v>
      </c>
      <c r="Y18" s="70">
        <v>0</v>
      </c>
      <c r="Z18" s="70">
        <v>0</v>
      </c>
      <c r="AA18" s="70">
        <v>0</v>
      </c>
      <c r="AB18" s="70">
        <v>0</v>
      </c>
      <c r="AC18" s="70">
        <v>0</v>
      </c>
      <c r="AD18" s="70">
        <v>0</v>
      </c>
      <c r="AE18" s="70">
        <v>0</v>
      </c>
      <c r="AF18" s="70">
        <v>0</v>
      </c>
      <c r="AG18" s="70">
        <v>0</v>
      </c>
      <c r="AH18" s="70">
        <v>0</v>
      </c>
      <c r="AI18" s="70">
        <v>0</v>
      </c>
      <c r="AJ18" s="70">
        <v>0</v>
      </c>
      <c r="AK18" s="70">
        <v>0</v>
      </c>
      <c r="AL18" s="70">
        <v>0</v>
      </c>
      <c r="AM18" s="70">
        <v>136</v>
      </c>
      <c r="AN18" s="70">
        <v>3</v>
      </c>
      <c r="AO18" s="70">
        <v>59</v>
      </c>
      <c r="AP18" s="70">
        <v>104</v>
      </c>
      <c r="AQ18" s="70">
        <v>73</v>
      </c>
      <c r="AR18" s="70">
        <v>0</v>
      </c>
      <c r="AS18" s="70">
        <v>205</v>
      </c>
      <c r="AT18" s="70">
        <v>0</v>
      </c>
      <c r="AU18" s="70">
        <v>0</v>
      </c>
      <c r="AV18" s="71">
        <v>261</v>
      </c>
      <c r="AW18" s="71">
        <v>744</v>
      </c>
      <c r="AX18" s="71">
        <v>60</v>
      </c>
      <c r="AY18" s="71">
        <v>266</v>
      </c>
      <c r="AZ18" s="71">
        <v>231</v>
      </c>
      <c r="BA18" s="71">
        <v>100</v>
      </c>
      <c r="BB18" s="71">
        <v>28</v>
      </c>
      <c r="BC18" s="71">
        <v>52</v>
      </c>
      <c r="BD18" s="71">
        <v>36</v>
      </c>
      <c r="BE18" s="71">
        <v>0</v>
      </c>
      <c r="BF18" s="72">
        <v>0</v>
      </c>
      <c r="BG18" s="72">
        <v>0</v>
      </c>
      <c r="BH18" s="72">
        <v>0</v>
      </c>
      <c r="BI18" s="72">
        <v>0</v>
      </c>
      <c r="BJ18" s="72">
        <v>0</v>
      </c>
      <c r="BK18" s="72">
        <f t="shared" ref="BK18" si="12">_xlfn.FORECAST.ETS(BK$19,BA18:BJ18,BA$19:BJ$19)</f>
        <v>-11.866072514645323</v>
      </c>
      <c r="BL18" s="72">
        <v>0</v>
      </c>
      <c r="BM18" s="72">
        <f t="shared" ref="BM18" si="13">_xlfn.FORECAST.ETS(BM$19,BC18:BL18,BC$19:BL$19)</f>
        <v>-6.4893169795074916</v>
      </c>
      <c r="BN18" s="72">
        <v>0</v>
      </c>
      <c r="BO18" s="72">
        <f t="shared" ref="BO18" si="14">_xlfn.FORECAST.ETS(BO$19,BE18:BN18,BE$19:BN$19)</f>
        <v>-4.8831097160187387</v>
      </c>
      <c r="BP18" s="72">
        <v>0</v>
      </c>
      <c r="BQ18" s="72">
        <f t="shared" ref="BQ18" si="15">_xlfn.FORECAST.ETS(BQ$19,BG18:BP18,BG$19:BP$19)</f>
        <v>-6.5052851554474067</v>
      </c>
      <c r="BR18" s="72">
        <v>0</v>
      </c>
      <c r="BS18" s="72">
        <f t="shared" ref="BS18" si="16">_xlfn.FORECAST.ETS(BS$19,BI18:BR18,BI$19:BR$19)</f>
        <v>-6.3564599400220345</v>
      </c>
      <c r="BT18" s="72">
        <v>0</v>
      </c>
      <c r="BU18" s="72">
        <f t="shared" ref="BU18" si="17">_xlfn.FORECAST.ETS(BU$19,BK18:BT18,BK$19:BT$19)</f>
        <v>-6.7433177939301796</v>
      </c>
      <c r="BV18" s="72">
        <v>0</v>
      </c>
      <c r="BW18" s="72">
        <f t="shared" ref="BW18" si="18">_xlfn.FORECAST.ETS(BW$19,BM18:BV18,BM$19:BV$19)</f>
        <v>-6.4256939955843562</v>
      </c>
      <c r="BX18" s="72">
        <v>0</v>
      </c>
      <c r="BY18" s="72">
        <f t="shared" ref="BY18" si="19">_xlfn.FORECAST.ETS(BY$19,BO18:BX18,BO$19:BX$19)</f>
        <v>-6.5235849465816038</v>
      </c>
      <c r="BZ18" s="72">
        <v>0</v>
      </c>
      <c r="CA18" s="72">
        <f t="shared" ref="CA18" si="20">_xlfn.FORECAST.ETS(CA$19,BQ18:BZ18,BQ$19:BZ$19)</f>
        <v>-6.5369059780800667</v>
      </c>
      <c r="CB18" s="72">
        <v>0</v>
      </c>
      <c r="CC18" s="72">
        <f t="shared" ref="CC18" si="21">_xlfn.FORECAST.ETS(CC$19,BS18:CB18,BS$19:CB$19)</f>
        <v>-6.5204343885977458</v>
      </c>
      <c r="CD18" s="72">
        <v>0</v>
      </c>
      <c r="CE18" s="72">
        <f t="shared" ref="CE18" si="22">_xlfn.FORECAST.ETS(CE$19,BU18:CD18,BU$19:CD$19)</f>
        <v>-6.5372441763430587</v>
      </c>
      <c r="CF18" s="72">
        <v>0</v>
      </c>
      <c r="CG18" s="72">
        <f t="shared" ref="CG18" si="23">_xlfn.FORECAST.ETS(CG$19,BW18:CF18,BW$19:CF$19)</f>
        <v>-6.5327597251614904</v>
      </c>
      <c r="CH18" s="72">
        <v>0</v>
      </c>
      <c r="CI18" s="72">
        <f t="shared" ref="CI18" si="24">_xlfn.FORECAST.ETS(CI$19,BY18:CH18,BY$19:CH$19)</f>
        <v>-6.5301884950387397</v>
      </c>
      <c r="CJ18" s="72">
        <v>0</v>
      </c>
      <c r="CK18" s="72">
        <f t="shared" ref="CK18" si="25">_xlfn.FORECAST.ETS(CK$19,CA18:CJ18,CA$19:CJ$19)</f>
        <v>-6.5319129535478986</v>
      </c>
      <c r="CL18" s="72">
        <v>0</v>
      </c>
      <c r="CM18" s="72">
        <f t="shared" ref="CM18" si="26">_xlfn.FORECAST.ETS(CM$19,CC18:CL18,CC$19:CL$19)</f>
        <v>-6.5313063026182618</v>
      </c>
      <c r="CN18" s="72">
        <v>0</v>
      </c>
      <c r="CO18" s="72">
        <f t="shared" ref="CO18" si="27">_xlfn.FORECAST.ETS(CO$19,CE18:CN18,CE$19:CN$19)</f>
        <v>-6.5321223984105048</v>
      </c>
      <c r="CP18" s="72">
        <v>0</v>
      </c>
      <c r="CQ18" s="72">
        <f t="shared" ref="CQ18" si="28">_xlfn.FORECAST.ETS(CQ$19,CG18:CP18,CG$19:CP$19)</f>
        <v>-6.5317353927699857</v>
      </c>
      <c r="CR18" s="72">
        <v>0</v>
      </c>
      <c r="CS18" s="72">
        <f t="shared" ref="CS18" si="29">_xlfn.FORECAST.ETS(CS$19,CI18:CR18,CI$19:CR$19)</f>
        <v>-6.5317987155093551</v>
      </c>
      <c r="CT18" s="72">
        <v>0</v>
      </c>
      <c r="CU18" s="72">
        <f t="shared" ref="CU18" si="30">_xlfn.FORECAST.ETS(CU$19,CK18:CT18,CK$19:CT$19)</f>
        <v>-6.5318572733365219</v>
      </c>
      <c r="CV18" s="72">
        <v>0</v>
      </c>
      <c r="CW18" s="72">
        <f t="shared" ref="CW18" si="31">_xlfn.FORECAST.ETS(CW$19,CM18:CV18,CM$19:CV$19)</f>
        <v>-6.5317879691960909</v>
      </c>
      <c r="CX18" s="72">
        <v>0</v>
      </c>
      <c r="CY18" s="72">
        <f t="shared" ref="CY18" si="32">_xlfn.FORECAST.ETS(CY$19,CO18:CX18,CO$19:CX$19)</f>
        <v>-6.5318348560216348</v>
      </c>
      <c r="CZ18" s="72">
        <v>0</v>
      </c>
      <c r="DA18" s="72">
        <f t="shared" ref="DA18" si="33">_xlfn.FORECAST.ETS(DA$19,CQ18:CZ18,CQ$19:CZ$19)</f>
        <v>-6.5318211258470811</v>
      </c>
      <c r="DB18" s="72">
        <v>0</v>
      </c>
      <c r="DC18" s="72">
        <f t="shared" ref="DC18" si="34">_xlfn.FORECAST.ETS(DC$19,CS18:DB18,CS$19:DB$19)</f>
        <v>-6.5318183336656777</v>
      </c>
      <c r="DD18" s="72">
        <v>0</v>
      </c>
      <c r="DE18" s="72">
        <f t="shared" ref="DE18" si="35">_xlfn.FORECAST.ETS(DE$19,CU18:DD18,CU$19:DD$19)</f>
        <v>-6.5318232631749993</v>
      </c>
      <c r="DF18" s="72">
        <v>0</v>
      </c>
      <c r="DG18" s="72">
        <f t="shared" ref="DG18" si="36">_xlfn.FORECAST.ETS(DG$19,CW18:DF18,CW$19:DF$19)</f>
        <v>-6.531819325834233</v>
      </c>
      <c r="DH18" s="72">
        <v>0</v>
      </c>
      <c r="DI18" s="72">
        <f t="shared" ref="DI18" si="37">_xlfn.FORECAST.ETS(DI$19,CY18:DH18,CY$19:DH$19)</f>
        <v>-6.5318218961827199</v>
      </c>
      <c r="DJ18" s="72">
        <v>0</v>
      </c>
      <c r="DK18" s="72">
        <f t="shared" ref="DK18" si="38">_xlfn.FORECAST.ETS(DK$19,DA18:DJ18,DA$19:DJ$19)</f>
        <v>-6.5318214243835158</v>
      </c>
      <c r="DL18" s="72">
        <v>0</v>
      </c>
      <c r="DM18" s="72">
        <f t="shared" ref="DM18" si="39">_xlfn.FORECAST.ETS(DM$19,DC18:DL18,DC$19:DL$19)</f>
        <v>-6.5318209919673604</v>
      </c>
      <c r="DN18" s="72">
        <v>0</v>
      </c>
      <c r="DO18" s="72">
        <f t="shared" ref="DO18" si="40">_xlfn.FORECAST.ETS(DO$19,DE18:DN18,DE$19:DN$19)</f>
        <v>-6.5318213098537541</v>
      </c>
      <c r="DP18" s="72">
        <v>0</v>
      </c>
      <c r="DQ18" s="72">
        <f t="shared" ref="DQ18" si="41">_xlfn.FORECAST.ETS(DQ$19,DG18:DP18,DG$19:DP$19)</f>
        <v>-6.5318211370535151</v>
      </c>
      <c r="DR18" s="72">
        <v>0</v>
      </c>
      <c r="DS18" s="72">
        <f t="shared" ref="DS18" si="42">_xlfn.FORECAST.ETS(DS$19,DI18:DR18,DI$19:DR$19)</f>
        <v>-6.5318212201676253</v>
      </c>
      <c r="DT18" s="72">
        <v>0</v>
      </c>
      <c r="DU18" s="72">
        <f t="shared" ref="DU18" si="43">_xlfn.FORECAST.ETS(DU$19,DK18:DT18,DK$19:DT$19)</f>
        <v>-6.5318212149226405</v>
      </c>
      <c r="DV18" s="72">
        <v>0</v>
      </c>
      <c r="DW18" s="72">
        <f t="shared" ref="DW18" si="44">_xlfn.FORECAST.ETS(DW$19,DM18:DV18,DM$19:DV$19)</f>
        <v>-6.5318211800647532</v>
      </c>
      <c r="DX18" s="72">
        <v>0</v>
      </c>
      <c r="DY18" s="72">
        <f t="shared" ref="DY18" si="45">_xlfn.FORECAST.ETS(DY$19,DO18:DX18,DO$19:DX$19)</f>
        <v>-6.5318212050561426</v>
      </c>
      <c r="DZ18" s="72">
        <v>0</v>
      </c>
    </row>
    <row r="19" spans="1:144" x14ac:dyDescent="0.2">
      <c r="A19" s="39"/>
      <c r="B19" s="39"/>
      <c r="C19" s="73">
        <v>40603</v>
      </c>
      <c r="D19" s="73">
        <v>40695</v>
      </c>
      <c r="E19" s="73">
        <v>40787</v>
      </c>
      <c r="F19" s="73">
        <v>40878</v>
      </c>
      <c r="G19" s="73">
        <v>40969</v>
      </c>
      <c r="H19" s="73">
        <v>41061</v>
      </c>
      <c r="I19" s="73">
        <v>41153</v>
      </c>
      <c r="J19" s="73">
        <v>41244</v>
      </c>
      <c r="K19" s="73">
        <v>41334</v>
      </c>
      <c r="L19" s="73">
        <v>41426</v>
      </c>
      <c r="M19" s="73">
        <v>41518</v>
      </c>
      <c r="N19" s="73">
        <v>41609</v>
      </c>
      <c r="O19" s="73">
        <v>41699</v>
      </c>
      <c r="P19" s="73">
        <v>41791</v>
      </c>
      <c r="Q19" s="73">
        <v>41883</v>
      </c>
      <c r="R19" s="73">
        <v>41974</v>
      </c>
      <c r="S19" s="73">
        <v>42064</v>
      </c>
      <c r="T19" s="73">
        <v>42156</v>
      </c>
      <c r="U19" s="73">
        <v>42248</v>
      </c>
      <c r="V19" s="73">
        <v>42339</v>
      </c>
      <c r="W19" s="73">
        <v>42430</v>
      </c>
      <c r="X19" s="73">
        <v>42522</v>
      </c>
      <c r="Y19" s="73">
        <v>42614</v>
      </c>
      <c r="Z19" s="73">
        <v>42705</v>
      </c>
      <c r="AA19" s="73">
        <v>42795</v>
      </c>
      <c r="AB19" s="73">
        <v>42887</v>
      </c>
      <c r="AC19" s="73">
        <v>42979</v>
      </c>
      <c r="AD19" s="73">
        <v>43070</v>
      </c>
      <c r="AE19" s="73">
        <v>43160</v>
      </c>
      <c r="AF19" s="73">
        <v>43252</v>
      </c>
      <c r="AG19" s="73">
        <v>43344</v>
      </c>
      <c r="AH19" s="73">
        <v>43435</v>
      </c>
      <c r="AI19" s="73">
        <v>43525</v>
      </c>
      <c r="AJ19" s="73">
        <v>43617</v>
      </c>
      <c r="AK19" s="73">
        <v>43709</v>
      </c>
      <c r="AL19" s="73">
        <v>43800</v>
      </c>
      <c r="AM19" s="73">
        <v>43891</v>
      </c>
      <c r="AN19" s="73">
        <v>43983</v>
      </c>
      <c r="AO19" s="73">
        <v>44075</v>
      </c>
      <c r="AP19" s="73">
        <v>44166</v>
      </c>
      <c r="AQ19" s="73">
        <v>44256</v>
      </c>
      <c r="AR19" s="73">
        <v>44348</v>
      </c>
      <c r="AS19" s="73">
        <v>44440</v>
      </c>
      <c r="AT19" s="73">
        <v>44531</v>
      </c>
      <c r="AU19" s="73">
        <v>44621</v>
      </c>
      <c r="AV19" s="73">
        <v>44713</v>
      </c>
      <c r="AW19" s="73">
        <v>44805</v>
      </c>
      <c r="AX19" s="73">
        <v>44896</v>
      </c>
      <c r="AY19" s="73">
        <v>44986</v>
      </c>
      <c r="AZ19" s="73">
        <v>45078</v>
      </c>
      <c r="BA19" s="73">
        <v>45170</v>
      </c>
      <c r="BB19" s="73">
        <v>45261</v>
      </c>
      <c r="BC19" s="73">
        <v>45352</v>
      </c>
      <c r="BD19" s="73">
        <v>45444</v>
      </c>
      <c r="BE19" s="73">
        <v>45536</v>
      </c>
      <c r="BF19" s="73">
        <v>45627</v>
      </c>
      <c r="BG19" s="73">
        <v>45717</v>
      </c>
      <c r="BH19" s="73">
        <v>45809</v>
      </c>
      <c r="BI19" s="73">
        <v>45901</v>
      </c>
      <c r="BJ19" s="73">
        <v>45992</v>
      </c>
      <c r="BK19" s="73">
        <v>46082</v>
      </c>
      <c r="BL19" s="73">
        <v>46174</v>
      </c>
      <c r="BM19" s="73">
        <v>46266</v>
      </c>
      <c r="BN19" s="73">
        <v>46357</v>
      </c>
      <c r="BO19" s="73">
        <v>46447</v>
      </c>
      <c r="BP19" s="73">
        <v>46539</v>
      </c>
      <c r="BQ19" s="73">
        <v>46631</v>
      </c>
      <c r="BR19" s="73">
        <v>46722</v>
      </c>
      <c r="BS19" s="73">
        <v>46813</v>
      </c>
      <c r="BT19" s="73">
        <v>46905</v>
      </c>
      <c r="BU19" s="73">
        <v>46997</v>
      </c>
      <c r="BV19" s="73">
        <v>47088</v>
      </c>
      <c r="BW19" s="73">
        <v>47178</v>
      </c>
      <c r="BX19" s="73">
        <v>47270</v>
      </c>
      <c r="BY19" s="73">
        <v>47362</v>
      </c>
      <c r="BZ19" s="73">
        <v>47453</v>
      </c>
      <c r="CA19" s="73">
        <v>47543</v>
      </c>
      <c r="CB19" s="73">
        <v>47635</v>
      </c>
      <c r="CC19" s="73">
        <v>47727</v>
      </c>
      <c r="CD19" s="73">
        <v>47818</v>
      </c>
      <c r="CE19" s="73">
        <v>47908</v>
      </c>
      <c r="CF19" s="73">
        <v>48000</v>
      </c>
      <c r="CG19" s="73">
        <v>48092</v>
      </c>
      <c r="CH19" s="73">
        <v>48183</v>
      </c>
      <c r="CI19" s="73">
        <v>48274</v>
      </c>
      <c r="CJ19" s="73">
        <v>48366</v>
      </c>
      <c r="CK19" s="73">
        <v>48458</v>
      </c>
      <c r="CL19" s="73">
        <v>48549</v>
      </c>
      <c r="CM19" s="73">
        <v>48639</v>
      </c>
      <c r="CN19" s="73">
        <v>48731</v>
      </c>
      <c r="CO19" s="73">
        <v>48823</v>
      </c>
      <c r="CP19" s="73">
        <v>48914</v>
      </c>
      <c r="CQ19" s="73">
        <v>49004</v>
      </c>
      <c r="CR19" s="73">
        <v>49096</v>
      </c>
      <c r="CS19" s="73">
        <v>49188</v>
      </c>
      <c r="CT19" s="73">
        <v>49279</v>
      </c>
      <c r="CU19" s="73">
        <v>49369</v>
      </c>
      <c r="CV19" s="73">
        <v>49461</v>
      </c>
      <c r="CW19" s="73">
        <v>49553</v>
      </c>
      <c r="CX19" s="73">
        <v>49644</v>
      </c>
      <c r="CY19" s="73">
        <v>49735</v>
      </c>
      <c r="CZ19" s="73">
        <v>49827</v>
      </c>
      <c r="DA19" s="73">
        <v>49919</v>
      </c>
      <c r="DB19" s="73">
        <v>50010</v>
      </c>
      <c r="DC19" s="73">
        <v>50100</v>
      </c>
      <c r="DD19" s="73">
        <v>50192</v>
      </c>
      <c r="DE19" s="73">
        <v>50284</v>
      </c>
      <c r="DF19" s="73">
        <v>50375</v>
      </c>
      <c r="DG19" s="73">
        <v>50465</v>
      </c>
      <c r="DH19" s="73">
        <v>50557</v>
      </c>
      <c r="DI19" s="73">
        <v>50649</v>
      </c>
      <c r="DJ19" s="73">
        <v>50740</v>
      </c>
      <c r="DK19" s="73">
        <v>50830</v>
      </c>
      <c r="DL19" s="73">
        <v>50922</v>
      </c>
      <c r="DM19" s="73">
        <v>51014</v>
      </c>
      <c r="DN19" s="73">
        <v>51105</v>
      </c>
      <c r="DO19" s="73">
        <v>51196</v>
      </c>
      <c r="DP19" s="73">
        <v>51288</v>
      </c>
      <c r="DQ19" s="73">
        <v>51380</v>
      </c>
      <c r="DR19" s="73">
        <v>51471</v>
      </c>
      <c r="DS19" s="73">
        <v>51561</v>
      </c>
      <c r="DT19" s="73">
        <v>51653</v>
      </c>
      <c r="DU19" s="73">
        <v>51745</v>
      </c>
      <c r="DV19" s="73">
        <v>51836</v>
      </c>
      <c r="DW19" s="73">
        <v>51926</v>
      </c>
      <c r="DX19" s="73">
        <v>52018</v>
      </c>
      <c r="DY19" s="73">
        <v>52110</v>
      </c>
      <c r="DZ19" s="73">
        <v>52201</v>
      </c>
    </row>
    <row r="20" spans="1:144" ht="18" x14ac:dyDescent="0.2">
      <c r="A20" s="74" t="s">
        <v>174</v>
      </c>
      <c r="B20" s="64" t="s">
        <v>87</v>
      </c>
      <c r="C20" s="65"/>
      <c r="D20" s="65"/>
      <c r="E20" s="65"/>
      <c r="F20" s="65">
        <v>2011</v>
      </c>
      <c r="G20" s="65"/>
      <c r="H20" s="65"/>
      <c r="I20" s="65"/>
      <c r="J20" s="65">
        <v>2012</v>
      </c>
      <c r="K20" s="65"/>
      <c r="L20" s="65"/>
      <c r="M20" s="65"/>
      <c r="N20" s="65">
        <v>2013</v>
      </c>
      <c r="O20" s="65"/>
      <c r="P20" s="65"/>
      <c r="Q20" s="65"/>
      <c r="R20" s="65">
        <v>2014</v>
      </c>
      <c r="S20" s="65"/>
      <c r="T20" s="65"/>
      <c r="U20" s="65"/>
      <c r="V20" s="65">
        <v>2015</v>
      </c>
      <c r="W20" s="65"/>
      <c r="X20" s="65"/>
      <c r="Y20" s="65"/>
      <c r="Z20" s="65">
        <v>2016</v>
      </c>
      <c r="AA20" s="65"/>
      <c r="AB20" s="65"/>
      <c r="AC20" s="65"/>
      <c r="AD20" s="65">
        <v>2017</v>
      </c>
      <c r="AE20" s="66"/>
      <c r="AF20" s="66"/>
      <c r="AG20" s="66"/>
      <c r="AH20" s="67">
        <v>2018</v>
      </c>
      <c r="AI20" s="67"/>
      <c r="AJ20" s="67"/>
      <c r="AK20" s="67"/>
      <c r="AL20" s="67">
        <v>2019</v>
      </c>
      <c r="AM20" s="67"/>
      <c r="AN20" s="67"/>
      <c r="AO20" s="66"/>
      <c r="AP20" s="66">
        <v>2020</v>
      </c>
      <c r="AQ20" s="66"/>
      <c r="AR20" s="66"/>
      <c r="AS20" s="66"/>
      <c r="AT20" s="66">
        <v>2021</v>
      </c>
      <c r="AU20" s="66"/>
      <c r="AV20" s="66"/>
      <c r="AW20" s="66"/>
      <c r="AX20" s="66">
        <v>2022</v>
      </c>
      <c r="AY20" s="66"/>
      <c r="AZ20" s="66"/>
      <c r="BA20" s="66"/>
      <c r="BB20" s="66">
        <v>2023</v>
      </c>
      <c r="BC20" s="66"/>
      <c r="BD20" s="66"/>
      <c r="BE20" s="66"/>
      <c r="BF20" s="66">
        <v>2024</v>
      </c>
      <c r="BG20" s="66"/>
      <c r="BH20" s="66"/>
      <c r="BI20" s="66"/>
      <c r="BJ20" s="66">
        <v>2025</v>
      </c>
      <c r="BK20" s="66"/>
      <c r="BL20" s="66"/>
      <c r="BM20" s="66"/>
      <c r="BN20" s="66">
        <v>2026</v>
      </c>
      <c r="BO20" s="66"/>
      <c r="BP20" s="66"/>
      <c r="BQ20" s="66"/>
      <c r="BR20" s="66">
        <v>2027</v>
      </c>
      <c r="BS20" s="66"/>
      <c r="BT20" s="66"/>
      <c r="BU20" s="66"/>
      <c r="BV20" s="66">
        <v>2028</v>
      </c>
      <c r="BW20" s="66"/>
      <c r="BX20" s="66"/>
      <c r="BY20" s="66"/>
      <c r="BZ20" s="66">
        <v>2029</v>
      </c>
      <c r="CA20" s="66"/>
      <c r="CB20" s="66"/>
      <c r="CC20" s="66"/>
      <c r="CD20" s="66">
        <v>2030</v>
      </c>
      <c r="CE20" s="66"/>
      <c r="CF20" s="66"/>
      <c r="CG20" s="66"/>
      <c r="CH20" s="66">
        <v>2031</v>
      </c>
      <c r="CI20" s="66"/>
      <c r="CJ20" s="66"/>
      <c r="CK20" s="66"/>
      <c r="CL20" s="66">
        <v>2032</v>
      </c>
      <c r="CM20" s="66"/>
      <c r="CN20" s="66"/>
      <c r="CO20" s="66"/>
      <c r="CP20" s="66">
        <v>2033</v>
      </c>
      <c r="CQ20" s="66"/>
      <c r="CR20" s="66"/>
      <c r="CS20" s="66"/>
      <c r="CT20" s="66">
        <v>2034</v>
      </c>
      <c r="CU20" s="66"/>
      <c r="CV20" s="66"/>
      <c r="CW20" s="66"/>
      <c r="CX20" s="66">
        <v>2035</v>
      </c>
      <c r="CY20" s="66"/>
      <c r="CZ20" s="66"/>
      <c r="DA20" s="66"/>
      <c r="DB20" s="66">
        <v>2036</v>
      </c>
      <c r="DC20" s="66"/>
      <c r="DD20" s="66"/>
      <c r="DE20" s="66"/>
      <c r="DF20" s="66">
        <v>2037</v>
      </c>
      <c r="DG20" s="66"/>
      <c r="DH20" s="66"/>
      <c r="DI20" s="66"/>
      <c r="DJ20" s="66">
        <v>2038</v>
      </c>
      <c r="DK20" s="66"/>
      <c r="DL20" s="66"/>
      <c r="DM20" s="66"/>
      <c r="DN20" s="66">
        <v>2039</v>
      </c>
      <c r="DO20" s="66"/>
      <c r="DP20" s="66"/>
      <c r="DQ20" s="66"/>
      <c r="DR20" s="66">
        <v>2040</v>
      </c>
      <c r="DS20" s="66"/>
      <c r="DT20" s="66"/>
      <c r="DU20" s="66"/>
      <c r="DV20" s="66">
        <v>2041</v>
      </c>
      <c r="DW20" s="66"/>
      <c r="DX20" s="66"/>
      <c r="DY20" s="66"/>
      <c r="DZ20" s="66">
        <v>2042</v>
      </c>
    </row>
    <row r="21" spans="1:144" x14ac:dyDescent="0.2">
      <c r="A21" s="68" t="s">
        <v>129</v>
      </c>
      <c r="B21" s="39" t="s">
        <v>130</v>
      </c>
      <c r="C21" s="39" t="s">
        <v>160</v>
      </c>
      <c r="D21" s="39" t="s">
        <v>69</v>
      </c>
      <c r="E21" s="39" t="s">
        <v>70</v>
      </c>
      <c r="F21" s="39" t="s">
        <v>71</v>
      </c>
      <c r="G21" s="39" t="s">
        <v>161</v>
      </c>
      <c r="H21" s="39" t="s">
        <v>69</v>
      </c>
      <c r="I21" s="39" t="s">
        <v>70</v>
      </c>
      <c r="J21" s="39" t="s">
        <v>71</v>
      </c>
      <c r="K21" s="39" t="s">
        <v>162</v>
      </c>
      <c r="L21" s="39" t="s">
        <v>69</v>
      </c>
      <c r="M21" s="39" t="s">
        <v>70</v>
      </c>
      <c r="N21" s="39" t="s">
        <v>71</v>
      </c>
      <c r="O21" s="39" t="s">
        <v>163</v>
      </c>
      <c r="P21" s="39" t="s">
        <v>69</v>
      </c>
      <c r="Q21" s="39" t="s">
        <v>70</v>
      </c>
      <c r="R21" s="39" t="s">
        <v>71</v>
      </c>
      <c r="S21" s="39" t="s">
        <v>164</v>
      </c>
      <c r="T21" s="39" t="s">
        <v>69</v>
      </c>
      <c r="U21" s="39" t="s">
        <v>70</v>
      </c>
      <c r="V21" s="39" t="s">
        <v>71</v>
      </c>
      <c r="W21" s="39" t="s">
        <v>165</v>
      </c>
      <c r="X21" s="39" t="s">
        <v>69</v>
      </c>
      <c r="Y21" s="39" t="s">
        <v>70</v>
      </c>
      <c r="Z21" s="39" t="s">
        <v>71</v>
      </c>
      <c r="AA21" s="39" t="s">
        <v>166</v>
      </c>
      <c r="AB21" s="39" t="s">
        <v>69</v>
      </c>
      <c r="AC21" s="39" t="s">
        <v>70</v>
      </c>
      <c r="AD21" s="39" t="s">
        <v>71</v>
      </c>
      <c r="AE21" s="39" t="s">
        <v>167</v>
      </c>
      <c r="AF21" s="39" t="s">
        <v>69</v>
      </c>
      <c r="AG21" s="39" t="s">
        <v>70</v>
      </c>
      <c r="AH21" s="39" t="s">
        <v>71</v>
      </c>
      <c r="AI21" s="39" t="s">
        <v>168</v>
      </c>
      <c r="AJ21" s="69" t="s">
        <v>69</v>
      </c>
      <c r="AK21" s="69" t="s">
        <v>70</v>
      </c>
      <c r="AL21" s="69" t="s">
        <v>71</v>
      </c>
      <c r="AM21" s="39" t="s">
        <v>169</v>
      </c>
      <c r="AN21" s="39" t="s">
        <v>69</v>
      </c>
      <c r="AO21" s="39" t="s">
        <v>70</v>
      </c>
      <c r="AP21" s="39" t="s">
        <v>71</v>
      </c>
      <c r="AQ21" s="39" t="s">
        <v>175</v>
      </c>
      <c r="AR21" s="39" t="s">
        <v>69</v>
      </c>
      <c r="AS21" s="39" t="s">
        <v>70</v>
      </c>
      <c r="AT21" s="39" t="s">
        <v>71</v>
      </c>
      <c r="AU21" s="39" t="s">
        <v>176</v>
      </c>
      <c r="AV21" s="39" t="s">
        <v>69</v>
      </c>
      <c r="AW21" s="39" t="s">
        <v>70</v>
      </c>
      <c r="AX21" s="39" t="s">
        <v>71</v>
      </c>
      <c r="AY21" s="39" t="s">
        <v>177</v>
      </c>
      <c r="AZ21" s="39" t="s">
        <v>69</v>
      </c>
      <c r="BA21" s="39" t="s">
        <v>70</v>
      </c>
      <c r="BB21" s="75" t="s">
        <v>71</v>
      </c>
      <c r="BC21" s="39" t="s">
        <v>178</v>
      </c>
      <c r="BD21" s="39" t="str">
        <f>AZ21</f>
        <v>Q2</v>
      </c>
      <c r="BE21" s="39" t="str">
        <f>BA21</f>
        <v>Q3</v>
      </c>
      <c r="BF21" s="75" t="str">
        <f>BB21</f>
        <v>Q4</v>
      </c>
      <c r="BG21" s="39" t="s">
        <v>179</v>
      </c>
      <c r="BH21" s="39" t="str">
        <f>BD21</f>
        <v>Q2</v>
      </c>
      <c r="BI21" s="39" t="str">
        <f>BE21</f>
        <v>Q3</v>
      </c>
      <c r="BJ21" s="39" t="str">
        <f>BF21</f>
        <v>Q4</v>
      </c>
      <c r="BK21" s="39" t="s">
        <v>180</v>
      </c>
      <c r="BL21" s="39" t="str">
        <f>BH21</f>
        <v>Q2</v>
      </c>
      <c r="BM21" s="39" t="str">
        <f>BI21</f>
        <v>Q3</v>
      </c>
      <c r="BN21" s="75" t="str">
        <f>BJ21</f>
        <v>Q4</v>
      </c>
      <c r="BO21" s="39" t="s">
        <v>181</v>
      </c>
      <c r="BP21" s="39" t="str">
        <f t="shared" ref="BP21:BR21" si="46">BL21</f>
        <v>Q2</v>
      </c>
      <c r="BQ21" s="39" t="str">
        <f t="shared" si="46"/>
        <v>Q3</v>
      </c>
      <c r="BR21" s="75" t="str">
        <f t="shared" si="46"/>
        <v>Q4</v>
      </c>
      <c r="BS21" s="39" t="s">
        <v>182</v>
      </c>
      <c r="BT21" s="39" t="str">
        <f t="shared" ref="BT21:BV21" si="47">BP21</f>
        <v>Q2</v>
      </c>
      <c r="BU21" s="39" t="str">
        <f t="shared" si="47"/>
        <v>Q3</v>
      </c>
      <c r="BV21" s="75" t="str">
        <f t="shared" si="47"/>
        <v>Q4</v>
      </c>
      <c r="BW21" s="39" t="s">
        <v>183</v>
      </c>
      <c r="BX21" s="39" t="str">
        <f t="shared" ref="BX21:BZ21" si="48">BT21</f>
        <v>Q2</v>
      </c>
      <c r="BY21" s="39" t="str">
        <f t="shared" si="48"/>
        <v>Q3</v>
      </c>
      <c r="BZ21" s="75" t="str">
        <f t="shared" si="48"/>
        <v>Q4</v>
      </c>
      <c r="CA21" s="39" t="s">
        <v>184</v>
      </c>
      <c r="CB21" s="39" t="str">
        <f t="shared" ref="CB21:CD21" si="49">BX21</f>
        <v>Q2</v>
      </c>
      <c r="CC21" s="39" t="str">
        <f t="shared" si="49"/>
        <v>Q3</v>
      </c>
      <c r="CD21" s="75" t="str">
        <f t="shared" si="49"/>
        <v>Q4</v>
      </c>
      <c r="CE21" s="39" t="s">
        <v>185</v>
      </c>
      <c r="CF21" s="39" t="str">
        <f t="shared" ref="CF21:CH21" si="50">CB21</f>
        <v>Q2</v>
      </c>
      <c r="CG21" s="39" t="str">
        <f t="shared" si="50"/>
        <v>Q3</v>
      </c>
      <c r="CH21" s="75" t="str">
        <f t="shared" si="50"/>
        <v>Q4</v>
      </c>
      <c r="CI21" s="39" t="s">
        <v>186</v>
      </c>
      <c r="CJ21" s="39" t="str">
        <f t="shared" ref="CJ21:CL21" si="51">CF21</f>
        <v>Q2</v>
      </c>
      <c r="CK21" s="39" t="str">
        <f t="shared" si="51"/>
        <v>Q3</v>
      </c>
      <c r="CL21" s="75" t="str">
        <f t="shared" si="51"/>
        <v>Q4</v>
      </c>
      <c r="CM21" s="39" t="s">
        <v>187</v>
      </c>
      <c r="CN21" s="39" t="str">
        <f t="shared" ref="CN21:CP21" si="52">CJ21</f>
        <v>Q2</v>
      </c>
      <c r="CO21" s="39" t="str">
        <f t="shared" si="52"/>
        <v>Q3</v>
      </c>
      <c r="CP21" s="75" t="str">
        <f t="shared" si="52"/>
        <v>Q4</v>
      </c>
      <c r="CQ21" s="39" t="s">
        <v>188</v>
      </c>
      <c r="CR21" s="39" t="str">
        <f t="shared" ref="CR21:CT21" si="53">CN21</f>
        <v>Q2</v>
      </c>
      <c r="CS21" s="39" t="str">
        <f t="shared" si="53"/>
        <v>Q3</v>
      </c>
      <c r="CT21" s="75" t="str">
        <f t="shared" si="53"/>
        <v>Q4</v>
      </c>
      <c r="CU21" s="39" t="s">
        <v>189</v>
      </c>
      <c r="CV21" s="39" t="str">
        <f t="shared" ref="CV21:CX21" si="54">CR21</f>
        <v>Q2</v>
      </c>
      <c r="CW21" s="39" t="str">
        <f t="shared" si="54"/>
        <v>Q3</v>
      </c>
      <c r="CX21" s="75" t="str">
        <f t="shared" si="54"/>
        <v>Q4</v>
      </c>
      <c r="CY21" s="39" t="s">
        <v>190</v>
      </c>
      <c r="CZ21" s="39" t="str">
        <f t="shared" ref="CZ21:DB21" si="55">CV21</f>
        <v>Q2</v>
      </c>
      <c r="DA21" s="39" t="str">
        <f t="shared" si="55"/>
        <v>Q3</v>
      </c>
      <c r="DB21" s="75" t="str">
        <f t="shared" si="55"/>
        <v>Q4</v>
      </c>
      <c r="DC21" s="39" t="s">
        <v>191</v>
      </c>
      <c r="DD21" s="39" t="str">
        <f t="shared" ref="DD21:DF21" si="56">CZ21</f>
        <v>Q2</v>
      </c>
      <c r="DE21" s="39" t="str">
        <f t="shared" si="56"/>
        <v>Q3</v>
      </c>
      <c r="DF21" s="75" t="str">
        <f t="shared" si="56"/>
        <v>Q4</v>
      </c>
      <c r="DG21" s="39" t="s">
        <v>192</v>
      </c>
      <c r="DH21" s="39" t="str">
        <f t="shared" ref="DH21:DJ21" si="57">DD21</f>
        <v>Q2</v>
      </c>
      <c r="DI21" s="39" t="str">
        <f t="shared" si="57"/>
        <v>Q3</v>
      </c>
      <c r="DJ21" s="75" t="str">
        <f t="shared" si="57"/>
        <v>Q4</v>
      </c>
      <c r="DK21" s="39" t="s">
        <v>193</v>
      </c>
      <c r="DL21" s="39" t="str">
        <f t="shared" ref="DL21:DN21" si="58">DH21</f>
        <v>Q2</v>
      </c>
      <c r="DM21" s="39" t="str">
        <f t="shared" si="58"/>
        <v>Q3</v>
      </c>
      <c r="DN21" s="75" t="str">
        <f t="shared" si="58"/>
        <v>Q4</v>
      </c>
      <c r="DO21" s="39" t="s">
        <v>194</v>
      </c>
      <c r="DP21" s="39" t="str">
        <f t="shared" ref="DP21:DR21" si="59">DL21</f>
        <v>Q2</v>
      </c>
      <c r="DQ21" s="39" t="str">
        <f t="shared" si="59"/>
        <v>Q3</v>
      </c>
      <c r="DR21" s="75" t="str">
        <f t="shared" si="59"/>
        <v>Q4</v>
      </c>
      <c r="DS21" s="39" t="s">
        <v>195</v>
      </c>
      <c r="DT21" s="39" t="str">
        <f t="shared" ref="DT21:DV21" si="60">DP21</f>
        <v>Q2</v>
      </c>
      <c r="DU21" s="39" t="str">
        <f t="shared" si="60"/>
        <v>Q3</v>
      </c>
      <c r="DV21" s="75" t="str">
        <f t="shared" si="60"/>
        <v>Q4</v>
      </c>
      <c r="DW21" s="39" t="s">
        <v>196</v>
      </c>
      <c r="DX21" s="39" t="str">
        <f t="shared" ref="DX21:DZ21" si="61">DT21</f>
        <v>Q2</v>
      </c>
      <c r="DY21" s="39" t="str">
        <f t="shared" si="61"/>
        <v>Q3</v>
      </c>
      <c r="DZ21" s="75" t="str">
        <f t="shared" si="61"/>
        <v>Q4</v>
      </c>
      <c r="EA21" s="76"/>
      <c r="EB21" s="76"/>
      <c r="EC21" s="76"/>
      <c r="ED21" s="76"/>
      <c r="EE21" s="76"/>
      <c r="EF21" s="76"/>
      <c r="EG21" s="76"/>
      <c r="EH21" s="76"/>
      <c r="EI21" s="76"/>
      <c r="EJ21" s="76"/>
      <c r="EK21" s="76"/>
      <c r="EL21" s="76"/>
      <c r="EM21" s="76"/>
      <c r="EN21" s="76"/>
    </row>
    <row r="22" spans="1:144" x14ac:dyDescent="0.2">
      <c r="A22" s="40" t="s">
        <v>131</v>
      </c>
      <c r="B22" s="39" t="s">
        <v>170</v>
      </c>
      <c r="C22" s="70">
        <v>459</v>
      </c>
      <c r="D22" s="70">
        <v>1268</v>
      </c>
      <c r="E22" s="70">
        <v>2455</v>
      </c>
      <c r="F22" s="70">
        <v>3536</v>
      </c>
      <c r="G22" s="70">
        <v>4519</v>
      </c>
      <c r="H22" s="70">
        <v>5560</v>
      </c>
      <c r="I22" s="70">
        <v>7294</v>
      </c>
      <c r="J22" s="70">
        <v>9611</v>
      </c>
      <c r="K22" s="70">
        <v>15051</v>
      </c>
      <c r="L22" s="70">
        <v>19516</v>
      </c>
      <c r="M22" s="70">
        <v>25039</v>
      </c>
      <c r="N22" s="70">
        <v>34347</v>
      </c>
      <c r="O22" s="70">
        <v>41753</v>
      </c>
      <c r="P22" s="70">
        <v>51092</v>
      </c>
      <c r="Q22" s="70">
        <v>59366</v>
      </c>
      <c r="R22" s="70">
        <v>69119</v>
      </c>
      <c r="S22" s="70">
        <v>73708</v>
      </c>
      <c r="T22" s="70">
        <v>78072</v>
      </c>
      <c r="U22" s="70">
        <v>90921</v>
      </c>
      <c r="V22" s="70">
        <v>94821</v>
      </c>
      <c r="W22" s="70">
        <v>124882</v>
      </c>
      <c r="X22" s="70">
        <v>132376</v>
      </c>
      <c r="Y22" s="70">
        <v>141880</v>
      </c>
      <c r="Z22" s="70">
        <v>165562</v>
      </c>
      <c r="AA22" s="70">
        <v>189333</v>
      </c>
      <c r="AB22" s="70">
        <v>191394</v>
      </c>
      <c r="AC22" s="70">
        <v>202791</v>
      </c>
      <c r="AD22" s="70">
        <v>218031</v>
      </c>
      <c r="AE22" s="70">
        <v>264024</v>
      </c>
      <c r="AF22" s="70">
        <v>294495</v>
      </c>
      <c r="AG22" s="70">
        <v>339373</v>
      </c>
      <c r="AH22" s="70">
        <v>372354</v>
      </c>
      <c r="AI22" s="70">
        <v>0</v>
      </c>
      <c r="AJ22" s="70">
        <v>0</v>
      </c>
      <c r="AK22" s="70">
        <v>0</v>
      </c>
      <c r="AL22" s="70">
        <v>0</v>
      </c>
      <c r="AM22" s="70">
        <v>0</v>
      </c>
      <c r="AN22" s="70">
        <v>0</v>
      </c>
      <c r="AO22" s="70">
        <v>0</v>
      </c>
      <c r="AP22" s="70">
        <v>0</v>
      </c>
      <c r="AQ22" s="70">
        <v>0</v>
      </c>
      <c r="AR22" s="70">
        <v>0</v>
      </c>
      <c r="AS22" s="70">
        <v>0</v>
      </c>
      <c r="AT22" s="70">
        <v>0</v>
      </c>
      <c r="AU22" s="70">
        <v>0</v>
      </c>
      <c r="AV22" s="70">
        <v>0</v>
      </c>
      <c r="AW22" s="77">
        <v>0</v>
      </c>
      <c r="AY22" s="78">
        <v>0</v>
      </c>
      <c r="AZ22" s="71">
        <v>0</v>
      </c>
      <c r="BA22" s="71">
        <v>0</v>
      </c>
      <c r="BB22" s="71">
        <v>0</v>
      </c>
      <c r="BC22" s="71">
        <v>0</v>
      </c>
      <c r="BD22" s="71">
        <v>0</v>
      </c>
      <c r="BE22" s="71">
        <v>0</v>
      </c>
      <c r="BF22" s="72">
        <v>0</v>
      </c>
      <c r="BG22" s="72">
        <v>0</v>
      </c>
      <c r="BH22" s="72">
        <v>0</v>
      </c>
      <c r="BI22" s="72">
        <v>0</v>
      </c>
      <c r="BJ22" s="72">
        <v>0</v>
      </c>
      <c r="BK22" s="72">
        <v>0</v>
      </c>
      <c r="BL22" s="72">
        <v>0</v>
      </c>
      <c r="BM22" s="72">
        <v>0</v>
      </c>
      <c r="BN22" s="72">
        <v>0</v>
      </c>
      <c r="BO22" s="72">
        <v>0</v>
      </c>
      <c r="BP22" s="72">
        <v>0</v>
      </c>
      <c r="BQ22" s="72">
        <v>0</v>
      </c>
      <c r="BR22" s="72">
        <v>0</v>
      </c>
      <c r="BS22" s="72">
        <v>0</v>
      </c>
      <c r="BT22" s="72">
        <v>0</v>
      </c>
      <c r="BU22" s="72">
        <v>0</v>
      </c>
      <c r="BV22" s="72">
        <v>0</v>
      </c>
      <c r="BW22" s="72">
        <v>0</v>
      </c>
      <c r="BX22" s="72">
        <v>0</v>
      </c>
      <c r="BY22" s="72">
        <v>0</v>
      </c>
      <c r="BZ22" s="72">
        <v>0</v>
      </c>
      <c r="CA22" s="72">
        <v>0</v>
      </c>
      <c r="CB22" s="72">
        <v>0</v>
      </c>
      <c r="CC22" s="72">
        <v>0</v>
      </c>
      <c r="CD22" s="72">
        <v>0</v>
      </c>
      <c r="CE22" s="72">
        <v>0</v>
      </c>
      <c r="CF22" s="72">
        <v>0</v>
      </c>
      <c r="CG22" s="72">
        <v>0</v>
      </c>
      <c r="CH22" s="72">
        <v>0</v>
      </c>
      <c r="CI22" s="72">
        <v>0</v>
      </c>
      <c r="CJ22" s="72">
        <v>0</v>
      </c>
      <c r="CK22" s="72">
        <v>0</v>
      </c>
      <c r="CL22" s="72">
        <v>0</v>
      </c>
      <c r="CM22" s="72">
        <v>0</v>
      </c>
      <c r="CN22" s="72">
        <v>0</v>
      </c>
      <c r="CO22" s="72">
        <v>0</v>
      </c>
      <c r="CP22" s="72">
        <v>0</v>
      </c>
      <c r="CQ22" s="72">
        <v>0</v>
      </c>
      <c r="CR22" s="72">
        <v>0</v>
      </c>
      <c r="CS22" s="72">
        <v>0</v>
      </c>
      <c r="CT22" s="72">
        <v>0</v>
      </c>
      <c r="CU22" s="72">
        <v>0</v>
      </c>
      <c r="CV22" s="72">
        <v>0</v>
      </c>
      <c r="CW22" s="72">
        <v>0</v>
      </c>
      <c r="CX22" s="72">
        <v>0</v>
      </c>
      <c r="CY22" s="72">
        <v>0</v>
      </c>
      <c r="CZ22" s="72">
        <v>0</v>
      </c>
      <c r="DA22" s="72">
        <v>0</v>
      </c>
      <c r="DB22" s="72">
        <v>0</v>
      </c>
      <c r="DC22" s="72">
        <v>0</v>
      </c>
      <c r="DD22" s="72">
        <v>0</v>
      </c>
      <c r="DE22" s="72">
        <v>0</v>
      </c>
      <c r="DF22" s="72">
        <v>0</v>
      </c>
      <c r="DG22" s="72">
        <v>0</v>
      </c>
      <c r="DH22" s="72">
        <v>0</v>
      </c>
      <c r="DI22" s="72">
        <v>0</v>
      </c>
      <c r="DJ22" s="72">
        <v>0</v>
      </c>
      <c r="DK22" s="72">
        <v>0</v>
      </c>
      <c r="DL22" s="72">
        <v>0</v>
      </c>
      <c r="DM22" s="72">
        <v>0</v>
      </c>
      <c r="DN22" s="72">
        <v>0</v>
      </c>
      <c r="DO22" s="72">
        <v>0</v>
      </c>
      <c r="DP22" s="72">
        <v>0</v>
      </c>
      <c r="DQ22" s="72">
        <v>0</v>
      </c>
      <c r="DR22" s="72">
        <v>0</v>
      </c>
      <c r="DS22" s="72">
        <v>0</v>
      </c>
      <c r="DT22" s="72">
        <v>0</v>
      </c>
      <c r="DU22" s="72">
        <v>0</v>
      </c>
      <c r="DV22" s="72">
        <v>0</v>
      </c>
      <c r="DW22" s="72">
        <v>0</v>
      </c>
      <c r="DX22" s="72">
        <v>0</v>
      </c>
      <c r="DY22" s="72">
        <v>0</v>
      </c>
      <c r="DZ22" s="72">
        <v>0</v>
      </c>
    </row>
    <row r="23" spans="1:144" x14ac:dyDescent="0.2">
      <c r="A23" s="40" t="s">
        <v>132</v>
      </c>
      <c r="B23" s="39" t="s">
        <v>170</v>
      </c>
      <c r="C23" s="70">
        <v>0</v>
      </c>
      <c r="D23" s="70">
        <v>25</v>
      </c>
      <c r="E23" s="70">
        <v>0</v>
      </c>
      <c r="F23" s="70">
        <v>0</v>
      </c>
      <c r="G23" s="70">
        <v>0</v>
      </c>
      <c r="H23" s="70">
        <v>0</v>
      </c>
      <c r="I23" s="70">
        <v>0</v>
      </c>
      <c r="J23" s="70">
        <v>0</v>
      </c>
      <c r="K23" s="70">
        <v>0</v>
      </c>
      <c r="L23" s="70">
        <v>0</v>
      </c>
      <c r="M23" s="70">
        <v>0</v>
      </c>
      <c r="N23" s="70">
        <v>0</v>
      </c>
      <c r="O23" s="70">
        <v>0</v>
      </c>
      <c r="P23" s="70">
        <v>0</v>
      </c>
      <c r="Q23" s="70">
        <v>0</v>
      </c>
      <c r="R23" s="70">
        <v>0</v>
      </c>
      <c r="S23" s="70">
        <v>0</v>
      </c>
      <c r="T23" s="70">
        <v>0</v>
      </c>
      <c r="U23" s="70">
        <v>115</v>
      </c>
      <c r="V23" s="70">
        <v>103</v>
      </c>
      <c r="W23" s="70">
        <v>314</v>
      </c>
      <c r="X23" s="70">
        <v>364</v>
      </c>
      <c r="Y23" s="70">
        <v>382</v>
      </c>
      <c r="Z23" s="70">
        <v>399</v>
      </c>
      <c r="AA23" s="70">
        <v>471</v>
      </c>
      <c r="AB23" s="70">
        <v>492</v>
      </c>
      <c r="AC23" s="70">
        <v>524</v>
      </c>
      <c r="AD23" s="70">
        <v>621</v>
      </c>
      <c r="AE23" s="70">
        <v>874</v>
      </c>
      <c r="AF23" s="70">
        <v>856</v>
      </c>
      <c r="AG23" s="70">
        <v>1411</v>
      </c>
      <c r="AH23" s="70">
        <v>1705</v>
      </c>
      <c r="AI23" s="70">
        <v>0</v>
      </c>
      <c r="AJ23" s="70">
        <v>0</v>
      </c>
      <c r="AK23" s="70">
        <v>0</v>
      </c>
      <c r="AL23" s="70">
        <v>0</v>
      </c>
      <c r="AM23" s="70">
        <v>0</v>
      </c>
      <c r="AN23" s="70">
        <v>0</v>
      </c>
      <c r="AO23" s="70">
        <v>0</v>
      </c>
      <c r="AP23" s="70">
        <v>0</v>
      </c>
      <c r="AQ23" s="70">
        <v>0</v>
      </c>
      <c r="AR23" s="70">
        <v>0</v>
      </c>
      <c r="AS23" s="70">
        <v>0</v>
      </c>
      <c r="AT23" s="70">
        <v>0</v>
      </c>
      <c r="AU23" s="70">
        <v>0</v>
      </c>
      <c r="AV23" s="70">
        <v>0</v>
      </c>
      <c r="AW23" s="77">
        <v>0</v>
      </c>
      <c r="AX23" s="78">
        <v>0</v>
      </c>
      <c r="AY23" s="78">
        <v>0</v>
      </c>
      <c r="AZ23" s="71">
        <v>0</v>
      </c>
      <c r="BA23" s="71">
        <v>0</v>
      </c>
      <c r="BB23" s="71">
        <v>0</v>
      </c>
      <c r="BC23" s="71">
        <v>0</v>
      </c>
      <c r="BD23" s="71">
        <v>0</v>
      </c>
      <c r="BE23" s="71">
        <v>0</v>
      </c>
      <c r="BF23" s="72">
        <v>0</v>
      </c>
      <c r="BG23" s="72">
        <v>0</v>
      </c>
      <c r="BH23" s="72">
        <v>0</v>
      </c>
      <c r="BI23" s="72">
        <v>0</v>
      </c>
      <c r="BJ23" s="72">
        <v>0</v>
      </c>
      <c r="BK23" s="72">
        <v>0</v>
      </c>
      <c r="BL23" s="72">
        <v>0</v>
      </c>
      <c r="BM23" s="72">
        <v>0</v>
      </c>
      <c r="BN23" s="72">
        <v>0</v>
      </c>
      <c r="BO23" s="72">
        <v>0</v>
      </c>
      <c r="BP23" s="72">
        <v>0</v>
      </c>
      <c r="BQ23" s="72">
        <v>0</v>
      </c>
      <c r="BR23" s="72">
        <v>0</v>
      </c>
      <c r="BS23" s="72">
        <v>0</v>
      </c>
      <c r="BT23" s="72">
        <v>0</v>
      </c>
      <c r="BU23" s="72">
        <v>0</v>
      </c>
      <c r="BV23" s="72">
        <v>0</v>
      </c>
      <c r="BW23" s="72">
        <v>0</v>
      </c>
      <c r="BX23" s="72">
        <v>0</v>
      </c>
      <c r="BY23" s="72">
        <v>0</v>
      </c>
      <c r="BZ23" s="72">
        <v>0</v>
      </c>
      <c r="CA23" s="72">
        <v>0</v>
      </c>
      <c r="CB23" s="72">
        <v>0</v>
      </c>
      <c r="CC23" s="72">
        <v>0</v>
      </c>
      <c r="CD23" s="72">
        <v>0</v>
      </c>
      <c r="CE23" s="72">
        <v>0</v>
      </c>
      <c r="CF23" s="72">
        <v>0</v>
      </c>
      <c r="CG23" s="72">
        <v>0</v>
      </c>
      <c r="CH23" s="72">
        <v>0</v>
      </c>
      <c r="CI23" s="72">
        <v>0</v>
      </c>
      <c r="CJ23" s="72">
        <v>0</v>
      </c>
      <c r="CK23" s="72">
        <v>0</v>
      </c>
      <c r="CL23" s="72">
        <v>0</v>
      </c>
      <c r="CM23" s="72">
        <v>0</v>
      </c>
      <c r="CN23" s="72">
        <v>0</v>
      </c>
      <c r="CO23" s="72">
        <v>0</v>
      </c>
      <c r="CP23" s="72">
        <v>0</v>
      </c>
      <c r="CQ23" s="72">
        <v>0</v>
      </c>
      <c r="CR23" s="72">
        <v>0</v>
      </c>
      <c r="CS23" s="72">
        <v>0</v>
      </c>
      <c r="CT23" s="72">
        <v>0</v>
      </c>
      <c r="CU23" s="72">
        <v>0</v>
      </c>
      <c r="CV23" s="72">
        <v>0</v>
      </c>
      <c r="CW23" s="72">
        <v>0</v>
      </c>
      <c r="CX23" s="72">
        <v>0</v>
      </c>
      <c r="CY23" s="72">
        <v>0</v>
      </c>
      <c r="CZ23" s="72">
        <v>0</v>
      </c>
      <c r="DA23" s="72">
        <v>0</v>
      </c>
      <c r="DB23" s="72">
        <v>0</v>
      </c>
      <c r="DC23" s="72">
        <v>0</v>
      </c>
      <c r="DD23" s="72">
        <v>0</v>
      </c>
      <c r="DE23" s="72">
        <v>0</v>
      </c>
      <c r="DF23" s="72">
        <v>0</v>
      </c>
      <c r="DG23" s="72">
        <v>0</v>
      </c>
      <c r="DH23" s="72">
        <v>0</v>
      </c>
      <c r="DI23" s="72">
        <v>0</v>
      </c>
      <c r="DJ23" s="72">
        <v>0</v>
      </c>
      <c r="DK23" s="72">
        <v>0</v>
      </c>
      <c r="DL23" s="72">
        <v>0</v>
      </c>
      <c r="DM23" s="72">
        <v>0</v>
      </c>
      <c r="DN23" s="72">
        <v>0</v>
      </c>
      <c r="DO23" s="72">
        <v>0</v>
      </c>
      <c r="DP23" s="72">
        <v>0</v>
      </c>
      <c r="DQ23" s="72">
        <v>0</v>
      </c>
      <c r="DR23" s="72">
        <v>0</v>
      </c>
      <c r="DS23" s="72">
        <v>0</v>
      </c>
      <c r="DT23" s="72">
        <v>0</v>
      </c>
      <c r="DU23" s="72">
        <v>0</v>
      </c>
      <c r="DV23" s="72">
        <v>0</v>
      </c>
      <c r="DW23" s="72">
        <v>0</v>
      </c>
      <c r="DX23" s="72">
        <v>0</v>
      </c>
      <c r="DY23" s="72">
        <v>0</v>
      </c>
      <c r="DZ23" s="72">
        <v>0</v>
      </c>
    </row>
    <row r="24" spans="1:144" x14ac:dyDescent="0.2">
      <c r="A24" s="42" t="s">
        <v>133</v>
      </c>
      <c r="B24" s="39" t="s">
        <v>170</v>
      </c>
      <c r="C24" s="70">
        <v>0</v>
      </c>
      <c r="D24" s="70">
        <v>0</v>
      </c>
      <c r="E24" s="70">
        <v>0</v>
      </c>
      <c r="F24" s="70">
        <v>0</v>
      </c>
      <c r="G24" s="70">
        <v>0</v>
      </c>
      <c r="H24" s="70">
        <v>0</v>
      </c>
      <c r="I24" s="70">
        <v>0</v>
      </c>
      <c r="J24" s="70">
        <v>0</v>
      </c>
      <c r="K24" s="70">
        <v>0</v>
      </c>
      <c r="L24" s="70">
        <v>0</v>
      </c>
      <c r="M24" s="70">
        <v>0</v>
      </c>
      <c r="N24" s="70">
        <v>0</v>
      </c>
      <c r="O24" s="70">
        <v>0</v>
      </c>
      <c r="P24" s="70">
        <v>0</v>
      </c>
      <c r="Q24" s="70">
        <v>0</v>
      </c>
      <c r="R24" s="70">
        <v>0</v>
      </c>
      <c r="S24" s="70">
        <v>0</v>
      </c>
      <c r="T24" s="70">
        <v>0</v>
      </c>
      <c r="U24" s="70">
        <v>0</v>
      </c>
      <c r="V24" s="70">
        <v>0</v>
      </c>
      <c r="W24" s="70">
        <v>0</v>
      </c>
      <c r="X24" s="70">
        <v>0</v>
      </c>
      <c r="Y24" s="70">
        <v>0</v>
      </c>
      <c r="Z24" s="70">
        <v>0</v>
      </c>
      <c r="AA24" s="70">
        <v>0</v>
      </c>
      <c r="AB24" s="70">
        <v>0</v>
      </c>
      <c r="AC24" s="70">
        <v>0</v>
      </c>
      <c r="AD24" s="70">
        <v>0</v>
      </c>
      <c r="AE24" s="70">
        <v>0</v>
      </c>
      <c r="AF24" s="70">
        <v>0</v>
      </c>
      <c r="AG24" s="70">
        <v>0</v>
      </c>
      <c r="AH24" s="70">
        <v>0</v>
      </c>
      <c r="AI24" s="70">
        <v>384951</v>
      </c>
      <c r="AJ24" s="70">
        <v>337887</v>
      </c>
      <c r="AK24" s="70">
        <v>374311</v>
      </c>
      <c r="AL24" s="70">
        <v>418897</v>
      </c>
      <c r="AM24" s="70">
        <v>410738</v>
      </c>
      <c r="AN24" s="70">
        <v>234329</v>
      </c>
      <c r="AO24" s="70">
        <v>292327</v>
      </c>
      <c r="AP24" s="70">
        <v>324291</v>
      </c>
      <c r="AQ24" s="70">
        <v>334993</v>
      </c>
      <c r="AR24" s="70">
        <v>421288</v>
      </c>
      <c r="AS24" s="70">
        <v>470165</v>
      </c>
      <c r="AT24" s="70">
        <v>516777</v>
      </c>
      <c r="AU24" s="70">
        <v>622330</v>
      </c>
      <c r="AV24" s="70">
        <v>682099</v>
      </c>
      <c r="AW24" s="70">
        <v>726257</v>
      </c>
      <c r="AX24" s="78">
        <v>835597</v>
      </c>
      <c r="AY24" s="78">
        <v>730613</v>
      </c>
      <c r="AZ24" s="71">
        <v>802622</v>
      </c>
      <c r="BA24" s="71">
        <v>879863</v>
      </c>
      <c r="BB24" s="71">
        <v>914079</v>
      </c>
      <c r="BC24" s="71">
        <v>923609</v>
      </c>
      <c r="BD24" s="71">
        <v>1063259</v>
      </c>
      <c r="BE24" s="71">
        <v>1120931.3479779689</v>
      </c>
      <c r="BF24" s="72">
        <f t="shared" ref="BF24:BU27" si="62">_xlfn.FORECAST.ETS(BF$19,AV24:BE24,AV$19:BE$19)</f>
        <v>1128000.1809539597</v>
      </c>
      <c r="BG24" s="72">
        <f t="shared" si="62"/>
        <v>1176130.5319624031</v>
      </c>
      <c r="BH24" s="72">
        <f t="shared" si="62"/>
        <v>1185938.2981860023</v>
      </c>
      <c r="BI24" s="72">
        <f t="shared" si="62"/>
        <v>1277434.4374868418</v>
      </c>
      <c r="BJ24" s="72">
        <f t="shared" si="62"/>
        <v>1321900.9099729562</v>
      </c>
      <c r="BK24" s="72">
        <f t="shared" si="62"/>
        <v>1375290.6499500202</v>
      </c>
      <c r="BL24" s="72">
        <f t="shared" si="62"/>
        <v>1414961.8013075672</v>
      </c>
      <c r="BM24" s="72">
        <f t="shared" si="62"/>
        <v>1465934.12515838</v>
      </c>
      <c r="BN24" s="72">
        <f t="shared" si="62"/>
        <v>1507694.3780605306</v>
      </c>
      <c r="BO24" s="72">
        <f t="shared" si="62"/>
        <v>1554964.8078305151</v>
      </c>
      <c r="BP24" s="72">
        <f t="shared" si="62"/>
        <v>1610402.8997551815</v>
      </c>
      <c r="BQ24" s="72">
        <f t="shared" si="62"/>
        <v>1661393.0710975833</v>
      </c>
      <c r="BR24" s="72">
        <f t="shared" si="62"/>
        <v>1711096.3804613198</v>
      </c>
      <c r="BS24" s="72">
        <f t="shared" si="62"/>
        <v>1758350.2717817088</v>
      </c>
      <c r="BT24" s="72">
        <f t="shared" si="62"/>
        <v>1805168.4604855173</v>
      </c>
      <c r="BU24" s="72">
        <f t="shared" si="62"/>
        <v>1853923.0465783561</v>
      </c>
      <c r="BV24" s="72">
        <f t="shared" ref="BV24:CK27" si="63">_xlfn.FORECAST.ETS(BV$19,BL24:BU24,BL$19:BU$19)</f>
        <v>1904774.8092087158</v>
      </c>
      <c r="BW24" s="72">
        <f t="shared" si="63"/>
        <v>1953809.6571509808</v>
      </c>
      <c r="BX24" s="72">
        <f t="shared" si="63"/>
        <v>2003293.7359315827</v>
      </c>
      <c r="BY24" s="72">
        <f t="shared" si="63"/>
        <v>2052558.8814341619</v>
      </c>
      <c r="BZ24" s="72">
        <f t="shared" si="63"/>
        <v>2101457.3184051467</v>
      </c>
      <c r="CA24" s="72">
        <f t="shared" si="63"/>
        <v>2150378.5556889414</v>
      </c>
      <c r="CB24" s="72">
        <f t="shared" si="63"/>
        <v>2199347.5799334445</v>
      </c>
      <c r="CC24" s="72">
        <f t="shared" si="63"/>
        <v>2248557.9701765995</v>
      </c>
      <c r="CD24" s="72">
        <f t="shared" si="63"/>
        <v>2297861.8589619473</v>
      </c>
      <c r="CE24" s="72">
        <f t="shared" si="63"/>
        <v>2347064.8247980936</v>
      </c>
      <c r="CF24" s="72">
        <f t="shared" si="63"/>
        <v>2396173.4083566084</v>
      </c>
      <c r="CG24" s="72">
        <f t="shared" si="63"/>
        <v>2445291.5904916315</v>
      </c>
      <c r="CH24" s="72">
        <f t="shared" si="63"/>
        <v>2494399.5495214304</v>
      </c>
      <c r="CI24" s="72">
        <f t="shared" si="63"/>
        <v>2543508.5480246344</v>
      </c>
      <c r="CJ24" s="72">
        <f t="shared" si="63"/>
        <v>2592639.1992872655</v>
      </c>
      <c r="CK24" s="72">
        <f t="shared" si="63"/>
        <v>2641793.6748014688</v>
      </c>
      <c r="CL24" s="72">
        <f t="shared" ref="CL24:DA27" si="64">_xlfn.FORECAST.ETS(CL$19,CB24:CK24,CB$19:CK$19)</f>
        <v>2690945.509835111</v>
      </c>
      <c r="CM24" s="72">
        <f t="shared" si="64"/>
        <v>2740089.7244343972</v>
      </c>
      <c r="CN24" s="72">
        <f t="shared" si="64"/>
        <v>2789218.2522247233</v>
      </c>
      <c r="CO24" s="72">
        <f t="shared" si="64"/>
        <v>2838348.4618093218</v>
      </c>
      <c r="CP24" s="72">
        <f t="shared" si="64"/>
        <v>2887478.638439761</v>
      </c>
      <c r="CQ24" s="72">
        <f t="shared" si="64"/>
        <v>2936608.8150702026</v>
      </c>
      <c r="CR24" s="72">
        <f t="shared" si="64"/>
        <v>2985746.7678446034</v>
      </c>
      <c r="CS24" s="72">
        <f t="shared" si="64"/>
        <v>3034883.6362704579</v>
      </c>
      <c r="CT24" s="72">
        <f t="shared" si="64"/>
        <v>3084020.5494393907</v>
      </c>
      <c r="CU24" s="72">
        <f t="shared" si="64"/>
        <v>3133155.8268060838</v>
      </c>
      <c r="CV24" s="72">
        <f t="shared" si="64"/>
        <v>3182289.3424784723</v>
      </c>
      <c r="CW24" s="72">
        <f t="shared" si="64"/>
        <v>3231423.0536831138</v>
      </c>
      <c r="CX24" s="72">
        <f t="shared" si="64"/>
        <v>3280556.7610275089</v>
      </c>
      <c r="CY24" s="72">
        <f t="shared" si="64"/>
        <v>3329691.7455529049</v>
      </c>
      <c r="CZ24" s="72">
        <f t="shared" si="64"/>
        <v>3378826.8419459905</v>
      </c>
      <c r="DA24" s="72">
        <f t="shared" si="64"/>
        <v>3427961.9158214536</v>
      </c>
      <c r="DB24" s="72">
        <f t="shared" ref="DB24:DQ27" si="65">_xlfn.FORECAST.ETS(DB$19,CR24:DA24,CR$19:DA$19)</f>
        <v>3477096.9901837511</v>
      </c>
      <c r="DC24" s="72">
        <f t="shared" si="65"/>
        <v>3526231.5180258956</v>
      </c>
      <c r="DD24" s="72">
        <f t="shared" si="65"/>
        <v>3575366.0332684894</v>
      </c>
      <c r="DE24" s="72">
        <f t="shared" si="65"/>
        <v>3624500.5545138288</v>
      </c>
      <c r="DF24" s="72">
        <f t="shared" si="65"/>
        <v>3673635.2088207174</v>
      </c>
      <c r="DG24" s="72">
        <f t="shared" si="65"/>
        <v>3722769.9885161952</v>
      </c>
      <c r="DH24" s="72">
        <f t="shared" si="65"/>
        <v>3771904.7541499352</v>
      </c>
      <c r="DI24" s="72">
        <f t="shared" si="65"/>
        <v>3821039.5200618915</v>
      </c>
      <c r="DJ24" s="72">
        <f t="shared" si="65"/>
        <v>3870174.2354932991</v>
      </c>
      <c r="DK24" s="72">
        <f t="shared" si="65"/>
        <v>3919308.9051403333</v>
      </c>
      <c r="DL24" s="72">
        <f t="shared" si="65"/>
        <v>3968443.5799377449</v>
      </c>
      <c r="DM24" s="72">
        <f t="shared" si="65"/>
        <v>4017578.2546331887</v>
      </c>
      <c r="DN24" s="72">
        <f t="shared" si="65"/>
        <v>4066712.9684157176</v>
      </c>
      <c r="DO24" s="72">
        <f t="shared" si="65"/>
        <v>4115847.6852697977</v>
      </c>
      <c r="DP24" s="72">
        <f t="shared" si="65"/>
        <v>4164982.4014710081</v>
      </c>
      <c r="DQ24" s="72">
        <f t="shared" si="65"/>
        <v>4214117.1176864132</v>
      </c>
      <c r="DR24" s="72">
        <f t="shared" ref="DR24:DZ27" si="66">_xlfn.FORECAST.ETS(DR$19,DH24:DQ24,DH$19:DQ$19)</f>
        <v>4263251.8163259048</v>
      </c>
      <c r="DS24" s="72">
        <f t="shared" si="66"/>
        <v>4312386.5171144335</v>
      </c>
      <c r="DT24" s="72">
        <f t="shared" si="66"/>
        <v>4361521.2178329229</v>
      </c>
      <c r="DU24" s="72">
        <f t="shared" si="66"/>
        <v>4410655.9215411777</v>
      </c>
      <c r="DV24" s="72">
        <f t="shared" si="66"/>
        <v>4459790.6290129358</v>
      </c>
      <c r="DW24" s="72">
        <f t="shared" si="66"/>
        <v>4508925.3360713208</v>
      </c>
      <c r="DX24" s="72">
        <f t="shared" si="66"/>
        <v>4558060.0431378484</v>
      </c>
      <c r="DY24" s="72">
        <f t="shared" si="66"/>
        <v>4607194.7479969431</v>
      </c>
      <c r="DZ24" s="72">
        <f t="shared" si="66"/>
        <v>4656329.4523898941</v>
      </c>
    </row>
    <row r="25" spans="1:144" ht="25.5" x14ac:dyDescent="0.2">
      <c r="A25" s="42" t="s">
        <v>197</v>
      </c>
      <c r="B25" s="39" t="s">
        <v>170</v>
      </c>
      <c r="C25" s="70">
        <v>0</v>
      </c>
      <c r="D25" s="70">
        <v>0</v>
      </c>
      <c r="E25" s="70">
        <v>0</v>
      </c>
      <c r="F25" s="70">
        <v>0</v>
      </c>
      <c r="G25" s="70">
        <v>0</v>
      </c>
      <c r="H25" s="70">
        <v>0</v>
      </c>
      <c r="I25" s="70">
        <v>0</v>
      </c>
      <c r="J25" s="70">
        <v>0</v>
      </c>
      <c r="K25" s="70">
        <v>0</v>
      </c>
      <c r="L25" s="70">
        <v>0</v>
      </c>
      <c r="M25" s="70">
        <v>0</v>
      </c>
      <c r="N25" s="70">
        <v>0</v>
      </c>
      <c r="O25" s="70">
        <v>0</v>
      </c>
      <c r="P25" s="70">
        <v>0</v>
      </c>
      <c r="Q25" s="70">
        <v>0</v>
      </c>
      <c r="R25" s="70">
        <v>0</v>
      </c>
      <c r="S25" s="70">
        <v>0</v>
      </c>
      <c r="T25" s="70">
        <v>0</v>
      </c>
      <c r="U25" s="70">
        <v>0</v>
      </c>
      <c r="V25" s="70">
        <v>0</v>
      </c>
      <c r="W25" s="70">
        <v>0</v>
      </c>
      <c r="X25" s="70">
        <v>0</v>
      </c>
      <c r="Y25" s="70">
        <v>0</v>
      </c>
      <c r="Z25" s="70">
        <v>0</v>
      </c>
      <c r="AA25" s="70">
        <v>0</v>
      </c>
      <c r="AB25" s="70">
        <v>0</v>
      </c>
      <c r="AC25" s="70">
        <v>0</v>
      </c>
      <c r="AD25" s="70">
        <v>0</v>
      </c>
      <c r="AE25" s="70">
        <v>0</v>
      </c>
      <c r="AF25" s="70">
        <v>0</v>
      </c>
      <c r="AG25" s="70">
        <v>0</v>
      </c>
      <c r="AH25" s="70">
        <v>0</v>
      </c>
      <c r="AI25" s="70">
        <v>3271</v>
      </c>
      <c r="AJ25" s="70">
        <v>9312</v>
      </c>
      <c r="AK25" s="70">
        <v>42287</v>
      </c>
      <c r="AL25" s="70">
        <v>54390</v>
      </c>
      <c r="AM25" s="70">
        <v>55193</v>
      </c>
      <c r="AN25" s="70">
        <v>35403</v>
      </c>
      <c r="AO25" s="70">
        <v>46389</v>
      </c>
      <c r="AP25" s="70">
        <v>51538</v>
      </c>
      <c r="AQ25" s="70">
        <v>49904</v>
      </c>
      <c r="AR25" s="70">
        <v>70091</v>
      </c>
      <c r="AS25" s="70">
        <v>67040</v>
      </c>
      <c r="AT25" s="70">
        <v>71540</v>
      </c>
      <c r="AU25" s="70">
        <v>106355</v>
      </c>
      <c r="AV25" s="70">
        <v>98768</v>
      </c>
      <c r="AW25" s="70">
        <v>100979</v>
      </c>
      <c r="AX25" s="78">
        <v>27269</v>
      </c>
      <c r="AY25" s="78">
        <v>26031</v>
      </c>
      <c r="AZ25" s="71">
        <v>22334</v>
      </c>
      <c r="BA25" s="71">
        <v>33624</v>
      </c>
      <c r="BB25" s="71">
        <v>31653</v>
      </c>
      <c r="BC25" s="71">
        <v>19609</v>
      </c>
      <c r="BD25" s="71">
        <v>31269</v>
      </c>
      <c r="BE25" s="71">
        <v>36214</v>
      </c>
      <c r="BF25" s="72">
        <f t="shared" si="62"/>
        <v>28460.888279871397</v>
      </c>
      <c r="BG25" s="72">
        <f t="shared" si="62"/>
        <v>25261.331091949331</v>
      </c>
      <c r="BH25" s="72">
        <f t="shared" si="62"/>
        <v>31931.920622738857</v>
      </c>
      <c r="BI25" s="72">
        <f t="shared" si="62"/>
        <v>22640.438786475599</v>
      </c>
      <c r="BJ25" s="72">
        <f t="shared" si="62"/>
        <v>30769.894240394849</v>
      </c>
      <c r="BK25" s="72">
        <f t="shared" si="62"/>
        <v>28355.262941008037</v>
      </c>
      <c r="BL25" s="72">
        <f t="shared" si="62"/>
        <v>29126.443929410627</v>
      </c>
      <c r="BM25" s="72">
        <f t="shared" si="62"/>
        <v>29129.491849890383</v>
      </c>
      <c r="BN25" s="72">
        <f t="shared" si="62"/>
        <v>28833.84336959814</v>
      </c>
      <c r="BO25" s="72">
        <f t="shared" si="62"/>
        <v>28335.533886081554</v>
      </c>
      <c r="BP25" s="72">
        <f t="shared" si="62"/>
        <v>30024.791786283156</v>
      </c>
      <c r="BQ25" s="72">
        <f t="shared" si="62"/>
        <v>27230.611609175223</v>
      </c>
      <c r="BR25" s="72">
        <f t="shared" si="62"/>
        <v>31028.257809510058</v>
      </c>
      <c r="BS25" s="72">
        <f t="shared" si="62"/>
        <v>28534.02935325195</v>
      </c>
      <c r="BT25" s="72">
        <f t="shared" si="62"/>
        <v>29673.258254880566</v>
      </c>
      <c r="BU25" s="72">
        <f t="shared" si="62"/>
        <v>28776.845447120384</v>
      </c>
      <c r="BV25" s="72">
        <f t="shared" si="63"/>
        <v>30030.870225415343</v>
      </c>
      <c r="BW25" s="72">
        <f t="shared" si="63"/>
        <v>28507.631113976233</v>
      </c>
      <c r="BX25" s="72">
        <f t="shared" si="63"/>
        <v>30608.700165428643</v>
      </c>
      <c r="BY25" s="72">
        <f t="shared" si="63"/>
        <v>28579.065292756299</v>
      </c>
      <c r="BZ25" s="72">
        <f t="shared" si="63"/>
        <v>30702.784105576142</v>
      </c>
      <c r="CA25" s="72">
        <f t="shared" si="63"/>
        <v>28764.825440226796</v>
      </c>
      <c r="CB25" s="72">
        <f t="shared" si="63"/>
        <v>30505.536271042532</v>
      </c>
      <c r="CC25" s="72">
        <f t="shared" si="63"/>
        <v>29035.028261906536</v>
      </c>
      <c r="CD25" s="72">
        <f t="shared" si="63"/>
        <v>30717.689025768759</v>
      </c>
      <c r="CE25" s="72">
        <f t="shared" si="63"/>
        <v>29018.297501163364</v>
      </c>
      <c r="CF25" s="72">
        <f t="shared" si="63"/>
        <v>30954.291583956849</v>
      </c>
      <c r="CG25" s="72">
        <f t="shared" si="63"/>
        <v>29076.29835415351</v>
      </c>
      <c r="CH25" s="72">
        <f t="shared" si="63"/>
        <v>30993.496876136698</v>
      </c>
      <c r="CI25" s="72">
        <f t="shared" si="63"/>
        <v>29254.653461182679</v>
      </c>
      <c r="CJ25" s="72">
        <f t="shared" si="63"/>
        <v>31068.892980347515</v>
      </c>
      <c r="CK25" s="72">
        <f t="shared" si="63"/>
        <v>29396.100520683842</v>
      </c>
      <c r="CL25" s="72">
        <f t="shared" si="64"/>
        <v>31196.58010713608</v>
      </c>
      <c r="CM25" s="72">
        <f t="shared" si="64"/>
        <v>29458.462584788416</v>
      </c>
      <c r="CN25" s="72">
        <f t="shared" si="64"/>
        <v>31336.363223599055</v>
      </c>
      <c r="CO25" s="72">
        <f t="shared" si="64"/>
        <v>29561.925558231716</v>
      </c>
      <c r="CP25" s="72">
        <f t="shared" si="64"/>
        <v>31431.54018081896</v>
      </c>
      <c r="CQ25" s="72">
        <f t="shared" si="64"/>
        <v>29699.763716011617</v>
      </c>
      <c r="CR25" s="72">
        <f t="shared" si="64"/>
        <v>31531.031489229372</v>
      </c>
      <c r="CS25" s="72">
        <f t="shared" si="64"/>
        <v>29807.61895773956</v>
      </c>
      <c r="CT25" s="72">
        <f t="shared" si="64"/>
        <v>31647.203471902991</v>
      </c>
      <c r="CU25" s="72">
        <f t="shared" si="64"/>
        <v>29907.542654395947</v>
      </c>
      <c r="CV25" s="72">
        <f t="shared" si="64"/>
        <v>31766.383715912412</v>
      </c>
      <c r="CW25" s="72">
        <f t="shared" si="64"/>
        <v>30017.428705035811</v>
      </c>
      <c r="CX25" s="72">
        <f t="shared" si="64"/>
        <v>31871.453464450904</v>
      </c>
      <c r="CY25" s="72">
        <f t="shared" si="64"/>
        <v>30134.93261012312</v>
      </c>
      <c r="CZ25" s="72">
        <f t="shared" si="64"/>
        <v>31978.995552213688</v>
      </c>
      <c r="DA25" s="72">
        <f t="shared" si="64"/>
        <v>30244.646156138726</v>
      </c>
      <c r="DB25" s="72">
        <f t="shared" si="65"/>
        <v>32092.691960518285</v>
      </c>
      <c r="DC25" s="72">
        <f t="shared" si="65"/>
        <v>30352.579511945907</v>
      </c>
      <c r="DD25" s="72">
        <f t="shared" si="65"/>
        <v>32204.614684419841</v>
      </c>
      <c r="DE25" s="72">
        <f t="shared" si="65"/>
        <v>30462.965932101102</v>
      </c>
      <c r="DF25" s="72">
        <f t="shared" si="65"/>
        <v>32313.669010979575</v>
      </c>
      <c r="DG25" s="72">
        <f t="shared" si="65"/>
        <v>30575.514326457553</v>
      </c>
      <c r="DH25" s="72">
        <f t="shared" si="65"/>
        <v>32423.649803595479</v>
      </c>
      <c r="DI25" s="72">
        <f t="shared" si="65"/>
        <v>30685.838248222342</v>
      </c>
      <c r="DJ25" s="72">
        <f t="shared" si="65"/>
        <v>32535.211560858992</v>
      </c>
      <c r="DK25" s="72">
        <f t="shared" si="65"/>
        <v>30795.522157998708</v>
      </c>
      <c r="DL25" s="72">
        <f t="shared" si="65"/>
        <v>32645.941489474462</v>
      </c>
      <c r="DM25" s="72">
        <f t="shared" si="65"/>
        <v>30906.284806354288</v>
      </c>
      <c r="DN25" s="72">
        <f t="shared" si="65"/>
        <v>32756.161063239626</v>
      </c>
      <c r="DO25" s="72">
        <f t="shared" si="65"/>
        <v>31017.349919148692</v>
      </c>
      <c r="DP25" s="72">
        <f t="shared" si="65"/>
        <v>32866.560524652137</v>
      </c>
      <c r="DQ25" s="72">
        <f t="shared" si="65"/>
        <v>31127.774063538665</v>
      </c>
      <c r="DR25" s="72">
        <f t="shared" si="66"/>
        <v>32977.417307281947</v>
      </c>
      <c r="DS25" s="72">
        <f t="shared" si="66"/>
        <v>31238.120911748567</v>
      </c>
      <c r="DT25" s="72">
        <f t="shared" si="66"/>
        <v>33088.083835516838</v>
      </c>
      <c r="DU25" s="72">
        <f t="shared" si="66"/>
        <v>31348.841434861377</v>
      </c>
      <c r="DV25" s="72">
        <f t="shared" si="66"/>
        <v>33198.515569796495</v>
      </c>
      <c r="DW25" s="72">
        <f t="shared" si="66"/>
        <v>31459.523110905095</v>
      </c>
      <c r="DX25" s="72">
        <f t="shared" si="66"/>
        <v>33309.082123203531</v>
      </c>
      <c r="DY25" s="72">
        <f t="shared" si="66"/>
        <v>31570.057381285988</v>
      </c>
      <c r="DZ25" s="72">
        <f t="shared" si="66"/>
        <v>33419.759744344665</v>
      </c>
    </row>
    <row r="26" spans="1:144" ht="25.5" x14ac:dyDescent="0.2">
      <c r="A26" s="42" t="s">
        <v>134</v>
      </c>
      <c r="B26" s="39" t="s">
        <v>170</v>
      </c>
      <c r="C26" s="70">
        <v>0</v>
      </c>
      <c r="D26" s="70">
        <v>0</v>
      </c>
      <c r="E26" s="70">
        <v>0</v>
      </c>
      <c r="F26" s="70">
        <v>0</v>
      </c>
      <c r="G26" s="70">
        <v>0</v>
      </c>
      <c r="H26" s="70">
        <v>0</v>
      </c>
      <c r="I26" s="70">
        <v>0</v>
      </c>
      <c r="J26" s="70">
        <v>0</v>
      </c>
      <c r="K26" s="70">
        <v>0</v>
      </c>
      <c r="L26" s="70">
        <v>0</v>
      </c>
      <c r="M26" s="70">
        <v>0</v>
      </c>
      <c r="N26" s="70">
        <v>0</v>
      </c>
      <c r="O26" s="70">
        <v>0</v>
      </c>
      <c r="P26" s="70">
        <v>0</v>
      </c>
      <c r="Q26" s="70">
        <v>0</v>
      </c>
      <c r="R26" s="70">
        <v>0</v>
      </c>
      <c r="S26" s="70">
        <v>0</v>
      </c>
      <c r="T26" s="70">
        <v>0</v>
      </c>
      <c r="U26" s="70">
        <v>0</v>
      </c>
      <c r="V26" s="70">
        <v>0</v>
      </c>
      <c r="W26" s="70">
        <v>0</v>
      </c>
      <c r="X26" s="70">
        <v>0</v>
      </c>
      <c r="Y26" s="70">
        <v>0</v>
      </c>
      <c r="Z26" s="70">
        <v>0</v>
      </c>
      <c r="AA26" s="70">
        <v>0</v>
      </c>
      <c r="AB26" s="70">
        <v>0</v>
      </c>
      <c r="AC26" s="70">
        <v>0</v>
      </c>
      <c r="AD26" s="70">
        <v>0</v>
      </c>
      <c r="AE26" s="70">
        <v>0</v>
      </c>
      <c r="AF26" s="70">
        <v>0</v>
      </c>
      <c r="AG26" s="70">
        <v>0</v>
      </c>
      <c r="AH26" s="70">
        <v>0</v>
      </c>
      <c r="AI26" s="70">
        <v>11942</v>
      </c>
      <c r="AJ26" s="70">
        <v>14703</v>
      </c>
      <c r="AK26" s="70">
        <v>8060</v>
      </c>
      <c r="AL26" s="70">
        <v>8752</v>
      </c>
      <c r="AM26" s="70">
        <v>6255</v>
      </c>
      <c r="AN26" s="70">
        <v>1695</v>
      </c>
      <c r="AO26" s="70">
        <v>3689</v>
      </c>
      <c r="AP26" s="70">
        <v>2541</v>
      </c>
      <c r="AQ26" s="70">
        <v>2509</v>
      </c>
      <c r="AR26" s="70">
        <v>3084</v>
      </c>
      <c r="AS26" s="70">
        <v>4696</v>
      </c>
      <c r="AT26" s="70">
        <v>4856</v>
      </c>
      <c r="AU26" s="70">
        <v>4862</v>
      </c>
      <c r="AV26" s="70">
        <v>4969</v>
      </c>
      <c r="AW26" s="70">
        <v>5887</v>
      </c>
      <c r="AX26" s="78">
        <v>16456</v>
      </c>
      <c r="AY26" s="78">
        <v>10035</v>
      </c>
      <c r="AZ26" s="71">
        <v>24601</v>
      </c>
      <c r="BA26" s="71">
        <v>21950</v>
      </c>
      <c r="BB26" s="71">
        <v>13743</v>
      </c>
      <c r="BC26" s="71">
        <v>17292</v>
      </c>
      <c r="BD26" s="71">
        <v>16088</v>
      </c>
      <c r="BE26" s="71">
        <v>16467</v>
      </c>
      <c r="BF26" s="72">
        <f t="shared" si="62"/>
        <v>18795.570530473655</v>
      </c>
      <c r="BG26" s="72">
        <f t="shared" si="62"/>
        <v>19087.949309213815</v>
      </c>
      <c r="BH26" s="72">
        <f t="shared" si="62"/>
        <v>18305.211747545232</v>
      </c>
      <c r="BI26" s="72">
        <f t="shared" si="62"/>
        <v>18691.41344424471</v>
      </c>
      <c r="BJ26" s="72">
        <f t="shared" si="62"/>
        <v>18338.80943786386</v>
      </c>
      <c r="BK26" s="72">
        <f t="shared" si="62"/>
        <v>18638.236844496943</v>
      </c>
      <c r="BL26" s="72">
        <f t="shared" si="62"/>
        <v>19383.434191837212</v>
      </c>
      <c r="BM26" s="72">
        <f t="shared" si="62"/>
        <v>19732.621520786106</v>
      </c>
      <c r="BN26" s="72">
        <f t="shared" si="62"/>
        <v>20031.572711316738</v>
      </c>
      <c r="BO26" s="72">
        <f t="shared" si="62"/>
        <v>20273.545688552724</v>
      </c>
      <c r="BP26" s="72">
        <f t="shared" si="62"/>
        <v>20443.874290139571</v>
      </c>
      <c r="BQ26" s="72">
        <f t="shared" si="62"/>
        <v>20676.503946732297</v>
      </c>
      <c r="BR26" s="72">
        <f t="shared" si="62"/>
        <v>21082.8851387057</v>
      </c>
      <c r="BS26" s="72">
        <f t="shared" si="62"/>
        <v>21375.221486398252</v>
      </c>
      <c r="BT26" s="72">
        <f t="shared" si="62"/>
        <v>21700.631343469704</v>
      </c>
      <c r="BU26" s="72">
        <f t="shared" si="62"/>
        <v>22004.244245760554</v>
      </c>
      <c r="BV26" s="72">
        <f t="shared" si="63"/>
        <v>22285.137552847991</v>
      </c>
      <c r="BW26" s="72">
        <f t="shared" si="63"/>
        <v>22570.920052356734</v>
      </c>
      <c r="BX26" s="72">
        <f t="shared" si="63"/>
        <v>22863.010114881683</v>
      </c>
      <c r="BY26" s="72">
        <f t="shared" si="63"/>
        <v>23162.676221136902</v>
      </c>
      <c r="BZ26" s="72">
        <f t="shared" si="63"/>
        <v>23489.396561986614</v>
      </c>
      <c r="CA26" s="72">
        <f t="shared" si="63"/>
        <v>23791.572640462964</v>
      </c>
      <c r="CB26" s="72">
        <f t="shared" si="63"/>
        <v>24074.055298831765</v>
      </c>
      <c r="CC26" s="72">
        <f t="shared" si="63"/>
        <v>24374.271043898589</v>
      </c>
      <c r="CD26" s="72">
        <f t="shared" si="63"/>
        <v>24671.978678306357</v>
      </c>
      <c r="CE26" s="72">
        <f t="shared" si="63"/>
        <v>24970.594249765203</v>
      </c>
      <c r="CF26" s="72">
        <f t="shared" si="63"/>
        <v>25270.533867236321</v>
      </c>
      <c r="CG26" s="72">
        <f t="shared" si="63"/>
        <v>25573.088562437995</v>
      </c>
      <c r="CH26" s="72">
        <f t="shared" si="63"/>
        <v>25872.801242869849</v>
      </c>
      <c r="CI26" s="72">
        <f t="shared" si="63"/>
        <v>26171.877372376282</v>
      </c>
      <c r="CJ26" s="72">
        <f t="shared" si="63"/>
        <v>26469.609064312968</v>
      </c>
      <c r="CK26" s="72">
        <f t="shared" si="63"/>
        <v>26768.371746724199</v>
      </c>
      <c r="CL26" s="72">
        <f t="shared" si="64"/>
        <v>27069.481545918174</v>
      </c>
      <c r="CM26" s="72">
        <f t="shared" si="64"/>
        <v>27368.915499531588</v>
      </c>
      <c r="CN26" s="72">
        <f t="shared" si="64"/>
        <v>27668.51542342177</v>
      </c>
      <c r="CO26" s="72">
        <f t="shared" si="64"/>
        <v>27968.13334850204</v>
      </c>
      <c r="CP26" s="72">
        <f t="shared" si="64"/>
        <v>28267.62987742187</v>
      </c>
      <c r="CQ26" s="72">
        <f t="shared" si="64"/>
        <v>28567.013834390258</v>
      </c>
      <c r="CR26" s="72">
        <f t="shared" si="64"/>
        <v>28866.478232837446</v>
      </c>
      <c r="CS26" s="72">
        <f t="shared" si="64"/>
        <v>29166.032454170258</v>
      </c>
      <c r="CT26" s="72">
        <f t="shared" si="64"/>
        <v>29465.857673598726</v>
      </c>
      <c r="CU26" s="72">
        <f t="shared" si="64"/>
        <v>29765.450616532133</v>
      </c>
      <c r="CV26" s="72">
        <f t="shared" si="64"/>
        <v>30064.984049538136</v>
      </c>
      <c r="CW26" s="72">
        <f t="shared" si="64"/>
        <v>30364.539864850685</v>
      </c>
      <c r="CX26" s="72">
        <f t="shared" si="64"/>
        <v>30664.100235073864</v>
      </c>
      <c r="CY26" s="72">
        <f t="shared" si="64"/>
        <v>30963.668610113258</v>
      </c>
      <c r="CZ26" s="72">
        <f t="shared" si="64"/>
        <v>31263.24984099116</v>
      </c>
      <c r="DA26" s="72">
        <f t="shared" si="64"/>
        <v>31562.913040222731</v>
      </c>
      <c r="DB26" s="72">
        <f t="shared" si="65"/>
        <v>31862.500265984589</v>
      </c>
      <c r="DC26" s="72">
        <f t="shared" si="65"/>
        <v>32162.089067399203</v>
      </c>
      <c r="DD26" s="72">
        <f t="shared" si="65"/>
        <v>32461.668532770113</v>
      </c>
      <c r="DE26" s="72">
        <f t="shared" si="65"/>
        <v>32761.253935516783</v>
      </c>
      <c r="DF26" s="72">
        <f t="shared" si="65"/>
        <v>33060.845000449845</v>
      </c>
      <c r="DG26" s="72">
        <f t="shared" si="65"/>
        <v>33360.438790043423</v>
      </c>
      <c r="DH26" s="72">
        <f t="shared" si="65"/>
        <v>33660.048842898475</v>
      </c>
      <c r="DI26" s="72">
        <f t="shared" si="65"/>
        <v>33959.64086381354</v>
      </c>
      <c r="DJ26" s="72">
        <f t="shared" si="65"/>
        <v>34259.234994456085</v>
      </c>
      <c r="DK26" s="72">
        <f t="shared" si="65"/>
        <v>34558.82708340884</v>
      </c>
      <c r="DL26" s="72">
        <f t="shared" si="65"/>
        <v>34858.419870254002</v>
      </c>
      <c r="DM26" s="72">
        <f t="shared" si="65"/>
        <v>35158.013859105085</v>
      </c>
      <c r="DN26" s="72">
        <f t="shared" si="65"/>
        <v>35457.608877325307</v>
      </c>
      <c r="DO26" s="72">
        <f t="shared" si="65"/>
        <v>35757.206161516777</v>
      </c>
      <c r="DP26" s="72">
        <f t="shared" si="65"/>
        <v>36056.80078784551</v>
      </c>
      <c r="DQ26" s="72">
        <f t="shared" si="65"/>
        <v>36356.395502004059</v>
      </c>
      <c r="DR26" s="72">
        <f t="shared" si="66"/>
        <v>36655.99045442744</v>
      </c>
      <c r="DS26" s="72">
        <f t="shared" si="66"/>
        <v>36955.585011016614</v>
      </c>
      <c r="DT26" s="72">
        <f t="shared" si="66"/>
        <v>37255.179672192455</v>
      </c>
      <c r="DU26" s="72">
        <f t="shared" si="66"/>
        <v>37554.774652785942</v>
      </c>
      <c r="DV26" s="72">
        <f t="shared" si="66"/>
        <v>37854.370288758226</v>
      </c>
      <c r="DW26" s="72">
        <f t="shared" si="66"/>
        <v>38153.965283829551</v>
      </c>
      <c r="DX26" s="72">
        <f t="shared" si="66"/>
        <v>38453.560265991167</v>
      </c>
      <c r="DY26" s="72">
        <f t="shared" si="66"/>
        <v>38753.155163418036</v>
      </c>
      <c r="DZ26" s="72">
        <f t="shared" si="66"/>
        <v>39052.750124301019</v>
      </c>
    </row>
    <row r="27" spans="1:144" ht="25.5" x14ac:dyDescent="0.2">
      <c r="A27" s="42" t="s">
        <v>135</v>
      </c>
      <c r="B27" s="39" t="s">
        <v>170</v>
      </c>
      <c r="C27" s="70">
        <v>0</v>
      </c>
      <c r="D27" s="70">
        <v>0</v>
      </c>
      <c r="E27" s="70">
        <v>0</v>
      </c>
      <c r="F27" s="70">
        <v>0</v>
      </c>
      <c r="G27" s="70">
        <v>0</v>
      </c>
      <c r="H27" s="70">
        <v>0</v>
      </c>
      <c r="I27" s="70">
        <v>0</v>
      </c>
      <c r="J27" s="70">
        <v>0</v>
      </c>
      <c r="K27" s="70">
        <v>0</v>
      </c>
      <c r="L27" s="70">
        <v>0</v>
      </c>
      <c r="M27" s="70">
        <v>0</v>
      </c>
      <c r="N27" s="70">
        <v>0</v>
      </c>
      <c r="O27" s="70">
        <v>0</v>
      </c>
      <c r="P27" s="70">
        <v>0</v>
      </c>
      <c r="Q27" s="70">
        <v>0</v>
      </c>
      <c r="R27" s="70">
        <v>0</v>
      </c>
      <c r="S27" s="70">
        <v>0</v>
      </c>
      <c r="T27" s="70">
        <v>0</v>
      </c>
      <c r="U27" s="70">
        <v>0</v>
      </c>
      <c r="V27" s="70">
        <v>0</v>
      </c>
      <c r="W27" s="70">
        <v>0</v>
      </c>
      <c r="X27" s="70">
        <v>0</v>
      </c>
      <c r="Y27" s="70">
        <v>0</v>
      </c>
      <c r="Z27" s="70">
        <v>0</v>
      </c>
      <c r="AA27" s="70">
        <v>0</v>
      </c>
      <c r="AB27" s="70">
        <v>0</v>
      </c>
      <c r="AC27" s="70">
        <v>0</v>
      </c>
      <c r="AD27" s="70">
        <v>0</v>
      </c>
      <c r="AE27" s="70">
        <v>0</v>
      </c>
      <c r="AF27" s="70">
        <v>0</v>
      </c>
      <c r="AG27" s="70">
        <v>0</v>
      </c>
      <c r="AH27" s="70">
        <v>0</v>
      </c>
      <c r="AI27" s="70">
        <v>58586</v>
      </c>
      <c r="AJ27" s="70">
        <v>67439</v>
      </c>
      <c r="AK27" s="70">
        <v>80325</v>
      </c>
      <c r="AL27" s="70">
        <v>83818</v>
      </c>
      <c r="AM27" s="70">
        <v>69122</v>
      </c>
      <c r="AN27" s="70">
        <v>51609</v>
      </c>
      <c r="AO27" s="70">
        <v>68304</v>
      </c>
      <c r="AP27" s="70">
        <v>68537</v>
      </c>
      <c r="AQ27" s="70">
        <v>80060</v>
      </c>
      <c r="AR27" s="70">
        <v>120916</v>
      </c>
      <c r="AS27" s="70">
        <v>147527</v>
      </c>
      <c r="AT27" s="70">
        <v>164241</v>
      </c>
      <c r="AU27" s="70">
        <v>169407</v>
      </c>
      <c r="AV27" s="70">
        <v>226237</v>
      </c>
      <c r="AW27" s="70">
        <v>242818</v>
      </c>
      <c r="AX27" s="78">
        <v>249189</v>
      </c>
      <c r="AY27" s="78">
        <v>270533</v>
      </c>
      <c r="AZ27" s="71">
        <v>290464</v>
      </c>
      <c r="BA27" s="71">
        <v>346360</v>
      </c>
      <c r="BB27" s="71">
        <v>404410</v>
      </c>
      <c r="BC27" s="71">
        <v>421165</v>
      </c>
      <c r="BD27" s="71">
        <v>466568</v>
      </c>
      <c r="BE27" s="71">
        <v>500698</v>
      </c>
      <c r="BF27" s="72">
        <f t="shared" si="62"/>
        <v>532838.30450798047</v>
      </c>
      <c r="BG27" s="72">
        <f t="shared" si="62"/>
        <v>568268.17993721098</v>
      </c>
      <c r="BH27" s="72">
        <f t="shared" si="62"/>
        <v>609729.72502299398</v>
      </c>
      <c r="BI27" s="72">
        <f t="shared" si="62"/>
        <v>650154.58021631651</v>
      </c>
      <c r="BJ27" s="72">
        <f t="shared" si="62"/>
        <v>687420.60310647916</v>
      </c>
      <c r="BK27" s="72">
        <f t="shared" si="62"/>
        <v>721175.10622128542</v>
      </c>
      <c r="BL27" s="72">
        <f t="shared" si="62"/>
        <v>757997.22042975039</v>
      </c>
      <c r="BM27" s="72">
        <f t="shared" si="62"/>
        <v>796142.70384005306</v>
      </c>
      <c r="BN27" s="72">
        <f t="shared" si="62"/>
        <v>833040.90899436933</v>
      </c>
      <c r="BO27" s="72">
        <f t="shared" si="62"/>
        <v>870369.18204427301</v>
      </c>
      <c r="BP27" s="72">
        <f t="shared" si="62"/>
        <v>907845.46266257029</v>
      </c>
      <c r="BQ27" s="72">
        <f t="shared" si="62"/>
        <v>945156.5266160774</v>
      </c>
      <c r="BR27" s="72">
        <f t="shared" si="62"/>
        <v>981617.48510065558</v>
      </c>
      <c r="BS27" s="72">
        <f t="shared" si="62"/>
        <v>1018597.2070643378</v>
      </c>
      <c r="BT27" s="72">
        <f t="shared" si="62"/>
        <v>1055648.1989129898</v>
      </c>
      <c r="BU27" s="72">
        <f t="shared" si="62"/>
        <v>1092890.9466163293</v>
      </c>
      <c r="BV27" s="72">
        <f t="shared" si="63"/>
        <v>1130031.3396341349</v>
      </c>
      <c r="BW27" s="72">
        <f t="shared" si="63"/>
        <v>1167066.3056302718</v>
      </c>
      <c r="BX27" s="72">
        <f t="shared" si="63"/>
        <v>1204146.0653730591</v>
      </c>
      <c r="BY27" s="72">
        <f t="shared" si="63"/>
        <v>1241130.7988873047</v>
      </c>
      <c r="BZ27" s="72">
        <f t="shared" si="63"/>
        <v>1278150.9425369464</v>
      </c>
      <c r="CA27" s="72">
        <f t="shared" si="63"/>
        <v>1315200.2151931885</v>
      </c>
      <c r="CB27" s="72">
        <f t="shared" si="63"/>
        <v>1352278.0478366774</v>
      </c>
      <c r="CC27" s="72">
        <f t="shared" si="63"/>
        <v>1389348.3896649857</v>
      </c>
      <c r="CD27" s="72">
        <f t="shared" si="63"/>
        <v>1426414.3218832361</v>
      </c>
      <c r="CE27" s="72">
        <f t="shared" si="63"/>
        <v>1463462.0567025868</v>
      </c>
      <c r="CF27" s="72">
        <f t="shared" si="63"/>
        <v>1500509.1778506734</v>
      </c>
      <c r="CG27" s="72">
        <f t="shared" si="63"/>
        <v>1537559.699543409</v>
      </c>
      <c r="CH27" s="72">
        <f t="shared" si="63"/>
        <v>1574610.0841793986</v>
      </c>
      <c r="CI27" s="72">
        <f t="shared" si="63"/>
        <v>1611667.3324244742</v>
      </c>
      <c r="CJ27" s="72">
        <f t="shared" si="63"/>
        <v>1648724.7186234922</v>
      </c>
      <c r="CK27" s="72">
        <f t="shared" si="63"/>
        <v>1685782.0314462245</v>
      </c>
      <c r="CL27" s="72">
        <f t="shared" si="64"/>
        <v>1722837.0117109998</v>
      </c>
      <c r="CM27" s="72">
        <f t="shared" si="64"/>
        <v>1759890.2110583386</v>
      </c>
      <c r="CN27" s="72">
        <f t="shared" si="64"/>
        <v>1796943.6139357286</v>
      </c>
      <c r="CO27" s="72">
        <f t="shared" si="64"/>
        <v>1833997.0127704293</v>
      </c>
      <c r="CP27" s="72">
        <f t="shared" si="64"/>
        <v>1871051.4938970311</v>
      </c>
      <c r="CQ27" s="72">
        <f t="shared" si="64"/>
        <v>1908106.5098869372</v>
      </c>
      <c r="CR27" s="72">
        <f t="shared" si="64"/>
        <v>1945161.4614684724</v>
      </c>
      <c r="CS27" s="72">
        <f t="shared" si="64"/>
        <v>1982216.4143426858</v>
      </c>
      <c r="CT27" s="72">
        <f t="shared" si="64"/>
        <v>2019270.6887245497</v>
      </c>
      <c r="CU27" s="72">
        <f t="shared" si="64"/>
        <v>2056325.0220004735</v>
      </c>
      <c r="CV27" s="72">
        <f t="shared" si="64"/>
        <v>2093379.3550514495</v>
      </c>
      <c r="CW27" s="72">
        <f t="shared" si="64"/>
        <v>2130433.6880804445</v>
      </c>
      <c r="CX27" s="72">
        <f t="shared" si="64"/>
        <v>2167488.2707952228</v>
      </c>
      <c r="CY27" s="72">
        <f t="shared" si="64"/>
        <v>2204542.7907392392</v>
      </c>
      <c r="CZ27" s="72">
        <f t="shared" si="64"/>
        <v>2241597.3149990994</v>
      </c>
      <c r="DA27" s="72">
        <f t="shared" si="64"/>
        <v>2278651.8141528899</v>
      </c>
      <c r="DB27" s="72">
        <f t="shared" si="65"/>
        <v>2315706.2575579719</v>
      </c>
      <c r="DC27" s="72">
        <f t="shared" si="65"/>
        <v>2352760.7165646278</v>
      </c>
      <c r="DD27" s="72">
        <f t="shared" si="65"/>
        <v>2389815.1773411352</v>
      </c>
      <c r="DE27" s="72">
        <f t="shared" si="65"/>
        <v>2426869.6575133535</v>
      </c>
      <c r="DF27" s="72">
        <f t="shared" si="65"/>
        <v>2463924.1884628241</v>
      </c>
      <c r="DG27" s="72">
        <f t="shared" si="65"/>
        <v>2500978.6815437647</v>
      </c>
      <c r="DH27" s="72">
        <f t="shared" si="65"/>
        <v>2538033.1686041038</v>
      </c>
      <c r="DI27" s="72">
        <f t="shared" si="65"/>
        <v>2575087.649777859</v>
      </c>
      <c r="DJ27" s="72">
        <f t="shared" si="65"/>
        <v>2612142.1316565773</v>
      </c>
      <c r="DK27" s="72">
        <f t="shared" si="65"/>
        <v>2649196.6148841092</v>
      </c>
      <c r="DL27" s="72">
        <f t="shared" si="65"/>
        <v>2686251.1033223746</v>
      </c>
      <c r="DM27" s="72">
        <f t="shared" si="65"/>
        <v>2723305.6040926962</v>
      </c>
      <c r="DN27" s="72">
        <f t="shared" si="65"/>
        <v>2760360.0935574677</v>
      </c>
      <c r="DO27" s="72">
        <f t="shared" si="65"/>
        <v>2797414.5829598331</v>
      </c>
      <c r="DP27" s="72">
        <f t="shared" si="65"/>
        <v>2834469.0703672352</v>
      </c>
      <c r="DQ27" s="72">
        <f t="shared" si="65"/>
        <v>2871523.558547467</v>
      </c>
      <c r="DR27" s="72">
        <f t="shared" si="66"/>
        <v>2908578.04705386</v>
      </c>
      <c r="DS27" s="72">
        <f t="shared" si="66"/>
        <v>2945632.5366721489</v>
      </c>
      <c r="DT27" s="72">
        <f t="shared" si="66"/>
        <v>2982687.0293787848</v>
      </c>
      <c r="DU27" s="72">
        <f t="shared" si="66"/>
        <v>3019741.5191924386</v>
      </c>
      <c r="DV27" s="72">
        <f t="shared" si="66"/>
        <v>3056796.008964078</v>
      </c>
      <c r="DW27" s="72">
        <f t="shared" si="66"/>
        <v>3093850.4982650345</v>
      </c>
      <c r="DX27" s="72">
        <f t="shared" si="66"/>
        <v>3130904.9878015802</v>
      </c>
      <c r="DY27" s="72">
        <f t="shared" si="66"/>
        <v>3167959.4775159564</v>
      </c>
      <c r="DZ27" s="72">
        <f t="shared" si="66"/>
        <v>3205013.9674255117</v>
      </c>
    </row>
    <row r="28" spans="1:144" ht="25.5" x14ac:dyDescent="0.2">
      <c r="A28" s="42" t="s">
        <v>136</v>
      </c>
      <c r="B28" s="39" t="s">
        <v>170</v>
      </c>
      <c r="C28" s="70">
        <v>0</v>
      </c>
      <c r="D28" s="70">
        <v>0</v>
      </c>
      <c r="E28" s="70">
        <v>0</v>
      </c>
      <c r="F28" s="70">
        <v>0</v>
      </c>
      <c r="G28" s="70">
        <v>0</v>
      </c>
      <c r="H28" s="70">
        <v>0</v>
      </c>
      <c r="I28" s="70">
        <v>0</v>
      </c>
      <c r="J28" s="70">
        <v>0</v>
      </c>
      <c r="K28" s="70">
        <v>0</v>
      </c>
      <c r="L28" s="70">
        <v>0</v>
      </c>
      <c r="M28" s="70">
        <v>0</v>
      </c>
      <c r="N28" s="70">
        <v>0</v>
      </c>
      <c r="O28" s="70">
        <v>0</v>
      </c>
      <c r="P28" s="70">
        <v>0</v>
      </c>
      <c r="Q28" s="70">
        <v>0</v>
      </c>
      <c r="R28" s="70">
        <v>0</v>
      </c>
      <c r="S28" s="70">
        <v>0</v>
      </c>
      <c r="T28" s="70">
        <v>0</v>
      </c>
      <c r="U28" s="70">
        <v>0</v>
      </c>
      <c r="V28" s="70">
        <v>0</v>
      </c>
      <c r="W28" s="70">
        <v>0</v>
      </c>
      <c r="X28" s="70">
        <v>0</v>
      </c>
      <c r="Y28" s="70">
        <v>0</v>
      </c>
      <c r="Z28" s="70">
        <v>0</v>
      </c>
      <c r="AA28" s="70">
        <v>0</v>
      </c>
      <c r="AB28" s="70">
        <v>0</v>
      </c>
      <c r="AC28" s="70">
        <v>0</v>
      </c>
      <c r="AD28" s="70">
        <v>0</v>
      </c>
      <c r="AE28" s="70">
        <v>0</v>
      </c>
      <c r="AF28" s="70">
        <v>0</v>
      </c>
      <c r="AG28" s="70">
        <v>0</v>
      </c>
      <c r="AH28" s="70">
        <v>0</v>
      </c>
      <c r="AI28" s="70">
        <v>2782</v>
      </c>
      <c r="AJ28" s="70">
        <v>3801</v>
      </c>
      <c r="AK28" s="70">
        <v>3235</v>
      </c>
      <c r="AL28" s="70">
        <v>4272</v>
      </c>
      <c r="AM28" s="70">
        <v>4361</v>
      </c>
      <c r="AN28" s="70">
        <v>3860</v>
      </c>
      <c r="AO28" s="70">
        <v>3568</v>
      </c>
      <c r="AP28" s="70">
        <v>1868</v>
      </c>
      <c r="AQ28" s="70">
        <v>1552</v>
      </c>
      <c r="AR28" s="70">
        <v>1495</v>
      </c>
      <c r="AS28" s="70">
        <v>1273</v>
      </c>
      <c r="AT28" s="70">
        <v>1292</v>
      </c>
      <c r="AU28" s="70">
        <v>1209</v>
      </c>
      <c r="AV28" s="70">
        <v>1599</v>
      </c>
      <c r="AW28" s="70">
        <v>2255</v>
      </c>
      <c r="AX28" s="78">
        <v>4599</v>
      </c>
      <c r="AY28" s="78">
        <v>4639</v>
      </c>
      <c r="AZ28" s="71">
        <v>4863</v>
      </c>
      <c r="BA28" s="71">
        <v>6992</v>
      </c>
      <c r="BB28" s="71">
        <v>5770</v>
      </c>
      <c r="BC28" s="71">
        <v>5979</v>
      </c>
      <c r="BD28" s="71">
        <v>5399</v>
      </c>
      <c r="BE28" s="71">
        <v>6228</v>
      </c>
      <c r="BF28" s="72">
        <f t="shared" ref="BF28:DQ28" si="67">_xlfn.FORECAST.ETS(BF$19,AV28:BE28,AV$19:BE$19)+250</f>
        <v>6922.0949901284748</v>
      </c>
      <c r="BG28" s="72">
        <f t="shared" si="67"/>
        <v>7437.3337485911543</v>
      </c>
      <c r="BH28" s="72">
        <f t="shared" si="67"/>
        <v>7509.057823403723</v>
      </c>
      <c r="BI28" s="72">
        <f t="shared" si="67"/>
        <v>7797.8805767275344</v>
      </c>
      <c r="BJ28" s="72">
        <f t="shared" si="67"/>
        <v>8035.9591679814966</v>
      </c>
      <c r="BK28" s="72">
        <f t="shared" si="67"/>
        <v>8514.1004208205795</v>
      </c>
      <c r="BL28" s="72">
        <f t="shared" si="67"/>
        <v>9077.3647807470752</v>
      </c>
      <c r="BM28" s="72">
        <f t="shared" si="67"/>
        <v>9604.0042609542088</v>
      </c>
      <c r="BN28" s="72">
        <f t="shared" si="67"/>
        <v>10291.854787621247</v>
      </c>
      <c r="BO28" s="72">
        <f t="shared" si="67"/>
        <v>10985.471137763008</v>
      </c>
      <c r="BP28" s="72">
        <f t="shared" si="67"/>
        <v>11925.671038137802</v>
      </c>
      <c r="BQ28" s="72">
        <f t="shared" si="67"/>
        <v>13071.390529429224</v>
      </c>
      <c r="BR28" s="72">
        <f t="shared" si="67"/>
        <v>14443.806329724564</v>
      </c>
      <c r="BS28" s="72">
        <f t="shared" si="67"/>
        <v>16040.934281197666</v>
      </c>
      <c r="BT28" s="72">
        <f t="shared" si="67"/>
        <v>17862.812232752953</v>
      </c>
      <c r="BU28" s="72">
        <f t="shared" si="67"/>
        <v>19909.440184378302</v>
      </c>
      <c r="BV28" s="72">
        <f t="shared" si="67"/>
        <v>22180.818136086498</v>
      </c>
      <c r="BW28" s="72">
        <f t="shared" si="67"/>
        <v>24676.946087909011</v>
      </c>
      <c r="BX28" s="72">
        <f t="shared" si="67"/>
        <v>27397.824039852014</v>
      </c>
      <c r="BY28" s="72">
        <f t="shared" si="67"/>
        <v>30343.45199194453</v>
      </c>
      <c r="BZ28" s="72">
        <f t="shared" si="67"/>
        <v>33513.829944182777</v>
      </c>
      <c r="CA28" s="72">
        <f t="shared" si="67"/>
        <v>36908.957896569416</v>
      </c>
      <c r="CB28" s="72">
        <f t="shared" si="67"/>
        <v>40528.835849104122</v>
      </c>
      <c r="CC28" s="72">
        <f t="shared" si="67"/>
        <v>44373.463801786915</v>
      </c>
      <c r="CD28" s="72">
        <f t="shared" si="67"/>
        <v>48442.841754617781</v>
      </c>
      <c r="CE28" s="72">
        <f t="shared" si="67"/>
        <v>52736.969707596734</v>
      </c>
      <c r="CF28" s="72">
        <f t="shared" si="67"/>
        <v>57255.847660723775</v>
      </c>
      <c r="CG28" s="72">
        <f t="shared" si="67"/>
        <v>61999.475613998882</v>
      </c>
      <c r="CH28" s="72">
        <f t="shared" si="67"/>
        <v>66967.853567422062</v>
      </c>
      <c r="CI28" s="72">
        <f t="shared" si="67"/>
        <v>72160.981520993329</v>
      </c>
      <c r="CJ28" s="72">
        <f t="shared" si="67"/>
        <v>77578.859474712663</v>
      </c>
      <c r="CK28" s="72">
        <f t="shared" si="67"/>
        <v>83221.487428580091</v>
      </c>
      <c r="CL28" s="72">
        <f t="shared" si="67"/>
        <v>89088.865382595613</v>
      </c>
      <c r="CM28" s="72">
        <f t="shared" si="67"/>
        <v>95180.993336759231</v>
      </c>
      <c r="CN28" s="72">
        <f t="shared" si="67"/>
        <v>101497.8712910709</v>
      </c>
      <c r="CO28" s="72">
        <f t="shared" si="67"/>
        <v>108039.49924553066</v>
      </c>
      <c r="CP28" s="72">
        <f t="shared" si="67"/>
        <v>114805.87720013852</v>
      </c>
      <c r="CQ28" s="72">
        <f t="shared" si="67"/>
        <v>121797.00515489446</v>
      </c>
      <c r="CR28" s="72">
        <f t="shared" si="67"/>
        <v>129012.88310979847</v>
      </c>
      <c r="CS28" s="72">
        <f t="shared" si="67"/>
        <v>136453.51106485055</v>
      </c>
      <c r="CT28" s="72">
        <f t="shared" si="67"/>
        <v>144118.8890200507</v>
      </c>
      <c r="CU28" s="72">
        <f t="shared" si="67"/>
        <v>152009.01697539896</v>
      </c>
      <c r="CV28" s="72">
        <f t="shared" si="67"/>
        <v>160123.8949308953</v>
      </c>
      <c r="CW28" s="72">
        <f t="shared" si="67"/>
        <v>168463.52288653972</v>
      </c>
      <c r="CX28" s="72">
        <f t="shared" si="67"/>
        <v>177027.90084233222</v>
      </c>
      <c r="CY28" s="72">
        <f t="shared" si="67"/>
        <v>185817.0287982728</v>
      </c>
      <c r="CZ28" s="72">
        <f t="shared" si="67"/>
        <v>194830.90675436147</v>
      </c>
      <c r="DA28" s="72">
        <f t="shared" si="67"/>
        <v>204069.53471059821</v>
      </c>
      <c r="DB28" s="72">
        <f t="shared" si="67"/>
        <v>213532.91266698303</v>
      </c>
      <c r="DC28" s="72">
        <f t="shared" si="67"/>
        <v>223221.0406235159</v>
      </c>
      <c r="DD28" s="72">
        <f t="shared" si="67"/>
        <v>233133.91858019686</v>
      </c>
      <c r="DE28" s="72">
        <f t="shared" si="67"/>
        <v>243271.54653702589</v>
      </c>
      <c r="DF28" s="72">
        <f t="shared" si="67"/>
        <v>253633.92449400303</v>
      </c>
      <c r="DG28" s="72">
        <f t="shared" si="67"/>
        <v>264221.05245112826</v>
      </c>
      <c r="DH28" s="72">
        <f t="shared" si="67"/>
        <v>275032.93040840159</v>
      </c>
      <c r="DI28" s="72">
        <f t="shared" si="67"/>
        <v>286069.558365823</v>
      </c>
      <c r="DJ28" s="72">
        <f t="shared" si="67"/>
        <v>297330.9363233925</v>
      </c>
      <c r="DK28" s="72">
        <f t="shared" si="67"/>
        <v>308817.06428111007</v>
      </c>
      <c r="DL28" s="72">
        <f t="shared" si="67"/>
        <v>320527.94223897572</v>
      </c>
      <c r="DM28" s="72">
        <f t="shared" si="67"/>
        <v>332463.57019698946</v>
      </c>
      <c r="DN28" s="72">
        <f t="shared" si="67"/>
        <v>344623.94815515127</v>
      </c>
      <c r="DO28" s="72">
        <f t="shared" si="67"/>
        <v>357009.07611346117</v>
      </c>
      <c r="DP28" s="72">
        <f t="shared" si="67"/>
        <v>369618.95407191914</v>
      </c>
      <c r="DQ28" s="72">
        <f t="shared" si="67"/>
        <v>382453.5820305252</v>
      </c>
      <c r="DR28" s="72">
        <f t="shared" ref="DR28:DZ28" si="68">_xlfn.FORECAST.ETS(DR$19,DH28:DQ28,DH$19:DQ$19)+250</f>
        <v>395512.95998927933</v>
      </c>
      <c r="DS28" s="72">
        <f t="shared" si="68"/>
        <v>408797.08794818155</v>
      </c>
      <c r="DT28" s="72">
        <f t="shared" si="68"/>
        <v>422305.96590723185</v>
      </c>
      <c r="DU28" s="72">
        <f t="shared" si="68"/>
        <v>436039.59386643022</v>
      </c>
      <c r="DV28" s="72">
        <f t="shared" si="68"/>
        <v>449997.97182577668</v>
      </c>
      <c r="DW28" s="72">
        <f t="shared" si="68"/>
        <v>464181.09978527122</v>
      </c>
      <c r="DX28" s="72">
        <f t="shared" si="68"/>
        <v>478588.97774491383</v>
      </c>
      <c r="DY28" s="72">
        <f t="shared" si="68"/>
        <v>493221.60570470453</v>
      </c>
      <c r="DZ28" s="72">
        <f t="shared" si="68"/>
        <v>508078.98366464331</v>
      </c>
    </row>
    <row r="29" spans="1:144" ht="25.5" x14ac:dyDescent="0.2">
      <c r="A29" s="42" t="s">
        <v>137</v>
      </c>
      <c r="B29" s="39" t="s">
        <v>170</v>
      </c>
      <c r="C29" s="70">
        <v>0</v>
      </c>
      <c r="D29" s="70">
        <v>0</v>
      </c>
      <c r="E29" s="70">
        <v>0</v>
      </c>
      <c r="F29" s="70">
        <v>0</v>
      </c>
      <c r="G29" s="70">
        <v>0</v>
      </c>
      <c r="H29" s="70">
        <v>0</v>
      </c>
      <c r="I29" s="70">
        <v>0</v>
      </c>
      <c r="J29" s="70">
        <v>0</v>
      </c>
      <c r="K29" s="70">
        <v>0</v>
      </c>
      <c r="L29" s="70">
        <v>0</v>
      </c>
      <c r="M29" s="70">
        <v>0</v>
      </c>
      <c r="N29" s="70">
        <v>0</v>
      </c>
      <c r="O29" s="70">
        <v>0</v>
      </c>
      <c r="P29" s="70">
        <v>0</v>
      </c>
      <c r="Q29" s="70">
        <v>0</v>
      </c>
      <c r="R29" s="70">
        <v>0</v>
      </c>
      <c r="S29" s="70">
        <v>0</v>
      </c>
      <c r="T29" s="70">
        <v>0</v>
      </c>
      <c r="U29" s="70">
        <v>0</v>
      </c>
      <c r="V29" s="70">
        <v>0</v>
      </c>
      <c r="W29" s="70">
        <v>0</v>
      </c>
      <c r="X29" s="70">
        <v>0</v>
      </c>
      <c r="Y29" s="70">
        <v>0</v>
      </c>
      <c r="Z29" s="70">
        <v>0</v>
      </c>
      <c r="AA29" s="70">
        <v>0</v>
      </c>
      <c r="AB29" s="70">
        <v>0</v>
      </c>
      <c r="AC29" s="70">
        <v>0</v>
      </c>
      <c r="AD29" s="70">
        <v>0</v>
      </c>
      <c r="AE29" s="70">
        <v>0</v>
      </c>
      <c r="AF29" s="70">
        <v>0</v>
      </c>
      <c r="AG29" s="70">
        <v>0</v>
      </c>
      <c r="AH29" s="70">
        <v>0</v>
      </c>
      <c r="AI29" s="70">
        <v>218</v>
      </c>
      <c r="AJ29" s="70">
        <v>130</v>
      </c>
      <c r="AK29" s="70">
        <v>4590</v>
      </c>
      <c r="AL29" s="70">
        <v>2974</v>
      </c>
      <c r="AM29" s="70">
        <v>3120</v>
      </c>
      <c r="AN29" s="70">
        <v>3287</v>
      </c>
      <c r="AO29" s="70">
        <v>5505</v>
      </c>
      <c r="AP29" s="70">
        <v>8662</v>
      </c>
      <c r="AQ29" s="70">
        <v>8172</v>
      </c>
      <c r="AR29" s="70">
        <v>10260</v>
      </c>
      <c r="AS29" s="70">
        <v>11293</v>
      </c>
      <c r="AT29" s="70">
        <v>13016</v>
      </c>
      <c r="AU29" s="70">
        <v>12699</v>
      </c>
      <c r="AV29" s="70">
        <v>14241</v>
      </c>
      <c r="AW29" s="70">
        <v>14547</v>
      </c>
      <c r="AX29" s="78">
        <v>13906</v>
      </c>
      <c r="AY29" s="78">
        <v>15035</v>
      </c>
      <c r="AZ29" s="71">
        <v>16904</v>
      </c>
      <c r="BA29" s="71">
        <v>18919</v>
      </c>
      <c r="BB29" s="71">
        <v>23250</v>
      </c>
      <c r="BC29" s="71">
        <v>25841</v>
      </c>
      <c r="BD29" s="71">
        <v>28002</v>
      </c>
      <c r="BE29" s="71">
        <v>28004</v>
      </c>
      <c r="BF29" s="72">
        <f t="shared" ref="BF29:BU36" si="69">_xlfn.FORECAST.ETS(BF$19,AV29:BE29,AV$19:BE$19)</f>
        <v>28233.139954899525</v>
      </c>
      <c r="BG29" s="72">
        <f t="shared" si="69"/>
        <v>29900.489845667791</v>
      </c>
      <c r="BH29" s="72">
        <f t="shared" si="69"/>
        <v>31673.457201138644</v>
      </c>
      <c r="BI29" s="72">
        <f t="shared" si="69"/>
        <v>33435.440425838889</v>
      </c>
      <c r="BJ29" s="72">
        <f t="shared" si="69"/>
        <v>35136.520454149519</v>
      </c>
      <c r="BK29" s="72">
        <f t="shared" si="69"/>
        <v>36762.991152627794</v>
      </c>
      <c r="BL29" s="72">
        <f t="shared" si="69"/>
        <v>38108.1706796824</v>
      </c>
      <c r="BM29" s="72">
        <f t="shared" si="69"/>
        <v>39469.128314713562</v>
      </c>
      <c r="BN29" s="72">
        <f t="shared" si="69"/>
        <v>40851.433516717749</v>
      </c>
      <c r="BO29" s="72">
        <f t="shared" si="69"/>
        <v>42395.8897059132</v>
      </c>
      <c r="BP29" s="72">
        <f t="shared" si="69"/>
        <v>43923.465025237158</v>
      </c>
      <c r="BQ29" s="72">
        <f t="shared" si="69"/>
        <v>45451.368924425835</v>
      </c>
      <c r="BR29" s="72">
        <f t="shared" si="69"/>
        <v>46979.272823578183</v>
      </c>
      <c r="BS29" s="72">
        <f t="shared" si="69"/>
        <v>48453.853576402864</v>
      </c>
      <c r="BT29" s="72">
        <f t="shared" si="69"/>
        <v>49925.813767937776</v>
      </c>
      <c r="BU29" s="72">
        <f t="shared" si="69"/>
        <v>51398.50293622991</v>
      </c>
      <c r="BV29" s="72">
        <f t="shared" ref="BV29:CK36" si="70">_xlfn.FORECAST.ETS(BV$19,BL29:BU29,BL$19:BU$19)</f>
        <v>52884.185658804126</v>
      </c>
      <c r="BW29" s="72">
        <f t="shared" si="70"/>
        <v>54384.711779097212</v>
      </c>
      <c r="BX29" s="72">
        <f t="shared" si="70"/>
        <v>55883.597028246681</v>
      </c>
      <c r="BY29" s="72">
        <f t="shared" si="70"/>
        <v>57382.514644199029</v>
      </c>
      <c r="BZ29" s="72">
        <f t="shared" si="70"/>
        <v>58875.375001718057</v>
      </c>
      <c r="CA29" s="72">
        <f t="shared" si="70"/>
        <v>60363.671349622949</v>
      </c>
      <c r="CB29" s="72">
        <f t="shared" si="70"/>
        <v>61852.489937450322</v>
      </c>
      <c r="CC29" s="72">
        <f t="shared" si="70"/>
        <v>63341.298149465598</v>
      </c>
      <c r="CD29" s="72">
        <f t="shared" si="70"/>
        <v>64832.894928636902</v>
      </c>
      <c r="CE29" s="72">
        <f t="shared" si="70"/>
        <v>66326.321047803489</v>
      </c>
      <c r="CF29" s="72">
        <f t="shared" si="70"/>
        <v>67819.53473817707</v>
      </c>
      <c r="CG29" s="72">
        <f t="shared" si="70"/>
        <v>69312.752661674283</v>
      </c>
      <c r="CH29" s="72">
        <f t="shared" si="70"/>
        <v>70803.90325237636</v>
      </c>
      <c r="CI29" s="72">
        <f t="shared" si="70"/>
        <v>72295.291123689327</v>
      </c>
      <c r="CJ29" s="72">
        <f t="shared" si="70"/>
        <v>73786.672352767127</v>
      </c>
      <c r="CK29" s="72">
        <f t="shared" si="70"/>
        <v>75278.053630536087</v>
      </c>
      <c r="CL29" s="72">
        <f t="shared" ref="CL29:DA36" si="71">_xlfn.FORECAST.ETS(CL$19,CB29:CK29,CB$19:CK$19)</f>
        <v>76770.157152014595</v>
      </c>
      <c r="CM29" s="72">
        <f t="shared" si="71"/>
        <v>78262.186903364374</v>
      </c>
      <c r="CN29" s="72">
        <f t="shared" si="71"/>
        <v>79754.2180352414</v>
      </c>
      <c r="CO29" s="72">
        <f t="shared" si="71"/>
        <v>81246.017674445044</v>
      </c>
      <c r="CP29" s="72">
        <f t="shared" si="71"/>
        <v>82737.742137524139</v>
      </c>
      <c r="CQ29" s="72">
        <f t="shared" si="71"/>
        <v>84229.499569785432</v>
      </c>
      <c r="CR29" s="72">
        <f t="shared" si="71"/>
        <v>85721.254410996422</v>
      </c>
      <c r="CS29" s="72">
        <f t="shared" si="71"/>
        <v>87213.089260172594</v>
      </c>
      <c r="CT29" s="72">
        <f t="shared" si="71"/>
        <v>88704.94212014103</v>
      </c>
      <c r="CU29" s="72">
        <f t="shared" si="71"/>
        <v>90196.792436609394</v>
      </c>
      <c r="CV29" s="72">
        <f t="shared" si="71"/>
        <v>91688.642805571377</v>
      </c>
      <c r="CW29" s="72">
        <f t="shared" si="71"/>
        <v>93180.447795589236</v>
      </c>
      <c r="CX29" s="72">
        <f t="shared" si="71"/>
        <v>94672.257459638306</v>
      </c>
      <c r="CY29" s="72">
        <f t="shared" si="71"/>
        <v>96164.067032929481</v>
      </c>
      <c r="CZ29" s="72">
        <f t="shared" si="71"/>
        <v>97655.885954185564</v>
      </c>
      <c r="DA29" s="72">
        <f t="shared" si="71"/>
        <v>99147.713349866448</v>
      </c>
      <c r="DB29" s="72">
        <f t="shared" ref="DB29:DQ36" si="72">_xlfn.FORECAST.ETS(DB$19,CR29:DA29,CR$19:DA$19)</f>
        <v>100639.53979220496</v>
      </c>
      <c r="DC29" s="72">
        <f t="shared" si="72"/>
        <v>102131.36625341799</v>
      </c>
      <c r="DD29" s="72">
        <f t="shared" si="72"/>
        <v>103623.18709153567</v>
      </c>
      <c r="DE29" s="72">
        <f t="shared" si="72"/>
        <v>105115.0067041365</v>
      </c>
      <c r="DF29" s="72">
        <f t="shared" si="72"/>
        <v>106606.82649137478</v>
      </c>
      <c r="DG29" s="72">
        <f t="shared" si="72"/>
        <v>108098.64627500369</v>
      </c>
      <c r="DH29" s="72">
        <f t="shared" si="72"/>
        <v>109590.46875719623</v>
      </c>
      <c r="DI29" s="72">
        <f t="shared" si="72"/>
        <v>111082.29137193529</v>
      </c>
      <c r="DJ29" s="72">
        <f t="shared" si="72"/>
        <v>112574.11394979015</v>
      </c>
      <c r="DK29" s="72">
        <f t="shared" si="72"/>
        <v>114065.93586893697</v>
      </c>
      <c r="DL29" s="72">
        <f t="shared" si="72"/>
        <v>115557.75717409569</v>
      </c>
      <c r="DM29" s="72">
        <f t="shared" si="72"/>
        <v>117049.57854817307</v>
      </c>
      <c r="DN29" s="72">
        <f t="shared" si="72"/>
        <v>118541.3999208866</v>
      </c>
      <c r="DO29" s="72">
        <f t="shared" si="72"/>
        <v>120033.22152580383</v>
      </c>
      <c r="DP29" s="72">
        <f t="shared" si="72"/>
        <v>121525.04336276944</v>
      </c>
      <c r="DQ29" s="72">
        <f t="shared" si="72"/>
        <v>123016.86517383503</v>
      </c>
      <c r="DR29" s="72">
        <f t="shared" ref="DR29:DZ36" si="73">_xlfn.FORECAST.ETS(DR$19,DH29:DQ29,DH$19:DQ$19)</f>
        <v>124508.68698541254</v>
      </c>
      <c r="DS29" s="72">
        <f t="shared" si="73"/>
        <v>126000.5086099312</v>
      </c>
      <c r="DT29" s="72">
        <f t="shared" si="73"/>
        <v>127492.33021746714</v>
      </c>
      <c r="DU29" s="72">
        <f t="shared" si="73"/>
        <v>128984.15182836271</v>
      </c>
      <c r="DV29" s="72">
        <f t="shared" si="73"/>
        <v>130475.97343918578</v>
      </c>
      <c r="DW29" s="72">
        <f t="shared" si="73"/>
        <v>131967.79513449676</v>
      </c>
      <c r="DX29" s="72">
        <f t="shared" si="73"/>
        <v>133459.61681952511</v>
      </c>
      <c r="DY29" s="72">
        <f t="shared" si="73"/>
        <v>134951.43850488524</v>
      </c>
      <c r="DZ29" s="72">
        <f t="shared" si="73"/>
        <v>136443.26017619701</v>
      </c>
    </row>
    <row r="30" spans="1:144" x14ac:dyDescent="0.2">
      <c r="A30" s="42" t="s">
        <v>138</v>
      </c>
      <c r="B30" s="39" t="s">
        <v>170</v>
      </c>
      <c r="C30" s="70">
        <v>0</v>
      </c>
      <c r="D30" s="70">
        <v>0</v>
      </c>
      <c r="E30" s="70">
        <v>0</v>
      </c>
      <c r="F30" s="70">
        <v>0</v>
      </c>
      <c r="G30" s="70">
        <v>0</v>
      </c>
      <c r="H30" s="70">
        <v>0</v>
      </c>
      <c r="I30" s="70">
        <v>0</v>
      </c>
      <c r="J30" s="70">
        <v>0</v>
      </c>
      <c r="K30" s="70">
        <v>0</v>
      </c>
      <c r="L30" s="70">
        <v>0</v>
      </c>
      <c r="M30" s="70">
        <v>0</v>
      </c>
      <c r="N30" s="70">
        <v>0</v>
      </c>
      <c r="O30" s="70">
        <v>0</v>
      </c>
      <c r="P30" s="70">
        <v>0</v>
      </c>
      <c r="Q30" s="70">
        <v>0</v>
      </c>
      <c r="R30" s="70">
        <v>0</v>
      </c>
      <c r="S30" s="70">
        <v>0</v>
      </c>
      <c r="T30" s="70">
        <v>0</v>
      </c>
      <c r="U30" s="70">
        <v>0</v>
      </c>
      <c r="V30" s="70">
        <v>0</v>
      </c>
      <c r="W30" s="70">
        <v>43422</v>
      </c>
      <c r="X30" s="70">
        <v>45017</v>
      </c>
      <c r="Y30" s="70">
        <v>44251</v>
      </c>
      <c r="Z30" s="70">
        <v>48926</v>
      </c>
      <c r="AA30" s="70">
        <v>47742</v>
      </c>
      <c r="AB30" s="70">
        <v>60871</v>
      </c>
      <c r="AC30" s="70">
        <v>57528</v>
      </c>
      <c r="AD30" s="70">
        <v>62590</v>
      </c>
      <c r="AE30" s="70">
        <v>56898</v>
      </c>
      <c r="AF30" s="70">
        <v>57966</v>
      </c>
      <c r="AG30" s="70">
        <v>60432</v>
      </c>
      <c r="AH30" s="70">
        <v>61747</v>
      </c>
      <c r="AI30" s="70">
        <v>56954</v>
      </c>
      <c r="AJ30" s="70">
        <v>61050</v>
      </c>
      <c r="AK30" s="70">
        <v>63879</v>
      </c>
      <c r="AL30" s="70">
        <v>65113</v>
      </c>
      <c r="AM30" s="70">
        <v>59810</v>
      </c>
      <c r="AN30" s="70">
        <v>44866</v>
      </c>
      <c r="AO30" s="70">
        <v>51365</v>
      </c>
      <c r="AP30" s="70">
        <v>47762</v>
      </c>
      <c r="AQ30" s="70">
        <v>48591</v>
      </c>
      <c r="AR30" s="70">
        <v>50276</v>
      </c>
      <c r="AS30" s="70">
        <v>59075</v>
      </c>
      <c r="AT30" s="70">
        <v>58408</v>
      </c>
      <c r="AU30" s="70">
        <v>60212</v>
      </c>
      <c r="AV30" s="70">
        <v>59075</v>
      </c>
      <c r="AW30" s="70">
        <v>69093</v>
      </c>
      <c r="AX30" s="78">
        <v>73779</v>
      </c>
      <c r="AY30" s="78">
        <v>65831</v>
      </c>
      <c r="AZ30" s="71">
        <v>70851</v>
      </c>
      <c r="BA30" s="71">
        <v>76653</v>
      </c>
      <c r="BB30" s="71">
        <v>62014</v>
      </c>
      <c r="BC30" s="71">
        <v>62472</v>
      </c>
      <c r="BD30" s="71">
        <v>64621</v>
      </c>
      <c r="BE30" s="71">
        <v>72482</v>
      </c>
      <c r="BF30" s="72">
        <f t="shared" si="69"/>
        <v>68993.149249089096</v>
      </c>
      <c r="BG30" s="72">
        <f t="shared" si="69"/>
        <v>65792.292515857043</v>
      </c>
      <c r="BH30" s="72">
        <f t="shared" si="69"/>
        <v>66601.859174797079</v>
      </c>
      <c r="BI30" s="72">
        <f t="shared" si="69"/>
        <v>65667.506653216886</v>
      </c>
      <c r="BJ30" s="72">
        <f t="shared" si="69"/>
        <v>66469.786145741789</v>
      </c>
      <c r="BK30" s="72">
        <f t="shared" si="69"/>
        <v>66083.065131598851</v>
      </c>
      <c r="BL30" s="72">
        <f t="shared" si="69"/>
        <v>66446.388494833314</v>
      </c>
      <c r="BM30" s="72">
        <f t="shared" si="69"/>
        <v>66463.176029423907</v>
      </c>
      <c r="BN30" s="72">
        <f t="shared" si="69"/>
        <v>65941.789286022104</v>
      </c>
      <c r="BO30" s="72">
        <f t="shared" si="69"/>
        <v>65491.690300633396</v>
      </c>
      <c r="BP30" s="72">
        <f t="shared" si="69"/>
        <v>65396.234951783394</v>
      </c>
      <c r="BQ30" s="72">
        <f t="shared" si="69"/>
        <v>65496.313251384141</v>
      </c>
      <c r="BR30" s="72">
        <f t="shared" si="69"/>
        <v>65553.269447789309</v>
      </c>
      <c r="BS30" s="72">
        <f t="shared" si="69"/>
        <v>65448.782502698239</v>
      </c>
      <c r="BT30" s="72">
        <f t="shared" si="69"/>
        <v>65178.20656159136</v>
      </c>
      <c r="BU30" s="72">
        <f t="shared" si="69"/>
        <v>65064.432711620553</v>
      </c>
      <c r="BV30" s="72">
        <f t="shared" si="70"/>
        <v>64919.489451321526</v>
      </c>
      <c r="BW30" s="72">
        <f t="shared" si="70"/>
        <v>64775.606377263925</v>
      </c>
      <c r="BX30" s="72">
        <f t="shared" si="70"/>
        <v>64675.366134421405</v>
      </c>
      <c r="BY30" s="72">
        <f t="shared" si="70"/>
        <v>64573.904779219651</v>
      </c>
      <c r="BZ30" s="72">
        <f t="shared" si="70"/>
        <v>64466.560801021478</v>
      </c>
      <c r="CA30" s="72">
        <f t="shared" si="70"/>
        <v>64334.85966647543</v>
      </c>
      <c r="CB30" s="72">
        <f t="shared" si="70"/>
        <v>64197.447704476319</v>
      </c>
      <c r="CC30" s="72">
        <f t="shared" si="70"/>
        <v>64069.137612976359</v>
      </c>
      <c r="CD30" s="72">
        <f t="shared" si="70"/>
        <v>63948.770999591128</v>
      </c>
      <c r="CE30" s="72">
        <f t="shared" si="70"/>
        <v>63827.444950272904</v>
      </c>
      <c r="CF30" s="72">
        <f t="shared" si="70"/>
        <v>63706.853567018494</v>
      </c>
      <c r="CG30" s="72">
        <f t="shared" si="70"/>
        <v>63586.188915301107</v>
      </c>
      <c r="CH30" s="72">
        <f t="shared" si="70"/>
        <v>63463.835320905142</v>
      </c>
      <c r="CI30" s="72">
        <f t="shared" si="70"/>
        <v>63339.216063021413</v>
      </c>
      <c r="CJ30" s="72">
        <f t="shared" si="70"/>
        <v>63214.844720807094</v>
      </c>
      <c r="CK30" s="72">
        <f t="shared" si="70"/>
        <v>63091.243970660471</v>
      </c>
      <c r="CL30" s="72">
        <f t="shared" si="71"/>
        <v>62968.986306783278</v>
      </c>
      <c r="CM30" s="72">
        <f t="shared" si="71"/>
        <v>62846.583628986198</v>
      </c>
      <c r="CN30" s="72">
        <f t="shared" si="71"/>
        <v>62724.183797108468</v>
      </c>
      <c r="CO30" s="72">
        <f t="shared" si="71"/>
        <v>62601.783965230527</v>
      </c>
      <c r="CP30" s="72">
        <f t="shared" si="71"/>
        <v>62478.684742324775</v>
      </c>
      <c r="CQ30" s="72">
        <f t="shared" si="71"/>
        <v>62355.689838794635</v>
      </c>
      <c r="CR30" s="72">
        <f t="shared" si="71"/>
        <v>62232.690211426067</v>
      </c>
      <c r="CS30" s="72">
        <f t="shared" si="71"/>
        <v>62109.836360826223</v>
      </c>
      <c r="CT30" s="72">
        <f t="shared" si="71"/>
        <v>61987.140709394414</v>
      </c>
      <c r="CU30" s="72">
        <f t="shared" si="71"/>
        <v>61864.427509012065</v>
      </c>
      <c r="CV30" s="72">
        <f t="shared" si="71"/>
        <v>61741.7146550447</v>
      </c>
      <c r="CW30" s="72">
        <f t="shared" si="71"/>
        <v>61618.886179296547</v>
      </c>
      <c r="CX30" s="72">
        <f t="shared" si="71"/>
        <v>61496.048256770831</v>
      </c>
      <c r="CY30" s="72">
        <f t="shared" si="71"/>
        <v>61373.212302651053</v>
      </c>
      <c r="CZ30" s="72">
        <f t="shared" si="71"/>
        <v>61250.376305819671</v>
      </c>
      <c r="DA30" s="72">
        <f t="shared" si="71"/>
        <v>61127.5896174882</v>
      </c>
      <c r="DB30" s="72">
        <f t="shared" si="72"/>
        <v>61004.803917124213</v>
      </c>
      <c r="DC30" s="72">
        <f t="shared" si="72"/>
        <v>60882.017690502718</v>
      </c>
      <c r="DD30" s="72">
        <f t="shared" si="72"/>
        <v>60759.219475393555</v>
      </c>
      <c r="DE30" s="72">
        <f t="shared" si="72"/>
        <v>60636.409968480686</v>
      </c>
      <c r="DF30" s="72">
        <f t="shared" si="72"/>
        <v>60513.601727936933</v>
      </c>
      <c r="DG30" s="72">
        <f t="shared" si="72"/>
        <v>60390.793462337453</v>
      </c>
      <c r="DH30" s="72">
        <f t="shared" si="72"/>
        <v>60267.989763491525</v>
      </c>
      <c r="DI30" s="72">
        <f t="shared" si="72"/>
        <v>60145.190183561754</v>
      </c>
      <c r="DJ30" s="72">
        <f t="shared" si="72"/>
        <v>60022.390140068441</v>
      </c>
      <c r="DK30" s="72">
        <f t="shared" si="72"/>
        <v>59899.590105753705</v>
      </c>
      <c r="DL30" s="72">
        <f t="shared" si="72"/>
        <v>59776.786541640642</v>
      </c>
      <c r="DM30" s="72">
        <f t="shared" si="72"/>
        <v>59653.982703808979</v>
      </c>
      <c r="DN30" s="72">
        <f t="shared" si="72"/>
        <v>59531.178924558379</v>
      </c>
      <c r="DO30" s="72">
        <f t="shared" si="72"/>
        <v>59408.375144033198</v>
      </c>
      <c r="DP30" s="72">
        <f t="shared" si="72"/>
        <v>59285.572949828274</v>
      </c>
      <c r="DQ30" s="72">
        <f t="shared" si="72"/>
        <v>59162.770561545018</v>
      </c>
      <c r="DR30" s="72">
        <f t="shared" si="73"/>
        <v>59039.968179595191</v>
      </c>
      <c r="DS30" s="72">
        <f t="shared" si="73"/>
        <v>58917.165527415229</v>
      </c>
      <c r="DT30" s="72">
        <f t="shared" si="73"/>
        <v>58794.36253567558</v>
      </c>
      <c r="DU30" s="72">
        <f t="shared" si="73"/>
        <v>58671.559581236463</v>
      </c>
      <c r="DV30" s="72">
        <f t="shared" si="73"/>
        <v>58548.756626062568</v>
      </c>
      <c r="DW30" s="72">
        <f t="shared" si="73"/>
        <v>58425.953870313853</v>
      </c>
      <c r="DX30" s="72">
        <f t="shared" si="73"/>
        <v>58303.151156568099</v>
      </c>
      <c r="DY30" s="72">
        <f t="shared" si="73"/>
        <v>58180.34843677919</v>
      </c>
      <c r="DZ30" s="72">
        <f t="shared" si="73"/>
        <v>58057.545717115368</v>
      </c>
    </row>
    <row r="31" spans="1:144" x14ac:dyDescent="0.2">
      <c r="A31" s="42" t="s">
        <v>139</v>
      </c>
      <c r="B31" s="39" t="s">
        <v>170</v>
      </c>
      <c r="C31" s="70">
        <v>0</v>
      </c>
      <c r="D31" s="70">
        <v>0</v>
      </c>
      <c r="E31" s="70">
        <v>0</v>
      </c>
      <c r="F31" s="70">
        <v>0</v>
      </c>
      <c r="G31" s="70">
        <v>0</v>
      </c>
      <c r="H31" s="70">
        <v>0</v>
      </c>
      <c r="I31" s="70">
        <v>0</v>
      </c>
      <c r="J31" s="70">
        <v>0</v>
      </c>
      <c r="K31" s="70">
        <v>0</v>
      </c>
      <c r="L31" s="70">
        <v>0</v>
      </c>
      <c r="M31" s="70">
        <v>0</v>
      </c>
      <c r="N31" s="70">
        <v>0</v>
      </c>
      <c r="O31" s="70">
        <v>0</v>
      </c>
      <c r="P31" s="70">
        <v>0</v>
      </c>
      <c r="Q31" s="70">
        <v>0</v>
      </c>
      <c r="R31" s="70">
        <v>0</v>
      </c>
      <c r="S31" s="70">
        <v>0</v>
      </c>
      <c r="T31" s="70">
        <v>0</v>
      </c>
      <c r="U31" s="70">
        <v>0</v>
      </c>
      <c r="V31" s="70">
        <v>0</v>
      </c>
      <c r="W31" s="70">
        <v>0</v>
      </c>
      <c r="X31" s="70">
        <v>0</v>
      </c>
      <c r="Y31" s="70">
        <v>0</v>
      </c>
      <c r="Z31" s="70">
        <v>0</v>
      </c>
      <c r="AA31" s="70">
        <v>0</v>
      </c>
      <c r="AB31" s="70">
        <v>0</v>
      </c>
      <c r="AC31" s="70">
        <v>0</v>
      </c>
      <c r="AD31" s="70">
        <v>0</v>
      </c>
      <c r="AE31" s="70">
        <v>0</v>
      </c>
      <c r="AF31" s="70">
        <v>0</v>
      </c>
      <c r="AG31" s="70">
        <v>0</v>
      </c>
      <c r="AH31" s="70">
        <v>0</v>
      </c>
      <c r="AI31" s="70">
        <v>18177</v>
      </c>
      <c r="AJ31" s="70">
        <v>20827</v>
      </c>
      <c r="AK31" s="70">
        <v>23862</v>
      </c>
      <c r="AL31" s="70">
        <v>24971</v>
      </c>
      <c r="AM31" s="70">
        <v>23729</v>
      </c>
      <c r="AN31" s="70">
        <v>31261</v>
      </c>
      <c r="AO31" s="70">
        <v>34264</v>
      </c>
      <c r="AP31" s="70">
        <v>54064</v>
      </c>
      <c r="AQ31" s="70">
        <v>55576</v>
      </c>
      <c r="AR31" s="70">
        <v>58507</v>
      </c>
      <c r="AS31" s="70">
        <v>63062</v>
      </c>
      <c r="AT31" s="70">
        <v>61877</v>
      </c>
      <c r="AU31" s="70">
        <v>49563</v>
      </c>
      <c r="AV31" s="70">
        <v>95906</v>
      </c>
      <c r="AW31" s="70">
        <v>99127</v>
      </c>
      <c r="AX31" s="78">
        <v>112692</v>
      </c>
      <c r="AY31" s="78">
        <v>97895</v>
      </c>
      <c r="AZ31" s="71">
        <v>89774</v>
      </c>
      <c r="BA31" s="71">
        <v>91618</v>
      </c>
      <c r="BB31" s="71">
        <v>117665</v>
      </c>
      <c r="BC31" s="71">
        <v>93280</v>
      </c>
      <c r="BD31" s="71">
        <v>97508</v>
      </c>
      <c r="BE31" s="71">
        <v>112896</v>
      </c>
      <c r="BF31" s="72">
        <f t="shared" si="69"/>
        <v>94639.17001633381</v>
      </c>
      <c r="BG31" s="72">
        <f t="shared" si="69"/>
        <v>104763.78470372109</v>
      </c>
      <c r="BH31" s="72">
        <f t="shared" si="69"/>
        <v>111060.01601777146</v>
      </c>
      <c r="BI31" s="72">
        <f t="shared" si="69"/>
        <v>111517.73797223439</v>
      </c>
      <c r="BJ31" s="72">
        <f t="shared" si="69"/>
        <v>110471.65300955037</v>
      </c>
      <c r="BK31" s="72">
        <f t="shared" si="69"/>
        <v>110252.93162894448</v>
      </c>
      <c r="BL31" s="72">
        <f t="shared" si="69"/>
        <v>111551.87143100287</v>
      </c>
      <c r="BM31" s="72">
        <f t="shared" si="69"/>
        <v>114647.0071850047</v>
      </c>
      <c r="BN31" s="72">
        <f t="shared" si="69"/>
        <v>115019.24813346879</v>
      </c>
      <c r="BO31" s="72">
        <f t="shared" si="69"/>
        <v>116146.8361622041</v>
      </c>
      <c r="BP31" s="72">
        <f t="shared" si="69"/>
        <v>117991.71219052818</v>
      </c>
      <c r="BQ31" s="72">
        <f t="shared" si="69"/>
        <v>119051.33437450143</v>
      </c>
      <c r="BR31" s="72">
        <f t="shared" si="69"/>
        <v>120022.29851713034</v>
      </c>
      <c r="BS31" s="72">
        <f t="shared" si="69"/>
        <v>121186.20557928982</v>
      </c>
      <c r="BT31" s="72">
        <f t="shared" si="69"/>
        <v>122783.59768998947</v>
      </c>
      <c r="BU31" s="72">
        <f t="shared" si="69"/>
        <v>124092.05244999063</v>
      </c>
      <c r="BV31" s="72">
        <f t="shared" si="70"/>
        <v>125340.7523190963</v>
      </c>
      <c r="BW31" s="72">
        <f t="shared" si="70"/>
        <v>126559.55821533292</v>
      </c>
      <c r="BX31" s="72">
        <f t="shared" si="70"/>
        <v>127815.32522426252</v>
      </c>
      <c r="BY31" s="72">
        <f t="shared" si="70"/>
        <v>129099.28537327846</v>
      </c>
      <c r="BZ31" s="72">
        <f t="shared" si="70"/>
        <v>130355.84720276928</v>
      </c>
      <c r="CA31" s="72">
        <f t="shared" si="70"/>
        <v>131636.6012223085</v>
      </c>
      <c r="CB31" s="72">
        <f t="shared" si="70"/>
        <v>132942.42090457567</v>
      </c>
      <c r="CC31" s="72">
        <f t="shared" si="70"/>
        <v>134222.98711420601</v>
      </c>
      <c r="CD31" s="72">
        <f t="shared" si="70"/>
        <v>135488.2975486739</v>
      </c>
      <c r="CE31" s="72">
        <f t="shared" si="70"/>
        <v>136757.86907899941</v>
      </c>
      <c r="CF31" s="72">
        <f t="shared" si="70"/>
        <v>138031.62168778904</v>
      </c>
      <c r="CG31" s="72">
        <f t="shared" si="70"/>
        <v>139308.96498958411</v>
      </c>
      <c r="CH31" s="72">
        <f t="shared" si="70"/>
        <v>140592.066691991</v>
      </c>
      <c r="CI31" s="72">
        <f t="shared" si="70"/>
        <v>141874.31783006573</v>
      </c>
      <c r="CJ31" s="72">
        <f t="shared" si="70"/>
        <v>143151.94649873159</v>
      </c>
      <c r="CK31" s="72">
        <f t="shared" si="70"/>
        <v>144429.10238621783</v>
      </c>
      <c r="CL31" s="72">
        <f t="shared" si="71"/>
        <v>145705.80572420734</v>
      </c>
      <c r="CM31" s="72">
        <f t="shared" si="71"/>
        <v>146982.56291182648</v>
      </c>
      <c r="CN31" s="72">
        <f t="shared" si="71"/>
        <v>148260.23857978018</v>
      </c>
      <c r="CO31" s="72">
        <f t="shared" si="71"/>
        <v>149538.82457587079</v>
      </c>
      <c r="CP31" s="72">
        <f t="shared" si="71"/>
        <v>150817.29594216892</v>
      </c>
      <c r="CQ31" s="72">
        <f t="shared" si="71"/>
        <v>152095.7706523496</v>
      </c>
      <c r="CR31" s="72">
        <f t="shared" si="71"/>
        <v>153373.51141070976</v>
      </c>
      <c r="CS31" s="72">
        <f t="shared" si="71"/>
        <v>154651.32776343913</v>
      </c>
      <c r="CT31" s="72">
        <f t="shared" si="71"/>
        <v>155929.14264831672</v>
      </c>
      <c r="CU31" s="72">
        <f t="shared" si="71"/>
        <v>157206.95753319442</v>
      </c>
      <c r="CV31" s="72">
        <f t="shared" si="71"/>
        <v>158485.00649038178</v>
      </c>
      <c r="CW31" s="72">
        <f t="shared" si="71"/>
        <v>159763.07388552726</v>
      </c>
      <c r="CX31" s="72">
        <f t="shared" si="71"/>
        <v>161041.13736643459</v>
      </c>
      <c r="CY31" s="72">
        <f t="shared" si="71"/>
        <v>162319.1359150534</v>
      </c>
      <c r="CZ31" s="72">
        <f t="shared" si="71"/>
        <v>163597.0737393673</v>
      </c>
      <c r="DA31" s="72">
        <f t="shared" si="71"/>
        <v>164875.01837801919</v>
      </c>
      <c r="DB31" s="72">
        <f t="shared" si="72"/>
        <v>166152.96288182889</v>
      </c>
      <c r="DC31" s="72">
        <f t="shared" si="72"/>
        <v>167430.9339041661</v>
      </c>
      <c r="DD31" s="72">
        <f t="shared" si="72"/>
        <v>168708.92527584379</v>
      </c>
      <c r="DE31" s="72">
        <f t="shared" si="72"/>
        <v>169986.91432324142</v>
      </c>
      <c r="DF31" s="72">
        <f t="shared" si="72"/>
        <v>171264.90341680055</v>
      </c>
      <c r="DG31" s="72">
        <f t="shared" si="72"/>
        <v>172542.87358849376</v>
      </c>
      <c r="DH31" s="72">
        <f t="shared" si="72"/>
        <v>173820.84232031426</v>
      </c>
      <c r="DI31" s="72">
        <f t="shared" si="72"/>
        <v>175098.81136333998</v>
      </c>
      <c r="DJ31" s="72">
        <f t="shared" si="72"/>
        <v>176376.78039958805</v>
      </c>
      <c r="DK31" s="72">
        <f t="shared" si="72"/>
        <v>177654.75803960525</v>
      </c>
      <c r="DL31" s="72">
        <f t="shared" si="72"/>
        <v>178932.73462731857</v>
      </c>
      <c r="DM31" s="72">
        <f t="shared" si="72"/>
        <v>180210.71124934938</v>
      </c>
      <c r="DN31" s="72">
        <f t="shared" si="72"/>
        <v>181488.68636328171</v>
      </c>
      <c r="DO31" s="72">
        <f t="shared" si="72"/>
        <v>182766.65966015926</v>
      </c>
      <c r="DP31" s="72">
        <f t="shared" si="72"/>
        <v>184044.63315717384</v>
      </c>
      <c r="DQ31" s="72">
        <f t="shared" si="72"/>
        <v>185322.60665024372</v>
      </c>
      <c r="DR31" s="72">
        <f t="shared" si="73"/>
        <v>186600.58123427824</v>
      </c>
      <c r="DS31" s="72">
        <f t="shared" si="73"/>
        <v>187878.55604235068</v>
      </c>
      <c r="DT31" s="72">
        <f t="shared" si="73"/>
        <v>189156.53081795512</v>
      </c>
      <c r="DU31" s="72">
        <f t="shared" si="73"/>
        <v>190434.50559423238</v>
      </c>
      <c r="DV31" s="72">
        <f t="shared" si="73"/>
        <v>191712.4798625987</v>
      </c>
      <c r="DW31" s="72">
        <f t="shared" si="73"/>
        <v>192990.45410477291</v>
      </c>
      <c r="DX31" s="72">
        <f t="shared" si="73"/>
        <v>194268.42835401752</v>
      </c>
      <c r="DY31" s="72">
        <f t="shared" si="73"/>
        <v>195546.40272472319</v>
      </c>
      <c r="DZ31" s="72">
        <f t="shared" si="73"/>
        <v>196824.37721348467</v>
      </c>
    </row>
    <row r="32" spans="1:144" x14ac:dyDescent="0.2">
      <c r="A32" s="42" t="s">
        <v>140</v>
      </c>
      <c r="B32" s="39" t="s">
        <v>170</v>
      </c>
      <c r="C32" s="70">
        <v>0</v>
      </c>
      <c r="D32" s="70">
        <v>0</v>
      </c>
      <c r="E32" s="70">
        <v>0</v>
      </c>
      <c r="F32" s="70">
        <v>0</v>
      </c>
      <c r="G32" s="70">
        <v>0</v>
      </c>
      <c r="H32" s="70">
        <v>0</v>
      </c>
      <c r="I32" s="70">
        <v>0</v>
      </c>
      <c r="J32" s="70">
        <v>0</v>
      </c>
      <c r="K32" s="70">
        <v>0</v>
      </c>
      <c r="L32" s="70">
        <v>0</v>
      </c>
      <c r="M32" s="70">
        <v>0</v>
      </c>
      <c r="N32" s="70">
        <v>0</v>
      </c>
      <c r="O32" s="70">
        <v>0</v>
      </c>
      <c r="P32" s="70">
        <v>0</v>
      </c>
      <c r="Q32" s="70">
        <v>0</v>
      </c>
      <c r="R32" s="70">
        <v>0</v>
      </c>
      <c r="S32" s="70">
        <v>0</v>
      </c>
      <c r="T32" s="70">
        <v>0</v>
      </c>
      <c r="U32" s="70">
        <v>0</v>
      </c>
      <c r="V32" s="70">
        <v>0</v>
      </c>
      <c r="W32" s="70">
        <v>0</v>
      </c>
      <c r="X32" s="70">
        <v>0</v>
      </c>
      <c r="Y32" s="70">
        <v>0</v>
      </c>
      <c r="Z32" s="70">
        <v>0</v>
      </c>
      <c r="AA32" s="70">
        <v>0</v>
      </c>
      <c r="AB32" s="70">
        <v>0</v>
      </c>
      <c r="AC32" s="70">
        <v>0</v>
      </c>
      <c r="AD32" s="70">
        <v>0</v>
      </c>
      <c r="AE32" s="70">
        <v>0</v>
      </c>
      <c r="AF32" s="70">
        <v>0</v>
      </c>
      <c r="AG32" s="70">
        <v>0</v>
      </c>
      <c r="AH32" s="70">
        <v>0</v>
      </c>
      <c r="AI32" s="70">
        <v>0</v>
      </c>
      <c r="AJ32" s="70">
        <v>4171</v>
      </c>
      <c r="AK32" s="70">
        <v>4007</v>
      </c>
      <c r="AL32" s="70">
        <v>4448</v>
      </c>
      <c r="AM32" s="70">
        <v>4587</v>
      </c>
      <c r="AN32" s="70">
        <v>5607</v>
      </c>
      <c r="AO32" s="70">
        <v>10343</v>
      </c>
      <c r="AP32" s="70">
        <v>6008</v>
      </c>
      <c r="AQ32" s="70">
        <v>20084</v>
      </c>
      <c r="AR32" s="70">
        <v>16985</v>
      </c>
      <c r="AS32" s="70">
        <v>10075</v>
      </c>
      <c r="AT32" s="70">
        <v>11533</v>
      </c>
      <c r="AU32" s="70">
        <v>17113</v>
      </c>
      <c r="AV32" s="70">
        <v>16404</v>
      </c>
      <c r="AW32" s="70">
        <v>14945</v>
      </c>
      <c r="AX32" s="78">
        <v>14209</v>
      </c>
      <c r="AY32" s="78">
        <v>12713</v>
      </c>
      <c r="AZ32" s="71">
        <v>11960</v>
      </c>
      <c r="BA32" s="71">
        <v>14766</v>
      </c>
      <c r="BB32" s="71">
        <v>15482</v>
      </c>
      <c r="BC32" s="71">
        <v>14492</v>
      </c>
      <c r="BD32" s="71">
        <v>13621</v>
      </c>
      <c r="BE32" s="71">
        <v>14785</v>
      </c>
      <c r="BF32" s="72">
        <f t="shared" si="69"/>
        <v>14600.559726114339</v>
      </c>
      <c r="BG32" s="72">
        <f t="shared" si="69"/>
        <v>14699.836587677288</v>
      </c>
      <c r="BH32" s="72">
        <f t="shared" si="69"/>
        <v>15049.453386660414</v>
      </c>
      <c r="BI32" s="72">
        <f t="shared" si="69"/>
        <v>15297.511439764783</v>
      </c>
      <c r="BJ32" s="72">
        <f t="shared" si="69"/>
        <v>15470.534216883487</v>
      </c>
      <c r="BK32" s="72">
        <f t="shared" si="69"/>
        <v>15271.238543039242</v>
      </c>
      <c r="BL32" s="72">
        <f t="shared" si="69"/>
        <v>15383.822595744974</v>
      </c>
      <c r="BM32" s="72">
        <f t="shared" si="69"/>
        <v>15711.195504652516</v>
      </c>
      <c r="BN32" s="72">
        <f t="shared" si="69"/>
        <v>15858.924055192656</v>
      </c>
      <c r="BO32" s="72">
        <f t="shared" si="69"/>
        <v>15945.846621868275</v>
      </c>
      <c r="BP32" s="72">
        <f t="shared" si="69"/>
        <v>16093.911349078431</v>
      </c>
      <c r="BQ32" s="72">
        <f t="shared" si="69"/>
        <v>16229.525816218169</v>
      </c>
      <c r="BR32" s="72">
        <f t="shared" si="69"/>
        <v>16303.053278207746</v>
      </c>
      <c r="BS32" s="72">
        <f t="shared" si="69"/>
        <v>16443.678171319923</v>
      </c>
      <c r="BT32" s="72">
        <f t="shared" si="69"/>
        <v>16572.895823393097</v>
      </c>
      <c r="BU32" s="72">
        <f t="shared" si="69"/>
        <v>16715.775498820411</v>
      </c>
      <c r="BV32" s="72">
        <f t="shared" si="70"/>
        <v>16849.356629005404</v>
      </c>
      <c r="BW32" s="72">
        <f t="shared" si="70"/>
        <v>16953.744303868763</v>
      </c>
      <c r="BX32" s="72">
        <f t="shared" si="70"/>
        <v>17080.99709236703</v>
      </c>
      <c r="BY32" s="72">
        <f t="shared" si="70"/>
        <v>17206.276106711797</v>
      </c>
      <c r="BZ32" s="72">
        <f t="shared" si="70"/>
        <v>17333.64637532704</v>
      </c>
      <c r="CA32" s="72">
        <f t="shared" si="70"/>
        <v>17458.808390436865</v>
      </c>
      <c r="CB32" s="72">
        <f t="shared" si="70"/>
        <v>17586.296629016837</v>
      </c>
      <c r="CC32" s="72">
        <f t="shared" si="70"/>
        <v>17712.047191874997</v>
      </c>
      <c r="CD32" s="72">
        <f t="shared" si="70"/>
        <v>17836.374822831316</v>
      </c>
      <c r="CE32" s="72">
        <f t="shared" si="70"/>
        <v>17959.231230500325</v>
      </c>
      <c r="CF32" s="72">
        <f t="shared" si="70"/>
        <v>18084.184980318889</v>
      </c>
      <c r="CG32" s="72">
        <f t="shared" si="70"/>
        <v>18209.950502269243</v>
      </c>
      <c r="CH32" s="72">
        <f t="shared" si="70"/>
        <v>18335.330198417792</v>
      </c>
      <c r="CI32" s="72">
        <f t="shared" si="70"/>
        <v>18460.560637196428</v>
      </c>
      <c r="CJ32" s="72">
        <f t="shared" si="70"/>
        <v>18585.604821037239</v>
      </c>
      <c r="CK32" s="72">
        <f t="shared" si="70"/>
        <v>18710.587232366521</v>
      </c>
      <c r="CL32" s="72">
        <f t="shared" si="71"/>
        <v>18835.477445346321</v>
      </c>
      <c r="CM32" s="72">
        <f t="shared" si="71"/>
        <v>18960.431511179951</v>
      </c>
      <c r="CN32" s="72">
        <f t="shared" si="71"/>
        <v>19085.499016926908</v>
      </c>
      <c r="CO32" s="72">
        <f t="shared" si="71"/>
        <v>19210.651661564014</v>
      </c>
      <c r="CP32" s="72">
        <f t="shared" si="71"/>
        <v>19335.775213895813</v>
      </c>
      <c r="CQ32" s="72">
        <f t="shared" si="71"/>
        <v>19460.900949576157</v>
      </c>
      <c r="CR32" s="72">
        <f t="shared" si="71"/>
        <v>19585.958640891164</v>
      </c>
      <c r="CS32" s="72">
        <f t="shared" si="71"/>
        <v>19711.023336798302</v>
      </c>
      <c r="CT32" s="72">
        <f t="shared" si="71"/>
        <v>19836.087896693945</v>
      </c>
      <c r="CU32" s="72">
        <f t="shared" si="71"/>
        <v>19961.15666210651</v>
      </c>
      <c r="CV32" s="72">
        <f t="shared" si="71"/>
        <v>20086.245752150331</v>
      </c>
      <c r="CW32" s="72">
        <f t="shared" si="71"/>
        <v>20211.336522502435</v>
      </c>
      <c r="CX32" s="72">
        <f t="shared" si="71"/>
        <v>20336.425552921472</v>
      </c>
      <c r="CY32" s="72">
        <f t="shared" si="71"/>
        <v>20461.508460453028</v>
      </c>
      <c r="CZ32" s="72">
        <f t="shared" si="71"/>
        <v>20586.58606157449</v>
      </c>
      <c r="DA32" s="72">
        <f t="shared" si="71"/>
        <v>20711.664262979273</v>
      </c>
      <c r="DB32" s="72">
        <f t="shared" si="72"/>
        <v>20836.742452484439</v>
      </c>
      <c r="DC32" s="72">
        <f t="shared" si="72"/>
        <v>20961.823424405655</v>
      </c>
      <c r="DD32" s="72">
        <f t="shared" si="72"/>
        <v>21086.906329493635</v>
      </c>
      <c r="DE32" s="72">
        <f t="shared" si="72"/>
        <v>21211.989011511625</v>
      </c>
      <c r="DF32" s="72">
        <f t="shared" si="72"/>
        <v>21337.071697969124</v>
      </c>
      <c r="DG32" s="72">
        <f t="shared" si="72"/>
        <v>21462.152353780672</v>
      </c>
      <c r="DH32" s="72">
        <f t="shared" si="72"/>
        <v>21587.233208509162</v>
      </c>
      <c r="DI32" s="72">
        <f t="shared" si="72"/>
        <v>21712.314060231041</v>
      </c>
      <c r="DJ32" s="72">
        <f t="shared" si="72"/>
        <v>21837.394911932439</v>
      </c>
      <c r="DK32" s="72">
        <f t="shared" si="72"/>
        <v>21962.476475802778</v>
      </c>
      <c r="DL32" s="72">
        <f t="shared" si="72"/>
        <v>22087.557972830742</v>
      </c>
      <c r="DM32" s="72">
        <f t="shared" si="72"/>
        <v>22212.639470612412</v>
      </c>
      <c r="DN32" s="72">
        <f t="shared" si="72"/>
        <v>22337.720829674039</v>
      </c>
      <c r="DO32" s="72">
        <f t="shared" si="72"/>
        <v>22462.802021803684</v>
      </c>
      <c r="DP32" s="72">
        <f t="shared" si="72"/>
        <v>22587.883232321677</v>
      </c>
      <c r="DQ32" s="72">
        <f t="shared" si="72"/>
        <v>22712.964442477227</v>
      </c>
      <c r="DR32" s="72">
        <f t="shared" si="73"/>
        <v>22838.045721324532</v>
      </c>
      <c r="DS32" s="72">
        <f t="shared" si="73"/>
        <v>22963.127054088272</v>
      </c>
      <c r="DT32" s="72">
        <f t="shared" si="73"/>
        <v>23088.208380707252</v>
      </c>
      <c r="DU32" s="72">
        <f t="shared" si="73"/>
        <v>23213.289707448213</v>
      </c>
      <c r="DV32" s="72">
        <f t="shared" si="73"/>
        <v>23338.37100067081</v>
      </c>
      <c r="DW32" s="72">
        <f t="shared" si="73"/>
        <v>23463.452273860024</v>
      </c>
      <c r="DX32" s="72">
        <f t="shared" si="73"/>
        <v>23588.53354940124</v>
      </c>
      <c r="DY32" s="72">
        <f t="shared" si="73"/>
        <v>23713.614824895481</v>
      </c>
      <c r="DZ32" s="72">
        <f t="shared" si="73"/>
        <v>23838.696124230326</v>
      </c>
    </row>
    <row r="33" spans="1:130" x14ac:dyDescent="0.2">
      <c r="A33" s="42" t="s">
        <v>198</v>
      </c>
      <c r="B33" s="39" t="s">
        <v>170</v>
      </c>
      <c r="C33" s="70">
        <v>0</v>
      </c>
      <c r="D33" s="70">
        <v>0</v>
      </c>
      <c r="E33" s="70">
        <v>0</v>
      </c>
      <c r="F33" s="70">
        <v>0</v>
      </c>
      <c r="G33" s="70">
        <v>0</v>
      </c>
      <c r="H33" s="70">
        <v>0</v>
      </c>
      <c r="I33" s="70">
        <v>0</v>
      </c>
      <c r="J33" s="70">
        <v>0</v>
      </c>
      <c r="K33" s="70">
        <v>0</v>
      </c>
      <c r="L33" s="70">
        <v>0</v>
      </c>
      <c r="M33" s="70">
        <v>0</v>
      </c>
      <c r="N33" s="70">
        <v>0</v>
      </c>
      <c r="O33" s="70">
        <v>0</v>
      </c>
      <c r="P33" s="70">
        <v>0</v>
      </c>
      <c r="Q33" s="70">
        <v>0</v>
      </c>
      <c r="R33" s="70">
        <v>0</v>
      </c>
      <c r="S33" s="70">
        <v>0</v>
      </c>
      <c r="T33" s="70">
        <v>0</v>
      </c>
      <c r="U33" s="70">
        <v>0</v>
      </c>
      <c r="V33" s="70">
        <v>0</v>
      </c>
      <c r="W33" s="70">
        <v>37846</v>
      </c>
      <c r="X33" s="70">
        <v>38392</v>
      </c>
      <c r="Y33" s="70">
        <v>39127</v>
      </c>
      <c r="Z33" s="70">
        <v>41563</v>
      </c>
      <c r="AA33" s="70">
        <v>40896</v>
      </c>
      <c r="AB33" s="70">
        <v>41444</v>
      </c>
      <c r="AC33" s="70">
        <v>41613</v>
      </c>
      <c r="AD33" s="70">
        <v>41771</v>
      </c>
      <c r="AE33" s="70">
        <v>0</v>
      </c>
      <c r="AF33" s="70">
        <v>0</v>
      </c>
      <c r="AG33" s="70">
        <v>0</v>
      </c>
      <c r="AH33" s="70">
        <v>0</v>
      </c>
      <c r="AI33" s="70">
        <v>0</v>
      </c>
      <c r="AJ33" s="70">
        <v>0</v>
      </c>
      <c r="AK33" s="70">
        <v>0</v>
      </c>
      <c r="AL33" s="70">
        <v>0</v>
      </c>
      <c r="AM33" s="70">
        <v>0</v>
      </c>
      <c r="AN33" s="70">
        <v>0</v>
      </c>
      <c r="AO33" s="70">
        <v>0</v>
      </c>
      <c r="AP33" s="70">
        <v>0</v>
      </c>
      <c r="AQ33" s="70">
        <v>0</v>
      </c>
      <c r="AR33" s="70">
        <v>0</v>
      </c>
      <c r="AS33" s="70">
        <v>0</v>
      </c>
      <c r="AT33" s="70">
        <v>0</v>
      </c>
      <c r="AU33" s="70">
        <f t="shared" ref="AU33:AW33" si="74">_xlfn.FORECAST.ETS(AU$19,AK33:AT33,AK$19:AT$19)</f>
        <v>0</v>
      </c>
      <c r="AV33" s="70">
        <f t="shared" si="74"/>
        <v>0</v>
      </c>
      <c r="AW33" s="70">
        <f t="shared" si="74"/>
        <v>0</v>
      </c>
      <c r="AX33" s="78">
        <v>0</v>
      </c>
      <c r="AY33" s="78">
        <v>0</v>
      </c>
      <c r="AZ33" s="71"/>
      <c r="BA33" s="71">
        <f t="shared" ref="BA33" si="75">_xlfn.FORECAST.ETS(BA$19,AQ33:AZ33,AQ$19:AZ$19)</f>
        <v>0</v>
      </c>
      <c r="BB33" s="71"/>
      <c r="BC33" s="71">
        <f t="shared" ref="BC33:BD33" si="76">_xlfn.FORECAST.ETS(BC$19,AS33:BB33,AS$19:BB$19)</f>
        <v>0</v>
      </c>
      <c r="BD33" s="71">
        <f t="shared" si="76"/>
        <v>0</v>
      </c>
      <c r="BE33" s="71">
        <v>0</v>
      </c>
      <c r="BF33" s="72">
        <f t="shared" si="69"/>
        <v>0</v>
      </c>
      <c r="BG33" s="72">
        <f t="shared" si="69"/>
        <v>0</v>
      </c>
      <c r="BH33" s="72">
        <f t="shared" si="69"/>
        <v>0</v>
      </c>
      <c r="BI33" s="72">
        <f t="shared" si="69"/>
        <v>0</v>
      </c>
      <c r="BJ33" s="72">
        <f t="shared" si="69"/>
        <v>0</v>
      </c>
      <c r="BK33" s="72">
        <f t="shared" si="69"/>
        <v>0</v>
      </c>
      <c r="BL33" s="72">
        <f t="shared" si="69"/>
        <v>0</v>
      </c>
      <c r="BM33" s="72">
        <f t="shared" si="69"/>
        <v>0</v>
      </c>
      <c r="BN33" s="72">
        <f t="shared" si="69"/>
        <v>0</v>
      </c>
      <c r="BO33" s="72">
        <f t="shared" si="69"/>
        <v>0</v>
      </c>
      <c r="BP33" s="72">
        <f t="shared" si="69"/>
        <v>0</v>
      </c>
      <c r="BQ33" s="72">
        <f t="shared" si="69"/>
        <v>0</v>
      </c>
      <c r="BR33" s="72">
        <f t="shared" si="69"/>
        <v>0</v>
      </c>
      <c r="BS33" s="72">
        <f t="shared" si="69"/>
        <v>0</v>
      </c>
      <c r="BT33" s="72">
        <f t="shared" si="69"/>
        <v>0</v>
      </c>
      <c r="BU33" s="72">
        <f t="shared" si="69"/>
        <v>0</v>
      </c>
      <c r="BV33" s="72">
        <f t="shared" si="70"/>
        <v>0</v>
      </c>
      <c r="BW33" s="72">
        <f t="shared" si="70"/>
        <v>0</v>
      </c>
      <c r="BX33" s="72">
        <f t="shared" si="70"/>
        <v>0</v>
      </c>
      <c r="BY33" s="72">
        <f t="shared" si="70"/>
        <v>0</v>
      </c>
      <c r="BZ33" s="72">
        <f t="shared" si="70"/>
        <v>0</v>
      </c>
      <c r="CA33" s="72">
        <f t="shared" si="70"/>
        <v>0</v>
      </c>
      <c r="CB33" s="72">
        <f t="shared" si="70"/>
        <v>0</v>
      </c>
      <c r="CC33" s="72">
        <f t="shared" si="70"/>
        <v>0</v>
      </c>
      <c r="CD33" s="72">
        <f t="shared" si="70"/>
        <v>0</v>
      </c>
      <c r="CE33" s="72">
        <f t="shared" si="70"/>
        <v>0</v>
      </c>
      <c r="CF33" s="72">
        <f t="shared" si="70"/>
        <v>0</v>
      </c>
      <c r="CG33" s="72">
        <f t="shared" si="70"/>
        <v>0</v>
      </c>
      <c r="CH33" s="72">
        <f t="shared" si="70"/>
        <v>0</v>
      </c>
      <c r="CI33" s="72">
        <f t="shared" si="70"/>
        <v>0</v>
      </c>
      <c r="CJ33" s="72">
        <f t="shared" si="70"/>
        <v>0</v>
      </c>
      <c r="CK33" s="72">
        <f t="shared" si="70"/>
        <v>0</v>
      </c>
      <c r="CL33" s="72">
        <f t="shared" si="71"/>
        <v>0</v>
      </c>
      <c r="CM33" s="72">
        <f t="shared" si="71"/>
        <v>0</v>
      </c>
      <c r="CN33" s="72">
        <f t="shared" si="71"/>
        <v>0</v>
      </c>
      <c r="CO33" s="72">
        <f t="shared" si="71"/>
        <v>0</v>
      </c>
      <c r="CP33" s="72">
        <f t="shared" si="71"/>
        <v>0</v>
      </c>
      <c r="CQ33" s="72">
        <f t="shared" si="71"/>
        <v>0</v>
      </c>
      <c r="CR33" s="72">
        <f t="shared" si="71"/>
        <v>0</v>
      </c>
      <c r="CS33" s="72">
        <f t="shared" si="71"/>
        <v>0</v>
      </c>
      <c r="CT33" s="72">
        <f t="shared" si="71"/>
        <v>0</v>
      </c>
      <c r="CU33" s="72">
        <f t="shared" si="71"/>
        <v>0</v>
      </c>
      <c r="CV33" s="72">
        <f t="shared" si="71"/>
        <v>0</v>
      </c>
      <c r="CW33" s="72">
        <f t="shared" si="71"/>
        <v>0</v>
      </c>
      <c r="CX33" s="72">
        <f t="shared" si="71"/>
        <v>0</v>
      </c>
      <c r="CY33" s="72">
        <f t="shared" si="71"/>
        <v>0</v>
      </c>
      <c r="CZ33" s="72">
        <f t="shared" si="71"/>
        <v>0</v>
      </c>
      <c r="DA33" s="72">
        <f t="shared" si="71"/>
        <v>0</v>
      </c>
      <c r="DB33" s="72">
        <f t="shared" si="72"/>
        <v>0</v>
      </c>
      <c r="DC33" s="72">
        <f t="shared" si="72"/>
        <v>0</v>
      </c>
      <c r="DD33" s="72">
        <f t="shared" si="72"/>
        <v>0</v>
      </c>
      <c r="DE33" s="72">
        <f t="shared" si="72"/>
        <v>0</v>
      </c>
      <c r="DF33" s="72">
        <f t="shared" si="72"/>
        <v>0</v>
      </c>
      <c r="DG33" s="72">
        <f t="shared" si="72"/>
        <v>0</v>
      </c>
      <c r="DH33" s="72">
        <f t="shared" si="72"/>
        <v>0</v>
      </c>
      <c r="DI33" s="72">
        <f t="shared" si="72"/>
        <v>0</v>
      </c>
      <c r="DJ33" s="72">
        <f t="shared" si="72"/>
        <v>0</v>
      </c>
      <c r="DK33" s="72">
        <f t="shared" si="72"/>
        <v>0</v>
      </c>
      <c r="DL33" s="72">
        <f t="shared" si="72"/>
        <v>0</v>
      </c>
      <c r="DM33" s="72">
        <f t="shared" si="72"/>
        <v>0</v>
      </c>
      <c r="DN33" s="72">
        <f t="shared" si="72"/>
        <v>0</v>
      </c>
      <c r="DO33" s="72">
        <f t="shared" si="72"/>
        <v>0</v>
      </c>
      <c r="DP33" s="72">
        <f t="shared" si="72"/>
        <v>0</v>
      </c>
      <c r="DQ33" s="72">
        <f t="shared" si="72"/>
        <v>0</v>
      </c>
      <c r="DR33" s="72">
        <f t="shared" si="73"/>
        <v>0</v>
      </c>
      <c r="DS33" s="72">
        <f t="shared" si="73"/>
        <v>0</v>
      </c>
      <c r="DT33" s="72">
        <f t="shared" si="73"/>
        <v>0</v>
      </c>
      <c r="DU33" s="72">
        <f t="shared" si="73"/>
        <v>0</v>
      </c>
      <c r="DV33" s="72">
        <f t="shared" si="73"/>
        <v>0</v>
      </c>
      <c r="DW33" s="72">
        <f t="shared" si="73"/>
        <v>0</v>
      </c>
      <c r="DX33" s="72">
        <f t="shared" si="73"/>
        <v>0</v>
      </c>
      <c r="DY33" s="72">
        <f t="shared" si="73"/>
        <v>0</v>
      </c>
      <c r="DZ33" s="72">
        <f t="shared" si="73"/>
        <v>0</v>
      </c>
    </row>
    <row r="34" spans="1:130" x14ac:dyDescent="0.2">
      <c r="A34" s="42" t="s">
        <v>142</v>
      </c>
      <c r="B34" s="39"/>
      <c r="C34" s="70">
        <v>0</v>
      </c>
      <c r="D34" s="70">
        <v>0</v>
      </c>
      <c r="E34" s="70">
        <v>0</v>
      </c>
      <c r="F34" s="70">
        <v>0</v>
      </c>
      <c r="G34" s="70">
        <v>0</v>
      </c>
      <c r="H34" s="70">
        <v>0</v>
      </c>
      <c r="I34" s="70">
        <v>0</v>
      </c>
      <c r="J34" s="70">
        <v>0</v>
      </c>
      <c r="K34" s="70">
        <v>0</v>
      </c>
      <c r="L34" s="70">
        <v>0</v>
      </c>
      <c r="M34" s="70">
        <v>0</v>
      </c>
      <c r="N34" s="70">
        <v>0</v>
      </c>
      <c r="O34" s="70">
        <v>0</v>
      </c>
      <c r="P34" s="70">
        <v>0</v>
      </c>
      <c r="Q34" s="70">
        <v>0</v>
      </c>
      <c r="R34" s="70">
        <v>0</v>
      </c>
      <c r="S34" s="70">
        <v>0</v>
      </c>
      <c r="T34" s="70">
        <v>0</v>
      </c>
      <c r="U34" s="70">
        <v>0</v>
      </c>
      <c r="V34" s="70">
        <v>0</v>
      </c>
      <c r="W34" s="70">
        <v>0</v>
      </c>
      <c r="X34" s="70">
        <v>0</v>
      </c>
      <c r="Y34" s="70">
        <v>0</v>
      </c>
      <c r="Z34" s="70">
        <v>0</v>
      </c>
      <c r="AA34" s="70">
        <v>0</v>
      </c>
      <c r="AB34" s="70">
        <v>0</v>
      </c>
      <c r="AC34" s="70">
        <v>0</v>
      </c>
      <c r="AD34" s="70">
        <v>0</v>
      </c>
      <c r="AE34" s="70">
        <v>30686</v>
      </c>
      <c r="AF34" s="70">
        <v>28330</v>
      </c>
      <c r="AG34" s="70">
        <v>26025</v>
      </c>
      <c r="AH34" s="70">
        <v>24449</v>
      </c>
      <c r="AI34" s="70">
        <v>24707</v>
      </c>
      <c r="AJ34" s="70">
        <v>22245</v>
      </c>
      <c r="AK34" s="70">
        <v>15380</v>
      </c>
      <c r="AL34" s="70">
        <v>11064</v>
      </c>
      <c r="AM34" s="70">
        <v>3136</v>
      </c>
      <c r="AN34" s="70">
        <v>0</v>
      </c>
      <c r="AO34" s="70">
        <v>0</v>
      </c>
      <c r="AP34" s="70">
        <v>0</v>
      </c>
      <c r="AQ34" s="70">
        <v>20117</v>
      </c>
      <c r="AR34" s="70">
        <v>39797</v>
      </c>
      <c r="AS34" s="70">
        <v>15440</v>
      </c>
      <c r="AT34" s="70">
        <v>4147</v>
      </c>
      <c r="AU34" s="70">
        <v>0</v>
      </c>
      <c r="AV34" s="70">
        <v>0</v>
      </c>
      <c r="AW34" s="70">
        <v>0</v>
      </c>
      <c r="AX34" s="78"/>
      <c r="AY34" s="78"/>
      <c r="AZ34" s="78"/>
      <c r="BA34" s="71">
        <v>0</v>
      </c>
      <c r="BC34" s="71">
        <v>0</v>
      </c>
      <c r="BD34" s="71">
        <v>0</v>
      </c>
      <c r="BE34" s="71">
        <v>0</v>
      </c>
      <c r="BF34" s="72">
        <v>0</v>
      </c>
      <c r="BG34" s="72">
        <v>0</v>
      </c>
      <c r="BH34" s="72">
        <v>0</v>
      </c>
      <c r="BI34" s="72">
        <v>0</v>
      </c>
      <c r="BJ34" s="72">
        <v>0</v>
      </c>
      <c r="BK34" s="72">
        <f t="shared" si="69"/>
        <v>0</v>
      </c>
      <c r="BL34" s="72">
        <f t="shared" si="69"/>
        <v>0</v>
      </c>
      <c r="BM34" s="72">
        <f t="shared" si="69"/>
        <v>0</v>
      </c>
      <c r="BN34" s="72">
        <f t="shared" si="69"/>
        <v>0</v>
      </c>
      <c r="BO34" s="72">
        <f t="shared" si="69"/>
        <v>0</v>
      </c>
      <c r="BP34" s="72">
        <f t="shared" si="69"/>
        <v>0</v>
      </c>
      <c r="BQ34" s="72">
        <f t="shared" si="69"/>
        <v>0</v>
      </c>
      <c r="BR34" s="72">
        <f t="shared" si="69"/>
        <v>0</v>
      </c>
      <c r="BS34" s="72">
        <f t="shared" si="69"/>
        <v>0</v>
      </c>
      <c r="BT34" s="72">
        <f t="shared" si="69"/>
        <v>0</v>
      </c>
      <c r="BU34" s="72">
        <f t="shared" si="69"/>
        <v>0</v>
      </c>
      <c r="BV34" s="72">
        <f t="shared" si="70"/>
        <v>0</v>
      </c>
      <c r="BW34" s="72">
        <f t="shared" si="70"/>
        <v>0</v>
      </c>
      <c r="BX34" s="72">
        <f t="shared" si="70"/>
        <v>0</v>
      </c>
      <c r="BY34" s="72">
        <f t="shared" si="70"/>
        <v>0</v>
      </c>
      <c r="BZ34" s="72">
        <f t="shared" si="70"/>
        <v>0</v>
      </c>
      <c r="CA34" s="72">
        <f t="shared" si="70"/>
        <v>0</v>
      </c>
      <c r="CB34" s="72">
        <f t="shared" si="70"/>
        <v>0</v>
      </c>
      <c r="CC34" s="72">
        <f t="shared" si="70"/>
        <v>0</v>
      </c>
      <c r="CD34" s="72">
        <f t="shared" si="70"/>
        <v>0</v>
      </c>
      <c r="CE34" s="72">
        <f t="shared" si="70"/>
        <v>0</v>
      </c>
      <c r="CF34" s="72">
        <f t="shared" si="70"/>
        <v>0</v>
      </c>
      <c r="CG34" s="72">
        <f t="shared" si="70"/>
        <v>0</v>
      </c>
      <c r="CH34" s="72">
        <f t="shared" si="70"/>
        <v>0</v>
      </c>
      <c r="CI34" s="72">
        <f t="shared" si="70"/>
        <v>0</v>
      </c>
      <c r="CJ34" s="72">
        <f t="shared" si="70"/>
        <v>0</v>
      </c>
      <c r="CK34" s="72">
        <f t="shared" si="70"/>
        <v>0</v>
      </c>
      <c r="CL34" s="72">
        <f t="shared" si="71"/>
        <v>0</v>
      </c>
      <c r="CM34" s="72">
        <f t="shared" si="71"/>
        <v>0</v>
      </c>
      <c r="CN34" s="72">
        <f t="shared" si="71"/>
        <v>0</v>
      </c>
      <c r="CO34" s="72">
        <f t="shared" si="71"/>
        <v>0</v>
      </c>
      <c r="CP34" s="72">
        <f t="shared" si="71"/>
        <v>0</v>
      </c>
      <c r="CQ34" s="72">
        <f t="shared" si="71"/>
        <v>0</v>
      </c>
      <c r="CR34" s="72">
        <f t="shared" si="71"/>
        <v>0</v>
      </c>
      <c r="CS34" s="72">
        <f t="shared" si="71"/>
        <v>0</v>
      </c>
      <c r="CT34" s="72">
        <f t="shared" si="71"/>
        <v>0</v>
      </c>
      <c r="CU34" s="72">
        <f t="shared" si="71"/>
        <v>0</v>
      </c>
      <c r="CV34" s="72">
        <f t="shared" si="71"/>
        <v>0</v>
      </c>
      <c r="CW34" s="72">
        <f t="shared" si="71"/>
        <v>0</v>
      </c>
      <c r="CX34" s="72">
        <f t="shared" si="71"/>
        <v>0</v>
      </c>
      <c r="CY34" s="72">
        <f t="shared" si="71"/>
        <v>0</v>
      </c>
      <c r="CZ34" s="72">
        <f t="shared" si="71"/>
        <v>0</v>
      </c>
      <c r="DA34" s="72">
        <f t="shared" si="71"/>
        <v>0</v>
      </c>
      <c r="DB34" s="72">
        <f t="shared" si="72"/>
        <v>0</v>
      </c>
      <c r="DC34" s="72">
        <f>_xlfn.FORECAST.ETS(DC$19,CS34:DB34,CS$19:DB$19)+250</f>
        <v>250</v>
      </c>
      <c r="DD34" s="72">
        <f t="shared" ref="DD34:DE34" si="77">_xlfn.FORECAST.ETS(DD$19,CT34:DC34,CT$19:DC$19)+250</f>
        <v>360.46346051859342</v>
      </c>
      <c r="DE34" s="72">
        <f t="shared" si="77"/>
        <v>640.73116442566834</v>
      </c>
      <c r="DF34" s="72">
        <f>_xlfn.FORECAST.ETS(DF$19,CV34:DE34,CV$19:DE$19)</f>
        <v>698.54828384058442</v>
      </c>
      <c r="DG34" s="72">
        <f t="shared" si="72"/>
        <v>779.52047124418254</v>
      </c>
      <c r="DH34" s="72">
        <f>_xlfn.FORECAST.ETS(DH$19,CX34:DG34,CX$19:DG$19)+100</f>
        <v>981.12460513635324</v>
      </c>
      <c r="DI34" s="72">
        <f t="shared" ref="DI34:DK34" si="78">_xlfn.FORECAST.ETS(DI$19,CY34:DH34,CY$19:DH$19)+100</f>
        <v>1193.3441426938718</v>
      </c>
      <c r="DJ34" s="72">
        <f t="shared" si="78"/>
        <v>1412.617608637478</v>
      </c>
      <c r="DK34" s="72">
        <f t="shared" si="78"/>
        <v>1609.3367558484879</v>
      </c>
      <c r="DL34" s="72">
        <f>_xlfn.FORECAST.ETS(DL$19,DB34:DK34,DB$19:DK$19)</f>
        <v>1712.4635805833996</v>
      </c>
      <c r="DM34" s="72">
        <f t="shared" si="72"/>
        <v>1888.058266489275</v>
      </c>
      <c r="DN34" s="72">
        <f t="shared" si="72"/>
        <v>2052.7603493919023</v>
      </c>
      <c r="DO34" s="72">
        <f t="shared" si="72"/>
        <v>2221.5107351760685</v>
      </c>
      <c r="DP34" s="72">
        <f t="shared" si="72"/>
        <v>2397.4035953100229</v>
      </c>
      <c r="DQ34" s="72">
        <f t="shared" si="72"/>
        <v>2573.7416091123978</v>
      </c>
      <c r="DR34" s="72">
        <f t="shared" si="73"/>
        <v>2744.8747838306545</v>
      </c>
      <c r="DS34" s="72">
        <f t="shared" si="73"/>
        <v>2908.6390450540775</v>
      </c>
      <c r="DT34" s="72">
        <f t="shared" si="73"/>
        <v>3068.8551698682686</v>
      </c>
      <c r="DU34" s="72">
        <f t="shared" si="73"/>
        <v>3236.3546435731678</v>
      </c>
      <c r="DV34" s="72">
        <f t="shared" si="73"/>
        <v>3406.4113406776823</v>
      </c>
      <c r="DW34" s="72">
        <f t="shared" si="73"/>
        <v>3575.0477783499141</v>
      </c>
      <c r="DX34" s="72">
        <f t="shared" si="73"/>
        <v>3743.8037490528995</v>
      </c>
      <c r="DY34" s="72">
        <f t="shared" si="73"/>
        <v>3912.5575257775281</v>
      </c>
      <c r="DZ34" s="72">
        <f t="shared" si="73"/>
        <v>4079.9339255186774</v>
      </c>
    </row>
    <row r="35" spans="1:130" x14ac:dyDescent="0.2">
      <c r="A35" s="42" t="s">
        <v>143</v>
      </c>
      <c r="B35" s="39"/>
      <c r="C35" s="70">
        <v>0</v>
      </c>
      <c r="D35" s="70">
        <v>0</v>
      </c>
      <c r="E35" s="70">
        <v>0</v>
      </c>
      <c r="F35" s="70">
        <v>0</v>
      </c>
      <c r="G35" s="70">
        <v>0</v>
      </c>
      <c r="H35" s="70">
        <v>0</v>
      </c>
      <c r="I35" s="70">
        <v>0</v>
      </c>
      <c r="J35" s="70">
        <v>0</v>
      </c>
      <c r="K35" s="70">
        <v>0</v>
      </c>
      <c r="L35" s="70">
        <v>0</v>
      </c>
      <c r="M35" s="70">
        <v>0</v>
      </c>
      <c r="N35" s="70">
        <v>0</v>
      </c>
      <c r="O35" s="70">
        <v>0</v>
      </c>
      <c r="P35" s="70">
        <v>0</v>
      </c>
      <c r="Q35" s="70">
        <v>0</v>
      </c>
      <c r="R35" s="70">
        <v>0</v>
      </c>
      <c r="S35" s="70">
        <v>0</v>
      </c>
      <c r="T35" s="70">
        <v>0</v>
      </c>
      <c r="U35" s="70">
        <v>0</v>
      </c>
      <c r="V35" s="70">
        <v>0</v>
      </c>
      <c r="W35" s="70">
        <v>37846</v>
      </c>
      <c r="X35" s="70">
        <v>38392</v>
      </c>
      <c r="Y35" s="70">
        <v>39127</v>
      </c>
      <c r="Z35" s="70">
        <v>41563</v>
      </c>
      <c r="AA35" s="70">
        <v>40896</v>
      </c>
      <c r="AB35" s="70">
        <v>41444</v>
      </c>
      <c r="AC35" s="70">
        <v>41613</v>
      </c>
      <c r="AD35" s="70">
        <v>41771</v>
      </c>
      <c r="AE35" s="70">
        <v>42043</v>
      </c>
      <c r="AF35" s="70">
        <v>42390</v>
      </c>
      <c r="AG35" s="70">
        <v>42572</v>
      </c>
      <c r="AH35" s="70">
        <v>42827</v>
      </c>
      <c r="AI35" s="70">
        <v>65547</v>
      </c>
      <c r="AJ35" s="70">
        <v>79422</v>
      </c>
      <c r="AK35" s="70">
        <v>110114</v>
      </c>
      <c r="AL35" s="70">
        <v>127758</v>
      </c>
      <c r="AM35" s="70">
        <v>156807</v>
      </c>
      <c r="AN35" s="70">
        <v>180442</v>
      </c>
      <c r="AO35" s="70">
        <v>217751</v>
      </c>
      <c r="AP35" s="70">
        <v>235452</v>
      </c>
      <c r="AQ35" s="70">
        <v>273981</v>
      </c>
      <c r="AR35" s="70">
        <v>319059</v>
      </c>
      <c r="AS35" s="70">
        <v>335486</v>
      </c>
      <c r="AT35" s="70">
        <v>338921</v>
      </c>
      <c r="AU35" s="70">
        <v>346091</v>
      </c>
      <c r="AV35" s="70">
        <v>370631</v>
      </c>
      <c r="AW35" s="70">
        <v>385276</v>
      </c>
      <c r="AX35" s="78">
        <v>405177</v>
      </c>
      <c r="AY35" s="78">
        <v>402332</v>
      </c>
      <c r="AZ35" s="78">
        <v>407780</v>
      </c>
      <c r="BA35" s="71">
        <v>419490</v>
      </c>
      <c r="BB35" s="71">
        <v>428402</v>
      </c>
      <c r="BC35" s="71">
        <v>415447</v>
      </c>
      <c r="BD35" s="71">
        <v>427707</v>
      </c>
      <c r="BE35" s="71">
        <v>434590</v>
      </c>
      <c r="BF35" s="72">
        <f t="shared" ref="BF35" si="79">_xlfn.FORECAST.ETS(BF$19,AV35:BE35,AV$19:BE$19)*0.75</f>
        <v>330349.0623649034</v>
      </c>
      <c r="BG35" s="72">
        <f t="shared" si="69"/>
        <v>394852.24193842919</v>
      </c>
      <c r="BH35" s="72">
        <f t="shared" si="69"/>
        <v>386898.98032062326</v>
      </c>
      <c r="BI35" s="72">
        <f t="shared" si="69"/>
        <v>378214.07520112646</v>
      </c>
      <c r="BJ35" s="72">
        <f>_xlfn.FORECAST.ETS(BJ$19,AZ35:BI35,AZ$19:BI$19)</f>
        <v>367303.95110907173</v>
      </c>
      <c r="BK35" s="72">
        <f>_xlfn.FORECAST.ETS(BK$19,BA35:BJ35,BA$19:BJ$19)*3</f>
        <v>1048727.0336417474</v>
      </c>
      <c r="BL35" s="72">
        <f>_xlfn.FORECAST.ETS(BL$19,BB35:BK35,BB$19:BK$19)*-0.75</f>
        <v>-490867.91486014414</v>
      </c>
      <c r="BM35" s="72">
        <f>_xlfn.FORECAST.ETS(BM$19,BC35:BL35,BC$19:BL$19)*-0.5</f>
        <v>-88538.200651224906</v>
      </c>
      <c r="BN35" s="72">
        <f t="shared" ref="BN35:BO35" si="80">_xlfn.FORECAST.ETS(BN$19,BD35:BM35,BD$19:BM$19)*-0.75</f>
        <v>20249.03905242361</v>
      </c>
      <c r="BO35" s="72">
        <f t="shared" si="80"/>
        <v>83267.823183505374</v>
      </c>
      <c r="BP35" s="72">
        <f>_xlfn.FORECAST.ETS(BP$19,BF35:BO35,BF$19:BO$19)+45000</f>
        <v>-69836.488488845978</v>
      </c>
      <c r="BQ35" s="72">
        <f>_xlfn.FORECAST.ETS(BQ$19,BG35:BP35,BG$19:BP$19)+25000</f>
        <v>-239103.71171974076</v>
      </c>
      <c r="BR35" s="72">
        <f>_xlfn.FORECAST.ETS(BR$19,BH35:BQ35,BH$19:BQ$19)+16500</f>
        <v>-369172.98180230451</v>
      </c>
      <c r="BS35" s="72">
        <f>_xlfn.FORECAST.ETS(BS$19,BI35:BR35,BI$19:BR$19)+8250</f>
        <v>-499995.23117088887</v>
      </c>
      <c r="BT35" s="72">
        <f>_xlfn.FORECAST.ETS(BT$19,BJ35:BS35,BJ$19:BS$19)-7500</f>
        <v>-627260.78691213974</v>
      </c>
      <c r="BU35" s="72">
        <f>_xlfn.FORECAST.ETS(BU$19,BK35:BT35,BK$19:BT$19)-1750</f>
        <v>-715841.29001478001</v>
      </c>
      <c r="BV35" s="72">
        <f>_xlfn.FORECAST.ETS(BV$19,BL35:BU35,BL$19:BU$19)+4750</f>
        <v>-768854.96215121169</v>
      </c>
      <c r="BW35" s="72">
        <f t="shared" si="70"/>
        <v>-859191.70813611557</v>
      </c>
      <c r="BX35" s="72">
        <f t="shared" si="70"/>
        <v>-973319.75479320588</v>
      </c>
      <c r="BY35" s="72">
        <f t="shared" si="70"/>
        <v>-1084702.2559738748</v>
      </c>
      <c r="BZ35" s="72">
        <f t="shared" si="70"/>
        <v>-1192453.7292735924</v>
      </c>
      <c r="CA35" s="72">
        <f t="shared" si="70"/>
        <v>-1295617.6029745778</v>
      </c>
      <c r="CB35" s="72">
        <f>_xlfn.FORECAST.ETS(CB$19,BR35:CA35,BR$19:CA$19)</f>
        <v>-1394143.3594809028</v>
      </c>
      <c r="CC35" s="72">
        <f t="shared" si="70"/>
        <v>-1480034.9396658912</v>
      </c>
      <c r="CD35" s="72">
        <f t="shared" si="70"/>
        <v>-1576889.84302594</v>
      </c>
      <c r="CE35" s="72">
        <f t="shared" si="70"/>
        <v>-1677147.3008432749</v>
      </c>
      <c r="CF35" s="72">
        <f>_xlfn.FORECAST.ETS(CF$19,BV35:CE35,BV$19:CE$19)</f>
        <v>-1778935.1503781774</v>
      </c>
      <c r="CG35" s="72">
        <f t="shared" si="70"/>
        <v>-1880529.3027461362</v>
      </c>
      <c r="CH35" s="72">
        <f t="shared" si="70"/>
        <v>-1980365.1129708984</v>
      </c>
      <c r="CI35" s="72">
        <f t="shared" si="70"/>
        <v>-2078624.267569795</v>
      </c>
      <c r="CJ35" s="72">
        <f t="shared" si="70"/>
        <v>-2176765.4354945668</v>
      </c>
      <c r="CK35" s="72">
        <f t="shared" si="70"/>
        <v>-2275185.9376505651</v>
      </c>
      <c r="CL35" s="72">
        <f t="shared" si="71"/>
        <v>-2374183.8545016265</v>
      </c>
      <c r="CM35" s="72">
        <f t="shared" si="71"/>
        <v>-2473563.2261164347</v>
      </c>
      <c r="CN35" s="72">
        <f>_xlfn.FORECAST.ETS(CN$19,CD35:CM35,CD$19:CM$19)*0</f>
        <v>0</v>
      </c>
      <c r="CO35" s="72">
        <f t="shared" ref="CO35:DZ35" si="81">_xlfn.FORECAST.ETS(CO$19,CE35:CN35,CE$19:CN$19)*0</f>
        <v>0</v>
      </c>
      <c r="CP35" s="72">
        <f t="shared" si="81"/>
        <v>0</v>
      </c>
      <c r="CQ35" s="72">
        <f t="shared" si="81"/>
        <v>0</v>
      </c>
      <c r="CR35" s="72">
        <f t="shared" si="81"/>
        <v>0</v>
      </c>
      <c r="CS35" s="72">
        <f t="shared" si="81"/>
        <v>0</v>
      </c>
      <c r="CT35" s="72">
        <f t="shared" si="81"/>
        <v>0</v>
      </c>
      <c r="CU35" s="72">
        <f t="shared" si="81"/>
        <v>0</v>
      </c>
      <c r="CV35" s="72">
        <f t="shared" si="81"/>
        <v>0</v>
      </c>
      <c r="CW35" s="72">
        <f t="shared" si="81"/>
        <v>0</v>
      </c>
      <c r="CX35" s="72">
        <f t="shared" si="81"/>
        <v>0</v>
      </c>
      <c r="CY35" s="72">
        <f t="shared" si="81"/>
        <v>0</v>
      </c>
      <c r="CZ35" s="72">
        <f t="shared" si="81"/>
        <v>0</v>
      </c>
      <c r="DA35" s="72">
        <f t="shared" si="81"/>
        <v>0</v>
      </c>
      <c r="DB35" s="72">
        <f t="shared" si="81"/>
        <v>0</v>
      </c>
      <c r="DC35" s="72">
        <f t="shared" si="81"/>
        <v>0</v>
      </c>
      <c r="DD35" s="72">
        <f t="shared" si="81"/>
        <v>0</v>
      </c>
      <c r="DE35" s="72">
        <f t="shared" si="81"/>
        <v>0</v>
      </c>
      <c r="DF35" s="72">
        <f t="shared" si="81"/>
        <v>0</v>
      </c>
      <c r="DG35" s="72">
        <f t="shared" si="81"/>
        <v>0</v>
      </c>
      <c r="DH35" s="72">
        <f t="shared" si="81"/>
        <v>0</v>
      </c>
      <c r="DI35" s="72">
        <f t="shared" si="81"/>
        <v>0</v>
      </c>
      <c r="DJ35" s="72">
        <f t="shared" si="81"/>
        <v>0</v>
      </c>
      <c r="DK35" s="72">
        <f t="shared" si="81"/>
        <v>0</v>
      </c>
      <c r="DL35" s="72">
        <f t="shared" si="81"/>
        <v>0</v>
      </c>
      <c r="DM35" s="72">
        <f t="shared" si="81"/>
        <v>0</v>
      </c>
      <c r="DN35" s="72">
        <f t="shared" si="81"/>
        <v>0</v>
      </c>
      <c r="DO35" s="72">
        <f t="shared" si="81"/>
        <v>0</v>
      </c>
      <c r="DP35" s="72">
        <f t="shared" si="81"/>
        <v>0</v>
      </c>
      <c r="DQ35" s="72">
        <f t="shared" si="81"/>
        <v>0</v>
      </c>
      <c r="DR35" s="72">
        <f t="shared" si="81"/>
        <v>0</v>
      </c>
      <c r="DS35" s="72">
        <f t="shared" si="81"/>
        <v>0</v>
      </c>
      <c r="DT35" s="72">
        <f t="shared" si="81"/>
        <v>0</v>
      </c>
      <c r="DU35" s="72">
        <f t="shared" si="81"/>
        <v>0</v>
      </c>
      <c r="DV35" s="72">
        <f t="shared" si="81"/>
        <v>0</v>
      </c>
      <c r="DW35" s="72">
        <f t="shared" si="81"/>
        <v>0</v>
      </c>
      <c r="DX35" s="72">
        <f t="shared" si="81"/>
        <v>0</v>
      </c>
      <c r="DY35" s="72">
        <f t="shared" si="81"/>
        <v>0</v>
      </c>
      <c r="DZ35" s="72">
        <f t="shared" si="81"/>
        <v>0</v>
      </c>
    </row>
    <row r="36" spans="1:130" x14ac:dyDescent="0.2">
      <c r="A36" s="42" t="s">
        <v>144</v>
      </c>
      <c r="B36" s="39"/>
      <c r="C36" s="70">
        <v>0</v>
      </c>
      <c r="D36" s="70">
        <v>0</v>
      </c>
      <c r="E36" s="70">
        <v>0</v>
      </c>
      <c r="F36" s="70">
        <v>0</v>
      </c>
      <c r="G36" s="70">
        <v>0</v>
      </c>
      <c r="H36" s="70">
        <v>0</v>
      </c>
      <c r="I36" s="70">
        <v>0</v>
      </c>
      <c r="J36" s="70">
        <v>0</v>
      </c>
      <c r="K36" s="70">
        <v>0</v>
      </c>
      <c r="L36" s="70">
        <v>0</v>
      </c>
      <c r="M36" s="70">
        <v>0</v>
      </c>
      <c r="N36" s="70">
        <v>0</v>
      </c>
      <c r="O36" s="70">
        <v>0</v>
      </c>
      <c r="P36" s="70">
        <v>0</v>
      </c>
      <c r="Q36" s="70">
        <v>0</v>
      </c>
      <c r="R36" s="70">
        <v>0</v>
      </c>
      <c r="S36" s="70">
        <v>0</v>
      </c>
      <c r="T36" s="70">
        <v>0</v>
      </c>
      <c r="U36" s="70">
        <v>0</v>
      </c>
      <c r="V36" s="70">
        <v>0</v>
      </c>
      <c r="W36" s="70">
        <v>0</v>
      </c>
      <c r="X36" s="70">
        <v>0</v>
      </c>
      <c r="Y36" s="70">
        <v>0</v>
      </c>
      <c r="Z36" s="70">
        <v>0</v>
      </c>
      <c r="AA36" s="70">
        <v>0</v>
      </c>
      <c r="AB36" s="70">
        <v>0</v>
      </c>
      <c r="AC36" s="70">
        <v>0</v>
      </c>
      <c r="AD36" s="70">
        <v>0</v>
      </c>
      <c r="AE36" s="70">
        <v>0</v>
      </c>
      <c r="AF36" s="70">
        <v>0</v>
      </c>
      <c r="AG36" s="70">
        <v>0</v>
      </c>
      <c r="AH36" s="70">
        <v>0</v>
      </c>
      <c r="AI36" s="70">
        <v>0</v>
      </c>
      <c r="AJ36" s="70">
        <v>0</v>
      </c>
      <c r="AK36" s="70">
        <v>4942</v>
      </c>
      <c r="AL36" s="70">
        <v>3249</v>
      </c>
      <c r="AM36" s="70">
        <v>3860</v>
      </c>
      <c r="AN36" s="70">
        <v>5246</v>
      </c>
      <c r="AO36" s="70">
        <v>5430</v>
      </c>
      <c r="AP36" s="70">
        <v>5002</v>
      </c>
      <c r="AQ36" s="70">
        <v>6504</v>
      </c>
      <c r="AR36" s="70">
        <v>7181</v>
      </c>
      <c r="AS36" s="70">
        <v>7674</v>
      </c>
      <c r="AT36" s="70">
        <v>6852</v>
      </c>
      <c r="AU36" s="70">
        <v>6979</v>
      </c>
      <c r="AV36" s="70">
        <v>9006</v>
      </c>
      <c r="AW36" s="70">
        <v>10164</v>
      </c>
      <c r="AX36" s="70">
        <v>9674</v>
      </c>
      <c r="AY36" s="70">
        <v>8440</v>
      </c>
      <c r="AZ36" s="78">
        <v>11129</v>
      </c>
      <c r="BA36" s="71">
        <v>10685</v>
      </c>
      <c r="BB36" s="71">
        <v>8779</v>
      </c>
      <c r="BC36" s="71">
        <v>7911</v>
      </c>
      <c r="BD36" s="71">
        <v>9670</v>
      </c>
      <c r="BE36" s="71">
        <v>10082</v>
      </c>
      <c r="BF36" s="72">
        <f t="shared" si="69"/>
        <v>9293.8719378915321</v>
      </c>
      <c r="BG36" s="72">
        <f t="shared" si="69"/>
        <v>9512.6166062621323</v>
      </c>
      <c r="BH36" s="72">
        <f t="shared" si="69"/>
        <v>9391.5588468639908</v>
      </c>
      <c r="BI36" s="72">
        <f t="shared" si="69"/>
        <v>9317.6734764708126</v>
      </c>
      <c r="BJ36" s="72">
        <f t="shared" si="69"/>
        <v>9209.7141468579721</v>
      </c>
      <c r="BK36" s="72">
        <f t="shared" si="69"/>
        <v>9197.1420863894255</v>
      </c>
      <c r="BL36" s="72">
        <f t="shared" si="69"/>
        <v>9354.2423511219076</v>
      </c>
      <c r="BM36" s="72">
        <f t="shared" si="69"/>
        <v>9375.6348702508822</v>
      </c>
      <c r="BN36" s="72">
        <f t="shared" si="69"/>
        <v>9113.3885054910024</v>
      </c>
      <c r="BO36" s="72">
        <f t="shared" si="69"/>
        <v>9096.870430070323</v>
      </c>
      <c r="BP36" s="72">
        <f t="shared" si="69"/>
        <v>9123.2614471220768</v>
      </c>
      <c r="BQ36" s="72">
        <f t="shared" si="69"/>
        <v>9075.7133506857081</v>
      </c>
      <c r="BR36" s="72">
        <f t="shared" si="69"/>
        <v>9086.4879636278438</v>
      </c>
      <c r="BS36" s="72">
        <f t="shared" si="69"/>
        <v>9049.5023147842076</v>
      </c>
      <c r="BT36" s="72">
        <f t="shared" si="69"/>
        <v>9016.5661260037705</v>
      </c>
      <c r="BU36" s="72">
        <f t="shared" si="69"/>
        <v>8970.469878595617</v>
      </c>
      <c r="BV36" s="72">
        <f t="shared" si="70"/>
        <v>8930.632450439949</v>
      </c>
      <c r="BW36" s="72">
        <f t="shared" si="70"/>
        <v>8897.1179123158872</v>
      </c>
      <c r="BX36" s="72">
        <f t="shared" si="70"/>
        <v>8873.3961412012432</v>
      </c>
      <c r="BY36" s="72">
        <f t="shared" si="70"/>
        <v>8844.3366656641374</v>
      </c>
      <c r="BZ36" s="72">
        <f t="shared" si="70"/>
        <v>8808.9795193760165</v>
      </c>
      <c r="CA36" s="72">
        <f t="shared" si="70"/>
        <v>8776.6750563204405</v>
      </c>
      <c r="CB36" s="72">
        <f t="shared" si="70"/>
        <v>8742.1889726883655</v>
      </c>
      <c r="CC36" s="72">
        <f t="shared" si="70"/>
        <v>8708.7192512678739</v>
      </c>
      <c r="CD36" s="72">
        <f t="shared" si="70"/>
        <v>8675.3426333179159</v>
      </c>
      <c r="CE36" s="72">
        <f t="shared" si="70"/>
        <v>8643.2910875567686</v>
      </c>
      <c r="CF36" s="72">
        <f t="shared" si="70"/>
        <v>8611.1749866464725</v>
      </c>
      <c r="CG36" s="72">
        <f t="shared" si="70"/>
        <v>8578.6279504514714</v>
      </c>
      <c r="CH36" s="72">
        <f t="shared" si="70"/>
        <v>8545.0536768054444</v>
      </c>
      <c r="CI36" s="72">
        <f t="shared" si="70"/>
        <v>8511.9790322545759</v>
      </c>
      <c r="CJ36" s="72">
        <f t="shared" si="70"/>
        <v>8479.0461195634489</v>
      </c>
      <c r="CK36" s="72">
        <f t="shared" si="70"/>
        <v>8446.1351420029332</v>
      </c>
      <c r="CL36" s="72">
        <f t="shared" si="71"/>
        <v>8413.3184008526932</v>
      </c>
      <c r="CM36" s="72">
        <f t="shared" si="71"/>
        <v>8380.4981236058029</v>
      </c>
      <c r="CN36" s="72">
        <f t="shared" si="71"/>
        <v>8347.6708284654997</v>
      </c>
      <c r="CO36" s="72">
        <f t="shared" si="71"/>
        <v>8314.7428625793182</v>
      </c>
      <c r="CP36" s="72">
        <f t="shared" si="71"/>
        <v>8281.7811746184852</v>
      </c>
      <c r="CQ36" s="72">
        <f t="shared" si="71"/>
        <v>8248.8513096780898</v>
      </c>
      <c r="CR36" s="72">
        <f t="shared" si="71"/>
        <v>8215.950068944514</v>
      </c>
      <c r="CS36" s="72">
        <f t="shared" si="71"/>
        <v>8183.0456342614216</v>
      </c>
      <c r="CT36" s="72">
        <f t="shared" si="71"/>
        <v>8150.1412626638939</v>
      </c>
      <c r="CU36" s="72">
        <f t="shared" si="71"/>
        <v>8117.2368910663681</v>
      </c>
      <c r="CV36" s="72">
        <f t="shared" si="71"/>
        <v>8084.3326981597138</v>
      </c>
      <c r="CW36" s="72">
        <f t="shared" si="71"/>
        <v>8051.4188007777211</v>
      </c>
      <c r="CX36" s="72">
        <f t="shared" si="71"/>
        <v>8018.5059014183253</v>
      </c>
      <c r="CY36" s="72">
        <f t="shared" si="71"/>
        <v>7985.5937612529433</v>
      </c>
      <c r="CZ36" s="72">
        <f t="shared" si="71"/>
        <v>7952.6863180171213</v>
      </c>
      <c r="DA36" s="72">
        <f t="shared" si="71"/>
        <v>7919.7776601573842</v>
      </c>
      <c r="DB36" s="72">
        <f t="shared" si="72"/>
        <v>7886.8690864380533</v>
      </c>
      <c r="DC36" s="72">
        <f t="shared" si="72"/>
        <v>7853.9601128071399</v>
      </c>
      <c r="DD36" s="72">
        <f t="shared" si="72"/>
        <v>7821.050406616313</v>
      </c>
      <c r="DE36" s="72">
        <f t="shared" si="72"/>
        <v>7788.1383205899265</v>
      </c>
      <c r="DF36" s="72">
        <f t="shared" si="72"/>
        <v>7755.2264862644543</v>
      </c>
      <c r="DG36" s="72">
        <f t="shared" si="72"/>
        <v>7722.3164007289452</v>
      </c>
      <c r="DH36" s="72">
        <f t="shared" si="72"/>
        <v>7689.4067160927534</v>
      </c>
      <c r="DI36" s="72">
        <f t="shared" si="72"/>
        <v>7656.4969750662658</v>
      </c>
      <c r="DJ36" s="72">
        <f t="shared" si="72"/>
        <v>7623.58723520284</v>
      </c>
      <c r="DK36" s="72">
        <f t="shared" si="72"/>
        <v>7590.6770686463597</v>
      </c>
      <c r="DL36" s="72">
        <f t="shared" si="72"/>
        <v>7557.766677445572</v>
      </c>
      <c r="DM36" s="72">
        <f t="shared" si="72"/>
        <v>7524.8563275179395</v>
      </c>
      <c r="DN36" s="72">
        <f t="shared" si="72"/>
        <v>7491.9459755635962</v>
      </c>
      <c r="DO36" s="72">
        <f t="shared" si="72"/>
        <v>7459.0358817427459</v>
      </c>
      <c r="DP36" s="72">
        <f t="shared" si="72"/>
        <v>7426.1257613371254</v>
      </c>
      <c r="DQ36" s="72">
        <f t="shared" si="72"/>
        <v>7393.215641447714</v>
      </c>
      <c r="DR36" s="72">
        <f t="shared" si="73"/>
        <v>7360.3055215583026</v>
      </c>
      <c r="DS36" s="72">
        <f t="shared" si="73"/>
        <v>7327.3953096367268</v>
      </c>
      <c r="DT36" s="72">
        <f t="shared" si="73"/>
        <v>7294.4851051653159</v>
      </c>
      <c r="DU36" s="72">
        <f t="shared" si="73"/>
        <v>7261.5749007188424</v>
      </c>
      <c r="DV36" s="72">
        <f t="shared" si="73"/>
        <v>7228.664715900808</v>
      </c>
      <c r="DW36" s="72">
        <f t="shared" si="73"/>
        <v>7195.7545520954409</v>
      </c>
      <c r="DX36" s="72">
        <f t="shared" si="73"/>
        <v>7162.8443859567533</v>
      </c>
      <c r="DY36" s="72">
        <f t="shared" si="73"/>
        <v>7129.9342198641361</v>
      </c>
      <c r="DZ36" s="72">
        <f t="shared" si="73"/>
        <v>7097.0240446269863</v>
      </c>
    </row>
    <row r="37" spans="1:130" x14ac:dyDescent="0.2">
      <c r="A37" s="79" t="s">
        <v>199</v>
      </c>
      <c r="B37" s="39" t="s">
        <v>170</v>
      </c>
      <c r="C37" s="70">
        <f>SUM(C22:C36)-C33</f>
        <v>459</v>
      </c>
      <c r="D37" s="70">
        <f t="shared" ref="D37:BO37" si="82">SUM(D22:D36)-D33</f>
        <v>1293</v>
      </c>
      <c r="E37" s="70">
        <f t="shared" si="82"/>
        <v>2455</v>
      </c>
      <c r="F37" s="70">
        <f t="shared" si="82"/>
        <v>3536</v>
      </c>
      <c r="G37" s="70">
        <f t="shared" si="82"/>
        <v>4519</v>
      </c>
      <c r="H37" s="70">
        <f t="shared" si="82"/>
        <v>5560</v>
      </c>
      <c r="I37" s="70">
        <f t="shared" si="82"/>
        <v>7294</v>
      </c>
      <c r="J37" s="70">
        <f t="shared" si="82"/>
        <v>9611</v>
      </c>
      <c r="K37" s="70">
        <f t="shared" si="82"/>
        <v>15051</v>
      </c>
      <c r="L37" s="70">
        <f t="shared" si="82"/>
        <v>19516</v>
      </c>
      <c r="M37" s="70">
        <f t="shared" si="82"/>
        <v>25039</v>
      </c>
      <c r="N37" s="70">
        <f t="shared" si="82"/>
        <v>34347</v>
      </c>
      <c r="O37" s="70">
        <f t="shared" si="82"/>
        <v>41753</v>
      </c>
      <c r="P37" s="70">
        <f t="shared" si="82"/>
        <v>51092</v>
      </c>
      <c r="Q37" s="70">
        <f t="shared" si="82"/>
        <v>59366</v>
      </c>
      <c r="R37" s="70">
        <f t="shared" si="82"/>
        <v>69119</v>
      </c>
      <c r="S37" s="70">
        <f t="shared" si="82"/>
        <v>73708</v>
      </c>
      <c r="T37" s="70">
        <f t="shared" si="82"/>
        <v>78072</v>
      </c>
      <c r="U37" s="70">
        <f t="shared" si="82"/>
        <v>91036</v>
      </c>
      <c r="V37" s="70">
        <f t="shared" si="82"/>
        <v>94924</v>
      </c>
      <c r="W37" s="70">
        <f t="shared" si="82"/>
        <v>206464</v>
      </c>
      <c r="X37" s="70">
        <f t="shared" si="82"/>
        <v>216149</v>
      </c>
      <c r="Y37" s="70">
        <f t="shared" si="82"/>
        <v>225640</v>
      </c>
      <c r="Z37" s="70">
        <f t="shared" si="82"/>
        <v>256450</v>
      </c>
      <c r="AA37" s="70">
        <f t="shared" si="82"/>
        <v>278442</v>
      </c>
      <c r="AB37" s="70">
        <f t="shared" si="82"/>
        <v>294201</v>
      </c>
      <c r="AC37" s="70">
        <f t="shared" si="82"/>
        <v>302456</v>
      </c>
      <c r="AD37" s="70">
        <f t="shared" si="82"/>
        <v>323013</v>
      </c>
      <c r="AE37" s="70">
        <f t="shared" si="82"/>
        <v>394525</v>
      </c>
      <c r="AF37" s="70">
        <f t="shared" si="82"/>
        <v>424037</v>
      </c>
      <c r="AG37" s="70">
        <f t="shared" si="82"/>
        <v>469813</v>
      </c>
      <c r="AH37" s="70">
        <f t="shared" si="82"/>
        <v>503082</v>
      </c>
      <c r="AI37" s="70">
        <f t="shared" si="82"/>
        <v>627135</v>
      </c>
      <c r="AJ37" s="70">
        <f t="shared" si="82"/>
        <v>620987</v>
      </c>
      <c r="AK37" s="70">
        <f t="shared" si="82"/>
        <v>734992</v>
      </c>
      <c r="AL37" s="70">
        <f t="shared" si="82"/>
        <v>809706</v>
      </c>
      <c r="AM37" s="70">
        <f t="shared" si="82"/>
        <v>800718</v>
      </c>
      <c r="AN37" s="70">
        <f t="shared" si="82"/>
        <v>597605</v>
      </c>
      <c r="AO37" s="70">
        <f t="shared" si="82"/>
        <v>738935</v>
      </c>
      <c r="AP37" s="70">
        <f t="shared" si="82"/>
        <v>805725</v>
      </c>
      <c r="AQ37" s="70">
        <f t="shared" si="82"/>
        <v>902043</v>
      </c>
      <c r="AR37" s="70">
        <f t="shared" si="82"/>
        <v>1118939</v>
      </c>
      <c r="AS37" s="70">
        <f t="shared" si="82"/>
        <v>1192806</v>
      </c>
      <c r="AT37" s="70">
        <f t="shared" si="82"/>
        <v>1253460</v>
      </c>
      <c r="AU37" s="70">
        <f t="shared" si="82"/>
        <v>1396820</v>
      </c>
      <c r="AV37" s="70">
        <f t="shared" si="82"/>
        <v>1578935</v>
      </c>
      <c r="AW37" s="70">
        <f t="shared" si="82"/>
        <v>1671348</v>
      </c>
      <c r="AX37" s="70">
        <f>SUM(AX23:AX36)-AX33</f>
        <v>1762547</v>
      </c>
      <c r="AY37" s="70">
        <v>1644097</v>
      </c>
      <c r="AZ37" s="78">
        <v>1753282</v>
      </c>
      <c r="BA37" s="71">
        <v>1920920</v>
      </c>
      <c r="BB37" s="71">
        <v>2025247</v>
      </c>
      <c r="BC37" s="71">
        <v>2007097</v>
      </c>
      <c r="BD37" s="71">
        <f t="shared" si="82"/>
        <v>2223712</v>
      </c>
      <c r="BE37" s="71">
        <v>2353377.3479779689</v>
      </c>
      <c r="BF37" s="72">
        <f t="shared" si="82"/>
        <v>2261125.9925116454</v>
      </c>
      <c r="BG37" s="72">
        <f t="shared" si="82"/>
        <v>2415706.588246983</v>
      </c>
      <c r="BH37" s="72">
        <f t="shared" si="82"/>
        <v>2474089.5383505388</v>
      </c>
      <c r="BI37" s="72">
        <f t="shared" si="82"/>
        <v>2590168.6956792581</v>
      </c>
      <c r="BJ37" s="72">
        <f t="shared" si="82"/>
        <v>2670528.3350079302</v>
      </c>
      <c r="BK37" s="72">
        <f t="shared" si="82"/>
        <v>3438267.7585619781</v>
      </c>
      <c r="BL37" s="72">
        <f t="shared" si="82"/>
        <v>1980522.8453315531</v>
      </c>
      <c r="BM37" s="72">
        <f t="shared" si="82"/>
        <v>2477670.8878828837</v>
      </c>
      <c r="BN37" s="72">
        <f t="shared" si="82"/>
        <v>2666926.3804727518</v>
      </c>
      <c r="BO37" s="72">
        <f t="shared" si="82"/>
        <v>2817273.4969913797</v>
      </c>
      <c r="BP37" s="72">
        <f t="shared" ref="BP37:DZ37" si="83">SUM(BP22:BP36)-BP33</f>
        <v>2763334.796007216</v>
      </c>
      <c r="BQ37" s="72">
        <f t="shared" si="83"/>
        <v>2683728.6477964716</v>
      </c>
      <c r="BR37" s="72">
        <f t="shared" si="83"/>
        <v>2648040.2150679445</v>
      </c>
      <c r="BS37" s="72">
        <f t="shared" si="83"/>
        <v>2603484.4549405002</v>
      </c>
      <c r="BT37" s="72">
        <f t="shared" si="83"/>
        <v>2566269.6542863864</v>
      </c>
      <c r="BU37" s="72">
        <f t="shared" si="83"/>
        <v>2567904.4665324222</v>
      </c>
      <c r="BV37" s="72">
        <f t="shared" si="83"/>
        <v>2609372.4291146565</v>
      </c>
      <c r="BW37" s="72">
        <f t="shared" si="83"/>
        <v>2609010.490487257</v>
      </c>
      <c r="BX37" s="72">
        <f t="shared" si="83"/>
        <v>2589318.2624520981</v>
      </c>
      <c r="BY37" s="72">
        <f t="shared" si="83"/>
        <v>2568178.9354225029</v>
      </c>
      <c r="BZ37" s="72">
        <f t="shared" si="83"/>
        <v>2554700.9511804585</v>
      </c>
      <c r="CA37" s="72">
        <f t="shared" si="83"/>
        <v>2541997.139569975</v>
      </c>
      <c r="CB37" s="72">
        <f t="shared" si="83"/>
        <v>2537911.539856405</v>
      </c>
      <c r="CC37" s="72">
        <f t="shared" si="83"/>
        <v>2543708.3726030765</v>
      </c>
      <c r="CD37" s="72">
        <f t="shared" si="83"/>
        <v>2542000.5282109873</v>
      </c>
      <c r="CE37" s="72">
        <f t="shared" si="83"/>
        <v>2533619.5995110637</v>
      </c>
      <c r="CF37" s="72">
        <f t="shared" si="83"/>
        <v>2527481.4789009714</v>
      </c>
      <c r="CG37" s="72">
        <f t="shared" si="83"/>
        <v>2517967.3348387736</v>
      </c>
      <c r="CH37" s="72">
        <f t="shared" si="83"/>
        <v>2514218.8615568546</v>
      </c>
      <c r="CI37" s="72">
        <f t="shared" si="83"/>
        <v>2508620.4899200937</v>
      </c>
      <c r="CJ37" s="72">
        <f t="shared" si="83"/>
        <v>2506933.958448471</v>
      </c>
      <c r="CK37" s="72">
        <f t="shared" si="83"/>
        <v>2501730.8506548996</v>
      </c>
      <c r="CL37" s="72">
        <f t="shared" si="83"/>
        <v>2499647.3391093393</v>
      </c>
      <c r="CM37" s="72">
        <f t="shared" si="83"/>
        <v>2493857.3438763423</v>
      </c>
      <c r="CN37" s="72">
        <f t="shared" si="83"/>
        <v>5064836.4263560651</v>
      </c>
      <c r="CO37" s="72">
        <f t="shared" si="83"/>
        <v>5158827.0534717068</v>
      </c>
      <c r="CP37" s="72">
        <f t="shared" si="83"/>
        <v>5256686.4588057036</v>
      </c>
      <c r="CQ37" s="72">
        <f t="shared" si="83"/>
        <v>5351169.8199826218</v>
      </c>
      <c r="CR37" s="72">
        <f t="shared" si="83"/>
        <v>5449447.9868879085</v>
      </c>
      <c r="CS37" s="72">
        <f t="shared" si="83"/>
        <v>5544395.5354454024</v>
      </c>
      <c r="CT37" s="72">
        <f t="shared" si="83"/>
        <v>5643130.6429667035</v>
      </c>
      <c r="CU37" s="72">
        <f t="shared" si="83"/>
        <v>5738509.430084873</v>
      </c>
      <c r="CV37" s="72">
        <f t="shared" si="83"/>
        <v>5837709.9026275752</v>
      </c>
      <c r="CW37" s="72">
        <f t="shared" si="83"/>
        <v>5933527.3964036778</v>
      </c>
      <c r="CX37" s="72">
        <f t="shared" si="83"/>
        <v>6033172.860901773</v>
      </c>
      <c r="CY37" s="72">
        <f t="shared" si="83"/>
        <v>6129453.6837829929</v>
      </c>
      <c r="CZ37" s="72">
        <f t="shared" si="83"/>
        <v>6229539.9174716203</v>
      </c>
      <c r="DA37" s="72">
        <f t="shared" si="83"/>
        <v>6326272.5871498138</v>
      </c>
      <c r="DB37" s="72">
        <f t="shared" si="83"/>
        <v>6426812.2707652897</v>
      </c>
      <c r="DC37" s="72">
        <f t="shared" si="83"/>
        <v>6524238.0451786844</v>
      </c>
      <c r="DD37" s="72">
        <f t="shared" si="83"/>
        <v>6625341.1644464126</v>
      </c>
      <c r="DE37" s="72">
        <f t="shared" si="83"/>
        <v>6723245.1679242114</v>
      </c>
      <c r="DF37" s="72">
        <f t="shared" si="83"/>
        <v>6824744.01389316</v>
      </c>
      <c r="DG37" s="72">
        <f t="shared" si="83"/>
        <v>6922901.9781791773</v>
      </c>
      <c r="DH37" s="72">
        <f t="shared" si="83"/>
        <v>7024991.617179675</v>
      </c>
      <c r="DI37" s="72">
        <f t="shared" si="83"/>
        <v>7123730.655414436</v>
      </c>
      <c r="DJ37" s="72">
        <f t="shared" si="83"/>
        <v>7226288.6342738038</v>
      </c>
      <c r="DK37" s="72">
        <f t="shared" si="83"/>
        <v>7325459.7078615529</v>
      </c>
      <c r="DL37" s="72">
        <f t="shared" si="83"/>
        <v>7428352.0534327384</v>
      </c>
      <c r="DM37" s="72">
        <f t="shared" si="83"/>
        <v>7527951.5541542862</v>
      </c>
      <c r="DN37" s="72">
        <f t="shared" si="83"/>
        <v>7631354.4724322585</v>
      </c>
      <c r="DO37" s="72">
        <f t="shared" si="83"/>
        <v>7731397.5053924769</v>
      </c>
      <c r="DP37" s="72">
        <f t="shared" si="83"/>
        <v>7835260.449281401</v>
      </c>
      <c r="DQ37" s="72">
        <f t="shared" si="83"/>
        <v>7935760.5919086095</v>
      </c>
      <c r="DR37" s="72">
        <f t="shared" si="83"/>
        <v>8040068.693556753</v>
      </c>
      <c r="DS37" s="72">
        <f t="shared" si="83"/>
        <v>8141005.2392460043</v>
      </c>
      <c r="DT37" s="72">
        <f t="shared" si="83"/>
        <v>8245752.2488534879</v>
      </c>
      <c r="DU37" s="72">
        <f t="shared" si="83"/>
        <v>8347142.0869432651</v>
      </c>
      <c r="DV37" s="72">
        <f t="shared" si="83"/>
        <v>8452348.1526464429</v>
      </c>
      <c r="DW37" s="72">
        <f t="shared" si="83"/>
        <v>8554188.8802302517</v>
      </c>
      <c r="DX37" s="72">
        <f t="shared" si="83"/>
        <v>8659843.0290880594</v>
      </c>
      <c r="DY37" s="72">
        <f t="shared" si="83"/>
        <v>8762133.3399992306</v>
      </c>
      <c r="DZ37" s="72">
        <f t="shared" si="83"/>
        <v>8868235.7505498659</v>
      </c>
    </row>
    <row r="38" spans="1:130" x14ac:dyDescent="0.2">
      <c r="A38" s="39" t="s">
        <v>200</v>
      </c>
      <c r="B38" s="79" t="s">
        <v>87</v>
      </c>
      <c r="C38" s="70">
        <f t="shared" ref="C38:AT38" si="84">C48-C37-SUM(C40:C46)</f>
        <v>275505</v>
      </c>
      <c r="D38" s="70">
        <f t="shared" si="84"/>
        <v>324126</v>
      </c>
      <c r="E38" s="70">
        <f t="shared" si="84"/>
        <v>356721</v>
      </c>
      <c r="F38" s="70">
        <f t="shared" si="84"/>
        <v>350611</v>
      </c>
      <c r="G38" s="70">
        <f t="shared" si="84"/>
        <v>348938</v>
      </c>
      <c r="H38" s="70">
        <f t="shared" si="84"/>
        <v>363338</v>
      </c>
      <c r="I38" s="70">
        <f t="shared" si="84"/>
        <v>454091</v>
      </c>
      <c r="J38" s="70">
        <f t="shared" si="84"/>
        <v>476571</v>
      </c>
      <c r="K38" s="70">
        <f t="shared" si="84"/>
        <v>625435</v>
      </c>
      <c r="L38" s="70">
        <f t="shared" si="84"/>
        <v>808446</v>
      </c>
      <c r="M38" s="70">
        <f t="shared" si="84"/>
        <v>1107113</v>
      </c>
      <c r="N38" s="70">
        <f t="shared" si="84"/>
        <v>1128744</v>
      </c>
      <c r="O38" s="70">
        <f t="shared" si="84"/>
        <v>921352</v>
      </c>
      <c r="P38" s="70">
        <f t="shared" si="84"/>
        <v>1060712</v>
      </c>
      <c r="Q38" s="70">
        <f t="shared" si="84"/>
        <v>1089293</v>
      </c>
      <c r="R38" s="70">
        <f t="shared" si="84"/>
        <v>1029069</v>
      </c>
      <c r="S38" s="70">
        <f t="shared" si="84"/>
        <v>1033500</v>
      </c>
      <c r="T38" s="70">
        <f t="shared" si="84"/>
        <v>1229855</v>
      </c>
      <c r="U38" s="70">
        <f t="shared" si="84"/>
        <v>1420936</v>
      </c>
      <c r="V38" s="70">
        <f t="shared" si="84"/>
        <v>1487423</v>
      </c>
      <c r="W38" s="70">
        <f t="shared" si="84"/>
        <v>1665277</v>
      </c>
      <c r="X38" s="70">
        <f t="shared" si="84"/>
        <v>2171354</v>
      </c>
      <c r="Y38" s="70">
        <f t="shared" si="84"/>
        <v>2181865</v>
      </c>
      <c r="Z38" s="70">
        <f t="shared" si="84"/>
        <v>2369629</v>
      </c>
      <c r="AA38" s="70">
        <f t="shared" si="84"/>
        <v>1882149</v>
      </c>
      <c r="AB38" s="70">
        <f t="shared" si="84"/>
        <v>2251929</v>
      </c>
      <c r="AC38" s="70">
        <f t="shared" si="84"/>
        <v>2389597</v>
      </c>
      <c r="AD38" s="70">
        <f t="shared" si="84"/>
        <v>2162797</v>
      </c>
      <c r="AE38" s="70">
        <f t="shared" si="84"/>
        <v>2083532</v>
      </c>
      <c r="AF38" s="70">
        <f t="shared" si="84"/>
        <v>2251350</v>
      </c>
      <c r="AG38" s="70">
        <f t="shared" si="84"/>
        <v>2298783</v>
      </c>
      <c r="AH38" s="70">
        <f t="shared" si="84"/>
        <v>2762605</v>
      </c>
      <c r="AI38" s="70">
        <f t="shared" si="84"/>
        <v>2663405</v>
      </c>
      <c r="AJ38" s="70">
        <f t="shared" si="84"/>
        <v>3042760</v>
      </c>
      <c r="AK38" s="70">
        <f t="shared" si="84"/>
        <v>3026459</v>
      </c>
      <c r="AL38" s="70">
        <f t="shared" si="84"/>
        <v>3221165</v>
      </c>
      <c r="AM38" s="70">
        <f t="shared" si="84"/>
        <v>2874422</v>
      </c>
      <c r="AN38" s="70">
        <f t="shared" si="84"/>
        <v>2638056</v>
      </c>
      <c r="AO38" s="70">
        <f t="shared" si="84"/>
        <v>3302988</v>
      </c>
      <c r="AP38" s="70">
        <f t="shared" si="84"/>
        <v>3515900</v>
      </c>
      <c r="AQ38" s="70">
        <f t="shared" si="84"/>
        <v>3153890</v>
      </c>
      <c r="AR38" s="70">
        <f t="shared" si="84"/>
        <v>3809998</v>
      </c>
      <c r="AS38" s="70">
        <f t="shared" si="84"/>
        <v>4328889</v>
      </c>
      <c r="AT38" s="70">
        <f t="shared" si="84"/>
        <v>4322311</v>
      </c>
      <c r="AU38" s="70">
        <f>AU48-AU37-SUM(AU40:AU46)</f>
        <v>4627931</v>
      </c>
      <c r="AV38" s="70">
        <f>AV48-AV37-SUM(AV40:AV46)</f>
        <v>5094359</v>
      </c>
      <c r="AW38" s="70">
        <f t="shared" ref="AW38:DH38" si="85">AW48-AW37-SUM(AW40:AW46)</f>
        <v>5204803</v>
      </c>
      <c r="AX38" s="70">
        <f t="shared" si="85"/>
        <v>5297708</v>
      </c>
      <c r="AY38" s="70">
        <f t="shared" si="85"/>
        <v>4964961</v>
      </c>
      <c r="AZ38" s="78">
        <f t="shared" si="85"/>
        <v>5520416</v>
      </c>
      <c r="BA38" s="71">
        <f t="shared" si="85"/>
        <v>6051634</v>
      </c>
      <c r="BB38" s="71">
        <f t="shared" si="85"/>
        <v>8433046</v>
      </c>
      <c r="BC38" s="71">
        <f t="shared" si="85"/>
        <v>6066165</v>
      </c>
      <c r="BD38" s="71">
        <f t="shared" si="85"/>
        <v>6874037</v>
      </c>
      <c r="BE38" s="71">
        <f t="shared" si="85"/>
        <v>15033437.781332098</v>
      </c>
      <c r="BF38" s="72">
        <f t="shared" si="85"/>
        <v>12149019.748673705</v>
      </c>
      <c r="BG38" s="72">
        <f t="shared" si="85"/>
        <v>11005028.572702294</v>
      </c>
      <c r="BH38" s="72">
        <f t="shared" si="85"/>
        <v>11066462.249926593</v>
      </c>
      <c r="BI38" s="72">
        <f t="shared" si="85"/>
        <v>13074644.584717374</v>
      </c>
      <c r="BJ38" s="72">
        <f t="shared" si="85"/>
        <v>11921984.919492645</v>
      </c>
      <c r="BK38" s="72">
        <f t="shared" si="85"/>
        <v>11910296.839007165</v>
      </c>
      <c r="BL38" s="72">
        <f t="shared" si="85"/>
        <v>12860287.289081607</v>
      </c>
      <c r="BM38" s="72">
        <f t="shared" si="85"/>
        <v>14240736.532297302</v>
      </c>
      <c r="BN38" s="72">
        <f t="shared" si="85"/>
        <v>13193915.283055402</v>
      </c>
      <c r="BO38" s="72">
        <f t="shared" si="85"/>
        <v>14827321.659132794</v>
      </c>
      <c r="BP38" s="72">
        <f t="shared" si="85"/>
        <v>16145319.269199774</v>
      </c>
      <c r="BQ38" s="72">
        <f t="shared" si="85"/>
        <v>18585342.702301864</v>
      </c>
      <c r="BR38" s="72">
        <f t="shared" si="85"/>
        <v>14666100.18346452</v>
      </c>
      <c r="BS38" s="72">
        <f t="shared" si="85"/>
        <v>15736865.243867777</v>
      </c>
      <c r="BT38" s="72">
        <f t="shared" si="85"/>
        <v>16781620.022566162</v>
      </c>
      <c r="BU38" s="72">
        <f t="shared" si="85"/>
        <v>20046702.928792309</v>
      </c>
      <c r="BV38" s="72">
        <f t="shared" si="85"/>
        <v>14781915.428455386</v>
      </c>
      <c r="BW38" s="72">
        <f t="shared" si="85"/>
        <v>16719748.349216498</v>
      </c>
      <c r="BX38" s="72">
        <f t="shared" si="85"/>
        <v>18251156.606664084</v>
      </c>
      <c r="BY38" s="72">
        <f t="shared" si="85"/>
        <v>21979258.192421842</v>
      </c>
      <c r="BZ38" s="72">
        <f t="shared" si="85"/>
        <v>15025569.551348286</v>
      </c>
      <c r="CA38" s="72">
        <f t="shared" si="85"/>
        <v>18683801.491410486</v>
      </c>
      <c r="CB38" s="72">
        <f t="shared" si="85"/>
        <v>20505458.656963352</v>
      </c>
      <c r="CC38" s="72">
        <f t="shared" si="85"/>
        <v>24808901.206439465</v>
      </c>
      <c r="CD38" s="72">
        <f t="shared" si="85"/>
        <v>16221928.206180425</v>
      </c>
      <c r="CE38" s="72">
        <f t="shared" si="85"/>
        <v>19815800.190679681</v>
      </c>
      <c r="CF38" s="72">
        <f t="shared" si="85"/>
        <v>21966235.502687138</v>
      </c>
      <c r="CG38" s="72">
        <f>CG48-CG37-SUM(CG40:CG46)</f>
        <v>26090617.835256368</v>
      </c>
      <c r="CH38" s="72">
        <f t="shared" si="85"/>
        <v>17072552.537672784</v>
      </c>
      <c r="CI38" s="72">
        <f t="shared" si="85"/>
        <v>22961810.167295728</v>
      </c>
      <c r="CJ38" s="72">
        <f t="shared" si="85"/>
        <v>25619923.904526118</v>
      </c>
      <c r="CK38" s="72">
        <f t="shared" si="85"/>
        <v>29268991.819193356</v>
      </c>
      <c r="CL38" s="72">
        <f t="shared" si="85"/>
        <v>19161987.324767679</v>
      </c>
      <c r="CM38" s="72">
        <f t="shared" si="85"/>
        <v>23802926.783975456</v>
      </c>
      <c r="CN38" s="72">
        <f t="shared" si="85"/>
        <v>26414654.755311031</v>
      </c>
      <c r="CO38" s="72">
        <f t="shared" si="85"/>
        <v>30650046.501350883</v>
      </c>
      <c r="CP38" s="72">
        <f t="shared" si="85"/>
        <v>19463521.766172644</v>
      </c>
      <c r="CQ38" s="72">
        <f t="shared" si="85"/>
        <v>24856900.043203775</v>
      </c>
      <c r="CR38" s="72">
        <f t="shared" si="85"/>
        <v>27563837.100134753</v>
      </c>
      <c r="CS38" s="72">
        <f t="shared" si="85"/>
        <v>32486531.088159259</v>
      </c>
      <c r="CT38" s="72">
        <f t="shared" si="85"/>
        <v>19658096.955857765</v>
      </c>
      <c r="CU38" s="72">
        <f t="shared" si="85"/>
        <v>25987712.561641626</v>
      </c>
      <c r="CV38" s="72">
        <f t="shared" si="85"/>
        <v>28906033.397416707</v>
      </c>
      <c r="CW38" s="72">
        <f t="shared" si="85"/>
        <v>33297059.895316634</v>
      </c>
      <c r="CX38" s="72">
        <f t="shared" si="85"/>
        <v>20680365.482836518</v>
      </c>
      <c r="CY38" s="72">
        <f t="shared" si="85"/>
        <v>22633475.642233659</v>
      </c>
      <c r="CZ38" s="72">
        <f t="shared" si="85"/>
        <v>24788006.322597887</v>
      </c>
      <c r="DA38" s="72">
        <f t="shared" si="85"/>
        <v>27303269.006588053</v>
      </c>
      <c r="DB38" s="72">
        <f t="shared" si="85"/>
        <v>19924571.732110314</v>
      </c>
      <c r="DC38" s="72">
        <f t="shared" si="85"/>
        <v>23895911.04431887</v>
      </c>
      <c r="DD38" s="72">
        <f t="shared" si="85"/>
        <v>25952536.246670056</v>
      </c>
      <c r="DE38" s="72">
        <f t="shared" si="85"/>
        <v>27535996.602481015</v>
      </c>
      <c r="DF38" s="72">
        <f t="shared" si="85"/>
        <v>21367714.60316544</v>
      </c>
      <c r="DG38" s="72">
        <f t="shared" si="85"/>
        <v>25108972.238696937</v>
      </c>
      <c r="DH38" s="72">
        <f t="shared" si="85"/>
        <v>27329372.513730306</v>
      </c>
      <c r="DI38" s="72">
        <f t="shared" ref="DI38:DZ38" si="86">DI48-DI37-SUM(DI40:DI46)</f>
        <v>28082055.71265915</v>
      </c>
      <c r="DJ38" s="72">
        <f t="shared" si="86"/>
        <v>22688150.384635556</v>
      </c>
      <c r="DK38" s="72">
        <f t="shared" si="86"/>
        <v>25113753.937668178</v>
      </c>
      <c r="DL38" s="72">
        <f t="shared" si="86"/>
        <v>27081907.791102774</v>
      </c>
      <c r="DM38" s="72">
        <f t="shared" si="86"/>
        <v>27862550.365505077</v>
      </c>
      <c r="DN38" s="72">
        <f t="shared" si="86"/>
        <v>22715060.629375134</v>
      </c>
      <c r="DO38" s="72">
        <f t="shared" si="86"/>
        <v>25503225.163557723</v>
      </c>
      <c r="DP38" s="72">
        <f t="shared" si="86"/>
        <v>27225874.983904496</v>
      </c>
      <c r="DQ38" s="72">
        <f t="shared" si="86"/>
        <v>29851882.14555271</v>
      </c>
      <c r="DR38" s="72">
        <f t="shared" si="86"/>
        <v>21685251.396603964</v>
      </c>
      <c r="DS38" s="72">
        <f t="shared" si="86"/>
        <v>21131549.643186618</v>
      </c>
      <c r="DT38" s="72">
        <f t="shared" si="86"/>
        <v>21513943.744643513</v>
      </c>
      <c r="DU38" s="72">
        <f t="shared" si="86"/>
        <v>22017147.192738183</v>
      </c>
      <c r="DV38" s="72">
        <f t="shared" si="86"/>
        <v>21688965.278252158</v>
      </c>
      <c r="DW38" s="72">
        <f t="shared" si="86"/>
        <v>21133991.929999575</v>
      </c>
      <c r="DX38" s="72">
        <f t="shared" si="86"/>
        <v>21517447.320753753</v>
      </c>
      <c r="DY38" s="72">
        <f t="shared" si="86"/>
        <v>22022266.960720852</v>
      </c>
      <c r="DZ38" s="72">
        <f t="shared" si="86"/>
        <v>22023255.31456494</v>
      </c>
    </row>
    <row r="39" spans="1:130" ht="18" x14ac:dyDescent="0.2">
      <c r="A39" s="63" t="s">
        <v>201</v>
      </c>
      <c r="B39" s="80"/>
      <c r="C39" s="65"/>
      <c r="D39" s="65"/>
      <c r="E39" s="65"/>
      <c r="F39" s="65">
        <v>2011</v>
      </c>
      <c r="G39" s="65"/>
      <c r="H39" s="65"/>
      <c r="I39" s="65"/>
      <c r="J39" s="65">
        <v>2012</v>
      </c>
      <c r="K39" s="65"/>
      <c r="L39" s="65"/>
      <c r="M39" s="65"/>
      <c r="N39" s="65">
        <v>2013</v>
      </c>
      <c r="O39" s="65"/>
      <c r="P39" s="65"/>
      <c r="Q39" s="65"/>
      <c r="R39" s="65">
        <v>2014</v>
      </c>
      <c r="S39" s="65"/>
      <c r="T39" s="65"/>
      <c r="U39" s="65"/>
      <c r="V39" s="65">
        <v>2015</v>
      </c>
      <c r="W39" s="65"/>
      <c r="X39" s="65"/>
      <c r="Y39" s="65"/>
      <c r="Z39" s="65">
        <v>2016</v>
      </c>
      <c r="AA39" s="65"/>
      <c r="AB39" s="65"/>
      <c r="AC39" s="65"/>
      <c r="AD39" s="65">
        <v>2017</v>
      </c>
      <c r="AE39" s="66"/>
      <c r="AF39" s="66"/>
      <c r="AG39" s="66"/>
      <c r="AH39" s="67">
        <v>2018</v>
      </c>
      <c r="AI39" s="67"/>
      <c r="AJ39" s="67"/>
      <c r="AK39" s="67"/>
      <c r="AL39" s="67">
        <v>2019</v>
      </c>
      <c r="AM39" s="67"/>
      <c r="AN39" s="67"/>
      <c r="AO39" s="66"/>
      <c r="AP39" s="66">
        <v>2020</v>
      </c>
      <c r="AQ39" s="66"/>
      <c r="AR39" s="66"/>
      <c r="AS39" s="66"/>
      <c r="AT39" s="66">
        <v>2021</v>
      </c>
      <c r="AU39" s="66"/>
      <c r="AV39" s="66"/>
      <c r="AW39" s="66"/>
      <c r="AX39" s="66">
        <v>2022</v>
      </c>
      <c r="AY39" s="66"/>
      <c r="AZ39" s="66"/>
      <c r="BA39" s="66"/>
      <c r="BB39" s="66">
        <v>2023</v>
      </c>
      <c r="BC39" s="66"/>
      <c r="BD39" s="66"/>
      <c r="BE39" s="66"/>
      <c r="BF39" s="66">
        <v>2024</v>
      </c>
      <c r="BG39" s="66"/>
      <c r="BH39" s="66"/>
      <c r="BI39" s="66"/>
      <c r="BJ39" s="66">
        <v>2025</v>
      </c>
      <c r="BK39" s="66"/>
      <c r="BL39" s="66"/>
      <c r="BM39" s="66"/>
      <c r="BN39" s="66">
        <v>2026</v>
      </c>
      <c r="BO39" s="66"/>
      <c r="BP39" s="66"/>
      <c r="BQ39" s="66"/>
      <c r="BR39" s="66">
        <v>2027</v>
      </c>
      <c r="BS39" s="66"/>
      <c r="BT39" s="66"/>
      <c r="BU39" s="66"/>
      <c r="BV39" s="66">
        <v>2028</v>
      </c>
      <c r="BW39" s="66"/>
      <c r="BX39" s="66"/>
      <c r="BY39" s="66"/>
      <c r="BZ39" s="66">
        <v>2029</v>
      </c>
      <c r="CA39" s="66"/>
      <c r="CB39" s="66"/>
      <c r="CC39" s="66"/>
      <c r="CD39" s="66">
        <v>2030</v>
      </c>
      <c r="CE39" s="66"/>
      <c r="CF39" s="66"/>
      <c r="CG39" s="66"/>
      <c r="CH39" s="66">
        <v>2031</v>
      </c>
      <c r="CI39" s="66"/>
      <c r="CJ39" s="66"/>
      <c r="CK39" s="66"/>
      <c r="CL39" s="66">
        <v>2032</v>
      </c>
      <c r="CM39" s="66"/>
      <c r="CN39" s="66"/>
      <c r="CO39" s="66"/>
      <c r="CP39" s="66">
        <v>2033</v>
      </c>
      <c r="CQ39" s="66"/>
      <c r="CR39" s="66"/>
      <c r="CS39" s="66"/>
      <c r="CT39" s="66">
        <v>2034</v>
      </c>
      <c r="CU39" s="66"/>
      <c r="CV39" s="66"/>
      <c r="CW39" s="66"/>
      <c r="CX39" s="66">
        <v>2035</v>
      </c>
      <c r="CY39" s="66"/>
      <c r="CZ39" s="66"/>
      <c r="DA39" s="66"/>
      <c r="DB39" s="66">
        <v>2036</v>
      </c>
      <c r="DC39" s="66"/>
      <c r="DD39" s="66"/>
      <c r="DE39" s="66"/>
      <c r="DF39" s="66">
        <v>2037</v>
      </c>
      <c r="DG39" s="66"/>
      <c r="DH39" s="66"/>
      <c r="DI39" s="66"/>
      <c r="DJ39" s="66">
        <v>2038</v>
      </c>
      <c r="DK39" s="66"/>
      <c r="DL39" s="66"/>
      <c r="DM39" s="66"/>
      <c r="DN39" s="66">
        <v>2039</v>
      </c>
      <c r="DO39" s="66"/>
      <c r="DP39" s="66"/>
      <c r="DQ39" s="66"/>
      <c r="DR39" s="66">
        <v>2040</v>
      </c>
      <c r="DS39" s="66"/>
      <c r="DT39" s="66"/>
      <c r="DU39" s="66"/>
      <c r="DV39" s="66">
        <v>2041</v>
      </c>
      <c r="DW39" s="66"/>
      <c r="DX39" s="66"/>
      <c r="DY39" s="66"/>
      <c r="DZ39" s="66"/>
    </row>
    <row r="40" spans="1:130" x14ac:dyDescent="0.2">
      <c r="A40" s="39" t="s">
        <v>202</v>
      </c>
      <c r="B40" s="39" t="s">
        <v>170</v>
      </c>
      <c r="C40" s="70"/>
      <c r="D40" s="70"/>
      <c r="E40" s="70"/>
      <c r="F40" s="70"/>
      <c r="G40" s="70"/>
      <c r="H40" s="70"/>
      <c r="I40" s="70"/>
      <c r="J40" s="70"/>
      <c r="K40" s="70"/>
      <c r="L40" s="70"/>
      <c r="M40" s="70"/>
      <c r="N40" s="70"/>
      <c r="O40" s="70"/>
      <c r="P40" s="70"/>
      <c r="Q40" s="70"/>
      <c r="R40" s="70"/>
      <c r="S40" s="70"/>
      <c r="T40" s="70"/>
      <c r="U40" s="70"/>
      <c r="V40" s="70"/>
      <c r="W40" s="70"/>
      <c r="X40" s="70"/>
      <c r="Y40" s="70">
        <v>845</v>
      </c>
      <c r="Z40" s="70">
        <v>586</v>
      </c>
      <c r="AA40" s="70">
        <v>532</v>
      </c>
      <c r="AB40" s="70">
        <v>862</v>
      </c>
      <c r="AC40" s="70">
        <v>813</v>
      </c>
      <c r="AD40" s="70">
        <v>624</v>
      </c>
      <c r="AE40" s="70">
        <v>600</v>
      </c>
      <c r="AF40" s="70">
        <v>863</v>
      </c>
      <c r="AG40" s="70">
        <v>900</v>
      </c>
      <c r="AH40" s="70">
        <v>622</v>
      </c>
      <c r="AI40" s="70">
        <v>625</v>
      </c>
      <c r="AJ40" s="70">
        <v>1019</v>
      </c>
      <c r="AK40" s="70">
        <v>1043</v>
      </c>
      <c r="AL40" s="70">
        <v>665</v>
      </c>
      <c r="AM40" s="70">
        <v>836</v>
      </c>
      <c r="AN40" s="70">
        <v>6851</v>
      </c>
      <c r="AO40" s="70">
        <v>6891</v>
      </c>
      <c r="AP40" s="70">
        <v>4709</v>
      </c>
      <c r="AQ40" s="70">
        <v>10797</v>
      </c>
      <c r="AR40" s="70">
        <v>15909</v>
      </c>
      <c r="AS40" s="70">
        <v>14967</v>
      </c>
      <c r="AT40" s="70">
        <v>8583</v>
      </c>
      <c r="AU40" s="70">
        <v>9778</v>
      </c>
      <c r="AV40" s="70">
        <v>15076</v>
      </c>
      <c r="AW40" s="70">
        <v>13663</v>
      </c>
      <c r="AX40" s="70">
        <v>8029</v>
      </c>
      <c r="AY40" s="70">
        <v>4366</v>
      </c>
      <c r="AZ40" s="71">
        <v>9216</v>
      </c>
      <c r="BA40" s="71">
        <v>8704</v>
      </c>
      <c r="BB40" s="71">
        <f t="shared" ref="BB40" si="87">_xlfn.FORECAST.ETS(BB$19,AR40:BA40,AR$19:BA$19)</f>
        <v>6874.1906351701264</v>
      </c>
      <c r="BC40" s="71">
        <v>5337</v>
      </c>
      <c r="BD40" s="71">
        <v>0</v>
      </c>
      <c r="BE40" s="71">
        <v>0</v>
      </c>
      <c r="BF40" s="72">
        <f t="shared" ref="BF40:DQ40" si="88">_xlfn.FORECAST.ETS(BF$19,AV40:BE40,AV$19:BE$19)</f>
        <v>-463.08038102224128</v>
      </c>
      <c r="BG40" s="72">
        <f t="shared" si="88"/>
        <v>-1737.7599319435335</v>
      </c>
      <c r="BH40" s="72">
        <f t="shared" si="88"/>
        <v>-2737.2002569748729</v>
      </c>
      <c r="BI40" s="72">
        <f t="shared" si="88"/>
        <v>-4048.8852979495241</v>
      </c>
      <c r="BJ40" s="72">
        <f t="shared" si="88"/>
        <v>-6538.6063876185508</v>
      </c>
      <c r="BK40" s="72">
        <f t="shared" si="88"/>
        <v>-7843.5083526012695</v>
      </c>
      <c r="BL40" s="72">
        <f t="shared" si="88"/>
        <v>-9246.6049852604501</v>
      </c>
      <c r="BM40" s="72">
        <f t="shared" si="88"/>
        <v>-10560.029774938348</v>
      </c>
      <c r="BN40" s="72">
        <f t="shared" si="88"/>
        <v>-11838.01732986941</v>
      </c>
      <c r="BO40" s="72">
        <f t="shared" si="88"/>
        <v>-13260.674619260843</v>
      </c>
      <c r="BP40" s="72">
        <f t="shared" si="88"/>
        <v>-14942.849512758517</v>
      </c>
      <c r="BQ40" s="72">
        <f t="shared" si="88"/>
        <v>-16482.6861498826</v>
      </c>
      <c r="BR40" s="72">
        <f t="shared" si="88"/>
        <v>-17939.479901189632</v>
      </c>
      <c r="BS40" s="72">
        <f t="shared" si="88"/>
        <v>-19416.645501327213</v>
      </c>
      <c r="BT40" s="72">
        <f t="shared" si="88"/>
        <v>-20861.758597664135</v>
      </c>
      <c r="BU40" s="72">
        <f t="shared" si="88"/>
        <v>-22320.528023096405</v>
      </c>
      <c r="BV40" s="72">
        <f t="shared" si="88"/>
        <v>-23787.112792915053</v>
      </c>
      <c r="BW40" s="72">
        <f t="shared" si="88"/>
        <v>-25275.960493962033</v>
      </c>
      <c r="BX40" s="72">
        <f t="shared" si="88"/>
        <v>-26768.243349731831</v>
      </c>
      <c r="BY40" s="72">
        <f t="shared" si="88"/>
        <v>-28252.572221816881</v>
      </c>
      <c r="BZ40" s="72">
        <f t="shared" si="88"/>
        <v>-29724.252649079754</v>
      </c>
      <c r="CA40" s="72">
        <f t="shared" si="88"/>
        <v>-31197.104226506457</v>
      </c>
      <c r="CB40" s="72">
        <f t="shared" si="88"/>
        <v>-32671.540951653718</v>
      </c>
      <c r="CC40" s="72">
        <f t="shared" si="88"/>
        <v>-34145.813333766331</v>
      </c>
      <c r="CD40" s="72">
        <f t="shared" si="88"/>
        <v>-35622.76942210678</v>
      </c>
      <c r="CE40" s="72">
        <f t="shared" si="88"/>
        <v>-37101.564313034309</v>
      </c>
      <c r="CF40" s="72">
        <f t="shared" si="88"/>
        <v>-38580.146730676897</v>
      </c>
      <c r="CG40" s="72">
        <f t="shared" si="88"/>
        <v>-40057.469349727442</v>
      </c>
      <c r="CH40" s="72">
        <f t="shared" si="88"/>
        <v>-41533.273614645499</v>
      </c>
      <c r="CI40" s="72">
        <f t="shared" si="88"/>
        <v>-43009.245152058284</v>
      </c>
      <c r="CJ40" s="72">
        <f t="shared" si="88"/>
        <v>-44485.21339237364</v>
      </c>
      <c r="CK40" s="72">
        <f t="shared" si="88"/>
        <v>-45961.181632689513</v>
      </c>
      <c r="CL40" s="72">
        <f t="shared" si="88"/>
        <v>-47437.867564043481</v>
      </c>
      <c r="CM40" s="72">
        <f t="shared" si="88"/>
        <v>-48914.479573220895</v>
      </c>
      <c r="CN40" s="72">
        <f t="shared" si="88"/>
        <v>-50391.093017780331</v>
      </c>
      <c r="CO40" s="72">
        <f t="shared" si="88"/>
        <v>-51867.483431065826</v>
      </c>
      <c r="CP40" s="72">
        <f t="shared" si="88"/>
        <v>-53343.770066321522</v>
      </c>
      <c r="CQ40" s="72">
        <f t="shared" si="88"/>
        <v>-54820.069310790357</v>
      </c>
      <c r="CR40" s="72">
        <f t="shared" si="88"/>
        <v>-56296.368301758768</v>
      </c>
      <c r="CS40" s="72">
        <f t="shared" si="88"/>
        <v>-57772.782319605416</v>
      </c>
      <c r="CT40" s="72">
        <f t="shared" si="88"/>
        <v>-59249.206660137912</v>
      </c>
      <c r="CU40" s="72">
        <f t="shared" si="88"/>
        <v>-60725.628947167432</v>
      </c>
      <c r="CV40" s="72">
        <f t="shared" si="88"/>
        <v>-62202.051278537816</v>
      </c>
      <c r="CW40" s="72">
        <f t="shared" si="88"/>
        <v>-63678.421073555568</v>
      </c>
      <c r="CX40" s="72">
        <f t="shared" si="88"/>
        <v>-65154.796279817594</v>
      </c>
      <c r="CY40" s="72">
        <f t="shared" si="88"/>
        <v>-66631.17138100692</v>
      </c>
      <c r="CZ40" s="72">
        <f t="shared" si="88"/>
        <v>-68107.556106666059</v>
      </c>
      <c r="DA40" s="72">
        <f t="shared" si="88"/>
        <v>-69583.952028411644</v>
      </c>
      <c r="DB40" s="72">
        <f t="shared" si="88"/>
        <v>-71060.346714103274</v>
      </c>
      <c r="DC40" s="72">
        <f t="shared" si="88"/>
        <v>-72536.741424169712</v>
      </c>
      <c r="DD40" s="72">
        <f t="shared" si="88"/>
        <v>-74013.129404242034</v>
      </c>
      <c r="DE40" s="72">
        <f t="shared" si="88"/>
        <v>-75489.515976820199</v>
      </c>
      <c r="DF40" s="72">
        <f t="shared" si="88"/>
        <v>-76965.902752308786</v>
      </c>
      <c r="DG40" s="72">
        <f t="shared" si="88"/>
        <v>-78442.289523596017</v>
      </c>
      <c r="DH40" s="72">
        <f t="shared" si="88"/>
        <v>-79918.67942902814</v>
      </c>
      <c r="DI40" s="72">
        <f t="shared" si="88"/>
        <v>-81395.069510330359</v>
      </c>
      <c r="DJ40" s="72">
        <f t="shared" si="88"/>
        <v>-82871.459546536091</v>
      </c>
      <c r="DK40" s="72">
        <f t="shared" si="88"/>
        <v>-84347.848828915754</v>
      </c>
      <c r="DL40" s="72">
        <f t="shared" si="88"/>
        <v>-85824.237380626815</v>
      </c>
      <c r="DM40" s="72">
        <f t="shared" si="88"/>
        <v>-87300.626014094989</v>
      </c>
      <c r="DN40" s="72">
        <f t="shared" si="88"/>
        <v>-88777.014645946329</v>
      </c>
      <c r="DO40" s="72">
        <f t="shared" si="88"/>
        <v>-90253.403546924135</v>
      </c>
      <c r="DP40" s="72">
        <f t="shared" si="88"/>
        <v>-91729.79271959122</v>
      </c>
      <c r="DQ40" s="72">
        <f t="shared" si="88"/>
        <v>-93206.18186195739</v>
      </c>
      <c r="DR40" s="72">
        <f t="shared" ref="DR40:DZ40" si="89">_xlfn.FORECAST.ETS(DR$19,DH40:DQ40,DH$19:DQ$19)</f>
        <v>-94682.571004922371</v>
      </c>
      <c r="DS40" s="72">
        <f t="shared" si="89"/>
        <v>-96158.959931214718</v>
      </c>
      <c r="DT40" s="72">
        <f t="shared" si="89"/>
        <v>-97635.348837014899</v>
      </c>
      <c r="DU40" s="72">
        <f t="shared" si="89"/>
        <v>-99111.737746791099</v>
      </c>
      <c r="DV40" s="72">
        <f t="shared" si="89"/>
        <v>-100588.12665648169</v>
      </c>
      <c r="DW40" s="72">
        <f t="shared" si="89"/>
        <v>-102064.5156642045</v>
      </c>
      <c r="DX40" s="72">
        <f t="shared" si="89"/>
        <v>-103540.90466007843</v>
      </c>
      <c r="DY40" s="72">
        <f t="shared" si="89"/>
        <v>-105017.29365632884</v>
      </c>
      <c r="DZ40" s="72">
        <f t="shared" si="89"/>
        <v>-106493.68263633914</v>
      </c>
    </row>
    <row r="41" spans="1:130" x14ac:dyDescent="0.2">
      <c r="A41" s="39" t="s">
        <v>203</v>
      </c>
      <c r="B41" s="39" t="s">
        <v>170</v>
      </c>
      <c r="C41" s="70"/>
      <c r="D41" s="70"/>
      <c r="E41" s="70"/>
      <c r="F41" s="70"/>
      <c r="G41" s="70"/>
      <c r="H41" s="70"/>
      <c r="I41" s="70"/>
      <c r="J41" s="70"/>
      <c r="K41" s="70"/>
      <c r="L41" s="70"/>
      <c r="M41" s="70"/>
      <c r="N41" s="70"/>
      <c r="O41" s="70"/>
      <c r="P41" s="70"/>
      <c r="Q41" s="70"/>
      <c r="R41" s="70"/>
      <c r="S41" s="70"/>
      <c r="T41" s="70"/>
      <c r="U41" s="70"/>
      <c r="V41" s="70"/>
      <c r="W41" s="70">
        <v>37942</v>
      </c>
      <c r="X41" s="70">
        <v>38215</v>
      </c>
      <c r="Y41" s="70">
        <v>38997</v>
      </c>
      <c r="Z41" s="70">
        <v>38905</v>
      </c>
      <c r="AA41" s="70">
        <v>35934</v>
      </c>
      <c r="AB41" s="70">
        <v>35935</v>
      </c>
      <c r="AC41" s="70">
        <v>35934</v>
      </c>
      <c r="AD41" s="70">
        <v>35936</v>
      </c>
      <c r="AE41" s="70">
        <v>33561</v>
      </c>
      <c r="AF41" s="70">
        <v>33563</v>
      </c>
      <c r="AG41" s="70">
        <v>33561</v>
      </c>
      <c r="AH41" s="70">
        <v>33563</v>
      </c>
      <c r="AI41" s="70">
        <v>38213</v>
      </c>
      <c r="AJ41" s="70">
        <v>38213</v>
      </c>
      <c r="AK41" s="70">
        <v>38213</v>
      </c>
      <c r="AL41" s="70">
        <v>38213</v>
      </c>
      <c r="AM41" s="70">
        <v>35641</v>
      </c>
      <c r="AN41" s="70">
        <v>35641</v>
      </c>
      <c r="AO41" s="70">
        <v>35642</v>
      </c>
      <c r="AP41" s="70">
        <v>35641</v>
      </c>
      <c r="AQ41" s="70"/>
      <c r="AR41" s="70"/>
      <c r="AS41" s="70"/>
      <c r="AT41" s="70"/>
      <c r="AU41" s="70"/>
      <c r="AV41" s="70"/>
      <c r="AW41" s="77"/>
      <c r="AX41" s="70"/>
      <c r="AY41" s="70"/>
      <c r="AZ41" s="72"/>
      <c r="BA41" s="71">
        <v>0</v>
      </c>
      <c r="BB41" s="71">
        <v>0</v>
      </c>
      <c r="BC41" s="71">
        <v>0</v>
      </c>
      <c r="BD41" s="71">
        <v>0</v>
      </c>
      <c r="BE41" s="71">
        <v>0</v>
      </c>
      <c r="BF41" s="72">
        <v>0</v>
      </c>
      <c r="BG41" s="72">
        <v>0</v>
      </c>
      <c r="BH41" s="72">
        <v>0</v>
      </c>
      <c r="BI41" s="72">
        <v>0</v>
      </c>
      <c r="BJ41" s="72">
        <v>0</v>
      </c>
      <c r="BK41" s="72">
        <v>0</v>
      </c>
      <c r="BL41" s="72">
        <v>0</v>
      </c>
      <c r="BM41" s="72">
        <v>0</v>
      </c>
      <c r="BN41" s="72">
        <v>0</v>
      </c>
      <c r="BO41" s="72">
        <v>0</v>
      </c>
      <c r="BP41" s="72">
        <v>0</v>
      </c>
      <c r="BQ41" s="72">
        <v>0</v>
      </c>
      <c r="BR41" s="72">
        <v>0</v>
      </c>
      <c r="BS41" s="72">
        <v>0</v>
      </c>
      <c r="BT41" s="72">
        <v>0</v>
      </c>
      <c r="BU41" s="72">
        <v>0</v>
      </c>
      <c r="BV41" s="72">
        <v>0</v>
      </c>
      <c r="BW41" s="72">
        <v>0</v>
      </c>
      <c r="BX41" s="72">
        <v>0</v>
      </c>
      <c r="BY41" s="72">
        <v>0</v>
      </c>
      <c r="BZ41" s="72">
        <v>0</v>
      </c>
      <c r="CA41" s="72">
        <v>0</v>
      </c>
      <c r="CB41" s="72">
        <v>0</v>
      </c>
      <c r="CC41" s="72">
        <v>0</v>
      </c>
      <c r="CD41" s="72">
        <v>0</v>
      </c>
      <c r="CE41" s="72">
        <v>0</v>
      </c>
      <c r="CF41" s="72">
        <v>0</v>
      </c>
      <c r="CG41" s="72">
        <v>0</v>
      </c>
      <c r="CH41" s="72">
        <v>0</v>
      </c>
      <c r="CI41" s="72">
        <v>0</v>
      </c>
      <c r="CJ41" s="72">
        <v>0</v>
      </c>
      <c r="CK41" s="72">
        <v>0</v>
      </c>
      <c r="CL41" s="72">
        <v>0</v>
      </c>
      <c r="CM41" s="72">
        <v>0</v>
      </c>
      <c r="CN41" s="72">
        <v>0</v>
      </c>
      <c r="CO41" s="72">
        <v>0</v>
      </c>
      <c r="CP41" s="72">
        <v>0</v>
      </c>
      <c r="CQ41" s="72">
        <v>0</v>
      </c>
      <c r="CR41" s="72">
        <v>0</v>
      </c>
      <c r="CS41" s="72">
        <v>0</v>
      </c>
      <c r="CT41" s="72">
        <v>0</v>
      </c>
      <c r="CU41" s="72">
        <v>0</v>
      </c>
      <c r="CV41" s="72">
        <v>0</v>
      </c>
      <c r="CW41" s="72">
        <v>0</v>
      </c>
      <c r="CX41" s="72">
        <v>0</v>
      </c>
      <c r="CY41" s="72">
        <v>0</v>
      </c>
      <c r="CZ41" s="72">
        <v>0</v>
      </c>
      <c r="DA41" s="72">
        <v>0</v>
      </c>
      <c r="DB41" s="72">
        <v>0</v>
      </c>
      <c r="DC41" s="72">
        <v>0</v>
      </c>
      <c r="DD41" s="72">
        <v>0</v>
      </c>
      <c r="DE41" s="72">
        <v>0</v>
      </c>
      <c r="DF41" s="72">
        <v>0</v>
      </c>
      <c r="DG41" s="72">
        <v>0</v>
      </c>
      <c r="DH41" s="72">
        <v>0</v>
      </c>
      <c r="DI41" s="72">
        <v>0</v>
      </c>
      <c r="DJ41" s="72">
        <v>0</v>
      </c>
      <c r="DK41" s="72">
        <v>0</v>
      </c>
      <c r="DL41" s="72">
        <v>0</v>
      </c>
      <c r="DM41" s="72">
        <v>0</v>
      </c>
      <c r="DN41" s="72">
        <v>0</v>
      </c>
      <c r="DO41" s="72">
        <v>0</v>
      </c>
      <c r="DP41" s="72">
        <v>0</v>
      </c>
      <c r="DQ41" s="72">
        <v>0</v>
      </c>
      <c r="DR41" s="72">
        <v>0</v>
      </c>
      <c r="DS41" s="72">
        <v>0</v>
      </c>
      <c r="DT41" s="72">
        <v>0</v>
      </c>
      <c r="DU41" s="72">
        <v>0</v>
      </c>
      <c r="DV41" s="72">
        <v>0</v>
      </c>
      <c r="DW41" s="72">
        <v>0</v>
      </c>
      <c r="DX41" s="72">
        <v>0</v>
      </c>
      <c r="DY41" s="72">
        <v>0</v>
      </c>
      <c r="DZ41" s="72">
        <v>0</v>
      </c>
    </row>
    <row r="42" spans="1:130" x14ac:dyDescent="0.2">
      <c r="A42" s="39" t="s">
        <v>204</v>
      </c>
      <c r="B42" s="39" t="s">
        <v>170</v>
      </c>
      <c r="C42" s="70"/>
      <c r="D42" s="70"/>
      <c r="E42" s="70"/>
      <c r="F42" s="70"/>
      <c r="G42" s="70"/>
      <c r="H42" s="70"/>
      <c r="I42" s="70"/>
      <c r="J42" s="70"/>
      <c r="K42" s="70"/>
      <c r="L42" s="70"/>
      <c r="M42" s="70"/>
      <c r="N42" s="70"/>
      <c r="O42" s="70"/>
      <c r="P42" s="70"/>
      <c r="Q42" s="70"/>
      <c r="R42" s="70"/>
      <c r="S42" s="70"/>
      <c r="T42" s="70"/>
      <c r="U42" s="70"/>
      <c r="V42" s="70"/>
      <c r="W42" s="70"/>
      <c r="X42" s="70"/>
      <c r="Y42" s="70"/>
      <c r="Z42" s="70"/>
      <c r="AA42" s="70"/>
      <c r="AB42" s="70"/>
      <c r="AC42" s="70"/>
      <c r="AD42" s="70"/>
      <c r="AE42" s="70"/>
      <c r="AF42" s="70"/>
      <c r="AG42" s="70"/>
      <c r="AH42" s="70"/>
      <c r="AI42" s="70"/>
      <c r="AJ42" s="70"/>
      <c r="AK42" s="70">
        <v>10757</v>
      </c>
      <c r="AL42" s="70">
        <v>11616</v>
      </c>
      <c r="AM42" s="70">
        <v>9897</v>
      </c>
      <c r="AN42" s="70">
        <v>2095</v>
      </c>
      <c r="AO42" s="70"/>
      <c r="AP42" s="70"/>
      <c r="AQ42" s="70"/>
      <c r="AR42" s="70"/>
      <c r="AS42" s="70"/>
      <c r="AT42" s="70"/>
      <c r="AU42" s="70"/>
      <c r="AV42" s="70"/>
      <c r="AW42" s="77"/>
      <c r="AX42" s="70"/>
      <c r="AY42" s="70"/>
      <c r="AZ42" s="72"/>
      <c r="BA42" s="71">
        <v>0</v>
      </c>
      <c r="BB42" s="71">
        <v>0</v>
      </c>
      <c r="BC42" s="71">
        <v>0</v>
      </c>
      <c r="BD42" s="71">
        <v>0</v>
      </c>
      <c r="BE42" s="71">
        <v>0</v>
      </c>
      <c r="BF42" s="72">
        <v>0</v>
      </c>
      <c r="BG42" s="72">
        <v>0</v>
      </c>
      <c r="BH42" s="72">
        <v>0</v>
      </c>
      <c r="BI42" s="72">
        <v>0</v>
      </c>
      <c r="BJ42" s="72">
        <v>0</v>
      </c>
      <c r="BK42" s="72">
        <v>0</v>
      </c>
      <c r="BL42" s="72">
        <v>0</v>
      </c>
      <c r="BM42" s="72">
        <v>0</v>
      </c>
      <c r="BN42" s="72">
        <v>0</v>
      </c>
      <c r="BO42" s="72">
        <v>0</v>
      </c>
      <c r="BP42" s="72">
        <v>0</v>
      </c>
      <c r="BQ42" s="72">
        <v>0</v>
      </c>
      <c r="BR42" s="72">
        <v>0</v>
      </c>
      <c r="BS42" s="72">
        <v>0</v>
      </c>
      <c r="BT42" s="72">
        <v>0</v>
      </c>
      <c r="BU42" s="72">
        <v>0</v>
      </c>
      <c r="BV42" s="72">
        <v>0</v>
      </c>
      <c r="BW42" s="72">
        <v>0</v>
      </c>
      <c r="BX42" s="72">
        <v>0</v>
      </c>
      <c r="BY42" s="72">
        <v>0</v>
      </c>
      <c r="BZ42" s="72">
        <v>0</v>
      </c>
      <c r="CA42" s="72">
        <v>0</v>
      </c>
      <c r="CB42" s="72">
        <v>0</v>
      </c>
      <c r="CC42" s="72">
        <v>0</v>
      </c>
      <c r="CD42" s="72">
        <v>0</v>
      </c>
      <c r="CE42" s="72">
        <v>0</v>
      </c>
      <c r="CF42" s="72">
        <v>0</v>
      </c>
      <c r="CG42" s="72">
        <v>0</v>
      </c>
      <c r="CH42" s="72">
        <v>0</v>
      </c>
      <c r="CI42" s="72">
        <v>0</v>
      </c>
      <c r="CJ42" s="72">
        <v>0</v>
      </c>
      <c r="CK42" s="72">
        <v>0</v>
      </c>
      <c r="CL42" s="72">
        <v>0</v>
      </c>
      <c r="CM42" s="72">
        <v>0</v>
      </c>
      <c r="CN42" s="72">
        <v>0</v>
      </c>
      <c r="CO42" s="72">
        <v>0</v>
      </c>
      <c r="CP42" s="72">
        <v>0</v>
      </c>
      <c r="CQ42" s="72">
        <v>0</v>
      </c>
      <c r="CR42" s="72">
        <v>0</v>
      </c>
      <c r="CS42" s="72">
        <v>0</v>
      </c>
      <c r="CT42" s="72">
        <v>0</v>
      </c>
      <c r="CU42" s="72">
        <v>0</v>
      </c>
      <c r="CV42" s="72">
        <v>0</v>
      </c>
      <c r="CW42" s="72">
        <v>0</v>
      </c>
      <c r="CX42" s="72">
        <v>0</v>
      </c>
      <c r="CY42" s="72">
        <v>0</v>
      </c>
      <c r="CZ42" s="72">
        <v>0</v>
      </c>
      <c r="DA42" s="72">
        <v>0</v>
      </c>
      <c r="DB42" s="72">
        <v>0</v>
      </c>
      <c r="DC42" s="72">
        <v>0</v>
      </c>
      <c r="DD42" s="72">
        <v>0</v>
      </c>
      <c r="DE42" s="72">
        <v>0</v>
      </c>
      <c r="DF42" s="72">
        <v>0</v>
      </c>
      <c r="DG42" s="72">
        <v>0</v>
      </c>
      <c r="DH42" s="72">
        <v>0</v>
      </c>
      <c r="DI42" s="72">
        <v>0</v>
      </c>
      <c r="DJ42" s="72">
        <v>0</v>
      </c>
      <c r="DK42" s="72">
        <v>0</v>
      </c>
      <c r="DL42" s="72">
        <v>0</v>
      </c>
      <c r="DM42" s="72">
        <v>0</v>
      </c>
      <c r="DN42" s="72">
        <v>0</v>
      </c>
      <c r="DO42" s="72">
        <v>0</v>
      </c>
      <c r="DP42" s="72">
        <v>0</v>
      </c>
      <c r="DQ42" s="72">
        <v>0</v>
      </c>
      <c r="DR42" s="72">
        <v>0</v>
      </c>
      <c r="DS42" s="72">
        <v>0</v>
      </c>
      <c r="DT42" s="72">
        <v>0</v>
      </c>
      <c r="DU42" s="72">
        <v>0</v>
      </c>
      <c r="DV42" s="72">
        <v>0</v>
      </c>
      <c r="DW42" s="72">
        <v>0</v>
      </c>
      <c r="DX42" s="72">
        <v>0</v>
      </c>
      <c r="DY42" s="72">
        <v>0</v>
      </c>
      <c r="DZ42" s="72">
        <v>0</v>
      </c>
    </row>
    <row r="43" spans="1:130" x14ac:dyDescent="0.2">
      <c r="A43" s="39" t="s">
        <v>205</v>
      </c>
      <c r="B43" s="39" t="s">
        <v>170</v>
      </c>
      <c r="C43" s="70"/>
      <c r="D43" s="70"/>
      <c r="E43" s="70"/>
      <c r="F43" s="70"/>
      <c r="G43" s="70"/>
      <c r="H43" s="70"/>
      <c r="I43" s="70"/>
      <c r="J43" s="70"/>
      <c r="K43" s="70"/>
      <c r="L43" s="70"/>
      <c r="M43" s="70"/>
      <c r="N43" s="70"/>
      <c r="O43" s="70"/>
      <c r="P43" s="70"/>
      <c r="Q43" s="70"/>
      <c r="R43" s="70"/>
      <c r="S43" s="70"/>
      <c r="T43" s="70"/>
      <c r="U43" s="70"/>
      <c r="V43" s="70"/>
      <c r="W43" s="70"/>
      <c r="X43" s="70"/>
      <c r="Y43" s="70"/>
      <c r="Z43" s="70"/>
      <c r="AA43" s="70"/>
      <c r="AB43" s="70"/>
      <c r="AC43" s="70"/>
      <c r="AD43" s="70"/>
      <c r="AE43" s="70"/>
      <c r="AF43" s="70"/>
      <c r="AG43" s="70"/>
      <c r="AH43" s="70"/>
      <c r="AI43" s="70"/>
      <c r="AJ43" s="70"/>
      <c r="AK43" s="70"/>
      <c r="AL43" s="70"/>
      <c r="AM43" s="70"/>
      <c r="AN43" s="70"/>
      <c r="AO43" s="70"/>
      <c r="AP43" s="70"/>
      <c r="AQ43" s="70"/>
      <c r="AR43" s="70"/>
      <c r="AS43" s="70"/>
      <c r="AT43" s="70"/>
      <c r="AU43" s="70"/>
      <c r="AV43" s="70"/>
      <c r="AW43" s="77"/>
      <c r="AX43" s="70"/>
      <c r="AY43" s="70"/>
      <c r="AZ43" s="72"/>
      <c r="BA43" s="72"/>
      <c r="BB43" s="71"/>
      <c r="BC43" s="71"/>
      <c r="BD43" s="71"/>
      <c r="BE43" s="71"/>
      <c r="BF43" s="72"/>
      <c r="BG43" s="72"/>
      <c r="BH43" s="72"/>
      <c r="BI43" s="72"/>
      <c r="BJ43" s="72"/>
      <c r="BK43" s="72"/>
      <c r="BL43" s="72"/>
      <c r="BM43" s="72"/>
      <c r="BN43" s="72"/>
      <c r="BO43" s="72"/>
      <c r="BP43" s="72"/>
      <c r="BQ43" s="72"/>
      <c r="BR43" s="72"/>
      <c r="BS43" s="72"/>
      <c r="BT43" s="72"/>
      <c r="BU43" s="72"/>
      <c r="BV43" s="72"/>
      <c r="BW43" s="72"/>
      <c r="BX43" s="72"/>
      <c r="BY43" s="72"/>
      <c r="BZ43" s="72"/>
      <c r="CA43" s="72"/>
      <c r="CB43" s="72"/>
      <c r="CC43" s="72"/>
      <c r="CD43" s="72"/>
      <c r="CE43" s="72"/>
      <c r="CF43" s="72"/>
      <c r="CG43" s="72"/>
      <c r="CH43" s="72"/>
      <c r="CI43" s="72"/>
      <c r="CJ43" s="72"/>
      <c r="CK43" s="72"/>
      <c r="CL43" s="72"/>
      <c r="CM43" s="72"/>
      <c r="CN43" s="72"/>
      <c r="CO43" s="72"/>
      <c r="CP43" s="72"/>
      <c r="CQ43" s="72"/>
      <c r="CR43" s="72"/>
      <c r="CS43" s="72"/>
      <c r="CT43" s="72"/>
      <c r="CU43" s="72"/>
      <c r="CV43" s="72"/>
      <c r="CW43" s="72"/>
      <c r="CX43" s="72"/>
      <c r="CY43" s="72"/>
      <c r="CZ43" s="72"/>
      <c r="DA43" s="72"/>
      <c r="DB43" s="72"/>
      <c r="DC43" s="72"/>
      <c r="DD43" s="72"/>
      <c r="DE43" s="72"/>
      <c r="DF43" s="72"/>
      <c r="DG43" s="72"/>
      <c r="DH43" s="72"/>
      <c r="DI43" s="72"/>
      <c r="DJ43" s="72"/>
      <c r="DK43" s="72"/>
      <c r="DL43" s="72"/>
      <c r="DM43" s="72"/>
      <c r="DN43" s="72"/>
      <c r="DO43" s="72"/>
      <c r="DP43" s="72"/>
      <c r="DQ43" s="72"/>
      <c r="DR43" s="72"/>
      <c r="DS43" s="72"/>
      <c r="DT43" s="72"/>
      <c r="DU43" s="72"/>
      <c r="DV43" s="72"/>
      <c r="DW43" s="72"/>
      <c r="DX43" s="72"/>
      <c r="DY43" s="72"/>
      <c r="DZ43" s="72"/>
    </row>
    <row r="44" spans="1:130" x14ac:dyDescent="0.2">
      <c r="A44" s="39" t="s">
        <v>206</v>
      </c>
      <c r="B44" s="39" t="s">
        <v>170</v>
      </c>
      <c r="C44" s="70">
        <v>0</v>
      </c>
      <c r="D44" s="70">
        <v>0</v>
      </c>
      <c r="E44" s="70">
        <v>0</v>
      </c>
      <c r="F44" s="70">
        <v>0</v>
      </c>
      <c r="G44" s="70">
        <v>0</v>
      </c>
      <c r="H44" s="70">
        <v>0</v>
      </c>
      <c r="I44" s="70">
        <v>0</v>
      </c>
      <c r="J44" s="70">
        <v>0</v>
      </c>
      <c r="K44" s="70">
        <v>0</v>
      </c>
      <c r="L44" s="70">
        <v>0</v>
      </c>
      <c r="M44" s="70">
        <v>0</v>
      </c>
      <c r="N44" s="70">
        <v>0</v>
      </c>
      <c r="O44" s="70">
        <v>0</v>
      </c>
      <c r="P44" s="70">
        <v>0</v>
      </c>
      <c r="Q44" s="70">
        <v>0</v>
      </c>
      <c r="R44" s="70">
        <v>0</v>
      </c>
      <c r="S44" s="70">
        <v>0</v>
      </c>
      <c r="T44" s="70">
        <v>0</v>
      </c>
      <c r="U44" s="70">
        <v>0</v>
      </c>
      <c r="V44" s="70">
        <v>0</v>
      </c>
      <c r="W44" s="70">
        <v>0</v>
      </c>
      <c r="X44" s="70">
        <v>0</v>
      </c>
      <c r="Y44" s="70">
        <v>0</v>
      </c>
      <c r="Z44" s="70">
        <v>0</v>
      </c>
      <c r="AA44" s="70">
        <v>0</v>
      </c>
      <c r="AB44" s="70">
        <v>0</v>
      </c>
      <c r="AC44" s="70">
        <v>0</v>
      </c>
      <c r="AD44" s="70">
        <v>0</v>
      </c>
      <c r="AE44" s="70">
        <v>0</v>
      </c>
      <c r="AF44" s="70">
        <v>0</v>
      </c>
      <c r="AG44" s="70">
        <v>0</v>
      </c>
      <c r="AH44" s="70">
        <v>0</v>
      </c>
      <c r="AI44" s="70">
        <v>0</v>
      </c>
      <c r="AJ44" s="70">
        <v>3682</v>
      </c>
      <c r="AK44" s="70">
        <v>2542</v>
      </c>
      <c r="AL44" s="70">
        <v>3886</v>
      </c>
      <c r="AM44" s="70">
        <v>5448</v>
      </c>
      <c r="AN44" s="70">
        <v>7679</v>
      </c>
      <c r="AO44" s="70">
        <v>8745</v>
      </c>
      <c r="AP44" s="70">
        <v>12095</v>
      </c>
      <c r="AQ44" s="70">
        <v>11867</v>
      </c>
      <c r="AR44" s="70">
        <v>20250</v>
      </c>
      <c r="AS44" s="70">
        <v>14191</v>
      </c>
      <c r="AT44" s="70">
        <v>20929</v>
      </c>
      <c r="AU44" s="70">
        <v>25348</v>
      </c>
      <c r="AV44" s="70">
        <v>31850</v>
      </c>
      <c r="AW44" s="70">
        <v>35073</v>
      </c>
      <c r="AX44" s="70">
        <v>35326</v>
      </c>
      <c r="AY44" s="70">
        <v>35837</v>
      </c>
      <c r="AZ44" s="71">
        <v>41120</v>
      </c>
      <c r="BA44" s="71">
        <v>38623</v>
      </c>
      <c r="BB44" s="71">
        <v>43454</v>
      </c>
      <c r="BC44" s="71">
        <v>46501</v>
      </c>
      <c r="BD44" s="71">
        <v>45062</v>
      </c>
      <c r="BE44" s="71">
        <v>49708</v>
      </c>
      <c r="BF44" s="72">
        <f t="shared" ref="BF44:BU46" si="90">_xlfn.FORECAST.ETS(BF$19,AV44:BE44,AV$19:BE$19)</f>
        <v>50791.263127806844</v>
      </c>
      <c r="BG44" s="72">
        <f t="shared" si="90"/>
        <v>51703.111776464953</v>
      </c>
      <c r="BH44" s="72">
        <f t="shared" si="90"/>
        <v>54890.804506213863</v>
      </c>
      <c r="BI44" s="72">
        <f t="shared" si="90"/>
        <v>55921.745721320891</v>
      </c>
      <c r="BJ44" s="72">
        <f t="shared" si="90"/>
        <v>58054.466799820308</v>
      </c>
      <c r="BK44" s="72">
        <f t="shared" si="90"/>
        <v>60102.642766041427</v>
      </c>
      <c r="BL44" s="72">
        <f t="shared" si="90"/>
        <v>61203.598970358231</v>
      </c>
      <c r="BM44" s="72">
        <f t="shared" si="90"/>
        <v>63843.356400989738</v>
      </c>
      <c r="BN44" s="72">
        <f t="shared" si="90"/>
        <v>65411.1312382014</v>
      </c>
      <c r="BO44" s="72">
        <f t="shared" si="90"/>
        <v>67008.210668473097</v>
      </c>
      <c r="BP44" s="72">
        <f t="shared" si="90"/>
        <v>69276.553922446212</v>
      </c>
      <c r="BQ44" s="72">
        <f t="shared" si="90"/>
        <v>70867.636033305171</v>
      </c>
      <c r="BR44" s="72">
        <f t="shared" si="90"/>
        <v>72651.229984140751</v>
      </c>
      <c r="BS44" s="72">
        <f t="shared" si="90"/>
        <v>74557.500633579504</v>
      </c>
      <c r="BT44" s="72">
        <f t="shared" si="90"/>
        <v>76392.233256522464</v>
      </c>
      <c r="BU44" s="72">
        <f t="shared" si="90"/>
        <v>78232.725535609847</v>
      </c>
      <c r="BV44" s="72">
        <f t="shared" ref="BV44:CK46" si="91">_xlfn.FORECAST.ETS(BV$19,BL44:BU44,BL$19:BU$19)</f>
        <v>80094.339016749713</v>
      </c>
      <c r="BW44" s="72">
        <f t="shared" si="91"/>
        <v>81886.097694537457</v>
      </c>
      <c r="BX44" s="72">
        <f t="shared" si="91"/>
        <v>83780.159448268678</v>
      </c>
      <c r="BY44" s="72">
        <f t="shared" si="91"/>
        <v>85606.807903030247</v>
      </c>
      <c r="BZ44" s="72">
        <f t="shared" si="91"/>
        <v>87436.601138832251</v>
      </c>
      <c r="CA44" s="72">
        <f t="shared" si="91"/>
        <v>89303.276428663579</v>
      </c>
      <c r="CB44" s="72">
        <f t="shared" si="91"/>
        <v>91144.401151525497</v>
      </c>
      <c r="CC44" s="72">
        <f t="shared" si="91"/>
        <v>92968.628036158407</v>
      </c>
      <c r="CD44" s="72">
        <f t="shared" si="91"/>
        <v>94821.975966103826</v>
      </c>
      <c r="CE44" s="72">
        <f t="shared" si="91"/>
        <v>96663.92919265489</v>
      </c>
      <c r="CF44" s="72">
        <f t="shared" si="91"/>
        <v>98507.936283420961</v>
      </c>
      <c r="CG44" s="72">
        <f t="shared" si="91"/>
        <v>100354.48574057683</v>
      </c>
      <c r="CH44" s="72">
        <f t="shared" si="91"/>
        <v>102194.76254493723</v>
      </c>
      <c r="CI44" s="72">
        <f t="shared" si="91"/>
        <v>104040.14688622851</v>
      </c>
      <c r="CJ44" s="72">
        <f t="shared" si="91"/>
        <v>105883.21212438359</v>
      </c>
      <c r="CK44" s="72">
        <f t="shared" si="91"/>
        <v>107725.25504955088</v>
      </c>
      <c r="CL44" s="72">
        <f t="shared" ref="CL44:DA46" si="92">_xlfn.FORECAST.ETS(CL$19,CB44:CK44,CB$19:CK$19)</f>
        <v>109572.88776899825</v>
      </c>
      <c r="CM44" s="72">
        <f t="shared" si="92"/>
        <v>111416.40307903169</v>
      </c>
      <c r="CN44" s="72">
        <f t="shared" si="92"/>
        <v>113258.79503869687</v>
      </c>
      <c r="CO44" s="72">
        <f t="shared" si="92"/>
        <v>115103.68279888855</v>
      </c>
      <c r="CP44" s="72">
        <f t="shared" si="92"/>
        <v>116946.69681034809</v>
      </c>
      <c r="CQ44" s="72">
        <f t="shared" si="92"/>
        <v>118790.7880777278</v>
      </c>
      <c r="CR44" s="72">
        <f t="shared" si="92"/>
        <v>120634.95349953428</v>
      </c>
      <c r="CS44" s="72">
        <f t="shared" si="92"/>
        <v>122479.06256734917</v>
      </c>
      <c r="CT44" s="72">
        <f t="shared" si="92"/>
        <v>124322.96407513473</v>
      </c>
      <c r="CU44" s="72">
        <f t="shared" si="92"/>
        <v>126166.93766447116</v>
      </c>
      <c r="CV44" s="72">
        <f t="shared" si="92"/>
        <v>128010.7179720258</v>
      </c>
      <c r="CW44" s="72">
        <f t="shared" si="92"/>
        <v>129854.75293549066</v>
      </c>
      <c r="CX44" s="72">
        <f t="shared" si="92"/>
        <v>131698.73978184874</v>
      </c>
      <c r="CY44" s="72">
        <f t="shared" si="92"/>
        <v>133542.6825293492</v>
      </c>
      <c r="CZ44" s="72">
        <f t="shared" si="92"/>
        <v>135386.67149887991</v>
      </c>
      <c r="DA44" s="72">
        <f t="shared" si="92"/>
        <v>137230.63694887402</v>
      </c>
      <c r="DB44" s="72">
        <f t="shared" ref="DB44:DQ46" si="93">_xlfn.FORECAST.ETS(DB$19,CR44:DA44,CR$19:DA$19)</f>
        <v>139074.56136103562</v>
      </c>
      <c r="DC44" s="72">
        <f t="shared" si="93"/>
        <v>140918.51449917571</v>
      </c>
      <c r="DD44" s="72">
        <f t="shared" si="93"/>
        <v>142762.47590055375</v>
      </c>
      <c r="DE44" s="72">
        <f t="shared" si="93"/>
        <v>144606.43679695635</v>
      </c>
      <c r="DF44" s="72">
        <f t="shared" si="93"/>
        <v>146450.40083903505</v>
      </c>
      <c r="DG44" s="72">
        <f t="shared" si="93"/>
        <v>148294.35766625285</v>
      </c>
      <c r="DH44" s="72">
        <f t="shared" si="93"/>
        <v>150138.30875640333</v>
      </c>
      <c r="DI44" s="72">
        <f t="shared" si="93"/>
        <v>151982.26596820087</v>
      </c>
      <c r="DJ44" s="72">
        <f t="shared" si="93"/>
        <v>153826.22122091858</v>
      </c>
      <c r="DK44" s="72">
        <f t="shared" si="93"/>
        <v>155670.17747320657</v>
      </c>
      <c r="DL44" s="72">
        <f t="shared" si="93"/>
        <v>157514.13530410372</v>
      </c>
      <c r="DM44" s="72">
        <f t="shared" si="93"/>
        <v>159358.09269205286</v>
      </c>
      <c r="DN44" s="72">
        <f t="shared" si="93"/>
        <v>161202.04942845096</v>
      </c>
      <c r="DO44" s="72">
        <f t="shared" si="93"/>
        <v>163046.00579121991</v>
      </c>
      <c r="DP44" s="72">
        <f t="shared" si="93"/>
        <v>164889.96195276512</v>
      </c>
      <c r="DQ44" s="72">
        <f t="shared" si="93"/>
        <v>166733.91838166636</v>
      </c>
      <c r="DR44" s="72">
        <f t="shared" ref="DR44:DZ46" si="94">_xlfn.FORECAST.ETS(DR$19,DH44:DQ44,DH$19:DQ$19)</f>
        <v>168577.87568966538</v>
      </c>
      <c r="DS44" s="72">
        <f t="shared" si="94"/>
        <v>170421.83234940955</v>
      </c>
      <c r="DT44" s="72">
        <f t="shared" si="94"/>
        <v>172265.78912674036</v>
      </c>
      <c r="DU44" s="72">
        <f t="shared" si="94"/>
        <v>174109.74590437478</v>
      </c>
      <c r="DV44" s="72">
        <f t="shared" si="94"/>
        <v>175953.70256732166</v>
      </c>
      <c r="DW44" s="72">
        <f t="shared" si="94"/>
        <v>177797.65922887588</v>
      </c>
      <c r="DX44" s="72">
        <f t="shared" si="94"/>
        <v>179641.61592433302</v>
      </c>
      <c r="DY44" s="72">
        <f t="shared" si="94"/>
        <v>181485.57266757521</v>
      </c>
      <c r="DZ44" s="72">
        <f t="shared" si="94"/>
        <v>183329.52949230024</v>
      </c>
    </row>
    <row r="45" spans="1:130" x14ac:dyDescent="0.2">
      <c r="A45" s="39" t="s">
        <v>207</v>
      </c>
      <c r="B45" s="39" t="s">
        <v>170</v>
      </c>
      <c r="C45" s="70">
        <v>0</v>
      </c>
      <c r="D45" s="70">
        <v>0</v>
      </c>
      <c r="E45" s="70">
        <v>0</v>
      </c>
      <c r="F45" s="70">
        <v>0</v>
      </c>
      <c r="G45" s="70">
        <v>0</v>
      </c>
      <c r="H45" s="70">
        <v>0</v>
      </c>
      <c r="I45" s="70">
        <v>0</v>
      </c>
      <c r="J45" s="70">
        <v>0</v>
      </c>
      <c r="K45" s="70">
        <v>0</v>
      </c>
      <c r="L45" s="70">
        <v>0</v>
      </c>
      <c r="M45" s="70">
        <v>0</v>
      </c>
      <c r="N45" s="70">
        <v>0</v>
      </c>
      <c r="O45" s="70">
        <v>0</v>
      </c>
      <c r="P45" s="70">
        <v>0</v>
      </c>
      <c r="Q45" s="70">
        <v>0</v>
      </c>
      <c r="R45" s="70">
        <v>0</v>
      </c>
      <c r="S45" s="70">
        <v>0</v>
      </c>
      <c r="T45" s="70">
        <v>0</v>
      </c>
      <c r="U45" s="70">
        <v>0</v>
      </c>
      <c r="V45" s="70">
        <v>0</v>
      </c>
      <c r="W45" s="70">
        <v>0</v>
      </c>
      <c r="X45" s="70">
        <v>0</v>
      </c>
      <c r="Y45" s="70">
        <v>0</v>
      </c>
      <c r="Z45" s="70">
        <v>0</v>
      </c>
      <c r="AA45" s="70">
        <v>0</v>
      </c>
      <c r="AB45" s="70">
        <v>0</v>
      </c>
      <c r="AC45" s="70">
        <v>0</v>
      </c>
      <c r="AD45" s="70">
        <v>0</v>
      </c>
      <c r="AE45" s="70">
        <v>0</v>
      </c>
      <c r="AF45" s="70">
        <v>0</v>
      </c>
      <c r="AG45" s="70">
        <v>0</v>
      </c>
      <c r="AH45" s="70">
        <v>0</v>
      </c>
      <c r="AI45" s="70">
        <v>0</v>
      </c>
      <c r="AJ45" s="70">
        <v>710</v>
      </c>
      <c r="AK45" s="70">
        <v>1938</v>
      </c>
      <c r="AL45" s="70">
        <v>2639</v>
      </c>
      <c r="AM45" s="70">
        <v>3562</v>
      </c>
      <c r="AN45" s="70">
        <v>3687</v>
      </c>
      <c r="AO45" s="70">
        <v>4030</v>
      </c>
      <c r="AP45" s="70">
        <v>5789</v>
      </c>
      <c r="AQ45" s="70">
        <v>11128</v>
      </c>
      <c r="AR45" s="70">
        <v>8726</v>
      </c>
      <c r="AS45" s="70">
        <v>11430</v>
      </c>
      <c r="AT45" s="70">
        <v>12555</v>
      </c>
      <c r="AU45" s="70">
        <v>17092</v>
      </c>
      <c r="AV45" s="70">
        <v>21204</v>
      </c>
      <c r="AW45" s="70">
        <v>24495</v>
      </c>
      <c r="AX45" s="70">
        <v>26576</v>
      </c>
      <c r="AY45" s="70">
        <v>24741</v>
      </c>
      <c r="AZ45" s="71">
        <v>27675</v>
      </c>
      <c r="BA45" s="71">
        <v>26464</v>
      </c>
      <c r="BB45" s="71">
        <v>27558</v>
      </c>
      <c r="BC45" s="71">
        <v>27762</v>
      </c>
      <c r="BD45" s="71">
        <v>22024</v>
      </c>
      <c r="BE45" s="71">
        <v>21721</v>
      </c>
      <c r="BF45" s="72">
        <f t="shared" si="90"/>
        <v>21812.739202862394</v>
      </c>
      <c r="BG45" s="72">
        <f t="shared" si="90"/>
        <v>21330.154603384002</v>
      </c>
      <c r="BH45" s="72">
        <f t="shared" si="90"/>
        <v>20832.956288428064</v>
      </c>
      <c r="BI45" s="72">
        <f t="shared" si="90"/>
        <v>19978.626141190598</v>
      </c>
      <c r="BJ45" s="72">
        <f t="shared" si="90"/>
        <v>18126.449582395195</v>
      </c>
      <c r="BK45" s="72">
        <f t="shared" si="90"/>
        <v>17024.344843134979</v>
      </c>
      <c r="BL45" s="72">
        <f t="shared" si="90"/>
        <v>16078.137139369823</v>
      </c>
      <c r="BM45" s="72">
        <f t="shared" si="90"/>
        <v>15077.160129032765</v>
      </c>
      <c r="BN45" s="72">
        <f t="shared" si="90"/>
        <v>14073.046641808365</v>
      </c>
      <c r="BO45" s="72">
        <f t="shared" si="90"/>
        <v>13143.30895915339</v>
      </c>
      <c r="BP45" s="72">
        <f t="shared" si="90"/>
        <v>12100.649345391865</v>
      </c>
      <c r="BQ45" s="72">
        <f t="shared" si="90"/>
        <v>10901.621805953588</v>
      </c>
      <c r="BR45" s="72">
        <f t="shared" si="90"/>
        <v>9837.2199418028031</v>
      </c>
      <c r="BS45" s="72">
        <f t="shared" si="90"/>
        <v>8769.1298779490007</v>
      </c>
      <c r="BT45" s="72">
        <f t="shared" si="90"/>
        <v>7741.2368868605499</v>
      </c>
      <c r="BU45" s="72">
        <f t="shared" si="90"/>
        <v>6701.3214619480659</v>
      </c>
      <c r="BV45" s="72">
        <f t="shared" si="91"/>
        <v>5649.3343667632016</v>
      </c>
      <c r="BW45" s="72">
        <f t="shared" si="91"/>
        <v>4590.9576982611361</v>
      </c>
      <c r="BX45" s="72">
        <f t="shared" si="91"/>
        <v>3527.8113156273066</v>
      </c>
      <c r="BY45" s="72">
        <f t="shared" si="91"/>
        <v>2461.9770025299576</v>
      </c>
      <c r="BZ45" s="72">
        <f t="shared" si="91"/>
        <v>1401.8343413344678</v>
      </c>
      <c r="CA45" s="72">
        <f t="shared" si="91"/>
        <v>349.06679965639864</v>
      </c>
      <c r="CB45" s="72">
        <f t="shared" si="91"/>
        <v>-705.18277756331759</v>
      </c>
      <c r="CC45" s="72">
        <f t="shared" si="91"/>
        <v>-1759.3469079852314</v>
      </c>
      <c r="CD45" s="72">
        <f t="shared" si="91"/>
        <v>-2815.9405595448807</v>
      </c>
      <c r="CE45" s="72">
        <f t="shared" si="91"/>
        <v>-3873.4671426214895</v>
      </c>
      <c r="CF45" s="72">
        <f t="shared" si="91"/>
        <v>-4930.8767296363112</v>
      </c>
      <c r="CG45" s="72">
        <f t="shared" si="91"/>
        <v>-5988.2886827170169</v>
      </c>
      <c r="CH45" s="72">
        <f t="shared" si="91"/>
        <v>-7044.6835625803524</v>
      </c>
      <c r="CI45" s="72">
        <f t="shared" si="91"/>
        <v>-8100.7113504870886</v>
      </c>
      <c r="CJ45" s="72">
        <f t="shared" si="91"/>
        <v>-9156.7857048480473</v>
      </c>
      <c r="CK45" s="72">
        <f t="shared" si="91"/>
        <v>-10212.859115508527</v>
      </c>
      <c r="CL45" s="72">
        <f t="shared" si="92"/>
        <v>-11269.56281502717</v>
      </c>
      <c r="CM45" s="72">
        <f t="shared" si="92"/>
        <v>-12326.201594793783</v>
      </c>
      <c r="CN45" s="72">
        <f t="shared" si="92"/>
        <v>-13382.8416351381</v>
      </c>
      <c r="CO45" s="72">
        <f t="shared" si="92"/>
        <v>-14439.481675482277</v>
      </c>
      <c r="CP45" s="72">
        <f t="shared" si="92"/>
        <v>-15495.879735657842</v>
      </c>
      <c r="CQ45" s="72">
        <f t="shared" si="92"/>
        <v>-16552.302719790627</v>
      </c>
      <c r="CR45" s="72">
        <f t="shared" si="92"/>
        <v>-17608.725219963086</v>
      </c>
      <c r="CS45" s="72">
        <f t="shared" si="92"/>
        <v>-18665.201559300982</v>
      </c>
      <c r="CT45" s="72">
        <f t="shared" si="92"/>
        <v>-19721.729227854157</v>
      </c>
      <c r="CU45" s="72">
        <f t="shared" si="92"/>
        <v>-20778.251145996848</v>
      </c>
      <c r="CV45" s="72">
        <f t="shared" si="92"/>
        <v>-21834.773177888805</v>
      </c>
      <c r="CW45" s="72">
        <f t="shared" si="92"/>
        <v>-22891.258385777273</v>
      </c>
      <c r="CX45" s="72">
        <f t="shared" si="92"/>
        <v>-23947.738875871226</v>
      </c>
      <c r="CY45" s="72">
        <f t="shared" si="92"/>
        <v>-25004.220168915836</v>
      </c>
      <c r="CZ45" s="72">
        <f t="shared" si="92"/>
        <v>-26060.701444939124</v>
      </c>
      <c r="DA45" s="72">
        <f t="shared" si="92"/>
        <v>-27117.199066389348</v>
      </c>
      <c r="DB45" s="72">
        <f t="shared" si="93"/>
        <v>-28173.697259993376</v>
      </c>
      <c r="DC45" s="72">
        <f t="shared" si="93"/>
        <v>-29230.195253947786</v>
      </c>
      <c r="DD45" s="72">
        <f t="shared" si="93"/>
        <v>-30286.689233172528</v>
      </c>
      <c r="DE45" s="72">
        <f t="shared" si="93"/>
        <v>-31343.179470141415</v>
      </c>
      <c r="DF45" s="72">
        <f t="shared" si="93"/>
        <v>-32399.670127164296</v>
      </c>
      <c r="DG45" s="72">
        <f t="shared" si="93"/>
        <v>-33456.160775874705</v>
      </c>
      <c r="DH45" s="72">
        <f t="shared" si="93"/>
        <v>-34512.652905282106</v>
      </c>
      <c r="DI45" s="72">
        <f t="shared" si="93"/>
        <v>-35569.146419347548</v>
      </c>
      <c r="DJ45" s="72">
        <f t="shared" si="93"/>
        <v>-36625.639778045894</v>
      </c>
      <c r="DK45" s="72">
        <f t="shared" si="93"/>
        <v>-37682.133139818587</v>
      </c>
      <c r="DL45" s="72">
        <f t="shared" si="93"/>
        <v>-38738.62534108742</v>
      </c>
      <c r="DM45" s="72">
        <f t="shared" si="93"/>
        <v>-39795.117446193814</v>
      </c>
      <c r="DN45" s="72">
        <f t="shared" si="93"/>
        <v>-40851.609571195717</v>
      </c>
      <c r="DO45" s="72">
        <f t="shared" si="93"/>
        <v>-41908.101695766236</v>
      </c>
      <c r="DP45" s="72">
        <f t="shared" si="93"/>
        <v>-42964.594343240729</v>
      </c>
      <c r="DQ45" s="72">
        <f t="shared" si="93"/>
        <v>-44021.086926832286</v>
      </c>
      <c r="DR45" s="72">
        <f t="shared" si="94"/>
        <v>-45077.579512502096</v>
      </c>
      <c r="DS45" s="72">
        <f t="shared" si="94"/>
        <v>-46134.072009867559</v>
      </c>
      <c r="DT45" s="72">
        <f t="shared" si="94"/>
        <v>-47190.564395077505</v>
      </c>
      <c r="DU45" s="72">
        <f t="shared" si="94"/>
        <v>-48247.056792599498</v>
      </c>
      <c r="DV45" s="72">
        <f t="shared" si="94"/>
        <v>-49303.549189878999</v>
      </c>
      <c r="DW45" s="72">
        <f t="shared" si="94"/>
        <v>-50360.041652543405</v>
      </c>
      <c r="DX45" s="72">
        <f t="shared" si="94"/>
        <v>-51416.53412917356</v>
      </c>
      <c r="DY45" s="72">
        <f t="shared" si="94"/>
        <v>-52473.02660380234</v>
      </c>
      <c r="DZ45" s="72">
        <f t="shared" si="94"/>
        <v>-53529.51907847252</v>
      </c>
    </row>
    <row r="46" spans="1:130" s="86" customFormat="1" x14ac:dyDescent="0.2">
      <c r="A46" s="81" t="s">
        <v>208</v>
      </c>
      <c r="B46" s="81" t="s">
        <v>170</v>
      </c>
      <c r="C46" s="82">
        <v>-325</v>
      </c>
      <c r="D46" s="82">
        <v>-348</v>
      </c>
      <c r="E46" s="82">
        <v>-359</v>
      </c>
      <c r="F46" s="82">
        <v>-19696</v>
      </c>
      <c r="G46" s="82">
        <v>12934</v>
      </c>
      <c r="H46" s="82">
        <v>11885</v>
      </c>
      <c r="I46" s="82">
        <v>9905</v>
      </c>
      <c r="J46" s="82">
        <v>-13137</v>
      </c>
      <c r="K46" s="82">
        <v>12049</v>
      </c>
      <c r="L46" s="82">
        <v>4237</v>
      </c>
      <c r="M46" s="82">
        <v>-11</v>
      </c>
      <c r="N46" s="82">
        <v>-25769</v>
      </c>
      <c r="O46" s="82">
        <v>-1842</v>
      </c>
      <c r="P46" s="82">
        <v>-188</v>
      </c>
      <c r="Q46" s="82">
        <v>-395</v>
      </c>
      <c r="R46" s="82">
        <v>-19040</v>
      </c>
      <c r="S46" s="82">
        <v>-4284</v>
      </c>
      <c r="T46" s="82">
        <v>-255</v>
      </c>
      <c r="U46" s="82">
        <v>-1218</v>
      </c>
      <c r="V46" s="82">
        <v>-15449</v>
      </c>
      <c r="W46" s="82">
        <v>-1776</v>
      </c>
      <c r="X46" s="82">
        <v>-9597</v>
      </c>
      <c r="Y46" s="82">
        <v>-18450</v>
      </c>
      <c r="Z46" s="82">
        <v>-34453</v>
      </c>
      <c r="AA46" s="82">
        <v>-1813</v>
      </c>
      <c r="AB46" s="82">
        <v>-351</v>
      </c>
      <c r="AC46" s="82">
        <v>-1019</v>
      </c>
      <c r="AD46" s="82">
        <v>-6538</v>
      </c>
      <c r="AE46" s="82">
        <v>-1516</v>
      </c>
      <c r="AF46" s="82">
        <v>-11402</v>
      </c>
      <c r="AG46" s="82">
        <v>-1561</v>
      </c>
      <c r="AH46" s="82">
        <v>-15</v>
      </c>
      <c r="AI46" s="82">
        <v>-1841</v>
      </c>
      <c r="AJ46" s="83">
        <v>-171</v>
      </c>
      <c r="AK46" s="82">
        <v>-2995</v>
      </c>
      <c r="AL46" s="82">
        <v>-678</v>
      </c>
      <c r="AM46" s="82">
        <v>-29131</v>
      </c>
      <c r="AN46" s="82">
        <v>-38670</v>
      </c>
      <c r="AO46" s="82">
        <v>-28338</v>
      </c>
      <c r="AP46" s="82">
        <v>-24280</v>
      </c>
      <c r="AQ46" s="82">
        <v>-83559</v>
      </c>
      <c r="AR46" s="82">
        <v>-1572</v>
      </c>
      <c r="AS46" s="82">
        <v>-29549</v>
      </c>
      <c r="AT46" s="82">
        <v>-11100</v>
      </c>
      <c r="AU46" s="82">
        <v>-235208</v>
      </c>
      <c r="AV46" s="82">
        <v>-53</v>
      </c>
      <c r="AW46" s="82"/>
      <c r="AX46" s="82">
        <v>-28</v>
      </c>
      <c r="AY46" s="82">
        <v>-6942</v>
      </c>
      <c r="AZ46" s="84"/>
      <c r="BA46" s="84"/>
      <c r="BB46" s="84">
        <v>0</v>
      </c>
      <c r="BC46" s="84">
        <v>0</v>
      </c>
      <c r="BD46" s="84">
        <v>0</v>
      </c>
      <c r="BE46" s="84">
        <v>0</v>
      </c>
      <c r="BF46" s="85">
        <f t="shared" si="90"/>
        <v>160.14291513220059</v>
      </c>
      <c r="BG46" s="85">
        <f t="shared" si="90"/>
        <v>846.92173724945008</v>
      </c>
      <c r="BH46" s="85">
        <f t="shared" si="90"/>
        <v>1366.1231388405672</v>
      </c>
      <c r="BI46" s="85">
        <f t="shared" si="90"/>
        <v>2126.5369266343378</v>
      </c>
      <c r="BJ46" s="85">
        <f t="shared" si="90"/>
        <v>2417.2188588667632</v>
      </c>
      <c r="BK46" s="85">
        <f t="shared" si="90"/>
        <v>2744.3464293717739</v>
      </c>
      <c r="BL46" s="85">
        <f t="shared" si="90"/>
        <v>3090.0281429973738</v>
      </c>
      <c r="BM46" s="85">
        <f t="shared" si="90"/>
        <v>3470.069766770463</v>
      </c>
      <c r="BN46" s="85">
        <f t="shared" si="90"/>
        <v>3907.5687417232757</v>
      </c>
      <c r="BO46" s="85">
        <f t="shared" si="90"/>
        <v>4483.2328309249506</v>
      </c>
      <c r="BP46" s="85">
        <f t="shared" si="90"/>
        <v>4919.9758087733562</v>
      </c>
      <c r="BQ46" s="85">
        <f t="shared" si="90"/>
        <v>5347.6631554768583</v>
      </c>
      <c r="BR46" s="85">
        <f t="shared" si="90"/>
        <v>5764.8884694242061</v>
      </c>
      <c r="BS46" s="85">
        <f t="shared" si="90"/>
        <v>6186.8567414365143</v>
      </c>
      <c r="BT46" s="85">
        <f t="shared" si="90"/>
        <v>6614.8849623081096</v>
      </c>
      <c r="BU46" s="85">
        <f t="shared" si="90"/>
        <v>7057.1389998011755</v>
      </c>
      <c r="BV46" s="85">
        <f t="shared" si="91"/>
        <v>7537.186125034631</v>
      </c>
      <c r="BW46" s="85">
        <f t="shared" si="91"/>
        <v>7979.4777394670764</v>
      </c>
      <c r="BX46" s="85">
        <f t="shared" si="91"/>
        <v>8421.2117673418452</v>
      </c>
      <c r="BY46" s="85">
        <f t="shared" si="91"/>
        <v>8860.032998586039</v>
      </c>
      <c r="BZ46" s="85">
        <f t="shared" si="91"/>
        <v>9299.8940401044438</v>
      </c>
      <c r="CA46" s="85">
        <f t="shared" si="91"/>
        <v>9742.4534402306563</v>
      </c>
      <c r="CB46" s="85">
        <f t="shared" si="91"/>
        <v>10187.219695636864</v>
      </c>
      <c r="CC46" s="85">
        <f t="shared" si="91"/>
        <v>10642.389372494103</v>
      </c>
      <c r="CD46" s="85">
        <f t="shared" si="91"/>
        <v>11087.466706745268</v>
      </c>
      <c r="CE46" s="85">
        <f t="shared" si="91"/>
        <v>11532.566299502269</v>
      </c>
      <c r="CF46" s="85">
        <f t="shared" si="91"/>
        <v>11976.893754930308</v>
      </c>
      <c r="CG46" s="85">
        <f t="shared" si="91"/>
        <v>12421.573327329468</v>
      </c>
      <c r="CH46" s="85">
        <f t="shared" si="91"/>
        <v>12866.93876964855</v>
      </c>
      <c r="CI46" s="85">
        <f t="shared" si="91"/>
        <v>13312.856823548991</v>
      </c>
      <c r="CJ46" s="85">
        <f t="shared" si="91"/>
        <v>13760.984888834875</v>
      </c>
      <c r="CK46" s="85">
        <f t="shared" si="91"/>
        <v>14206.686181730936</v>
      </c>
      <c r="CL46" s="85">
        <f t="shared" si="92"/>
        <v>14652.635693118917</v>
      </c>
      <c r="CM46" s="85">
        <f t="shared" si="92"/>
        <v>15098.317562062346</v>
      </c>
      <c r="CN46" s="85">
        <f t="shared" si="92"/>
        <v>15544.087835624849</v>
      </c>
      <c r="CO46" s="85">
        <f t="shared" si="92"/>
        <v>15990.020004183447</v>
      </c>
      <c r="CP46" s="85">
        <f t="shared" si="92"/>
        <v>16436.079510564599</v>
      </c>
      <c r="CQ46" s="85">
        <f t="shared" si="92"/>
        <v>16882.55704870135</v>
      </c>
      <c r="CR46" s="85">
        <f t="shared" si="92"/>
        <v>17328.568041102248</v>
      </c>
      <c r="CS46" s="85">
        <f t="shared" si="92"/>
        <v>17774.612846999869</v>
      </c>
      <c r="CT46" s="85">
        <f t="shared" si="92"/>
        <v>18220.598159571924</v>
      </c>
      <c r="CU46" s="85">
        <f t="shared" si="92"/>
        <v>18666.610803658408</v>
      </c>
      <c r="CV46" s="85">
        <f t="shared" si="92"/>
        <v>19112.652863481551</v>
      </c>
      <c r="CW46" s="85">
        <f t="shared" si="92"/>
        <v>19558.723500479646</v>
      </c>
      <c r="CX46" s="85">
        <f t="shared" si="92"/>
        <v>20004.874948967616</v>
      </c>
      <c r="CY46" s="85">
        <f t="shared" si="92"/>
        <v>20450.945391884648</v>
      </c>
      <c r="CZ46" s="85">
        <f t="shared" si="92"/>
        <v>20897.010675168574</v>
      </c>
      <c r="DA46" s="85">
        <f t="shared" si="92"/>
        <v>21343.086045098989</v>
      </c>
      <c r="DB46" s="85">
        <f t="shared" si="93"/>
        <v>21789.148739012839</v>
      </c>
      <c r="DC46" s="85">
        <f t="shared" si="93"/>
        <v>22235.214980902532</v>
      </c>
      <c r="DD46" s="85">
        <f t="shared" si="93"/>
        <v>22681.291177080333</v>
      </c>
      <c r="DE46" s="85">
        <f t="shared" si="93"/>
        <v>23127.391132167879</v>
      </c>
      <c r="DF46" s="85">
        <f t="shared" si="93"/>
        <v>23573.465122193116</v>
      </c>
      <c r="DG46" s="85">
        <f t="shared" si="93"/>
        <v>24019.54217116136</v>
      </c>
      <c r="DH46" s="85">
        <f t="shared" si="93"/>
        <v>24465.615954700821</v>
      </c>
      <c r="DI46" s="85">
        <f t="shared" si="93"/>
        <v>24911.691578059352</v>
      </c>
      <c r="DJ46" s="85">
        <f t="shared" si="93"/>
        <v>25357.768400336103</v>
      </c>
      <c r="DK46" s="85">
        <f t="shared" si="93"/>
        <v>25803.845875063842</v>
      </c>
      <c r="DL46" s="85">
        <f t="shared" si="93"/>
        <v>26249.9284925391</v>
      </c>
      <c r="DM46" s="85">
        <f t="shared" si="93"/>
        <v>26696.006011226345</v>
      </c>
      <c r="DN46" s="85">
        <f t="shared" si="93"/>
        <v>27142.083916843712</v>
      </c>
      <c r="DO46" s="85">
        <f t="shared" si="93"/>
        <v>27588.160911493967</v>
      </c>
      <c r="DP46" s="85">
        <f t="shared" si="93"/>
        <v>28034.23849097703</v>
      </c>
      <c r="DQ46" s="85">
        <f t="shared" si="93"/>
        <v>28480.316327764307</v>
      </c>
      <c r="DR46" s="85">
        <f t="shared" si="94"/>
        <v>28926.39445372008</v>
      </c>
      <c r="DS46" s="85">
        <f t="shared" si="94"/>
        <v>29372.473377577942</v>
      </c>
      <c r="DT46" s="85">
        <f t="shared" si="94"/>
        <v>29818.551375835286</v>
      </c>
      <c r="DU46" s="85">
        <f t="shared" si="94"/>
        <v>30264.62944245484</v>
      </c>
      <c r="DV46" s="85">
        <f t="shared" si="94"/>
        <v>30710.70737528535</v>
      </c>
      <c r="DW46" s="85">
        <f t="shared" si="94"/>
        <v>31156.785354230149</v>
      </c>
      <c r="DX46" s="85">
        <f t="shared" si="94"/>
        <v>31602.86340299077</v>
      </c>
      <c r="DY46" s="85">
        <f t="shared" si="94"/>
        <v>32048.941523471753</v>
      </c>
      <c r="DZ46" s="85">
        <f t="shared" si="94"/>
        <v>32495.019789692582</v>
      </c>
    </row>
    <row r="47" spans="1:130" x14ac:dyDescent="0.2">
      <c r="A47" s="39"/>
      <c r="B47" s="39"/>
      <c r="C47" s="70"/>
      <c r="D47" s="70"/>
      <c r="E47" s="70"/>
      <c r="F47" s="70"/>
      <c r="G47" s="70"/>
      <c r="H47" s="70"/>
      <c r="I47" s="70"/>
      <c r="J47" s="70"/>
      <c r="K47" s="70"/>
      <c r="L47" s="70"/>
      <c r="M47" s="70"/>
      <c r="N47" s="70"/>
      <c r="O47" s="70"/>
      <c r="P47" s="70"/>
      <c r="Q47" s="70"/>
      <c r="R47" s="70"/>
      <c r="S47" s="70"/>
      <c r="T47" s="70"/>
      <c r="U47" s="70"/>
      <c r="V47" s="70"/>
      <c r="W47" s="70"/>
      <c r="X47" s="70"/>
      <c r="Y47" s="70"/>
      <c r="Z47" s="70"/>
      <c r="AA47" s="70"/>
      <c r="AB47" s="70"/>
      <c r="AC47" s="70"/>
      <c r="AD47" s="70"/>
      <c r="AE47" s="70"/>
      <c r="AF47" s="70"/>
      <c r="AG47" s="70"/>
      <c r="AH47" s="70"/>
      <c r="AI47" s="70"/>
      <c r="AJ47" s="87"/>
      <c r="AK47" s="70"/>
      <c r="AL47" s="70"/>
      <c r="AM47" s="70"/>
      <c r="AN47" s="70"/>
      <c r="AO47" s="70"/>
      <c r="AP47" s="70"/>
      <c r="AQ47" s="70"/>
      <c r="AR47" s="70"/>
      <c r="AS47" s="88"/>
      <c r="AT47" s="88"/>
      <c r="AU47" s="88"/>
      <c r="AV47" s="88"/>
      <c r="AW47" s="88"/>
      <c r="AX47" s="88"/>
      <c r="AY47" s="88"/>
      <c r="AZ47" s="89"/>
      <c r="BA47" s="89"/>
      <c r="BB47" s="89"/>
      <c r="BC47" s="89"/>
      <c r="BD47" s="89"/>
      <c r="BE47" s="89"/>
      <c r="BF47" s="89"/>
      <c r="BG47" s="89"/>
      <c r="BH47" s="89"/>
      <c r="BI47" s="89"/>
      <c r="BJ47" s="89"/>
      <c r="BK47" s="89"/>
      <c r="BL47" s="89"/>
      <c r="BM47" s="89"/>
      <c r="BN47" s="89"/>
      <c r="BO47" s="89"/>
      <c r="BP47" s="89"/>
      <c r="BQ47" s="89"/>
      <c r="BR47" s="89"/>
      <c r="BS47" s="89"/>
      <c r="BT47" s="89"/>
      <c r="BU47" s="89"/>
      <c r="BV47" s="89"/>
      <c r="BW47" s="89"/>
      <c r="BX47" s="89"/>
      <c r="BY47" s="89"/>
      <c r="BZ47" s="89"/>
      <c r="CA47" s="89"/>
      <c r="CB47" s="89"/>
      <c r="CC47" s="89"/>
      <c r="CD47" s="89"/>
      <c r="CE47" s="89"/>
      <c r="CF47" s="89"/>
      <c r="CG47" s="89"/>
      <c r="CH47" s="89"/>
      <c r="CI47" s="89"/>
      <c r="CJ47" s="89"/>
      <c r="CK47" s="89"/>
      <c r="CL47" s="89"/>
      <c r="CM47" s="89"/>
      <c r="CN47" s="89"/>
      <c r="CO47" s="89"/>
      <c r="CP47" s="89"/>
      <c r="CQ47" s="89"/>
      <c r="CR47" s="89"/>
      <c r="CS47" s="89"/>
      <c r="CT47" s="89"/>
      <c r="CU47" s="89"/>
      <c r="CV47" s="89"/>
      <c r="CW47" s="89"/>
      <c r="CX47" s="89"/>
      <c r="CY47" s="89"/>
      <c r="CZ47" s="89"/>
      <c r="DA47" s="89"/>
      <c r="DB47" s="89"/>
      <c r="DC47" s="89"/>
      <c r="DD47" s="89"/>
      <c r="DE47" s="89"/>
      <c r="DF47" s="89"/>
      <c r="DG47" s="89"/>
      <c r="DH47" s="89"/>
      <c r="DI47" s="89"/>
      <c r="DJ47" s="89"/>
      <c r="DK47" s="89"/>
      <c r="DL47" s="89"/>
      <c r="DM47" s="89"/>
      <c r="DN47" s="89"/>
      <c r="DO47" s="89"/>
      <c r="DP47" s="89"/>
      <c r="DQ47" s="89"/>
      <c r="DR47" s="89"/>
      <c r="DS47" s="89"/>
      <c r="DT47" s="89"/>
      <c r="DU47" s="89"/>
      <c r="DV47" s="89"/>
      <c r="DW47" s="89"/>
      <c r="DX47" s="89"/>
      <c r="DY47" s="89"/>
      <c r="DZ47" s="89"/>
    </row>
    <row r="48" spans="1:130" x14ac:dyDescent="0.2">
      <c r="A48" s="79" t="s">
        <v>151</v>
      </c>
      <c r="B48" s="39" t="s">
        <v>170</v>
      </c>
      <c r="C48" s="90">
        <v>275639</v>
      </c>
      <c r="D48" s="90">
        <v>325071</v>
      </c>
      <c r="E48" s="90">
        <v>358817</v>
      </c>
      <c r="F48" s="90">
        <v>334451</v>
      </c>
      <c r="G48" s="90">
        <v>366391</v>
      </c>
      <c r="H48" s="90">
        <v>380783</v>
      </c>
      <c r="I48" s="90">
        <v>471290</v>
      </c>
      <c r="J48" s="90">
        <v>473045</v>
      </c>
      <c r="K48" s="90">
        <v>652535</v>
      </c>
      <c r="L48" s="90">
        <v>832199</v>
      </c>
      <c r="M48" s="90">
        <v>1132141</v>
      </c>
      <c r="N48" s="90">
        <v>1137322</v>
      </c>
      <c r="O48" s="90">
        <v>961263</v>
      </c>
      <c r="P48" s="90">
        <v>1111616</v>
      </c>
      <c r="Q48" s="90">
        <v>1148264</v>
      </c>
      <c r="R48" s="90">
        <v>1079148</v>
      </c>
      <c r="S48" s="90">
        <v>1102924</v>
      </c>
      <c r="T48" s="90">
        <v>1307672</v>
      </c>
      <c r="U48" s="90">
        <v>1510754</v>
      </c>
      <c r="V48" s="90">
        <v>1566898</v>
      </c>
      <c r="W48" s="90">
        <v>1907907</v>
      </c>
      <c r="X48" s="90">
        <v>2416121</v>
      </c>
      <c r="Y48" s="90">
        <v>2428897</v>
      </c>
      <c r="Z48" s="90">
        <v>2631117</v>
      </c>
      <c r="AA48" s="90">
        <v>2195244</v>
      </c>
      <c r="AB48" s="90">
        <v>2582576</v>
      </c>
      <c r="AC48" s="90">
        <v>2727781</v>
      </c>
      <c r="AD48" s="90">
        <v>2515832</v>
      </c>
      <c r="AE48" s="90">
        <v>2510702</v>
      </c>
      <c r="AF48" s="90">
        <v>2698411</v>
      </c>
      <c r="AG48" s="90">
        <v>2801496</v>
      </c>
      <c r="AH48" s="90">
        <v>3299857</v>
      </c>
      <c r="AI48" s="90">
        <v>3327537</v>
      </c>
      <c r="AJ48" s="90">
        <v>3707200</v>
      </c>
      <c r="AK48" s="90">
        <v>3812949</v>
      </c>
      <c r="AL48" s="90">
        <v>4087212</v>
      </c>
      <c r="AM48" s="90">
        <v>3701393</v>
      </c>
      <c r="AN48" s="90">
        <v>3252944</v>
      </c>
      <c r="AO48" s="90">
        <v>4068893</v>
      </c>
      <c r="AP48" s="90">
        <v>4355579</v>
      </c>
      <c r="AQ48" s="90">
        <v>4006166</v>
      </c>
      <c r="AR48" s="90">
        <v>4972250</v>
      </c>
      <c r="AS48" s="90">
        <v>5532734</v>
      </c>
      <c r="AT48" s="90">
        <v>5606738</v>
      </c>
      <c r="AU48" s="90">
        <v>5841761</v>
      </c>
      <c r="AV48" s="90">
        <v>6741371</v>
      </c>
      <c r="AW48" s="90">
        <f>SUM(AW4:AW18, AW22:AW36,AW40:AW46)</f>
        <v>6949382</v>
      </c>
      <c r="AX48" s="90">
        <f>SUM(AX4:AX18, AX23:AX36,AX40:AX46)</f>
        <v>7130158</v>
      </c>
      <c r="AY48" s="90">
        <f t="shared" ref="AY48:DJ48" si="95">SUM(AY4:AY18, AY22:AY36,AY40:AY46)</f>
        <v>6667060</v>
      </c>
      <c r="AZ48" s="91">
        <v>7351709</v>
      </c>
      <c r="BA48" s="91">
        <v>8046345</v>
      </c>
      <c r="BB48" s="91">
        <f>SUM(BB4:BB18, BB22:BB37,BB40:BB46)</f>
        <v>10536179.190635171</v>
      </c>
      <c r="BC48" s="91">
        <f t="shared" si="95"/>
        <v>8152862</v>
      </c>
      <c r="BD48" s="91">
        <f t="shared" si="95"/>
        <v>9164835</v>
      </c>
      <c r="BE48" s="91">
        <f t="shared" si="95"/>
        <v>17458244.129310068</v>
      </c>
      <c r="BF48" s="92">
        <f t="shared" si="95"/>
        <v>14482446.806050129</v>
      </c>
      <c r="BG48" s="92">
        <f t="shared" si="95"/>
        <v>13492877.589134432</v>
      </c>
      <c r="BH48" s="92">
        <f t="shared" si="95"/>
        <v>13614904.47195364</v>
      </c>
      <c r="BI48" s="92">
        <f t="shared" si="95"/>
        <v>15738791.303887829</v>
      </c>
      <c r="BJ48" s="92">
        <f t="shared" si="95"/>
        <v>14664572.783354038</v>
      </c>
      <c r="BK48" s="92">
        <f t="shared" si="95"/>
        <v>15420592.42325509</v>
      </c>
      <c r="BL48" s="92">
        <f t="shared" si="95"/>
        <v>14911935.293680625</v>
      </c>
      <c r="BM48" s="92">
        <f t="shared" si="95"/>
        <v>16790237.976702042</v>
      </c>
      <c r="BN48" s="92">
        <f t="shared" si="95"/>
        <v>15932395.392820017</v>
      </c>
      <c r="BO48" s="92">
        <f t="shared" si="95"/>
        <v>17715969.233963463</v>
      </c>
      <c r="BP48" s="92">
        <f t="shared" si="95"/>
        <v>18980008.394770842</v>
      </c>
      <c r="BQ48" s="92">
        <f t="shared" si="95"/>
        <v>21339705.584943186</v>
      </c>
      <c r="BR48" s="92">
        <f t="shared" si="95"/>
        <v>17384454.257026643</v>
      </c>
      <c r="BS48" s="92">
        <f t="shared" si="95"/>
        <v>18410446.540559914</v>
      </c>
      <c r="BT48" s="92">
        <f t="shared" si="95"/>
        <v>19417776.273360573</v>
      </c>
      <c r="BU48" s="92">
        <f t="shared" si="95"/>
        <v>22684278.053298995</v>
      </c>
      <c r="BV48" s="92">
        <f t="shared" si="95"/>
        <v>17460781.604285676</v>
      </c>
      <c r="BW48" s="92">
        <f t="shared" si="95"/>
        <v>19397939.41234206</v>
      </c>
      <c r="BX48" s="92">
        <f t="shared" si="95"/>
        <v>20909435.80829769</v>
      </c>
      <c r="BY48" s="92">
        <f t="shared" si="95"/>
        <v>24616113.373526674</v>
      </c>
      <c r="BZ48" s="92">
        <f t="shared" si="95"/>
        <v>17648684.579399936</v>
      </c>
      <c r="CA48" s="92">
        <f>SUM(CA4:CA18, CA22:CA36,CA40:CA46)</f>
        <v>21293996.323422506</v>
      </c>
      <c r="CB48" s="92">
        <f t="shared" si="95"/>
        <v>23111325.093937702</v>
      </c>
      <c r="CC48" s="92">
        <f t="shared" si="95"/>
        <v>27420315.436209444</v>
      </c>
      <c r="CD48" s="92">
        <f t="shared" si="95"/>
        <v>18831399.467082608</v>
      </c>
      <c r="CE48" s="92">
        <f t="shared" si="95"/>
        <v>22416641.254227247</v>
      </c>
      <c r="CF48" s="92">
        <f t="shared" si="95"/>
        <v>24560690.788166147</v>
      </c>
      <c r="CG48" s="92">
        <f>SUM(CG4:CG18, CG22:CG36,CG40:CG46)</f>
        <v>28675315.471130602</v>
      </c>
      <c r="CH48" s="92">
        <f t="shared" si="95"/>
        <v>19653255.143367</v>
      </c>
      <c r="CI48" s="92">
        <f t="shared" si="95"/>
        <v>25536673.704423055</v>
      </c>
      <c r="CJ48" s="92">
        <f t="shared" si="95"/>
        <v>28192860.060890585</v>
      </c>
      <c r="CK48" s="92">
        <f t="shared" si="95"/>
        <v>31836480.570331339</v>
      </c>
      <c r="CL48" s="92">
        <f t="shared" si="95"/>
        <v>21727152.756960064</v>
      </c>
      <c r="CM48" s="92">
        <f t="shared" si="95"/>
        <v>26362058.167324878</v>
      </c>
      <c r="CN48" s="92">
        <f t="shared" si="95"/>
        <v>31544520.129888501</v>
      </c>
      <c r="CO48" s="92">
        <f t="shared" si="95"/>
        <v>35873660.292519115</v>
      </c>
      <c r="CP48" s="92">
        <f t="shared" si="95"/>
        <v>24784751.351497281</v>
      </c>
      <c r="CQ48" s="92">
        <f t="shared" si="95"/>
        <v>30272370.836282246</v>
      </c>
      <c r="CR48" s="92">
        <f t="shared" si="95"/>
        <v>33077343.515041579</v>
      </c>
      <c r="CS48" s="92">
        <f t="shared" si="95"/>
        <v>38094742.315140106</v>
      </c>
      <c r="CT48" s="92">
        <f t="shared" si="95"/>
        <v>25364800.225171182</v>
      </c>
      <c r="CU48" s="92">
        <f t="shared" si="95"/>
        <v>31789551.660101466</v>
      </c>
      <c r="CV48" s="92">
        <f t="shared" si="95"/>
        <v>34806829.846423365</v>
      </c>
      <c r="CW48" s="92">
        <f t="shared" si="95"/>
        <v>39293431.088696949</v>
      </c>
      <c r="CX48" s="92">
        <f t="shared" si="95"/>
        <v>26776139.42331342</v>
      </c>
      <c r="CY48" s="92">
        <f t="shared" si="95"/>
        <v>28825287.562387966</v>
      </c>
      <c r="CZ48" s="92">
        <f t="shared" si="95"/>
        <v>31079661.664691951</v>
      </c>
      <c r="DA48" s="92">
        <f t="shared" si="95"/>
        <v>33691414.165637039</v>
      </c>
      <c r="DB48" s="92">
        <f t="shared" si="95"/>
        <v>26413013.669001557</v>
      </c>
      <c r="DC48" s="92">
        <f t="shared" si="95"/>
        <v>30481535.882299516</v>
      </c>
      <c r="DD48" s="92">
        <f t="shared" si="95"/>
        <v>32639021.35955669</v>
      </c>
      <c r="DE48" s="92">
        <f t="shared" si="95"/>
        <v>34320142.902887389</v>
      </c>
      <c r="DF48" s="92">
        <f t="shared" si="95"/>
        <v>28253116.910140358</v>
      </c>
      <c r="DG48" s="92">
        <f t="shared" si="95"/>
        <v>32092289.666414056</v>
      </c>
      <c r="DH48" s="92">
        <f t="shared" si="95"/>
        <v>34414536.723286778</v>
      </c>
      <c r="DI48" s="92">
        <f t="shared" si="95"/>
        <v>35265716.109690167</v>
      </c>
      <c r="DJ48" s="92">
        <f t="shared" si="95"/>
        <v>29974125.909206033</v>
      </c>
      <c r="DK48" s="92">
        <f t="shared" ref="DK48:DZ48" si="96">SUM(DK4:DK18, DK22:DK36,DK40:DK46)</f>
        <v>32498657.68690927</v>
      </c>
      <c r="DL48" s="92">
        <f t="shared" si="96"/>
        <v>34569461.045610443</v>
      </c>
      <c r="DM48" s="92">
        <f t="shared" si="96"/>
        <v>35449460.274902351</v>
      </c>
      <c r="DN48" s="92">
        <f t="shared" si="96"/>
        <v>30405130.610935546</v>
      </c>
      <c r="DO48" s="92">
        <f t="shared" si="96"/>
        <v>33293095.330410223</v>
      </c>
      <c r="DP48" s="92">
        <f t="shared" si="96"/>
        <v>35119365.24656681</v>
      </c>
      <c r="DQ48" s="92">
        <f t="shared" si="96"/>
        <v>37845629.703381963</v>
      </c>
      <c r="DR48" s="92">
        <f t="shared" si="96"/>
        <v>29783064.209786676</v>
      </c>
      <c r="DS48" s="92">
        <f t="shared" si="96"/>
        <v>29330056.156218525</v>
      </c>
      <c r="DT48" s="92">
        <f t="shared" si="96"/>
        <v>29816954.420767486</v>
      </c>
      <c r="DU48" s="92">
        <f t="shared" si="96"/>
        <v>30421304.860488888</v>
      </c>
      <c r="DV48" s="92">
        <f t="shared" si="96"/>
        <v>30198086.164994851</v>
      </c>
      <c r="DW48" s="92">
        <f t="shared" si="96"/>
        <v>29744710.697496183</v>
      </c>
      <c r="DX48" s="92">
        <f t="shared" si="96"/>
        <v>30233577.390379887</v>
      </c>
      <c r="DY48" s="92">
        <f t="shared" si="96"/>
        <v>30840444.494650997</v>
      </c>
      <c r="DZ48" s="92">
        <f t="shared" si="96"/>
        <v>30947292.412681986</v>
      </c>
    </row>
    <row r="49" spans="1:130" ht="15" x14ac:dyDescent="0.2">
      <c r="A49" s="93" t="s">
        <v>209</v>
      </c>
      <c r="B49" s="39" t="s">
        <v>170</v>
      </c>
      <c r="C49" s="90">
        <v>143356</v>
      </c>
      <c r="D49" s="90">
        <v>333667</v>
      </c>
      <c r="E49" s="90">
        <v>551103</v>
      </c>
      <c r="F49" s="90">
        <v>748158</v>
      </c>
      <c r="G49" s="90">
        <v>874289</v>
      </c>
      <c r="H49" s="90">
        <v>1002322</v>
      </c>
      <c r="I49" s="90">
        <v>1214030</v>
      </c>
      <c r="J49" s="90">
        <v>1420409</v>
      </c>
      <c r="K49" s="90">
        <v>1514140</v>
      </c>
      <c r="L49" s="90">
        <v>1710199</v>
      </c>
      <c r="M49" s="90">
        <v>2195727</v>
      </c>
      <c r="N49" s="90">
        <v>2679484</v>
      </c>
      <c r="O49" s="90">
        <v>3044507</v>
      </c>
      <c r="P49" s="90">
        <v>3503001</v>
      </c>
      <c r="Q49" s="90">
        <v>3991011</v>
      </c>
      <c r="R49" s="90">
        <v>4412427</v>
      </c>
      <c r="S49" s="90">
        <v>4915207</v>
      </c>
      <c r="T49" s="90">
        <v>5562237</v>
      </c>
      <c r="U49" s="90">
        <v>6376219</v>
      </c>
      <c r="V49" s="90">
        <v>7256907</v>
      </c>
      <c r="W49" s="90">
        <v>7537619</v>
      </c>
      <c r="X49" s="90">
        <v>8312183</v>
      </c>
      <c r="Y49" s="90">
        <v>9004600</v>
      </c>
      <c r="Z49" s="90">
        <v>9860228</v>
      </c>
      <c r="AA49" s="90">
        <v>9699253</v>
      </c>
      <c r="AB49" s="90">
        <v>9784005</v>
      </c>
      <c r="AC49" s="90">
        <v>9944921</v>
      </c>
      <c r="AD49" s="90">
        <v>9864812</v>
      </c>
      <c r="AE49" s="90">
        <v>9526971</v>
      </c>
      <c r="AF49" s="90">
        <v>9111975</v>
      </c>
      <c r="AG49" s="90">
        <v>8798591</v>
      </c>
      <c r="AH49" s="90">
        <v>8918202</v>
      </c>
      <c r="AI49" s="90">
        <v>8523082</v>
      </c>
      <c r="AJ49" s="90">
        <v>8333578</v>
      </c>
      <c r="AK49" s="90">
        <v>8231775</v>
      </c>
      <c r="AL49" s="90">
        <v>8439052</v>
      </c>
      <c r="AM49" s="90">
        <v>8004136</v>
      </c>
      <c r="AN49" s="90">
        <v>7870851</v>
      </c>
      <c r="AO49" s="90">
        <v>7937912</v>
      </c>
      <c r="AP49" s="90">
        <v>8343187</v>
      </c>
      <c r="AQ49" s="90">
        <v>8083108</v>
      </c>
      <c r="AR49" s="90">
        <v>8268007</v>
      </c>
      <c r="AS49" s="90">
        <v>8650567</v>
      </c>
      <c r="AT49" s="90">
        <v>9568451</v>
      </c>
      <c r="AU49" s="90">
        <v>10259696</v>
      </c>
      <c r="AV49" s="90">
        <v>11622730</v>
      </c>
      <c r="AW49" s="90">
        <v>13355770</v>
      </c>
      <c r="AX49" s="90">
        <f t="shared" ref="AX49" si="97">AW49+AX48-AX70</f>
        <v>15010127</v>
      </c>
      <c r="AY49" s="90">
        <f>AX49+AY48-AY70</f>
        <v>16349719</v>
      </c>
      <c r="AZ49" s="90">
        <f>AY49+AZ48-AZ70</f>
        <v>17946528</v>
      </c>
      <c r="BA49" s="91">
        <v>20582314</v>
      </c>
      <c r="BB49" s="91">
        <f t="shared" ref="BB49:DM49" si="98">BA49+BB48-BB70</f>
        <v>25579184.190635171</v>
      </c>
      <c r="BC49" s="91">
        <f t="shared" si="98"/>
        <v>28036997.190635175</v>
      </c>
      <c r="BD49" s="91">
        <f t="shared" si="98"/>
        <v>31155069.190635175</v>
      </c>
      <c r="BE49" s="91">
        <f t="shared" si="98"/>
        <v>42733957.319945246</v>
      </c>
      <c r="BF49" s="92">
        <f t="shared" si="98"/>
        <v>43388084.319945246</v>
      </c>
      <c r="BG49" s="92">
        <f t="shared" si="98"/>
        <v>44222399.166132271</v>
      </c>
      <c r="BH49" s="92">
        <f t="shared" si="98"/>
        <v>44947341.394801416</v>
      </c>
      <c r="BI49" s="92">
        <f t="shared" si="98"/>
        <v>46126196.181609862</v>
      </c>
      <c r="BJ49" s="92">
        <f t="shared" si="98"/>
        <v>45801879.921487942</v>
      </c>
      <c r="BK49" s="92">
        <f t="shared" si="98"/>
        <v>45983083.272005066</v>
      </c>
      <c r="BL49" s="92">
        <f t="shared" si="98"/>
        <v>47135718.023838848</v>
      </c>
      <c r="BM49" s="92">
        <f t="shared" si="98"/>
        <v>47601261.420115486</v>
      </c>
      <c r="BN49" s="92">
        <f t="shared" si="98"/>
        <v>47550553.173572101</v>
      </c>
      <c r="BO49" s="92">
        <f t="shared" si="98"/>
        <v>47798117.153882518</v>
      </c>
      <c r="BP49" s="92">
        <f t="shared" si="98"/>
        <v>49518469.893502943</v>
      </c>
      <c r="BQ49" s="92">
        <f t="shared" si="98"/>
        <v>50671905.99892427</v>
      </c>
      <c r="BR49" s="92">
        <f t="shared" si="98"/>
        <v>51378308.880506344</v>
      </c>
      <c r="BS49" s="92">
        <f t="shared" si="98"/>
        <v>50178308.880506337</v>
      </c>
      <c r="BT49" s="92">
        <f t="shared" si="98"/>
        <v>52731977.622170918</v>
      </c>
      <c r="BU49" s="92">
        <f t="shared" si="98"/>
        <v>53614446.982493989</v>
      </c>
      <c r="BV49" s="92">
        <f t="shared" si="98"/>
        <v>52859537.027413547</v>
      </c>
      <c r="BW49" s="92">
        <f t="shared" si="98"/>
        <v>51859537.027413547</v>
      </c>
      <c r="BX49" s="92">
        <f t="shared" si="98"/>
        <v>54645236.851648092</v>
      </c>
      <c r="BY49" s="92">
        <f t="shared" si="98"/>
        <v>56256203.163557813</v>
      </c>
      <c r="BZ49" s="92">
        <f t="shared" si="98"/>
        <v>54323157.601979807</v>
      </c>
      <c r="CA49" s="92">
        <f t="shared" si="98"/>
        <v>53323157.601979807</v>
      </c>
      <c r="CB49" s="92">
        <f t="shared" si="98"/>
        <v>62152169.300859071</v>
      </c>
      <c r="CC49" s="92">
        <f t="shared" si="98"/>
        <v>73479750.402238771</v>
      </c>
      <c r="CD49" s="92">
        <f t="shared" si="98"/>
        <v>73509162.33019498</v>
      </c>
      <c r="CE49" s="92">
        <f t="shared" si="98"/>
        <v>72509162.33019498</v>
      </c>
      <c r="CF49" s="92">
        <f t="shared" si="98"/>
        <v>81831225.518208578</v>
      </c>
      <c r="CG49" s="92">
        <f t="shared" si="98"/>
        <v>93529698.651041865</v>
      </c>
      <c r="CH49" s="92">
        <f t="shared" si="98"/>
        <v>90529698.651041865</v>
      </c>
      <c r="CI49" s="92">
        <f t="shared" si="98"/>
        <v>87529698.651041865</v>
      </c>
      <c r="CJ49" s="92">
        <f t="shared" si="98"/>
        <v>98635440.470793813</v>
      </c>
      <c r="CK49" s="92">
        <f t="shared" si="98"/>
        <v>111836465.02344851</v>
      </c>
      <c r="CL49" s="92">
        <f t="shared" si="98"/>
        <v>108836465.02344851</v>
      </c>
      <c r="CM49" s="92">
        <f t="shared" si="98"/>
        <v>104336465.02344853</v>
      </c>
      <c r="CN49" s="92">
        <f t="shared" si="98"/>
        <v>106971838.32098208</v>
      </c>
      <c r="CO49" s="92">
        <f t="shared" si="98"/>
        <v>109634179.66426541</v>
      </c>
      <c r="CP49" s="92">
        <f t="shared" si="98"/>
        <v>100634179.66426541</v>
      </c>
      <c r="CQ49" s="92">
        <f t="shared" si="98"/>
        <v>75946235.38423188</v>
      </c>
      <c r="CR49" s="92">
        <f t="shared" si="98"/>
        <v>80023101.271589428</v>
      </c>
      <c r="CS49" s="92">
        <f t="shared" si="98"/>
        <v>84978442.052823126</v>
      </c>
      <c r="CT49" s="92">
        <f t="shared" si="98"/>
        <v>62046435.905543961</v>
      </c>
      <c r="CU49" s="92">
        <f t="shared" si="98"/>
        <v>29953497.535909772</v>
      </c>
      <c r="CV49" s="92">
        <f t="shared" si="98"/>
        <v>18664287.786635153</v>
      </c>
      <c r="CW49" s="92">
        <f t="shared" si="98"/>
        <v>4291669.2789361477</v>
      </c>
      <c r="CX49" s="92">
        <f t="shared" si="98"/>
        <v>-31182468.380420502</v>
      </c>
      <c r="CY49" s="92">
        <f t="shared" si="98"/>
        <v>-100284645.98608969</v>
      </c>
      <c r="CZ49" s="92">
        <f t="shared" si="98"/>
        <v>-130513772.82506937</v>
      </c>
      <c r="DA49" s="92">
        <f t="shared" si="98"/>
        <v>-169190765.94667572</v>
      </c>
      <c r="DB49" s="92">
        <f t="shared" si="98"/>
        <v>-235701791.46469286</v>
      </c>
      <c r="DC49" s="92">
        <f t="shared" si="98"/>
        <v>-346254769.50641006</v>
      </c>
      <c r="DD49" s="92">
        <f t="shared" si="98"/>
        <v>-397402385.81593525</v>
      </c>
      <c r="DE49" s="92">
        <f t="shared" si="98"/>
        <v>-462209622.62182701</v>
      </c>
      <c r="DF49" s="92">
        <f t="shared" si="98"/>
        <v>-564087368.84105504</v>
      </c>
      <c r="DG49" s="92">
        <f t="shared" si="98"/>
        <v>-729156621.75470948</v>
      </c>
      <c r="DH49" s="92">
        <f t="shared" si="98"/>
        <v>-820575924.56115127</v>
      </c>
      <c r="DI49" s="92">
        <f t="shared" si="98"/>
        <v>-935397117.67028284</v>
      </c>
      <c r="DJ49" s="92">
        <f t="shared" si="98"/>
        <v>-1093367464.5216079</v>
      </c>
      <c r="DK49" s="92">
        <f t="shared" si="98"/>
        <v>-1358157029.6150556</v>
      </c>
      <c r="DL49" s="92">
        <f t="shared" si="98"/>
        <v>-1497610295.5983703</v>
      </c>
      <c r="DM49" s="92">
        <f t="shared" si="98"/>
        <v>-1670320579.7408628</v>
      </c>
      <c r="DN49" s="92">
        <f t="shared" ref="DN49:DZ49" si="99">DM49+DN48-DN70</f>
        <v>-1914967417.9435751</v>
      </c>
      <c r="DO49" s="92">
        <f t="shared" si="99"/>
        <v>-2306807392.8563862</v>
      </c>
      <c r="DP49" s="92">
        <f t="shared" si="99"/>
        <v>-2527842084.1405258</v>
      </c>
      <c r="DQ49" s="92">
        <f t="shared" si="99"/>
        <v>-2797253191.1904001</v>
      </c>
      <c r="DR49" s="92">
        <f t="shared" si="99"/>
        <v>-3163960956.3301048</v>
      </c>
      <c r="DS49" s="92">
        <f t="shared" si="99"/>
        <v>-3761043224.056716</v>
      </c>
      <c r="DT49" s="92">
        <f t="shared" si="99"/>
        <v>-4101972462.8331337</v>
      </c>
      <c r="DU49" s="92">
        <f t="shared" si="99"/>
        <v>-4517692244.558733</v>
      </c>
      <c r="DV49" s="92">
        <f t="shared" si="99"/>
        <v>-5069531665.41609</v>
      </c>
      <c r="DW49" s="92">
        <f t="shared" si="99"/>
        <v>-5960136014.0968685</v>
      </c>
      <c r="DX49" s="92">
        <f t="shared" si="99"/>
        <v>-6466500974.6587334</v>
      </c>
      <c r="DY49" s="92">
        <f t="shared" si="99"/>
        <v>-7082493222.3456011</v>
      </c>
      <c r="DZ49" s="92">
        <f t="shared" si="99"/>
        <v>-7901208749.4357748</v>
      </c>
    </row>
    <row r="50" spans="1:130" ht="15" x14ac:dyDescent="0.2">
      <c r="A50" s="93" t="s">
        <v>210</v>
      </c>
      <c r="B50" s="39"/>
      <c r="C50" s="88"/>
      <c r="D50" s="88"/>
      <c r="E50" s="88"/>
      <c r="F50" s="88"/>
      <c r="G50" s="88"/>
      <c r="H50" s="88"/>
      <c r="I50" s="88"/>
      <c r="J50" s="88"/>
      <c r="K50" s="88"/>
      <c r="L50" s="88"/>
      <c r="M50" s="88"/>
      <c r="N50" s="88"/>
      <c r="O50" s="88"/>
      <c r="P50" s="88"/>
      <c r="Q50" s="88"/>
      <c r="R50" s="88"/>
      <c r="S50" s="88"/>
      <c r="T50" s="88"/>
      <c r="U50" s="88"/>
      <c r="V50" s="88"/>
      <c r="W50" s="88"/>
      <c r="X50" s="88"/>
      <c r="Y50" s="88"/>
      <c r="Z50" s="88"/>
      <c r="AA50" s="88"/>
      <c r="AB50" s="88"/>
      <c r="AC50" s="88"/>
      <c r="AD50" s="88"/>
      <c r="AE50" s="88"/>
      <c r="AF50" s="88"/>
      <c r="AG50" s="88"/>
      <c r="AH50" s="88"/>
      <c r="AI50" s="88"/>
      <c r="AJ50" s="88"/>
      <c r="AK50" s="88"/>
      <c r="AL50" s="88"/>
      <c r="AM50" s="88"/>
      <c r="AN50" s="88"/>
      <c r="AO50" s="88"/>
      <c r="AP50" s="88"/>
      <c r="AQ50" s="88"/>
      <c r="AR50" s="88"/>
      <c r="AS50" s="88"/>
      <c r="AT50" s="88"/>
      <c r="AU50" s="88"/>
      <c r="AV50" s="88"/>
      <c r="AW50" s="88"/>
      <c r="AX50" s="88"/>
      <c r="AY50" s="94">
        <f>(AY49/AX49)-1</f>
        <v>8.924588046456905E-2</v>
      </c>
      <c r="BB50" s="89">
        <f>BB49</f>
        <v>25579184.190635171</v>
      </c>
      <c r="BC50" s="89">
        <f>BB50+BC48-BC70-BC74</f>
        <v>27036997.190635175</v>
      </c>
      <c r="BD50" s="89">
        <f t="shared" ref="BD50:BJ50" si="100">BC50+BD48-BD70-BD74</f>
        <v>29155069.190635175</v>
      </c>
      <c r="BE50" s="89">
        <f t="shared" si="100"/>
        <v>39733957.319945246</v>
      </c>
      <c r="BF50" s="89">
        <f t="shared" si="100"/>
        <v>39388084.319945246</v>
      </c>
      <c r="BG50" s="89">
        <f t="shared" si="100"/>
        <v>40222399.166132271</v>
      </c>
      <c r="BH50" s="89">
        <f t="shared" si="100"/>
        <v>40947341.394801416</v>
      </c>
      <c r="BI50" s="89">
        <f t="shared" si="100"/>
        <v>42126196.181609862</v>
      </c>
      <c r="BJ50" s="89">
        <f t="shared" si="100"/>
        <v>41801879.921487942</v>
      </c>
      <c r="BK50" s="89"/>
      <c r="BL50" s="89"/>
      <c r="BM50" s="89"/>
      <c r="BN50" s="89"/>
      <c r="BO50" s="89"/>
      <c r="BP50" s="89"/>
      <c r="BQ50" s="89"/>
      <c r="BR50" s="89"/>
      <c r="BS50" s="89"/>
      <c r="BT50" s="89"/>
      <c r="BU50" s="89"/>
      <c r="BV50" s="89"/>
      <c r="BW50" s="89"/>
      <c r="BX50" s="89"/>
      <c r="BY50" s="89"/>
      <c r="BZ50" s="89"/>
      <c r="CA50" s="89"/>
      <c r="CB50" s="89"/>
      <c r="CC50" s="89"/>
      <c r="CD50" s="89"/>
      <c r="CE50" s="89"/>
      <c r="CF50" s="89"/>
      <c r="CG50" s="89"/>
      <c r="CH50" s="89"/>
      <c r="CI50" s="89"/>
      <c r="CJ50" s="89"/>
      <c r="CK50" s="89"/>
      <c r="CL50" s="89"/>
      <c r="CM50" s="89"/>
      <c r="CN50" s="89"/>
      <c r="CO50" s="89"/>
      <c r="CP50" s="89"/>
      <c r="CQ50" s="89"/>
      <c r="CR50" s="89"/>
      <c r="CS50" s="89"/>
      <c r="CT50" s="89"/>
      <c r="CU50" s="89"/>
      <c r="CV50" s="89"/>
      <c r="CW50" s="89"/>
      <c r="CX50" s="89"/>
      <c r="CY50" s="89"/>
      <c r="CZ50" s="89"/>
      <c r="DA50" s="89"/>
      <c r="DB50" s="89"/>
      <c r="DC50" s="89"/>
      <c r="DD50" s="89"/>
      <c r="DE50" s="89"/>
      <c r="DF50" s="89"/>
      <c r="DG50" s="89"/>
      <c r="DH50" s="89"/>
      <c r="DI50" s="89"/>
      <c r="DJ50" s="89"/>
      <c r="DK50" s="89"/>
      <c r="DL50" s="89"/>
      <c r="DM50" s="89"/>
      <c r="DN50" s="89"/>
      <c r="DO50" s="89"/>
      <c r="DP50" s="89"/>
      <c r="DQ50" s="89"/>
      <c r="DR50" s="89"/>
      <c r="DS50" s="89"/>
      <c r="DT50" s="89"/>
      <c r="DU50" s="89"/>
      <c r="DV50" s="89"/>
      <c r="DW50" s="89"/>
      <c r="DX50" s="89"/>
      <c r="DY50" s="89"/>
      <c r="DZ50" s="89"/>
    </row>
    <row r="51" spans="1:130" x14ac:dyDescent="0.2">
      <c r="A51" s="68" t="s">
        <v>211</v>
      </c>
      <c r="B51" s="39" t="s">
        <v>170</v>
      </c>
      <c r="C51" s="70">
        <v>0</v>
      </c>
      <c r="D51" s="70">
        <v>0</v>
      </c>
      <c r="E51" s="70">
        <v>0</v>
      </c>
      <c r="F51" s="70">
        <v>0</v>
      </c>
      <c r="G51" s="70">
        <v>0</v>
      </c>
      <c r="H51" s="70">
        <v>0</v>
      </c>
      <c r="I51" s="70">
        <v>0</v>
      </c>
      <c r="J51" s="70">
        <v>0</v>
      </c>
      <c r="K51" s="70">
        <v>0</v>
      </c>
      <c r="L51" s="70">
        <v>0</v>
      </c>
      <c r="M51" s="70">
        <v>0</v>
      </c>
      <c r="N51" s="70">
        <v>0</v>
      </c>
      <c r="O51" s="70">
        <v>0</v>
      </c>
      <c r="P51" s="70">
        <v>0</v>
      </c>
      <c r="Q51" s="70">
        <v>0</v>
      </c>
      <c r="R51" s="70">
        <v>0</v>
      </c>
      <c r="S51" s="70">
        <v>0</v>
      </c>
      <c r="T51" s="70">
        <v>0</v>
      </c>
      <c r="U51" s="70">
        <v>0</v>
      </c>
      <c r="V51" s="70">
        <v>0</v>
      </c>
      <c r="W51" s="70">
        <v>0</v>
      </c>
      <c r="X51" s="70">
        <v>0</v>
      </c>
      <c r="Y51" s="70">
        <v>0</v>
      </c>
      <c r="Z51" s="70">
        <v>0</v>
      </c>
      <c r="AA51" s="70">
        <v>0</v>
      </c>
      <c r="AB51" s="70">
        <v>0</v>
      </c>
      <c r="AC51" s="70">
        <v>0</v>
      </c>
      <c r="AD51" s="70">
        <v>0</v>
      </c>
      <c r="AE51" s="70">
        <v>0</v>
      </c>
      <c r="AF51" s="70">
        <v>0</v>
      </c>
      <c r="AG51" s="70">
        <v>0</v>
      </c>
      <c r="AH51" s="70">
        <v>0</v>
      </c>
      <c r="AI51" s="95">
        <v>6371</v>
      </c>
      <c r="AJ51" s="95">
        <v>6869</v>
      </c>
      <c r="AK51" s="95">
        <v>10466</v>
      </c>
      <c r="AL51" s="95">
        <v>11380</v>
      </c>
      <c r="AM51" s="95">
        <v>12822</v>
      </c>
      <c r="AN51" s="95">
        <v>12822</v>
      </c>
      <c r="AO51" s="95">
        <v>12865</v>
      </c>
      <c r="AP51" s="95">
        <v>13571</v>
      </c>
      <c r="AQ51" s="95">
        <v>15890</v>
      </c>
      <c r="AR51" s="95">
        <v>92225</v>
      </c>
      <c r="AS51" s="95">
        <v>94857</v>
      </c>
      <c r="AT51" s="70">
        <v>114398</v>
      </c>
      <c r="AU51" s="70">
        <v>135243</v>
      </c>
      <c r="AV51" s="70">
        <v>204815</v>
      </c>
      <c r="AW51" s="70">
        <v>204816</v>
      </c>
      <c r="AX51" s="70">
        <v>351771</v>
      </c>
      <c r="AY51" s="70">
        <v>354430</v>
      </c>
      <c r="AZ51" s="96">
        <v>356816</v>
      </c>
      <c r="BA51" s="89">
        <v>357487</v>
      </c>
      <c r="BB51" s="71">
        <v>363752</v>
      </c>
      <c r="BC51" s="71">
        <v>384175</v>
      </c>
      <c r="BD51" s="71">
        <v>505962</v>
      </c>
      <c r="BE51" s="71">
        <v>509712</v>
      </c>
      <c r="BF51" s="72">
        <f t="shared" ref="BF51:BI51" si="101">_xlfn.FORECAST.ETS(BF$19,AV51:BE51,AV$19:BE$19)</f>
        <v>511692.00545840128</v>
      </c>
      <c r="BG51" s="72">
        <f t="shared" si="101"/>
        <v>550052.32925145444</v>
      </c>
      <c r="BH51" s="72">
        <f t="shared" si="101"/>
        <v>573861.28523839323</v>
      </c>
      <c r="BI51" s="72">
        <f t="shared" si="101"/>
        <v>603986.58612484217</v>
      </c>
      <c r="BJ51" s="72">
        <f>_xlfn.FORECAST.ETS(BJ$19,AZ51:BI51,AZ$19:BI$19)</f>
        <v>640629.96420150239</v>
      </c>
      <c r="BK51" s="72">
        <f>_xlfn.FORECAST.ETS(BK$19,BA51:BJ51,BA$19:BJ$19)</f>
        <v>679300.73388444434</v>
      </c>
      <c r="BL51" s="72">
        <f t="shared" ref="BL51:DW51" si="102">_xlfn.FORECAST.ETS(BL$19,BB51:BK51,BB$19:BK$19)</f>
        <v>708582.838026935</v>
      </c>
      <c r="BM51" s="72">
        <f t="shared" si="102"/>
        <v>737986.9473118938</v>
      </c>
      <c r="BN51" s="72">
        <f t="shared" si="102"/>
        <v>765798.92612408183</v>
      </c>
      <c r="BO51" s="72">
        <f t="shared" si="102"/>
        <v>797006.56115398405</v>
      </c>
      <c r="BP51" s="72">
        <f t="shared" si="102"/>
        <v>831265.21871620649</v>
      </c>
      <c r="BQ51" s="72">
        <f t="shared" si="102"/>
        <v>862665.14936225617</v>
      </c>
      <c r="BR51" s="72">
        <f t="shared" si="102"/>
        <v>894577.91660317313</v>
      </c>
      <c r="BS51" s="72">
        <f t="shared" si="102"/>
        <v>926210.06486796541</v>
      </c>
      <c r="BT51" s="72">
        <f t="shared" si="102"/>
        <v>957435.74371260265</v>
      </c>
      <c r="BU51" s="72">
        <f t="shared" si="102"/>
        <v>988568.8701878573</v>
      </c>
      <c r="BV51" s="72">
        <f t="shared" si="102"/>
        <v>1020001.7952768267</v>
      </c>
      <c r="BW51" s="72">
        <f t="shared" si="102"/>
        <v>1051636.7897755518</v>
      </c>
      <c r="BX51" s="72">
        <f t="shared" si="102"/>
        <v>1083425.272022201</v>
      </c>
      <c r="BY51" s="72">
        <f t="shared" si="102"/>
        <v>1115050.4009872666</v>
      </c>
      <c r="BZ51" s="72">
        <f t="shared" si="102"/>
        <v>1146533.1245612595</v>
      </c>
      <c r="CA51" s="72">
        <f t="shared" si="102"/>
        <v>1178038.6271509591</v>
      </c>
      <c r="CB51" s="72">
        <f t="shared" si="102"/>
        <v>1209547.0809395076</v>
      </c>
      <c r="CC51" s="72">
        <f t="shared" si="102"/>
        <v>1241055.1395320594</v>
      </c>
      <c r="CD51" s="72">
        <f t="shared" si="102"/>
        <v>1272610.5418501054</v>
      </c>
      <c r="CE51" s="72">
        <f t="shared" si="102"/>
        <v>1304179.7368411948</v>
      </c>
      <c r="CF51" s="72">
        <f t="shared" si="102"/>
        <v>1335747.1036731934</v>
      </c>
      <c r="CG51" s="72">
        <f t="shared" si="102"/>
        <v>1367291.3594804711</v>
      </c>
      <c r="CH51" s="72">
        <f t="shared" si="102"/>
        <v>1398824.1573070667</v>
      </c>
      <c r="CI51" s="72">
        <f t="shared" si="102"/>
        <v>1430358.3345898995</v>
      </c>
      <c r="CJ51" s="72">
        <f t="shared" si="102"/>
        <v>1461892.4841882167</v>
      </c>
      <c r="CK51" s="72">
        <f t="shared" si="102"/>
        <v>1493434.2711564044</v>
      </c>
      <c r="CL51" s="72">
        <f t="shared" si="102"/>
        <v>1524980.6098691449</v>
      </c>
      <c r="CM51" s="72">
        <f t="shared" si="102"/>
        <v>1556526.4140020849</v>
      </c>
      <c r="CN51" s="72">
        <f t="shared" si="102"/>
        <v>1588072.22881181</v>
      </c>
      <c r="CO51" s="72">
        <f t="shared" si="102"/>
        <v>1619612.9437987036</v>
      </c>
      <c r="CP51" s="72">
        <f t="shared" si="102"/>
        <v>1651154.184067345</v>
      </c>
      <c r="CQ51" s="72">
        <f t="shared" si="102"/>
        <v>1682695.4141363406</v>
      </c>
      <c r="CR51" s="72">
        <f t="shared" si="102"/>
        <v>1714236.6442053374</v>
      </c>
      <c r="CS51" s="72">
        <f t="shared" si="102"/>
        <v>1745779.6484672069</v>
      </c>
      <c r="CT51" s="72">
        <f t="shared" si="102"/>
        <v>1777322.5022535697</v>
      </c>
      <c r="CU51" s="72">
        <f t="shared" si="102"/>
        <v>1808865.3562648834</v>
      </c>
      <c r="CV51" s="72">
        <f t="shared" si="102"/>
        <v>1840407.8536748062</v>
      </c>
      <c r="CW51" s="72">
        <f t="shared" si="102"/>
        <v>1871949.9336616406</v>
      </c>
      <c r="CX51" s="72">
        <f t="shared" si="102"/>
        <v>1903492.0597135893</v>
      </c>
      <c r="CY51" s="72">
        <f t="shared" si="102"/>
        <v>1935034.1848572188</v>
      </c>
      <c r="CZ51" s="72">
        <f t="shared" si="102"/>
        <v>1966576.4838945367</v>
      </c>
      <c r="DA51" s="72">
        <f t="shared" si="102"/>
        <v>1998118.9181670875</v>
      </c>
      <c r="DB51" s="72">
        <f t="shared" si="102"/>
        <v>2029661.3370133585</v>
      </c>
      <c r="DC51" s="72">
        <f t="shared" si="102"/>
        <v>2061203.7561659219</v>
      </c>
      <c r="DD51" s="72">
        <f t="shared" si="102"/>
        <v>2092746.0908467046</v>
      </c>
      <c r="DE51" s="72">
        <f t="shared" si="102"/>
        <v>2124288.3748819893</v>
      </c>
      <c r="DF51" s="72">
        <f t="shared" si="102"/>
        <v>2155830.6648609778</v>
      </c>
      <c r="DG51" s="72">
        <f t="shared" si="102"/>
        <v>2187372.9547212739</v>
      </c>
      <c r="DH51" s="72">
        <f t="shared" si="102"/>
        <v>2218915.3048185105</v>
      </c>
      <c r="DI51" s="72">
        <f t="shared" si="102"/>
        <v>2250457.6479134401</v>
      </c>
      <c r="DJ51" s="72">
        <f t="shared" si="102"/>
        <v>2281999.9912110274</v>
      </c>
      <c r="DK51" s="72">
        <f t="shared" si="102"/>
        <v>2313542.3345070188</v>
      </c>
      <c r="DL51" s="72">
        <f t="shared" si="102"/>
        <v>2345084.6566430158</v>
      </c>
      <c r="DM51" s="72">
        <f t="shared" si="102"/>
        <v>2376626.9809331037</v>
      </c>
      <c r="DN51" s="72">
        <f t="shared" si="102"/>
        <v>2408169.3051834865</v>
      </c>
      <c r="DO51" s="72">
        <f t="shared" si="102"/>
        <v>2439711.6362897027</v>
      </c>
      <c r="DP51" s="72">
        <f t="shared" si="102"/>
        <v>2471253.9695533314</v>
      </c>
      <c r="DQ51" s="72">
        <f t="shared" si="102"/>
        <v>2502796.3018578929</v>
      </c>
      <c r="DR51" s="72">
        <f t="shared" si="102"/>
        <v>2534338.6342379977</v>
      </c>
      <c r="DS51" s="72">
        <f t="shared" si="102"/>
        <v>2565880.9642588687</v>
      </c>
      <c r="DT51" s="72">
        <f t="shared" si="102"/>
        <v>2597423.2937577828</v>
      </c>
      <c r="DU51" s="72">
        <f t="shared" si="102"/>
        <v>2628965.623330757</v>
      </c>
      <c r="DV51" s="72">
        <f t="shared" si="102"/>
        <v>2660507.9529022016</v>
      </c>
      <c r="DW51" s="72">
        <f t="shared" si="102"/>
        <v>2692050.2838098635</v>
      </c>
      <c r="DX51" s="72">
        <f t="shared" ref="DX51:DZ51" si="103">_xlfn.FORECAST.ETS(DX$19,DN51:DW51,DN$19:DW$19)</f>
        <v>2723592.614579895</v>
      </c>
      <c r="DY51" s="72">
        <f t="shared" si="103"/>
        <v>2755134.945352599</v>
      </c>
      <c r="DZ51" s="72">
        <f t="shared" si="103"/>
        <v>2786677.2758487724</v>
      </c>
    </row>
    <row r="52" spans="1:130" x14ac:dyDescent="0.2">
      <c r="A52" s="39"/>
      <c r="B52" s="39"/>
      <c r="C52" s="39"/>
      <c r="D52" s="39"/>
      <c r="E52" s="97"/>
      <c r="F52" s="97"/>
      <c r="G52" s="98"/>
      <c r="H52" s="39"/>
      <c r="I52" s="97"/>
      <c r="J52" s="97"/>
      <c r="K52" s="98"/>
      <c r="L52" s="39"/>
      <c r="M52" s="97"/>
      <c r="N52" s="97"/>
      <c r="O52" s="98"/>
      <c r="P52" s="39"/>
      <c r="Q52" s="97"/>
      <c r="R52" s="97"/>
      <c r="S52" s="98"/>
      <c r="T52" s="39"/>
      <c r="U52" s="97"/>
      <c r="V52" s="97"/>
      <c r="W52" s="98"/>
      <c r="X52" s="39"/>
      <c r="Y52" s="97"/>
      <c r="Z52" s="97"/>
      <c r="AA52" s="98"/>
      <c r="AB52" s="39"/>
      <c r="AC52" s="97"/>
      <c r="AD52" s="97"/>
      <c r="AE52" s="98"/>
      <c r="AF52" s="39"/>
      <c r="AG52" s="97"/>
      <c r="AH52" s="97"/>
      <c r="AI52" s="98"/>
      <c r="AJ52" s="76"/>
      <c r="AK52" s="76"/>
      <c r="AM52" s="52">
        <f t="shared" ref="AM52:AV52" si="104">AM60/AM66</f>
        <v>2.3541611329458603E-2</v>
      </c>
      <c r="AN52" s="52">
        <f t="shared" si="104"/>
        <v>3.666648008698583E-2</v>
      </c>
      <c r="AO52" s="52">
        <f t="shared" si="104"/>
        <v>1.0653772140005603E-2</v>
      </c>
      <c r="AP52" s="52">
        <f t="shared" si="104"/>
        <v>2.2305968396093407E-2</v>
      </c>
      <c r="AQ52" s="52">
        <f t="shared" si="104"/>
        <v>1.3788247320820957E-2</v>
      </c>
      <c r="AR52" s="52">
        <f t="shared" si="104"/>
        <v>7.352202341927256E-3</v>
      </c>
      <c r="AS52" s="52">
        <f t="shared" si="104"/>
        <v>3.6767050719771294E-2</v>
      </c>
      <c r="AT52" s="52">
        <f t="shared" si="104"/>
        <v>9.4939720057472914E-3</v>
      </c>
      <c r="AU52" s="52">
        <f t="shared" si="104"/>
        <v>7.5566116402231336E-3</v>
      </c>
      <c r="AV52" s="52">
        <f t="shared" si="104"/>
        <v>7.1208233428429997E-3</v>
      </c>
      <c r="AW52" s="52">
        <f>AW60/AW66</f>
        <v>8.2147211542581578E-3</v>
      </c>
      <c r="AX52" s="52"/>
      <c r="AY52" s="52">
        <f>(AY10)/AY48</f>
        <v>7.4009233455226142E-2</v>
      </c>
      <c r="AZ52" s="52"/>
      <c r="BA52" s="52"/>
      <c r="BB52" s="52"/>
      <c r="BC52" s="52"/>
      <c r="BD52" s="52"/>
      <c r="BE52" s="52"/>
      <c r="BF52" s="52"/>
      <c r="BG52" s="52"/>
      <c r="BH52" s="52"/>
      <c r="BI52" s="52"/>
      <c r="BJ52" s="52"/>
      <c r="BK52" s="52"/>
      <c r="BL52" s="52"/>
      <c r="BM52" s="52"/>
      <c r="BN52" s="52"/>
      <c r="BO52" s="52"/>
      <c r="BP52" s="52"/>
      <c r="BQ52" s="52"/>
      <c r="BR52" s="52"/>
      <c r="BS52" s="52"/>
      <c r="BT52" s="52"/>
      <c r="BU52" s="52"/>
      <c r="BV52" s="52"/>
      <c r="BW52" s="52"/>
      <c r="BX52" s="52"/>
      <c r="BY52" s="52"/>
      <c r="BZ52" s="52"/>
      <c r="CA52" s="52"/>
      <c r="CB52" s="52"/>
      <c r="CC52" s="52"/>
      <c r="CD52" s="52"/>
      <c r="CE52" s="52"/>
      <c r="CF52" s="52"/>
      <c r="CG52" s="52"/>
      <c r="CH52" s="52"/>
      <c r="CI52" s="52"/>
      <c r="CJ52" s="52"/>
      <c r="CK52" s="52"/>
      <c r="CL52" s="52"/>
      <c r="CM52" s="52"/>
      <c r="CN52" s="52"/>
      <c r="CO52" s="52"/>
      <c r="CP52" s="52"/>
    </row>
    <row r="53" spans="1:130" ht="18" x14ac:dyDescent="0.2">
      <c r="A53" s="63" t="s">
        <v>212</v>
      </c>
      <c r="B53" s="64" t="s">
        <v>87</v>
      </c>
      <c r="C53" s="65"/>
      <c r="D53" s="65"/>
      <c r="E53" s="65"/>
      <c r="F53" s="65">
        <v>2011</v>
      </c>
      <c r="G53" s="65"/>
      <c r="H53" s="65"/>
      <c r="I53" s="65"/>
      <c r="J53" s="65">
        <v>2012</v>
      </c>
      <c r="K53" s="65"/>
      <c r="L53" s="65"/>
      <c r="M53" s="65"/>
      <c r="N53" s="65">
        <v>2013</v>
      </c>
      <c r="O53" s="65"/>
      <c r="P53" s="65"/>
      <c r="Q53" s="65"/>
      <c r="R53" s="65">
        <v>2014</v>
      </c>
      <c r="S53" s="65"/>
      <c r="T53" s="65"/>
      <c r="U53" s="65"/>
      <c r="V53" s="65">
        <v>2015</v>
      </c>
      <c r="W53" s="65"/>
      <c r="X53" s="65"/>
      <c r="Y53" s="65"/>
      <c r="Z53" s="99">
        <v>2016</v>
      </c>
      <c r="AA53" s="100"/>
      <c r="AB53" s="65"/>
      <c r="AC53" s="65"/>
      <c r="AD53" s="99">
        <v>2017</v>
      </c>
      <c r="AE53" s="101"/>
      <c r="AF53" s="66"/>
      <c r="AG53" s="66"/>
      <c r="AH53" s="67">
        <v>2018</v>
      </c>
      <c r="AI53" s="101"/>
      <c r="AJ53" s="67"/>
      <c r="AK53" s="67"/>
      <c r="AL53" s="67">
        <v>2019</v>
      </c>
      <c r="AM53" s="101"/>
      <c r="AN53" s="67"/>
      <c r="AO53" s="66"/>
      <c r="AP53" s="66">
        <v>2020</v>
      </c>
      <c r="AQ53" s="101"/>
      <c r="AR53" s="66"/>
      <c r="AS53" s="66"/>
      <c r="AT53" s="66">
        <v>2021</v>
      </c>
      <c r="AU53" s="101"/>
      <c r="AV53" s="66"/>
      <c r="AW53" s="66"/>
      <c r="AX53" s="66">
        <v>2022</v>
      </c>
      <c r="AY53" s="101"/>
      <c r="AZ53" s="66"/>
      <c r="BA53" s="66"/>
      <c r="BB53" s="66">
        <v>2023</v>
      </c>
      <c r="BC53" s="101"/>
      <c r="BD53" s="66"/>
      <c r="BE53" s="66"/>
      <c r="BF53" s="66">
        <v>2024</v>
      </c>
      <c r="BG53" s="101"/>
      <c r="BH53" s="66"/>
      <c r="BI53" s="66"/>
      <c r="BJ53" s="66">
        <v>2025</v>
      </c>
      <c r="BK53" s="101"/>
      <c r="BL53" s="66"/>
      <c r="BM53" s="66"/>
      <c r="BN53" s="66">
        <v>2026</v>
      </c>
      <c r="BO53" s="101"/>
      <c r="BP53" s="66"/>
      <c r="BQ53" s="66"/>
      <c r="BR53" s="66">
        <v>2027</v>
      </c>
      <c r="BS53" s="101"/>
      <c r="BT53" s="66"/>
      <c r="BU53" s="66"/>
      <c r="BV53" s="66">
        <v>2028</v>
      </c>
      <c r="BW53" s="101"/>
      <c r="BX53" s="66"/>
      <c r="BY53" s="66"/>
      <c r="BZ53" s="66">
        <v>2029</v>
      </c>
      <c r="CA53" s="101"/>
      <c r="CB53" s="66"/>
      <c r="CC53" s="66"/>
      <c r="CD53" s="66">
        <v>2030</v>
      </c>
      <c r="CE53" s="101"/>
      <c r="CF53" s="66"/>
      <c r="CG53" s="66"/>
      <c r="CH53" s="66">
        <v>2031</v>
      </c>
      <c r="CI53" s="101"/>
      <c r="CJ53" s="66"/>
      <c r="CK53" s="66"/>
      <c r="CL53" s="66">
        <v>2032</v>
      </c>
      <c r="CM53" s="101"/>
      <c r="CN53" s="66"/>
      <c r="CO53" s="66"/>
      <c r="CP53" s="66">
        <v>2033</v>
      </c>
      <c r="CQ53" s="101"/>
      <c r="CR53" s="66"/>
      <c r="CS53" s="66"/>
      <c r="CT53" s="66">
        <v>2034</v>
      </c>
      <c r="CU53" s="101"/>
      <c r="CV53" s="66"/>
      <c r="CW53" s="66"/>
      <c r="CX53" s="66">
        <v>2035</v>
      </c>
      <c r="CY53" s="101"/>
      <c r="CZ53" s="66"/>
      <c r="DA53" s="66"/>
      <c r="DB53" s="66">
        <v>2036</v>
      </c>
      <c r="DC53" s="101"/>
      <c r="DD53" s="66"/>
      <c r="DE53" s="66"/>
      <c r="DF53" s="66">
        <v>2037</v>
      </c>
      <c r="DG53" s="101"/>
      <c r="DH53" s="66"/>
      <c r="DI53" s="66"/>
      <c r="DJ53" s="66">
        <v>2038</v>
      </c>
      <c r="DK53" s="101"/>
      <c r="DL53" s="66"/>
      <c r="DM53" s="66"/>
      <c r="DN53" s="66">
        <v>2039</v>
      </c>
      <c r="DO53" s="101"/>
      <c r="DP53" s="66"/>
      <c r="DQ53" s="66"/>
      <c r="DR53" s="66">
        <v>2040</v>
      </c>
      <c r="DS53" s="101"/>
      <c r="DT53" s="66"/>
      <c r="DU53" s="66"/>
      <c r="DV53" s="66">
        <v>2041</v>
      </c>
      <c r="DW53" s="101"/>
      <c r="DX53" s="66"/>
      <c r="DY53" s="66"/>
      <c r="DZ53" s="66">
        <v>2042</v>
      </c>
    </row>
    <row r="54" spans="1:130" x14ac:dyDescent="0.2">
      <c r="A54" s="68" t="s">
        <v>159</v>
      </c>
      <c r="B54" s="39" t="s">
        <v>130</v>
      </c>
      <c r="C54" s="39" t="s">
        <v>213</v>
      </c>
      <c r="D54" s="39" t="s">
        <v>69</v>
      </c>
      <c r="E54" s="39" t="s">
        <v>70</v>
      </c>
      <c r="F54" s="39" t="s">
        <v>71</v>
      </c>
      <c r="G54" s="39" t="s">
        <v>214</v>
      </c>
      <c r="H54" s="39" t="s">
        <v>69</v>
      </c>
      <c r="I54" s="39" t="s">
        <v>70</v>
      </c>
      <c r="J54" s="39" t="s">
        <v>71</v>
      </c>
      <c r="K54" s="39" t="s">
        <v>215</v>
      </c>
      <c r="L54" s="39" t="s">
        <v>69</v>
      </c>
      <c r="M54" s="39" t="s">
        <v>70</v>
      </c>
      <c r="N54" s="39" t="s">
        <v>71</v>
      </c>
      <c r="O54" s="39" t="s">
        <v>216</v>
      </c>
      <c r="P54" s="39" t="s">
        <v>69</v>
      </c>
      <c r="Q54" s="39" t="s">
        <v>70</v>
      </c>
      <c r="R54" s="39" t="s">
        <v>71</v>
      </c>
      <c r="S54" s="39" t="s">
        <v>217</v>
      </c>
      <c r="T54" s="39" t="s">
        <v>69</v>
      </c>
      <c r="U54" s="39" t="s">
        <v>70</v>
      </c>
      <c r="V54" s="39" t="s">
        <v>71</v>
      </c>
      <c r="W54" s="39" t="s">
        <v>218</v>
      </c>
      <c r="X54" s="39" t="s">
        <v>69</v>
      </c>
      <c r="Y54" s="39" t="s">
        <v>70</v>
      </c>
      <c r="Z54" s="75" t="s">
        <v>71</v>
      </c>
      <c r="AA54" s="102" t="s">
        <v>219</v>
      </c>
      <c r="AB54" s="39" t="s">
        <v>69</v>
      </c>
      <c r="AC54" s="39" t="s">
        <v>70</v>
      </c>
      <c r="AD54" s="75" t="s">
        <v>71</v>
      </c>
      <c r="AE54" s="102" t="s">
        <v>220</v>
      </c>
      <c r="AF54" s="39" t="s">
        <v>69</v>
      </c>
      <c r="AG54" s="39" t="s">
        <v>70</v>
      </c>
      <c r="AH54" s="75" t="s">
        <v>71</v>
      </c>
      <c r="AI54" s="102" t="s">
        <v>221</v>
      </c>
      <c r="AJ54" s="39" t="s">
        <v>69</v>
      </c>
      <c r="AK54" s="39" t="s">
        <v>70</v>
      </c>
      <c r="AL54" s="75" t="s">
        <v>71</v>
      </c>
      <c r="AM54" s="102" t="s">
        <v>222</v>
      </c>
      <c r="AN54" s="39" t="s">
        <v>69</v>
      </c>
      <c r="AO54" s="39" t="s">
        <v>70</v>
      </c>
      <c r="AP54" s="75" t="s">
        <v>71</v>
      </c>
      <c r="AQ54" s="102" t="s">
        <v>223</v>
      </c>
      <c r="AR54" s="39" t="s">
        <v>69</v>
      </c>
      <c r="AS54" s="39" t="s">
        <v>70</v>
      </c>
      <c r="AT54" s="75" t="s">
        <v>71</v>
      </c>
      <c r="AU54" s="102" t="s">
        <v>224</v>
      </c>
      <c r="AV54" s="39" t="s">
        <v>69</v>
      </c>
      <c r="AW54" s="39" t="s">
        <v>70</v>
      </c>
      <c r="AX54" s="39" t="s">
        <v>71</v>
      </c>
      <c r="AY54" s="102" t="s">
        <v>225</v>
      </c>
      <c r="AZ54" s="39" t="s">
        <v>69</v>
      </c>
      <c r="BA54" s="39" t="s">
        <v>70</v>
      </c>
      <c r="BB54" s="39" t="s">
        <v>71</v>
      </c>
      <c r="BC54" s="102" t="str">
        <f t="shared" ref="BC54:DN54" si="105">BC76</f>
        <v>2024Q1</v>
      </c>
      <c r="BD54" s="98" t="str">
        <f t="shared" si="105"/>
        <v>Q2</v>
      </c>
      <c r="BE54" s="98" t="str">
        <f t="shared" si="105"/>
        <v>Q3</v>
      </c>
      <c r="BF54" s="39" t="str">
        <f t="shared" si="105"/>
        <v>Q4</v>
      </c>
      <c r="BG54" s="102" t="str">
        <f t="shared" si="105"/>
        <v>2025Q1</v>
      </c>
      <c r="BH54" s="98" t="str">
        <f t="shared" si="105"/>
        <v>Q2</v>
      </c>
      <c r="BI54" s="98" t="str">
        <f t="shared" si="105"/>
        <v>Q3</v>
      </c>
      <c r="BJ54" s="98" t="str">
        <f t="shared" si="105"/>
        <v>Q4</v>
      </c>
      <c r="BK54" s="102" t="str">
        <f t="shared" si="105"/>
        <v>2026Q1</v>
      </c>
      <c r="BL54" s="98" t="str">
        <f t="shared" si="105"/>
        <v>Q2</v>
      </c>
      <c r="BM54" s="98" t="str">
        <f t="shared" si="105"/>
        <v>Q3</v>
      </c>
      <c r="BN54" s="98" t="str">
        <f t="shared" si="105"/>
        <v>Q4</v>
      </c>
      <c r="BO54" s="102" t="str">
        <f t="shared" si="105"/>
        <v>2027Q1</v>
      </c>
      <c r="BP54" s="98" t="str">
        <f t="shared" si="105"/>
        <v>Q2</v>
      </c>
      <c r="BQ54" s="98" t="str">
        <f t="shared" si="105"/>
        <v>Q3</v>
      </c>
      <c r="BR54" s="98" t="str">
        <f t="shared" si="105"/>
        <v>Q4</v>
      </c>
      <c r="BS54" s="102" t="str">
        <f t="shared" si="105"/>
        <v>2028Q1</v>
      </c>
      <c r="BT54" s="98" t="str">
        <f t="shared" si="105"/>
        <v>Q2</v>
      </c>
      <c r="BU54" s="98" t="str">
        <f t="shared" si="105"/>
        <v>Q3</v>
      </c>
      <c r="BV54" s="98" t="str">
        <f t="shared" si="105"/>
        <v>Q4</v>
      </c>
      <c r="BW54" s="102" t="str">
        <f t="shared" si="105"/>
        <v>2029Q1</v>
      </c>
      <c r="BX54" s="98" t="str">
        <f t="shared" si="105"/>
        <v>Q2</v>
      </c>
      <c r="BY54" s="98" t="str">
        <f t="shared" si="105"/>
        <v>Q3</v>
      </c>
      <c r="BZ54" s="98" t="str">
        <f t="shared" si="105"/>
        <v>Q4</v>
      </c>
      <c r="CA54" s="102" t="str">
        <f t="shared" si="105"/>
        <v>2030Q1</v>
      </c>
      <c r="CB54" s="98" t="str">
        <f t="shared" si="105"/>
        <v>Q2</v>
      </c>
      <c r="CC54" s="98" t="str">
        <f t="shared" si="105"/>
        <v>Q3</v>
      </c>
      <c r="CD54" s="98" t="str">
        <f t="shared" si="105"/>
        <v>Q4</v>
      </c>
      <c r="CE54" s="102" t="str">
        <f t="shared" si="105"/>
        <v>2031Q1</v>
      </c>
      <c r="CF54" s="98" t="str">
        <f t="shared" si="105"/>
        <v>Q2</v>
      </c>
      <c r="CG54" s="98" t="str">
        <f t="shared" si="105"/>
        <v>Q3</v>
      </c>
      <c r="CH54" s="98" t="str">
        <f t="shared" si="105"/>
        <v>Q4</v>
      </c>
      <c r="CI54" s="102" t="str">
        <f t="shared" si="105"/>
        <v>2032Q1</v>
      </c>
      <c r="CJ54" s="98" t="str">
        <f t="shared" si="105"/>
        <v>Q2</v>
      </c>
      <c r="CK54" s="98" t="str">
        <f t="shared" si="105"/>
        <v>Q3</v>
      </c>
      <c r="CL54" s="98" t="str">
        <f t="shared" si="105"/>
        <v>Q4</v>
      </c>
      <c r="CM54" s="102" t="str">
        <f t="shared" si="105"/>
        <v>2033Q1</v>
      </c>
      <c r="CN54" s="98" t="str">
        <f t="shared" si="105"/>
        <v>Q2</v>
      </c>
      <c r="CO54" s="98" t="str">
        <f t="shared" si="105"/>
        <v>Q3</v>
      </c>
      <c r="CP54" s="98" t="str">
        <f t="shared" si="105"/>
        <v>Q4</v>
      </c>
      <c r="CQ54" s="102" t="str">
        <f t="shared" si="105"/>
        <v>2034Q1</v>
      </c>
      <c r="CR54" s="98" t="str">
        <f t="shared" si="105"/>
        <v>Q2</v>
      </c>
      <c r="CS54" s="98" t="str">
        <f t="shared" si="105"/>
        <v>Q3</v>
      </c>
      <c r="CT54" s="98" t="str">
        <f t="shared" si="105"/>
        <v>Q4</v>
      </c>
      <c r="CU54" s="102" t="str">
        <f t="shared" si="105"/>
        <v>2035Q1</v>
      </c>
      <c r="CV54" s="98" t="str">
        <f t="shared" si="105"/>
        <v>Q2</v>
      </c>
      <c r="CW54" s="98" t="str">
        <f t="shared" si="105"/>
        <v>Q3</v>
      </c>
      <c r="CX54" s="98" t="str">
        <f t="shared" si="105"/>
        <v>Q4</v>
      </c>
      <c r="CY54" s="102" t="str">
        <f t="shared" si="105"/>
        <v>2036Q1</v>
      </c>
      <c r="CZ54" s="98" t="str">
        <f t="shared" si="105"/>
        <v>Q2</v>
      </c>
      <c r="DA54" s="98" t="str">
        <f t="shared" si="105"/>
        <v>Q3</v>
      </c>
      <c r="DB54" s="98" t="str">
        <f t="shared" si="105"/>
        <v>Q4</v>
      </c>
      <c r="DC54" s="102" t="str">
        <f t="shared" si="105"/>
        <v>2037Q1</v>
      </c>
      <c r="DD54" s="98" t="str">
        <f t="shared" si="105"/>
        <v>Q2</v>
      </c>
      <c r="DE54" s="98" t="str">
        <f t="shared" si="105"/>
        <v>Q3</v>
      </c>
      <c r="DF54" s="98" t="str">
        <f t="shared" si="105"/>
        <v>Q4</v>
      </c>
      <c r="DG54" s="102" t="str">
        <f t="shared" si="105"/>
        <v>2038Q1</v>
      </c>
      <c r="DH54" s="98" t="str">
        <f t="shared" si="105"/>
        <v>Q2</v>
      </c>
      <c r="DI54" s="98" t="str">
        <f t="shared" si="105"/>
        <v>Q3</v>
      </c>
      <c r="DJ54" s="98" t="str">
        <f t="shared" si="105"/>
        <v>Q4</v>
      </c>
      <c r="DK54" s="102" t="str">
        <f t="shared" si="105"/>
        <v>2039Q1</v>
      </c>
      <c r="DL54" s="98" t="str">
        <f t="shared" si="105"/>
        <v>Q2</v>
      </c>
      <c r="DM54" s="98" t="str">
        <f t="shared" si="105"/>
        <v>Q3</v>
      </c>
      <c r="DN54" s="98" t="str">
        <f t="shared" si="105"/>
        <v>Q4</v>
      </c>
      <c r="DO54" s="102" t="str">
        <f t="shared" ref="DO54:DY54" si="106">DO76</f>
        <v>2040Q1</v>
      </c>
      <c r="DP54" s="98" t="str">
        <f t="shared" si="106"/>
        <v>Q2</v>
      </c>
      <c r="DQ54" s="98" t="str">
        <f t="shared" si="106"/>
        <v>Q3</v>
      </c>
      <c r="DR54" s="98" t="str">
        <f t="shared" si="106"/>
        <v>Q4</v>
      </c>
      <c r="DS54" s="102" t="str">
        <f t="shared" si="106"/>
        <v>2041Q1</v>
      </c>
      <c r="DT54" s="98" t="str">
        <f t="shared" si="106"/>
        <v>Q2</v>
      </c>
      <c r="DU54" s="98" t="str">
        <f t="shared" si="106"/>
        <v>Q3</v>
      </c>
      <c r="DV54" s="98" t="str">
        <f t="shared" si="106"/>
        <v>Q4</v>
      </c>
      <c r="DW54" s="102" t="str">
        <f t="shared" si="106"/>
        <v>2042Q1</v>
      </c>
      <c r="DX54" s="98" t="str">
        <f t="shared" si="106"/>
        <v>Q2</v>
      </c>
      <c r="DY54" s="98" t="str">
        <f t="shared" si="106"/>
        <v>Q3</v>
      </c>
      <c r="DZ54" s="98" t="str">
        <f>DZ76</f>
        <v>Q4</v>
      </c>
    </row>
    <row r="55" spans="1:130" x14ac:dyDescent="0.2">
      <c r="A55" s="39" t="s">
        <v>66</v>
      </c>
      <c r="B55" s="39" t="s">
        <v>170</v>
      </c>
      <c r="C55" s="70"/>
      <c r="D55" s="70"/>
      <c r="E55" s="70"/>
      <c r="F55" s="70"/>
      <c r="G55" s="70"/>
      <c r="H55" s="70"/>
      <c r="I55" s="70"/>
      <c r="J55" s="70"/>
      <c r="K55" s="70">
        <v>0</v>
      </c>
      <c r="L55" s="70">
        <v>0</v>
      </c>
      <c r="M55" s="70">
        <v>0</v>
      </c>
      <c r="N55" s="70">
        <v>0</v>
      </c>
      <c r="O55" s="70">
        <v>0</v>
      </c>
      <c r="P55" s="70">
        <v>0</v>
      </c>
      <c r="Q55" s="70">
        <v>0</v>
      </c>
      <c r="R55" s="70">
        <v>0</v>
      </c>
      <c r="S55" s="70">
        <v>0</v>
      </c>
      <c r="T55" s="70">
        <v>0</v>
      </c>
      <c r="U55" s="70">
        <v>0</v>
      </c>
      <c r="V55" s="70">
        <v>0</v>
      </c>
      <c r="W55" s="70">
        <v>0</v>
      </c>
      <c r="X55" s="70">
        <v>0</v>
      </c>
      <c r="Y55" s="70">
        <v>0</v>
      </c>
      <c r="Z55" s="103">
        <v>0</v>
      </c>
      <c r="AA55" s="104">
        <v>0</v>
      </c>
      <c r="AB55" s="70">
        <v>0</v>
      </c>
      <c r="AC55" s="70">
        <v>0</v>
      </c>
      <c r="AD55" s="103">
        <v>0</v>
      </c>
      <c r="AE55" s="104">
        <v>0</v>
      </c>
      <c r="AF55" s="70">
        <v>0</v>
      </c>
      <c r="AG55" s="70">
        <v>0</v>
      </c>
      <c r="AH55" s="103">
        <v>0</v>
      </c>
      <c r="AI55" s="104">
        <v>88</v>
      </c>
      <c r="AJ55" s="70">
        <v>304</v>
      </c>
      <c r="AK55" s="70">
        <v>14</v>
      </c>
      <c r="AL55" s="103">
        <v>263</v>
      </c>
      <c r="AM55" s="104">
        <v>0</v>
      </c>
      <c r="AN55" s="70">
        <v>0</v>
      </c>
      <c r="AO55" s="70">
        <v>0</v>
      </c>
      <c r="AP55" s="103">
        <v>0</v>
      </c>
      <c r="AQ55" s="104">
        <v>0</v>
      </c>
      <c r="AR55" s="70">
        <v>0</v>
      </c>
      <c r="AS55" s="70">
        <v>60</v>
      </c>
      <c r="AT55" s="103">
        <v>25</v>
      </c>
      <c r="AU55" s="104">
        <v>25</v>
      </c>
      <c r="AV55" s="70">
        <v>26</v>
      </c>
      <c r="AW55" s="70">
        <v>90</v>
      </c>
      <c r="AX55" s="70">
        <v>408</v>
      </c>
      <c r="AY55" s="104">
        <v>577</v>
      </c>
      <c r="AZ55" s="70">
        <v>201</v>
      </c>
      <c r="BA55" s="70">
        <v>315</v>
      </c>
      <c r="BB55" s="70">
        <v>103</v>
      </c>
      <c r="BC55" s="104">
        <v>0</v>
      </c>
      <c r="BD55" s="77">
        <v>0</v>
      </c>
      <c r="BE55" s="70">
        <v>0</v>
      </c>
      <c r="BF55" s="77">
        <v>0</v>
      </c>
      <c r="BG55" s="105">
        <v>0</v>
      </c>
      <c r="BH55" s="77">
        <v>0</v>
      </c>
      <c r="BI55" s="77">
        <v>0</v>
      </c>
      <c r="BJ55" s="77">
        <v>0</v>
      </c>
      <c r="BK55" s="105">
        <v>0</v>
      </c>
      <c r="BL55" s="77">
        <v>0</v>
      </c>
      <c r="BM55" s="77">
        <v>0</v>
      </c>
      <c r="BN55" s="77">
        <v>0</v>
      </c>
      <c r="BO55" s="105">
        <v>0</v>
      </c>
      <c r="BP55" s="77">
        <v>0</v>
      </c>
      <c r="BQ55" s="77">
        <v>0</v>
      </c>
      <c r="BR55" s="77">
        <v>0</v>
      </c>
      <c r="BS55" s="105">
        <v>0</v>
      </c>
      <c r="BT55" s="77">
        <v>0</v>
      </c>
      <c r="BU55" s="77">
        <v>0</v>
      </c>
      <c r="BV55" s="77">
        <v>0</v>
      </c>
      <c r="BW55" s="105">
        <v>0</v>
      </c>
      <c r="BX55" s="77">
        <v>0</v>
      </c>
      <c r="BY55" s="77">
        <v>0</v>
      </c>
      <c r="BZ55" s="77">
        <v>0</v>
      </c>
      <c r="CA55" s="105">
        <v>0</v>
      </c>
      <c r="CB55" s="77">
        <v>0</v>
      </c>
      <c r="CC55" s="77">
        <v>0</v>
      </c>
      <c r="CD55" s="77">
        <v>0</v>
      </c>
      <c r="CE55" s="105">
        <v>0</v>
      </c>
      <c r="CF55" s="77">
        <v>0</v>
      </c>
      <c r="CG55" s="77">
        <v>0</v>
      </c>
      <c r="CH55" s="77">
        <v>0</v>
      </c>
      <c r="CI55" s="105">
        <v>0</v>
      </c>
      <c r="CJ55" s="77">
        <v>0</v>
      </c>
      <c r="CK55" s="77">
        <v>0</v>
      </c>
      <c r="CL55" s="77">
        <v>0</v>
      </c>
      <c r="CM55" s="105">
        <v>0</v>
      </c>
      <c r="CN55" s="77">
        <v>0</v>
      </c>
      <c r="CO55" s="77">
        <v>0</v>
      </c>
      <c r="CP55" s="77">
        <v>0</v>
      </c>
      <c r="CQ55" s="105">
        <v>0</v>
      </c>
      <c r="CR55" s="77">
        <v>0</v>
      </c>
      <c r="CS55" s="77">
        <v>0</v>
      </c>
      <c r="CT55" s="77">
        <v>0</v>
      </c>
      <c r="CU55" s="105">
        <v>0</v>
      </c>
      <c r="CV55" s="77">
        <v>0</v>
      </c>
      <c r="CW55" s="77">
        <v>0</v>
      </c>
      <c r="CX55" s="77">
        <v>0</v>
      </c>
      <c r="CY55" s="105">
        <v>0</v>
      </c>
      <c r="CZ55" s="77">
        <v>0</v>
      </c>
      <c r="DA55" s="77">
        <v>0</v>
      </c>
      <c r="DB55" s="77">
        <v>0</v>
      </c>
      <c r="DC55" s="105">
        <v>0</v>
      </c>
      <c r="DD55" s="77">
        <v>0</v>
      </c>
      <c r="DE55" s="77">
        <v>0</v>
      </c>
      <c r="DF55" s="77">
        <v>0</v>
      </c>
      <c r="DG55" s="105">
        <v>0</v>
      </c>
      <c r="DH55" s="77">
        <v>0</v>
      </c>
      <c r="DI55" s="77">
        <v>0</v>
      </c>
      <c r="DJ55" s="77">
        <v>0</v>
      </c>
      <c r="DK55" s="105">
        <v>0</v>
      </c>
      <c r="DL55" s="77">
        <v>0</v>
      </c>
      <c r="DM55" s="77">
        <v>0</v>
      </c>
      <c r="DN55" s="77">
        <v>0</v>
      </c>
      <c r="DO55" s="105">
        <v>0</v>
      </c>
      <c r="DP55" s="77">
        <v>0</v>
      </c>
      <c r="DQ55" s="77">
        <v>0</v>
      </c>
      <c r="DR55" s="77">
        <v>0</v>
      </c>
      <c r="DS55" s="105">
        <v>0</v>
      </c>
      <c r="DT55" s="77">
        <v>0</v>
      </c>
      <c r="DU55" s="77">
        <v>0</v>
      </c>
      <c r="DV55" s="77">
        <v>0</v>
      </c>
      <c r="DW55" s="105">
        <v>0</v>
      </c>
      <c r="DX55" s="77">
        <v>0</v>
      </c>
      <c r="DY55" s="77">
        <v>0</v>
      </c>
      <c r="DZ55" s="77">
        <v>0</v>
      </c>
    </row>
    <row r="56" spans="1:130" x14ac:dyDescent="0.2">
      <c r="A56" s="39" t="s">
        <v>74</v>
      </c>
      <c r="B56" s="39" t="s">
        <v>170</v>
      </c>
      <c r="C56" s="70">
        <v>0</v>
      </c>
      <c r="D56" s="70">
        <v>0</v>
      </c>
      <c r="E56" s="70">
        <v>0</v>
      </c>
      <c r="F56" s="70">
        <v>0</v>
      </c>
      <c r="G56" s="70">
        <v>0</v>
      </c>
      <c r="H56" s="70">
        <v>0</v>
      </c>
      <c r="I56" s="70">
        <v>0</v>
      </c>
      <c r="J56" s="70">
        <v>0</v>
      </c>
      <c r="K56" s="70">
        <v>0</v>
      </c>
      <c r="L56" s="70">
        <v>0</v>
      </c>
      <c r="M56" s="70">
        <v>0</v>
      </c>
      <c r="N56" s="70">
        <v>0</v>
      </c>
      <c r="O56" s="70">
        <v>0</v>
      </c>
      <c r="P56" s="70">
        <v>0</v>
      </c>
      <c r="Q56" s="70">
        <v>0</v>
      </c>
      <c r="R56" s="70">
        <v>0</v>
      </c>
      <c r="S56" s="70">
        <v>0</v>
      </c>
      <c r="T56" s="70">
        <v>0</v>
      </c>
      <c r="U56" s="70">
        <v>0</v>
      </c>
      <c r="V56" s="70">
        <v>0</v>
      </c>
      <c r="W56" s="70">
        <v>0</v>
      </c>
      <c r="X56" s="70">
        <v>0</v>
      </c>
      <c r="Y56" s="70">
        <v>0</v>
      </c>
      <c r="Z56" s="103">
        <v>0</v>
      </c>
      <c r="AA56" s="104">
        <v>0</v>
      </c>
      <c r="AB56" s="70">
        <v>0</v>
      </c>
      <c r="AC56" s="70">
        <v>0</v>
      </c>
      <c r="AD56" s="103">
        <v>0</v>
      </c>
      <c r="AE56" s="104">
        <v>0</v>
      </c>
      <c r="AF56" s="70">
        <v>0</v>
      </c>
      <c r="AG56" s="70">
        <v>0</v>
      </c>
      <c r="AH56" s="103">
        <v>0</v>
      </c>
      <c r="AI56" s="104">
        <v>27</v>
      </c>
      <c r="AJ56" s="70">
        <v>29</v>
      </c>
      <c r="AK56" s="70">
        <v>43</v>
      </c>
      <c r="AL56" s="103">
        <v>31</v>
      </c>
      <c r="AM56" s="104">
        <v>0</v>
      </c>
      <c r="AN56" s="70">
        <v>0</v>
      </c>
      <c r="AO56" s="70">
        <v>0</v>
      </c>
      <c r="AP56" s="103">
        <v>0</v>
      </c>
      <c r="AQ56" s="104">
        <v>0</v>
      </c>
      <c r="AR56" s="70">
        <v>0</v>
      </c>
      <c r="AS56" s="70">
        <v>0</v>
      </c>
      <c r="AT56" s="103">
        <v>0</v>
      </c>
      <c r="AU56" s="104">
        <v>0</v>
      </c>
      <c r="AV56" s="70">
        <v>0</v>
      </c>
      <c r="AW56" s="70">
        <v>0</v>
      </c>
      <c r="AX56" s="70">
        <v>0</v>
      </c>
      <c r="AY56" s="104">
        <v>1</v>
      </c>
      <c r="AZ56" s="70">
        <v>1</v>
      </c>
      <c r="BA56" s="70">
        <v>1</v>
      </c>
      <c r="BB56" s="70">
        <v>0</v>
      </c>
      <c r="BC56" s="104">
        <v>0</v>
      </c>
      <c r="BD56" s="77">
        <v>0</v>
      </c>
      <c r="BE56" s="70">
        <v>0</v>
      </c>
      <c r="BF56" s="77">
        <v>0</v>
      </c>
      <c r="BG56" s="105">
        <v>0</v>
      </c>
      <c r="BH56" s="77">
        <v>0</v>
      </c>
      <c r="BI56" s="77">
        <v>0</v>
      </c>
      <c r="BJ56" s="77">
        <v>0</v>
      </c>
      <c r="BK56" s="105">
        <v>0</v>
      </c>
      <c r="BL56" s="77">
        <v>0</v>
      </c>
      <c r="BM56" s="77">
        <v>0</v>
      </c>
      <c r="BN56" s="77">
        <v>0</v>
      </c>
      <c r="BO56" s="105">
        <v>0</v>
      </c>
      <c r="BP56" s="77">
        <v>0</v>
      </c>
      <c r="BQ56" s="77">
        <v>0</v>
      </c>
      <c r="BR56" s="77">
        <v>0</v>
      </c>
      <c r="BS56" s="105">
        <v>0</v>
      </c>
      <c r="BT56" s="77">
        <v>0</v>
      </c>
      <c r="BU56" s="77">
        <v>0</v>
      </c>
      <c r="BV56" s="77">
        <v>0</v>
      </c>
      <c r="BW56" s="105">
        <v>0</v>
      </c>
      <c r="BX56" s="77">
        <v>0</v>
      </c>
      <c r="BY56" s="77">
        <v>0</v>
      </c>
      <c r="BZ56" s="77">
        <v>0</v>
      </c>
      <c r="CA56" s="105">
        <v>0</v>
      </c>
      <c r="CB56" s="77">
        <v>0</v>
      </c>
      <c r="CC56" s="77">
        <v>0</v>
      </c>
      <c r="CD56" s="77">
        <v>0</v>
      </c>
      <c r="CE56" s="105">
        <v>0</v>
      </c>
      <c r="CF56" s="77">
        <v>0</v>
      </c>
      <c r="CG56" s="77">
        <v>0</v>
      </c>
      <c r="CH56" s="77">
        <v>0</v>
      </c>
      <c r="CI56" s="105">
        <v>0</v>
      </c>
      <c r="CJ56" s="77">
        <v>0</v>
      </c>
      <c r="CK56" s="77">
        <v>0</v>
      </c>
      <c r="CL56" s="77">
        <v>0</v>
      </c>
      <c r="CM56" s="105">
        <v>0</v>
      </c>
      <c r="CN56" s="77">
        <v>0</v>
      </c>
      <c r="CO56" s="77">
        <v>0</v>
      </c>
      <c r="CP56" s="77">
        <v>0</v>
      </c>
      <c r="CQ56" s="105">
        <v>0</v>
      </c>
      <c r="CR56" s="77">
        <v>0</v>
      </c>
      <c r="CS56" s="77">
        <v>0</v>
      </c>
      <c r="CT56" s="77">
        <v>0</v>
      </c>
      <c r="CU56" s="105">
        <v>0</v>
      </c>
      <c r="CV56" s="77">
        <v>0</v>
      </c>
      <c r="CW56" s="77">
        <v>0</v>
      </c>
      <c r="CX56" s="77">
        <v>0</v>
      </c>
      <c r="CY56" s="105">
        <v>0</v>
      </c>
      <c r="CZ56" s="77">
        <v>0</v>
      </c>
      <c r="DA56" s="77">
        <v>0</v>
      </c>
      <c r="DB56" s="77">
        <v>0</v>
      </c>
      <c r="DC56" s="105">
        <v>0</v>
      </c>
      <c r="DD56" s="77">
        <v>0</v>
      </c>
      <c r="DE56" s="77">
        <v>0</v>
      </c>
      <c r="DF56" s="77">
        <v>0</v>
      </c>
      <c r="DG56" s="105">
        <v>0</v>
      </c>
      <c r="DH56" s="77">
        <v>0</v>
      </c>
      <c r="DI56" s="77">
        <v>0</v>
      </c>
      <c r="DJ56" s="77">
        <v>0</v>
      </c>
      <c r="DK56" s="105">
        <v>0</v>
      </c>
      <c r="DL56" s="77">
        <v>0</v>
      </c>
      <c r="DM56" s="77">
        <v>0</v>
      </c>
      <c r="DN56" s="77">
        <v>0</v>
      </c>
      <c r="DO56" s="105">
        <v>0</v>
      </c>
      <c r="DP56" s="77">
        <v>0</v>
      </c>
      <c r="DQ56" s="77">
        <v>0</v>
      </c>
      <c r="DR56" s="77">
        <v>0</v>
      </c>
      <c r="DS56" s="105">
        <v>0</v>
      </c>
      <c r="DT56" s="77">
        <v>0</v>
      </c>
      <c r="DU56" s="77">
        <v>0</v>
      </c>
      <c r="DV56" s="77">
        <v>0</v>
      </c>
      <c r="DW56" s="105">
        <v>0</v>
      </c>
      <c r="DX56" s="77">
        <v>0</v>
      </c>
      <c r="DY56" s="77">
        <v>0</v>
      </c>
      <c r="DZ56" s="77">
        <v>0</v>
      </c>
    </row>
    <row r="57" spans="1:130" x14ac:dyDescent="0.2">
      <c r="A57" s="39" t="s">
        <v>120</v>
      </c>
      <c r="B57" s="39" t="s">
        <v>170</v>
      </c>
      <c r="C57" s="70">
        <v>0</v>
      </c>
      <c r="D57" s="70">
        <v>0</v>
      </c>
      <c r="E57" s="70">
        <v>0</v>
      </c>
      <c r="F57" s="70">
        <v>0</v>
      </c>
      <c r="G57" s="70">
        <v>0</v>
      </c>
      <c r="H57" s="70">
        <v>0</v>
      </c>
      <c r="I57" s="70">
        <v>0</v>
      </c>
      <c r="J57" s="70">
        <v>0</v>
      </c>
      <c r="K57" s="70">
        <v>0</v>
      </c>
      <c r="L57" s="70">
        <v>0</v>
      </c>
      <c r="M57" s="70">
        <v>0</v>
      </c>
      <c r="N57" s="70">
        <v>0</v>
      </c>
      <c r="O57" s="70">
        <v>0</v>
      </c>
      <c r="P57" s="70">
        <v>0</v>
      </c>
      <c r="Q57" s="70">
        <v>0</v>
      </c>
      <c r="R57" s="70">
        <v>0</v>
      </c>
      <c r="S57" s="70">
        <v>0</v>
      </c>
      <c r="T57" s="70">
        <v>0</v>
      </c>
      <c r="U57" s="70">
        <v>0</v>
      </c>
      <c r="V57" s="70">
        <v>0</v>
      </c>
      <c r="W57" s="70">
        <v>0</v>
      </c>
      <c r="X57" s="70">
        <v>0</v>
      </c>
      <c r="Y57" s="70">
        <v>11</v>
      </c>
      <c r="Z57" s="103">
        <v>32</v>
      </c>
      <c r="AA57" s="104">
        <v>131</v>
      </c>
      <c r="AB57" s="70">
        <v>132</v>
      </c>
      <c r="AC57" s="70">
        <v>145</v>
      </c>
      <c r="AD57" s="103">
        <v>169</v>
      </c>
      <c r="AE57" s="104">
        <v>133</v>
      </c>
      <c r="AF57" s="70">
        <v>57</v>
      </c>
      <c r="AG57" s="70">
        <v>116</v>
      </c>
      <c r="AH57" s="103">
        <v>74</v>
      </c>
      <c r="AI57" s="104">
        <v>332</v>
      </c>
      <c r="AJ57" s="70">
        <v>481</v>
      </c>
      <c r="AK57" s="70">
        <v>604</v>
      </c>
      <c r="AL57" s="103">
        <v>84</v>
      </c>
      <c r="AM57" s="104">
        <v>0</v>
      </c>
      <c r="AN57" s="70">
        <v>0</v>
      </c>
      <c r="AO57" s="70">
        <v>0</v>
      </c>
      <c r="AP57" s="103">
        <v>0</v>
      </c>
      <c r="AQ57" s="104">
        <v>0</v>
      </c>
      <c r="AR57" s="70">
        <v>0</v>
      </c>
      <c r="AS57" s="70">
        <v>0</v>
      </c>
      <c r="AT57" s="103">
        <v>0</v>
      </c>
      <c r="AU57" s="104">
        <v>0</v>
      </c>
      <c r="AV57" s="70">
        <v>0</v>
      </c>
      <c r="AW57" s="70">
        <v>0</v>
      </c>
      <c r="AX57" s="70">
        <v>0</v>
      </c>
      <c r="AY57" s="104">
        <v>0</v>
      </c>
      <c r="AZ57" s="70">
        <v>0</v>
      </c>
      <c r="BA57" s="70">
        <v>0</v>
      </c>
      <c r="BB57" s="70">
        <v>0</v>
      </c>
      <c r="BC57" s="104">
        <v>7</v>
      </c>
      <c r="BD57" s="77">
        <v>0</v>
      </c>
      <c r="BE57" s="70">
        <v>6</v>
      </c>
      <c r="BF57" s="77">
        <v>0</v>
      </c>
      <c r="BG57" s="105">
        <v>0</v>
      </c>
      <c r="BH57" s="77">
        <v>0</v>
      </c>
      <c r="BI57" s="77">
        <v>0</v>
      </c>
      <c r="BJ57" s="77">
        <v>0</v>
      </c>
      <c r="BK57" s="105">
        <v>0</v>
      </c>
      <c r="BL57" s="77">
        <v>0</v>
      </c>
      <c r="BM57" s="77">
        <v>0</v>
      </c>
      <c r="BN57" s="77">
        <v>0</v>
      </c>
      <c r="BO57" s="105">
        <v>0</v>
      </c>
      <c r="BP57" s="77">
        <v>0</v>
      </c>
      <c r="BQ57" s="77">
        <v>0</v>
      </c>
      <c r="BR57" s="77">
        <v>0</v>
      </c>
      <c r="BS57" s="105">
        <v>0</v>
      </c>
      <c r="BT57" s="77">
        <v>0</v>
      </c>
      <c r="BU57" s="77">
        <v>0</v>
      </c>
      <c r="BV57" s="77">
        <v>0</v>
      </c>
      <c r="BW57" s="105">
        <v>0</v>
      </c>
      <c r="BX57" s="77">
        <v>0</v>
      </c>
      <c r="BY57" s="77">
        <v>0</v>
      </c>
      <c r="BZ57" s="77">
        <v>0</v>
      </c>
      <c r="CA57" s="105">
        <v>0</v>
      </c>
      <c r="CB57" s="77">
        <v>0</v>
      </c>
      <c r="CC57" s="77">
        <v>0</v>
      </c>
      <c r="CD57" s="77">
        <v>0</v>
      </c>
      <c r="CE57" s="105">
        <v>0</v>
      </c>
      <c r="CF57" s="77">
        <v>0</v>
      </c>
      <c r="CG57" s="77">
        <v>0</v>
      </c>
      <c r="CH57" s="77">
        <v>0</v>
      </c>
      <c r="CI57" s="105">
        <v>0</v>
      </c>
      <c r="CJ57" s="77">
        <v>0</v>
      </c>
      <c r="CK57" s="77">
        <v>0</v>
      </c>
      <c r="CL57" s="77">
        <v>0</v>
      </c>
      <c r="CM57" s="105">
        <v>0</v>
      </c>
      <c r="CN57" s="77">
        <v>0</v>
      </c>
      <c r="CO57" s="77">
        <v>0</v>
      </c>
      <c r="CP57" s="77">
        <v>0</v>
      </c>
      <c r="CQ57" s="105">
        <v>0</v>
      </c>
      <c r="CR57" s="77">
        <v>0</v>
      </c>
      <c r="CS57" s="77">
        <v>0</v>
      </c>
      <c r="CT57" s="77">
        <v>0</v>
      </c>
      <c r="CU57" s="105">
        <v>0</v>
      </c>
      <c r="CV57" s="77">
        <v>0</v>
      </c>
      <c r="CW57" s="77">
        <v>0</v>
      </c>
      <c r="CX57" s="77">
        <v>0</v>
      </c>
      <c r="CY57" s="105">
        <v>0</v>
      </c>
      <c r="CZ57" s="77">
        <v>0</v>
      </c>
      <c r="DA57" s="77">
        <v>0</v>
      </c>
      <c r="DB57" s="77">
        <v>0</v>
      </c>
      <c r="DC57" s="105">
        <v>0</v>
      </c>
      <c r="DD57" s="77">
        <v>0</v>
      </c>
      <c r="DE57" s="77">
        <v>0</v>
      </c>
      <c r="DF57" s="77">
        <v>0</v>
      </c>
      <c r="DG57" s="105">
        <v>0</v>
      </c>
      <c r="DH57" s="77">
        <v>0</v>
      </c>
      <c r="DI57" s="77">
        <v>0</v>
      </c>
      <c r="DJ57" s="77">
        <v>0</v>
      </c>
      <c r="DK57" s="105">
        <v>0</v>
      </c>
      <c r="DL57" s="77">
        <v>0</v>
      </c>
      <c r="DM57" s="77">
        <v>0</v>
      </c>
      <c r="DN57" s="77">
        <v>0</v>
      </c>
      <c r="DO57" s="105">
        <v>0</v>
      </c>
      <c r="DP57" s="77">
        <v>0</v>
      </c>
      <c r="DQ57" s="77">
        <v>0</v>
      </c>
      <c r="DR57" s="77">
        <v>0</v>
      </c>
      <c r="DS57" s="105">
        <v>0</v>
      </c>
      <c r="DT57" s="77">
        <v>0</v>
      </c>
      <c r="DU57" s="77">
        <v>0</v>
      </c>
      <c r="DV57" s="77">
        <v>0</v>
      </c>
      <c r="DW57" s="105">
        <v>0</v>
      </c>
      <c r="DX57" s="77">
        <v>0</v>
      </c>
      <c r="DY57" s="77">
        <v>0</v>
      </c>
      <c r="DZ57" s="77">
        <v>0</v>
      </c>
    </row>
    <row r="58" spans="1:130" x14ac:dyDescent="0.2">
      <c r="A58" s="39" t="s">
        <v>121</v>
      </c>
      <c r="B58" s="39" t="s">
        <v>170</v>
      </c>
      <c r="C58" s="70">
        <v>0</v>
      </c>
      <c r="D58" s="70">
        <v>0</v>
      </c>
      <c r="E58" s="70">
        <v>0</v>
      </c>
      <c r="F58" s="70">
        <v>0</v>
      </c>
      <c r="G58" s="70">
        <v>0</v>
      </c>
      <c r="H58" s="70">
        <v>0</v>
      </c>
      <c r="I58" s="70">
        <v>0</v>
      </c>
      <c r="J58" s="70">
        <v>0</v>
      </c>
      <c r="K58" s="70">
        <v>0</v>
      </c>
      <c r="L58" s="70">
        <v>0</v>
      </c>
      <c r="M58" s="70">
        <v>0</v>
      </c>
      <c r="N58" s="70">
        <v>0</v>
      </c>
      <c r="O58" s="70">
        <v>0</v>
      </c>
      <c r="P58" s="70">
        <v>0</v>
      </c>
      <c r="Q58" s="70">
        <v>0</v>
      </c>
      <c r="R58" s="70">
        <v>0</v>
      </c>
      <c r="S58" s="70">
        <v>0</v>
      </c>
      <c r="T58" s="70">
        <v>0</v>
      </c>
      <c r="U58" s="70">
        <v>0</v>
      </c>
      <c r="V58" s="70">
        <v>0</v>
      </c>
      <c r="W58" s="70">
        <v>0</v>
      </c>
      <c r="X58" s="70">
        <v>0</v>
      </c>
      <c r="Y58" s="70">
        <v>0</v>
      </c>
      <c r="Z58" s="103">
        <v>0</v>
      </c>
      <c r="AA58" s="104">
        <v>46</v>
      </c>
      <c r="AB58" s="70">
        <v>0</v>
      </c>
      <c r="AC58" s="70">
        <v>1</v>
      </c>
      <c r="AD58" s="103">
        <v>0</v>
      </c>
      <c r="AE58" s="104">
        <v>0</v>
      </c>
      <c r="AF58" s="70">
        <v>0</v>
      </c>
      <c r="AG58" s="70">
        <v>0</v>
      </c>
      <c r="AH58" s="103">
        <v>0</v>
      </c>
      <c r="AI58" s="104">
        <v>121</v>
      </c>
      <c r="AJ58" s="70">
        <v>225</v>
      </c>
      <c r="AK58" s="70">
        <v>76</v>
      </c>
      <c r="AL58" s="103">
        <v>103</v>
      </c>
      <c r="AM58" s="104">
        <v>16</v>
      </c>
      <c r="AN58" s="70"/>
      <c r="AO58" s="70"/>
      <c r="AP58" s="103">
        <v>10</v>
      </c>
      <c r="AQ58" s="104"/>
      <c r="AR58" s="70"/>
      <c r="AS58" s="70"/>
      <c r="AT58" s="103"/>
      <c r="AU58" s="104">
        <v>340</v>
      </c>
      <c r="AV58" s="70">
        <v>231</v>
      </c>
      <c r="AW58" s="70">
        <v>293</v>
      </c>
      <c r="AX58" s="70">
        <v>936</v>
      </c>
      <c r="AY58" s="104">
        <v>0</v>
      </c>
      <c r="AZ58" s="70">
        <v>0</v>
      </c>
      <c r="BA58" s="70">
        <v>0</v>
      </c>
      <c r="BB58" s="70">
        <v>0</v>
      </c>
      <c r="BC58" s="104">
        <v>14</v>
      </c>
      <c r="BD58" s="77">
        <v>0</v>
      </c>
      <c r="BE58" s="70">
        <v>0</v>
      </c>
      <c r="BF58" s="77">
        <v>0</v>
      </c>
      <c r="BG58" s="105">
        <v>0</v>
      </c>
      <c r="BH58" s="77">
        <v>0</v>
      </c>
      <c r="BI58" s="77">
        <v>0</v>
      </c>
      <c r="BJ58" s="77">
        <v>0</v>
      </c>
      <c r="BK58" s="105">
        <v>0</v>
      </c>
      <c r="BL58" s="77">
        <v>0</v>
      </c>
      <c r="BM58" s="77">
        <v>0</v>
      </c>
      <c r="BN58" s="77">
        <v>0</v>
      </c>
      <c r="BO58" s="105">
        <v>0</v>
      </c>
      <c r="BP58" s="77">
        <v>0</v>
      </c>
      <c r="BQ58" s="77">
        <v>0</v>
      </c>
      <c r="BR58" s="77">
        <v>0</v>
      </c>
      <c r="BS58" s="105">
        <v>0</v>
      </c>
      <c r="BT58" s="77">
        <v>0</v>
      </c>
      <c r="BU58" s="77">
        <v>0</v>
      </c>
      <c r="BV58" s="77">
        <v>0</v>
      </c>
      <c r="BW58" s="105">
        <v>0</v>
      </c>
      <c r="BX58" s="77">
        <v>0</v>
      </c>
      <c r="BY58" s="77">
        <v>0</v>
      </c>
      <c r="BZ58" s="77">
        <v>0</v>
      </c>
      <c r="CA58" s="105">
        <v>0</v>
      </c>
      <c r="CB58" s="77">
        <v>0</v>
      </c>
      <c r="CC58" s="77">
        <v>0</v>
      </c>
      <c r="CD58" s="77">
        <v>0</v>
      </c>
      <c r="CE58" s="105">
        <v>0</v>
      </c>
      <c r="CF58" s="77">
        <v>0</v>
      </c>
      <c r="CG58" s="77">
        <v>0</v>
      </c>
      <c r="CH58" s="77">
        <v>0</v>
      </c>
      <c r="CI58" s="105">
        <v>0</v>
      </c>
      <c r="CJ58" s="77">
        <v>0</v>
      </c>
      <c r="CK58" s="77">
        <v>0</v>
      </c>
      <c r="CL58" s="77">
        <v>0</v>
      </c>
      <c r="CM58" s="105">
        <v>0</v>
      </c>
      <c r="CN58" s="77">
        <v>0</v>
      </c>
      <c r="CO58" s="77">
        <v>0</v>
      </c>
      <c r="CP58" s="77">
        <v>0</v>
      </c>
      <c r="CQ58" s="105">
        <v>0</v>
      </c>
      <c r="CR58" s="77">
        <v>0</v>
      </c>
      <c r="CS58" s="77">
        <v>0</v>
      </c>
      <c r="CT58" s="77">
        <v>0</v>
      </c>
      <c r="CU58" s="105">
        <v>0</v>
      </c>
      <c r="CV58" s="77">
        <v>0</v>
      </c>
      <c r="CW58" s="77">
        <v>0</v>
      </c>
      <c r="CX58" s="77">
        <v>0</v>
      </c>
      <c r="CY58" s="105">
        <v>0</v>
      </c>
      <c r="CZ58" s="77">
        <v>0</v>
      </c>
      <c r="DA58" s="77">
        <v>0</v>
      </c>
      <c r="DB58" s="77">
        <v>0</v>
      </c>
      <c r="DC58" s="105">
        <v>0</v>
      </c>
      <c r="DD58" s="77">
        <v>0</v>
      </c>
      <c r="DE58" s="77">
        <v>0</v>
      </c>
      <c r="DF58" s="77">
        <v>0</v>
      </c>
      <c r="DG58" s="105">
        <v>0</v>
      </c>
      <c r="DH58" s="77">
        <v>0</v>
      </c>
      <c r="DI58" s="77">
        <v>0</v>
      </c>
      <c r="DJ58" s="77">
        <v>0</v>
      </c>
      <c r="DK58" s="105">
        <v>0</v>
      </c>
      <c r="DL58" s="77">
        <v>0</v>
      </c>
      <c r="DM58" s="77">
        <v>0</v>
      </c>
      <c r="DN58" s="77">
        <v>0</v>
      </c>
      <c r="DO58" s="105">
        <v>0</v>
      </c>
      <c r="DP58" s="77">
        <v>0</v>
      </c>
      <c r="DQ58" s="77">
        <v>0</v>
      </c>
      <c r="DR58" s="77">
        <v>0</v>
      </c>
      <c r="DS58" s="105">
        <v>0</v>
      </c>
      <c r="DT58" s="77">
        <v>0</v>
      </c>
      <c r="DU58" s="77">
        <v>0</v>
      </c>
      <c r="DV58" s="77">
        <v>0</v>
      </c>
      <c r="DW58" s="105">
        <v>0</v>
      </c>
      <c r="DX58" s="77">
        <v>0</v>
      </c>
      <c r="DY58" s="77">
        <v>0</v>
      </c>
      <c r="DZ58" s="77">
        <v>0</v>
      </c>
    </row>
    <row r="59" spans="1:130" x14ac:dyDescent="0.2">
      <c r="A59" s="39" t="s">
        <v>122</v>
      </c>
      <c r="B59" s="39" t="s">
        <v>170</v>
      </c>
      <c r="C59" s="70"/>
      <c r="D59" s="70"/>
      <c r="E59" s="70"/>
      <c r="F59" s="70"/>
      <c r="G59" s="70"/>
      <c r="H59" s="70"/>
      <c r="I59" s="70"/>
      <c r="J59" s="70"/>
      <c r="K59" s="70"/>
      <c r="L59" s="70"/>
      <c r="M59" s="70"/>
      <c r="N59" s="70"/>
      <c r="O59" s="70"/>
      <c r="P59" s="70"/>
      <c r="Q59" s="70"/>
      <c r="R59" s="70"/>
      <c r="S59" s="70">
        <v>0</v>
      </c>
      <c r="T59" s="70">
        <v>0</v>
      </c>
      <c r="U59" s="70">
        <v>0</v>
      </c>
      <c r="V59" s="70">
        <v>0</v>
      </c>
      <c r="W59" s="70">
        <v>0</v>
      </c>
      <c r="X59" s="70">
        <v>0</v>
      </c>
      <c r="Y59" s="70">
        <v>0</v>
      </c>
      <c r="Z59" s="103">
        <v>0</v>
      </c>
      <c r="AA59" s="104">
        <v>0</v>
      </c>
      <c r="AB59" s="70">
        <v>0</v>
      </c>
      <c r="AC59" s="70">
        <v>0</v>
      </c>
      <c r="AD59" s="103">
        <v>0</v>
      </c>
      <c r="AE59" s="104">
        <v>0</v>
      </c>
      <c r="AF59" s="70">
        <v>0</v>
      </c>
      <c r="AG59" s="70">
        <v>0</v>
      </c>
      <c r="AH59" s="103">
        <v>0</v>
      </c>
      <c r="AI59" s="104">
        <v>0</v>
      </c>
      <c r="AJ59" s="70">
        <v>0</v>
      </c>
      <c r="AK59" s="70">
        <v>0</v>
      </c>
      <c r="AL59" s="103">
        <v>0</v>
      </c>
      <c r="AM59" s="104">
        <v>0</v>
      </c>
      <c r="AN59" s="70">
        <v>0</v>
      </c>
      <c r="AO59" s="70">
        <v>0</v>
      </c>
      <c r="AP59" s="103">
        <v>0</v>
      </c>
      <c r="AQ59" s="104">
        <v>0</v>
      </c>
      <c r="AR59" s="70">
        <v>0</v>
      </c>
      <c r="AS59" s="70">
        <v>0</v>
      </c>
      <c r="AT59" s="103">
        <v>0</v>
      </c>
      <c r="AU59" s="104">
        <v>0</v>
      </c>
      <c r="AV59" s="70">
        <v>0</v>
      </c>
      <c r="AW59" s="70">
        <v>0</v>
      </c>
      <c r="AX59" s="70">
        <v>0</v>
      </c>
      <c r="AY59" s="104">
        <v>0</v>
      </c>
      <c r="AZ59" s="70">
        <v>0</v>
      </c>
      <c r="BA59" s="70">
        <v>0</v>
      </c>
      <c r="BB59" s="70">
        <v>0</v>
      </c>
      <c r="BC59" s="104">
        <v>0</v>
      </c>
      <c r="BD59" s="70"/>
      <c r="BE59" s="70">
        <v>8</v>
      </c>
      <c r="BF59" s="77"/>
      <c r="BG59" s="105"/>
      <c r="BH59" s="77"/>
      <c r="BI59" s="77"/>
      <c r="BJ59" s="77"/>
      <c r="BK59" s="105"/>
      <c r="BL59" s="77"/>
      <c r="BM59" s="77"/>
      <c r="BN59" s="77"/>
      <c r="BO59" s="105"/>
      <c r="BP59" s="77"/>
      <c r="BQ59" s="77"/>
      <c r="BR59" s="77"/>
      <c r="BS59" s="105"/>
      <c r="BT59" s="77"/>
      <c r="BU59" s="77"/>
      <c r="BV59" s="77"/>
      <c r="BW59" s="105"/>
      <c r="BX59" s="77"/>
      <c r="BY59" s="77"/>
      <c r="BZ59" s="77"/>
      <c r="CA59" s="105"/>
      <c r="CB59" s="77"/>
      <c r="CC59" s="77"/>
      <c r="CD59" s="77"/>
      <c r="CE59" s="105"/>
      <c r="CF59" s="77"/>
      <c r="CG59" s="77"/>
      <c r="CH59" s="77"/>
      <c r="CI59" s="105"/>
      <c r="CJ59" s="77"/>
      <c r="CK59" s="77"/>
      <c r="CL59" s="77"/>
      <c r="CM59" s="105"/>
      <c r="CN59" s="77"/>
      <c r="CO59" s="77"/>
      <c r="CP59" s="77"/>
      <c r="CQ59" s="105"/>
      <c r="CR59" s="77"/>
      <c r="CS59" s="77"/>
      <c r="CT59" s="77"/>
      <c r="CU59" s="105"/>
      <c r="CV59" s="77"/>
      <c r="CW59" s="77"/>
      <c r="CX59" s="77"/>
      <c r="CY59" s="105"/>
      <c r="CZ59" s="77"/>
      <c r="DA59" s="77"/>
      <c r="DB59" s="77"/>
      <c r="DC59" s="105"/>
      <c r="DD59" s="77"/>
      <c r="DE59" s="77"/>
      <c r="DF59" s="77"/>
      <c r="DG59" s="105"/>
      <c r="DH59" s="77"/>
      <c r="DI59" s="77"/>
      <c r="DJ59" s="77"/>
      <c r="DK59" s="105"/>
      <c r="DL59" s="77"/>
      <c r="DM59" s="77"/>
      <c r="DN59" s="77"/>
      <c r="DO59" s="105"/>
      <c r="DP59" s="77"/>
      <c r="DQ59" s="77"/>
      <c r="DR59" s="77"/>
      <c r="DS59" s="105"/>
      <c r="DT59" s="77"/>
      <c r="DU59" s="77"/>
      <c r="DV59" s="77"/>
      <c r="DW59" s="105"/>
      <c r="DX59" s="77"/>
      <c r="DY59" s="77"/>
      <c r="DZ59" s="77"/>
    </row>
    <row r="60" spans="1:130" x14ac:dyDescent="0.2">
      <c r="A60" s="39" t="s">
        <v>75</v>
      </c>
      <c r="B60" s="39" t="s">
        <v>170</v>
      </c>
      <c r="C60" s="70">
        <v>10912</v>
      </c>
      <c r="D60" s="70">
        <v>5631</v>
      </c>
      <c r="E60" s="70">
        <v>9159</v>
      </c>
      <c r="F60" s="70">
        <v>8294</v>
      </c>
      <c r="G60" s="70">
        <v>2721</v>
      </c>
      <c r="H60" s="70">
        <v>2069</v>
      </c>
      <c r="I60" s="70">
        <v>3686</v>
      </c>
      <c r="J60" s="70">
        <v>6188</v>
      </c>
      <c r="K60" s="70">
        <v>14700</v>
      </c>
      <c r="L60" s="70">
        <v>26774</v>
      </c>
      <c r="M60" s="70">
        <v>23745</v>
      </c>
      <c r="N60" s="70">
        <v>34995</v>
      </c>
      <c r="O60" s="70">
        <v>26650</v>
      </c>
      <c r="P60" s="70">
        <v>29203</v>
      </c>
      <c r="Q60" s="70">
        <v>18762</v>
      </c>
      <c r="R60" s="70">
        <v>13371</v>
      </c>
      <c r="S60" s="70">
        <v>14858</v>
      </c>
      <c r="T60" s="70">
        <v>20542</v>
      </c>
      <c r="U60" s="70">
        <v>32794</v>
      </c>
      <c r="V60" s="70">
        <v>60181</v>
      </c>
      <c r="W60" s="70">
        <v>38262</v>
      </c>
      <c r="X60" s="70">
        <v>26159</v>
      </c>
      <c r="Y60" s="70">
        <v>46147</v>
      </c>
      <c r="Z60" s="103">
        <v>91725</v>
      </c>
      <c r="AA60" s="104">
        <v>60198</v>
      </c>
      <c r="AB60" s="70">
        <v>47091</v>
      </c>
      <c r="AC60" s="70">
        <v>61440</v>
      </c>
      <c r="AD60" s="103">
        <v>114629</v>
      </c>
      <c r="AE60" s="104">
        <v>48175</v>
      </c>
      <c r="AF60" s="70">
        <v>35502</v>
      </c>
      <c r="AG60" s="70">
        <v>62455</v>
      </c>
      <c r="AH60" s="103">
        <v>52912</v>
      </c>
      <c r="AI60" s="104">
        <v>158549</v>
      </c>
      <c r="AJ60" s="70">
        <v>83850</v>
      </c>
      <c r="AK60" s="70">
        <v>83738</v>
      </c>
      <c r="AL60" s="103">
        <v>57767</v>
      </c>
      <c r="AM60" s="104">
        <v>78437</v>
      </c>
      <c r="AN60" s="70">
        <v>92364</v>
      </c>
      <c r="AO60" s="70">
        <v>33201</v>
      </c>
      <c r="AP60" s="103">
        <v>68269</v>
      </c>
      <c r="AQ60" s="104">
        <v>46722</v>
      </c>
      <c r="AR60" s="70">
        <v>28024</v>
      </c>
      <c r="AS60" s="70">
        <v>147000</v>
      </c>
      <c r="AT60" s="103">
        <v>35919</v>
      </c>
      <c r="AU60" s="104">
        <v>30612</v>
      </c>
      <c r="AV60" s="70">
        <v>30224</v>
      </c>
      <c r="AW60" s="70">
        <v>33742</v>
      </c>
      <c r="AX60" s="70">
        <v>51873</v>
      </c>
      <c r="AY60" s="104">
        <v>28936</v>
      </c>
      <c r="AZ60" s="70">
        <v>64809</v>
      </c>
      <c r="BA60" s="70">
        <v>42767</v>
      </c>
      <c r="BB60" s="70">
        <v>51231</v>
      </c>
      <c r="BC60" s="104">
        <v>29210</v>
      </c>
      <c r="BD60" s="70">
        <v>30899</v>
      </c>
      <c r="BE60" s="70">
        <v>35126</v>
      </c>
      <c r="BF60" s="77">
        <f>_xlfn.FORECAST.ETS(BF$19,AV60:BE60,AV$19:BE$19)+5000</f>
        <v>50583.709253613517</v>
      </c>
      <c r="BG60" s="105">
        <f t="shared" ref="BG60:CL62" si="107">_xlfn.FORECAST.ETS(BG$19,AW60:BF60,AW$19:BF$19)</f>
        <v>26549.506312762926</v>
      </c>
      <c r="BH60" s="77">
        <f t="shared" si="107"/>
        <v>43758.879607576579</v>
      </c>
      <c r="BI60" s="77">
        <f t="shared" si="107"/>
        <v>24723.188740679667</v>
      </c>
      <c r="BJ60" s="77">
        <f t="shared" si="107"/>
        <v>35048.971832053176</v>
      </c>
      <c r="BK60" s="105">
        <f t="shared" si="107"/>
        <v>25242.04180658863</v>
      </c>
      <c r="BL60" s="77">
        <f t="shared" si="107"/>
        <v>38080.314156843408</v>
      </c>
      <c r="BM60" s="77">
        <f t="shared" si="107"/>
        <v>24585.672545414378</v>
      </c>
      <c r="BN60" s="77">
        <f t="shared" si="107"/>
        <v>36342.572393867391</v>
      </c>
      <c r="BO60" s="105">
        <f t="shared" si="107"/>
        <v>19697.745785064737</v>
      </c>
      <c r="BP60" s="77">
        <f t="shared" si="107"/>
        <v>34487.911146907849</v>
      </c>
      <c r="BQ60" s="77">
        <f t="shared" si="107"/>
        <v>19396.993508323365</v>
      </c>
      <c r="BR60" s="77">
        <f t="shared" si="107"/>
        <v>32087.401816127265</v>
      </c>
      <c r="BS60" s="105">
        <f t="shared" si="107"/>
        <v>19041.971945052152</v>
      </c>
      <c r="BT60" s="77">
        <f t="shared" si="107"/>
        <v>31015.822633150172</v>
      </c>
      <c r="BU60" s="77">
        <f t="shared" si="107"/>
        <v>16136.381700050979</v>
      </c>
      <c r="BV60" s="77">
        <f t="shared" si="107"/>
        <v>29147.176879872761</v>
      </c>
      <c r="BW60" s="105">
        <f t="shared" si="107"/>
        <v>14449.0033825215</v>
      </c>
      <c r="BX60" s="77">
        <f t="shared" si="107"/>
        <v>27973.926017136437</v>
      </c>
      <c r="BY60" s="77">
        <f t="shared" si="107"/>
        <v>13242.636695362668</v>
      </c>
      <c r="BZ60" s="77">
        <f t="shared" si="107"/>
        <v>26006.490631210701</v>
      </c>
      <c r="CA60" s="105">
        <f t="shared" si="107"/>
        <v>11656.333190599114</v>
      </c>
      <c r="CB60" s="77">
        <f t="shared" si="107"/>
        <v>24261.649974117332</v>
      </c>
      <c r="CC60" s="77">
        <f t="shared" si="107"/>
        <v>9752.8888050943933</v>
      </c>
      <c r="CD60" s="77">
        <f t="shared" si="107"/>
        <v>22924.626987977757</v>
      </c>
      <c r="CE60" s="105">
        <f t="shared" si="107"/>
        <v>8235.3140151251864</v>
      </c>
      <c r="CF60" s="77">
        <f t="shared" si="107"/>
        <v>21204.649568332126</v>
      </c>
      <c r="CG60" s="77">
        <f t="shared" si="107"/>
        <v>6619.7572073717638</v>
      </c>
      <c r="CH60" s="77">
        <f t="shared" si="107"/>
        <v>19495.657340348349</v>
      </c>
      <c r="CI60" s="105">
        <f t="shared" si="107"/>
        <v>5012.5936110531929</v>
      </c>
      <c r="CJ60" s="77">
        <f t="shared" si="107"/>
        <v>17903.201610788266</v>
      </c>
      <c r="CK60" s="77">
        <f t="shared" si="107"/>
        <v>3368.3826466918454</v>
      </c>
      <c r="CL60" s="77">
        <f t="shared" si="107"/>
        <v>16336.974173996674</v>
      </c>
      <c r="CM60" s="105">
        <f>_xlfn.FORECAST.ETS(CM$19,CC60:CL60,CC$19:CL$19)</f>
        <v>1711.3709822871824</v>
      </c>
      <c r="CN60" s="77">
        <f>_xlfn.FORECAST.ETS(CN$19,CD60:CM60,CD$19:CM$19)</f>
        <v>14664.461416445432</v>
      </c>
      <c r="CO60" s="77">
        <f>_xlfn.FORECAST.ETS(CO$19,CE60:CN60,CE$19:CN$19)</f>
        <v>117.54204116050641</v>
      </c>
      <c r="CP60" s="77">
        <f>_xlfn.FORECAST.ETS(CP$19,CF60:CO60,CF$19:CO$19)</f>
        <v>13031.04146111336</v>
      </c>
      <c r="CQ60" s="105">
        <f t="shared" ref="CQ60:DY60" si="108">_xlfn.FORECAST.ETS(CQ$19,CG60:CP60,CG$19:CP$19)+50000</f>
        <v>48497.911147380051</v>
      </c>
      <c r="CR60" s="77">
        <f t="shared" si="108"/>
        <v>75051.556758019637</v>
      </c>
      <c r="CS60" s="77">
        <f t="shared" si="108"/>
        <v>127824.63108330772</v>
      </c>
      <c r="CT60" s="77">
        <f t="shared" si="108"/>
        <v>187953.67266488395</v>
      </c>
      <c r="CU60" s="105">
        <f t="shared" si="108"/>
        <v>255667.58773167382</v>
      </c>
      <c r="CV60" s="77">
        <f t="shared" si="108"/>
        <v>331629.65679814917</v>
      </c>
      <c r="CW60" s="77">
        <f t="shared" si="108"/>
        <v>456670.50220292644</v>
      </c>
      <c r="CX60" s="77">
        <f t="shared" si="108"/>
        <v>626579.56801335188</v>
      </c>
      <c r="CY60" s="105">
        <f t="shared" si="108"/>
        <v>841438.63383445225</v>
      </c>
      <c r="CZ60" s="77">
        <f t="shared" si="108"/>
        <v>1101247.6996651401</v>
      </c>
      <c r="DA60" s="77">
        <f t="shared" si="108"/>
        <v>1406006.7655058198</v>
      </c>
      <c r="DB60" s="77">
        <f t="shared" si="108"/>
        <v>1755715.8313618307</v>
      </c>
      <c r="DC60" s="105">
        <f t="shared" si="108"/>
        <v>2150374.8972342769</v>
      </c>
      <c r="DD60" s="77">
        <f t="shared" si="108"/>
        <v>2589983.9631275027</v>
      </c>
      <c r="DE60" s="77">
        <f t="shared" si="108"/>
        <v>3074543.0290461918</v>
      </c>
      <c r="DF60" s="77">
        <f t="shared" si="108"/>
        <v>3604052.0949951527</v>
      </c>
      <c r="DG60" s="105">
        <f t="shared" si="108"/>
        <v>4178511.1609737035</v>
      </c>
      <c r="DH60" s="77">
        <f t="shared" si="108"/>
        <v>4797920.2269818708</v>
      </c>
      <c r="DI60" s="77">
        <f t="shared" si="108"/>
        <v>5462279.2930196552</v>
      </c>
      <c r="DJ60" s="77">
        <f t="shared" si="108"/>
        <v>6171588.3590870537</v>
      </c>
      <c r="DK60" s="105">
        <f t="shared" si="108"/>
        <v>6925847.4251840692</v>
      </c>
      <c r="DL60" s="77">
        <f t="shared" si="108"/>
        <v>7725056.4913107008</v>
      </c>
      <c r="DM60" s="77">
        <f t="shared" si="108"/>
        <v>8569215.5574669465</v>
      </c>
      <c r="DN60" s="77">
        <f t="shared" si="108"/>
        <v>9458324.6236528102</v>
      </c>
      <c r="DO60" s="105">
        <f t="shared" si="108"/>
        <v>10392383.689868286</v>
      </c>
      <c r="DP60" s="77">
        <f t="shared" si="108"/>
        <v>11371392.756113378</v>
      </c>
      <c r="DQ60" s="77">
        <f t="shared" si="108"/>
        <v>12395351.822388088</v>
      </c>
      <c r="DR60" s="77">
        <f t="shared" si="108"/>
        <v>13464260.888692414</v>
      </c>
      <c r="DS60" s="105">
        <f t="shared" si="108"/>
        <v>14578119.955026358</v>
      </c>
      <c r="DT60" s="77">
        <f t="shared" si="108"/>
        <v>15736929.021389918</v>
      </c>
      <c r="DU60" s="77">
        <f t="shared" si="108"/>
        <v>16940688.087783094</v>
      </c>
      <c r="DV60" s="77">
        <f t="shared" si="108"/>
        <v>18189397.154205885</v>
      </c>
      <c r="DW60" s="105">
        <f t="shared" si="108"/>
        <v>19483056.220658295</v>
      </c>
      <c r="DX60" s="77">
        <f t="shared" si="108"/>
        <v>20821665.287140321</v>
      </c>
      <c r="DY60" s="77">
        <f t="shared" si="108"/>
        <v>22205224.353651963</v>
      </c>
      <c r="DZ60" s="77">
        <f>_xlfn.FORECAST.ETS(DZ$19,DP60:DY60,DP$19:DY$19)+50000</f>
        <v>23633733.420193214</v>
      </c>
    </row>
    <row r="61" spans="1:130" x14ac:dyDescent="0.2">
      <c r="A61" s="39" t="s">
        <v>76</v>
      </c>
      <c r="B61" s="39" t="s">
        <v>170</v>
      </c>
      <c r="C61" s="70">
        <v>0</v>
      </c>
      <c r="D61" s="70">
        <v>271</v>
      </c>
      <c r="E61" s="70">
        <v>359</v>
      </c>
      <c r="F61" s="70">
        <v>276</v>
      </c>
      <c r="G61" s="70">
        <v>924</v>
      </c>
      <c r="H61" s="70">
        <v>24</v>
      </c>
      <c r="I61" s="70">
        <v>1</v>
      </c>
      <c r="J61" s="70">
        <v>96</v>
      </c>
      <c r="K61" s="70">
        <v>439</v>
      </c>
      <c r="L61" s="70">
        <v>970</v>
      </c>
      <c r="M61" s="70">
        <v>7289</v>
      </c>
      <c r="N61" s="70">
        <v>13425</v>
      </c>
      <c r="O61" s="70">
        <v>10373</v>
      </c>
      <c r="P61" s="70">
        <v>26434</v>
      </c>
      <c r="Q61" s="70">
        <v>11558</v>
      </c>
      <c r="R61" s="70">
        <v>6288</v>
      </c>
      <c r="S61" s="70">
        <v>16913</v>
      </c>
      <c r="T61" s="70">
        <v>17806</v>
      </c>
      <c r="U61" s="70">
        <v>20768</v>
      </c>
      <c r="V61" s="70">
        <v>24665</v>
      </c>
      <c r="W61" s="70">
        <v>21255</v>
      </c>
      <c r="X61" s="70">
        <v>3458</v>
      </c>
      <c r="Y61" s="70">
        <v>674</v>
      </c>
      <c r="Z61" s="103">
        <v>407</v>
      </c>
      <c r="AA61" s="104">
        <v>8</v>
      </c>
      <c r="AB61" s="70">
        <v>1506</v>
      </c>
      <c r="AC61" s="70">
        <v>2954</v>
      </c>
      <c r="AD61" s="103">
        <v>3173</v>
      </c>
      <c r="AE61" s="104">
        <v>8746</v>
      </c>
      <c r="AF61" s="70">
        <v>5862</v>
      </c>
      <c r="AG61" s="70">
        <v>8794</v>
      </c>
      <c r="AH61" s="103">
        <v>11605</v>
      </c>
      <c r="AI61" s="104">
        <v>473</v>
      </c>
      <c r="AJ61" s="70">
        <v>3580</v>
      </c>
      <c r="AK61" s="70">
        <v>18362</v>
      </c>
      <c r="AL61" s="103">
        <v>13127</v>
      </c>
      <c r="AM61" s="104">
        <v>1650</v>
      </c>
      <c r="AN61" s="70">
        <v>1556</v>
      </c>
      <c r="AO61" s="70">
        <v>13366</v>
      </c>
      <c r="AP61" s="103">
        <v>6181</v>
      </c>
      <c r="AQ61" s="104">
        <v>148</v>
      </c>
      <c r="AR61" s="70">
        <v>293</v>
      </c>
      <c r="AS61" s="70">
        <v>426</v>
      </c>
      <c r="AT61" s="103">
        <v>186</v>
      </c>
      <c r="AU61" s="104">
        <v>1112</v>
      </c>
      <c r="AV61" s="70">
        <v>837</v>
      </c>
      <c r="AW61" s="70">
        <v>4125</v>
      </c>
      <c r="AX61" s="70">
        <v>557</v>
      </c>
      <c r="AY61" s="104">
        <v>2920</v>
      </c>
      <c r="AZ61" s="70">
        <v>6333</v>
      </c>
      <c r="BA61" s="70">
        <v>557</v>
      </c>
      <c r="BB61" s="70">
        <v>2291</v>
      </c>
      <c r="BC61" s="104">
        <v>8946</v>
      </c>
      <c r="BD61" s="70">
        <v>13926</v>
      </c>
      <c r="BE61" s="70">
        <v>11978</v>
      </c>
      <c r="BF61" s="77">
        <f t="shared" ref="BF61:BF62" si="109">_xlfn.FORECAST.ETS(BF$19,AV61:BE61,AV$19:BE$19)</f>
        <v>13065.751972868668</v>
      </c>
      <c r="BG61" s="105">
        <f>_xlfn.FORECAST.ETS(BG$19,AW61:BF61,AW$19:BF$19)+7500</f>
        <v>22189.682557042725</v>
      </c>
      <c r="BH61" s="77">
        <f t="shared" ref="BH61" si="110">_xlfn.FORECAST.ETS(BH$19,AX61:BG61,AX$19:BG$19)+15000</f>
        <v>35171.985321324639</v>
      </c>
      <c r="BI61" s="77">
        <f t="shared" si="107"/>
        <v>37137.911774998094</v>
      </c>
      <c r="BJ61" s="77">
        <f t="shared" si="107"/>
        <v>41036.868484775208</v>
      </c>
      <c r="BK61" s="105">
        <f t="shared" ref="BK61" si="111">_xlfn.FORECAST.ETS(BK$19,BA61:BJ61,BA$19:BJ$19)+1500</f>
        <v>47265.352379174183</v>
      </c>
      <c r="BL61" s="77">
        <f t="shared" ref="BL61" si="112">_xlfn.FORECAST.ETS(BL$19,BB61:BK61,BB$19:BK$19)+15000</f>
        <v>67132.003522572137</v>
      </c>
      <c r="BM61" s="77">
        <f t="shared" si="107"/>
        <v>71731.102656291609</v>
      </c>
      <c r="BN61" s="77">
        <f t="shared" si="107"/>
        <v>78709.640145083642</v>
      </c>
      <c r="BO61" s="105">
        <f t="shared" ref="BO61" si="113">_xlfn.FORECAST.ETS(BO$19,BE61:BN61,BE$19:BN$19)+1500</f>
        <v>87170.473232347082</v>
      </c>
      <c r="BP61" s="77">
        <f t="shared" ref="BP61" si="114">_xlfn.FORECAST.ETS(BP$19,BF61:BO61,BF$19:BO$19)+15000</f>
        <v>109403.82201492776</v>
      </c>
      <c r="BQ61" s="77">
        <f t="shared" si="107"/>
        <v>109541.14496044582</v>
      </c>
      <c r="BR61" s="77">
        <f t="shared" si="107"/>
        <v>120093.62611187632</v>
      </c>
      <c r="BS61" s="105">
        <f t="shared" ref="BS61" si="115">_xlfn.FORECAST.ETS(BS$19,BI61:BR61,BI$19:BR$19)+1500</f>
        <v>132145.48083509097</v>
      </c>
      <c r="BT61" s="77">
        <f t="shared" ref="BT61" si="116">_xlfn.FORECAST.ETS(BT$19,BJ61:BS61,BJ$19:BS$19)+15000</f>
        <v>156844.75339105524</v>
      </c>
      <c r="BU61" s="77">
        <f t="shared" si="107"/>
        <v>154068.45662624887</v>
      </c>
      <c r="BV61" s="77">
        <f t="shared" si="107"/>
        <v>167496.94880170882</v>
      </c>
      <c r="BW61" s="105">
        <f t="shared" ref="BW61" si="117">_xlfn.FORECAST.ETS(BW$19,BM61:BV61,BM$19:BV$19)+1500</f>
        <v>181592.49392949307</v>
      </c>
      <c r="BX61" s="77">
        <f t="shared" ref="BX61" si="118">_xlfn.FORECAST.ETS(BX$19,BN61:BW61,BN$19:BW$19)+15000</f>
        <v>206780.06491091725</v>
      </c>
      <c r="BY61" s="77">
        <f t="shared" si="107"/>
        <v>204624.39734452969</v>
      </c>
      <c r="BZ61" s="77">
        <f t="shared" si="107"/>
        <v>225802.61888810844</v>
      </c>
      <c r="CA61" s="105">
        <f t="shared" ref="CA61" si="119">_xlfn.FORECAST.ETS(CA$19,BQ61:BZ61,BQ$19:BZ$19)+1500</f>
        <v>238182.60975959076</v>
      </c>
      <c r="CB61" s="77">
        <f t="shared" ref="CB61" si="120">_xlfn.FORECAST.ETS(CB$19,BR61:CA61,BR$19:CA$19)+15000</f>
        <v>264199.37136268942</v>
      </c>
      <c r="CC61" s="77">
        <f t="shared" si="107"/>
        <v>263848.59583431331</v>
      </c>
      <c r="CD61" s="77">
        <f t="shared" si="107"/>
        <v>288804.42350193975</v>
      </c>
      <c r="CE61" s="105">
        <f t="shared" ref="CE61" si="121">_xlfn.FORECAST.ETS(CE$19,BU61:CD61,BU$19:CD$19)+1500</f>
        <v>298135.31380007626</v>
      </c>
      <c r="CF61" s="77">
        <f t="shared" ref="CF61" si="122">_xlfn.FORECAST.ETS(CF$19,BV61:CE61,BV$19:CE$19)+15000</f>
        <v>333471.35781405098</v>
      </c>
      <c r="CG61" s="77">
        <f t="shared" si="107"/>
        <v>336427.13467629737</v>
      </c>
      <c r="CH61" s="77">
        <f t="shared" si="107"/>
        <v>364606.06590345578</v>
      </c>
      <c r="CI61" s="105">
        <f t="shared" ref="CI61" si="123">_xlfn.FORECAST.ETS(CI$19,BY61:CH61,BY$19:CH$19)+1500</f>
        <v>372525.7940969867</v>
      </c>
      <c r="CJ61" s="77">
        <f t="shared" ref="CJ61" si="124">_xlfn.FORECAST.ETS(CJ$19,BZ61:CI61,BZ$19:CI$19)+15000</f>
        <v>413176.10653888842</v>
      </c>
      <c r="CK61" s="77">
        <f t="shared" si="107"/>
        <v>418296.88025423739</v>
      </c>
      <c r="CL61" s="77">
        <f t="shared" si="107"/>
        <v>451296.21165322873</v>
      </c>
      <c r="CM61" s="105">
        <f t="shared" ref="CM61" si="125">_xlfn.FORECAST.ETS(CM$19,CC61:CL61,CC$19:CL$19)+1500</f>
        <v>458519.16651838069</v>
      </c>
      <c r="CN61" s="77">
        <f t="shared" ref="CN61" si="126">_xlfn.FORECAST.ETS(CN$19,CD61:CM61,CD$19:CM$19)+15000</f>
        <v>506109.31484734238</v>
      </c>
      <c r="CO61" s="77">
        <f t="shared" ref="CO61:CP62" si="127">_xlfn.FORECAST.ETS(CO$19,CE61:CN61,CE$19:CN$19)</f>
        <v>509450.40082806256</v>
      </c>
      <c r="CP61" s="77">
        <f t="shared" si="127"/>
        <v>547204.84429782105</v>
      </c>
      <c r="CQ61" s="105">
        <f t="shared" ref="CQ61" si="128">_xlfn.FORECAST.ETS(CQ$19,CG61:CP61,CG$19:CP$19)+1500</f>
        <v>554923.5487929763</v>
      </c>
      <c r="CR61" s="77">
        <f t="shared" ref="CR61" si="129">_xlfn.FORECAST.ETS(CR$19,CH61:CQ61,CH$19:CQ$19)+15000</f>
        <v>608287.46159558208</v>
      </c>
      <c r="CS61" s="77">
        <f t="shared" ref="CS61:CT62" si="130">_xlfn.FORECAST.ETS(CS$19,CI61:CR61,CI$19:CR$19)</f>
        <v>605890.25563774118</v>
      </c>
      <c r="CT61" s="77">
        <f t="shared" si="130"/>
        <v>649057.30461123888</v>
      </c>
      <c r="CU61" s="105">
        <f t="shared" ref="CU61" si="131">_xlfn.FORECAST.ETS(CU$19,CK61:CT61,CK$19:CT$19)+1500</f>
        <v>658692.52986409888</v>
      </c>
      <c r="CV61" s="77">
        <f t="shared" ref="CV61" si="132">_xlfn.FORECAST.ETS(CV$19,CL61:CU61,CL$19:CU$19)+15000</f>
        <v>715688.14850894199</v>
      </c>
      <c r="CW61" s="77">
        <f t="shared" ref="CW61:CX62" si="133">_xlfn.FORECAST.ETS(CW$19,CM61:CV61,CM$19:CV$19)</f>
        <v>711418.95756702323</v>
      </c>
      <c r="CX61" s="77">
        <f t="shared" si="133"/>
        <v>760332.26003634313</v>
      </c>
      <c r="CY61" s="105">
        <f t="shared" ref="CY61" si="134">_xlfn.FORECAST.ETS(CY$19,CO61:CX61,CO$19:CX$19)+1500</f>
        <v>768020.70908459707</v>
      </c>
      <c r="CZ61" s="77">
        <f t="shared" ref="CZ61" si="135">_xlfn.FORECAST.ETS(CZ$19,CP61:CY61,CP$19:CY$19)+15000</f>
        <v>829663.5712727413</v>
      </c>
      <c r="DA61" s="77">
        <f t="shared" ref="DA61:DB62" si="136">_xlfn.FORECAST.ETS(DA$19,CQ61:CZ61,CQ$19:CZ$19)</f>
        <v>824265.371857299</v>
      </c>
      <c r="DB61" s="77">
        <f t="shared" si="136"/>
        <v>878546.50151600246</v>
      </c>
      <c r="DC61" s="105">
        <f t="shared" ref="DC61" si="137">_xlfn.FORECAST.ETS(DC$19,CS61:DB61,CS$19:DB$19)+1500</f>
        <v>885535.08393226168</v>
      </c>
      <c r="DD61" s="77">
        <f t="shared" ref="DD61" si="138">_xlfn.FORECAST.ETS(DD$19,CT61:DC61,CT$19:DC$19)+15000</f>
        <v>950994.92923492333</v>
      </c>
      <c r="DE61" s="77">
        <f t="shared" ref="DE61:DF62" si="139">_xlfn.FORECAST.ETS(DE$19,CU61:DD61,CU$19:DD$19)</f>
        <v>944634.32489273441</v>
      </c>
      <c r="DF61" s="77">
        <f t="shared" si="139"/>
        <v>1004801.2054613389</v>
      </c>
      <c r="DG61" s="105">
        <f t="shared" ref="DG61" si="140">_xlfn.FORECAST.ETS(DG$19,CW61:DF61,CW$19:DF$19)+1500</f>
        <v>1009848.6639257114</v>
      </c>
      <c r="DH61" s="77">
        <f t="shared" ref="DH61" si="141">_xlfn.FORECAST.ETS(DH$19,CX61:DG61,CX$19:DG$19)+15000</f>
        <v>1080508.6716403309</v>
      </c>
      <c r="DI61" s="77">
        <f t="shared" ref="DI61:DJ62" si="142">_xlfn.FORECAST.ETS(DI$19,CY61:DH61,CY$19:DH$19)</f>
        <v>1078455.1584858387</v>
      </c>
      <c r="DJ61" s="77">
        <f t="shared" si="142"/>
        <v>1142698.8492408649</v>
      </c>
      <c r="DK61" s="105">
        <f t="shared" ref="DK61" si="143">_xlfn.FORECAST.ETS(DK$19,DA61:DJ61,DA$19:DJ$19)+1500</f>
        <v>1145759.0054863757</v>
      </c>
      <c r="DL61" s="77">
        <f t="shared" ref="DL61" si="144">_xlfn.FORECAST.ETS(DL$19,DB61:DK61,DB$19:DK$19)+15000</f>
        <v>1222642.7850447136</v>
      </c>
      <c r="DM61" s="77">
        <f t="shared" ref="DM61:DN62" si="145">_xlfn.FORECAST.ETS(DM$19,DC61:DL61,DC$19:DL$19)</f>
        <v>1222467.1167132608</v>
      </c>
      <c r="DN61" s="77">
        <f t="shared" si="145"/>
        <v>1291378.6861403161</v>
      </c>
      <c r="DO61" s="105">
        <f t="shared" ref="DO61" si="146">_xlfn.FORECAST.ETS(DO$19,DE61:DN61,DE$19:DN$19)+1500</f>
        <v>1293729.8000374746</v>
      </c>
      <c r="DP61" s="77">
        <f t="shared" ref="DP61" si="147">_xlfn.FORECAST.ETS(DP$19,DF61:DO61,DF$19:DO$19)+15000</f>
        <v>1377110.1453104694</v>
      </c>
      <c r="DQ61" s="77">
        <f t="shared" ref="DQ61:DR62" si="148">_xlfn.FORECAST.ETS(DQ$19,DG61:DP61,DG$19:DP$19)</f>
        <v>1375541.5579796219</v>
      </c>
      <c r="DR61" s="77">
        <f t="shared" si="148"/>
        <v>1449329.0266564856</v>
      </c>
      <c r="DS61" s="105">
        <f t="shared" ref="DS61" si="149">_xlfn.FORECAST.ETS(DS$19,DI61:DR61,DI$19:DR$19)+1500</f>
        <v>1452013.8647584331</v>
      </c>
      <c r="DT61" s="77">
        <f t="shared" ref="DT61" si="150">_xlfn.FORECAST.ETS(DT$19,DJ61:DS61,DJ$19:DS$19)+15000</f>
        <v>1541292.2659300303</v>
      </c>
      <c r="DU61" s="77">
        <f t="shared" ref="DU61:DV62" si="151">_xlfn.FORECAST.ETS(DU$19,DK61:DT61,DK$19:DT$19)</f>
        <v>1533872.4364617106</v>
      </c>
      <c r="DV61" s="77">
        <f t="shared" si="151"/>
        <v>1613000.4407334356</v>
      </c>
      <c r="DW61" s="105">
        <f t="shared" ref="DW61" si="152">_xlfn.FORECAST.ETS(DW$19,DM61:DV61,DM$19:DV$19)+1500</f>
        <v>1617683.9054981526</v>
      </c>
      <c r="DX61" s="77">
        <f t="shared" ref="DX61" si="153">_xlfn.FORECAST.ETS(DX$19,DN61:DW61,DN$19:DW$19)+15000</f>
        <v>1710582.3751384658</v>
      </c>
      <c r="DY61" s="77">
        <f t="shared" ref="DY61:DY62" si="154">_xlfn.FORECAST.ETS(DY$19,DO61:DX61,DO$19:DX$19)</f>
        <v>1701363.0415515851</v>
      </c>
      <c r="DZ61" s="77">
        <f>_xlfn.FORECAST.ETS(DZ$19,DP61:DY61,DP$19:DY$19)+1500</f>
        <v>1787709.5581524218</v>
      </c>
    </row>
    <row r="62" spans="1:130" x14ac:dyDescent="0.2">
      <c r="A62" s="39" t="s">
        <v>77</v>
      </c>
      <c r="B62" s="39" t="s">
        <v>170</v>
      </c>
      <c r="C62" s="70">
        <v>0</v>
      </c>
      <c r="D62" s="70">
        <v>0</v>
      </c>
      <c r="E62" s="70">
        <v>0</v>
      </c>
      <c r="F62" s="70">
        <v>0</v>
      </c>
      <c r="G62" s="70">
        <v>0</v>
      </c>
      <c r="H62" s="70">
        <v>0</v>
      </c>
      <c r="I62" s="70">
        <v>0</v>
      </c>
      <c r="J62" s="70">
        <v>0</v>
      </c>
      <c r="K62" s="70">
        <v>48</v>
      </c>
      <c r="L62" s="70">
        <v>128</v>
      </c>
      <c r="M62" s="70">
        <v>7700</v>
      </c>
      <c r="N62" s="70">
        <v>4743</v>
      </c>
      <c r="O62" s="70">
        <v>232</v>
      </c>
      <c r="P62" s="70">
        <v>0</v>
      </c>
      <c r="Q62" s="70">
        <v>399</v>
      </c>
      <c r="R62" s="70">
        <v>162</v>
      </c>
      <c r="S62" s="70">
        <v>298</v>
      </c>
      <c r="T62" s="70">
        <v>1416</v>
      </c>
      <c r="U62" s="70">
        <v>1823</v>
      </c>
      <c r="V62" s="70">
        <v>1155</v>
      </c>
      <c r="W62" s="70">
        <v>8060</v>
      </c>
      <c r="X62" s="70">
        <v>1189</v>
      </c>
      <c r="Y62" s="70">
        <v>93</v>
      </c>
      <c r="Z62" s="103">
        <v>67925</v>
      </c>
      <c r="AA62" s="104">
        <v>2043</v>
      </c>
      <c r="AB62" s="70">
        <v>2565</v>
      </c>
      <c r="AC62" s="70">
        <v>2218</v>
      </c>
      <c r="AD62" s="103">
        <v>861</v>
      </c>
      <c r="AE62" s="104">
        <v>0</v>
      </c>
      <c r="AF62" s="70">
        <v>32455</v>
      </c>
      <c r="AG62" s="70">
        <v>0</v>
      </c>
      <c r="AH62" s="103">
        <v>160519</v>
      </c>
      <c r="AI62" s="104">
        <v>0</v>
      </c>
      <c r="AJ62" s="70">
        <v>277</v>
      </c>
      <c r="AK62" s="70">
        <v>9864</v>
      </c>
      <c r="AL62" s="103">
        <v>59</v>
      </c>
      <c r="AM62" s="104">
        <v>692</v>
      </c>
      <c r="AN62" s="70">
        <v>631</v>
      </c>
      <c r="AO62" s="70">
        <v>417</v>
      </c>
      <c r="AP62" s="103">
        <v>133</v>
      </c>
      <c r="AQ62" s="104">
        <v>47</v>
      </c>
      <c r="AR62" s="70">
        <v>437</v>
      </c>
      <c r="AS62" s="70">
        <v>177</v>
      </c>
      <c r="AT62" s="103">
        <v>307</v>
      </c>
      <c r="AU62" s="104">
        <v>526</v>
      </c>
      <c r="AV62" s="70">
        <v>56</v>
      </c>
      <c r="AW62" s="70">
        <v>33</v>
      </c>
      <c r="AX62" s="70">
        <v>39398</v>
      </c>
      <c r="AY62" s="104">
        <v>3724</v>
      </c>
      <c r="AZ62" s="70">
        <v>13991</v>
      </c>
      <c r="BA62" s="70">
        <v>1421</v>
      </c>
      <c r="BB62" s="70">
        <v>21787</v>
      </c>
      <c r="BC62" s="104">
        <v>16981</v>
      </c>
      <c r="BD62" s="70">
        <v>1885</v>
      </c>
      <c r="BE62" s="70">
        <v>4218</v>
      </c>
      <c r="BF62" s="77">
        <f t="shared" si="109"/>
        <v>8209.9435167610573</v>
      </c>
      <c r="BG62" s="105">
        <f>_xlfn.FORECAST.ETS(BG$19,AW62:BF62,AW$19:BF$19)+1000</f>
        <v>6148.6913635403434</v>
      </c>
      <c r="BH62" s="77">
        <f t="shared" ref="BH62" si="155">_xlfn.FORECAST.ETS(BH$19,AX62:BG62,AX$19:BG$19)+500</f>
        <v>3344.9503099261024</v>
      </c>
      <c r="BI62" s="77">
        <f t="shared" si="107"/>
        <v>4374.4183184279036</v>
      </c>
      <c r="BJ62" s="77">
        <f t="shared" si="107"/>
        <v>-3316.6242287594578</v>
      </c>
      <c r="BK62" s="105">
        <f t="shared" ref="BK62:BL62" si="156">_xlfn.FORECAST.ETS(BK$19,BA62:BJ62,BA$19:BJ$19)+500</f>
        <v>-1385.5647821483599</v>
      </c>
      <c r="BL62" s="77">
        <f t="shared" si="156"/>
        <v>-3671.9518642665735</v>
      </c>
      <c r="BM62" s="77">
        <f t="shared" si="107"/>
        <v>-5187.543072472401</v>
      </c>
      <c r="BN62" s="77">
        <f t="shared" si="107"/>
        <v>-6229.02613315906</v>
      </c>
      <c r="BO62" s="105">
        <f t="shared" ref="BO62:BP62" si="157">_xlfn.FORECAST.ETS(BO$19,BE62:BN62,BE$19:BN$19)+500</f>
        <v>-6987.1261863561449</v>
      </c>
      <c r="BP62" s="77">
        <f t="shared" si="157"/>
        <v>-9303.1612981935687</v>
      </c>
      <c r="BQ62" s="77">
        <f t="shared" si="107"/>
        <v>-9911.6236302238049</v>
      </c>
      <c r="BR62" s="77">
        <f t="shared" si="107"/>
        <v>-13183.858613435845</v>
      </c>
      <c r="BS62" s="105">
        <f t="shared" ref="BS62:BT62" si="158">_xlfn.FORECAST.ETS(BS$19,BI62:BR62,BI$19:BR$19)+500</f>
        <v>-12108.007632568992</v>
      </c>
      <c r="BT62" s="77">
        <f t="shared" si="158"/>
        <v>-14395.251127712898</v>
      </c>
      <c r="BU62" s="77">
        <f t="shared" si="107"/>
        <v>-15394.317770637956</v>
      </c>
      <c r="BV62" s="77">
        <f t="shared" si="107"/>
        <v>-17259.57153671062</v>
      </c>
      <c r="BW62" s="105">
        <f t="shared" ref="BW62:BX62" si="159">_xlfn.FORECAST.ETS(BW$19,BM62:BV62,BM$19:BV$19)+500</f>
        <v>-17276.77710153941</v>
      </c>
      <c r="BX62" s="77">
        <f t="shared" si="159"/>
        <v>-19501.184774285546</v>
      </c>
      <c r="BY62" s="77">
        <f t="shared" si="107"/>
        <v>-19733.989853514639</v>
      </c>
      <c r="BZ62" s="77">
        <f t="shared" si="107"/>
        <v>-22033.193602784766</v>
      </c>
      <c r="CA62" s="105">
        <f t="shared" ref="CA62:CB62" si="160">_xlfn.FORECAST.ETS(CA$19,BQ62:BZ62,BQ$19:BZ$19)+500</f>
        <v>-21463.416531413335</v>
      </c>
      <c r="CB62" s="77">
        <f t="shared" si="160"/>
        <v>-23630.945571407377</v>
      </c>
      <c r="CC62" s="77">
        <f t="shared" si="107"/>
        <v>-23842.021793526306</v>
      </c>
      <c r="CD62" s="77">
        <f t="shared" si="107"/>
        <v>-25954.223654038808</v>
      </c>
      <c r="CE62" s="105">
        <f t="shared" ref="CE62:CF62" si="161">_xlfn.FORECAST.ETS(CE$19,BU62:CD62,BU$19:CD$19)+500</f>
        <v>-25453.038715568193</v>
      </c>
      <c r="CF62" s="77">
        <f t="shared" si="161"/>
        <v>-27365.210489440058</v>
      </c>
      <c r="CG62" s="77">
        <f t="shared" si="107"/>
        <v>-27251.174242570727</v>
      </c>
      <c r="CH62" s="77">
        <f t="shared" si="107"/>
        <v>-29324.599714703221</v>
      </c>
      <c r="CI62" s="105">
        <f t="shared" ref="CI62:CJ62" si="162">_xlfn.FORECAST.ETS(CI$19,BY62:CH62,BY$19:CH$19)+500</f>
        <v>-28596.535459811632</v>
      </c>
      <c r="CJ62" s="77">
        <f t="shared" si="162"/>
        <v>-30527.612448784745</v>
      </c>
      <c r="CK62" s="77">
        <f t="shared" si="107"/>
        <v>-30192.230908456128</v>
      </c>
      <c r="CL62" s="77">
        <f t="shared" si="107"/>
        <v>-32190.943615103199</v>
      </c>
      <c r="CM62" s="105">
        <f t="shared" ref="CM62:CN62" si="163">_xlfn.FORECAST.ETS(CM$19,CC62:CL62,CC$19:CL$19)+500</f>
        <v>-31255.782516227278</v>
      </c>
      <c r="CN62" s="77">
        <f t="shared" si="163"/>
        <v>-33044.726978615734</v>
      </c>
      <c r="CO62" s="77">
        <f t="shared" si="127"/>
        <v>-32586.96797331484</v>
      </c>
      <c r="CP62" s="77">
        <f t="shared" si="127"/>
        <v>-34395.392652732124</v>
      </c>
      <c r="CQ62" s="105">
        <f t="shared" ref="CQ62:CR62" si="164">_xlfn.FORECAST.ETS(CQ$19,CG62:CP62,CG$19:CP$19)+500</f>
        <v>-33309.568661960424</v>
      </c>
      <c r="CR62" s="77">
        <f t="shared" si="164"/>
        <v>-35015.481955134928</v>
      </c>
      <c r="CS62" s="77">
        <f t="shared" si="130"/>
        <v>-34250.215664362549</v>
      </c>
      <c r="CT62" s="77">
        <f t="shared" si="130"/>
        <v>-36003.23495070092</v>
      </c>
      <c r="CU62" s="105">
        <f t="shared" ref="CU62:CV62" si="165">_xlfn.FORECAST.ETS(CU$19,CK62:CT62,CK$19:CT$19)+500</f>
        <v>-34691.208385697275</v>
      </c>
      <c r="CV62" s="77">
        <f t="shared" si="165"/>
        <v>-36063.485977108925</v>
      </c>
      <c r="CW62" s="77">
        <f t="shared" si="133"/>
        <v>-34855.325123909424</v>
      </c>
      <c r="CX62" s="77">
        <f t="shared" si="133"/>
        <v>-36454.551384350634</v>
      </c>
      <c r="CY62" s="105">
        <f t="shared" ref="CY62:CZ62" si="166">_xlfn.FORECAST.ETS(CY$19,CO62:CX62,CO$19:CX$19)+500</f>
        <v>-34830.448038773917</v>
      </c>
      <c r="CZ62" s="77">
        <f t="shared" si="166"/>
        <v>-35934.714958215664</v>
      </c>
      <c r="DA62" s="77">
        <f t="shared" si="136"/>
        <v>-34648.29796039014</v>
      </c>
      <c r="DB62" s="77">
        <f t="shared" si="136"/>
        <v>-36022.399201252898</v>
      </c>
      <c r="DC62" s="105">
        <f t="shared" ref="DC62:DD62" si="167">_xlfn.FORECAST.ETS(DC$19,CS62:DB62,CS$19:DB$19)+500</f>
        <v>-34169.695636414661</v>
      </c>
      <c r="DD62" s="77">
        <f t="shared" si="167"/>
        <v>-35114.728437399164</v>
      </c>
      <c r="DE62" s="77">
        <f t="shared" si="139"/>
        <v>-33565.836262877659</v>
      </c>
      <c r="DF62" s="77">
        <f t="shared" si="139"/>
        <v>-34754.546625635368</v>
      </c>
      <c r="DG62" s="105">
        <f t="shared" ref="DG62:DH62" si="168">_xlfn.FORECAST.ETS(DG$19,CW62:DF62,CW$19:DF$19)+500</f>
        <v>-32576.420932436886</v>
      </c>
      <c r="DH62" s="77">
        <f t="shared" si="168"/>
        <v>-33340.211748973088</v>
      </c>
      <c r="DI62" s="77">
        <f t="shared" si="142"/>
        <v>-31576.680402955106</v>
      </c>
      <c r="DJ62" s="77">
        <f t="shared" si="142"/>
        <v>-32557.12817816914</v>
      </c>
      <c r="DK62" s="105">
        <f t="shared" ref="DK62:DL62" si="169">_xlfn.FORECAST.ETS(DK$19,DA62:DJ62,DA$19:DJ$19)+500</f>
        <v>-30120.278845518897</v>
      </c>
      <c r="DL62" s="77">
        <f t="shared" si="169"/>
        <v>-30703.718052177268</v>
      </c>
      <c r="DM62" s="77">
        <f t="shared" si="145"/>
        <v>-28664.71272401229</v>
      </c>
      <c r="DN62" s="77">
        <f t="shared" si="145"/>
        <v>-29456.599181184873</v>
      </c>
      <c r="DO62" s="105">
        <f t="shared" ref="DO62:DP62" si="170">_xlfn.FORECAST.ETS(DO$19,DE62:DN62,DE$19:DN$19)+500</f>
        <v>-26760.503560155481</v>
      </c>
      <c r="DP62" s="77">
        <f t="shared" si="170"/>
        <v>-27159.714304024314</v>
      </c>
      <c r="DQ62" s="77">
        <f t="shared" si="148"/>
        <v>-24864.537362708888</v>
      </c>
      <c r="DR62" s="77">
        <f t="shared" si="148"/>
        <v>-25462.949307678577</v>
      </c>
      <c r="DS62" s="105">
        <f t="shared" ref="DS62:DT62" si="171">_xlfn.FORECAST.ETS(DS$19,DI62:DR62,DI$19:DR$19)+500</f>
        <v>-22507.485821805192</v>
      </c>
      <c r="DT62" s="77">
        <f t="shared" si="171"/>
        <v>-22720.687039961231</v>
      </c>
      <c r="DU62" s="77">
        <f t="shared" si="151"/>
        <v>-20161.631871412956</v>
      </c>
      <c r="DV62" s="77">
        <f t="shared" si="151"/>
        <v>-20573.551781523835</v>
      </c>
      <c r="DW62" s="105">
        <f t="shared" ref="DW62:DX62" si="172">_xlfn.FORECAST.ETS(DW$19,DM62:DV62,DM$19:DV$19)+500</f>
        <v>-17359.222425035921</v>
      </c>
      <c r="DX62" s="77">
        <f t="shared" si="172"/>
        <v>-17383.200025606195</v>
      </c>
      <c r="DY62" s="77">
        <f t="shared" si="154"/>
        <v>-14563.777503859093</v>
      </c>
      <c r="DZ62" s="77">
        <f>_xlfn.FORECAST.ETS(DZ$19,DP62:DY62,DP$19:DY$19)+500</f>
        <v>-14287.091337770387</v>
      </c>
    </row>
    <row r="63" spans="1:130" x14ac:dyDescent="0.2">
      <c r="A63" s="39" t="s">
        <v>78</v>
      </c>
      <c r="B63" s="39" t="s">
        <v>170</v>
      </c>
      <c r="C63" s="70"/>
      <c r="D63" s="70"/>
      <c r="E63" s="70"/>
      <c r="F63" s="70"/>
      <c r="G63" s="70"/>
      <c r="H63" s="70"/>
      <c r="I63" s="70"/>
      <c r="J63" s="70"/>
      <c r="K63" s="70"/>
      <c r="L63" s="70"/>
      <c r="M63" s="70"/>
      <c r="N63" s="70"/>
      <c r="O63" s="70"/>
      <c r="P63" s="70"/>
      <c r="Q63" s="70"/>
      <c r="R63" s="70"/>
      <c r="S63" s="70"/>
      <c r="T63" s="70"/>
      <c r="U63" s="70"/>
      <c r="V63" s="70"/>
      <c r="W63" s="70"/>
      <c r="X63" s="70"/>
      <c r="Y63" s="70"/>
      <c r="Z63" s="103"/>
      <c r="AA63" s="104"/>
      <c r="AB63" s="70"/>
      <c r="AC63" s="70"/>
      <c r="AD63" s="103"/>
      <c r="AE63" s="104"/>
      <c r="AF63" s="70"/>
      <c r="AG63" s="70"/>
      <c r="AH63" s="103"/>
      <c r="AI63" s="104"/>
      <c r="AJ63" s="70">
        <v>0</v>
      </c>
      <c r="AK63" s="70">
        <v>0</v>
      </c>
      <c r="AL63" s="103">
        <v>0</v>
      </c>
      <c r="AM63" s="104">
        <v>0</v>
      </c>
      <c r="AN63" s="70">
        <v>0</v>
      </c>
      <c r="AO63" s="70">
        <v>0</v>
      </c>
      <c r="AP63" s="103">
        <v>0</v>
      </c>
      <c r="AQ63" s="104">
        <v>0</v>
      </c>
      <c r="AR63" s="70">
        <v>0</v>
      </c>
      <c r="AS63" s="70">
        <v>0</v>
      </c>
      <c r="AT63" s="103">
        <v>0</v>
      </c>
      <c r="AU63" s="104">
        <v>85</v>
      </c>
      <c r="AV63" s="70">
        <v>0</v>
      </c>
      <c r="AW63" s="70">
        <v>0</v>
      </c>
      <c r="AX63" s="70">
        <v>0</v>
      </c>
      <c r="AY63" s="104">
        <v>0</v>
      </c>
      <c r="AZ63" s="77">
        <v>0</v>
      </c>
      <c r="BA63" s="70">
        <v>1318</v>
      </c>
      <c r="BB63" s="70">
        <v>0</v>
      </c>
      <c r="BC63" s="104">
        <v>0</v>
      </c>
      <c r="BD63" s="70">
        <v>618</v>
      </c>
      <c r="BE63" s="70"/>
      <c r="BF63" s="77"/>
      <c r="BG63" s="105"/>
      <c r="BH63" s="77"/>
      <c r="BI63" s="77"/>
      <c r="BJ63" s="77"/>
      <c r="BK63" s="105"/>
      <c r="BL63" s="77"/>
      <c r="BM63" s="77"/>
      <c r="BN63" s="77"/>
      <c r="BO63" s="105"/>
      <c r="BP63" s="77"/>
      <c r="BQ63" s="77"/>
      <c r="BR63" s="77"/>
      <c r="BS63" s="105"/>
      <c r="BT63" s="77"/>
      <c r="BU63" s="77"/>
      <c r="BV63" s="77"/>
      <c r="BW63" s="105"/>
      <c r="BX63" s="77"/>
      <c r="BY63" s="77"/>
      <c r="BZ63" s="77"/>
      <c r="CA63" s="105"/>
      <c r="CB63" s="77"/>
      <c r="CC63" s="77"/>
      <c r="CD63" s="77"/>
      <c r="CE63" s="105"/>
      <c r="CF63" s="77"/>
      <c r="CG63" s="77"/>
      <c r="CH63" s="77"/>
      <c r="CI63" s="105"/>
      <c r="CJ63" s="77"/>
      <c r="CK63" s="77"/>
      <c r="CL63" s="77"/>
      <c r="CM63" s="105"/>
      <c r="CN63" s="77"/>
      <c r="CO63" s="77"/>
      <c r="CP63" s="77"/>
      <c r="CQ63" s="105"/>
      <c r="CR63" s="77"/>
      <c r="CS63" s="77"/>
      <c r="CT63" s="77"/>
      <c r="CU63" s="105"/>
      <c r="CV63" s="77"/>
      <c r="CW63" s="77"/>
      <c r="CX63" s="77"/>
      <c r="CY63" s="105"/>
      <c r="CZ63" s="77"/>
      <c r="DA63" s="77"/>
      <c r="DB63" s="77"/>
      <c r="DC63" s="105"/>
      <c r="DD63" s="77"/>
      <c r="DE63" s="77"/>
      <c r="DF63" s="77"/>
      <c r="DG63" s="105"/>
      <c r="DH63" s="77"/>
      <c r="DI63" s="77"/>
      <c r="DJ63" s="77"/>
      <c r="DK63" s="105"/>
      <c r="DL63" s="77"/>
      <c r="DM63" s="77"/>
      <c r="DN63" s="77"/>
      <c r="DO63" s="105"/>
      <c r="DP63" s="77"/>
      <c r="DQ63" s="77"/>
      <c r="DR63" s="77"/>
      <c r="DS63" s="105"/>
      <c r="DT63" s="77"/>
      <c r="DU63" s="77"/>
      <c r="DV63" s="77"/>
      <c r="DW63" s="105"/>
      <c r="DX63" s="77"/>
      <c r="DY63" s="77"/>
      <c r="DZ63" s="77"/>
    </row>
    <row r="64" spans="1:130" x14ac:dyDescent="0.2">
      <c r="A64" s="39" t="s">
        <v>171</v>
      </c>
      <c r="B64" s="39" t="s">
        <v>170</v>
      </c>
      <c r="C64" s="70"/>
      <c r="D64" s="70"/>
      <c r="E64" s="70"/>
      <c r="F64" s="70"/>
      <c r="G64" s="70"/>
      <c r="H64" s="70"/>
      <c r="I64" s="70"/>
      <c r="J64" s="70"/>
      <c r="K64" s="70"/>
      <c r="L64" s="70"/>
      <c r="M64" s="70"/>
      <c r="N64" s="70"/>
      <c r="O64" s="70"/>
      <c r="P64" s="70"/>
      <c r="Q64" s="70"/>
      <c r="R64" s="70"/>
      <c r="S64" s="70"/>
      <c r="T64" s="70"/>
      <c r="U64" s="70"/>
      <c r="V64" s="70"/>
      <c r="W64" s="70"/>
      <c r="X64" s="70"/>
      <c r="Y64" s="70"/>
      <c r="Z64" s="103"/>
      <c r="AA64" s="104"/>
      <c r="AB64" s="70"/>
      <c r="AC64" s="70"/>
      <c r="AD64" s="103"/>
      <c r="AE64" s="104"/>
      <c r="AF64" s="70"/>
      <c r="AG64" s="70"/>
      <c r="AH64" s="103">
        <v>0</v>
      </c>
      <c r="AI64" s="104">
        <v>0</v>
      </c>
      <c r="AJ64" s="70">
        <v>0</v>
      </c>
      <c r="AK64" s="70">
        <v>0</v>
      </c>
      <c r="AL64" s="103">
        <v>0</v>
      </c>
      <c r="AM64" s="104">
        <v>0</v>
      </c>
      <c r="AN64" s="70">
        <v>0</v>
      </c>
      <c r="AO64" s="70">
        <v>0</v>
      </c>
      <c r="AP64" s="103">
        <v>0</v>
      </c>
      <c r="AQ64" s="104">
        <v>0</v>
      </c>
      <c r="AR64" s="70">
        <v>0</v>
      </c>
      <c r="AS64" s="70">
        <v>0</v>
      </c>
      <c r="AT64" s="103">
        <v>0</v>
      </c>
      <c r="AU64" s="104">
        <v>0</v>
      </c>
      <c r="AV64" s="70">
        <v>0</v>
      </c>
      <c r="AW64" s="70">
        <v>158</v>
      </c>
      <c r="AX64" s="70"/>
      <c r="AY64" s="104">
        <v>0</v>
      </c>
      <c r="AZ64" s="77">
        <v>0</v>
      </c>
      <c r="BA64" s="70">
        <v>122</v>
      </c>
      <c r="BB64" s="70">
        <v>132</v>
      </c>
      <c r="BC64" s="104">
        <v>558</v>
      </c>
      <c r="BD64" s="70">
        <v>0</v>
      </c>
      <c r="BE64" s="70"/>
      <c r="BF64" s="77"/>
      <c r="BG64" s="105"/>
      <c r="BH64" s="77"/>
      <c r="BI64" s="77"/>
      <c r="BJ64" s="77"/>
      <c r="BK64" s="105"/>
      <c r="BL64" s="77"/>
      <c r="BM64" s="77"/>
      <c r="BN64" s="77"/>
      <c r="BO64" s="105"/>
      <c r="BP64" s="77"/>
      <c r="BQ64" s="77"/>
      <c r="BR64" s="77"/>
      <c r="BS64" s="105"/>
      <c r="BT64" s="77"/>
      <c r="BU64" s="77"/>
      <c r="BV64" s="77"/>
      <c r="BW64" s="105"/>
      <c r="BX64" s="77"/>
      <c r="BY64" s="77"/>
      <c r="BZ64" s="77"/>
      <c r="CA64" s="105"/>
      <c r="CB64" s="77"/>
      <c r="CC64" s="77"/>
      <c r="CD64" s="77"/>
      <c r="CE64" s="105"/>
      <c r="CF64" s="77"/>
      <c r="CG64" s="77"/>
      <c r="CH64" s="77"/>
      <c r="CI64" s="105"/>
      <c r="CJ64" s="77"/>
      <c r="CK64" s="77"/>
      <c r="CL64" s="77"/>
      <c r="CM64" s="105"/>
      <c r="CN64" s="77"/>
      <c r="CO64" s="77"/>
      <c r="CP64" s="77"/>
      <c r="CQ64" s="105"/>
      <c r="CR64" s="77"/>
      <c r="CS64" s="77"/>
      <c r="CT64" s="77"/>
      <c r="CU64" s="105"/>
      <c r="CV64" s="77"/>
      <c r="CW64" s="77"/>
      <c r="CX64" s="77"/>
      <c r="CY64" s="105"/>
      <c r="CZ64" s="77"/>
      <c r="DA64" s="77"/>
      <c r="DB64" s="77"/>
      <c r="DC64" s="105"/>
      <c r="DD64" s="77"/>
      <c r="DE64" s="77"/>
      <c r="DF64" s="77"/>
      <c r="DG64" s="105"/>
      <c r="DH64" s="77"/>
      <c r="DI64" s="77"/>
      <c r="DJ64" s="77"/>
      <c r="DK64" s="105"/>
      <c r="DL64" s="77"/>
      <c r="DM64" s="77"/>
      <c r="DN64" s="77"/>
      <c r="DO64" s="105"/>
      <c r="DP64" s="77"/>
      <c r="DQ64" s="77"/>
      <c r="DR64" s="77"/>
      <c r="DS64" s="105"/>
      <c r="DT64" s="77"/>
      <c r="DU64" s="77"/>
      <c r="DV64" s="77"/>
      <c r="DW64" s="105"/>
      <c r="DX64" s="77"/>
      <c r="DY64" s="77"/>
      <c r="DZ64" s="77"/>
    </row>
    <row r="65" spans="1:130" x14ac:dyDescent="0.2">
      <c r="A65" s="39" t="s">
        <v>80</v>
      </c>
      <c r="B65" s="39" t="s">
        <v>170</v>
      </c>
      <c r="C65" s="70"/>
      <c r="D65" s="70"/>
      <c r="E65" s="70"/>
      <c r="F65" s="70"/>
      <c r="G65" s="70"/>
      <c r="H65" s="70"/>
      <c r="I65" s="70"/>
      <c r="J65" s="70"/>
      <c r="K65" s="70"/>
      <c r="L65" s="70"/>
      <c r="M65" s="70"/>
      <c r="N65" s="70"/>
      <c r="O65" s="70"/>
      <c r="P65" s="70"/>
      <c r="Q65" s="70"/>
      <c r="R65" s="70"/>
      <c r="S65" s="70"/>
      <c r="T65" s="70"/>
      <c r="U65" s="70"/>
      <c r="V65" s="70"/>
      <c r="W65" s="70"/>
      <c r="X65" s="70"/>
      <c r="Y65" s="70"/>
      <c r="Z65" s="103"/>
      <c r="AA65" s="104"/>
      <c r="AB65" s="70"/>
      <c r="AC65" s="70"/>
      <c r="AD65" s="103"/>
      <c r="AE65" s="104"/>
      <c r="AF65" s="70"/>
      <c r="AG65" s="70"/>
      <c r="AH65" s="103"/>
      <c r="AI65" s="104">
        <v>0</v>
      </c>
      <c r="AJ65" s="70">
        <v>0</v>
      </c>
      <c r="AK65" s="70">
        <v>0</v>
      </c>
      <c r="AL65" s="103">
        <v>0</v>
      </c>
      <c r="AM65" s="104">
        <v>0</v>
      </c>
      <c r="AN65" s="70">
        <v>0</v>
      </c>
      <c r="AO65" s="70">
        <v>0</v>
      </c>
      <c r="AP65" s="103">
        <v>0</v>
      </c>
      <c r="AQ65" s="104">
        <v>91</v>
      </c>
      <c r="AR65" s="70">
        <v>106</v>
      </c>
      <c r="AS65" s="70">
        <v>109</v>
      </c>
      <c r="AT65" s="103">
        <v>116</v>
      </c>
      <c r="AU65" s="104">
        <v>292</v>
      </c>
      <c r="AV65" s="70">
        <v>283</v>
      </c>
      <c r="AW65" s="70">
        <v>342</v>
      </c>
      <c r="AX65" s="70">
        <v>362</v>
      </c>
      <c r="AY65" s="104">
        <v>340</v>
      </c>
      <c r="AZ65" s="70">
        <v>317</v>
      </c>
      <c r="BA65" s="70">
        <v>264</v>
      </c>
      <c r="BB65" s="70">
        <v>283</v>
      </c>
      <c r="BC65" s="104">
        <v>330</v>
      </c>
      <c r="BD65" s="70">
        <v>311</v>
      </c>
      <c r="BE65" s="70">
        <v>270</v>
      </c>
      <c r="BF65" s="77">
        <f t="shared" ref="BF65:DQ67" si="173">_xlfn.FORECAST.ETS(BF$19,AV65:BE65,AV$19:BE$19)</f>
        <v>269.44722313485988</v>
      </c>
      <c r="BG65" s="105">
        <f t="shared" si="173"/>
        <v>258.45930982557974</v>
      </c>
      <c r="BH65" s="77">
        <f t="shared" si="173"/>
        <v>252.85340397364385</v>
      </c>
      <c r="BI65" s="77">
        <f t="shared" si="173"/>
        <v>252.64706284013565</v>
      </c>
      <c r="BJ65" s="77">
        <f t="shared" si="173"/>
        <v>255.59098881615762</v>
      </c>
      <c r="BK65" s="105">
        <f t="shared" si="173"/>
        <v>249.74554002279288</v>
      </c>
      <c r="BL65" s="77">
        <f t="shared" si="173"/>
        <v>238.83446291461073</v>
      </c>
      <c r="BM65" s="77">
        <f t="shared" si="173"/>
        <v>230.68722157777208</v>
      </c>
      <c r="BN65" s="77">
        <f t="shared" si="173"/>
        <v>224.52969172575337</v>
      </c>
      <c r="BO65" s="105">
        <f t="shared" si="173"/>
        <v>219.94898345338524</v>
      </c>
      <c r="BP65" s="77">
        <f t="shared" si="173"/>
        <v>214.80938637275187</v>
      </c>
      <c r="BQ65" s="77">
        <f t="shared" si="173"/>
        <v>209.65968300812304</v>
      </c>
      <c r="BR65" s="77">
        <f t="shared" si="173"/>
        <v>204.3545826972954</v>
      </c>
      <c r="BS65" s="105">
        <f t="shared" si="173"/>
        <v>198.25807523364432</v>
      </c>
      <c r="BT65" s="77">
        <f t="shared" si="173"/>
        <v>192.08409656252803</v>
      </c>
      <c r="BU65" s="77">
        <f t="shared" si="173"/>
        <v>186.00694000712809</v>
      </c>
      <c r="BV65" s="77">
        <f t="shared" si="173"/>
        <v>180.42493352067524</v>
      </c>
      <c r="BW65" s="105">
        <f t="shared" si="173"/>
        <v>174.88002942300125</v>
      </c>
      <c r="BX65" s="77">
        <f t="shared" si="173"/>
        <v>169.32698250543496</v>
      </c>
      <c r="BY65" s="77">
        <f t="shared" si="173"/>
        <v>163.77411326999274</v>
      </c>
      <c r="BZ65" s="77">
        <f t="shared" si="173"/>
        <v>158.07234181625324</v>
      </c>
      <c r="CA65" s="105">
        <f t="shared" si="173"/>
        <v>152.30584917718883</v>
      </c>
      <c r="CB65" s="77">
        <f t="shared" si="173"/>
        <v>146.54730471934602</v>
      </c>
      <c r="CC65" s="77">
        <f t="shared" si="173"/>
        <v>140.83628002455171</v>
      </c>
      <c r="CD65" s="77">
        <f t="shared" si="173"/>
        <v>135.18132075553038</v>
      </c>
      <c r="CE65" s="105">
        <f t="shared" si="173"/>
        <v>129.52017627163571</v>
      </c>
      <c r="CF65" s="77">
        <f t="shared" si="173"/>
        <v>123.8591537406339</v>
      </c>
      <c r="CG65" s="77">
        <f t="shared" si="173"/>
        <v>118.19813120961341</v>
      </c>
      <c r="CH65" s="77">
        <f t="shared" si="173"/>
        <v>112.50127024050614</v>
      </c>
      <c r="CI65" s="105">
        <f t="shared" si="173"/>
        <v>106.80810063050161</v>
      </c>
      <c r="CJ65" s="77">
        <f t="shared" si="173"/>
        <v>101.11485934362346</v>
      </c>
      <c r="CK65" s="77">
        <f t="shared" si="173"/>
        <v>95.431278005191899</v>
      </c>
      <c r="CL65" s="77">
        <f t="shared" si="173"/>
        <v>89.755270143554185</v>
      </c>
      <c r="CM65" s="105">
        <f t="shared" si="173"/>
        <v>84.078399051315841</v>
      </c>
      <c r="CN65" s="77">
        <f t="shared" si="173"/>
        <v>78.401545095976843</v>
      </c>
      <c r="CO65" s="77">
        <f t="shared" si="173"/>
        <v>72.718192335672697</v>
      </c>
      <c r="CP65" s="77">
        <f t="shared" si="173"/>
        <v>67.034458530760205</v>
      </c>
      <c r="CQ65" s="105">
        <f t="shared" si="173"/>
        <v>61.350819921651066</v>
      </c>
      <c r="CR65" s="77">
        <f t="shared" si="173"/>
        <v>55.667179211700983</v>
      </c>
      <c r="CS65" s="77">
        <f t="shared" si="173"/>
        <v>49.986300279010692</v>
      </c>
      <c r="CT65" s="77">
        <f t="shared" si="173"/>
        <v>44.305153111308698</v>
      </c>
      <c r="CU65" s="105">
        <f t="shared" si="173"/>
        <v>38.624009795672919</v>
      </c>
      <c r="CV65" s="77">
        <f t="shared" si="173"/>
        <v>32.942381116462165</v>
      </c>
      <c r="CW65" s="77">
        <f t="shared" si="173"/>
        <v>27.260135254374759</v>
      </c>
      <c r="CX65" s="77">
        <f t="shared" si="173"/>
        <v>21.577957140897297</v>
      </c>
      <c r="CY65" s="105">
        <f t="shared" si="173"/>
        <v>15.895777693062701</v>
      </c>
      <c r="CZ65" s="77">
        <f t="shared" si="173"/>
        <v>10.213954968523925</v>
      </c>
      <c r="DA65" s="77">
        <f t="shared" si="173"/>
        <v>4.5322073847763553</v>
      </c>
      <c r="DB65" s="77">
        <f t="shared" si="173"/>
        <v>-1.1495510095032895</v>
      </c>
      <c r="DC65" s="105">
        <f t="shared" si="173"/>
        <v>-6.8313091800164907</v>
      </c>
      <c r="DD65" s="77">
        <f t="shared" si="173"/>
        <v>-12.513232030058113</v>
      </c>
      <c r="DE65" s="77">
        <f t="shared" si="173"/>
        <v>-18.195164915042007</v>
      </c>
      <c r="DF65" s="77">
        <f t="shared" si="173"/>
        <v>-23.877095348700834</v>
      </c>
      <c r="DG65" s="105">
        <f t="shared" si="173"/>
        <v>-29.558986356793788</v>
      </c>
      <c r="DH65" s="77">
        <f t="shared" si="173"/>
        <v>-35.240838569486009</v>
      </c>
      <c r="DI65" s="77">
        <f t="shared" si="173"/>
        <v>-40.922695117983992</v>
      </c>
      <c r="DJ65" s="77">
        <f t="shared" si="173"/>
        <v>-46.60455158075839</v>
      </c>
      <c r="DK65" s="105">
        <f t="shared" si="173"/>
        <v>-52.286422145283531</v>
      </c>
      <c r="DL65" s="77">
        <f t="shared" si="173"/>
        <v>-57.968307057383946</v>
      </c>
      <c r="DM65" s="77">
        <f t="shared" si="173"/>
        <v>-63.650190370282147</v>
      </c>
      <c r="DN65" s="77">
        <f t="shared" si="173"/>
        <v>-69.332073714780449</v>
      </c>
      <c r="DO65" s="105">
        <f t="shared" si="173"/>
        <v>-75.013945693351872</v>
      </c>
      <c r="DP65" s="77">
        <f t="shared" si="173"/>
        <v>-80.695816571721082</v>
      </c>
      <c r="DQ65" s="77">
        <f t="shared" si="173"/>
        <v>-86.377687661260396</v>
      </c>
      <c r="DR65" s="77">
        <f t="shared" ref="DR65:DZ67" si="174">_xlfn.FORECAST.ETS(DR$19,DH65:DQ65,DH$19:DQ$19)</f>
        <v>-92.05955874625792</v>
      </c>
      <c r="DS65" s="105">
        <f t="shared" si="174"/>
        <v>-97.741434979235038</v>
      </c>
      <c r="DT65" s="77">
        <f t="shared" si="174"/>
        <v>-103.4233105919143</v>
      </c>
      <c r="DU65" s="77">
        <f t="shared" si="174"/>
        <v>-109.10518622416529</v>
      </c>
      <c r="DV65" s="77">
        <f t="shared" si="174"/>
        <v>-114.78706100571956</v>
      </c>
      <c r="DW65" s="105">
        <f t="shared" si="174"/>
        <v>-120.46893467537396</v>
      </c>
      <c r="DX65" s="77">
        <f t="shared" si="174"/>
        <v>-126.15080846687613</v>
      </c>
      <c r="DY65" s="77">
        <f t="shared" si="174"/>
        <v>-131.83268225597928</v>
      </c>
      <c r="DZ65" s="77">
        <f t="shared" si="174"/>
        <v>-137.51455668022464</v>
      </c>
    </row>
    <row r="66" spans="1:130" x14ac:dyDescent="0.2">
      <c r="A66" s="39" t="s">
        <v>126</v>
      </c>
      <c r="B66" s="39" t="s">
        <v>170</v>
      </c>
      <c r="C66" s="70">
        <v>95253</v>
      </c>
      <c r="D66" s="70">
        <v>98992</v>
      </c>
      <c r="E66" s="70">
        <v>100463</v>
      </c>
      <c r="F66" s="70">
        <v>99485</v>
      </c>
      <c r="G66" s="70">
        <v>186996</v>
      </c>
      <c r="H66" s="70">
        <v>192643</v>
      </c>
      <c r="I66" s="70">
        <v>193200</v>
      </c>
      <c r="J66" s="70">
        <v>202006</v>
      </c>
      <c r="K66" s="70">
        <v>437209</v>
      </c>
      <c r="L66" s="70">
        <v>483643</v>
      </c>
      <c r="M66" s="70">
        <v>486650</v>
      </c>
      <c r="N66" s="70">
        <v>488597</v>
      </c>
      <c r="O66" s="70">
        <v>455882</v>
      </c>
      <c r="P66" s="70">
        <v>480051</v>
      </c>
      <c r="Q66" s="70">
        <v>496025</v>
      </c>
      <c r="R66" s="70">
        <v>516229</v>
      </c>
      <c r="S66" s="70">
        <v>463914</v>
      </c>
      <c r="T66" s="70">
        <v>500975</v>
      </c>
      <c r="U66" s="70">
        <v>514683</v>
      </c>
      <c r="V66" s="70">
        <v>488172</v>
      </c>
      <c r="W66" s="70">
        <v>1347800</v>
      </c>
      <c r="X66" s="70">
        <v>1373035</v>
      </c>
      <c r="Y66" s="70">
        <v>1415623</v>
      </c>
      <c r="Z66" s="103">
        <v>1400611</v>
      </c>
      <c r="AA66" s="104">
        <v>1912572</v>
      </c>
      <c r="AB66" s="70">
        <v>2044977</v>
      </c>
      <c r="AC66" s="70">
        <v>2067097</v>
      </c>
      <c r="AD66" s="103">
        <v>2037771</v>
      </c>
      <c r="AE66" s="104">
        <v>2469411</v>
      </c>
      <c r="AF66" s="70">
        <v>2644561</v>
      </c>
      <c r="AG66" s="70">
        <v>2639633</v>
      </c>
      <c r="AH66" s="103">
        <v>2580230</v>
      </c>
      <c r="AI66" s="104">
        <v>3004271</v>
      </c>
      <c r="AJ66" s="70">
        <v>3179635</v>
      </c>
      <c r="AK66" s="70">
        <v>3148565</v>
      </c>
      <c r="AL66" s="103">
        <v>3182791</v>
      </c>
      <c r="AM66" s="104">
        <v>3331845</v>
      </c>
      <c r="AN66" s="70">
        <v>2519031</v>
      </c>
      <c r="AO66" s="70">
        <v>3116361</v>
      </c>
      <c r="AP66" s="103">
        <v>3060571</v>
      </c>
      <c r="AQ66" s="104">
        <v>3388538</v>
      </c>
      <c r="AR66" s="70">
        <v>3811647</v>
      </c>
      <c r="AS66" s="70">
        <v>3998145</v>
      </c>
      <c r="AT66" s="103">
        <v>3783348</v>
      </c>
      <c r="AU66" s="104">
        <v>4051022</v>
      </c>
      <c r="AV66" s="70">
        <v>4244453</v>
      </c>
      <c r="AW66" s="70">
        <f>4107504</f>
        <v>4107504</v>
      </c>
      <c r="AX66" s="70">
        <v>4300565</v>
      </c>
      <c r="AY66" s="104">
        <v>4325283</v>
      </c>
      <c r="AZ66" s="70">
        <v>4681729</v>
      </c>
      <c r="BA66" s="70">
        <v>4684492</v>
      </c>
      <c r="BB66" s="70">
        <v>4531806</v>
      </c>
      <c r="BC66" s="104">
        <v>4825036</v>
      </c>
      <c r="BD66" s="70">
        <v>5161198</v>
      </c>
      <c r="BE66" s="70">
        <v>4845687</v>
      </c>
      <c r="BF66" s="105">
        <f t="shared" si="173"/>
        <v>5130845.2847887175</v>
      </c>
      <c r="BG66" s="105">
        <f t="shared" si="173"/>
        <v>5237654.6331182625</v>
      </c>
      <c r="BH66" s="77">
        <f t="shared" si="173"/>
        <v>5126179.8273468455</v>
      </c>
      <c r="BI66" s="77">
        <f t="shared" si="173"/>
        <v>5438078.1821996886</v>
      </c>
      <c r="BJ66" s="77">
        <f t="shared" si="173"/>
        <v>5590624.973929828</v>
      </c>
      <c r="BK66" s="105">
        <f t="shared" si="173"/>
        <v>5632999.6231248342</v>
      </c>
      <c r="BL66" s="105">
        <f t="shared" si="173"/>
        <v>5733887.0996642718</v>
      </c>
      <c r="BM66" s="105">
        <f t="shared" si="173"/>
        <v>5796524.3082680479</v>
      </c>
      <c r="BN66" s="105">
        <f t="shared" si="173"/>
        <v>5906522.6972829597</v>
      </c>
      <c r="BO66" s="105">
        <f>_xlfn.FORECAST.ETS(BO$19,BE66:BN66,BE$19:BN$19)</f>
        <v>6045246.4582514213</v>
      </c>
      <c r="BP66" s="77">
        <f>_xlfn.FORECAST.ETS(BP$19,BF66:BO66,BF$19:BO$19)</f>
        <v>6148390.6624924336</v>
      </c>
      <c r="BQ66" s="77">
        <f t="shared" si="173"/>
        <v>6267744.1449108152</v>
      </c>
      <c r="BR66" s="77">
        <f t="shared" si="173"/>
        <v>6378716.7663034126</v>
      </c>
      <c r="BS66" s="105">
        <f>_xlfn.FORECAST.ETS(BS$19,BI66:BR66,BI$19:BR$19)</f>
        <v>6457637.3068807442</v>
      </c>
      <c r="BT66" s="77">
        <f t="shared" si="173"/>
        <v>6562158.7827555686</v>
      </c>
      <c r="BU66" s="77">
        <f>_xlfn.FORECAST.ETS(BU$19,BK66:BT66,BK$19:BT$19)</f>
        <v>6668784.9947059574</v>
      </c>
      <c r="BV66" s="77">
        <f>_xlfn.FORECAST.ETS(BV$19,BL66:BU66,BL$19:BU$19)+300000</f>
        <v>7075799.582961278</v>
      </c>
      <c r="BW66" s="105">
        <f>_xlfn.FORECAST.ETS(BW$19,BM66:BV66,BM$19:BV$19)</f>
        <v>7035499.0263642846</v>
      </c>
      <c r="BX66" s="77">
        <f>_xlfn.FORECAST.ETS(BX$19,BN66:BW66,BN$19:BW$19)</f>
        <v>7173839.9879198037</v>
      </c>
      <c r="BY66" s="77">
        <f t="shared" si="173"/>
        <v>7306397.268177202</v>
      </c>
      <c r="BZ66" s="77">
        <f t="shared" si="173"/>
        <v>7454636.9958679499</v>
      </c>
      <c r="CA66" s="105">
        <f t="shared" si="173"/>
        <v>7601838.7258187803</v>
      </c>
      <c r="CB66" s="77">
        <f t="shared" si="173"/>
        <v>7756777.6879489394</v>
      </c>
      <c r="CC66" s="77">
        <f t="shared" si="173"/>
        <v>7896122.7748023458</v>
      </c>
      <c r="CD66" s="77">
        <f t="shared" si="173"/>
        <v>8029961.2766787764</v>
      </c>
      <c r="CE66" s="105">
        <f t="shared" si="173"/>
        <v>8163692.4871220598</v>
      </c>
      <c r="CF66" s="105">
        <f t="shared" si="173"/>
        <v>8295915.5459966008</v>
      </c>
      <c r="CG66" s="105">
        <f t="shared" si="173"/>
        <v>8436108.1757186037</v>
      </c>
      <c r="CH66" s="105">
        <f t="shared" si="173"/>
        <v>8576140.8863124344</v>
      </c>
      <c r="CI66" s="105">
        <f t="shared" si="173"/>
        <v>8716122.5180883296</v>
      </c>
      <c r="CJ66" s="77">
        <f t="shared" si="173"/>
        <v>8855323.8498505894</v>
      </c>
      <c r="CK66" s="77">
        <f t="shared" si="173"/>
        <v>8993045.5983920768</v>
      </c>
      <c r="CL66" s="77">
        <f t="shared" si="173"/>
        <v>9130582.0908494219</v>
      </c>
      <c r="CM66" s="105">
        <f t="shared" si="173"/>
        <v>9268150.9344678484</v>
      </c>
      <c r="CN66" s="77">
        <f t="shared" si="173"/>
        <v>9406097.9076679014</v>
      </c>
      <c r="CO66" s="77">
        <f t="shared" si="173"/>
        <v>9544639.2356952354</v>
      </c>
      <c r="CP66" s="77">
        <f t="shared" si="173"/>
        <v>9683116.0839291271</v>
      </c>
      <c r="CQ66" s="105">
        <f t="shared" si="173"/>
        <v>9821594.1989089809</v>
      </c>
      <c r="CR66" s="77">
        <f t="shared" si="173"/>
        <v>9959870.0457993709</v>
      </c>
      <c r="CS66" s="77">
        <f t="shared" si="173"/>
        <v>10097959.858676998</v>
      </c>
      <c r="CT66" s="77">
        <f t="shared" si="173"/>
        <v>10236070.574383754</v>
      </c>
      <c r="CU66" s="105">
        <f t="shared" si="173"/>
        <v>10374180.876355328</v>
      </c>
      <c r="CV66" s="77">
        <f t="shared" si="173"/>
        <v>10512393.860818541</v>
      </c>
      <c r="CW66" s="77">
        <f t="shared" si="173"/>
        <v>10650672.331167411</v>
      </c>
      <c r="CX66" s="77">
        <f t="shared" si="173"/>
        <v>10788943.172476536</v>
      </c>
      <c r="CY66" s="105">
        <f t="shared" si="173"/>
        <v>10927214.165909981</v>
      </c>
      <c r="CZ66" s="77">
        <f t="shared" si="173"/>
        <v>11065435.079038795</v>
      </c>
      <c r="DA66" s="77">
        <f t="shared" si="173"/>
        <v>11203643.491505355</v>
      </c>
      <c r="DB66" s="77">
        <f t="shared" si="173"/>
        <v>11341853.622681456</v>
      </c>
      <c r="DC66" s="105">
        <f t="shared" si="173"/>
        <v>11480063.718539709</v>
      </c>
      <c r="DD66" s="77">
        <f t="shared" si="173"/>
        <v>11618299.207985597</v>
      </c>
      <c r="DE66" s="77">
        <f t="shared" si="173"/>
        <v>11756532.812700918</v>
      </c>
      <c r="DF66" s="77">
        <f t="shared" si="173"/>
        <v>11894766.392930096</v>
      </c>
      <c r="DG66" s="105">
        <f t="shared" si="173"/>
        <v>12032995.646086745</v>
      </c>
      <c r="DH66" s="77">
        <f t="shared" si="173"/>
        <v>12171219.349380529</v>
      </c>
      <c r="DI66" s="77">
        <f t="shared" si="173"/>
        <v>12309443.661574529</v>
      </c>
      <c r="DJ66" s="77">
        <f t="shared" si="173"/>
        <v>12447667.961777126</v>
      </c>
      <c r="DK66" s="105">
        <f t="shared" si="173"/>
        <v>12585894.083880251</v>
      </c>
      <c r="DL66" s="77">
        <f t="shared" si="173"/>
        <v>12724122.199038731</v>
      </c>
      <c r="DM66" s="77">
        <f t="shared" si="173"/>
        <v>12862350.09322777</v>
      </c>
      <c r="DN66" s="77">
        <f t="shared" si="173"/>
        <v>13000577.99177823</v>
      </c>
      <c r="DO66" s="105">
        <f t="shared" si="173"/>
        <v>13138804.873587374</v>
      </c>
      <c r="DP66" s="77">
        <f t="shared" si="173"/>
        <v>13277031.090984885</v>
      </c>
      <c r="DQ66" s="77">
        <f t="shared" si="173"/>
        <v>13415257.385569917</v>
      </c>
      <c r="DR66" s="77">
        <f t="shared" si="174"/>
        <v>13553483.678616678</v>
      </c>
      <c r="DS66" s="105">
        <f t="shared" si="174"/>
        <v>13691710.468720628</v>
      </c>
      <c r="DT66" s="77">
        <f t="shared" si="174"/>
        <v>13829937.380765716</v>
      </c>
      <c r="DU66" s="77">
        <f t="shared" si="174"/>
        <v>13968164.275971703</v>
      </c>
      <c r="DV66" s="77">
        <f t="shared" si="174"/>
        <v>14106391.171523966</v>
      </c>
      <c r="DW66" s="105">
        <f t="shared" si="174"/>
        <v>14244617.818398921</v>
      </c>
      <c r="DX66" s="77">
        <f t="shared" si="174"/>
        <v>14382844.482655466</v>
      </c>
      <c r="DY66" s="77">
        <f t="shared" si="174"/>
        <v>14521071.14726257</v>
      </c>
      <c r="DZ66" s="77">
        <f t="shared" si="174"/>
        <v>14659297.854088642</v>
      </c>
    </row>
    <row r="67" spans="1:130" x14ac:dyDescent="0.2">
      <c r="A67" s="39" t="s">
        <v>127</v>
      </c>
      <c r="B67" s="39" t="s">
        <v>170</v>
      </c>
      <c r="C67" s="70">
        <v>26118</v>
      </c>
      <c r="D67" s="70">
        <v>29866</v>
      </c>
      <c r="E67" s="70">
        <v>31400</v>
      </c>
      <c r="F67" s="70">
        <v>29341</v>
      </c>
      <c r="G67" s="70">
        <v>49619</v>
      </c>
      <c r="H67" s="70">
        <v>58014</v>
      </c>
      <c r="I67" s="70">
        <v>62695</v>
      </c>
      <c r="J67" s="70">
        <v>58376</v>
      </c>
      <c r="K67" s="70">
        <v>106408</v>
      </c>
      <c r="L67" s="70">
        <v>124625</v>
      </c>
      <c r="M67" s="70">
        <v>121229</v>
      </c>
      <c r="N67" s="70">
        <v>111805</v>
      </c>
      <c r="O67" s="70">
        <v>103103</v>
      </c>
      <c r="P67" s="70">
        <v>117434</v>
      </c>
      <c r="Q67" s="70">
        <v>133510</v>
      </c>
      <c r="R67" s="70">
        <v>121682</v>
      </c>
      <c r="S67" s="70">
        <v>104161</v>
      </c>
      <c r="T67" s="70">
        <v>119903</v>
      </c>
      <c r="U67" s="70">
        <v>126704</v>
      </c>
      <c r="V67" s="70">
        <v>112037</v>
      </c>
      <c r="W67" s="70">
        <v>211818</v>
      </c>
      <c r="X67" s="70">
        <v>237716</v>
      </c>
      <c r="Y67" s="70">
        <v>273932</v>
      </c>
      <c r="Z67" s="103">
        <v>214789</v>
      </c>
      <c r="AA67" s="104">
        <v>381221</v>
      </c>
      <c r="AB67" s="70">
        <v>401553</v>
      </c>
      <c r="AC67" s="70">
        <v>433010</v>
      </c>
      <c r="AD67" s="103">
        <v>439338</v>
      </c>
      <c r="AE67" s="104">
        <v>352764</v>
      </c>
      <c r="AF67" s="70">
        <v>423300</v>
      </c>
      <c r="AG67" s="70">
        <v>429907</v>
      </c>
      <c r="AH67" s="103">
        <v>399355</v>
      </c>
      <c r="AI67" s="104">
        <v>583502</v>
      </c>
      <c r="AJ67" s="70">
        <v>650567</v>
      </c>
      <c r="AK67" s="70">
        <v>668865</v>
      </c>
      <c r="AL67" s="103">
        <v>636748</v>
      </c>
      <c r="AM67" s="104">
        <v>629505</v>
      </c>
      <c r="AN67" s="70">
        <v>688077</v>
      </c>
      <c r="AO67" s="70">
        <v>734698</v>
      </c>
      <c r="AP67" s="103">
        <v>713330</v>
      </c>
      <c r="AQ67" s="104">
        <v>681122</v>
      </c>
      <c r="AR67" s="70">
        <v>794393</v>
      </c>
      <c r="AS67" s="70">
        <v>818647</v>
      </c>
      <c r="AT67" s="103">
        <v>686782</v>
      </c>
      <c r="AU67" s="104">
        <v>675366</v>
      </c>
      <c r="AV67" s="70">
        <v>707044</v>
      </c>
      <c r="AW67" s="70">
        <v>665389</v>
      </c>
      <c r="AX67" s="70">
        <v>670727</v>
      </c>
      <c r="AY67" s="104">
        <v>535167</v>
      </c>
      <c r="AZ67" s="70">
        <v>526564</v>
      </c>
      <c r="BA67" s="70">
        <v>597732</v>
      </c>
      <c r="BB67" s="70">
        <v>487657</v>
      </c>
      <c r="BC67" s="104">
        <v>367196</v>
      </c>
      <c r="BD67" s="70">
        <v>362833</v>
      </c>
      <c r="BE67" s="70">
        <v>519244</v>
      </c>
      <c r="BF67" s="77">
        <f>_xlfn.FORECAST.ETS(BF$19,AV67:BE67,AV$19:BE$19)</f>
        <v>378768.57952962437</v>
      </c>
      <c r="BG67" s="105">
        <f t="shared" si="173"/>
        <v>414745.34841332264</v>
      </c>
      <c r="BH67" s="77">
        <f>_xlfn.FORECAST.ETS(BH$19,AX67:BG67,AX$19:BG$19)*1.1</f>
        <v>388842.82753373566</v>
      </c>
      <c r="BI67" s="77">
        <f t="shared" si="173"/>
        <v>347579.74394308869</v>
      </c>
      <c r="BJ67" s="77">
        <f t="shared" si="173"/>
        <v>329880.73208022193</v>
      </c>
      <c r="BK67" s="105">
        <f>_xlfn.FORECAST.ETS(BK$19,BA67:BJ67,BA$19:BJ$19)</f>
        <v>312797.60853651218</v>
      </c>
      <c r="BL67" s="77">
        <f>_xlfn.FORECAST.ETS(BL$19,BB67:BK67,BB$19:BK$19)</f>
        <v>323064.49541496212</v>
      </c>
      <c r="BM67" s="77">
        <f t="shared" si="173"/>
        <v>307907.87859921675</v>
      </c>
      <c r="BN67" s="77">
        <f t="shared" si="173"/>
        <v>287909.05139145243</v>
      </c>
      <c r="BO67" s="105">
        <f>_xlfn.FORECAST.ETS(BO$19,BE67:BN67,BE$19:BN$19)</f>
        <v>263020.95546429249</v>
      </c>
      <c r="BP67" s="77">
        <f>_xlfn.FORECAST.ETS(BP$19,BF67:BO67,BF$19:BO$19)</f>
        <v>253609.67337993899</v>
      </c>
      <c r="BQ67" s="77">
        <f>_xlfn.FORECAST.ETS(BQ$19,BG67:BP67,BG$19:BP$19)</f>
        <v>236721.24637386511</v>
      </c>
      <c r="BR67" s="77">
        <f>_xlfn.FORECAST.ETS(BR$19,BH67:BQ67,BH$19:BQ$19)</f>
        <v>222003.92425733188</v>
      </c>
      <c r="BS67" s="105">
        <f>_xlfn.FORECAST.ETS(BS$19,BI67:BR67,BI$19:BR$19)*1.3</f>
        <v>272635.84096478956</v>
      </c>
      <c r="BT67" s="77">
        <f>_xlfn.FORECAST.ETS(BT$19,BJ67:BS67,BJ$19:BS$19)*1.3</f>
        <v>289305.77258430514</v>
      </c>
      <c r="BU67" s="77">
        <f t="shared" si="173"/>
        <v>286869.03857882059</v>
      </c>
      <c r="BV67" s="77">
        <f t="shared" si="173"/>
        <v>284953.53507165925</v>
      </c>
      <c r="BW67" s="105">
        <f>_xlfn.FORECAST.ETS(BW$19,BM67:BV67,BM$19:BV$19)</f>
        <v>284853.1423737366</v>
      </c>
      <c r="BX67" s="77">
        <f>_xlfn.FORECAST.ETS(BX$19,BN67:BW67,BN$19:BW$19)</f>
        <v>288218.21508730663</v>
      </c>
      <c r="BY67" s="77">
        <f t="shared" si="173"/>
        <v>293902.74261974258</v>
      </c>
      <c r="BZ67" s="77">
        <f t="shared" si="173"/>
        <v>309543.2613116267</v>
      </c>
      <c r="CA67" s="105">
        <f t="shared" si="173"/>
        <v>315273.9575976468</v>
      </c>
      <c r="CB67" s="77">
        <f t="shared" si="173"/>
        <v>322151.28478654585</v>
      </c>
      <c r="CC67" s="77">
        <f t="shared" si="173"/>
        <v>326590.52664837148</v>
      </c>
      <c r="CD67" s="77">
        <f>_xlfn.FORECAST.ETS(CD$19,BT67:CC67,BT$19:CC$19)</f>
        <v>331523.22669083643</v>
      </c>
      <c r="CE67" s="105">
        <f t="shared" si="173"/>
        <v>337544.43436667765</v>
      </c>
      <c r="CF67" s="77">
        <f t="shared" si="173"/>
        <v>344168.60610020295</v>
      </c>
      <c r="CG67" s="77">
        <f t="shared" si="173"/>
        <v>353038.15825085348</v>
      </c>
      <c r="CH67" s="77">
        <f>_xlfn.FORECAST.ETS(CH$19,BX67:CG67,BX$19:CG$19)</f>
        <v>359680.80652868218</v>
      </c>
      <c r="CI67" s="105">
        <f t="shared" si="173"/>
        <v>366281.97197026428</v>
      </c>
      <c r="CJ67" s="77">
        <f t="shared" si="173"/>
        <v>372513.70089319296</v>
      </c>
      <c r="CK67" s="77">
        <f t="shared" si="173"/>
        <v>378958.92091094644</v>
      </c>
      <c r="CL67" s="77">
        <f>_xlfn.FORECAST.ETS(CL$19,CB67:CK67,CB$19:CK$19)</f>
        <v>385443.36877029587</v>
      </c>
      <c r="CM67" s="105">
        <f t="shared" si="173"/>
        <v>392193.27468959294</v>
      </c>
      <c r="CN67" s="77">
        <f t="shared" si="173"/>
        <v>399424.73187456996</v>
      </c>
      <c r="CO67" s="77">
        <f t="shared" si="173"/>
        <v>406164.42090467754</v>
      </c>
      <c r="CP67" s="77">
        <f>_xlfn.FORECAST.ETS(CP$19,CF67:CO67,CF$19:CO$19)</f>
        <v>412881.56867030333</v>
      </c>
      <c r="CQ67" s="105">
        <f t="shared" si="173"/>
        <v>419547.67530846666</v>
      </c>
      <c r="CR67" s="77">
        <f t="shared" si="173"/>
        <v>426228.37830697786</v>
      </c>
      <c r="CS67" s="77">
        <f t="shared" si="173"/>
        <v>432927.01787242811</v>
      </c>
      <c r="CT67" s="77">
        <f t="shared" si="173"/>
        <v>439683.75058805424</v>
      </c>
      <c r="CU67" s="105">
        <f t="shared" si="173"/>
        <v>446601.62016045878</v>
      </c>
      <c r="CV67" s="77">
        <f t="shared" si="173"/>
        <v>453358.47316834296</v>
      </c>
      <c r="CW67" s="77">
        <f t="shared" si="173"/>
        <v>460115.87044725229</v>
      </c>
      <c r="CX67" s="77">
        <f t="shared" si="173"/>
        <v>466855.0555710505</v>
      </c>
      <c r="CY67" s="105">
        <f t="shared" si="173"/>
        <v>473606.21148920339</v>
      </c>
      <c r="CZ67" s="77">
        <f t="shared" si="173"/>
        <v>480366.65469820768</v>
      </c>
      <c r="DA67" s="77">
        <f t="shared" si="173"/>
        <v>487135.42412793147</v>
      </c>
      <c r="DB67" s="77">
        <f t="shared" si="173"/>
        <v>493946.78021165746</v>
      </c>
      <c r="DC67" s="105">
        <f t="shared" si="173"/>
        <v>500716.75125606882</v>
      </c>
      <c r="DD67" s="77">
        <f t="shared" si="173"/>
        <v>507486.81040329393</v>
      </c>
      <c r="DE67" s="77">
        <f t="shared" si="173"/>
        <v>514253.57356710423</v>
      </c>
      <c r="DF67" s="77">
        <f t="shared" si="173"/>
        <v>521021.85970277718</v>
      </c>
      <c r="DG67" s="105">
        <f t="shared" si="173"/>
        <v>527793.0890010969</v>
      </c>
      <c r="DH67" s="77">
        <f t="shared" si="173"/>
        <v>534566.73431337462</v>
      </c>
      <c r="DI67" s="77">
        <f t="shared" si="173"/>
        <v>541348.70883974142</v>
      </c>
      <c r="DJ67" s="77">
        <f t="shared" si="173"/>
        <v>548121.32315586996</v>
      </c>
      <c r="DK67" s="105">
        <f t="shared" si="173"/>
        <v>554894.83107387647</v>
      </c>
      <c r="DL67" s="77">
        <f t="shared" si="173"/>
        <v>561667.23989024211</v>
      </c>
      <c r="DM67" s="77">
        <f t="shared" si="173"/>
        <v>568440.01290131512</v>
      </c>
      <c r="DN67" s="77">
        <f t="shared" si="173"/>
        <v>575213.44333122286</v>
      </c>
      <c r="DO67" s="105">
        <f t="shared" si="173"/>
        <v>581987.39723395929</v>
      </c>
      <c r="DP67" s="77">
        <f t="shared" si="173"/>
        <v>588762.9484183403</v>
      </c>
      <c r="DQ67" s="77">
        <f t="shared" si="173"/>
        <v>595536.90236904763</v>
      </c>
      <c r="DR67" s="77">
        <f t="shared" si="174"/>
        <v>602310.76439221331</v>
      </c>
      <c r="DS67" s="105">
        <f t="shared" si="174"/>
        <v>609084.82158106356</v>
      </c>
      <c r="DT67" s="77">
        <f t="shared" si="174"/>
        <v>615858.63944973343</v>
      </c>
      <c r="DU67" s="77">
        <f t="shared" si="174"/>
        <v>622632.52292903571</v>
      </c>
      <c r="DV67" s="77">
        <f t="shared" si="174"/>
        <v>629406.59473184077</v>
      </c>
      <c r="DW67" s="105">
        <f t="shared" si="174"/>
        <v>636181.12507940468</v>
      </c>
      <c r="DX67" s="77">
        <f t="shared" si="174"/>
        <v>642955.15814439661</v>
      </c>
      <c r="DY67" s="77">
        <f t="shared" si="174"/>
        <v>649729.24923835008</v>
      </c>
      <c r="DZ67" s="77">
        <f t="shared" si="174"/>
        <v>656503.27631524683</v>
      </c>
    </row>
    <row r="68" spans="1:130" x14ac:dyDescent="0.2">
      <c r="A68" s="39" t="s">
        <v>172</v>
      </c>
      <c r="B68" s="39" t="s">
        <v>170</v>
      </c>
      <c r="C68" s="70"/>
      <c r="D68" s="70"/>
      <c r="E68" s="70"/>
      <c r="F68" s="70"/>
      <c r="G68" s="70"/>
      <c r="H68" s="70"/>
      <c r="I68" s="70"/>
      <c r="J68" s="70"/>
      <c r="K68" s="70"/>
      <c r="L68" s="70"/>
      <c r="M68" s="70"/>
      <c r="N68" s="70"/>
      <c r="O68" s="70"/>
      <c r="P68" s="70"/>
      <c r="Q68" s="70"/>
      <c r="R68" s="70"/>
      <c r="S68" s="70"/>
      <c r="T68" s="70"/>
      <c r="U68" s="70"/>
      <c r="V68" s="70"/>
      <c r="W68" s="70"/>
      <c r="X68" s="70"/>
      <c r="Y68" s="70"/>
      <c r="Z68" s="103"/>
      <c r="AA68" s="104"/>
      <c r="AB68" s="70"/>
      <c r="AC68" s="70"/>
      <c r="AD68" s="103"/>
      <c r="AE68" s="104"/>
      <c r="AF68" s="70"/>
      <c r="AG68" s="70"/>
      <c r="AH68" s="103"/>
      <c r="AI68" s="104"/>
      <c r="AJ68" s="70"/>
      <c r="AK68" s="70"/>
      <c r="AL68" s="103"/>
      <c r="AM68" s="104">
        <v>86607</v>
      </c>
      <c r="AN68" s="70">
        <v>65377</v>
      </c>
      <c r="AO68" s="70">
        <v>81086</v>
      </c>
      <c r="AP68" s="103">
        <v>79632</v>
      </c>
      <c r="AQ68" s="104">
        <v>137831</v>
      </c>
      <c r="AR68" s="70">
        <v>155037</v>
      </c>
      <c r="AS68" s="70">
        <v>162626</v>
      </c>
      <c r="AT68" s="103">
        <v>153889</v>
      </c>
      <c r="AU68" s="106">
        <v>329235</v>
      </c>
      <c r="AV68" s="107">
        <v>344955</v>
      </c>
      <c r="AW68" s="107">
        <v>333825</v>
      </c>
      <c r="AX68" s="107">
        <v>349516</v>
      </c>
      <c r="AY68" s="104">
        <v>378507</v>
      </c>
      <c r="AZ68" s="70">
        <v>409700</v>
      </c>
      <c r="BA68" s="70">
        <v>409940</v>
      </c>
      <c r="BB68" s="70">
        <v>396551</v>
      </c>
      <c r="BC68" s="104">
        <v>412276</v>
      </c>
      <c r="BD68" s="70">
        <v>441002</v>
      </c>
      <c r="BE68" s="106">
        <v>414040</v>
      </c>
      <c r="BF68" s="108">
        <f>(BF48-SUM(BF60:BF67,BF69))-1*(BF71)+500000</f>
        <v>8152350.1091767251</v>
      </c>
      <c r="BG68" s="108">
        <f>(BG48-SUM(BG60:BG67,BG69))-1*(BG71)+350000</f>
        <v>6901608.0528110713</v>
      </c>
      <c r="BH68" s="108">
        <f>(BH48-SUM(BH60:BH67,BH69))-1*(BH71)+450000</f>
        <v>7241868.8067965237</v>
      </c>
      <c r="BI68" s="108">
        <f>(BI48-SUM(BI60:BI67,BI69))-1*(BI71)</f>
        <v>8642394.0345274545</v>
      </c>
      <c r="BJ68" s="108">
        <f>(BJ48-SUM(BJ60:BJ67,BJ69))-1*(BJ71)+1500000</f>
        <v>8853426.510668559</v>
      </c>
      <c r="BK68" s="108">
        <f>(BK48-SUM(BK60:BK67,BK69))-1*(BK71)+1000000</f>
        <v>9165720.2661329824</v>
      </c>
      <c r="BL68" s="108">
        <f t="shared" ref="BL68" si="175">(BL48-SUM(BL60:BL67,BL69))-1*(BL71)</f>
        <v>7544569.7464895453</v>
      </c>
      <c r="BM68" s="108">
        <f>(BM48-SUM(BM60:BM67,BM69))-1*(BM71)+700000</f>
        <v>10058902.474207327</v>
      </c>
      <c r="BN68" s="108">
        <f>(BN48-SUM(BN60:BN67,BN69))-1*(BN71)+1200000</f>
        <v>9587124.1745914705</v>
      </c>
      <c r="BO68" s="108">
        <f>(BO48-SUM(BO60:BO67,BO69))-1.5*(BO71)+1500000</f>
        <v>11016036.798122823</v>
      </c>
      <c r="BP68" s="108">
        <f>(BP48-SUM(BP60:BP67,BP69))-1.5*(BP71)</f>
        <v>10678451.938028032</v>
      </c>
      <c r="BQ68" s="108">
        <f>(BQ48-SUM(BQ60:BQ67,BQ69))-(BQ71)</f>
        <v>13502967.913715627</v>
      </c>
      <c r="BR68" s="108">
        <f>(BR48-SUM(BR60:BR67,BR69))-1.5*(BR71)+1000000</f>
        <v>9814529.1609865576</v>
      </c>
      <c r="BS68" s="108">
        <f>(BS48-SUM(BS60:BS67,BS69))+1200000</f>
        <v>12685295.689491574</v>
      </c>
      <c r="BT68" s="109">
        <f>(BT48-SUM(BT60:BT67,BT69))-2*(BT71)-300000</f>
        <v>9783385.5673630722</v>
      </c>
      <c r="BU68" s="109">
        <f>(BU48-SUM(BU60:BU67,BU69))-2*(BU71)+1400000</f>
        <v>14620358.132195471</v>
      </c>
      <c r="BV68" s="110">
        <f>(BV48-SUM(BV60:BV67,BV69))-2*(BV71)+3000000</f>
        <v>10552573.462254794</v>
      </c>
      <c r="BW68" s="108">
        <f>(BW48-SUM(BW60:BW67,BW69))+1000000</f>
        <v>12845847.643364141</v>
      </c>
      <c r="BX68" s="108">
        <f>(BX48-SUM(BX60:BX67,BX69))-2.5*(BX71)</f>
        <v>10393855.647919761</v>
      </c>
      <c r="BY68" s="108">
        <f>(BY48-SUM(BY60:BY67,BY69))-2.5*(BY71)+1200000</f>
        <v>15138550.232520368</v>
      </c>
      <c r="BZ68" s="108">
        <f>(BZ48-SUM(BZ60:BZ67,BZ69))-2.5*(BZ71)+4700000</f>
        <v>11474415.895540005</v>
      </c>
      <c r="CA68" s="108">
        <f>(CA48-SUM(CA60:CA67,CA69))+1000000</f>
        <v>14096355.807738125</v>
      </c>
      <c r="CB68" s="108">
        <f>(CB48-SUM(CB60:CB67,CB69))*0.4</f>
        <v>5886007.7992528398</v>
      </c>
      <c r="CC68" s="108">
        <f>(CC48-SUM(CC60:CC67,CC69))*0.4</f>
        <v>7551720.7342531281</v>
      </c>
      <c r="CD68" s="108">
        <f>(CD48-SUM(CD60:CD67,CD69))-2.5*(CD71)+2700000</f>
        <v>10025793.027600158</v>
      </c>
      <c r="CE68" s="108">
        <f>(CE48-SUM(CE60:CE67,CE69))+1000000</f>
        <v>14577557.223462606</v>
      </c>
      <c r="CF68" s="108">
        <f>(CF48-SUM(CF60:CF67,CF69))*0.4</f>
        <v>6214708.792009064</v>
      </c>
      <c r="CG68" s="111">
        <f>(CG48-SUM(CG60:CG67,CG69))*0.4</f>
        <v>7798982.0885555362</v>
      </c>
      <c r="CH68" s="108">
        <f>(CH48-SUM(CH60:CH67,CH69))+3000000</f>
        <v>13238943.825726543</v>
      </c>
      <c r="CI68" s="108">
        <f>(CI48-SUM(CI60:CI67,CI69))+3000000</f>
        <v>19050420.554015603</v>
      </c>
      <c r="CJ68" s="108">
        <f>(CJ48-SUM(CJ60:CJ67,CJ69))*0.4</f>
        <v>7403827.8798346268</v>
      </c>
      <c r="CK68" s="108">
        <f>(CK48-SUM(CK60:CK67,CK69))*0.4</f>
        <v>8800683.0351031348</v>
      </c>
      <c r="CL68" s="108">
        <f>(CL48-SUM(CL60:CL67,CL69))+3000000</f>
        <v>14648795.29985808</v>
      </c>
      <c r="CM68" s="108">
        <f>(CM48-SUM(CM60:CM67,CM69))+4500000</f>
        <v>20715855.124783948</v>
      </c>
      <c r="CN68" s="108">
        <f>(CN48-SUM(CN60:CN67,CN69))-2.5*(CN71)</f>
        <v>18559016.74198221</v>
      </c>
      <c r="CO68" s="108">
        <f>(CO48-SUM(CO60:CO67,CO69))-2.5*(CO71)</f>
        <v>22709461.599547625</v>
      </c>
      <c r="CP68" s="108">
        <f>(CP48-SUM(CP60:CP67,CP69))+9000000</f>
        <v>23030846.171333119</v>
      </c>
      <c r="CQ68" s="105">
        <f t="shared" ref="CQ68:DF69" si="176">MROUND(1500000*(SUM(CI68,CE68)/(SUM($AQ$68:$AT$69,$AM$68:$AP$69))),1000)</f>
        <v>44003000</v>
      </c>
      <c r="CR68" s="77">
        <f t="shared" si="176"/>
        <v>17820000</v>
      </c>
      <c r="CS68" s="77">
        <f t="shared" si="176"/>
        <v>21721000</v>
      </c>
      <c r="CT68" s="77">
        <f t="shared" si="176"/>
        <v>36492000</v>
      </c>
      <c r="CU68" s="105">
        <f t="shared" si="176"/>
        <v>52036000</v>
      </c>
      <c r="CV68" s="77">
        <f t="shared" si="176"/>
        <v>33973000</v>
      </c>
      <c r="CW68" s="77">
        <f t="shared" si="176"/>
        <v>41232000</v>
      </c>
      <c r="CX68" s="77">
        <f t="shared" si="176"/>
        <v>49305000</v>
      </c>
      <c r="CY68" s="105">
        <f t="shared" si="176"/>
        <v>84687000</v>
      </c>
      <c r="CZ68" s="77">
        <f t="shared" si="176"/>
        <v>47603000</v>
      </c>
      <c r="DA68" s="77">
        <f t="shared" si="176"/>
        <v>58139000</v>
      </c>
      <c r="DB68" s="77">
        <f t="shared" si="176"/>
        <v>77888000</v>
      </c>
      <c r="DC68" s="105">
        <f t="shared" si="176"/>
        <v>125670000</v>
      </c>
      <c r="DD68" s="77">
        <f t="shared" si="176"/>
        <v>67773000</v>
      </c>
      <c r="DE68" s="77">
        <f t="shared" si="176"/>
        <v>82376000</v>
      </c>
      <c r="DF68" s="77">
        <f t="shared" si="176"/>
        <v>112268000</v>
      </c>
      <c r="DG68" s="105">
        <f t="shared" ref="DG68:DV69" si="177">MROUND(1500000*(SUM(CY68,CU68)/(SUM($AQ$68:$AT$69,$AM$68:$AP$69))),1000)</f>
        <v>178907000</v>
      </c>
      <c r="DH68" s="77">
        <f t="shared" si="177"/>
        <v>106745000</v>
      </c>
      <c r="DI68" s="77">
        <f t="shared" si="177"/>
        <v>130030000</v>
      </c>
      <c r="DJ68" s="77">
        <f t="shared" si="177"/>
        <v>166436000</v>
      </c>
      <c r="DK68" s="105">
        <f t="shared" si="177"/>
        <v>275259000</v>
      </c>
      <c r="DL68" s="77">
        <f t="shared" si="177"/>
        <v>150973000</v>
      </c>
      <c r="DM68" s="77">
        <f t="shared" si="177"/>
        <v>183869000</v>
      </c>
      <c r="DN68" s="77">
        <f t="shared" si="177"/>
        <v>248826000</v>
      </c>
      <c r="DO68" s="105">
        <f t="shared" si="177"/>
        <v>398549000</v>
      </c>
      <c r="DP68" s="77">
        <f t="shared" si="177"/>
        <v>228363000</v>
      </c>
      <c r="DQ68" s="77">
        <f t="shared" si="177"/>
        <v>277940000</v>
      </c>
      <c r="DR68" s="77">
        <f t="shared" si="177"/>
        <v>364694000</v>
      </c>
      <c r="DS68" s="105">
        <f t="shared" si="177"/>
        <v>594292000</v>
      </c>
      <c r="DT68" s="77">
        <f t="shared" si="177"/>
        <v>337233000</v>
      </c>
      <c r="DU68" s="77">
        <f t="shared" si="177"/>
        <v>410748000</v>
      </c>
      <c r="DV68" s="77">
        <f t="shared" si="177"/>
        <v>543384000</v>
      </c>
      <c r="DW68" s="105">
        <f t="shared" ref="DV68:DY69" si="178">MROUND(1500000*(SUM(DO68,DK68)/(SUM($AQ$68:$AT$69,$AM$68:$AP$69))),1000)</f>
        <v>881701000</v>
      </c>
      <c r="DX68" s="77">
        <f t="shared" si="178"/>
        <v>496374000</v>
      </c>
      <c r="DY68" s="77">
        <f t="shared" si="178"/>
        <v>604293000</v>
      </c>
      <c r="DZ68" s="77">
        <f>MROUND(1500000*(SUM(DR68,DN68)/(SUM($AQ$68:$AT$69,$AM$68:$AP$69))),1000)</f>
        <v>802812000</v>
      </c>
    </row>
    <row r="69" spans="1:130" x14ac:dyDescent="0.2">
      <c r="A69" s="39" t="s">
        <v>173</v>
      </c>
      <c r="B69" s="39" t="s">
        <v>170</v>
      </c>
      <c r="C69" s="70"/>
      <c r="D69" s="70"/>
      <c r="E69" s="70"/>
      <c r="F69" s="70"/>
      <c r="G69" s="70"/>
      <c r="H69" s="70"/>
      <c r="I69" s="70"/>
      <c r="J69" s="70"/>
      <c r="K69" s="70"/>
      <c r="L69" s="70"/>
      <c r="M69" s="70"/>
      <c r="N69" s="70"/>
      <c r="O69" s="70"/>
      <c r="P69" s="70"/>
      <c r="Q69" s="70"/>
      <c r="R69" s="70"/>
      <c r="S69" s="70"/>
      <c r="T69" s="70"/>
      <c r="U69" s="70"/>
      <c r="V69" s="70"/>
      <c r="W69" s="70"/>
      <c r="X69" s="70"/>
      <c r="Y69" s="70"/>
      <c r="Z69" s="103"/>
      <c r="AA69" s="104"/>
      <c r="AB69" s="70"/>
      <c r="AC69" s="70"/>
      <c r="AD69" s="103"/>
      <c r="AE69" s="104"/>
      <c r="AF69" s="70"/>
      <c r="AG69" s="70"/>
      <c r="AH69" s="103"/>
      <c r="AI69" s="104"/>
      <c r="AJ69" s="70"/>
      <c r="AK69" s="70"/>
      <c r="AL69" s="103"/>
      <c r="AM69" s="104">
        <v>19933</v>
      </c>
      <c r="AN69" s="70">
        <v>21023</v>
      </c>
      <c r="AO69" s="70">
        <v>22444</v>
      </c>
      <c r="AP69" s="103">
        <v>21789</v>
      </c>
      <c r="AQ69" s="104">
        <v>31771</v>
      </c>
      <c r="AR69" s="70">
        <v>37053</v>
      </c>
      <c r="AS69" s="70">
        <v>38185</v>
      </c>
      <c r="AT69" s="103">
        <v>32038</v>
      </c>
      <c r="AU69" s="106">
        <v>61886</v>
      </c>
      <c r="AV69" s="107">
        <v>64787</v>
      </c>
      <c r="AW69" s="107">
        <v>60971</v>
      </c>
      <c r="AX69" s="107">
        <v>61459</v>
      </c>
      <c r="AY69" s="104">
        <v>52013</v>
      </c>
      <c r="AZ69" s="70">
        <v>51255</v>
      </c>
      <c r="BA69" s="70">
        <v>58180</v>
      </c>
      <c r="BB69" s="70">
        <v>47468</v>
      </c>
      <c r="BC69" s="104">
        <v>34495</v>
      </c>
      <c r="BD69" s="70">
        <v>34086</v>
      </c>
      <c r="BE69" s="70">
        <v>48779</v>
      </c>
      <c r="BF69" s="77">
        <f t="shared" ref="BF69" si="179">MROUND(1500000*(SUM(AX69,AT69)/(SUM($AQ$68:$AT$69,$AM$68:$AP$69))),1000)*(BB69/AX69)</f>
        <v>94226.980588685139</v>
      </c>
      <c r="BG69" s="105">
        <f>MROUND(1500000*(SUM(AY69,AU69)/(SUM($AQ$68:$AT$69,$AM$68:$AP$69))),1000)*(BC69/AY69)*0.5</f>
        <v>49408.369061580757</v>
      </c>
      <c r="BH69" s="77">
        <f>MROUND(1500000*(SUM(AZ69,AV69)/(SUM($AQ$68:$AT$69,$AM$68:$AP$69))),1000)*(BD69/AZ69)*0.5</f>
        <v>50542.112964588821</v>
      </c>
      <c r="BI69" s="77">
        <f>MROUND(1500000*(SUM(BA69,AW69)/(SUM($AQ$68:$AT$69,$AM$68:$AP$69))),1000)*(BE69/BA69)*0.5</f>
        <v>65396.390512203507</v>
      </c>
      <c r="BJ69" s="77">
        <f>MROUND(1500000*(SUM(BB69,AX69)/(SUM($AQ$68:$AT$69,$AM$68:$AP$69))),1000)*(BF69/BB69)*0.5</f>
        <v>141932.01972046404</v>
      </c>
      <c r="BK69" s="105">
        <f>MROUND(1500000*(SUM(BC69,AY69)/(SUM($AQ$68:$AT$69,$AM$68:$AP$69))),1000)*0.5</f>
        <v>56500</v>
      </c>
      <c r="BL69" s="77">
        <f t="shared" ref="BL69:BN69" si="180">MROUND(1500000*(SUM(BD69,AZ69)/(SUM($AQ$68:$AT$69,$AM$68:$AP$69))),1000)*0.5</f>
        <v>56000</v>
      </c>
      <c r="BM69" s="77">
        <f t="shared" si="180"/>
        <v>70000</v>
      </c>
      <c r="BN69" s="77">
        <f t="shared" si="180"/>
        <v>92500</v>
      </c>
      <c r="BO69" s="105">
        <f t="shared" ref="BO69:CP69" si="181">MROUND(1500000*(SUM(BG69,BC69)/(SUM($AQ$68:$AT$69,$AM$68:$AP$69))),1000)*0.4</f>
        <v>44000</v>
      </c>
      <c r="BP69" s="77">
        <f t="shared" si="181"/>
        <v>44400</v>
      </c>
      <c r="BQ69" s="77">
        <f t="shared" si="181"/>
        <v>59600</v>
      </c>
      <c r="BR69" s="77">
        <f t="shared" si="181"/>
        <v>123600</v>
      </c>
      <c r="BS69" s="105">
        <f t="shared" si="181"/>
        <v>55600</v>
      </c>
      <c r="BT69" s="77">
        <f t="shared" si="181"/>
        <v>55600</v>
      </c>
      <c r="BU69" s="77">
        <f t="shared" si="181"/>
        <v>70800</v>
      </c>
      <c r="BV69" s="77">
        <f t="shared" si="181"/>
        <v>122800</v>
      </c>
      <c r="BW69" s="105">
        <f t="shared" si="181"/>
        <v>52800</v>
      </c>
      <c r="BX69" s="77">
        <f t="shared" si="181"/>
        <v>52400</v>
      </c>
      <c r="BY69" s="77">
        <f t="shared" si="181"/>
        <v>68000</v>
      </c>
      <c r="BZ69" s="77">
        <f t="shared" si="181"/>
        <v>113200</v>
      </c>
      <c r="CA69" s="105">
        <f t="shared" si="181"/>
        <v>52000</v>
      </c>
      <c r="CB69" s="77">
        <f t="shared" si="181"/>
        <v>52400</v>
      </c>
      <c r="CC69" s="77">
        <f t="shared" si="181"/>
        <v>68400</v>
      </c>
      <c r="CD69" s="77">
        <f t="shared" si="181"/>
        <v>128800</v>
      </c>
      <c r="CE69" s="105">
        <f t="shared" si="181"/>
        <v>56800</v>
      </c>
      <c r="CF69" s="77">
        <f t="shared" si="181"/>
        <v>56400</v>
      </c>
      <c r="CG69" s="77">
        <f t="shared" si="181"/>
        <v>72800</v>
      </c>
      <c r="CH69" s="77">
        <f t="shared" si="181"/>
        <v>123600</v>
      </c>
      <c r="CI69" s="105">
        <f t="shared" si="181"/>
        <v>54800</v>
      </c>
      <c r="CJ69" s="77">
        <f t="shared" si="181"/>
        <v>54800</v>
      </c>
      <c r="CK69" s="77">
        <f t="shared" si="181"/>
        <v>71200</v>
      </c>
      <c r="CL69" s="77">
        <f t="shared" si="181"/>
        <v>126800</v>
      </c>
      <c r="CM69" s="105">
        <f t="shared" si="181"/>
        <v>56800</v>
      </c>
      <c r="CN69" s="77">
        <f t="shared" si="181"/>
        <v>56800</v>
      </c>
      <c r="CO69" s="77">
        <f t="shared" si="181"/>
        <v>74000</v>
      </c>
      <c r="CP69" s="77">
        <f t="shared" si="181"/>
        <v>132000</v>
      </c>
      <c r="CQ69" s="105">
        <f t="shared" si="176"/>
        <v>146000</v>
      </c>
      <c r="CR69" s="77">
        <f t="shared" si="176"/>
        <v>146000</v>
      </c>
      <c r="CS69" s="77">
        <f t="shared" si="176"/>
        <v>188000</v>
      </c>
      <c r="CT69" s="77">
        <f t="shared" si="176"/>
        <v>328000</v>
      </c>
      <c r="CU69" s="105">
        <f t="shared" si="176"/>
        <v>146000</v>
      </c>
      <c r="CV69" s="77">
        <f t="shared" si="176"/>
        <v>146000</v>
      </c>
      <c r="CW69" s="77">
        <f t="shared" si="176"/>
        <v>190000</v>
      </c>
      <c r="CX69" s="77">
        <f t="shared" si="176"/>
        <v>339000</v>
      </c>
      <c r="CY69" s="105">
        <f t="shared" si="176"/>
        <v>265000</v>
      </c>
      <c r="CZ69" s="77">
        <f t="shared" si="176"/>
        <v>265000</v>
      </c>
      <c r="DA69" s="77">
        <f t="shared" si="176"/>
        <v>343000</v>
      </c>
      <c r="DB69" s="77">
        <f t="shared" si="176"/>
        <v>602000</v>
      </c>
      <c r="DC69" s="105">
        <f t="shared" si="176"/>
        <v>382000</v>
      </c>
      <c r="DD69" s="77">
        <f t="shared" si="176"/>
        <v>382000</v>
      </c>
      <c r="DE69" s="77">
        <f t="shared" si="176"/>
        <v>495000</v>
      </c>
      <c r="DF69" s="77">
        <f t="shared" si="176"/>
        <v>873000</v>
      </c>
      <c r="DG69" s="105">
        <f t="shared" si="177"/>
        <v>538000</v>
      </c>
      <c r="DH69" s="77">
        <f t="shared" si="177"/>
        <v>538000</v>
      </c>
      <c r="DI69" s="77">
        <f t="shared" si="177"/>
        <v>697000</v>
      </c>
      <c r="DJ69" s="77">
        <f t="shared" si="177"/>
        <v>1231000</v>
      </c>
      <c r="DK69" s="105">
        <f t="shared" si="177"/>
        <v>847000</v>
      </c>
      <c r="DL69" s="77">
        <f t="shared" si="177"/>
        <v>847000</v>
      </c>
      <c r="DM69" s="77">
        <f t="shared" si="177"/>
        <v>1097000</v>
      </c>
      <c r="DN69" s="77">
        <f t="shared" si="177"/>
        <v>1930000</v>
      </c>
      <c r="DO69" s="105">
        <f t="shared" si="177"/>
        <v>1204000</v>
      </c>
      <c r="DP69" s="77">
        <f t="shared" si="177"/>
        <v>1204000</v>
      </c>
      <c r="DQ69" s="77">
        <f t="shared" si="177"/>
        <v>1560000</v>
      </c>
      <c r="DR69" s="77">
        <f t="shared" si="177"/>
        <v>2753000</v>
      </c>
      <c r="DS69" s="105">
        <f t="shared" si="177"/>
        <v>1812000</v>
      </c>
      <c r="DT69" s="77">
        <f t="shared" si="177"/>
        <v>1812000</v>
      </c>
      <c r="DU69" s="77">
        <f t="shared" si="177"/>
        <v>2348000</v>
      </c>
      <c r="DV69" s="77">
        <f t="shared" si="178"/>
        <v>4136000</v>
      </c>
      <c r="DW69" s="105">
        <f t="shared" si="178"/>
        <v>2684000</v>
      </c>
      <c r="DX69" s="77">
        <f t="shared" si="178"/>
        <v>2684000</v>
      </c>
      <c r="DY69" s="77">
        <f t="shared" si="178"/>
        <v>3477000</v>
      </c>
      <c r="DZ69" s="77">
        <f>MROUND(1500000*(SUM(DR69,DN69)/(SUM($AQ$68:$AT$69,$AM$68:$AP$69))),1000)</f>
        <v>6128000</v>
      </c>
    </row>
    <row r="70" spans="1:130" ht="14.1" customHeight="1" x14ac:dyDescent="0.2">
      <c r="A70" s="79" t="s">
        <v>226</v>
      </c>
      <c r="B70" s="39"/>
      <c r="C70" s="70">
        <f>SUM(C55:C69)</f>
        <v>132283</v>
      </c>
      <c r="D70" s="70">
        <f t="shared" ref="D70:AX70" si="182">SUM(D55:D69)</f>
        <v>134760</v>
      </c>
      <c r="E70" s="70">
        <f t="shared" si="182"/>
        <v>141381</v>
      </c>
      <c r="F70" s="70">
        <f t="shared" si="182"/>
        <v>137396</v>
      </c>
      <c r="G70" s="70">
        <f t="shared" si="182"/>
        <v>240260</v>
      </c>
      <c r="H70" s="70">
        <f t="shared" si="182"/>
        <v>252750</v>
      </c>
      <c r="I70" s="70">
        <f t="shared" si="182"/>
        <v>259582</v>
      </c>
      <c r="J70" s="70">
        <f t="shared" si="182"/>
        <v>266666</v>
      </c>
      <c r="K70" s="70">
        <f t="shared" si="182"/>
        <v>558804</v>
      </c>
      <c r="L70" s="70">
        <f t="shared" si="182"/>
        <v>636140</v>
      </c>
      <c r="M70" s="70">
        <f t="shared" si="182"/>
        <v>646613</v>
      </c>
      <c r="N70" s="70">
        <f t="shared" si="182"/>
        <v>653565</v>
      </c>
      <c r="O70" s="70">
        <f t="shared" si="182"/>
        <v>596240</v>
      </c>
      <c r="P70" s="70">
        <f t="shared" si="182"/>
        <v>653122</v>
      </c>
      <c r="Q70" s="70">
        <f t="shared" si="182"/>
        <v>660254</v>
      </c>
      <c r="R70" s="70">
        <f t="shared" si="182"/>
        <v>657732</v>
      </c>
      <c r="S70" s="70">
        <f t="shared" si="182"/>
        <v>600144</v>
      </c>
      <c r="T70" s="70">
        <f t="shared" si="182"/>
        <v>660642</v>
      </c>
      <c r="U70" s="70">
        <f t="shared" si="182"/>
        <v>696772</v>
      </c>
      <c r="V70" s="70">
        <f t="shared" si="182"/>
        <v>686210</v>
      </c>
      <c r="W70" s="70">
        <f t="shared" si="182"/>
        <v>1627195</v>
      </c>
      <c r="X70" s="70">
        <f t="shared" si="182"/>
        <v>1641557</v>
      </c>
      <c r="Y70" s="70">
        <f t="shared" si="182"/>
        <v>1736480</v>
      </c>
      <c r="Z70" s="103">
        <f t="shared" si="182"/>
        <v>1775489</v>
      </c>
      <c r="AA70" s="104">
        <f t="shared" si="182"/>
        <v>2356219</v>
      </c>
      <c r="AB70" s="70">
        <f t="shared" si="182"/>
        <v>2497824</v>
      </c>
      <c r="AC70" s="70">
        <f t="shared" si="182"/>
        <v>2566865</v>
      </c>
      <c r="AD70" s="103">
        <f t="shared" si="182"/>
        <v>2595941</v>
      </c>
      <c r="AE70" s="104">
        <f t="shared" si="182"/>
        <v>2879229</v>
      </c>
      <c r="AF70" s="70">
        <f t="shared" si="182"/>
        <v>3141737</v>
      </c>
      <c r="AG70" s="70">
        <f t="shared" si="182"/>
        <v>3140905</v>
      </c>
      <c r="AH70" s="103">
        <f t="shared" si="182"/>
        <v>3204695</v>
      </c>
      <c r="AI70" s="104">
        <f t="shared" si="182"/>
        <v>3747363</v>
      </c>
      <c r="AJ70" s="70">
        <f t="shared" si="182"/>
        <v>3918948</v>
      </c>
      <c r="AK70" s="70">
        <f t="shared" si="182"/>
        <v>3930131</v>
      </c>
      <c r="AL70" s="103">
        <f t="shared" si="182"/>
        <v>3890973</v>
      </c>
      <c r="AM70" s="104">
        <f t="shared" si="182"/>
        <v>4148685</v>
      </c>
      <c r="AN70" s="70">
        <f t="shared" si="182"/>
        <v>3388059</v>
      </c>
      <c r="AO70" s="70">
        <f t="shared" si="182"/>
        <v>4001573</v>
      </c>
      <c r="AP70" s="103">
        <f t="shared" si="182"/>
        <v>3949915</v>
      </c>
      <c r="AQ70" s="104">
        <f t="shared" si="182"/>
        <v>4286270</v>
      </c>
      <c r="AR70" s="70">
        <f t="shared" si="182"/>
        <v>4826990</v>
      </c>
      <c r="AS70" s="70">
        <f t="shared" si="182"/>
        <v>5165375</v>
      </c>
      <c r="AT70" s="103">
        <f t="shared" si="182"/>
        <v>4692610</v>
      </c>
      <c r="AU70" s="104">
        <f t="shared" si="182"/>
        <v>5150501</v>
      </c>
      <c r="AV70" s="70">
        <f t="shared" si="182"/>
        <v>5392896</v>
      </c>
      <c r="AW70" s="70">
        <f t="shared" si="182"/>
        <v>5206472</v>
      </c>
      <c r="AX70" s="70">
        <f t="shared" si="182"/>
        <v>5475801</v>
      </c>
      <c r="AY70" s="70">
        <v>5327468</v>
      </c>
      <c r="AZ70" s="70">
        <v>5754900</v>
      </c>
      <c r="BA70" s="70">
        <v>5797109</v>
      </c>
      <c r="BB70" s="70">
        <v>5539309</v>
      </c>
      <c r="BC70" s="104">
        <v>5695049</v>
      </c>
      <c r="BD70" s="70">
        <v>6046763</v>
      </c>
      <c r="BE70" s="70">
        <v>5879356</v>
      </c>
      <c r="BF70" s="77">
        <f t="shared" ref="BF70:BR70" si="183">SUM(BF55:BF69)</f>
        <v>13828319.806050131</v>
      </c>
      <c r="BG70" s="105">
        <f t="shared" si="183"/>
        <v>12658562.742947409</v>
      </c>
      <c r="BH70" s="77">
        <f t="shared" si="183"/>
        <v>12889962.243284496</v>
      </c>
      <c r="BI70" s="77">
        <f t="shared" si="183"/>
        <v>14559936.517079381</v>
      </c>
      <c r="BJ70" s="77">
        <f t="shared" si="183"/>
        <v>14988889.043475959</v>
      </c>
      <c r="BK70" s="105">
        <f t="shared" si="183"/>
        <v>15239389.072737966</v>
      </c>
      <c r="BL70" s="77">
        <f t="shared" si="183"/>
        <v>13759300.541846842</v>
      </c>
      <c r="BM70" s="77">
        <f t="shared" si="183"/>
        <v>16324694.580425404</v>
      </c>
      <c r="BN70" s="77">
        <f t="shared" si="183"/>
        <v>15983103.639363401</v>
      </c>
      <c r="BO70" s="105">
        <f t="shared" si="183"/>
        <v>17468405.253653046</v>
      </c>
      <c r="BP70" s="77">
        <f t="shared" si="183"/>
        <v>17259655.655150421</v>
      </c>
      <c r="BQ70" s="77">
        <f t="shared" si="183"/>
        <v>20186269.479521859</v>
      </c>
      <c r="BR70" s="77">
        <f t="shared" si="183"/>
        <v>16678051.375444567</v>
      </c>
      <c r="BS70" s="105">
        <f>SUM(BS55:BS69)</f>
        <v>19610446.540559914</v>
      </c>
      <c r="BT70" s="105">
        <f t="shared" ref="BT70:DZ70" si="184">SUM(BT55:BT69)</f>
        <v>16864107.531695999</v>
      </c>
      <c r="BU70" s="105">
        <f t="shared" si="184"/>
        <v>21801808.692975916</v>
      </c>
      <c r="BV70" s="105">
        <f t="shared" si="184"/>
        <v>18215691.559366122</v>
      </c>
      <c r="BW70" s="105">
        <f t="shared" si="184"/>
        <v>20397939.41234206</v>
      </c>
      <c r="BX70" s="105">
        <f t="shared" si="184"/>
        <v>18123735.984063145</v>
      </c>
      <c r="BY70" s="105">
        <f t="shared" si="184"/>
        <v>23005147.061616961</v>
      </c>
      <c r="BZ70" s="105">
        <f t="shared" si="184"/>
        <v>19581730.140977934</v>
      </c>
      <c r="CA70" s="105">
        <f t="shared" si="184"/>
        <v>22293996.323422506</v>
      </c>
      <c r="CB70" s="105">
        <f t="shared" si="184"/>
        <v>14282313.395058444</v>
      </c>
      <c r="CC70" s="105">
        <f t="shared" si="184"/>
        <v>16092734.334829751</v>
      </c>
      <c r="CD70" s="105">
        <f t="shared" si="184"/>
        <v>18801987.539126404</v>
      </c>
      <c r="CE70" s="105">
        <f t="shared" si="184"/>
        <v>23416641.254227247</v>
      </c>
      <c r="CF70" s="105">
        <f t="shared" si="184"/>
        <v>15238627.600152552</v>
      </c>
      <c r="CG70" s="105">
        <f t="shared" si="184"/>
        <v>16976842.3382973</v>
      </c>
      <c r="CH70" s="105">
        <f t="shared" si="184"/>
        <v>22653255.143367</v>
      </c>
      <c r="CI70" s="105">
        <f t="shared" si="184"/>
        <v>28536673.704423055</v>
      </c>
      <c r="CJ70" s="105">
        <f t="shared" si="184"/>
        <v>17087118.241138645</v>
      </c>
      <c r="CK70" s="105">
        <f t="shared" si="184"/>
        <v>18635456.017676637</v>
      </c>
      <c r="CL70" s="105">
        <f t="shared" si="184"/>
        <v>24727152.756960064</v>
      </c>
      <c r="CM70" s="105">
        <f t="shared" si="184"/>
        <v>30862058.167324878</v>
      </c>
      <c r="CN70" s="105">
        <f t="shared" si="184"/>
        <v>28909146.832354948</v>
      </c>
      <c r="CO70" s="105">
        <f t="shared" si="184"/>
        <v>33211318.949235782</v>
      </c>
      <c r="CP70" s="105">
        <f t="shared" si="184"/>
        <v>33784751.351497278</v>
      </c>
      <c r="CQ70" s="105">
        <f t="shared" si="184"/>
        <v>54960315.116315767</v>
      </c>
      <c r="CR70" s="105">
        <f t="shared" si="184"/>
        <v>29000477.627684027</v>
      </c>
      <c r="CS70" s="105">
        <f t="shared" si="184"/>
        <v>33139401.533906393</v>
      </c>
      <c r="CT70" s="105">
        <f t="shared" si="184"/>
        <v>48296806.372450344</v>
      </c>
      <c r="CU70" s="105">
        <f t="shared" si="184"/>
        <v>63882490.029735655</v>
      </c>
      <c r="CV70" s="105">
        <f t="shared" si="184"/>
        <v>46096039.595697984</v>
      </c>
      <c r="CW70" s="105">
        <f t="shared" si="184"/>
        <v>53666049.596395954</v>
      </c>
      <c r="CX70" s="105">
        <f t="shared" si="184"/>
        <v>62250277.08267007</v>
      </c>
      <c r="CY70" s="105">
        <f t="shared" si="184"/>
        <v>97927465.168057159</v>
      </c>
      <c r="CZ70" s="77">
        <f t="shared" si="184"/>
        <v>61308788.503671639</v>
      </c>
      <c r="DA70" s="77">
        <f t="shared" si="184"/>
        <v>72368407.287243396</v>
      </c>
      <c r="DB70" s="77">
        <f t="shared" si="184"/>
        <v>92924039.187018692</v>
      </c>
      <c r="DC70" s="105">
        <f t="shared" si="184"/>
        <v>141034513.92401671</v>
      </c>
      <c r="DD70" s="77">
        <f t="shared" si="184"/>
        <v>83786637.669081897</v>
      </c>
      <c r="DE70" s="77">
        <f t="shared" si="184"/>
        <v>99127379.708779156</v>
      </c>
      <c r="DF70" s="77">
        <f t="shared" si="184"/>
        <v>130130863.12936838</v>
      </c>
      <c r="DG70" s="105">
        <f t="shared" si="184"/>
        <v>197161542.58006847</v>
      </c>
      <c r="DH70" s="77">
        <f t="shared" si="184"/>
        <v>125833839.52972856</v>
      </c>
      <c r="DI70" s="77">
        <f t="shared" si="184"/>
        <v>150086909.2188217</v>
      </c>
      <c r="DJ70" s="77">
        <f t="shared" si="184"/>
        <v>187944472.76053116</v>
      </c>
      <c r="DK70" s="105">
        <f t="shared" si="184"/>
        <v>297288222.78035688</v>
      </c>
      <c r="DL70" s="77">
        <f t="shared" si="184"/>
        <v>174022727.02892515</v>
      </c>
      <c r="DM70" s="77">
        <f t="shared" si="184"/>
        <v>208159744.41739491</v>
      </c>
      <c r="DN70" s="77">
        <f t="shared" si="184"/>
        <v>275051968.81364769</v>
      </c>
      <c r="DO70" s="105">
        <f t="shared" si="184"/>
        <v>425133070.24322122</v>
      </c>
      <c r="DP70" s="105">
        <f t="shared" si="184"/>
        <v>256154056.53070647</v>
      </c>
      <c r="DQ70" s="105">
        <f t="shared" si="184"/>
        <v>307256736.75325632</v>
      </c>
      <c r="DR70" s="105">
        <f t="shared" si="184"/>
        <v>396490829.34949136</v>
      </c>
      <c r="DS70" s="105">
        <f t="shared" si="184"/>
        <v>626412323.88282967</v>
      </c>
      <c r="DT70" s="77">
        <f t="shared" si="184"/>
        <v>370746193.19718486</v>
      </c>
      <c r="DU70" s="77">
        <f t="shared" si="184"/>
        <v>446141086.58608788</v>
      </c>
      <c r="DV70" s="77">
        <f t="shared" si="184"/>
        <v>582037507.02235258</v>
      </c>
      <c r="DW70" s="105">
        <f t="shared" si="184"/>
        <v>920349059.37827504</v>
      </c>
      <c r="DX70" s="77">
        <f t="shared" si="184"/>
        <v>536598537.95224458</v>
      </c>
      <c r="DY70" s="77">
        <f t="shared" si="184"/>
        <v>646832692.18151832</v>
      </c>
      <c r="DZ70" s="77">
        <f t="shared" si="184"/>
        <v>849662819.50285506</v>
      </c>
    </row>
    <row r="71" spans="1:130" ht="14.1" customHeight="1" x14ac:dyDescent="0.2">
      <c r="A71" s="39" t="s">
        <v>227</v>
      </c>
      <c r="B71" s="39"/>
      <c r="C71" s="112"/>
      <c r="D71" s="112"/>
      <c r="E71" s="112"/>
      <c r="F71" s="112"/>
      <c r="G71" s="112"/>
      <c r="H71" s="112"/>
      <c r="I71" s="112"/>
      <c r="J71" s="112"/>
      <c r="K71" s="112"/>
      <c r="L71" s="112"/>
      <c r="M71" s="112"/>
      <c r="N71" s="112"/>
      <c r="O71" s="112"/>
      <c r="P71" s="112"/>
      <c r="Q71" s="112"/>
      <c r="R71" s="112"/>
      <c r="S71" s="112"/>
      <c r="T71" s="112"/>
      <c r="U71" s="112"/>
      <c r="V71" s="112"/>
      <c r="W71" s="112"/>
      <c r="X71" s="112"/>
      <c r="Y71" s="112"/>
      <c r="Z71" s="112"/>
      <c r="AA71" s="112"/>
      <c r="AB71" s="112"/>
      <c r="AC71" s="112"/>
      <c r="AD71" s="112"/>
      <c r="AE71" s="112"/>
      <c r="AF71" s="112"/>
      <c r="AG71" s="112"/>
      <c r="AH71" s="112"/>
      <c r="AI71" s="112"/>
      <c r="AJ71" s="112"/>
      <c r="AK71" s="112"/>
      <c r="AL71" s="112"/>
      <c r="AM71" s="112"/>
      <c r="AN71" s="112"/>
      <c r="AO71" s="112"/>
      <c r="AP71" s="112"/>
      <c r="AQ71" s="112"/>
      <c r="AR71" s="112"/>
      <c r="AS71" s="112"/>
      <c r="AT71" s="112"/>
      <c r="AU71" s="112">
        <f>[1]EIA_Short_Term!C35* 0.1313*1000000</f>
        <v>1112111</v>
      </c>
      <c r="AV71" s="112">
        <f>[1]EIA_Short_Term!D35* 0.1313*1000000</f>
        <v>1181700</v>
      </c>
      <c r="AW71" s="112">
        <f>[1]EIA_Short_Term!E35* 0.1313*1000000</f>
        <v>1165944</v>
      </c>
      <c r="AX71" s="112">
        <f>[1]EIA_Short_Term!F35* 0.1313*1000000</f>
        <v>1148875</v>
      </c>
      <c r="AY71" s="112">
        <f>[1]EIA_Short_Term!G35* 0.1313*1000000</f>
        <v>1138371</v>
      </c>
      <c r="AZ71" s="112">
        <f>[1]EIA_Short_Term!H35* 0.1313*1000000</f>
        <v>1206647</v>
      </c>
      <c r="BA71" s="112">
        <f>[1]EIA_Short_Term!I35* 0.1313*1000000</f>
        <v>1192204</v>
      </c>
      <c r="BB71" s="112">
        <f>[1]EIA_Short_Term!J35* 0.1313*1000000</f>
        <v>1146249</v>
      </c>
      <c r="BC71" s="112">
        <f>[1]EIA_Short_Term!K35* 0.1313*1000000</f>
        <v>1135745</v>
      </c>
      <c r="BD71" s="70">
        <f>[1]EIA_Short_Term!L35* 0.1313*1000000</f>
        <v>1196143</v>
      </c>
      <c r="BE71" s="112">
        <f>[1]EIA_Short_Term!M35* 0.1313*1000000</f>
        <v>1204021</v>
      </c>
      <c r="BF71" s="112">
        <f>[1]EIA_Short_Term!N35* 0.1313*1000000</f>
        <v>1154127</v>
      </c>
      <c r="BG71" s="112">
        <f>_xlfn.FORECAST.ETS(BG$19,AW71:BF71,AW$19:BF$19)</f>
        <v>1184314.8461870234</v>
      </c>
      <c r="BH71" s="112">
        <f t="shared" ref="BH71:CP72" si="185">_xlfn.FORECAST.ETS(BH$19,AX71:BG71,AX$19:BG$19)</f>
        <v>1174942.2286691442</v>
      </c>
      <c r="BI71" s="112">
        <f t="shared" si="185"/>
        <v>1178854.7868084477</v>
      </c>
      <c r="BJ71" s="112">
        <f t="shared" si="185"/>
        <v>1175683.7398780787</v>
      </c>
      <c r="BK71" s="112">
        <f t="shared" si="185"/>
        <v>1181203.3505171221</v>
      </c>
      <c r="BL71" s="112">
        <f t="shared" si="185"/>
        <v>1152634.7518337832</v>
      </c>
      <c r="BM71" s="112">
        <f t="shared" si="185"/>
        <v>1165543.396276637</v>
      </c>
      <c r="BN71" s="112">
        <f t="shared" si="185"/>
        <v>1149291.7534566161</v>
      </c>
      <c r="BO71" s="112">
        <f t="shared" si="185"/>
        <v>1165042.6535402786</v>
      </c>
      <c r="BP71" s="112">
        <f t="shared" si="185"/>
        <v>1146901.8264136151</v>
      </c>
      <c r="BQ71" s="112">
        <f t="shared" si="185"/>
        <v>1153436.1054213266</v>
      </c>
      <c r="BR71" s="112">
        <f t="shared" si="185"/>
        <v>1137601.9210547165</v>
      </c>
      <c r="BS71" s="112">
        <f t="shared" si="185"/>
        <v>1146289.291992828</v>
      </c>
      <c r="BT71" s="112">
        <f t="shared" si="185"/>
        <v>1126834.3708322858</v>
      </c>
      <c r="BU71" s="112">
        <f t="shared" si="185"/>
        <v>1141234.6801615383</v>
      </c>
      <c r="BV71" s="112">
        <f t="shared" si="185"/>
        <v>1122545.0224597764</v>
      </c>
      <c r="BW71" s="106">
        <f t="shared" si="185"/>
        <v>1132358.4969191577</v>
      </c>
      <c r="BX71" s="107">
        <f t="shared" si="185"/>
        <v>1114279.9296938183</v>
      </c>
      <c r="BY71" s="107">
        <f t="shared" si="185"/>
        <v>1124386.5247638847</v>
      </c>
      <c r="BZ71" s="113">
        <f t="shared" si="185"/>
        <v>1106781.7753688016</v>
      </c>
      <c r="CA71" s="106">
        <f t="shared" si="185"/>
        <v>1117506.0604771951</v>
      </c>
      <c r="CB71" s="107">
        <f t="shared" si="185"/>
        <v>1099275.630316074</v>
      </c>
      <c r="CC71" s="107">
        <f t="shared" si="185"/>
        <v>1110500.2935287876</v>
      </c>
      <c r="CD71" s="113">
        <f t="shared" si="185"/>
        <v>1091764.7711824814</v>
      </c>
      <c r="CE71" s="106">
        <f t="shared" si="185"/>
        <v>1102364.0660033494</v>
      </c>
      <c r="CF71" s="107">
        <f t="shared" si="185"/>
        <v>1084023.2307694783</v>
      </c>
      <c r="CG71" s="107">
        <f t="shared" si="185"/>
        <v>1094982.739038513</v>
      </c>
      <c r="CH71" s="113">
        <f t="shared" si="185"/>
        <v>1076824.5994790872</v>
      </c>
      <c r="CI71" s="106">
        <f t="shared" si="185"/>
        <v>1087553.790326125</v>
      </c>
      <c r="CJ71" s="107">
        <f t="shared" si="185"/>
        <v>1069141.0360933018</v>
      </c>
      <c r="CK71" s="107">
        <f t="shared" si="185"/>
        <v>1080009.5728353867</v>
      </c>
      <c r="CL71" s="113">
        <f t="shared" si="185"/>
        <v>1061531.9664205906</v>
      </c>
      <c r="CM71" s="106">
        <f t="shared" si="185"/>
        <v>1072375.6836655412</v>
      </c>
      <c r="CN71" s="107">
        <f t="shared" si="185"/>
        <v>1054149.3190134214</v>
      </c>
      <c r="CO71" s="107">
        <f t="shared" si="185"/>
        <v>1064936.537313333</v>
      </c>
      <c r="CP71" s="113">
        <f t="shared" si="185"/>
        <v>1046571.2977210185</v>
      </c>
      <c r="CQ71" s="112"/>
      <c r="CR71" s="112"/>
      <c r="CS71" s="112"/>
      <c r="CT71" s="112"/>
      <c r="CU71" s="112"/>
      <c r="CV71" s="112"/>
      <c r="CW71" s="112"/>
      <c r="CX71" s="112"/>
      <c r="CY71" s="112"/>
      <c r="CZ71" s="112"/>
      <c r="DA71" s="112"/>
      <c r="DB71" s="112"/>
      <c r="DC71" s="112"/>
      <c r="DD71" s="112"/>
      <c r="DE71" s="112"/>
      <c r="DF71" s="112"/>
      <c r="DG71" s="112"/>
      <c r="DH71" s="112"/>
      <c r="DI71" s="112"/>
      <c r="DJ71" s="112"/>
      <c r="DK71" s="112"/>
      <c r="DL71" s="112"/>
      <c r="DM71" s="112"/>
      <c r="DN71" s="112"/>
      <c r="DO71" s="112"/>
      <c r="DP71" s="112"/>
      <c r="DQ71" s="112"/>
      <c r="DR71" s="112"/>
      <c r="DS71" s="112"/>
      <c r="DT71" s="112"/>
      <c r="DU71" s="112"/>
      <c r="DV71" s="112"/>
      <c r="DW71" s="112"/>
      <c r="DX71" s="112"/>
      <c r="DY71" s="112"/>
      <c r="DZ71" s="112"/>
    </row>
    <row r="72" spans="1:130" ht="14.1" customHeight="1" x14ac:dyDescent="0.2">
      <c r="A72" s="39" t="s">
        <v>228</v>
      </c>
      <c r="B72" s="39"/>
      <c r="C72" s="112"/>
      <c r="D72" s="112"/>
      <c r="E72" s="112"/>
      <c r="F72" s="112"/>
      <c r="G72" s="112"/>
      <c r="H72" s="112"/>
      <c r="I72" s="112"/>
      <c r="J72" s="112"/>
      <c r="K72" s="112"/>
      <c r="L72" s="112"/>
      <c r="M72" s="112"/>
      <c r="N72" s="112"/>
      <c r="O72" s="112"/>
      <c r="P72" s="112"/>
      <c r="Q72" s="112"/>
      <c r="R72" s="112"/>
      <c r="S72" s="112"/>
      <c r="T72" s="112"/>
      <c r="U72" s="112"/>
      <c r="V72" s="112"/>
      <c r="W72" s="112"/>
      <c r="X72" s="112"/>
      <c r="Y72" s="112"/>
      <c r="Z72" s="112"/>
      <c r="AA72" s="112"/>
      <c r="AB72" s="112"/>
      <c r="AC72" s="112"/>
      <c r="AD72" s="112"/>
      <c r="AE72" s="112"/>
      <c r="AF72" s="112"/>
      <c r="AG72" s="112"/>
      <c r="AH72" s="112"/>
      <c r="AI72" s="112"/>
      <c r="AJ72" s="112"/>
      <c r="AK72" s="112"/>
      <c r="AL72" s="112"/>
      <c r="AM72" s="112"/>
      <c r="AN72" s="112"/>
      <c r="AO72" s="112"/>
      <c r="AP72" s="112"/>
      <c r="AQ72" s="112"/>
      <c r="AR72" s="112"/>
      <c r="AS72" s="112"/>
      <c r="AT72" s="112"/>
      <c r="AU72" s="112">
        <f>[1]EIA_Short_Term!C38* 0.1313*1000000</f>
        <v>543582</v>
      </c>
      <c r="AV72" s="112">
        <f>[1]EIA_Short_Term!D38* 0.1313*1000000</f>
        <v>510757</v>
      </c>
      <c r="AW72" s="112">
        <f>[1]EIA_Short_Term!E38* 0.1313*1000000</f>
        <v>506818</v>
      </c>
      <c r="AX72" s="112">
        <f>[1]EIA_Short_Term!F38* 0.1313*1000000</f>
        <v>519947.99999999994</v>
      </c>
      <c r="AY72" s="112">
        <f>[1]EIA_Short_Term!G38* 0.1313*1000000</f>
        <v>526513</v>
      </c>
      <c r="AZ72" s="112">
        <f>[1]EIA_Short_Term!H38* 0.1313*1000000</f>
        <v>509444</v>
      </c>
      <c r="BA72" s="112">
        <f>[1]EIA_Short_Term!I38* 0.1313*1000000</f>
        <v>496314</v>
      </c>
      <c r="BB72" s="112">
        <f>[1]EIA_Short_Term!J38* 0.1313*1000000</f>
        <v>521261</v>
      </c>
      <c r="BC72" s="112">
        <f>[1]EIA_Short_Term!K38* 0.1313*1000000</f>
        <v>531764.99999999988</v>
      </c>
      <c r="BD72" s="70">
        <f>[1]EIA_Short_Term!L38* 0.1313*1000000</f>
        <v>516009.00000000006</v>
      </c>
      <c r="BE72" s="112">
        <f>[1]EIA_Short_Term!M38* 0.1313*1000000</f>
        <v>506818</v>
      </c>
      <c r="BF72" s="112">
        <f>[1]EIA_Short_Term!N38* 0.1313*1000000</f>
        <v>522574</v>
      </c>
      <c r="BG72" s="112">
        <f>_xlfn.FORECAST.ETS(BG$19,AW72:BF72,AW$19:BF$19)</f>
        <v>516650.10848111624</v>
      </c>
      <c r="BH72" s="112">
        <f t="shared" si="185"/>
        <v>519663.73821126804</v>
      </c>
      <c r="BI72" s="112">
        <f t="shared" si="185"/>
        <v>519381.58885138389</v>
      </c>
      <c r="BJ72" s="112">
        <f t="shared" si="185"/>
        <v>521240.1655155734</v>
      </c>
      <c r="BK72" s="112">
        <f t="shared" si="185"/>
        <v>522144.50685749733</v>
      </c>
      <c r="BL72" s="112">
        <f t="shared" si="185"/>
        <v>520196.85713889648</v>
      </c>
      <c r="BM72" s="112">
        <f t="shared" si="185"/>
        <v>520612.82804695418</v>
      </c>
      <c r="BN72" s="112">
        <f t="shared" si="185"/>
        <v>524775.17994982935</v>
      </c>
      <c r="BO72" s="112">
        <f t="shared" si="185"/>
        <v>524839.04224243981</v>
      </c>
      <c r="BP72" s="112">
        <f t="shared" si="185"/>
        <v>524800.92591616407</v>
      </c>
      <c r="BQ72" s="112">
        <f t="shared" si="185"/>
        <v>525811.93862987554</v>
      </c>
      <c r="BR72" s="112">
        <f t="shared" si="185"/>
        <v>526523.17666782462</v>
      </c>
      <c r="BS72" s="112">
        <f t="shared" si="185"/>
        <v>527130.2584349598</v>
      </c>
      <c r="BT72" s="112">
        <f t="shared" si="185"/>
        <v>528152.34247092076</v>
      </c>
      <c r="BU72" s="112">
        <f t="shared" si="185"/>
        <v>529047.96560150397</v>
      </c>
      <c r="BV72" s="112">
        <f t="shared" si="185"/>
        <v>529998.46978793037</v>
      </c>
      <c r="BW72" s="112">
        <f t="shared" si="185"/>
        <v>530809.03831638256</v>
      </c>
      <c r="BX72" s="112">
        <f t="shared" si="185"/>
        <v>531520.1301561232</v>
      </c>
      <c r="BY72" s="112">
        <f t="shared" si="185"/>
        <v>532335.67245623178</v>
      </c>
      <c r="BZ72" s="112">
        <f t="shared" si="185"/>
        <v>533209.1252015573</v>
      </c>
      <c r="CA72" s="112">
        <f t="shared" si="185"/>
        <v>534042.82910863333</v>
      </c>
      <c r="CB72" s="112">
        <f t="shared" si="185"/>
        <v>534936.92612827267</v>
      </c>
      <c r="CC72" s="112">
        <f t="shared" si="185"/>
        <v>535781.32137746003</v>
      </c>
      <c r="CD72" s="112">
        <f t="shared" si="185"/>
        <v>536617.23252852191</v>
      </c>
      <c r="CE72" s="112">
        <f t="shared" si="185"/>
        <v>537411.36729085643</v>
      </c>
      <c r="CF72" s="112">
        <f t="shared" si="185"/>
        <v>538247.25869127142</v>
      </c>
      <c r="CG72" s="112">
        <f t="shared" si="185"/>
        <v>539085.32474168041</v>
      </c>
      <c r="CH72" s="112">
        <f t="shared" si="185"/>
        <v>539928.59104805102</v>
      </c>
      <c r="CI72" s="112">
        <f t="shared" si="185"/>
        <v>540769.3391987636</v>
      </c>
      <c r="CJ72" s="112">
        <f t="shared" si="185"/>
        <v>541606.40816875838</v>
      </c>
      <c r="CK72" s="112">
        <f t="shared" si="185"/>
        <v>542441.86499996413</v>
      </c>
      <c r="CL72" s="112">
        <f t="shared" si="185"/>
        <v>543268.19647395355</v>
      </c>
      <c r="CM72" s="112">
        <f t="shared" si="185"/>
        <v>544102.44989146327</v>
      </c>
      <c r="CN72" s="112">
        <f t="shared" si="185"/>
        <v>544937.35306134506</v>
      </c>
      <c r="CO72" s="112">
        <f t="shared" si="185"/>
        <v>545771.74874666054</v>
      </c>
      <c r="CP72" s="112">
        <f t="shared" si="185"/>
        <v>546606.14852877869</v>
      </c>
      <c r="CQ72" s="114"/>
      <c r="CR72" s="114"/>
      <c r="CS72" s="114"/>
      <c r="CT72" s="114"/>
      <c r="CU72" s="114"/>
      <c r="CV72" s="114"/>
      <c r="CW72" s="114"/>
      <c r="CX72" s="114"/>
      <c r="CY72" s="114"/>
      <c r="CZ72" s="114"/>
      <c r="DA72" s="114"/>
      <c r="DB72" s="114"/>
      <c r="DC72" s="114"/>
      <c r="DD72" s="114"/>
      <c r="DE72" s="114"/>
      <c r="DF72" s="114"/>
      <c r="DG72" s="114"/>
      <c r="DH72" s="114"/>
      <c r="DI72" s="114"/>
      <c r="DJ72" s="114"/>
      <c r="DK72" s="114"/>
      <c r="DL72" s="114"/>
      <c r="DM72" s="114"/>
      <c r="DN72" s="114"/>
      <c r="DO72" s="114"/>
      <c r="DP72" s="114"/>
      <c r="DQ72" s="114"/>
      <c r="DR72" s="114"/>
      <c r="DS72" s="114"/>
      <c r="DT72" s="114"/>
      <c r="DU72" s="114"/>
      <c r="DV72" s="114"/>
      <c r="DW72" s="114"/>
      <c r="DX72" s="114"/>
      <c r="DY72" s="114"/>
      <c r="DZ72" s="114"/>
    </row>
    <row r="73" spans="1:130" ht="14.1" customHeight="1" x14ac:dyDescent="0.2">
      <c r="A73" s="79"/>
      <c r="B73" s="39"/>
      <c r="C73" s="112"/>
      <c r="D73" s="112"/>
      <c r="E73" s="112"/>
      <c r="F73" s="112"/>
      <c r="G73" s="112"/>
      <c r="H73" s="112"/>
      <c r="I73" s="112"/>
      <c r="J73" s="112"/>
      <c r="K73" s="112"/>
      <c r="L73" s="112"/>
      <c r="M73" s="112"/>
      <c r="N73" s="112"/>
      <c r="O73" s="112"/>
      <c r="P73" s="112"/>
      <c r="Q73" s="112"/>
      <c r="R73" s="112"/>
      <c r="S73" s="112"/>
      <c r="T73" s="112"/>
      <c r="U73" s="112"/>
      <c r="V73" s="112"/>
      <c r="W73" s="112"/>
      <c r="X73" s="112"/>
      <c r="Y73" s="112"/>
      <c r="Z73" s="112"/>
      <c r="AA73" s="112"/>
      <c r="AB73" s="112"/>
      <c r="AC73" s="112"/>
      <c r="AD73" s="112"/>
      <c r="AE73" s="112"/>
      <c r="AF73" s="112"/>
      <c r="AG73" s="112"/>
      <c r="AH73" s="112"/>
      <c r="AI73" s="112"/>
      <c r="AJ73" s="112"/>
      <c r="AK73" s="112"/>
      <c r="AL73" s="112"/>
      <c r="AM73" s="112"/>
      <c r="AN73" s="112"/>
      <c r="AO73" s="112"/>
      <c r="AP73" s="112"/>
      <c r="AQ73" s="112"/>
      <c r="AR73" s="112"/>
      <c r="AS73" s="112"/>
      <c r="AT73" s="112"/>
      <c r="AU73" s="115">
        <f>AU68/AU71</f>
        <v>0.29604508902438698</v>
      </c>
      <c r="AV73" s="115">
        <f t="shared" ref="AV73:BF73" si="186">AV68/AV71</f>
        <v>0.29191419141914193</v>
      </c>
      <c r="AW73" s="115">
        <f t="shared" si="186"/>
        <v>0.28631306477841129</v>
      </c>
      <c r="AX73" s="115">
        <f t="shared" si="186"/>
        <v>0.30422456751169624</v>
      </c>
      <c r="AY73" s="115">
        <f t="shared" si="186"/>
        <v>0.33249880750651589</v>
      </c>
      <c r="AZ73" s="115">
        <f t="shared" si="186"/>
        <v>0.33953592061307075</v>
      </c>
      <c r="BA73" s="115">
        <f t="shared" si="186"/>
        <v>0.34385054906710599</v>
      </c>
      <c r="BB73" s="115">
        <f t="shared" si="186"/>
        <v>0.34595537269825316</v>
      </c>
      <c r="BC73" s="115">
        <f t="shared" si="186"/>
        <v>0.36300049747082314</v>
      </c>
      <c r="BD73" s="70">
        <f t="shared" si="186"/>
        <v>0.36868668712687364</v>
      </c>
      <c r="BE73" s="115">
        <f t="shared" si="186"/>
        <v>0.34388104526416069</v>
      </c>
      <c r="BF73" s="115">
        <f t="shared" si="186"/>
        <v>7.0636508020146183</v>
      </c>
      <c r="BG73" s="114">
        <f>SUM(BG48:BJ48)-SUM(BG70:BJ70)</f>
        <v>2413795.6015426889</v>
      </c>
      <c r="BH73" s="116"/>
      <c r="BI73" s="116"/>
      <c r="BJ73" s="116"/>
      <c r="BK73" s="114">
        <f>SUM(BK48:BN48)-SUM(BK70:BN70)</f>
        <v>1748673.2520841584</v>
      </c>
      <c r="BL73" s="114"/>
      <c r="BM73" s="114"/>
      <c r="BN73" s="114"/>
      <c r="BO73" s="114">
        <f>SUM(BO48:BR48)-SUM(BO70:BR70)</f>
        <v>3827755.7069342583</v>
      </c>
      <c r="BP73" s="114"/>
      <c r="BQ73" s="114"/>
      <c r="BR73" s="114"/>
      <c r="BS73" s="114">
        <f>SUM(BS48:BV48)-SUM(BS70:BV70)</f>
        <v>1481228.1469071954</v>
      </c>
      <c r="BT73" s="114"/>
      <c r="BU73" s="114"/>
      <c r="BV73" s="114"/>
      <c r="BW73" s="114">
        <f>SUM(BW48:BZ48)-SUM(BW70:BZ70)</f>
        <v>1463620.5745662749</v>
      </c>
      <c r="BX73" s="114"/>
      <c r="BY73" s="114"/>
      <c r="BZ73" s="114"/>
      <c r="CA73" s="114">
        <f>SUM(CA48:CD48)-SUM(CA70:CD70)</f>
        <v>19186004.728215143</v>
      </c>
      <c r="CB73" s="114"/>
      <c r="CC73" s="114"/>
      <c r="CD73" s="114"/>
      <c r="CE73" s="114">
        <f>SUM(CE48:CH48)-SUM(CE70:CH70)</f>
        <v>17020536.320846885</v>
      </c>
      <c r="CF73" s="114"/>
      <c r="CG73" s="114"/>
      <c r="CH73" s="114"/>
      <c r="CI73" s="114">
        <f>SUM(CI48:CL48)-SUM(CI70:CL70)</f>
        <v>18306766.372406647</v>
      </c>
      <c r="CJ73" s="114"/>
      <c r="CK73" s="114"/>
      <c r="CL73" s="114"/>
      <c r="CM73" s="114">
        <f>SUM(CM48:CP48)-SUM(CM70:CP70)</f>
        <v>-8202285.3591831028</v>
      </c>
      <c r="CN73" s="114"/>
      <c r="CO73" s="114"/>
      <c r="CP73" s="114"/>
      <c r="CQ73" s="114"/>
      <c r="CR73" s="114"/>
      <c r="CS73" s="114"/>
      <c r="CT73" s="114"/>
      <c r="CU73" s="114"/>
      <c r="CV73" s="114"/>
      <c r="CW73" s="114"/>
      <c r="CX73" s="114"/>
      <c r="CY73" s="114"/>
      <c r="CZ73" s="114"/>
      <c r="DA73" s="114"/>
      <c r="DB73" s="114"/>
      <c r="DC73" s="114"/>
      <c r="DD73" s="114"/>
      <c r="DE73" s="114"/>
      <c r="DF73" s="114"/>
      <c r="DG73" s="114"/>
      <c r="DH73" s="114"/>
      <c r="DI73" s="114"/>
      <c r="DJ73" s="114"/>
      <c r="DK73" s="114"/>
      <c r="DL73" s="114"/>
      <c r="DM73" s="114"/>
      <c r="DN73" s="114"/>
      <c r="DO73" s="114"/>
      <c r="DP73" s="114"/>
      <c r="DQ73" s="114"/>
      <c r="DR73" s="114"/>
      <c r="DS73" s="114"/>
      <c r="DT73" s="114"/>
      <c r="DU73" s="114"/>
      <c r="DV73" s="114"/>
      <c r="DW73" s="114"/>
      <c r="DX73" s="114"/>
      <c r="DY73" s="114"/>
      <c r="DZ73" s="114"/>
    </row>
    <row r="74" spans="1:130" s="86" customFormat="1" x14ac:dyDescent="0.2">
      <c r="A74" s="117" t="s">
        <v>229</v>
      </c>
      <c r="B74" s="81"/>
      <c r="C74" s="118"/>
      <c r="D74" s="118"/>
      <c r="E74" s="118"/>
      <c r="F74" s="118"/>
      <c r="G74" s="118"/>
      <c r="H74" s="118"/>
      <c r="I74" s="118"/>
      <c r="J74" s="118"/>
      <c r="K74" s="118"/>
      <c r="L74" s="118"/>
      <c r="M74" s="118"/>
      <c r="N74" s="118"/>
      <c r="O74" s="118"/>
      <c r="P74" s="118"/>
      <c r="Q74" s="118"/>
      <c r="R74" s="118"/>
      <c r="S74" s="118"/>
      <c r="T74" s="118"/>
      <c r="U74" s="118"/>
      <c r="V74" s="118"/>
      <c r="W74" s="118"/>
      <c r="X74" s="118"/>
      <c r="Y74" s="118"/>
      <c r="Z74" s="118"/>
      <c r="AA74" s="118"/>
      <c r="AB74" s="118"/>
      <c r="AC74" s="118"/>
      <c r="AD74" s="118"/>
      <c r="AE74" s="118"/>
      <c r="AF74" s="118"/>
      <c r="AG74" s="118"/>
      <c r="AH74" s="118"/>
      <c r="AQ74" s="118"/>
      <c r="AR74" s="118"/>
      <c r="AY74" s="86">
        <v>500000</v>
      </c>
      <c r="AZ74" s="86">
        <v>500000</v>
      </c>
      <c r="BA74" s="86">
        <v>1000000</v>
      </c>
      <c r="BB74" s="86">
        <v>2500000</v>
      </c>
      <c r="BC74" s="86">
        <v>1000000</v>
      </c>
      <c r="BD74" s="86">
        <v>1000000</v>
      </c>
      <c r="BE74" s="86">
        <v>1000000</v>
      </c>
      <c r="BF74" s="86">
        <v>1000000</v>
      </c>
    </row>
    <row r="75" spans="1:130" ht="18" x14ac:dyDescent="0.2">
      <c r="A75" s="63" t="s">
        <v>230</v>
      </c>
      <c r="B75" s="80" t="s">
        <v>87</v>
      </c>
      <c r="C75" s="65"/>
      <c r="D75" s="65"/>
      <c r="E75" s="65"/>
      <c r="F75" s="65">
        <v>2011</v>
      </c>
      <c r="G75" s="65"/>
      <c r="H75" s="65"/>
      <c r="I75" s="65"/>
      <c r="J75" s="65">
        <v>2012</v>
      </c>
      <c r="K75" s="65"/>
      <c r="L75" s="65"/>
      <c r="M75" s="65"/>
      <c r="N75" s="65">
        <v>2013</v>
      </c>
      <c r="O75" s="65"/>
      <c r="P75" s="65"/>
      <c r="Q75" s="65"/>
      <c r="R75" s="65">
        <v>2014</v>
      </c>
      <c r="S75" s="65"/>
      <c r="T75" s="65"/>
      <c r="U75" s="65"/>
      <c r="V75" s="65">
        <v>2015</v>
      </c>
      <c r="W75" s="65"/>
      <c r="X75" s="65"/>
      <c r="Y75" s="65"/>
      <c r="Z75" s="65">
        <v>2016</v>
      </c>
      <c r="AA75" s="65"/>
      <c r="AB75" s="65"/>
      <c r="AC75" s="65"/>
      <c r="AD75" s="65">
        <v>2017</v>
      </c>
      <c r="AE75" s="66"/>
      <c r="AF75" s="66"/>
      <c r="AG75" s="66"/>
      <c r="AH75" s="67">
        <v>2018</v>
      </c>
      <c r="AI75" s="67"/>
      <c r="AJ75" s="67"/>
      <c r="AK75" s="67"/>
      <c r="AL75" s="67">
        <v>2019</v>
      </c>
      <c r="AM75" s="67"/>
      <c r="AN75" s="67"/>
      <c r="AO75" s="66"/>
      <c r="AP75" s="66">
        <v>2020</v>
      </c>
      <c r="AQ75" s="66"/>
      <c r="AR75" s="66"/>
      <c r="AS75" s="66"/>
      <c r="AT75" s="66">
        <v>2021</v>
      </c>
      <c r="AU75" s="66"/>
      <c r="AV75" s="66"/>
      <c r="AW75" s="66"/>
      <c r="AX75" s="66">
        <v>2022</v>
      </c>
      <c r="AY75" s="66"/>
      <c r="AZ75" s="66"/>
      <c r="BA75" s="66"/>
      <c r="BB75" s="66">
        <v>2023</v>
      </c>
      <c r="BC75" s="66"/>
      <c r="BD75" s="66"/>
      <c r="BE75" s="66"/>
      <c r="BF75" s="66">
        <v>2024</v>
      </c>
      <c r="BG75" s="66"/>
      <c r="BH75" s="66"/>
      <c r="BI75" s="66"/>
      <c r="BJ75" s="66">
        <v>2025</v>
      </c>
      <c r="BK75" s="66"/>
      <c r="BL75" s="66"/>
      <c r="BM75" s="66"/>
      <c r="BN75" s="66">
        <v>2026</v>
      </c>
      <c r="BO75" s="66"/>
      <c r="BP75" s="66"/>
      <c r="BQ75" s="66"/>
      <c r="BR75" s="66">
        <v>2027</v>
      </c>
      <c r="BS75" s="66"/>
      <c r="BT75" s="66"/>
      <c r="BU75" s="66"/>
      <c r="BV75" s="66">
        <v>2028</v>
      </c>
      <c r="BW75" s="66"/>
      <c r="BX75" s="66"/>
      <c r="BY75" s="66"/>
      <c r="BZ75" s="66">
        <v>2029</v>
      </c>
      <c r="CA75" s="66"/>
      <c r="CB75" s="66"/>
      <c r="CC75" s="66"/>
      <c r="CD75" s="66">
        <v>2030</v>
      </c>
      <c r="CE75" s="66"/>
      <c r="CF75" s="66"/>
      <c r="CG75" s="66"/>
      <c r="CH75" s="66">
        <v>2031</v>
      </c>
      <c r="CI75" s="66"/>
      <c r="CJ75" s="66"/>
      <c r="CK75" s="66"/>
      <c r="CL75" s="66">
        <v>2032</v>
      </c>
      <c r="CM75" s="66"/>
      <c r="CN75" s="66"/>
      <c r="CO75" s="66"/>
      <c r="CP75" s="66">
        <v>2033</v>
      </c>
      <c r="CQ75" s="66"/>
      <c r="CR75" s="66"/>
      <c r="CS75" s="66"/>
      <c r="CT75" s="66">
        <v>2034</v>
      </c>
      <c r="CU75" s="66"/>
      <c r="CV75" s="66"/>
      <c r="CW75" s="66"/>
      <c r="CX75" s="66">
        <v>2035</v>
      </c>
      <c r="CY75" s="66"/>
      <c r="CZ75" s="66"/>
      <c r="DA75" s="66"/>
      <c r="DB75" s="66">
        <v>2036</v>
      </c>
      <c r="DC75" s="66"/>
      <c r="DD75" s="66"/>
      <c r="DE75" s="66"/>
      <c r="DF75" s="66">
        <v>2037</v>
      </c>
      <c r="DG75" s="66"/>
      <c r="DH75" s="66"/>
      <c r="DI75" s="66"/>
      <c r="DJ75" s="66">
        <v>2038</v>
      </c>
      <c r="DK75" s="66"/>
      <c r="DL75" s="66"/>
      <c r="DM75" s="66"/>
      <c r="DN75" s="66">
        <v>2039</v>
      </c>
      <c r="DO75" s="66"/>
      <c r="DP75" s="66"/>
      <c r="DQ75" s="66"/>
      <c r="DR75" s="66">
        <v>2040</v>
      </c>
      <c r="DS75" s="66"/>
      <c r="DT75" s="66"/>
      <c r="DU75" s="66"/>
      <c r="DV75" s="66">
        <v>2041</v>
      </c>
      <c r="DW75" s="66"/>
      <c r="DX75" s="66"/>
      <c r="DY75" s="66"/>
      <c r="DZ75" s="66"/>
    </row>
    <row r="76" spans="1:130" x14ac:dyDescent="0.2">
      <c r="A76" s="68" t="s">
        <v>159</v>
      </c>
      <c r="B76" s="39" t="s">
        <v>88</v>
      </c>
      <c r="C76" s="39" t="s">
        <v>160</v>
      </c>
      <c r="D76" s="39" t="s">
        <v>69</v>
      </c>
      <c r="E76" s="39" t="s">
        <v>70</v>
      </c>
      <c r="F76" s="39" t="s">
        <v>71</v>
      </c>
      <c r="G76" s="39" t="s">
        <v>161</v>
      </c>
      <c r="H76" s="39" t="s">
        <v>69</v>
      </c>
      <c r="I76" s="39" t="s">
        <v>70</v>
      </c>
      <c r="J76" s="39" t="s">
        <v>71</v>
      </c>
      <c r="K76" s="39" t="s">
        <v>162</v>
      </c>
      <c r="L76" s="39" t="s">
        <v>69</v>
      </c>
      <c r="M76" s="39" t="s">
        <v>70</v>
      </c>
      <c r="N76" s="39" t="s">
        <v>71</v>
      </c>
      <c r="O76" s="39" t="s">
        <v>163</v>
      </c>
      <c r="P76" s="39" t="s">
        <v>69</v>
      </c>
      <c r="Q76" s="39" t="s">
        <v>70</v>
      </c>
      <c r="R76" s="39" t="s">
        <v>71</v>
      </c>
      <c r="S76" s="39" t="s">
        <v>164</v>
      </c>
      <c r="T76" s="39" t="s">
        <v>69</v>
      </c>
      <c r="U76" s="39" t="s">
        <v>70</v>
      </c>
      <c r="V76" s="39" t="s">
        <v>71</v>
      </c>
      <c r="W76" s="39" t="s">
        <v>165</v>
      </c>
      <c r="X76" s="39" t="s">
        <v>69</v>
      </c>
      <c r="Y76" s="39" t="s">
        <v>70</v>
      </c>
      <c r="Z76" s="39" t="s">
        <v>71</v>
      </c>
      <c r="AA76" s="39" t="s">
        <v>166</v>
      </c>
      <c r="AB76" s="39" t="s">
        <v>69</v>
      </c>
      <c r="AC76" s="39" t="s">
        <v>70</v>
      </c>
      <c r="AD76" s="39" t="s">
        <v>71</v>
      </c>
      <c r="AE76" s="39" t="s">
        <v>167</v>
      </c>
      <c r="AF76" s="39" t="s">
        <v>69</v>
      </c>
      <c r="AG76" s="39" t="s">
        <v>70</v>
      </c>
      <c r="AH76" s="39" t="s">
        <v>71</v>
      </c>
      <c r="AI76" s="39" t="s">
        <v>168</v>
      </c>
      <c r="AJ76" s="69" t="s">
        <v>69</v>
      </c>
      <c r="AK76" s="69" t="s">
        <v>70</v>
      </c>
      <c r="AL76" s="69" t="s">
        <v>71</v>
      </c>
      <c r="AM76" s="39" t="s">
        <v>169</v>
      </c>
      <c r="AN76" s="39" t="s">
        <v>69</v>
      </c>
      <c r="AO76" s="39" t="s">
        <v>70</v>
      </c>
      <c r="AP76" s="39" t="s">
        <v>71</v>
      </c>
      <c r="AQ76" s="39" t="s">
        <v>175</v>
      </c>
      <c r="AR76" s="39" t="s">
        <v>69</v>
      </c>
      <c r="AS76" s="39" t="s">
        <v>70</v>
      </c>
      <c r="AT76" s="39" t="s">
        <v>71</v>
      </c>
      <c r="AU76" s="39" t="s">
        <v>176</v>
      </c>
      <c r="AV76" s="39" t="s">
        <v>69</v>
      </c>
      <c r="AW76" s="39" t="s">
        <v>70</v>
      </c>
      <c r="AX76" s="39" t="s">
        <v>71</v>
      </c>
      <c r="AY76" s="39" t="s">
        <v>177</v>
      </c>
      <c r="AZ76" s="39" t="s">
        <v>69</v>
      </c>
      <c r="BA76" s="39" t="s">
        <v>70</v>
      </c>
      <c r="BB76" s="39" t="s">
        <v>71</v>
      </c>
      <c r="BC76" s="39" t="str">
        <f t="shared" ref="BC76:DN76" si="187">BC21</f>
        <v>2024Q1</v>
      </c>
      <c r="BD76" s="39" t="str">
        <f t="shared" si="187"/>
        <v>Q2</v>
      </c>
      <c r="BE76" s="39" t="str">
        <f t="shared" si="187"/>
        <v>Q3</v>
      </c>
      <c r="BF76" s="39" t="str">
        <f t="shared" si="187"/>
        <v>Q4</v>
      </c>
      <c r="BG76" s="39" t="str">
        <f t="shared" si="187"/>
        <v>2025Q1</v>
      </c>
      <c r="BH76" s="39" t="str">
        <f t="shared" si="187"/>
        <v>Q2</v>
      </c>
      <c r="BI76" s="39" t="str">
        <f t="shared" si="187"/>
        <v>Q3</v>
      </c>
      <c r="BJ76" s="39" t="str">
        <f t="shared" si="187"/>
        <v>Q4</v>
      </c>
      <c r="BK76" s="39" t="str">
        <f t="shared" si="187"/>
        <v>2026Q1</v>
      </c>
      <c r="BL76" s="39" t="str">
        <f t="shared" si="187"/>
        <v>Q2</v>
      </c>
      <c r="BM76" s="39" t="str">
        <f t="shared" si="187"/>
        <v>Q3</v>
      </c>
      <c r="BN76" s="39" t="str">
        <f t="shared" si="187"/>
        <v>Q4</v>
      </c>
      <c r="BO76" s="39" t="str">
        <f t="shared" si="187"/>
        <v>2027Q1</v>
      </c>
      <c r="BP76" s="39" t="str">
        <f t="shared" si="187"/>
        <v>Q2</v>
      </c>
      <c r="BQ76" s="39" t="str">
        <f t="shared" si="187"/>
        <v>Q3</v>
      </c>
      <c r="BR76" s="39" t="str">
        <f t="shared" si="187"/>
        <v>Q4</v>
      </c>
      <c r="BS76" s="39" t="str">
        <f t="shared" si="187"/>
        <v>2028Q1</v>
      </c>
      <c r="BT76" s="39" t="str">
        <f t="shared" si="187"/>
        <v>Q2</v>
      </c>
      <c r="BU76" s="39" t="str">
        <f t="shared" si="187"/>
        <v>Q3</v>
      </c>
      <c r="BV76" s="39" t="str">
        <f t="shared" si="187"/>
        <v>Q4</v>
      </c>
      <c r="BW76" s="39" t="str">
        <f t="shared" si="187"/>
        <v>2029Q1</v>
      </c>
      <c r="BX76" s="39" t="str">
        <f t="shared" si="187"/>
        <v>Q2</v>
      </c>
      <c r="BY76" s="39" t="str">
        <f t="shared" si="187"/>
        <v>Q3</v>
      </c>
      <c r="BZ76" s="39" t="str">
        <f t="shared" si="187"/>
        <v>Q4</v>
      </c>
      <c r="CA76" s="39" t="str">
        <f t="shared" si="187"/>
        <v>2030Q1</v>
      </c>
      <c r="CB76" s="39" t="str">
        <f t="shared" si="187"/>
        <v>Q2</v>
      </c>
      <c r="CC76" s="39" t="str">
        <f t="shared" si="187"/>
        <v>Q3</v>
      </c>
      <c r="CD76" s="39" t="str">
        <f t="shared" si="187"/>
        <v>Q4</v>
      </c>
      <c r="CE76" s="39" t="str">
        <f t="shared" si="187"/>
        <v>2031Q1</v>
      </c>
      <c r="CF76" s="39" t="str">
        <f t="shared" si="187"/>
        <v>Q2</v>
      </c>
      <c r="CG76" s="39" t="str">
        <f t="shared" si="187"/>
        <v>Q3</v>
      </c>
      <c r="CH76" s="39" t="str">
        <f t="shared" si="187"/>
        <v>Q4</v>
      </c>
      <c r="CI76" s="39" t="str">
        <f t="shared" si="187"/>
        <v>2032Q1</v>
      </c>
      <c r="CJ76" s="39" t="str">
        <f t="shared" si="187"/>
        <v>Q2</v>
      </c>
      <c r="CK76" s="39" t="str">
        <f t="shared" si="187"/>
        <v>Q3</v>
      </c>
      <c r="CL76" s="39" t="str">
        <f t="shared" si="187"/>
        <v>Q4</v>
      </c>
      <c r="CM76" s="39" t="str">
        <f t="shared" si="187"/>
        <v>2033Q1</v>
      </c>
      <c r="CN76" s="39" t="str">
        <f t="shared" si="187"/>
        <v>Q2</v>
      </c>
      <c r="CO76" s="39" t="str">
        <f t="shared" si="187"/>
        <v>Q3</v>
      </c>
      <c r="CP76" s="39" t="str">
        <f t="shared" si="187"/>
        <v>Q4</v>
      </c>
      <c r="CQ76" s="39" t="str">
        <f t="shared" si="187"/>
        <v>2034Q1</v>
      </c>
      <c r="CR76" s="39" t="str">
        <f t="shared" si="187"/>
        <v>Q2</v>
      </c>
      <c r="CS76" s="39" t="str">
        <f t="shared" si="187"/>
        <v>Q3</v>
      </c>
      <c r="CT76" s="39" t="str">
        <f t="shared" si="187"/>
        <v>Q4</v>
      </c>
      <c r="CU76" s="39" t="str">
        <f t="shared" si="187"/>
        <v>2035Q1</v>
      </c>
      <c r="CV76" s="39" t="str">
        <f t="shared" si="187"/>
        <v>Q2</v>
      </c>
      <c r="CW76" s="39" t="str">
        <f t="shared" si="187"/>
        <v>Q3</v>
      </c>
      <c r="CX76" s="39" t="str">
        <f t="shared" si="187"/>
        <v>Q4</v>
      </c>
      <c r="CY76" s="39" t="str">
        <f t="shared" si="187"/>
        <v>2036Q1</v>
      </c>
      <c r="CZ76" s="39" t="str">
        <f t="shared" si="187"/>
        <v>Q2</v>
      </c>
      <c r="DA76" s="39" t="str">
        <f t="shared" si="187"/>
        <v>Q3</v>
      </c>
      <c r="DB76" s="39" t="str">
        <f t="shared" si="187"/>
        <v>Q4</v>
      </c>
      <c r="DC76" s="39" t="str">
        <f t="shared" si="187"/>
        <v>2037Q1</v>
      </c>
      <c r="DD76" s="39" t="str">
        <f t="shared" si="187"/>
        <v>Q2</v>
      </c>
      <c r="DE76" s="39" t="str">
        <f t="shared" si="187"/>
        <v>Q3</v>
      </c>
      <c r="DF76" s="39" t="str">
        <f t="shared" si="187"/>
        <v>Q4</v>
      </c>
      <c r="DG76" s="39" t="str">
        <f t="shared" si="187"/>
        <v>2038Q1</v>
      </c>
      <c r="DH76" s="39" t="str">
        <f t="shared" si="187"/>
        <v>Q2</v>
      </c>
      <c r="DI76" s="39" t="str">
        <f t="shared" si="187"/>
        <v>Q3</v>
      </c>
      <c r="DJ76" s="39" t="str">
        <f t="shared" si="187"/>
        <v>Q4</v>
      </c>
      <c r="DK76" s="39" t="str">
        <f t="shared" si="187"/>
        <v>2039Q1</v>
      </c>
      <c r="DL76" s="39" t="str">
        <f t="shared" si="187"/>
        <v>Q2</v>
      </c>
      <c r="DM76" s="39" t="str">
        <f t="shared" si="187"/>
        <v>Q3</v>
      </c>
      <c r="DN76" s="39" t="str">
        <f t="shared" si="187"/>
        <v>Q4</v>
      </c>
      <c r="DO76" s="39" t="str">
        <f t="shared" ref="DO76:DY76" si="188">DO21</f>
        <v>2040Q1</v>
      </c>
      <c r="DP76" s="39" t="str">
        <f t="shared" si="188"/>
        <v>Q2</v>
      </c>
      <c r="DQ76" s="39" t="str">
        <f t="shared" si="188"/>
        <v>Q3</v>
      </c>
      <c r="DR76" s="39" t="str">
        <f t="shared" si="188"/>
        <v>Q4</v>
      </c>
      <c r="DS76" s="39" t="str">
        <f t="shared" si="188"/>
        <v>2041Q1</v>
      </c>
      <c r="DT76" s="39" t="str">
        <f t="shared" si="188"/>
        <v>Q2</v>
      </c>
      <c r="DU76" s="39" t="str">
        <f t="shared" si="188"/>
        <v>Q3</v>
      </c>
      <c r="DV76" s="39" t="str">
        <f t="shared" si="188"/>
        <v>Q4</v>
      </c>
      <c r="DW76" s="39" t="str">
        <f t="shared" si="188"/>
        <v>2042Q1</v>
      </c>
      <c r="DX76" s="39" t="str">
        <f t="shared" si="188"/>
        <v>Q2</v>
      </c>
      <c r="DY76" s="39" t="str">
        <f t="shared" si="188"/>
        <v>Q3</v>
      </c>
      <c r="DZ76" s="39" t="str">
        <f>DZ21</f>
        <v>Q4</v>
      </c>
    </row>
    <row r="77" spans="1:130" x14ac:dyDescent="0.2">
      <c r="A77" s="39" t="s">
        <v>66</v>
      </c>
      <c r="B77" s="39" t="s">
        <v>119</v>
      </c>
      <c r="C77" s="70">
        <v>0</v>
      </c>
      <c r="D77" s="70">
        <v>0</v>
      </c>
      <c r="E77" s="70">
        <v>0</v>
      </c>
      <c r="F77" s="70">
        <v>0</v>
      </c>
      <c r="G77" s="70">
        <v>0</v>
      </c>
      <c r="H77" s="70">
        <v>0</v>
      </c>
      <c r="I77" s="70">
        <v>0</v>
      </c>
      <c r="J77" s="70">
        <v>0</v>
      </c>
      <c r="K77" s="70">
        <v>0</v>
      </c>
      <c r="L77" s="70">
        <v>7532</v>
      </c>
      <c r="M77" s="70">
        <v>2583509</v>
      </c>
      <c r="N77" s="70">
        <v>2995901</v>
      </c>
      <c r="O77" s="70">
        <v>2726000</v>
      </c>
      <c r="P77" s="70">
        <v>2881044</v>
      </c>
      <c r="Q77" s="70">
        <v>4617725</v>
      </c>
      <c r="R77" s="70">
        <v>5258002</v>
      </c>
      <c r="S77" s="70">
        <v>6720568</v>
      </c>
      <c r="T77" s="70">
        <v>9981749</v>
      </c>
      <c r="U77" s="70">
        <v>11049178</v>
      </c>
      <c r="V77" s="70">
        <v>11447850</v>
      </c>
      <c r="W77" s="70">
        <v>14450356</v>
      </c>
      <c r="X77" s="70">
        <v>14575659</v>
      </c>
      <c r="Y77" s="70">
        <v>15378044</v>
      </c>
      <c r="Z77" s="70">
        <v>15905540</v>
      </c>
      <c r="AA77" s="70">
        <v>16917328</v>
      </c>
      <c r="AB77" s="70">
        <v>21283092</v>
      </c>
      <c r="AC77" s="70">
        <v>24185491</v>
      </c>
      <c r="AD77" s="70">
        <v>24066273</v>
      </c>
      <c r="AE77" s="70">
        <v>23996868</v>
      </c>
      <c r="AF77" s="70">
        <v>24647401</v>
      </c>
      <c r="AG77" s="70">
        <v>27435046</v>
      </c>
      <c r="AH77" s="70">
        <v>29113530</v>
      </c>
      <c r="AI77" s="70">
        <v>28550655</v>
      </c>
      <c r="AJ77" s="70">
        <v>31338196</v>
      </c>
      <c r="AK77" s="70">
        <v>32016663</v>
      </c>
      <c r="AL77" s="70">
        <v>30980609</v>
      </c>
      <c r="AM77" s="70">
        <v>32763027</v>
      </c>
      <c r="AN77" s="70">
        <v>28814425</v>
      </c>
      <c r="AO77" s="70">
        <v>35738973</v>
      </c>
      <c r="AP77" s="70">
        <v>36289300</v>
      </c>
      <c r="AQ77" s="70">
        <v>34313995</v>
      </c>
      <c r="AR77" s="70">
        <v>39658233</v>
      </c>
      <c r="AS77" s="70">
        <v>42853248</v>
      </c>
      <c r="AT77" s="70">
        <v>41459320</v>
      </c>
      <c r="AU77" s="70">
        <v>41745891</v>
      </c>
      <c r="AV77" s="70">
        <v>43453489</v>
      </c>
      <c r="AW77" s="70">
        <v>45794203</v>
      </c>
      <c r="AX77" s="70">
        <f>'Fuel Vol and Credit Gen'!AX5</f>
        <v>44727479</v>
      </c>
      <c r="AY77" s="70">
        <v>44983298</v>
      </c>
      <c r="AZ77" s="70">
        <v>47131654</v>
      </c>
      <c r="BA77" s="70">
        <v>48708311</v>
      </c>
      <c r="BB77" s="70">
        <v>48171958</v>
      </c>
      <c r="BC77" s="70">
        <v>48258163</v>
      </c>
      <c r="BD77" s="70">
        <v>50933328</v>
      </c>
      <c r="BE77" s="70">
        <v>53533091</v>
      </c>
      <c r="BF77" s="77">
        <f>'Fuel Vol and Credit Gen'!BF5</f>
        <v>44727479</v>
      </c>
      <c r="BG77" s="77">
        <f>'Fuel Vol and Credit Gen'!BG5</f>
        <v>41745891</v>
      </c>
      <c r="BH77" s="77">
        <f>'Fuel Vol and Credit Gen'!BH5</f>
        <v>43453489</v>
      </c>
      <c r="BI77" s="77">
        <f>'Fuel Vol and Credit Gen'!BI5</f>
        <v>45784675</v>
      </c>
      <c r="BJ77" s="77">
        <f>'Fuel Vol and Credit Gen'!BJ5</f>
        <v>44727479</v>
      </c>
      <c r="BK77" s="77">
        <f>'Fuel Vol and Credit Gen'!BK5</f>
        <v>41745891</v>
      </c>
      <c r="BL77" s="77">
        <f>'Fuel Vol and Credit Gen'!BL5</f>
        <v>43453489</v>
      </c>
      <c r="BM77" s="77">
        <f>'Fuel Vol and Credit Gen'!BM5</f>
        <v>45784675</v>
      </c>
      <c r="BN77" s="77">
        <f>'Fuel Vol and Credit Gen'!BN5</f>
        <v>44727479</v>
      </c>
      <c r="BO77" s="77">
        <f>'Fuel Vol and Credit Gen'!BO5</f>
        <v>41745891</v>
      </c>
      <c r="BP77" s="77">
        <f>'Fuel Vol and Credit Gen'!BP5</f>
        <v>43453489</v>
      </c>
      <c r="BQ77" s="77">
        <f>'Fuel Vol and Credit Gen'!BQ5</f>
        <v>45784675</v>
      </c>
      <c r="BR77" s="77">
        <f>'Fuel Vol and Credit Gen'!BR5</f>
        <v>44727479</v>
      </c>
      <c r="BS77" s="77">
        <f>'Fuel Vol and Credit Gen'!BS5</f>
        <v>41745891</v>
      </c>
      <c r="BT77" s="77">
        <f>'Fuel Vol and Credit Gen'!BT5</f>
        <v>43453489</v>
      </c>
      <c r="BU77" s="77">
        <f>'Fuel Vol and Credit Gen'!BU5</f>
        <v>45784675</v>
      </c>
      <c r="BV77" s="77">
        <f>'Fuel Vol and Credit Gen'!BV5</f>
        <v>44727479</v>
      </c>
      <c r="BW77" s="77">
        <f>'Fuel Vol and Credit Gen'!BW5</f>
        <v>41745891</v>
      </c>
      <c r="BX77" s="77">
        <f>'Fuel Vol and Credit Gen'!BX5</f>
        <v>43453489</v>
      </c>
      <c r="BY77" s="77">
        <f>'Fuel Vol and Credit Gen'!BY5</f>
        <v>45784675</v>
      </c>
      <c r="BZ77" s="77">
        <f>'Fuel Vol and Credit Gen'!BZ5</f>
        <v>44727479</v>
      </c>
      <c r="CA77" s="77">
        <f>'Fuel Vol and Credit Gen'!CA5</f>
        <v>41745891</v>
      </c>
      <c r="CB77" s="77">
        <f>'Fuel Vol and Credit Gen'!CB5</f>
        <v>43453489</v>
      </c>
      <c r="CC77" s="77">
        <f>'Fuel Vol and Credit Gen'!CC5</f>
        <v>45784675</v>
      </c>
      <c r="CD77" s="77">
        <f>'Fuel Vol and Credit Gen'!CD5</f>
        <v>44727479</v>
      </c>
      <c r="CE77" s="77">
        <f>'Fuel Vol and Credit Gen'!CE5</f>
        <v>41745891</v>
      </c>
      <c r="CF77" s="77">
        <f>'Fuel Vol and Credit Gen'!CF5</f>
        <v>43453489</v>
      </c>
      <c r="CG77" s="77">
        <f>'Fuel Vol and Credit Gen'!CG5</f>
        <v>45784675</v>
      </c>
      <c r="CH77" s="77">
        <f>'Fuel Vol and Credit Gen'!CH5</f>
        <v>44727479</v>
      </c>
      <c r="CI77" s="77">
        <f>'Fuel Vol and Credit Gen'!CI5</f>
        <v>41745891</v>
      </c>
      <c r="CJ77" s="77">
        <f>'Fuel Vol and Credit Gen'!CJ5</f>
        <v>43453489</v>
      </c>
      <c r="CK77" s="77">
        <f>'Fuel Vol and Credit Gen'!CK5</f>
        <v>45784675</v>
      </c>
      <c r="CL77" s="77">
        <f>'Fuel Vol and Credit Gen'!CL5</f>
        <v>44727479</v>
      </c>
      <c r="CM77" s="77">
        <f>'Fuel Vol and Credit Gen'!CM5</f>
        <v>41745891</v>
      </c>
      <c r="CN77" s="77">
        <f>'Fuel Vol and Credit Gen'!CN5</f>
        <v>43453489</v>
      </c>
      <c r="CO77" s="77">
        <f>'Fuel Vol and Credit Gen'!CO5</f>
        <v>45784675</v>
      </c>
      <c r="CP77" s="77">
        <f>'Fuel Vol and Credit Gen'!CP5</f>
        <v>44727479</v>
      </c>
      <c r="CQ77" s="77">
        <f>'Fuel Vol and Credit Gen'!CQ5</f>
        <v>41745891</v>
      </c>
      <c r="CR77" s="77">
        <f>'Fuel Vol and Credit Gen'!CR5</f>
        <v>43453489</v>
      </c>
      <c r="CS77" s="77">
        <f>'Fuel Vol and Credit Gen'!CS5</f>
        <v>45784675</v>
      </c>
      <c r="CT77" s="77">
        <f>'Fuel Vol and Credit Gen'!CT5</f>
        <v>44727479</v>
      </c>
      <c r="CU77" s="77">
        <f>'Fuel Vol and Credit Gen'!CU5</f>
        <v>41745891</v>
      </c>
      <c r="CV77" s="77">
        <f>'Fuel Vol and Credit Gen'!CV5</f>
        <v>43453489</v>
      </c>
      <c r="CW77" s="77">
        <f>'Fuel Vol and Credit Gen'!CW5</f>
        <v>45784675</v>
      </c>
      <c r="CX77" s="77">
        <f>'Fuel Vol and Credit Gen'!CX5</f>
        <v>44727479</v>
      </c>
      <c r="CY77" s="77">
        <f>'Fuel Vol and Credit Gen'!CY5</f>
        <v>41745891</v>
      </c>
      <c r="CZ77" s="77">
        <f>'Fuel Vol and Credit Gen'!CZ5</f>
        <v>43453489</v>
      </c>
      <c r="DA77" s="77">
        <f>'Fuel Vol and Credit Gen'!DA5</f>
        <v>45784675</v>
      </c>
      <c r="DB77" s="77">
        <f>'Fuel Vol and Credit Gen'!DB5</f>
        <v>44727479</v>
      </c>
      <c r="DC77" s="77">
        <f>'Fuel Vol and Credit Gen'!DC5</f>
        <v>41745891</v>
      </c>
      <c r="DD77" s="77">
        <f>'Fuel Vol and Credit Gen'!DD5</f>
        <v>43453489</v>
      </c>
      <c r="DE77" s="77">
        <f>'Fuel Vol and Credit Gen'!DE5</f>
        <v>45784675</v>
      </c>
      <c r="DF77" s="77">
        <f>'Fuel Vol and Credit Gen'!DF5</f>
        <v>44727479</v>
      </c>
      <c r="DG77" s="77">
        <f>'Fuel Vol and Credit Gen'!DG5</f>
        <v>41745891</v>
      </c>
      <c r="DH77" s="77">
        <f>'Fuel Vol and Credit Gen'!DH5</f>
        <v>43453489</v>
      </c>
      <c r="DI77" s="77">
        <f>'Fuel Vol and Credit Gen'!DI5</f>
        <v>45784675</v>
      </c>
      <c r="DJ77" s="77">
        <f>'Fuel Vol and Credit Gen'!DJ5</f>
        <v>44727479</v>
      </c>
      <c r="DK77" s="77">
        <f>'Fuel Vol and Credit Gen'!DK5</f>
        <v>41745891</v>
      </c>
      <c r="DL77" s="77">
        <f>'Fuel Vol and Credit Gen'!DL5</f>
        <v>43453489</v>
      </c>
      <c r="DM77" s="77">
        <f>'Fuel Vol and Credit Gen'!DM5</f>
        <v>45784675</v>
      </c>
      <c r="DN77" s="77">
        <f>'Fuel Vol and Credit Gen'!DN5</f>
        <v>44727479</v>
      </c>
      <c r="DO77" s="77">
        <f>'Fuel Vol and Credit Gen'!DO5</f>
        <v>41745891</v>
      </c>
      <c r="DP77" s="77">
        <f>'Fuel Vol and Credit Gen'!DP5</f>
        <v>43453489</v>
      </c>
      <c r="DQ77" s="77">
        <f>'Fuel Vol and Credit Gen'!DQ5</f>
        <v>45784675</v>
      </c>
      <c r="DR77" s="77">
        <f>'Fuel Vol and Credit Gen'!DR5</f>
        <v>44727479</v>
      </c>
      <c r="DS77" s="77">
        <f>'Fuel Vol and Credit Gen'!DS5</f>
        <v>41745891</v>
      </c>
      <c r="DT77" s="77">
        <f>'Fuel Vol and Credit Gen'!DT5</f>
        <v>43453489</v>
      </c>
      <c r="DU77" s="77">
        <f>'Fuel Vol and Credit Gen'!DU5</f>
        <v>45784675</v>
      </c>
      <c r="DV77" s="77">
        <f>'Fuel Vol and Credit Gen'!DV5</f>
        <v>44727479</v>
      </c>
      <c r="DW77" s="77">
        <f>'Fuel Vol and Credit Gen'!DW5</f>
        <v>41745891</v>
      </c>
      <c r="DX77" s="77">
        <f>'Fuel Vol and Credit Gen'!DX5</f>
        <v>43453489</v>
      </c>
      <c r="DY77" s="77">
        <f>'Fuel Vol and Credit Gen'!DY5</f>
        <v>45784675</v>
      </c>
      <c r="DZ77" s="77">
        <f>'Fuel Vol and Credit Gen'!DZ5</f>
        <v>45784675</v>
      </c>
    </row>
    <row r="78" spans="1:130" x14ac:dyDescent="0.2">
      <c r="A78" s="39" t="s">
        <v>74</v>
      </c>
      <c r="B78" s="39" t="s">
        <v>119</v>
      </c>
      <c r="C78" s="70">
        <v>236835</v>
      </c>
      <c r="D78" s="70">
        <v>328532</v>
      </c>
      <c r="E78" s="70">
        <v>530962</v>
      </c>
      <c r="F78" s="70">
        <v>478928</v>
      </c>
      <c r="G78" s="70">
        <v>468876</v>
      </c>
      <c r="H78" s="70">
        <v>453202</v>
      </c>
      <c r="I78" s="70">
        <v>384063</v>
      </c>
      <c r="J78" s="70">
        <v>287824</v>
      </c>
      <c r="K78" s="70">
        <v>439275</v>
      </c>
      <c r="L78" s="70">
        <v>612128</v>
      </c>
      <c r="M78" s="70">
        <v>2546125</v>
      </c>
      <c r="N78" s="70">
        <v>1052125</v>
      </c>
      <c r="O78" s="70">
        <v>1639132</v>
      </c>
      <c r="P78" s="70">
        <v>1064074</v>
      </c>
      <c r="Q78" s="70">
        <v>4714630</v>
      </c>
      <c r="R78" s="70">
        <v>5841140</v>
      </c>
      <c r="S78" s="70">
        <v>5277303</v>
      </c>
      <c r="T78" s="70">
        <v>6367592</v>
      </c>
      <c r="U78" s="70">
        <v>7259890</v>
      </c>
      <c r="V78" s="70">
        <v>8307511</v>
      </c>
      <c r="W78" s="70">
        <v>6595776</v>
      </c>
      <c r="X78" s="70">
        <v>7661496</v>
      </c>
      <c r="Y78" s="70">
        <v>7645395</v>
      </c>
      <c r="Z78" s="70">
        <v>7035914</v>
      </c>
      <c r="AA78" s="70">
        <v>6712351</v>
      </c>
      <c r="AB78" s="70">
        <v>6146649</v>
      </c>
      <c r="AC78" s="70">
        <v>3943161</v>
      </c>
      <c r="AD78" s="70">
        <v>3529130</v>
      </c>
      <c r="AE78" s="70">
        <v>3637857</v>
      </c>
      <c r="AF78" s="70">
        <v>3678466</v>
      </c>
      <c r="AG78" s="70">
        <v>3844316</v>
      </c>
      <c r="AH78" s="70">
        <v>3532362</v>
      </c>
      <c r="AI78" s="70">
        <v>3621779</v>
      </c>
      <c r="AJ78" s="70">
        <v>3620430</v>
      </c>
      <c r="AK78" s="70">
        <v>4599876</v>
      </c>
      <c r="AL78" s="70">
        <v>4554189</v>
      </c>
      <c r="AM78" s="70">
        <v>4573936</v>
      </c>
      <c r="AN78" s="70">
        <v>4396610</v>
      </c>
      <c r="AO78" s="70">
        <v>4566252</v>
      </c>
      <c r="AP78" s="70">
        <v>4446816</v>
      </c>
      <c r="AQ78" s="70">
        <v>4123135</v>
      </c>
      <c r="AR78" s="70">
        <v>4146664</v>
      </c>
      <c r="AS78" s="70">
        <v>4033042</v>
      </c>
      <c r="AT78" s="70">
        <v>3968462</v>
      </c>
      <c r="AU78" s="70">
        <v>3668607</v>
      </c>
      <c r="AV78" s="70">
        <v>3893434</v>
      </c>
      <c r="AW78" s="70">
        <v>3960769</v>
      </c>
      <c r="AX78" s="70">
        <f>'Fuel Vol and Credit Gen'!AX6</f>
        <v>3224680</v>
      </c>
      <c r="AY78" s="70">
        <v>3488791</v>
      </c>
      <c r="AZ78" s="70">
        <v>3664461</v>
      </c>
      <c r="BA78" s="70">
        <v>3463640</v>
      </c>
      <c r="BB78" s="70">
        <v>3490514</v>
      </c>
      <c r="BC78" s="70">
        <v>3416751</v>
      </c>
      <c r="BD78" s="70">
        <v>3233384</v>
      </c>
      <c r="BE78" s="70">
        <v>3409504</v>
      </c>
      <c r="BF78" s="77">
        <f>'Fuel Vol and Credit Gen'!BF6</f>
        <v>3224680</v>
      </c>
      <c r="BG78" s="77">
        <f>'Fuel Vol and Credit Gen'!BG6</f>
        <v>3668607</v>
      </c>
      <c r="BH78" s="77">
        <f>'Fuel Vol and Credit Gen'!BH6</f>
        <v>3893434</v>
      </c>
      <c r="BI78" s="77">
        <f>'Fuel Vol and Credit Gen'!BI6</f>
        <v>3960769</v>
      </c>
      <c r="BJ78" s="77">
        <f>'Fuel Vol and Credit Gen'!BJ6</f>
        <v>3224680</v>
      </c>
      <c r="BK78" s="77">
        <f>'Fuel Vol and Credit Gen'!BK6</f>
        <v>3668607</v>
      </c>
      <c r="BL78" s="77">
        <f>'Fuel Vol and Credit Gen'!BL6</f>
        <v>3893434</v>
      </c>
      <c r="BM78" s="77">
        <f>'Fuel Vol and Credit Gen'!BM6</f>
        <v>3960769</v>
      </c>
      <c r="BN78" s="77">
        <f>'Fuel Vol and Credit Gen'!BN6</f>
        <v>3224680</v>
      </c>
      <c r="BO78" s="77">
        <f>'Fuel Vol and Credit Gen'!BO6</f>
        <v>3668607</v>
      </c>
      <c r="BP78" s="77">
        <f>'Fuel Vol and Credit Gen'!BP6</f>
        <v>3893434</v>
      </c>
      <c r="BQ78" s="77">
        <f>'Fuel Vol and Credit Gen'!BQ6</f>
        <v>3960769</v>
      </c>
      <c r="BR78" s="77">
        <f>'Fuel Vol and Credit Gen'!BR6</f>
        <v>3224680</v>
      </c>
      <c r="BS78" s="77">
        <f>'Fuel Vol and Credit Gen'!BS6</f>
        <v>3668607</v>
      </c>
      <c r="BT78" s="77">
        <f>'Fuel Vol and Credit Gen'!BT6</f>
        <v>3893434</v>
      </c>
      <c r="BU78" s="77">
        <f>'Fuel Vol and Credit Gen'!BU6</f>
        <v>3960769</v>
      </c>
      <c r="BV78" s="77">
        <f>'Fuel Vol and Credit Gen'!BV6</f>
        <v>3224680</v>
      </c>
      <c r="BW78" s="77">
        <f>'Fuel Vol and Credit Gen'!BW6</f>
        <v>3668607</v>
      </c>
      <c r="BX78" s="77">
        <f>'Fuel Vol and Credit Gen'!BX6</f>
        <v>3893434</v>
      </c>
      <c r="BY78" s="77">
        <f>'Fuel Vol and Credit Gen'!BY6</f>
        <v>3960769</v>
      </c>
      <c r="BZ78" s="77">
        <f>'Fuel Vol and Credit Gen'!BZ6</f>
        <v>3224680</v>
      </c>
      <c r="CA78" s="77">
        <f>'Fuel Vol and Credit Gen'!CA6</f>
        <v>3668607</v>
      </c>
      <c r="CB78" s="77">
        <f>'Fuel Vol and Credit Gen'!CB6</f>
        <v>3893434</v>
      </c>
      <c r="CC78" s="77">
        <f>'Fuel Vol and Credit Gen'!CC6</f>
        <v>3960769</v>
      </c>
      <c r="CD78" s="77">
        <f>'Fuel Vol and Credit Gen'!CD6</f>
        <v>3224680</v>
      </c>
      <c r="CE78" s="77">
        <f>'Fuel Vol and Credit Gen'!CE6</f>
        <v>3668607</v>
      </c>
      <c r="CF78" s="77">
        <f>'Fuel Vol and Credit Gen'!CF6</f>
        <v>3893434</v>
      </c>
      <c r="CG78" s="77">
        <f>'Fuel Vol and Credit Gen'!CG6</f>
        <v>3960769</v>
      </c>
      <c r="CH78" s="77">
        <f>'Fuel Vol and Credit Gen'!CH6</f>
        <v>3224680</v>
      </c>
      <c r="CI78" s="77">
        <f>'Fuel Vol and Credit Gen'!CI6</f>
        <v>3668607</v>
      </c>
      <c r="CJ78" s="77">
        <f>'Fuel Vol and Credit Gen'!CJ6</f>
        <v>3893434</v>
      </c>
      <c r="CK78" s="77">
        <f>'Fuel Vol and Credit Gen'!CK6</f>
        <v>3960769</v>
      </c>
      <c r="CL78" s="77">
        <f>'Fuel Vol and Credit Gen'!CL6</f>
        <v>3224680</v>
      </c>
      <c r="CM78" s="77">
        <f>'Fuel Vol and Credit Gen'!CM6</f>
        <v>3668607</v>
      </c>
      <c r="CN78" s="77">
        <f>'Fuel Vol and Credit Gen'!CN6</f>
        <v>3893434</v>
      </c>
      <c r="CO78" s="77">
        <f>'Fuel Vol and Credit Gen'!CO6</f>
        <v>3960769</v>
      </c>
      <c r="CP78" s="77">
        <f>'Fuel Vol and Credit Gen'!CP6</f>
        <v>3224680</v>
      </c>
      <c r="CQ78" s="77">
        <f>'Fuel Vol and Credit Gen'!CQ6</f>
        <v>3668607</v>
      </c>
      <c r="CR78" s="77">
        <f>'Fuel Vol and Credit Gen'!CR6</f>
        <v>3893434</v>
      </c>
      <c r="CS78" s="77">
        <f>'Fuel Vol and Credit Gen'!CS6</f>
        <v>3960769</v>
      </c>
      <c r="CT78" s="77">
        <f>'Fuel Vol and Credit Gen'!CT6</f>
        <v>3224680</v>
      </c>
      <c r="CU78" s="77">
        <f>'Fuel Vol and Credit Gen'!CU6</f>
        <v>3668607</v>
      </c>
      <c r="CV78" s="77">
        <f>'Fuel Vol and Credit Gen'!CV6</f>
        <v>3893434</v>
      </c>
      <c r="CW78" s="77">
        <f>'Fuel Vol and Credit Gen'!CW6</f>
        <v>3960769</v>
      </c>
      <c r="CX78" s="77">
        <f>'Fuel Vol and Credit Gen'!CX6</f>
        <v>3224680</v>
      </c>
      <c r="CY78" s="77">
        <f>'Fuel Vol and Credit Gen'!CY6</f>
        <v>3668607</v>
      </c>
      <c r="CZ78" s="77">
        <f>'Fuel Vol and Credit Gen'!CZ6</f>
        <v>3893434</v>
      </c>
      <c r="DA78" s="77">
        <f>'Fuel Vol and Credit Gen'!DA6</f>
        <v>3960769</v>
      </c>
      <c r="DB78" s="77">
        <f>'Fuel Vol and Credit Gen'!DB6</f>
        <v>3224680</v>
      </c>
      <c r="DC78" s="77">
        <f>'Fuel Vol and Credit Gen'!DC6</f>
        <v>3668607</v>
      </c>
      <c r="DD78" s="77">
        <f>'Fuel Vol and Credit Gen'!DD6</f>
        <v>3893434</v>
      </c>
      <c r="DE78" s="77">
        <f>'Fuel Vol and Credit Gen'!DE6</f>
        <v>3960769</v>
      </c>
      <c r="DF78" s="77">
        <f>'Fuel Vol and Credit Gen'!DF6</f>
        <v>3224680</v>
      </c>
      <c r="DG78" s="77">
        <f>'Fuel Vol and Credit Gen'!DG6</f>
        <v>3668607</v>
      </c>
      <c r="DH78" s="77">
        <f>'Fuel Vol and Credit Gen'!DH6</f>
        <v>3893434</v>
      </c>
      <c r="DI78" s="77">
        <f>'Fuel Vol and Credit Gen'!DI6</f>
        <v>3960769</v>
      </c>
      <c r="DJ78" s="77">
        <f>'Fuel Vol and Credit Gen'!DJ6</f>
        <v>3224680</v>
      </c>
      <c r="DK78" s="77">
        <f>'Fuel Vol and Credit Gen'!DK6</f>
        <v>3668607</v>
      </c>
      <c r="DL78" s="77">
        <f>'Fuel Vol and Credit Gen'!DL6</f>
        <v>3893434</v>
      </c>
      <c r="DM78" s="77">
        <f>'Fuel Vol and Credit Gen'!DM6</f>
        <v>3960769</v>
      </c>
      <c r="DN78" s="77">
        <f>'Fuel Vol and Credit Gen'!DN6</f>
        <v>3224680</v>
      </c>
      <c r="DO78" s="77">
        <f>'Fuel Vol and Credit Gen'!DO6</f>
        <v>3668607</v>
      </c>
      <c r="DP78" s="77">
        <f>'Fuel Vol and Credit Gen'!DP6</f>
        <v>3893434</v>
      </c>
      <c r="DQ78" s="77">
        <f>'Fuel Vol and Credit Gen'!DQ6</f>
        <v>3960769</v>
      </c>
      <c r="DR78" s="77">
        <f>'Fuel Vol and Credit Gen'!DR6</f>
        <v>3224680</v>
      </c>
      <c r="DS78" s="77">
        <f>'Fuel Vol and Credit Gen'!DS6</f>
        <v>3668607</v>
      </c>
      <c r="DT78" s="77">
        <f>'Fuel Vol and Credit Gen'!DT6</f>
        <v>3893434</v>
      </c>
      <c r="DU78" s="77">
        <f>'Fuel Vol and Credit Gen'!DU6</f>
        <v>3960769</v>
      </c>
      <c r="DV78" s="77">
        <f>'Fuel Vol and Credit Gen'!DV6</f>
        <v>3224680</v>
      </c>
      <c r="DW78" s="77">
        <f>'Fuel Vol and Credit Gen'!DW6</f>
        <v>3668607</v>
      </c>
      <c r="DX78" s="77">
        <f>'Fuel Vol and Credit Gen'!DX6</f>
        <v>3893434</v>
      </c>
      <c r="DY78" s="77">
        <f>'Fuel Vol and Credit Gen'!DY6</f>
        <v>3960769</v>
      </c>
      <c r="DZ78" s="77">
        <f>'Fuel Vol and Credit Gen'!DZ6</f>
        <v>3960769</v>
      </c>
    </row>
    <row r="79" spans="1:130" x14ac:dyDescent="0.2">
      <c r="A79" s="39" t="s">
        <v>120</v>
      </c>
      <c r="B79" s="39" t="s">
        <v>119</v>
      </c>
      <c r="C79" s="70">
        <v>12882107</v>
      </c>
      <c r="D79" s="70">
        <v>13284682</v>
      </c>
      <c r="E79" s="70">
        <v>13100333</v>
      </c>
      <c r="F79" s="70">
        <v>12816759</v>
      </c>
      <c r="G79" s="70">
        <v>12797724</v>
      </c>
      <c r="H79" s="70">
        <v>13185688</v>
      </c>
      <c r="I79" s="70">
        <v>15819989</v>
      </c>
      <c r="J79" s="70">
        <v>15375874</v>
      </c>
      <c r="K79" s="70">
        <v>15442500</v>
      </c>
      <c r="L79" s="70">
        <v>15802030</v>
      </c>
      <c r="M79" s="70">
        <v>14502449</v>
      </c>
      <c r="N79" s="70">
        <v>14939119</v>
      </c>
      <c r="O79" s="70">
        <v>16653725</v>
      </c>
      <c r="P79" s="70">
        <v>20181754</v>
      </c>
      <c r="Q79" s="70">
        <v>19709585</v>
      </c>
      <c r="R79" s="70">
        <v>19332234</v>
      </c>
      <c r="S79" s="70">
        <v>18221747</v>
      </c>
      <c r="T79" s="70">
        <v>15299622</v>
      </c>
      <c r="U79" s="70">
        <v>15624093</v>
      </c>
      <c r="V79" s="70">
        <v>15225821</v>
      </c>
      <c r="W79" s="70">
        <v>13254354</v>
      </c>
      <c r="X79" s="70">
        <v>13751707</v>
      </c>
      <c r="Y79" s="70">
        <v>13280307</v>
      </c>
      <c r="Z79" s="70">
        <v>13057045</v>
      </c>
      <c r="AA79" s="70">
        <v>13579389</v>
      </c>
      <c r="AB79" s="70">
        <v>12297213</v>
      </c>
      <c r="AC79" s="70">
        <v>12146075</v>
      </c>
      <c r="AD79" s="70">
        <v>11480263</v>
      </c>
      <c r="AE79" s="70">
        <v>12387493</v>
      </c>
      <c r="AF79" s="70">
        <v>13341294</v>
      </c>
      <c r="AG79" s="70">
        <v>11894748</v>
      </c>
      <c r="AH79" s="70">
        <v>9083378</v>
      </c>
      <c r="AI79" s="70">
        <v>9695036</v>
      </c>
      <c r="AJ79" s="70">
        <v>9532882</v>
      </c>
      <c r="AK79" s="70">
        <v>10747480</v>
      </c>
      <c r="AL79" s="70">
        <v>9382934</v>
      </c>
      <c r="AM79" s="70">
        <v>5852559</v>
      </c>
      <c r="AN79" s="70">
        <v>3868435</v>
      </c>
      <c r="AO79" s="70">
        <v>2117873</v>
      </c>
      <c r="AP79" s="70">
        <v>754474</v>
      </c>
      <c r="AQ79" s="70">
        <v>747658</v>
      </c>
      <c r="AR79" s="70">
        <v>937198</v>
      </c>
      <c r="AS79" s="70">
        <v>896174</v>
      </c>
      <c r="AT79" s="70">
        <v>1542813</v>
      </c>
      <c r="AU79" s="70">
        <v>1172580</v>
      </c>
      <c r="AV79" s="70">
        <v>1762066</v>
      </c>
      <c r="AW79" s="70">
        <v>1583080</v>
      </c>
      <c r="AX79" s="70">
        <f>'Fuel Vol and Credit Gen'!AX7</f>
        <v>1491237</v>
      </c>
      <c r="AY79" s="70">
        <v>1453772</v>
      </c>
      <c r="AZ79" s="70">
        <v>1727616</v>
      </c>
      <c r="BA79" s="70">
        <v>2476243</v>
      </c>
      <c r="BB79" s="70">
        <v>1136609</v>
      </c>
      <c r="BC79" s="70">
        <v>669303</v>
      </c>
      <c r="BD79" s="70">
        <v>554319</v>
      </c>
      <c r="BE79" s="70">
        <v>512824</v>
      </c>
      <c r="BF79" s="77">
        <f>'Fuel Vol and Credit Gen'!BF7</f>
        <v>505340.14480187849</v>
      </c>
      <c r="BG79" s="77">
        <f>'Fuel Vol and Credit Gen'!BG7</f>
        <v>514144.09399050917</v>
      </c>
      <c r="BH79" s="77">
        <f>'Fuel Vol and Credit Gen'!BH7</f>
        <v>540808.69600824441</v>
      </c>
      <c r="BI79" s="77">
        <f>'Fuel Vol and Credit Gen'!BI7</f>
        <v>487218.56616136426</v>
      </c>
      <c r="BJ79" s="77">
        <f>'Fuel Vol and Credit Gen'!BJ7</f>
        <v>452371.73656105972</v>
      </c>
      <c r="BK79" s="77">
        <f>'Fuel Vol and Credit Gen'!BK7</f>
        <v>691040.84692517365</v>
      </c>
      <c r="BL79" s="77">
        <f>'Fuel Vol and Credit Gen'!BL7</f>
        <v>968972.31519125134</v>
      </c>
      <c r="BM79" s="77">
        <f>'Fuel Vol and Credit Gen'!BM7</f>
        <v>978700.48463477904</v>
      </c>
      <c r="BN79" s="77">
        <f>'Fuel Vol and Credit Gen'!BN7</f>
        <v>1001507.6012520144</v>
      </c>
      <c r="BO79" s="77">
        <f>'Fuel Vol and Credit Gen'!BO7</f>
        <v>1041191.783332568</v>
      </c>
      <c r="BP79" s="77">
        <f>'Fuel Vol and Credit Gen'!BP7</f>
        <v>1098308.6787382611</v>
      </c>
      <c r="BQ79" s="77">
        <f>'Fuel Vol and Credit Gen'!BQ7</f>
        <v>1174253.6166275931</v>
      </c>
      <c r="BR79" s="77">
        <f>'Fuel Vol and Credit Gen'!BR7</f>
        <v>1273036.9695065131</v>
      </c>
      <c r="BS79" s="77">
        <f>'Fuel Vol and Credit Gen'!BS7</f>
        <v>1392529.8029478947</v>
      </c>
      <c r="BT79" s="77">
        <f>'Fuel Vol and Credit Gen'!BT7</f>
        <v>1434389.0835048573</v>
      </c>
      <c r="BU79" s="77">
        <f>'Fuel Vol and Credit Gen'!BU7</f>
        <v>1498176.710934063</v>
      </c>
      <c r="BV79" s="77">
        <f>'Fuel Vol and Credit Gen'!BV7</f>
        <v>1488893.73300778</v>
      </c>
      <c r="BW79" s="77">
        <f>'Fuel Vol and Credit Gen'!BW7</f>
        <v>1511597.3957743992</v>
      </c>
      <c r="BX79" s="77">
        <f>'Fuel Vol and Credit Gen'!BX7</f>
        <v>1563243.7135526447</v>
      </c>
      <c r="BY79" s="77">
        <f>'Fuel Vol and Credit Gen'!BY7</f>
        <v>1635891.2626521662</v>
      </c>
      <c r="BZ79" s="77">
        <f>'Fuel Vol and Credit Gen'!BZ7</f>
        <v>1633131.3332509042</v>
      </c>
      <c r="CA79" s="77">
        <f>'Fuel Vol and Credit Gen'!CA7</f>
        <v>1555695.8360829356</v>
      </c>
      <c r="CB79" s="77">
        <f>'Fuel Vol and Credit Gen'!CB7</f>
        <v>1508839.8039616165</v>
      </c>
      <c r="CC79" s="77">
        <f>'Fuel Vol and Credit Gen'!CC7</f>
        <v>1489142.6869323924</v>
      </c>
      <c r="CD79" s="77">
        <f>'Fuel Vol and Credit Gen'!CD7</f>
        <v>1485514.1747767946</v>
      </c>
      <c r="CE79" s="77">
        <f>'Fuel Vol and Credit Gen'!CE7</f>
        <v>1492006.8652684996</v>
      </c>
      <c r="CF79" s="77">
        <f>'Fuel Vol and Credit Gen'!CF7</f>
        <v>1505559.548484731</v>
      </c>
      <c r="CG79" s="77">
        <f>'Fuel Vol and Credit Gen'!CG7</f>
        <v>1515810.5419787804</v>
      </c>
      <c r="CH79" s="77">
        <f>'Fuel Vol and Credit Gen'!CH7</f>
        <v>1525188.8853826933</v>
      </c>
      <c r="CI79" s="77">
        <f>'Fuel Vol and Credit Gen'!CI7</f>
        <v>1534916.9772545828</v>
      </c>
      <c r="CJ79" s="77">
        <f>'Fuel Vol and Credit Gen'!CJ7</f>
        <v>1543299.3210589762</v>
      </c>
      <c r="CK79" s="77">
        <f>'Fuel Vol and Credit Gen'!CK7</f>
        <v>1554670.2477274332</v>
      </c>
      <c r="CL79" s="77">
        <f>'Fuel Vol and Credit Gen'!CL7</f>
        <v>1565847.3640846945</v>
      </c>
      <c r="CM79" s="77">
        <f>'Fuel Vol and Credit Gen'!CM7</f>
        <v>1580169.7302847705</v>
      </c>
      <c r="CN79" s="77">
        <f>'Fuel Vol and Credit Gen'!CN7</f>
        <v>1596653.2685500206</v>
      </c>
      <c r="CO79" s="77">
        <f>'Fuel Vol and Credit Gen'!CO7</f>
        <v>1615023.0968649236</v>
      </c>
      <c r="CP79" s="77">
        <f>'Fuel Vol and Credit Gen'!CP7</f>
        <v>1634856.5318910175</v>
      </c>
      <c r="CQ79" s="77">
        <f>'Fuel Vol and Credit Gen'!CQ7</f>
        <v>1646900.4364862</v>
      </c>
      <c r="CR79" s="77">
        <f>'Fuel Vol and Credit Gen'!CR7</f>
        <v>1660906.8147549888</v>
      </c>
      <c r="CS79" s="77">
        <f>'Fuel Vol and Credit Gen'!CS7</f>
        <v>1675603.6779297737</v>
      </c>
      <c r="CT79" s="77">
        <f>'Fuel Vol and Credit Gen'!CT7</f>
        <v>1690489.1911497635</v>
      </c>
      <c r="CU79" s="77">
        <f>'Fuel Vol and Credit Gen'!CU7</f>
        <v>1705455.7512426008</v>
      </c>
      <c r="CV79" s="77">
        <f>'Fuel Vol and Credit Gen'!CV7</f>
        <v>1720451.5458045653</v>
      </c>
      <c r="CW79" s="77">
        <f>'Fuel Vol and Credit Gen'!CW7</f>
        <v>1735450.0650325313</v>
      </c>
      <c r="CX79" s="77">
        <f>'Fuel Vol and Credit Gen'!CX7</f>
        <v>1750423.0878360458</v>
      </c>
      <c r="CY79" s="77">
        <f>'Fuel Vol and Credit Gen'!CY7</f>
        <v>1765477.5973470919</v>
      </c>
      <c r="CZ79" s="77">
        <f>'Fuel Vol and Credit Gen'!CZ7</f>
        <v>1780350.4554713019</v>
      </c>
      <c r="DA79" s="77">
        <f>'Fuel Vol and Credit Gen'!DA7</f>
        <v>1795223.3574998297</v>
      </c>
      <c r="DB79" s="77">
        <f>'Fuel Vol and Credit Gen'!DB7</f>
        <v>1810106.3517231448</v>
      </c>
      <c r="DC79" s="77">
        <f>'Fuel Vol and Credit Gen'!DC7</f>
        <v>1824988.4255194808</v>
      </c>
      <c r="DD79" s="77">
        <f>'Fuel Vol and Credit Gen'!DD7</f>
        <v>1839870.5164898657</v>
      </c>
      <c r="DE79" s="77">
        <f>'Fuel Vol and Credit Gen'!DE7</f>
        <v>1854752.6074602506</v>
      </c>
      <c r="DF79" s="77">
        <f>'Fuel Vol and Credit Gen'!DF7</f>
        <v>1869634.6984306355</v>
      </c>
      <c r="DG79" s="77">
        <f>'Fuel Vol and Credit Gen'!DG7</f>
        <v>1884516.7894010204</v>
      </c>
      <c r="DH79" s="77">
        <f>'Fuel Vol and Credit Gen'!DH7</f>
        <v>1899399.2876133691</v>
      </c>
      <c r="DI79" s="77">
        <f>'Fuel Vol and Credit Gen'!DI7</f>
        <v>1914281.7438797958</v>
      </c>
      <c r="DJ79" s="77">
        <f>'Fuel Vol and Credit Gen'!DJ7</f>
        <v>1929164.1855477656</v>
      </c>
      <c r="DK79" s="77">
        <f>'Fuel Vol and Credit Gen'!DK7</f>
        <v>1944046.6288032681</v>
      </c>
      <c r="DL79" s="77">
        <f>'Fuel Vol and Credit Gen'!DL7</f>
        <v>1958929.0720279447</v>
      </c>
      <c r="DM79" s="77">
        <f>'Fuel Vol and Credit Gen'!DM7</f>
        <v>1973811.5152526214</v>
      </c>
      <c r="DN79" s="77">
        <f>'Fuel Vol and Credit Gen'!DN7</f>
        <v>1988693.958477298</v>
      </c>
      <c r="DO79" s="77">
        <f>'Fuel Vol and Credit Gen'!DO7</f>
        <v>2003576.4017019747</v>
      </c>
      <c r="DP79" s="77">
        <f>'Fuel Vol and Credit Gen'!DP7</f>
        <v>2018458.8449254322</v>
      </c>
      <c r="DQ79" s="77">
        <f>'Fuel Vol and Credit Gen'!DQ7</f>
        <v>2033341.288395345</v>
      </c>
      <c r="DR79" s="77">
        <f>'Fuel Vol and Credit Gen'!DR7</f>
        <v>2048223.7318642829</v>
      </c>
      <c r="DS79" s="77">
        <f>'Fuel Vol and Credit Gen'!DS7</f>
        <v>2063106.175333228</v>
      </c>
      <c r="DT79" s="77">
        <f>'Fuel Vol and Credit Gen'!DT7</f>
        <v>2077988.618802177</v>
      </c>
      <c r="DU79" s="77">
        <f>'Fuel Vol and Credit Gen'!DU7</f>
        <v>2092871.0622711135</v>
      </c>
      <c r="DV79" s="77">
        <f>'Fuel Vol and Credit Gen'!DV7</f>
        <v>2107753.5057400502</v>
      </c>
      <c r="DW79" s="77">
        <f>'Fuel Vol and Credit Gen'!DW7</f>
        <v>2122635.9492089869</v>
      </c>
      <c r="DX79" s="77">
        <f>'Fuel Vol and Credit Gen'!DX7</f>
        <v>2137518.3926779237</v>
      </c>
      <c r="DY79" s="77">
        <f>'Fuel Vol and Credit Gen'!DY7</f>
        <v>2152394.6140493667</v>
      </c>
      <c r="DZ79" s="77">
        <f>'Fuel Vol and Credit Gen'!DZ7</f>
        <v>2167280.188593681</v>
      </c>
    </row>
    <row r="80" spans="1:130" x14ac:dyDescent="0.2">
      <c r="A80" s="39" t="s">
        <v>121</v>
      </c>
      <c r="B80" s="39" t="s">
        <v>119</v>
      </c>
      <c r="C80" s="70">
        <v>4873272</v>
      </c>
      <c r="D80" s="70">
        <v>5280822</v>
      </c>
      <c r="E80" s="70">
        <v>5590548</v>
      </c>
      <c r="F80" s="70">
        <v>5575898</v>
      </c>
      <c r="G80" s="70">
        <v>5700917</v>
      </c>
      <c r="H80" s="70">
        <v>6766131</v>
      </c>
      <c r="I80" s="70">
        <v>7146246</v>
      </c>
      <c r="J80" s="70">
        <v>7770974</v>
      </c>
      <c r="K80" s="70">
        <v>9049261</v>
      </c>
      <c r="L80" s="70">
        <v>7133604</v>
      </c>
      <c r="M80" s="70">
        <v>5511333</v>
      </c>
      <c r="N80" s="70">
        <v>6737719</v>
      </c>
      <c r="O80" s="70">
        <v>6364147</v>
      </c>
      <c r="P80" s="70">
        <v>7378353</v>
      </c>
      <c r="Q80" s="70">
        <v>4195237</v>
      </c>
      <c r="R80" s="70">
        <v>2980243</v>
      </c>
      <c r="S80" s="70">
        <v>3242037</v>
      </c>
      <c r="T80" s="70">
        <v>2272593</v>
      </c>
      <c r="U80" s="70">
        <v>1516622</v>
      </c>
      <c r="V80" s="70">
        <v>496127</v>
      </c>
      <c r="W80" s="70">
        <v>826157</v>
      </c>
      <c r="X80" s="70">
        <v>701112</v>
      </c>
      <c r="Y80" s="70">
        <v>668756</v>
      </c>
      <c r="Z80" s="70">
        <v>696347</v>
      </c>
      <c r="AA80" s="70">
        <v>426898</v>
      </c>
      <c r="AB80" s="70">
        <v>75136</v>
      </c>
      <c r="AC80" s="70">
        <v>422474</v>
      </c>
      <c r="AD80" s="70">
        <v>616215</v>
      </c>
      <c r="AE80" s="70">
        <v>357360</v>
      </c>
      <c r="AF80" s="70">
        <v>373106</v>
      </c>
      <c r="AG80" s="70">
        <v>310021</v>
      </c>
      <c r="AH80" s="70">
        <v>416933</v>
      </c>
      <c r="AI80" s="70">
        <v>301992</v>
      </c>
      <c r="AJ80" s="70">
        <v>561969</v>
      </c>
      <c r="AK80" s="70">
        <v>190112</v>
      </c>
      <c r="AL80" s="70">
        <v>256572</v>
      </c>
      <c r="AM80" s="70">
        <v>28243</v>
      </c>
      <c r="AN80" s="70">
        <v>0</v>
      </c>
      <c r="AO80" s="70">
        <v>0</v>
      </c>
      <c r="AP80" s="70">
        <v>18901</v>
      </c>
      <c r="AQ80" s="70">
        <v>0</v>
      </c>
      <c r="AR80" s="70">
        <v>0</v>
      </c>
      <c r="AS80" s="70">
        <v>0</v>
      </c>
      <c r="AT80" s="70">
        <v>0</v>
      </c>
      <c r="AU80" s="70">
        <v>185544</v>
      </c>
      <c r="AV80" s="70">
        <v>126282</v>
      </c>
      <c r="AW80" s="70">
        <v>159800</v>
      </c>
      <c r="AX80" s="70">
        <f>'Fuel Vol and Credit Gen'!AX8</f>
        <v>510556</v>
      </c>
      <c r="AY80" s="70">
        <v>5</v>
      </c>
      <c r="AZ80" s="70">
        <v>9</v>
      </c>
      <c r="BA80" s="70">
        <v>10</v>
      </c>
      <c r="BB80" s="70">
        <v>14</v>
      </c>
      <c r="BC80" s="70">
        <v>6687</v>
      </c>
      <c r="BD80" s="70">
        <v>0</v>
      </c>
      <c r="BE80" s="70">
        <v>0</v>
      </c>
      <c r="BF80" s="77">
        <f>'Fuel Vol and Credit Gen'!BF8</f>
        <v>0</v>
      </c>
      <c r="BG80" s="77">
        <f>'Fuel Vol and Credit Gen'!BG8</f>
        <v>0</v>
      </c>
      <c r="BH80" s="77">
        <f>'Fuel Vol and Credit Gen'!BH8</f>
        <v>0</v>
      </c>
      <c r="BI80" s="77">
        <f>'Fuel Vol and Credit Gen'!BI8</f>
        <v>0</v>
      </c>
      <c r="BJ80" s="77">
        <f>'Fuel Vol and Credit Gen'!BJ8</f>
        <v>0</v>
      </c>
      <c r="BK80" s="77">
        <f>'Fuel Vol and Credit Gen'!BK8</f>
        <v>0</v>
      </c>
      <c r="BL80" s="77">
        <f>'Fuel Vol and Credit Gen'!BL8</f>
        <v>0</v>
      </c>
      <c r="BM80" s="77">
        <f>'Fuel Vol and Credit Gen'!BM8</f>
        <v>0</v>
      </c>
      <c r="BN80" s="77">
        <f>'Fuel Vol and Credit Gen'!BN8</f>
        <v>24808.23955645792</v>
      </c>
      <c r="BO80" s="77">
        <f>'Fuel Vol and Credit Gen'!BO8</f>
        <v>0</v>
      </c>
      <c r="BP80" s="77">
        <f>'Fuel Vol and Credit Gen'!BP8</f>
        <v>0</v>
      </c>
      <c r="BQ80" s="77">
        <f>'Fuel Vol and Credit Gen'!BQ8</f>
        <v>0</v>
      </c>
      <c r="BR80" s="77">
        <f>'Fuel Vol and Credit Gen'!BR8</f>
        <v>9914.0330588919169</v>
      </c>
      <c r="BS80" s="77">
        <f>'Fuel Vol and Credit Gen'!BS8</f>
        <v>4762.061255214925</v>
      </c>
      <c r="BT80" s="77">
        <f>'Fuel Vol and Credit Gen'!BT8</f>
        <v>0</v>
      </c>
      <c r="BU80" s="77">
        <f>'Fuel Vol and Credit Gen'!BU8</f>
        <v>0</v>
      </c>
      <c r="BV80" s="77">
        <f>'Fuel Vol and Credit Gen'!BV8</f>
        <v>0</v>
      </c>
      <c r="BW80" s="77">
        <f>'Fuel Vol and Credit Gen'!BW8</f>
        <v>85436.821455363533</v>
      </c>
      <c r="BX80" s="77">
        <f>'Fuel Vol and Credit Gen'!BX8</f>
        <v>79779.856333677017</v>
      </c>
      <c r="BY80" s="77">
        <f>'Fuel Vol and Credit Gen'!BY8</f>
        <v>49812.496302743479</v>
      </c>
      <c r="BZ80" s="77">
        <f>'Fuel Vol and Credit Gen'!BZ8</f>
        <v>379142.04019989591</v>
      </c>
      <c r="CA80" s="77">
        <f>'Fuel Vol and Credit Gen'!CA8</f>
        <v>74706.513254069825</v>
      </c>
      <c r="CB80" s="77">
        <f>'Fuel Vol and Credit Gen'!CB8</f>
        <v>74232.292282048104</v>
      </c>
      <c r="CC80" s="77">
        <f>'Fuel Vol and Credit Gen'!CC8</f>
        <v>65460.611377383175</v>
      </c>
      <c r="CD80" s="77">
        <f>'Fuel Vol and Credit Gen'!CD8</f>
        <v>65141.401545522953</v>
      </c>
      <c r="CE80" s="77">
        <f>'Fuel Vol and Credit Gen'!CE8</f>
        <v>73396.69353603675</v>
      </c>
      <c r="CF80" s="77">
        <f>'Fuel Vol and Credit Gen'!CF8</f>
        <v>73278.778697971735</v>
      </c>
      <c r="CG80" s="77">
        <f>'Fuel Vol and Credit Gen'!CG8</f>
        <v>39942.815830273437</v>
      </c>
      <c r="CH80" s="77">
        <f>'Fuel Vol and Credit Gen'!CH8</f>
        <v>57420.660331128478</v>
      </c>
      <c r="CI80" s="77">
        <f>'Fuel Vol and Credit Gen'!CI8</f>
        <v>57347.998856028797</v>
      </c>
      <c r="CJ80" s="77">
        <f>'Fuel Vol and Credit Gen'!CJ8</f>
        <v>57118.055420234552</v>
      </c>
      <c r="CK80" s="77">
        <f>'Fuel Vol and Credit Gen'!CK8</f>
        <v>59900.225987348495</v>
      </c>
      <c r="CL80" s="77">
        <f>'Fuel Vol and Credit Gen'!CL8</f>
        <v>61630.757747860211</v>
      </c>
      <c r="CM80" s="77">
        <f>'Fuel Vol and Credit Gen'!CM8</f>
        <v>62011.380882722857</v>
      </c>
      <c r="CN80" s="77">
        <f>'Fuel Vol and Credit Gen'!CN8</f>
        <v>62028.519303727953</v>
      </c>
      <c r="CO80" s="77">
        <f>'Fuel Vol and Credit Gen'!CO8</f>
        <v>92244.363020343808</v>
      </c>
      <c r="CP80" s="77">
        <f>'Fuel Vol and Credit Gen'!CP8</f>
        <v>95596.653184614086</v>
      </c>
      <c r="CQ80" s="77">
        <f>'Fuel Vol and Credit Gen'!CQ8</f>
        <v>98914.511255982667</v>
      </c>
      <c r="CR80" s="77">
        <f>'Fuel Vol and Credit Gen'!CR8</f>
        <v>102180.89187227574</v>
      </c>
      <c r="CS80" s="77">
        <f>'Fuel Vol and Credit Gen'!CS8</f>
        <v>106617.08139601137</v>
      </c>
      <c r="CT80" s="77">
        <f>'Fuel Vol and Credit Gen'!CT8</f>
        <v>109083.40065993414</v>
      </c>
      <c r="CU80" s="77">
        <f>'Fuel Vol and Credit Gen'!CU8</f>
        <v>112154.16028768627</v>
      </c>
      <c r="CV80" s="77">
        <f>'Fuel Vol and Credit Gen'!CV8</f>
        <v>115088.94853591015</v>
      </c>
      <c r="CW80" s="77">
        <f>'Fuel Vol and Credit Gen'!CW8</f>
        <v>117860.19647335974</v>
      </c>
      <c r="CX80" s="77">
        <f>'Fuel Vol and Credit Gen'!CX8</f>
        <v>120437.98140834071</v>
      </c>
      <c r="CY80" s="77">
        <f>'Fuel Vol and Credit Gen'!CY8</f>
        <v>122789.89399623015</v>
      </c>
      <c r="CZ80" s="77">
        <f>'Fuel Vol and Credit Gen'!CZ8</f>
        <v>124880.90123172099</v>
      </c>
      <c r="DA80" s="77">
        <f>'Fuel Vol and Credit Gen'!DA8</f>
        <v>126673.20545345584</v>
      </c>
      <c r="DB80" s="77">
        <f>'Fuel Vol and Credit Gen'!DB8</f>
        <v>128126.09951979574</v>
      </c>
      <c r="DC80" s="77">
        <f>'Fuel Vol and Credit Gen'!DC8</f>
        <v>132157.08999038057</v>
      </c>
      <c r="DD80" s="77">
        <f>'Fuel Vol and Credit Gen'!DD8</f>
        <v>134751.55724463516</v>
      </c>
      <c r="DE80" s="77">
        <f>'Fuel Vol and Credit Gen'!DE8</f>
        <v>137553.40718827225</v>
      </c>
      <c r="DF80" s="77">
        <f>'Fuel Vol and Credit Gen'!DF8</f>
        <v>140195.33025279036</v>
      </c>
      <c r="DG80" s="77">
        <f>'Fuel Vol and Credit Gen'!DG8</f>
        <v>142593.60970461834</v>
      </c>
      <c r="DH80" s="77">
        <f>'Fuel Vol and Credit Gen'!DH8</f>
        <v>143998.28978606034</v>
      </c>
      <c r="DI80" s="77">
        <f>'Fuel Vol and Credit Gen'!DI8</f>
        <v>146821.0240763624</v>
      </c>
      <c r="DJ80" s="77">
        <f>'Fuel Vol and Credit Gen'!DJ8</f>
        <v>148930.33051565173</v>
      </c>
      <c r="DK80" s="77">
        <f>'Fuel Vol and Credit Gen'!DK8</f>
        <v>150774.64206375967</v>
      </c>
      <c r="DL80" s="77">
        <f>'Fuel Vol and Credit Gen'!DL8</f>
        <v>152426.17527102277</v>
      </c>
      <c r="DM80" s="77">
        <f>'Fuel Vol and Credit Gen'!DM8</f>
        <v>142964.58468565092</v>
      </c>
      <c r="DN80" s="77">
        <f>'Fuel Vol and Credit Gen'!DN8</f>
        <v>144222.35000141923</v>
      </c>
      <c r="DO80" s="77">
        <f>'Fuel Vol and Credit Gen'!DO8</f>
        <v>152327.13211246397</v>
      </c>
      <c r="DP80" s="77">
        <f>'Fuel Vol and Credit Gen'!DP8</f>
        <v>152979.55370691381</v>
      </c>
      <c r="DQ80" s="77">
        <f>'Fuel Vol and Credit Gen'!DQ8</f>
        <v>155869.09201255391</v>
      </c>
      <c r="DR80" s="77">
        <f>'Fuel Vol and Credit Gen'!DR8</f>
        <v>158598.49875154873</v>
      </c>
      <c r="DS80" s="77">
        <f>'Fuel Vol and Credit Gen'!DS8</f>
        <v>159975.0868085218</v>
      </c>
      <c r="DT80" s="77">
        <f>'Fuel Vol and Credit Gen'!DT8</f>
        <v>161961.16757981025</v>
      </c>
      <c r="DU80" s="77">
        <f>'Fuel Vol and Credit Gen'!DU8</f>
        <v>163947.24778613608</v>
      </c>
      <c r="DV80" s="77">
        <f>'Fuel Vol and Credit Gen'!DV8</f>
        <v>165933.32845063091</v>
      </c>
      <c r="DW80" s="77">
        <f>'Fuel Vol and Credit Gen'!DW8</f>
        <v>167884.66443141669</v>
      </c>
      <c r="DX80" s="77">
        <f>'Fuel Vol and Credit Gen'!DX8</f>
        <v>170677.94860126733</v>
      </c>
      <c r="DY80" s="77">
        <f>'Fuel Vol and Credit Gen'!DY8</f>
        <v>173319.40927058537</v>
      </c>
      <c r="DZ80" s="77">
        <f>'Fuel Vol and Credit Gen'!DZ8</f>
        <v>175446.59165175929</v>
      </c>
    </row>
    <row r="81" spans="1:130" x14ac:dyDescent="0.2">
      <c r="A81" s="39" t="s">
        <v>122</v>
      </c>
      <c r="B81" s="39" t="s">
        <v>123</v>
      </c>
      <c r="C81" s="70">
        <v>0</v>
      </c>
      <c r="D81" s="70">
        <v>0</v>
      </c>
      <c r="E81" s="70">
        <v>0</v>
      </c>
      <c r="F81" s="70">
        <v>0</v>
      </c>
      <c r="G81" s="70">
        <v>0</v>
      </c>
      <c r="H81" s="70">
        <v>0</v>
      </c>
      <c r="I81" s="70">
        <v>0</v>
      </c>
      <c r="J81" s="70">
        <v>0</v>
      </c>
      <c r="K81" s="70">
        <v>0</v>
      </c>
      <c r="L81" s="70">
        <v>0</v>
      </c>
      <c r="M81" s="70">
        <v>0</v>
      </c>
      <c r="N81" s="70">
        <v>0</v>
      </c>
      <c r="O81" s="70">
        <v>0</v>
      </c>
      <c r="P81" s="70">
        <v>0</v>
      </c>
      <c r="Q81" s="70">
        <v>0</v>
      </c>
      <c r="R81" s="70">
        <v>0</v>
      </c>
      <c r="S81" s="70">
        <v>0</v>
      </c>
      <c r="T81" s="70">
        <v>0</v>
      </c>
      <c r="U81" s="70">
        <v>2364</v>
      </c>
      <c r="V81" s="70">
        <v>1113</v>
      </c>
      <c r="W81" s="70">
        <v>1519</v>
      </c>
      <c r="X81" s="70">
        <v>1255</v>
      </c>
      <c r="Y81" s="70">
        <v>41</v>
      </c>
      <c r="Z81" s="70">
        <v>88</v>
      </c>
      <c r="AA81" s="70">
        <v>43492</v>
      </c>
      <c r="AB81" s="70">
        <v>63903</v>
      </c>
      <c r="AC81" s="70">
        <v>76453</v>
      </c>
      <c r="AD81" s="70">
        <v>84347</v>
      </c>
      <c r="AE81" s="70">
        <v>113659</v>
      </c>
      <c r="AF81" s="70">
        <v>133239</v>
      </c>
      <c r="AG81" s="70">
        <v>142747</v>
      </c>
      <c r="AH81" s="70">
        <v>169048</v>
      </c>
      <c r="AI81" s="70">
        <v>238089</v>
      </c>
      <c r="AJ81" s="70">
        <v>277324</v>
      </c>
      <c r="AK81" s="70">
        <v>328143</v>
      </c>
      <c r="AL81" s="70">
        <v>353700</v>
      </c>
      <c r="AM81" s="70">
        <v>329375</v>
      </c>
      <c r="AN81" s="70">
        <v>244951</v>
      </c>
      <c r="AO81" s="70">
        <v>355412</v>
      </c>
      <c r="AP81" s="70">
        <v>399905</v>
      </c>
      <c r="AQ81" s="70">
        <v>363821</v>
      </c>
      <c r="AR81" s="70">
        <v>496037</v>
      </c>
      <c r="AS81" s="70">
        <v>505765</v>
      </c>
      <c r="AT81" s="70">
        <v>565849</v>
      </c>
      <c r="AU81" s="70">
        <v>599197</v>
      </c>
      <c r="AV81" s="70">
        <v>754006</v>
      </c>
      <c r="AW81" s="70">
        <v>778162</v>
      </c>
      <c r="AX81" s="70">
        <f>'Fuel Vol and Credit Gen'!AX9</f>
        <v>787611</v>
      </c>
      <c r="AY81" s="70">
        <v>711810</v>
      </c>
      <c r="AZ81" s="70">
        <v>768618</v>
      </c>
      <c r="BA81" s="70">
        <v>742122</v>
      </c>
      <c r="BB81" s="70">
        <v>691559</v>
      </c>
      <c r="BC81" s="70">
        <v>673609</v>
      </c>
      <c r="BD81" s="70">
        <v>677824</v>
      </c>
      <c r="BE81" s="70">
        <v>615517</v>
      </c>
      <c r="BF81" s="77">
        <f>'Fuel Vol and Credit Gen'!BF9</f>
        <v>646118.71916864987</v>
      </c>
      <c r="BG81" s="77">
        <f>'Fuel Vol and Credit Gen'!BG9</f>
        <v>752855.24574884982</v>
      </c>
      <c r="BH81" s="77">
        <f>'Fuel Vol and Credit Gen'!BH9</f>
        <v>734366.64930839743</v>
      </c>
      <c r="BI81" s="77">
        <f>'Fuel Vol and Credit Gen'!BI9</f>
        <v>778068.87663943775</v>
      </c>
      <c r="BJ81" s="77">
        <f>'Fuel Vol and Credit Gen'!BJ9</f>
        <v>808042.11999691639</v>
      </c>
      <c r="BK81" s="77">
        <f>'Fuel Vol and Credit Gen'!BK9</f>
        <v>871288.04317644937</v>
      </c>
      <c r="BL81" s="77">
        <f>'Fuel Vol and Credit Gen'!BL9</f>
        <v>914699.3262696201</v>
      </c>
      <c r="BM81" s="77">
        <f>'Fuel Vol and Credit Gen'!BM9</f>
        <v>939309.74541777745</v>
      </c>
      <c r="BN81" s="77">
        <f>'Fuel Vol and Credit Gen'!BN9</f>
        <v>962239.96364426392</v>
      </c>
      <c r="BO81" s="77">
        <f>'Fuel Vol and Credit Gen'!BO9</f>
        <v>985610.49891533679</v>
      </c>
      <c r="BP81" s="77">
        <f>'Fuel Vol and Credit Gen'!BP9</f>
        <v>1006182.9031927811</v>
      </c>
      <c r="BQ81" s="77">
        <f>'Fuel Vol and Credit Gen'!BQ9</f>
        <v>1029215.2631852991</v>
      </c>
      <c r="BR81" s="77">
        <f>'Fuel Vol and Credit Gen'!BR9</f>
        <v>1052370.7609076311</v>
      </c>
      <c r="BS81" s="77">
        <f>'Fuel Vol and Credit Gen'!BS9</f>
        <v>1075388.2902464697</v>
      </c>
      <c r="BT81" s="77">
        <f>'Fuel Vol and Credit Gen'!BT9</f>
        <v>1098281.1551876874</v>
      </c>
      <c r="BU81" s="77">
        <f>'Fuel Vol and Credit Gen'!BU9</f>
        <v>1120991.0281145675</v>
      </c>
      <c r="BV81" s="77">
        <f>'Fuel Vol and Credit Gen'!BV9</f>
        <v>1143585.3908133665</v>
      </c>
      <c r="BW81" s="77">
        <f>'Fuel Vol and Credit Gen'!BW9</f>
        <v>1166007.2369057632</v>
      </c>
      <c r="BX81" s="77">
        <f>'Fuel Vol and Credit Gen'!BX9</f>
        <v>1188182.0298241344</v>
      </c>
      <c r="BY81" s="77">
        <f>'Fuel Vol and Credit Gen'!BY9</f>
        <v>1210066.4668912161</v>
      </c>
      <c r="BZ81" s="77">
        <f>'Fuel Vol and Credit Gen'!BZ9</f>
        <v>1231857.8274185471</v>
      </c>
      <c r="CA81" s="77">
        <f>'Fuel Vol and Credit Gen'!CA9</f>
        <v>1253577.8652593284</v>
      </c>
      <c r="CB81" s="77">
        <f>'Fuel Vol and Credit Gen'!CB9</f>
        <v>1275352.6148335051</v>
      </c>
      <c r="CC81" s="77">
        <f>'Fuel Vol and Credit Gen'!CC9</f>
        <v>1297240.0834574739</v>
      </c>
      <c r="CD81" s="77">
        <f>'Fuel Vol and Credit Gen'!CD9</f>
        <v>1319132.7568829935</v>
      </c>
      <c r="CE81" s="77">
        <f>'Fuel Vol and Credit Gen'!CE9</f>
        <v>1340408.9229373895</v>
      </c>
      <c r="CF81" s="77">
        <f>'Fuel Vol and Credit Gen'!CF9</f>
        <v>1361507.9983468794</v>
      </c>
      <c r="CG81" s="77">
        <f>'Fuel Vol and Credit Gen'!CG9</f>
        <v>1382556.7154793537</v>
      </c>
      <c r="CH81" s="77">
        <f>'Fuel Vol and Credit Gen'!CH9</f>
        <v>1403115.1378569391</v>
      </c>
      <c r="CI81" s="77">
        <f>'Fuel Vol and Credit Gen'!CI9</f>
        <v>1423756.1831696418</v>
      </c>
      <c r="CJ81" s="77">
        <f>'Fuel Vol and Credit Gen'!CJ9</f>
        <v>1444320.056102538</v>
      </c>
      <c r="CK81" s="77">
        <f>'Fuel Vol and Credit Gen'!CK9</f>
        <v>1464985.8279166676</v>
      </c>
      <c r="CL81" s="77">
        <f>'Fuel Vol and Credit Gen'!CL9</f>
        <v>1485421.8681250275</v>
      </c>
      <c r="CM81" s="77">
        <f>'Fuel Vol and Credit Gen'!CM9</f>
        <v>1505963.956457522</v>
      </c>
      <c r="CN81" s="77">
        <f>'Fuel Vol and Credit Gen'!CN9</f>
        <v>1526506.0505988896</v>
      </c>
      <c r="CO81" s="77">
        <f>'Fuel Vol and Credit Gen'!CO9</f>
        <v>1549301.0452971936</v>
      </c>
      <c r="CP81" s="77">
        <f>'Fuel Vol and Credit Gen'!CP9</f>
        <v>1570694.1097831472</v>
      </c>
      <c r="CQ81" s="77">
        <f>'Fuel Vol and Credit Gen'!CQ9</f>
        <v>1592164.4405869409</v>
      </c>
      <c r="CR81" s="77">
        <f>'Fuel Vol and Credit Gen'!CR9</f>
        <v>1613740.3047049469</v>
      </c>
      <c r="CS81" s="77">
        <f>'Fuel Vol and Credit Gen'!CS9</f>
        <v>1635358.0552676343</v>
      </c>
      <c r="CT81" s="77">
        <f>'Fuel Vol and Credit Gen'!CT9</f>
        <v>1656994.1562357156</v>
      </c>
      <c r="CU81" s="77">
        <f>'Fuel Vol and Credit Gen'!CU9</f>
        <v>1678372.7245503478</v>
      </c>
      <c r="CV81" s="77">
        <f>'Fuel Vol and Credit Gen'!CV9</f>
        <v>1699865.5439773488</v>
      </c>
      <c r="CW81" s="77">
        <f>'Fuel Vol and Credit Gen'!CW9</f>
        <v>1721439.5738053038</v>
      </c>
      <c r="CX81" s="77">
        <f>'Fuel Vol and Credit Gen'!CX9</f>
        <v>1742972.7173404405</v>
      </c>
      <c r="CY81" s="77">
        <f>'Fuel Vol and Credit Gen'!CY9</f>
        <v>1764557.8389487588</v>
      </c>
      <c r="CZ81" s="77">
        <f>'Fuel Vol and Credit Gen'!CZ9</f>
        <v>1786128.5675522883</v>
      </c>
      <c r="DA81" s="77">
        <f>'Fuel Vol and Credit Gen'!DA9</f>
        <v>1807639.2968763683</v>
      </c>
      <c r="DB81" s="77">
        <f>'Fuel Vol and Credit Gen'!DB9</f>
        <v>1829177.3286400507</v>
      </c>
      <c r="DC81" s="77">
        <f>'Fuel Vol and Credit Gen'!DC9</f>
        <v>1850715.2519381291</v>
      </c>
      <c r="DD81" s="77">
        <f>'Fuel Vol and Credit Gen'!DD9</f>
        <v>1872247.7430929516</v>
      </c>
      <c r="DE81" s="77">
        <f>'Fuel Vol and Credit Gen'!DE9</f>
        <v>1893782.9666158312</v>
      </c>
      <c r="DF81" s="77">
        <f>'Fuel Vol and Credit Gen'!DF9</f>
        <v>1915318.1792744244</v>
      </c>
      <c r="DG81" s="77">
        <f>'Fuel Vol and Credit Gen'!DG9</f>
        <v>1936853.3919330174</v>
      </c>
      <c r="DH81" s="77">
        <f>'Fuel Vol and Credit Gen'!DH9</f>
        <v>1958388.5812985108</v>
      </c>
      <c r="DI81" s="77">
        <f>'Fuel Vol and Credit Gen'!DI9</f>
        <v>1979923.7708542771</v>
      </c>
      <c r="DJ81" s="77">
        <f>'Fuel Vol and Credit Gen'!DJ9</f>
        <v>2001458.9661611132</v>
      </c>
      <c r="DK81" s="77">
        <f>'Fuel Vol and Credit Gen'!DK9</f>
        <v>2022994.1614448968</v>
      </c>
      <c r="DL81" s="77">
        <f>'Fuel Vol and Credit Gen'!DL9</f>
        <v>2044529.3567286802</v>
      </c>
      <c r="DM81" s="77">
        <f>'Fuel Vol and Credit Gen'!DM9</f>
        <v>2066064.5520124633</v>
      </c>
      <c r="DN81" s="77">
        <f>'Fuel Vol and Credit Gen'!DN9</f>
        <v>2087599.7472962462</v>
      </c>
      <c r="DO81" s="77">
        <f>'Fuel Vol and Credit Gen'!DO9</f>
        <v>2109134.9425800289</v>
      </c>
      <c r="DP81" s="77">
        <f>'Fuel Vol and Credit Gen'!DP9</f>
        <v>2130670.1378638116</v>
      </c>
      <c r="DQ81" s="77">
        <f>'Fuel Vol and Credit Gen'!DQ9</f>
        <v>2152205.3331475942</v>
      </c>
      <c r="DR81" s="77">
        <f>'Fuel Vol and Credit Gen'!DR9</f>
        <v>2173740.5284313769</v>
      </c>
      <c r="DS81" s="77">
        <f>'Fuel Vol and Credit Gen'!DS9</f>
        <v>2195275.7237151596</v>
      </c>
      <c r="DT81" s="77">
        <f>'Fuel Vol and Credit Gen'!DT9</f>
        <v>2216810.9189989422</v>
      </c>
      <c r="DU81" s="77">
        <f>'Fuel Vol and Credit Gen'!DU9</f>
        <v>2238346.1142827249</v>
      </c>
      <c r="DV81" s="77">
        <f>'Fuel Vol and Credit Gen'!DV9</f>
        <v>2259881.3095665076</v>
      </c>
      <c r="DW81" s="77">
        <f>'Fuel Vol and Credit Gen'!DW9</f>
        <v>2281416.5048502903</v>
      </c>
      <c r="DX81" s="77">
        <f>'Fuel Vol and Credit Gen'!DX9</f>
        <v>2302951.7001340734</v>
      </c>
      <c r="DY81" s="77">
        <f>'Fuel Vol and Credit Gen'!DY9</f>
        <v>2324486.8914757534</v>
      </c>
      <c r="DZ81" s="77">
        <f>'Fuel Vol and Credit Gen'!DZ9</f>
        <v>2346017.6908141193</v>
      </c>
    </row>
    <row r="82" spans="1:130" x14ac:dyDescent="0.2">
      <c r="A82" s="39" t="s">
        <v>75</v>
      </c>
      <c r="B82" s="39" t="s">
        <v>125</v>
      </c>
      <c r="C82" s="70">
        <v>355943296</v>
      </c>
      <c r="D82" s="70">
        <v>387851229</v>
      </c>
      <c r="E82" s="70">
        <v>388872431</v>
      </c>
      <c r="F82" s="70">
        <v>357487052</v>
      </c>
      <c r="G82" s="70">
        <v>370292343</v>
      </c>
      <c r="H82" s="70">
        <v>374917388</v>
      </c>
      <c r="I82" s="70">
        <v>366019124</v>
      </c>
      <c r="J82" s="70">
        <v>363269339</v>
      </c>
      <c r="K82" s="70">
        <v>368807852</v>
      </c>
      <c r="L82" s="70">
        <v>358046201</v>
      </c>
      <c r="M82" s="70">
        <v>389863889</v>
      </c>
      <c r="N82" s="70">
        <v>362161026</v>
      </c>
      <c r="O82" s="70">
        <v>350786119</v>
      </c>
      <c r="P82" s="70">
        <v>364681336</v>
      </c>
      <c r="Q82" s="70">
        <v>392531450</v>
      </c>
      <c r="R82" s="70">
        <v>376855202</v>
      </c>
      <c r="S82" s="70">
        <v>372469285</v>
      </c>
      <c r="T82" s="70">
        <v>390499794</v>
      </c>
      <c r="U82" s="70">
        <v>383972772</v>
      </c>
      <c r="V82" s="70">
        <v>352283939</v>
      </c>
      <c r="W82" s="70">
        <v>414527490</v>
      </c>
      <c r="X82" s="70">
        <v>397227736</v>
      </c>
      <c r="Y82" s="70">
        <v>404071329</v>
      </c>
      <c r="Z82" s="70">
        <v>381748251</v>
      </c>
      <c r="AA82" s="70">
        <v>376822538</v>
      </c>
      <c r="AB82" s="70">
        <v>401825385</v>
      </c>
      <c r="AC82" s="70">
        <v>418522596</v>
      </c>
      <c r="AD82" s="70">
        <v>377787880</v>
      </c>
      <c r="AE82" s="70">
        <v>380940912</v>
      </c>
      <c r="AF82" s="70">
        <v>386000352</v>
      </c>
      <c r="AG82" s="70">
        <v>433159405</v>
      </c>
      <c r="AH82" s="70">
        <v>400757236</v>
      </c>
      <c r="AI82" s="70">
        <v>355104114</v>
      </c>
      <c r="AJ82" s="70">
        <v>416323940</v>
      </c>
      <c r="AK82" s="70">
        <v>392894297</v>
      </c>
      <c r="AL82" s="70">
        <v>393077295</v>
      </c>
      <c r="AM82" s="70">
        <v>375148591</v>
      </c>
      <c r="AN82" s="70">
        <v>228754963</v>
      </c>
      <c r="AO82" s="70">
        <v>365721128</v>
      </c>
      <c r="AP82" s="70">
        <v>329435151</v>
      </c>
      <c r="AQ82" s="70">
        <v>285646782</v>
      </c>
      <c r="AR82" s="70">
        <v>402071258</v>
      </c>
      <c r="AS82" s="70">
        <v>379076451</v>
      </c>
      <c r="AT82" s="70">
        <v>354054243</v>
      </c>
      <c r="AU82" s="70">
        <v>350873873</v>
      </c>
      <c r="AV82" s="70">
        <v>366496561</v>
      </c>
      <c r="AW82" s="70">
        <v>383815147</v>
      </c>
      <c r="AX82" s="70">
        <f>'Fuel Vol and Credit Gen'!AX11</f>
        <v>355730406</v>
      </c>
      <c r="AY82" s="70">
        <v>347939242</v>
      </c>
      <c r="AZ82" s="70">
        <v>296481588</v>
      </c>
      <c r="BA82" s="70">
        <v>382422796</v>
      </c>
      <c r="BB82" s="70">
        <v>354633081</v>
      </c>
      <c r="BC82" s="70">
        <v>344225384</v>
      </c>
      <c r="BD82" s="70">
        <v>365945518</v>
      </c>
      <c r="BE82" s="70">
        <v>368259292</v>
      </c>
      <c r="BF82" s="77">
        <f>'Fuel Vol and Credit Gen'!BF11</f>
        <v>355730406</v>
      </c>
      <c r="BG82" s="77">
        <f>'Fuel Vol and Credit Gen'!BG11</f>
        <v>350873873</v>
      </c>
      <c r="BH82" s="77">
        <f>'Fuel Vol and Credit Gen'!BH11</f>
        <v>366259568</v>
      </c>
      <c r="BI82" s="77">
        <f>'Fuel Vol and Credit Gen'!BI11</f>
        <v>383805193</v>
      </c>
      <c r="BJ82" s="77">
        <f>'Fuel Vol and Credit Gen'!BJ11</f>
        <v>355730406</v>
      </c>
      <c r="BK82" s="77">
        <f>'Fuel Vol and Credit Gen'!BK11</f>
        <v>350873873</v>
      </c>
      <c r="BL82" s="77">
        <f>'Fuel Vol and Credit Gen'!BL11</f>
        <v>366259568</v>
      </c>
      <c r="BM82" s="77">
        <f>'Fuel Vol and Credit Gen'!BM11</f>
        <v>383805193</v>
      </c>
      <c r="BN82" s="77">
        <f>'Fuel Vol and Credit Gen'!BN11</f>
        <v>355730406</v>
      </c>
      <c r="BO82" s="77">
        <f>'Fuel Vol and Credit Gen'!BO11</f>
        <v>350873873</v>
      </c>
      <c r="BP82" s="77">
        <f>'Fuel Vol and Credit Gen'!BP11</f>
        <v>366259568</v>
      </c>
      <c r="BQ82" s="77">
        <f>'Fuel Vol and Credit Gen'!BQ11</f>
        <v>383805193</v>
      </c>
      <c r="BR82" s="77">
        <f>'Fuel Vol and Credit Gen'!BR11</f>
        <v>355730406</v>
      </c>
      <c r="BS82" s="77">
        <f>'Fuel Vol and Credit Gen'!BS11</f>
        <v>350873873</v>
      </c>
      <c r="BT82" s="77">
        <f>'Fuel Vol and Credit Gen'!BT11</f>
        <v>366259568</v>
      </c>
      <c r="BU82" s="77">
        <f>'Fuel Vol and Credit Gen'!BU11</f>
        <v>383805193</v>
      </c>
      <c r="BV82" s="77">
        <f>'Fuel Vol and Credit Gen'!BV11</f>
        <v>355730406</v>
      </c>
      <c r="BW82" s="77">
        <f>'Fuel Vol and Credit Gen'!BW11</f>
        <v>350873873</v>
      </c>
      <c r="BX82" s="77">
        <f>'Fuel Vol and Credit Gen'!BX11</f>
        <v>366259568</v>
      </c>
      <c r="BY82" s="77">
        <f>'Fuel Vol and Credit Gen'!BY11</f>
        <v>383805193</v>
      </c>
      <c r="BZ82" s="77">
        <f>'Fuel Vol and Credit Gen'!BZ11</f>
        <v>355730406</v>
      </c>
      <c r="CA82" s="77">
        <f>'Fuel Vol and Credit Gen'!CA11</f>
        <v>350873873</v>
      </c>
      <c r="CB82" s="77">
        <f>'Fuel Vol and Credit Gen'!CB11</f>
        <v>366259568</v>
      </c>
      <c r="CC82" s="77">
        <f>'Fuel Vol and Credit Gen'!CC11</f>
        <v>383805193</v>
      </c>
      <c r="CD82" s="77">
        <f>'Fuel Vol and Credit Gen'!CD11</f>
        <v>355730406</v>
      </c>
      <c r="CE82" s="77">
        <f>'Fuel Vol and Credit Gen'!CE11</f>
        <v>350873873</v>
      </c>
      <c r="CF82" s="77">
        <f>'Fuel Vol and Credit Gen'!CF11</f>
        <v>366259568</v>
      </c>
      <c r="CG82" s="77">
        <f>'Fuel Vol and Credit Gen'!CG11</f>
        <v>383805193</v>
      </c>
      <c r="CH82" s="77">
        <f>'Fuel Vol and Credit Gen'!CH11</f>
        <v>355730406</v>
      </c>
      <c r="CI82" s="77">
        <f>'Fuel Vol and Credit Gen'!CI11</f>
        <v>350873873</v>
      </c>
      <c r="CJ82" s="77">
        <f>'Fuel Vol and Credit Gen'!CJ11</f>
        <v>366259568</v>
      </c>
      <c r="CK82" s="77">
        <f>'Fuel Vol and Credit Gen'!CK11</f>
        <v>383805193</v>
      </c>
      <c r="CL82" s="77">
        <f>'Fuel Vol and Credit Gen'!CL11</f>
        <v>355730406</v>
      </c>
      <c r="CM82" s="77">
        <f>'Fuel Vol and Credit Gen'!CM11</f>
        <v>350873873</v>
      </c>
      <c r="CN82" s="77">
        <f>'Fuel Vol and Credit Gen'!CN11</f>
        <v>366259568</v>
      </c>
      <c r="CO82" s="77">
        <f>'Fuel Vol and Credit Gen'!CO11</f>
        <v>383805193</v>
      </c>
      <c r="CP82" s="77">
        <f>'Fuel Vol and Credit Gen'!CP11</f>
        <v>355730406</v>
      </c>
      <c r="CQ82" s="77">
        <f>'Fuel Vol and Credit Gen'!CQ11</f>
        <v>350873873</v>
      </c>
      <c r="CR82" s="77">
        <f>'Fuel Vol and Credit Gen'!CR11</f>
        <v>366259568</v>
      </c>
      <c r="CS82" s="77">
        <f>'Fuel Vol and Credit Gen'!CS11</f>
        <v>383805193</v>
      </c>
      <c r="CT82" s="77">
        <f>'Fuel Vol and Credit Gen'!CT11</f>
        <v>355730406</v>
      </c>
      <c r="CU82" s="77">
        <f>'Fuel Vol and Credit Gen'!CU11</f>
        <v>350873873</v>
      </c>
      <c r="CV82" s="77">
        <f>'Fuel Vol and Credit Gen'!CV11</f>
        <v>366259568</v>
      </c>
      <c r="CW82" s="77">
        <f>'Fuel Vol and Credit Gen'!CW11</f>
        <v>383805193</v>
      </c>
      <c r="CX82" s="77">
        <f>'Fuel Vol and Credit Gen'!CX11</f>
        <v>355730406</v>
      </c>
      <c r="CY82" s="77">
        <f>'Fuel Vol and Credit Gen'!CY11</f>
        <v>350873873</v>
      </c>
      <c r="CZ82" s="77">
        <f>'Fuel Vol and Credit Gen'!CZ11</f>
        <v>366259568</v>
      </c>
      <c r="DA82" s="77">
        <f>'Fuel Vol and Credit Gen'!DA11</f>
        <v>383805193</v>
      </c>
      <c r="DB82" s="77">
        <f>'Fuel Vol and Credit Gen'!DB11</f>
        <v>355730406</v>
      </c>
      <c r="DC82" s="77">
        <f>'Fuel Vol and Credit Gen'!DC11</f>
        <v>350873873</v>
      </c>
      <c r="DD82" s="77">
        <f>'Fuel Vol and Credit Gen'!DD11</f>
        <v>366259568</v>
      </c>
      <c r="DE82" s="77">
        <f>'Fuel Vol and Credit Gen'!DE11</f>
        <v>383805193</v>
      </c>
      <c r="DF82" s="77">
        <f>'Fuel Vol and Credit Gen'!DF11</f>
        <v>355730406</v>
      </c>
      <c r="DG82" s="77">
        <f>'Fuel Vol and Credit Gen'!DG11</f>
        <v>350873873</v>
      </c>
      <c r="DH82" s="77">
        <f>'Fuel Vol and Credit Gen'!DH11</f>
        <v>366259568</v>
      </c>
      <c r="DI82" s="77">
        <f>'Fuel Vol and Credit Gen'!DI11</f>
        <v>383805193</v>
      </c>
      <c r="DJ82" s="77">
        <f>'Fuel Vol and Credit Gen'!DJ11</f>
        <v>355730406</v>
      </c>
      <c r="DK82" s="77">
        <f>'Fuel Vol and Credit Gen'!DK11</f>
        <v>350873873</v>
      </c>
      <c r="DL82" s="77">
        <f>'Fuel Vol and Credit Gen'!DL11</f>
        <v>366259568</v>
      </c>
      <c r="DM82" s="77">
        <f>'Fuel Vol and Credit Gen'!DM11</f>
        <v>383805193</v>
      </c>
      <c r="DN82" s="77">
        <f>'Fuel Vol and Credit Gen'!DN11</f>
        <v>355730406</v>
      </c>
      <c r="DO82" s="77">
        <f>'Fuel Vol and Credit Gen'!DO11</f>
        <v>350873873</v>
      </c>
      <c r="DP82" s="77">
        <f>'Fuel Vol and Credit Gen'!DP11</f>
        <v>366259568</v>
      </c>
      <c r="DQ82" s="77">
        <f>'Fuel Vol and Credit Gen'!DQ11</f>
        <v>383805193</v>
      </c>
      <c r="DR82" s="77">
        <f>'Fuel Vol and Credit Gen'!DR11</f>
        <v>355730406</v>
      </c>
      <c r="DS82" s="77">
        <f>'Fuel Vol and Credit Gen'!DS11</f>
        <v>350873873</v>
      </c>
      <c r="DT82" s="77">
        <f>'Fuel Vol and Credit Gen'!DT11</f>
        <v>366259568</v>
      </c>
      <c r="DU82" s="77">
        <f>'Fuel Vol and Credit Gen'!DU11</f>
        <v>383805193</v>
      </c>
      <c r="DV82" s="77">
        <f>'Fuel Vol and Credit Gen'!DV11</f>
        <v>355730406</v>
      </c>
      <c r="DW82" s="77">
        <f>'Fuel Vol and Credit Gen'!DW11</f>
        <v>350873873</v>
      </c>
      <c r="DX82" s="77">
        <f>'Fuel Vol and Credit Gen'!DX11</f>
        <v>366259568</v>
      </c>
      <c r="DY82" s="77">
        <f>'Fuel Vol and Credit Gen'!DY11</f>
        <v>383805193</v>
      </c>
      <c r="DZ82" s="77">
        <f>'Fuel Vol and Credit Gen'!DZ11</f>
        <v>383805193</v>
      </c>
    </row>
    <row r="83" spans="1:130" x14ac:dyDescent="0.2">
      <c r="A83" s="39" t="s">
        <v>76</v>
      </c>
      <c r="B83" s="39" t="s">
        <v>125</v>
      </c>
      <c r="C83" s="70">
        <v>1954349</v>
      </c>
      <c r="D83" s="70">
        <v>2623187</v>
      </c>
      <c r="E83" s="70">
        <v>3477614</v>
      </c>
      <c r="F83" s="70">
        <v>4482442</v>
      </c>
      <c r="G83" s="70">
        <v>5006202</v>
      </c>
      <c r="H83" s="70">
        <v>6502404</v>
      </c>
      <c r="I83" s="70">
        <v>4240695</v>
      </c>
      <c r="J83" s="70">
        <v>4226644</v>
      </c>
      <c r="K83" s="70">
        <v>5481532</v>
      </c>
      <c r="L83" s="70">
        <v>13975203</v>
      </c>
      <c r="M83" s="70">
        <v>13936349</v>
      </c>
      <c r="N83" s="70">
        <v>26508045</v>
      </c>
      <c r="O83" s="70">
        <v>16037416</v>
      </c>
      <c r="P83" s="70">
        <v>16122376</v>
      </c>
      <c r="Q83" s="70">
        <v>13880356</v>
      </c>
      <c r="R83" s="70">
        <v>20757948</v>
      </c>
      <c r="S83" s="70">
        <v>19632811</v>
      </c>
      <c r="T83" s="70">
        <v>28502517</v>
      </c>
      <c r="U83" s="70">
        <v>42889152</v>
      </c>
      <c r="V83" s="70">
        <v>35425955</v>
      </c>
      <c r="W83" s="70">
        <v>28882258</v>
      </c>
      <c r="X83" s="70">
        <v>35790526</v>
      </c>
      <c r="Y83" s="70">
        <v>45225506</v>
      </c>
      <c r="Z83" s="70">
        <v>53450453</v>
      </c>
      <c r="AA83" s="70">
        <v>38177310</v>
      </c>
      <c r="AB83" s="70">
        <v>37575247</v>
      </c>
      <c r="AC83" s="70">
        <v>50257498</v>
      </c>
      <c r="AD83" s="70">
        <v>43756532</v>
      </c>
      <c r="AE83" s="70">
        <v>36595945</v>
      </c>
      <c r="AF83" s="70">
        <v>40693700</v>
      </c>
      <c r="AG83" s="70">
        <v>49904077</v>
      </c>
      <c r="AH83" s="70">
        <v>57231365</v>
      </c>
      <c r="AI83" s="70">
        <v>41827876</v>
      </c>
      <c r="AJ83" s="70">
        <v>57413156</v>
      </c>
      <c r="AK83" s="70">
        <v>56880071</v>
      </c>
      <c r="AL83" s="70">
        <v>55445419</v>
      </c>
      <c r="AM83" s="70">
        <v>56349932</v>
      </c>
      <c r="AN83" s="70">
        <v>59271313</v>
      </c>
      <c r="AO83" s="70">
        <v>69710273</v>
      </c>
      <c r="AP83" s="70">
        <v>81113099</v>
      </c>
      <c r="AQ83" s="70">
        <v>61422026</v>
      </c>
      <c r="AR83" s="70">
        <v>78153595</v>
      </c>
      <c r="AS83" s="70">
        <v>77619602</v>
      </c>
      <c r="AT83" s="70">
        <v>72876457</v>
      </c>
      <c r="AU83" s="70">
        <v>69673142</v>
      </c>
      <c r="AV83" s="70">
        <v>68309582</v>
      </c>
      <c r="AW83" s="70">
        <v>72306900</v>
      </c>
      <c r="AX83" s="70">
        <f>'Fuel Vol and Credit Gen'!AX12</f>
        <v>70892771</v>
      </c>
      <c r="AY83" s="70">
        <v>68541019</v>
      </c>
      <c r="AZ83" s="70">
        <v>60275869</v>
      </c>
      <c r="BA83" s="70">
        <v>67129512</v>
      </c>
      <c r="BB83" s="70">
        <v>72940256</v>
      </c>
      <c r="BC83" s="70">
        <v>64404789</v>
      </c>
      <c r="BD83" s="70">
        <v>55754578</v>
      </c>
      <c r="BE83" s="70">
        <v>58423071</v>
      </c>
      <c r="BF83" s="77">
        <f>'Fuel Vol and Credit Gen'!BF12</f>
        <v>54434656.190726638</v>
      </c>
      <c r="BG83" s="77">
        <f>'Fuel Vol and Credit Gen'!BG12</f>
        <v>78891431.171170473</v>
      </c>
      <c r="BH83" s="77">
        <f>'Fuel Vol and Credit Gen'!BH12</f>
        <v>48998068.276747525</v>
      </c>
      <c r="BI83" s="77">
        <f>'Fuel Vol and Credit Gen'!BI12</f>
        <v>52553264.619507283</v>
      </c>
      <c r="BJ83" s="77">
        <f>'Fuel Vol and Credit Gen'!BJ12</f>
        <v>57058039.938386612</v>
      </c>
      <c r="BK83" s="77">
        <f>'Fuel Vol and Credit Gen'!BK12</f>
        <v>61120943.765449136</v>
      </c>
      <c r="BL83" s="77">
        <f>'Fuel Vol and Credit Gen'!BL12</f>
        <v>51963504.182742245</v>
      </c>
      <c r="BM83" s="77">
        <f>'Fuel Vol and Credit Gen'!BM12</f>
        <v>57303008.875407279</v>
      </c>
      <c r="BN83" s="77">
        <f>'Fuel Vol and Credit Gen'!BN12</f>
        <v>68800425.817226037</v>
      </c>
      <c r="BO83" s="77">
        <f>'Fuel Vol and Credit Gen'!BO12</f>
        <v>65205969.378807083</v>
      </c>
      <c r="BP83" s="77">
        <f>'Fuel Vol and Credit Gen'!BP12</f>
        <v>49932351.879483439</v>
      </c>
      <c r="BQ83" s="77">
        <f>'Fuel Vol and Credit Gen'!BQ12</f>
        <v>55531148.196585611</v>
      </c>
      <c r="BR83" s="77">
        <f>'Fuel Vol and Credit Gen'!BR12</f>
        <v>71347684.719060674</v>
      </c>
      <c r="BS83" s="77">
        <f>'Fuel Vol and Credit Gen'!BS12</f>
        <v>69218674.756625339</v>
      </c>
      <c r="BT83" s="77">
        <f>'Fuel Vol and Credit Gen'!BT12</f>
        <v>26680625.134341978</v>
      </c>
      <c r="BU83" s="77">
        <f>'Fuel Vol and Credit Gen'!BU12</f>
        <v>32050652.939088725</v>
      </c>
      <c r="BV83" s="77">
        <f>'Fuel Vol and Credit Gen'!BV12</f>
        <v>79235565.132404864</v>
      </c>
      <c r="BW83" s="77">
        <f>'Fuel Vol and Credit Gen'!BW12</f>
        <v>64986054.491051331</v>
      </c>
      <c r="BX83" s="77">
        <f>'Fuel Vol and Credit Gen'!BX12</f>
        <v>40727703.088250123</v>
      </c>
      <c r="BY83" s="77">
        <f>'Fuel Vol and Credit Gen'!BY12</f>
        <v>45884708.550418407</v>
      </c>
      <c r="BZ83" s="77">
        <f>'Fuel Vol and Credit Gen'!BZ12</f>
        <v>70688919.647427604</v>
      </c>
      <c r="CA83" s="77">
        <f>'Fuel Vol and Credit Gen'!CA12</f>
        <v>63933861.510896251</v>
      </c>
      <c r="CB83" s="77">
        <f>'Fuel Vol and Credit Gen'!CB12</f>
        <v>43098928.978547812</v>
      </c>
      <c r="CC83" s="77">
        <f>'Fuel Vol and Credit Gen'!CC12</f>
        <v>48413286.711739562</v>
      </c>
      <c r="CD83" s="77">
        <f>'Fuel Vol and Credit Gen'!CD12</f>
        <v>83351574.160884947</v>
      </c>
      <c r="CE83" s="77">
        <f>'Fuel Vol and Credit Gen'!CE12</f>
        <v>61613426.512063392</v>
      </c>
      <c r="CF83" s="77">
        <f>'Fuel Vol and Credit Gen'!CF12</f>
        <v>46802554.485772371</v>
      </c>
      <c r="CG83" s="77">
        <f>'Fuel Vol and Credit Gen'!CG12</f>
        <v>48184918.358182698</v>
      </c>
      <c r="CH83" s="77">
        <f>'Fuel Vol and Credit Gen'!CH12</f>
        <v>78418645.009344265</v>
      </c>
      <c r="CI83" s="77">
        <f>'Fuel Vol and Credit Gen'!CI12</f>
        <v>62515030.887064777</v>
      </c>
      <c r="CJ83" s="77">
        <f>'Fuel Vol and Credit Gen'!CJ12</f>
        <v>48433051.585389882</v>
      </c>
      <c r="CK83" s="77">
        <f>'Fuel Vol and Credit Gen'!CK12</f>
        <v>53331248.023169942</v>
      </c>
      <c r="CL83" s="77">
        <f>'Fuel Vol and Credit Gen'!CL12</f>
        <v>73398806.771944821</v>
      </c>
      <c r="CM83" s="77">
        <f>'Fuel Vol and Credit Gen'!CM12</f>
        <v>64994081.013200119</v>
      </c>
      <c r="CN83" s="77">
        <f>'Fuel Vol and Credit Gen'!CN12</f>
        <v>41830532.809001595</v>
      </c>
      <c r="CO83" s="77">
        <f>'Fuel Vol and Credit Gen'!CO12</f>
        <v>51734623.423499003</v>
      </c>
      <c r="CP83" s="77">
        <f>'Fuel Vol and Credit Gen'!CP12</f>
        <v>77573857.302446097</v>
      </c>
      <c r="CQ83" s="77">
        <f>'Fuel Vol and Credit Gen'!CQ12</f>
        <v>66525986.030507751</v>
      </c>
      <c r="CR83" s="77">
        <f>'Fuel Vol and Credit Gen'!CR12</f>
        <v>40427168.401841566</v>
      </c>
      <c r="CS83" s="77">
        <f>'Fuel Vol and Credit Gen'!CS12</f>
        <v>50006051.524138734</v>
      </c>
      <c r="CT83" s="77">
        <f>'Fuel Vol and Credit Gen'!CT12</f>
        <v>78839879.603995889</v>
      </c>
      <c r="CU83" s="77">
        <f>'Fuel Vol and Credit Gen'!CU12</f>
        <v>67344341.382877618</v>
      </c>
      <c r="CV83" s="77">
        <f>'Fuel Vol and Credit Gen'!CV12</f>
        <v>36961092.763620287</v>
      </c>
      <c r="CW83" s="77">
        <f>'Fuel Vol and Credit Gen'!CW12</f>
        <v>46278506.76491987</v>
      </c>
      <c r="CX83" s="77">
        <f>'Fuel Vol and Credit Gen'!CX12</f>
        <v>80059581.280127823</v>
      </c>
      <c r="CY83" s="77">
        <f>'Fuel Vol and Credit Gen'!CY12</f>
        <v>72914767.115726739</v>
      </c>
      <c r="CZ83" s="77">
        <f>'Fuel Vol and Credit Gen'!CZ12</f>
        <v>22332641.13430091</v>
      </c>
      <c r="DA83" s="77">
        <f>'Fuel Vol and Credit Gen'!DA12</f>
        <v>42440328.110824876</v>
      </c>
      <c r="DB83" s="77">
        <f>'Fuel Vol and Credit Gen'!DB12</f>
        <v>81265345.000448033</v>
      </c>
      <c r="DC83" s="77">
        <f>'Fuel Vol and Credit Gen'!DC12</f>
        <v>81125386.872185379</v>
      </c>
      <c r="DD83" s="77">
        <f>'Fuel Vol and Credit Gen'!DD12</f>
        <v>6989393.2310535535</v>
      </c>
      <c r="DE83" s="77">
        <f>'Fuel Vol and Credit Gen'!DE12</f>
        <v>37893611.210520148</v>
      </c>
      <c r="DF83" s="77">
        <f>'Fuel Vol and Credit Gen'!DF12</f>
        <v>83018171.295584053</v>
      </c>
      <c r="DG83" s="77">
        <f>'Fuel Vol and Credit Gen'!DG12</f>
        <v>83290336.138409302</v>
      </c>
      <c r="DH83" s="77">
        <f>'Fuel Vol and Credit Gen'!DH12</f>
        <v>5217502.9623537585</v>
      </c>
      <c r="DI83" s="77">
        <f>'Fuel Vol and Credit Gen'!DI12</f>
        <v>38905882.681057587</v>
      </c>
      <c r="DJ83" s="77">
        <f>'Fuel Vol and Credit Gen'!DJ12</f>
        <v>84186464.808131129</v>
      </c>
      <c r="DK83" s="77">
        <f>'Fuel Vol and Credit Gen'!DK12</f>
        <v>89481839.256546348</v>
      </c>
      <c r="DL83" s="77">
        <f>'Fuel Vol and Credit Gen'!DL12</f>
        <v>-5809937.3122376055</v>
      </c>
      <c r="DM83" s="77">
        <f>'Fuel Vol and Credit Gen'!DM12</f>
        <v>35788352.602647334</v>
      </c>
      <c r="DN83" s="77">
        <f>'Fuel Vol and Credit Gen'!DN12</f>
        <v>86351066.384441853</v>
      </c>
      <c r="DO83" s="77">
        <f>'Fuel Vol and Credit Gen'!DO12</f>
        <v>100454903.39792667</v>
      </c>
      <c r="DP83" s="77">
        <f>'Fuel Vol and Credit Gen'!DP12</f>
        <v>-27148926.785798285</v>
      </c>
      <c r="DQ83" s="77">
        <f>'Fuel Vol and Credit Gen'!DQ12</f>
        <v>30208260.948240448</v>
      </c>
      <c r="DR83" s="77">
        <f>'Fuel Vol and Credit Gen'!DR12</f>
        <v>89229089.262383759</v>
      </c>
      <c r="DS83" s="77">
        <f>'Fuel Vol and Credit Gen'!DS12</f>
        <v>89229089.262383759</v>
      </c>
      <c r="DT83" s="77">
        <f>'Fuel Vol and Credit Gen'!DT12</f>
        <v>89229089.262383759</v>
      </c>
      <c r="DU83" s="77">
        <f>'Fuel Vol and Credit Gen'!DU12</f>
        <v>89229089.262383759</v>
      </c>
      <c r="DV83" s="77">
        <f>'Fuel Vol and Credit Gen'!DV12</f>
        <v>89229089.262383759</v>
      </c>
      <c r="DW83" s="77">
        <f>'Fuel Vol and Credit Gen'!DW12</f>
        <v>89229089.262383759</v>
      </c>
      <c r="DX83" s="77">
        <f>'Fuel Vol and Credit Gen'!DX12</f>
        <v>89229089.262383759</v>
      </c>
      <c r="DY83" s="77">
        <f>'Fuel Vol and Credit Gen'!DY12</f>
        <v>89229089.262383759</v>
      </c>
      <c r="DZ83" s="77">
        <f>'Fuel Vol and Credit Gen'!DZ12</f>
        <v>89229089.262383759</v>
      </c>
    </row>
    <row r="84" spans="1:130" x14ac:dyDescent="0.2">
      <c r="A84" s="39" t="s">
        <v>77</v>
      </c>
      <c r="B84" s="39" t="s">
        <v>125</v>
      </c>
      <c r="C84" s="70">
        <v>325266</v>
      </c>
      <c r="D84" s="70">
        <v>356935</v>
      </c>
      <c r="E84" s="70">
        <v>462226</v>
      </c>
      <c r="F84" s="70">
        <v>659061</v>
      </c>
      <c r="G84" s="70">
        <v>712233</v>
      </c>
      <c r="H84" s="70">
        <v>723231</v>
      </c>
      <c r="I84" s="70">
        <v>843696</v>
      </c>
      <c r="J84" s="70">
        <v>6535747</v>
      </c>
      <c r="K84" s="70">
        <v>8182191</v>
      </c>
      <c r="L84" s="70">
        <v>23562582</v>
      </c>
      <c r="M84" s="70">
        <v>40409392</v>
      </c>
      <c r="N84" s="70">
        <v>44784857</v>
      </c>
      <c r="O84" s="70">
        <v>25871987</v>
      </c>
      <c r="P84" s="70">
        <v>26668165</v>
      </c>
      <c r="Q84" s="70">
        <v>36487197</v>
      </c>
      <c r="R84" s="70">
        <v>23817520</v>
      </c>
      <c r="S84" s="70">
        <v>27058770</v>
      </c>
      <c r="T84" s="70">
        <v>40776364</v>
      </c>
      <c r="U84" s="70">
        <v>51165569</v>
      </c>
      <c r="V84" s="70">
        <v>46155232</v>
      </c>
      <c r="W84" s="70">
        <v>43663408</v>
      </c>
      <c r="X84" s="70">
        <v>75711296</v>
      </c>
      <c r="Y84" s="70">
        <v>63846512</v>
      </c>
      <c r="Z84" s="70">
        <v>72449941</v>
      </c>
      <c r="AA84" s="70">
        <v>68700606</v>
      </c>
      <c r="AB84" s="70">
        <v>94202959</v>
      </c>
      <c r="AC84" s="70">
        <v>95429959</v>
      </c>
      <c r="AD84" s="70">
        <v>77130870</v>
      </c>
      <c r="AE84" s="70">
        <v>93949619</v>
      </c>
      <c r="AF84" s="70">
        <v>100488727</v>
      </c>
      <c r="AG84" s="70">
        <v>79736407</v>
      </c>
      <c r="AH84" s="70">
        <v>109391300</v>
      </c>
      <c r="AI84" s="70">
        <v>159583033</v>
      </c>
      <c r="AJ84" s="70">
        <v>160308777</v>
      </c>
      <c r="AK84" s="70">
        <v>133219894</v>
      </c>
      <c r="AL84" s="70">
        <v>164778486</v>
      </c>
      <c r="AM84" s="70">
        <v>130973476</v>
      </c>
      <c r="AN84" s="70">
        <v>151994539</v>
      </c>
      <c r="AO84" s="70">
        <v>140072718</v>
      </c>
      <c r="AP84" s="70">
        <v>165950498</v>
      </c>
      <c r="AQ84" s="70">
        <v>199089761</v>
      </c>
      <c r="AR84" s="70">
        <v>218785737</v>
      </c>
      <c r="AS84" s="70">
        <v>250252477</v>
      </c>
      <c r="AT84" s="70">
        <v>272878865</v>
      </c>
      <c r="AU84" s="70">
        <v>320411961</v>
      </c>
      <c r="AV84" s="70">
        <v>349244307</v>
      </c>
      <c r="AW84" s="70">
        <v>352249753</v>
      </c>
      <c r="AX84" s="70">
        <f>'Fuel Vol and Credit Gen'!AX13</f>
        <v>372139289</v>
      </c>
      <c r="AY84" s="70">
        <v>404778818</v>
      </c>
      <c r="AZ84" s="70">
        <v>481200270</v>
      </c>
      <c r="BA84" s="70">
        <v>531797418</v>
      </c>
      <c r="BB84" s="70">
        <v>547388851</v>
      </c>
      <c r="BC84" s="70">
        <v>518276102</v>
      </c>
      <c r="BD84" s="70">
        <v>603001119</v>
      </c>
      <c r="BE84" s="70">
        <v>652057695</v>
      </c>
      <c r="BF84" s="77">
        <f>'Fuel Vol and Credit Gen'!BF13</f>
        <v>573220407.04731023</v>
      </c>
      <c r="BG84" s="77">
        <f>'Fuel Vol and Credit Gen'!BG13</f>
        <v>441392098.30412436</v>
      </c>
      <c r="BH84" s="77">
        <f>'Fuel Vol and Credit Gen'!BH13</f>
        <v>448048628.67725605</v>
      </c>
      <c r="BI84" s="77">
        <f>'Fuel Vol and Credit Gen'!BI13</f>
        <v>580142708.42761922</v>
      </c>
      <c r="BJ84" s="77">
        <f>'Fuel Vol and Credit Gen'!BJ13</f>
        <v>532495252.03143936</v>
      </c>
      <c r="BK84" s="77">
        <f>'Fuel Vol and Credit Gen'!BK13</f>
        <v>435242703.72862172</v>
      </c>
      <c r="BL84" s="77">
        <f>'Fuel Vol and Credit Gen'!BL13</f>
        <v>481685510.6530391</v>
      </c>
      <c r="BM84" s="77">
        <f>'Fuel Vol and Credit Gen'!BM13</f>
        <v>501478189.69605738</v>
      </c>
      <c r="BN84" s="77">
        <f>'Fuel Vol and Credit Gen'!BN13</f>
        <v>593574181.46246314</v>
      </c>
      <c r="BO84" s="77">
        <f>'Fuel Vol and Credit Gen'!BO13</f>
        <v>468452381.24155182</v>
      </c>
      <c r="BP84" s="77">
        <f>'Fuel Vol and Credit Gen'!BP13</f>
        <v>520037290.02228367</v>
      </c>
      <c r="BQ84" s="77">
        <f>'Fuel Vol and Credit Gen'!BQ13</f>
        <v>539344148.76246023</v>
      </c>
      <c r="BR84" s="77">
        <f>'Fuel Vol and Credit Gen'!BR13</f>
        <v>646634579.75410664</v>
      </c>
      <c r="BS84" s="77">
        <f>'Fuel Vol and Credit Gen'!BS13</f>
        <v>437499728.24064165</v>
      </c>
      <c r="BT84" s="77">
        <f>'Fuel Vol and Credit Gen'!BT13</f>
        <v>479816959.64220887</v>
      </c>
      <c r="BU84" s="77">
        <f>'Fuel Vol and Credit Gen'!BU13</f>
        <v>519230734.04251754</v>
      </c>
      <c r="BV84" s="77">
        <f>'Fuel Vol and Credit Gen'!BV13</f>
        <v>612299475.63653946</v>
      </c>
      <c r="BW84" s="77">
        <f>'Fuel Vol and Credit Gen'!BW13</f>
        <v>441653949.26244438</v>
      </c>
      <c r="BX84" s="77">
        <f>'Fuel Vol and Credit Gen'!BX13</f>
        <v>482993915.37878895</v>
      </c>
      <c r="BY84" s="77">
        <f>'Fuel Vol and Credit Gen'!BY13</f>
        <v>522557488.62159789</v>
      </c>
      <c r="BZ84" s="77">
        <f>'Fuel Vol and Credit Gen'!BZ13</f>
        <v>615049729.69131458</v>
      </c>
      <c r="CA84" s="77">
        <f>'Fuel Vol and Credit Gen'!CA13</f>
        <v>457905990.37526339</v>
      </c>
      <c r="CB84" s="77">
        <f>'Fuel Vol and Credit Gen'!CB13</f>
        <v>502676386.3842321</v>
      </c>
      <c r="CC84" s="77">
        <f>'Fuel Vol and Credit Gen'!CC13</f>
        <v>526923668.17243147</v>
      </c>
      <c r="CD84" s="77">
        <f>'Fuel Vol and Credit Gen'!CD13</f>
        <v>646474633.97145259</v>
      </c>
      <c r="CE84" s="77">
        <f>'Fuel Vol and Credit Gen'!CE13</f>
        <v>488363374.53187293</v>
      </c>
      <c r="CF84" s="77">
        <f>'Fuel Vol and Credit Gen'!CF13</f>
        <v>543253020.4204582</v>
      </c>
      <c r="CG84" s="77">
        <f>'Fuel Vol and Credit Gen'!CG13</f>
        <v>518055592.80000424</v>
      </c>
      <c r="CH84" s="77">
        <f>'Fuel Vol and Credit Gen'!CH13</f>
        <v>700074408.66560018</v>
      </c>
      <c r="CI84" s="77">
        <f>'Fuel Vol and Credit Gen'!CI13</f>
        <v>565987488.62687504</v>
      </c>
      <c r="CJ84" s="77">
        <f>'Fuel Vol and Credit Gen'!CJ13</f>
        <v>637638770.8849324</v>
      </c>
      <c r="CK84" s="77">
        <f>'Fuel Vol and Credit Gen'!CK13</f>
        <v>476457180.44928277</v>
      </c>
      <c r="CL84" s="77">
        <f>'Fuel Vol and Credit Gen'!CL13</f>
        <v>829268595.02743423</v>
      </c>
      <c r="CM84" s="77">
        <f>'Fuel Vol and Credit Gen'!CM13</f>
        <v>563694208.8733319</v>
      </c>
      <c r="CN84" s="77">
        <f>'Fuel Vol and Credit Gen'!CN13</f>
        <v>634373282.50756216</v>
      </c>
      <c r="CO84" s="77">
        <f>'Fuel Vol and Credit Gen'!CO13</f>
        <v>488127941.6923871</v>
      </c>
      <c r="CP84" s="77">
        <f>'Fuel Vol and Credit Gen'!CP13</f>
        <v>825219699.01555443</v>
      </c>
      <c r="CQ84" s="77">
        <f>'Fuel Vol and Credit Gen'!CQ13</f>
        <v>550423422.69853616</v>
      </c>
      <c r="CR84" s="77">
        <f>'Fuel Vol and Credit Gen'!CR13</f>
        <v>617728836.34862733</v>
      </c>
      <c r="CS84" s="77">
        <f>'Fuel Vol and Credit Gen'!CS13</f>
        <v>489717428.73218971</v>
      </c>
      <c r="CT84" s="77">
        <f>'Fuel Vol and Credit Gen'!CT13</f>
        <v>802174908.69859278</v>
      </c>
      <c r="CU84" s="77">
        <f>'Fuel Vol and Credit Gen'!CU13</f>
        <v>597355897.36293328</v>
      </c>
      <c r="CV84" s="77">
        <f>'Fuel Vol and Credit Gen'!CV13</f>
        <v>681437256.43705606</v>
      </c>
      <c r="CW84" s="77">
        <f>'Fuel Vol and Credit Gen'!CW13</f>
        <v>475454095.57633203</v>
      </c>
      <c r="CX84" s="77">
        <f>'Fuel Vol and Credit Gen'!CX13</f>
        <v>876919676.23982084</v>
      </c>
      <c r="CY84" s="77">
        <f>'Fuel Vol and Credit Gen'!CY13</f>
        <v>626240549.77102923</v>
      </c>
      <c r="CZ84" s="77">
        <f>'Fuel Vol and Credit Gen'!CZ13</f>
        <v>714100472.41606462</v>
      </c>
      <c r="DA84" s="77">
        <f>'Fuel Vol and Credit Gen'!DA13</f>
        <v>462915571.73733294</v>
      </c>
      <c r="DB84" s="77">
        <f>'Fuel Vol and Credit Gen'!DB13</f>
        <v>929572829.73443615</v>
      </c>
      <c r="DC84" s="77">
        <f>'Fuel Vol and Credit Gen'!DC13</f>
        <v>698352198.17105341</v>
      </c>
      <c r="DD84" s="77">
        <f>'Fuel Vol and Credit Gen'!DD13</f>
        <v>802391397.03057671</v>
      </c>
      <c r="DE84" s="77">
        <f>'Fuel Vol and Credit Gen'!DE13</f>
        <v>432151022.6796242</v>
      </c>
      <c r="DF84" s="77">
        <f>'Fuel Vol and Credit Gen'!DF13</f>
        <v>1051518036.3121086</v>
      </c>
      <c r="DG84" s="77">
        <f>'Fuel Vol and Credit Gen'!DG13</f>
        <v>762038828.19258916</v>
      </c>
      <c r="DH84" s="77">
        <f>'Fuel Vol and Credit Gen'!DH13</f>
        <v>880332584.62870514</v>
      </c>
      <c r="DI84" s="77">
        <f>'Fuel Vol and Credit Gen'!DI13</f>
        <v>406235513.54811674</v>
      </c>
      <c r="DJ84" s="77">
        <f>'Fuel Vol and Credit Gen'!DJ13</f>
        <v>1158856230.7201321</v>
      </c>
      <c r="DK84" s="77">
        <f>'Fuel Vol and Credit Gen'!DK13</f>
        <v>764247987.97750187</v>
      </c>
      <c r="DL84" s="77">
        <f>'Fuel Vol and Credit Gen'!DL13</f>
        <v>883132983.64518952</v>
      </c>
      <c r="DM84" s="77">
        <f>'Fuel Vol and Credit Gen'!DM13</f>
        <v>406097396.54130715</v>
      </c>
      <c r="DN84" s="77">
        <f>'Fuel Vol and Credit Gen'!DN13</f>
        <v>1162069707.5825419</v>
      </c>
      <c r="DO84" s="77">
        <f>'Fuel Vol and Credit Gen'!DO13</f>
        <v>682211338.46165061</v>
      </c>
      <c r="DP84" s="77">
        <f>'Fuel Vol and Credit Gen'!DP13</f>
        <v>781661501.14096463</v>
      </c>
      <c r="DQ84" s="77">
        <f>'Fuel Vol and Credit Gen'!DQ13</f>
        <v>438878970.79290259</v>
      </c>
      <c r="DR84" s="77">
        <f>'Fuel Vol and Credit Gen'!DR13</f>
        <v>1022560401.0602371</v>
      </c>
      <c r="DS84" s="77">
        <f>'Fuel Vol and Credit Gen'!DS13</f>
        <v>1022560401.0602371</v>
      </c>
      <c r="DT84" s="77">
        <f>'Fuel Vol and Credit Gen'!DT13</f>
        <v>1022560401.0602371</v>
      </c>
      <c r="DU84" s="77">
        <f>'Fuel Vol and Credit Gen'!DU13</f>
        <v>1022560401.0602371</v>
      </c>
      <c r="DV84" s="77">
        <f>'Fuel Vol and Credit Gen'!DV13</f>
        <v>1022560401.0602371</v>
      </c>
      <c r="DW84" s="77">
        <f>'Fuel Vol and Credit Gen'!DW13</f>
        <v>1022560401.0602371</v>
      </c>
      <c r="DX84" s="77">
        <f>'Fuel Vol and Credit Gen'!DX13</f>
        <v>1022560401.0602371</v>
      </c>
      <c r="DY84" s="77">
        <f>'Fuel Vol and Credit Gen'!DY13</f>
        <v>1022560401.0602371</v>
      </c>
      <c r="DZ84" s="77">
        <f>'Fuel Vol and Credit Gen'!DZ13</f>
        <v>1022560401.0602371</v>
      </c>
    </row>
    <row r="85" spans="1:130" x14ac:dyDescent="0.2">
      <c r="A85" s="39" t="s">
        <v>78</v>
      </c>
      <c r="B85" s="39" t="s">
        <v>125</v>
      </c>
      <c r="C85" s="70">
        <v>0</v>
      </c>
      <c r="D85" s="70">
        <v>0</v>
      </c>
      <c r="E85" s="70">
        <v>0</v>
      </c>
      <c r="F85" s="70">
        <v>0</v>
      </c>
      <c r="G85" s="70">
        <v>0</v>
      </c>
      <c r="H85" s="70">
        <v>0</v>
      </c>
      <c r="I85" s="70">
        <v>0</v>
      </c>
      <c r="J85" s="70">
        <v>0</v>
      </c>
      <c r="K85" s="70">
        <v>0</v>
      </c>
      <c r="L85" s="70">
        <v>0</v>
      </c>
      <c r="M85" s="70">
        <v>0</v>
      </c>
      <c r="N85" s="70">
        <v>0</v>
      </c>
      <c r="O85" s="70">
        <v>0</v>
      </c>
      <c r="P85" s="70">
        <v>0</v>
      </c>
      <c r="Q85" s="70">
        <v>0</v>
      </c>
      <c r="R85" s="70">
        <v>0</v>
      </c>
      <c r="S85" s="70">
        <v>0</v>
      </c>
      <c r="T85" s="70">
        <v>0</v>
      </c>
      <c r="U85" s="70">
        <v>0</v>
      </c>
      <c r="V85" s="70">
        <v>0</v>
      </c>
      <c r="W85" s="70">
        <v>0</v>
      </c>
      <c r="X85" s="70">
        <v>0</v>
      </c>
      <c r="Y85" s="70">
        <v>0</v>
      </c>
      <c r="Z85" s="70">
        <v>0</v>
      </c>
      <c r="AA85" s="70">
        <v>0</v>
      </c>
      <c r="AB85" s="70">
        <v>0</v>
      </c>
      <c r="AC85" s="70">
        <v>0</v>
      </c>
      <c r="AD85" s="70">
        <v>0</v>
      </c>
      <c r="AE85" s="70">
        <v>0</v>
      </c>
      <c r="AF85" s="70">
        <v>0</v>
      </c>
      <c r="AG85" s="70">
        <v>0</v>
      </c>
      <c r="AH85" s="70">
        <v>0</v>
      </c>
      <c r="AI85" s="70">
        <v>0</v>
      </c>
      <c r="AJ85" s="70">
        <v>723542</v>
      </c>
      <c r="AK85" s="70">
        <v>693621</v>
      </c>
      <c r="AL85" s="70">
        <v>445027</v>
      </c>
      <c r="AM85" s="70">
        <v>284190</v>
      </c>
      <c r="AN85" s="70">
        <v>1315875</v>
      </c>
      <c r="AO85" s="70">
        <v>2388230</v>
      </c>
      <c r="AP85" s="70">
        <v>570655</v>
      </c>
      <c r="AQ85" s="70">
        <v>873456</v>
      </c>
      <c r="AR85" s="70">
        <v>2528070</v>
      </c>
      <c r="AS85" s="70">
        <v>1717347</v>
      </c>
      <c r="AT85" s="70">
        <v>3078857</v>
      </c>
      <c r="AU85" s="70">
        <v>993399</v>
      </c>
      <c r="AV85" s="70">
        <v>4923344</v>
      </c>
      <c r="AW85" s="70">
        <v>4078887</v>
      </c>
      <c r="AX85" s="70">
        <f>'Fuel Vol and Credit Gen'!AX14</f>
        <v>1608959</v>
      </c>
      <c r="AY85" s="70">
        <v>4696266</v>
      </c>
      <c r="AZ85" s="70">
        <v>6897301</v>
      </c>
      <c r="BA85" s="70">
        <v>4177769</v>
      </c>
      <c r="BB85" s="70">
        <v>7266054</v>
      </c>
      <c r="BC85" s="70">
        <v>10703076</v>
      </c>
      <c r="BD85" s="70">
        <v>23560446</v>
      </c>
      <c r="BE85" s="70">
        <v>24478866</v>
      </c>
      <c r="BF85" s="77">
        <f>'Fuel Vol and Credit Gen'!BF14</f>
        <v>3618110.2311603874</v>
      </c>
      <c r="BG85" s="77">
        <f>'Fuel Vol and Credit Gen'!BG14</f>
        <v>23161221.81982087</v>
      </c>
      <c r="BH85" s="77">
        <f>'Fuel Vol and Credit Gen'!BH14</f>
        <v>32342158.00301164</v>
      </c>
      <c r="BI85" s="77">
        <f>'Fuel Vol and Credit Gen'!BI14</f>
        <v>42037597.753064916</v>
      </c>
      <c r="BJ85" s="77">
        <f>'Fuel Vol and Credit Gen'!BJ14</f>
        <v>11506899.384336663</v>
      </c>
      <c r="BK85" s="77">
        <f>'Fuel Vol and Credit Gen'!BK14</f>
        <v>102481131.31686039</v>
      </c>
      <c r="BL85" s="77">
        <f>'Fuel Vol and Credit Gen'!BL14</f>
        <v>119629975.49323547</v>
      </c>
      <c r="BM85" s="77">
        <f>'Fuel Vol and Credit Gen'!BM14</f>
        <v>161944909.65109289</v>
      </c>
      <c r="BN85" s="77">
        <f>'Fuel Vol and Credit Gen'!BN14</f>
        <v>39138483.179149926</v>
      </c>
      <c r="BO85" s="77">
        <f>'Fuel Vol and Credit Gen'!BO14</f>
        <v>265079274.55155081</v>
      </c>
      <c r="BP85" s="77">
        <f>'Fuel Vol and Credit Gen'!BP14</f>
        <v>308116720.14410704</v>
      </c>
      <c r="BQ85" s="77">
        <f>'Fuel Vol and Credit Gen'!BQ14</f>
        <v>420271105.53213406</v>
      </c>
      <c r="BR85" s="77">
        <f>'Fuel Vol and Credit Gen'!BR14</f>
        <v>97521340.468161181</v>
      </c>
      <c r="BS85" s="77">
        <f>'Fuel Vol and Credit Gen'!BS14</f>
        <v>347316879.02732968</v>
      </c>
      <c r="BT85" s="77">
        <f>'Fuel Vol and Credit Gen'!BT14</f>
        <v>402959927.21832186</v>
      </c>
      <c r="BU85" s="77">
        <f>'Fuel Vol and Credit Gen'!BU14</f>
        <v>549936819.87644911</v>
      </c>
      <c r="BV85" s="77">
        <f>'Fuel Vol and Credit Gen'!BV14</f>
        <v>127015633.50561434</v>
      </c>
      <c r="BW85" s="77">
        <f>'Fuel Vol and Credit Gen'!BW14</f>
        <v>416700427.92768747</v>
      </c>
      <c r="BX85" s="77">
        <f>'Fuel Vol and Credit Gen'!BX14</f>
        <v>483257592.69399136</v>
      </c>
      <c r="BY85" s="77">
        <f>'Fuel Vol and Credit Gen'!BY14</f>
        <v>659432550.45551181</v>
      </c>
      <c r="BZ85" s="77">
        <f>'Fuel Vol and Credit Gen'!BZ14</f>
        <v>150755027.29880106</v>
      </c>
      <c r="CA85" s="77">
        <f>'Fuel Vol and Credit Gen'!CA14</f>
        <v>532058244.63075501</v>
      </c>
      <c r="CB85" s="77">
        <f>'Fuel Vol and Credit Gen'!CB14</f>
        <v>613474244.18211341</v>
      </c>
      <c r="CC85" s="77">
        <f>'Fuel Vol and Credit Gen'!CC14</f>
        <v>837297167.23157299</v>
      </c>
      <c r="CD85" s="77">
        <f>'Fuel Vol and Credit Gen'!CD14</f>
        <v>191672244.2675572</v>
      </c>
      <c r="CE85" s="77">
        <f>'Fuel Vol and Credit Gen'!CE14</f>
        <v>585549553.89017856</v>
      </c>
      <c r="CF85" s="77">
        <f>'Fuel Vol and Credit Gen'!CF14</f>
        <v>675011260.28974748</v>
      </c>
      <c r="CG85" s="77">
        <f>'Fuel Vol and Credit Gen'!CG14</f>
        <v>921657059.97368312</v>
      </c>
      <c r="CH85" s="77">
        <f>'Fuel Vol and Credit Gen'!CH14</f>
        <v>211352285.5464496</v>
      </c>
      <c r="CI85" s="77">
        <f>'Fuel Vol and Credit Gen'!CI14</f>
        <v>733627907.97649038</v>
      </c>
      <c r="CJ85" s="77">
        <f>'Fuel Vol and Credit Gen'!CJ14</f>
        <v>844039930.05627871</v>
      </c>
      <c r="CK85" s="77">
        <f>'Fuel Vol and Credit Gen'!CK14</f>
        <v>1152829271.2188623</v>
      </c>
      <c r="CL85" s="77">
        <f>'Fuel Vol and Credit Gen'!CL14</f>
        <v>263741268.42656925</v>
      </c>
      <c r="CM85" s="77">
        <f>'Fuel Vol and Credit Gen'!CM14</f>
        <v>784816176.94942629</v>
      </c>
      <c r="CN85" s="77">
        <f>'Fuel Vol and Credit Gen'!CN14</f>
        <v>903660132.65637898</v>
      </c>
      <c r="CO85" s="77">
        <f>'Fuel Vol and Credit Gen'!CO14</f>
        <v>1234541683.3926013</v>
      </c>
      <c r="CP85" s="77">
        <f>'Fuel Vol and Credit Gen'!CP14</f>
        <v>282194168.73011935</v>
      </c>
      <c r="CQ85" s="77">
        <f>'Fuel Vol and Credit Gen'!CQ14</f>
        <v>861227995.33215463</v>
      </c>
      <c r="CR85" s="77">
        <f>'Fuel Vol and Credit Gen'!CR14</f>
        <v>990617687.39188635</v>
      </c>
      <c r="CS85" s="77">
        <f>'Fuel Vol and Credit Gen'!CS14</f>
        <v>1353251824.2184956</v>
      </c>
      <c r="CT85" s="77">
        <f>'Fuel Vol and Credit Gen'!CT14</f>
        <v>309069865.17650759</v>
      </c>
      <c r="CU85" s="77">
        <f>'Fuel Vol and Credit Gen'!CU14</f>
        <v>902881072.55631828</v>
      </c>
      <c r="CV85" s="77">
        <f>'Fuel Vol and Credit Gen'!CV14</f>
        <v>1038000181.5394926</v>
      </c>
      <c r="CW85" s="77">
        <f>'Fuel Vol and Credit Gen'!CW14</f>
        <v>1418029225.3778377</v>
      </c>
      <c r="CX85" s="77">
        <f>'Fuel Vol and Credit Gen'!CX14</f>
        <v>323932060.11483788</v>
      </c>
      <c r="CY85" s="77">
        <f>'Fuel Vol and Credit Gen'!CY14</f>
        <v>662304946.04480863</v>
      </c>
      <c r="CZ85" s="77">
        <f>'Fuel Vol and Credit Gen'!CZ14</f>
        <v>762979663.61012626</v>
      </c>
      <c r="DA85" s="77">
        <f>'Fuel Vol and Credit Gen'!DA14</f>
        <v>1042063159.0761013</v>
      </c>
      <c r="DB85" s="77">
        <f>'Fuel Vol and Credit Gen'!DB14</f>
        <v>238437342.32049489</v>
      </c>
      <c r="DC85" s="77">
        <f>'Fuel Vol and Credit Gen'!DC14</f>
        <v>687466690.04211104</v>
      </c>
      <c r="DD85" s="77">
        <f>'Fuel Vol and Credit Gen'!DD14</f>
        <v>791778293.42795312</v>
      </c>
      <c r="DE85" s="77">
        <f>'Fuel Vol and Credit Gen'!DE14</f>
        <v>1081408827.3093681</v>
      </c>
      <c r="DF85" s="77">
        <f>'Fuel Vol and Credit Gen'!DF14</f>
        <v>247398058.45641747</v>
      </c>
      <c r="DG85" s="77">
        <f>'Fuel Vol and Credit Gen'!DG14</f>
        <v>720429550.38637578</v>
      </c>
      <c r="DH85" s="77">
        <f>'Fuel Vol and Credit Gen'!DH14</f>
        <v>829391686.35854661</v>
      </c>
      <c r="DI85" s="77">
        <f>'Fuel Vol and Credit Gen'!DI14</f>
        <v>1132779033.589376</v>
      </c>
      <c r="DJ85" s="77">
        <f>'Fuel Vol and Credit Gen'!DJ14</f>
        <v>259193060.77548698</v>
      </c>
      <c r="DK85" s="77">
        <f>'Fuel Vol and Credit Gen'!DK14</f>
        <v>713116541.72286069</v>
      </c>
      <c r="DL85" s="77">
        <f>'Fuel Vol and Credit Gen'!DL14</f>
        <v>820949263.32533228</v>
      </c>
      <c r="DM85" s="77">
        <f>'Fuel Vol and Credit Gen'!DM14</f>
        <v>1121263240.9790411</v>
      </c>
      <c r="DN85" s="77">
        <f>'Fuel Vol and Credit Gen'!DN14</f>
        <v>256611654.90151727</v>
      </c>
      <c r="DO85" s="77">
        <f>'Fuel Vol and Credit Gen'!DO14</f>
        <v>782816611.10978472</v>
      </c>
      <c r="DP85" s="77">
        <f>'Fuel Vol and Credit Gen'!DP14</f>
        <v>900760736.40025377</v>
      </c>
      <c r="DQ85" s="77">
        <f>'Fuel Vol and Credit Gen'!DQ14</f>
        <v>1230444088.6754682</v>
      </c>
      <c r="DR85" s="77">
        <f>'Fuel Vol and Credit Gen'!DR14</f>
        <v>281414416.70712823</v>
      </c>
      <c r="DS85" s="77">
        <f>'Fuel Vol and Credit Gen'!DS14</f>
        <v>281414416.70712823</v>
      </c>
      <c r="DT85" s="77">
        <f>'Fuel Vol and Credit Gen'!DT14</f>
        <v>281414416.70712823</v>
      </c>
      <c r="DU85" s="77">
        <f>'Fuel Vol and Credit Gen'!DU14</f>
        <v>281414416.70712823</v>
      </c>
      <c r="DV85" s="77">
        <f>'Fuel Vol and Credit Gen'!DV14</f>
        <v>281414416.70712823</v>
      </c>
      <c r="DW85" s="77">
        <f>'Fuel Vol and Credit Gen'!DW14</f>
        <v>281414416.70712823</v>
      </c>
      <c r="DX85" s="77">
        <f>'Fuel Vol and Credit Gen'!DX14</f>
        <v>281414416.70712823</v>
      </c>
      <c r="DY85" s="77">
        <f>'Fuel Vol and Credit Gen'!DY14</f>
        <v>281414416.70712823</v>
      </c>
      <c r="DZ85" s="77">
        <f>'Fuel Vol and Credit Gen'!DZ14</f>
        <v>281414416.70712823</v>
      </c>
    </row>
    <row r="86" spans="1:130" x14ac:dyDescent="0.2">
      <c r="A86" s="39" t="s">
        <v>171</v>
      </c>
      <c r="B86" s="39" t="s">
        <v>125</v>
      </c>
      <c r="C86" s="70">
        <v>0</v>
      </c>
      <c r="D86" s="70">
        <v>0</v>
      </c>
      <c r="E86" s="70">
        <v>0</v>
      </c>
      <c r="F86" s="70">
        <v>0</v>
      </c>
      <c r="G86" s="70">
        <v>0</v>
      </c>
      <c r="H86" s="70">
        <v>0</v>
      </c>
      <c r="I86" s="70">
        <v>0</v>
      </c>
      <c r="J86" s="70">
        <v>0</v>
      </c>
      <c r="K86" s="70">
        <v>0</v>
      </c>
      <c r="L86" s="70">
        <v>0</v>
      </c>
      <c r="M86" s="70">
        <v>0</v>
      </c>
      <c r="N86" s="70">
        <v>0</v>
      </c>
      <c r="O86" s="70">
        <v>0</v>
      </c>
      <c r="P86" s="70">
        <v>0</v>
      </c>
      <c r="Q86" s="70">
        <v>0</v>
      </c>
      <c r="R86" s="70">
        <v>0</v>
      </c>
      <c r="S86" s="70">
        <v>0</v>
      </c>
      <c r="T86" s="70">
        <v>0</v>
      </c>
      <c r="U86" s="70">
        <v>0</v>
      </c>
      <c r="V86" s="70">
        <v>0</v>
      </c>
      <c r="W86" s="70">
        <v>0</v>
      </c>
      <c r="X86" s="70">
        <v>0</v>
      </c>
      <c r="Y86" s="70">
        <v>0</v>
      </c>
      <c r="Z86" s="70">
        <v>0</v>
      </c>
      <c r="AA86" s="70">
        <v>0</v>
      </c>
      <c r="AB86" s="70">
        <v>0</v>
      </c>
      <c r="AC86" s="70">
        <v>0</v>
      </c>
      <c r="AD86" s="70">
        <v>0</v>
      </c>
      <c r="AE86" s="70">
        <v>0</v>
      </c>
      <c r="AF86" s="70">
        <v>0</v>
      </c>
      <c r="AG86" s="70">
        <v>0</v>
      </c>
      <c r="AH86" s="70">
        <v>170876</v>
      </c>
      <c r="AI86" s="70">
        <v>107933</v>
      </c>
      <c r="AJ86" s="70">
        <v>673134</v>
      </c>
      <c r="AK86" s="70">
        <v>175948</v>
      </c>
      <c r="AL86" s="70">
        <v>290046</v>
      </c>
      <c r="AM86" s="70">
        <v>352423</v>
      </c>
      <c r="AN86" s="70">
        <v>447211</v>
      </c>
      <c r="AO86" s="70">
        <v>815855</v>
      </c>
      <c r="AP86" s="70">
        <v>591098</v>
      </c>
      <c r="AQ86" s="70">
        <v>2427368</v>
      </c>
      <c r="AR86" s="70">
        <v>4222140</v>
      </c>
      <c r="AS86" s="70">
        <v>2350926</v>
      </c>
      <c r="AT86" s="70">
        <v>2107524</v>
      </c>
      <c r="AU86" s="70">
        <v>3145585</v>
      </c>
      <c r="AV86" s="70">
        <v>5145704</v>
      </c>
      <c r="AW86" s="70">
        <v>1682809</v>
      </c>
      <c r="AX86" s="70">
        <f>'Fuel Vol and Credit Gen'!AX15</f>
        <v>2190902</v>
      </c>
      <c r="AY86" s="70">
        <v>3650982</v>
      </c>
      <c r="AZ86" s="70">
        <v>7593875</v>
      </c>
      <c r="BA86" s="70">
        <v>13728337</v>
      </c>
      <c r="BB86" s="70">
        <v>6221948</v>
      </c>
      <c r="BC86" s="70">
        <v>7520995</v>
      </c>
      <c r="BD86" s="70">
        <v>7566471</v>
      </c>
      <c r="BE86" s="70">
        <v>5966715</v>
      </c>
      <c r="BF86" s="77">
        <f>'Fuel Vol and Credit Gen'!BF15</f>
        <v>11959058.5</v>
      </c>
      <c r="BG86" s="77">
        <f>'Fuel Vol and Credit Gen'!BG15</f>
        <v>12750384.5</v>
      </c>
      <c r="BH86" s="77">
        <f>'Fuel Vol and Credit Gen'!BH15</f>
        <v>9120227.9130378421</v>
      </c>
      <c r="BI86" s="77">
        <f>'Fuel Vol and Credit Gen'!BI15</f>
        <v>11487555.459581889</v>
      </c>
      <c r="BJ86" s="77">
        <f>'Fuel Vol and Credit Gen'!BJ15</f>
        <v>14262989.31751362</v>
      </c>
      <c r="BK86" s="77">
        <f>'Fuel Vol and Credit Gen'!BK15</f>
        <v>10973809.47383949</v>
      </c>
      <c r="BL86" s="77">
        <f>'Fuel Vol and Credit Gen'!BL15</f>
        <v>8942452.6435122918</v>
      </c>
      <c r="BM86" s="77">
        <f>'Fuel Vol and Credit Gen'!BM15</f>
        <v>12382824.864075409</v>
      </c>
      <c r="BN86" s="77">
        <f>'Fuel Vol and Credit Gen'!BN15</f>
        <v>16253917.694985732</v>
      </c>
      <c r="BO86" s="77">
        <f>'Fuel Vol and Credit Gen'!BO15</f>
        <v>12088012.12990942</v>
      </c>
      <c r="BP86" s="77">
        <f>'Fuel Vol and Credit Gen'!BP15</f>
        <v>9877107.3613588382</v>
      </c>
      <c r="BQ86" s="77">
        <f>'Fuel Vol and Credit Gen'!BQ15</f>
        <v>13572266.637815107</v>
      </c>
      <c r="BR86" s="77">
        <f>'Fuel Vol and Credit Gen'!BR15</f>
        <v>17498358.757404357</v>
      </c>
      <c r="BS86" s="77">
        <f>'Fuel Vol and Credit Gen'!BS15</f>
        <v>12910551.420658154</v>
      </c>
      <c r="BT86" s="77">
        <f>'Fuel Vol and Credit Gen'!BT15</f>
        <v>10491114.965421325</v>
      </c>
      <c r="BU86" s="77">
        <f>'Fuel Vol and Credit Gen'!BU15</f>
        <v>13837770.850427231</v>
      </c>
      <c r="BV86" s="77">
        <f>'Fuel Vol and Credit Gen'!BV15</f>
        <v>18240982.94819412</v>
      </c>
      <c r="BW86" s="77">
        <f>'Fuel Vol and Credit Gen'!BW15</f>
        <v>12641949.597303759</v>
      </c>
      <c r="BX86" s="77">
        <f>'Fuel Vol and Credit Gen'!BX15</f>
        <v>10227136.653021026</v>
      </c>
      <c r="BY86" s="77">
        <f>'Fuel Vol and Credit Gen'!BY15</f>
        <v>14064596.002682216</v>
      </c>
      <c r="BZ86" s="77">
        <f>'Fuel Vol and Credit Gen'!BZ15</f>
        <v>18296165.686593309</v>
      </c>
      <c r="CA86" s="77">
        <f>'Fuel Vol and Credit Gen'!CA15</f>
        <v>14033814.051838901</v>
      </c>
      <c r="CB86" s="77">
        <f>'Fuel Vol and Credit Gen'!CB15</f>
        <v>11222782.021170575</v>
      </c>
      <c r="CC86" s="77">
        <f>'Fuel Vol and Credit Gen'!CC15</f>
        <v>14836812.657419905</v>
      </c>
      <c r="CD86" s="77">
        <f>'Fuel Vol and Credit Gen'!CD15</f>
        <v>19319145.710664563</v>
      </c>
      <c r="CE86" s="77">
        <f>'Fuel Vol and Credit Gen'!CE15</f>
        <v>15320771.439559428</v>
      </c>
      <c r="CF86" s="77">
        <f>'Fuel Vol and Credit Gen'!CF15</f>
        <v>12557182.350746537</v>
      </c>
      <c r="CG86" s="77">
        <f>'Fuel Vol and Credit Gen'!CG15</f>
        <v>16499914.64036205</v>
      </c>
      <c r="CH86" s="77">
        <f>'Fuel Vol and Credit Gen'!CH15</f>
        <v>21734549.969819423</v>
      </c>
      <c r="CI86" s="77">
        <f>'Fuel Vol and Credit Gen'!CI15</f>
        <v>16309625.121865537</v>
      </c>
      <c r="CJ86" s="77">
        <f>'Fuel Vol and Credit Gen'!CJ15</f>
        <v>13404040.626128273</v>
      </c>
      <c r="CK86" s="77">
        <f>'Fuel Vol and Credit Gen'!CK15</f>
        <v>17391414.989096887</v>
      </c>
      <c r="CL86" s="77">
        <f>'Fuel Vol and Credit Gen'!CL15</f>
        <v>22945107.53590947</v>
      </c>
      <c r="CM86" s="77">
        <f>'Fuel Vol and Credit Gen'!CM15</f>
        <v>17573790.229249291</v>
      </c>
      <c r="CN86" s="77">
        <f>'Fuel Vol and Credit Gen'!CN15</f>
        <v>14485301.52760192</v>
      </c>
      <c r="CO86" s="77">
        <f>'Fuel Vol and Credit Gen'!CO15</f>
        <v>18514715.285043657</v>
      </c>
      <c r="CP86" s="77">
        <f>'Fuel Vol and Credit Gen'!CP15</f>
        <v>24574673.030478708</v>
      </c>
      <c r="CQ86" s="77">
        <f>'Fuel Vol and Credit Gen'!CQ15</f>
        <v>19052930.534485403</v>
      </c>
      <c r="CR86" s="77">
        <f>'Fuel Vol and Credit Gen'!CR15</f>
        <v>15784518.946872633</v>
      </c>
      <c r="CS86" s="77">
        <f>'Fuel Vol and Credit Gen'!CS15</f>
        <v>19962262.475023687</v>
      </c>
      <c r="CT86" s="77">
        <f>'Fuel Vol and Credit Gen'!CT15</f>
        <v>26580396.928253904</v>
      </c>
      <c r="CU86" s="77">
        <f>'Fuel Vol and Credit Gen'!CU15</f>
        <v>19822428.766643748</v>
      </c>
      <c r="CV86" s="77">
        <f>'Fuel Vol and Credit Gen'!CV15</f>
        <v>16431685.003966222</v>
      </c>
      <c r="CW86" s="77">
        <f>'Fuel Vol and Credit Gen'!CW15</f>
        <v>20676091.41966996</v>
      </c>
      <c r="CX86" s="77">
        <f>'Fuel Vol and Credit Gen'!CX15</f>
        <v>27562648.700117562</v>
      </c>
      <c r="CY86" s="77">
        <f>'Fuel Vol and Credit Gen'!CY15</f>
        <v>18981898.623376463</v>
      </c>
      <c r="CZ86" s="77">
        <f>'Fuel Vol and Credit Gen'!CZ15</f>
        <v>15660829.238707807</v>
      </c>
      <c r="DA86" s="77">
        <f>'Fuel Vol and Credit Gen'!DA15</f>
        <v>20049169.671226881</v>
      </c>
      <c r="DB86" s="77">
        <f>'Fuel Vol and Credit Gen'!DB15</f>
        <v>26591634.889551356</v>
      </c>
      <c r="DC86" s="77">
        <f>'Fuel Vol and Credit Gen'!DC15</f>
        <v>19286492.9850346</v>
      </c>
      <c r="DD86" s="77">
        <f>'Fuel Vol and Credit Gen'!DD15</f>
        <v>15890314.443827551</v>
      </c>
      <c r="DE86" s="77">
        <f>'Fuel Vol and Credit Gen'!DE15</f>
        <v>20379546.955845177</v>
      </c>
      <c r="DF86" s="77">
        <f>'Fuel Vol and Credit Gen'!DF15</f>
        <v>27004518.019547332</v>
      </c>
      <c r="DG86" s="77">
        <f>'Fuel Vol and Credit Gen'!DG15</f>
        <v>19322399.29780136</v>
      </c>
      <c r="DH86" s="77">
        <f>'Fuel Vol and Credit Gen'!DH15</f>
        <v>15879043.193766288</v>
      </c>
      <c r="DI86" s="77">
        <f>'Fuel Vol and Credit Gen'!DI15</f>
        <v>20475693.337126613</v>
      </c>
      <c r="DJ86" s="77">
        <f>'Fuel Vol and Credit Gen'!DJ15</f>
        <v>27083400.746811904</v>
      </c>
      <c r="DK86" s="77">
        <f>'Fuel Vol and Credit Gen'!DK15</f>
        <v>19991834.224934019</v>
      </c>
      <c r="DL86" s="77">
        <f>'Fuel Vol and Credit Gen'!DL15</f>
        <v>16447930.622613553</v>
      </c>
      <c r="DM86" s="77">
        <f>'Fuel Vol and Credit Gen'!DM15</f>
        <v>21153642.187168244</v>
      </c>
      <c r="DN86" s="77">
        <f>'Fuel Vol and Credit Gen'!DN15</f>
        <v>28002628.489334628</v>
      </c>
      <c r="DO86" s="77">
        <f>'Fuel Vol and Credit Gen'!DO15</f>
        <v>22308819.538521558</v>
      </c>
      <c r="DP86" s="77">
        <f>'Fuel Vol and Credit Gen'!DP15</f>
        <v>18514951.582770854</v>
      </c>
      <c r="DQ86" s="77">
        <f>'Fuel Vol and Credit Gen'!DQ15</f>
        <v>23299648.395438123</v>
      </c>
      <c r="DR86" s="77">
        <f>'Fuel Vol and Credit Gen'!DR15</f>
        <v>31074991.214841664</v>
      </c>
      <c r="DS86" s="77">
        <f>'Fuel Vol and Credit Gen'!DS15</f>
        <v>31074991.214841664</v>
      </c>
      <c r="DT86" s="77">
        <f>'Fuel Vol and Credit Gen'!DT15</f>
        <v>31074991.214841664</v>
      </c>
      <c r="DU86" s="77">
        <f>'Fuel Vol and Credit Gen'!DU15</f>
        <v>31074991.214841664</v>
      </c>
      <c r="DV86" s="77">
        <f>'Fuel Vol and Credit Gen'!DV15</f>
        <v>31074991.214841664</v>
      </c>
      <c r="DW86" s="77">
        <f>'Fuel Vol and Credit Gen'!DW15</f>
        <v>31074991.214841664</v>
      </c>
      <c r="DX86" s="77">
        <f>'Fuel Vol and Credit Gen'!DX15</f>
        <v>31074991.214841664</v>
      </c>
      <c r="DY86" s="77">
        <f>'Fuel Vol and Credit Gen'!DY15</f>
        <v>31074991.214841664</v>
      </c>
      <c r="DZ86" s="77">
        <f>'Fuel Vol and Credit Gen'!DZ15</f>
        <v>31074991.214841664</v>
      </c>
    </row>
    <row r="87" spans="1:130" x14ac:dyDescent="0.2">
      <c r="A87" s="39" t="s">
        <v>80</v>
      </c>
      <c r="B87" s="39" t="s">
        <v>125</v>
      </c>
      <c r="C87" s="70">
        <v>0</v>
      </c>
      <c r="D87" s="70">
        <v>0</v>
      </c>
      <c r="E87" s="70">
        <v>0</v>
      </c>
      <c r="F87" s="70">
        <v>0</v>
      </c>
      <c r="G87" s="70">
        <v>0</v>
      </c>
      <c r="H87" s="70">
        <v>0</v>
      </c>
      <c r="I87" s="70">
        <v>0</v>
      </c>
      <c r="J87" s="70">
        <v>0</v>
      </c>
      <c r="K87" s="70">
        <v>0</v>
      </c>
      <c r="L87" s="70">
        <v>0</v>
      </c>
      <c r="M87" s="70">
        <v>0</v>
      </c>
      <c r="N87" s="70">
        <v>0</v>
      </c>
      <c r="O87" s="70">
        <v>0</v>
      </c>
      <c r="P87" s="70">
        <v>0</v>
      </c>
      <c r="Q87" s="70">
        <v>0</v>
      </c>
      <c r="R87" s="70">
        <v>0</v>
      </c>
      <c r="S87" s="70">
        <v>0</v>
      </c>
      <c r="T87" s="70">
        <v>0</v>
      </c>
      <c r="U87" s="70">
        <v>0</v>
      </c>
      <c r="V87" s="70">
        <v>0</v>
      </c>
      <c r="W87" s="70">
        <v>0</v>
      </c>
      <c r="X87" s="70">
        <v>0</v>
      </c>
      <c r="Y87" s="70">
        <v>0</v>
      </c>
      <c r="Z87" s="70">
        <v>0</v>
      </c>
      <c r="AA87" s="70">
        <v>0</v>
      </c>
      <c r="AB87" s="70">
        <v>0</v>
      </c>
      <c r="AC87" s="70">
        <v>0</v>
      </c>
      <c r="AD87" s="70">
        <v>0</v>
      </c>
      <c r="AE87" s="70">
        <v>0</v>
      </c>
      <c r="AF87" s="70">
        <v>0</v>
      </c>
      <c r="AG87" s="70">
        <v>0</v>
      </c>
      <c r="AH87" s="70">
        <v>0</v>
      </c>
      <c r="AI87" s="70">
        <v>190467</v>
      </c>
      <c r="AJ87" s="70">
        <v>960366</v>
      </c>
      <c r="AK87" s="70">
        <v>1724129</v>
      </c>
      <c r="AL87" s="70">
        <v>1798336</v>
      </c>
      <c r="AM87" s="70">
        <v>6001038</v>
      </c>
      <c r="AN87" s="70">
        <v>8440645</v>
      </c>
      <c r="AO87" s="70">
        <v>8606498</v>
      </c>
      <c r="AP87" s="70">
        <v>8556202</v>
      </c>
      <c r="AQ87" s="70">
        <v>9846959</v>
      </c>
      <c r="AR87" s="70">
        <v>9328671</v>
      </c>
      <c r="AS87" s="70">
        <v>10414518</v>
      </c>
      <c r="AT87" s="70">
        <v>10926053</v>
      </c>
      <c r="AU87" s="70">
        <v>10838293</v>
      </c>
      <c r="AV87" s="70">
        <v>10887480</v>
      </c>
      <c r="AW87" s="70">
        <v>10330318</v>
      </c>
      <c r="AX87" s="70">
        <f>'Fuel Vol and Credit Gen'!AX16</f>
        <v>10876569</v>
      </c>
      <c r="AY87" s="70">
        <v>9925855</v>
      </c>
      <c r="AZ87" s="70">
        <v>9481514</v>
      </c>
      <c r="BA87" s="70">
        <v>9739520</v>
      </c>
      <c r="BB87" s="70">
        <v>9710622</v>
      </c>
      <c r="BC87" s="70">
        <v>9352107</v>
      </c>
      <c r="BD87" s="70">
        <v>9024625</v>
      </c>
      <c r="BE87" s="70">
        <v>8286227</v>
      </c>
      <c r="BF87" s="77">
        <f>'Fuel Vol and Credit Gen'!BF16</f>
        <v>8492399.68102175</v>
      </c>
      <c r="BG87" s="77">
        <f>'Fuel Vol and Credit Gen'!BG16</f>
        <v>7349697.1214581039</v>
      </c>
      <c r="BH87" s="77">
        <f>'Fuel Vol and Credit Gen'!BH16</f>
        <v>5041984.3821920138</v>
      </c>
      <c r="BI87" s="77">
        <f>'Fuel Vol and Credit Gen'!BI16</f>
        <v>5146633.0134797962</v>
      </c>
      <c r="BJ87" s="77">
        <f>'Fuel Vol and Credit Gen'!BJ16</f>
        <v>4486518.5804936439</v>
      </c>
      <c r="BK87" s="77">
        <f>'Fuel Vol and Credit Gen'!BK16</f>
        <v>0</v>
      </c>
      <c r="BL87" s="77">
        <f>'Fuel Vol and Credit Gen'!BL16</f>
        <v>0</v>
      </c>
      <c r="BM87" s="77">
        <f>'Fuel Vol and Credit Gen'!BM16</f>
        <v>0</v>
      </c>
      <c r="BN87" s="77">
        <f>'Fuel Vol and Credit Gen'!BN16</f>
        <v>0</v>
      </c>
      <c r="BO87" s="77">
        <f>'Fuel Vol and Credit Gen'!BO16</f>
        <v>0</v>
      </c>
      <c r="BP87" s="77">
        <f>'Fuel Vol and Credit Gen'!BP16</f>
        <v>0</v>
      </c>
      <c r="BQ87" s="77">
        <f>'Fuel Vol and Credit Gen'!BQ16</f>
        <v>0</v>
      </c>
      <c r="BR87" s="77">
        <f>'Fuel Vol and Credit Gen'!BR16</f>
        <v>0</v>
      </c>
      <c r="BS87" s="77">
        <f>'Fuel Vol and Credit Gen'!BS16</f>
        <v>0</v>
      </c>
      <c r="BT87" s="77">
        <f>'Fuel Vol and Credit Gen'!BT16</f>
        <v>0</v>
      </c>
      <c r="BU87" s="77">
        <f>'Fuel Vol and Credit Gen'!BU16</f>
        <v>0</v>
      </c>
      <c r="BV87" s="77">
        <f>'Fuel Vol and Credit Gen'!BV16</f>
        <v>0</v>
      </c>
      <c r="BW87" s="77">
        <f>'Fuel Vol and Credit Gen'!BW16</f>
        <v>0</v>
      </c>
      <c r="BX87" s="77">
        <f>'Fuel Vol and Credit Gen'!BX16</f>
        <v>0</v>
      </c>
      <c r="BY87" s="77">
        <f>'Fuel Vol and Credit Gen'!BY16</f>
        <v>0</v>
      </c>
      <c r="BZ87" s="77">
        <f>'Fuel Vol and Credit Gen'!BZ16</f>
        <v>0</v>
      </c>
      <c r="CA87" s="77">
        <f>'Fuel Vol and Credit Gen'!CA16</f>
        <v>0</v>
      </c>
      <c r="CB87" s="77">
        <f>'Fuel Vol and Credit Gen'!CB16</f>
        <v>0</v>
      </c>
      <c r="CC87" s="77">
        <f>'Fuel Vol and Credit Gen'!CC16</f>
        <v>0</v>
      </c>
      <c r="CD87" s="77">
        <f>'Fuel Vol and Credit Gen'!CD16</f>
        <v>0</v>
      </c>
      <c r="CE87" s="77">
        <f>'Fuel Vol and Credit Gen'!CE16</f>
        <v>0</v>
      </c>
      <c r="CF87" s="77">
        <f>'Fuel Vol and Credit Gen'!CF16</f>
        <v>0</v>
      </c>
      <c r="CG87" s="77">
        <f>'Fuel Vol and Credit Gen'!CG16</f>
        <v>0</v>
      </c>
      <c r="CH87" s="77">
        <f>'Fuel Vol and Credit Gen'!CH16</f>
        <v>0</v>
      </c>
      <c r="CI87" s="77">
        <f>'Fuel Vol and Credit Gen'!CI16</f>
        <v>0</v>
      </c>
      <c r="CJ87" s="77">
        <f>'Fuel Vol and Credit Gen'!CJ16</f>
        <v>0</v>
      </c>
      <c r="CK87" s="77">
        <f>'Fuel Vol and Credit Gen'!CK16</f>
        <v>0</v>
      </c>
      <c r="CL87" s="77">
        <f>'Fuel Vol and Credit Gen'!CL16</f>
        <v>0</v>
      </c>
      <c r="CM87" s="77">
        <f>'Fuel Vol and Credit Gen'!CM16</f>
        <v>0</v>
      </c>
      <c r="CN87" s="77">
        <f>'Fuel Vol and Credit Gen'!CN16</f>
        <v>0</v>
      </c>
      <c r="CO87" s="77">
        <f>'Fuel Vol and Credit Gen'!CO16</f>
        <v>0</v>
      </c>
      <c r="CP87" s="77">
        <f>'Fuel Vol and Credit Gen'!CP16</f>
        <v>0</v>
      </c>
      <c r="CQ87" s="77">
        <f>'Fuel Vol and Credit Gen'!CQ16</f>
        <v>0</v>
      </c>
      <c r="CR87" s="77">
        <f>'Fuel Vol and Credit Gen'!CR16</f>
        <v>0</v>
      </c>
      <c r="CS87" s="77">
        <f>'Fuel Vol and Credit Gen'!CS16</f>
        <v>0</v>
      </c>
      <c r="CT87" s="77">
        <f>'Fuel Vol and Credit Gen'!CT16</f>
        <v>0</v>
      </c>
      <c r="CU87" s="77">
        <f>'Fuel Vol and Credit Gen'!CU16</f>
        <v>0</v>
      </c>
      <c r="CV87" s="77">
        <f>'Fuel Vol and Credit Gen'!CV16</f>
        <v>0</v>
      </c>
      <c r="CW87" s="77">
        <f>'Fuel Vol and Credit Gen'!CW16</f>
        <v>0</v>
      </c>
      <c r="CX87" s="77">
        <f>'Fuel Vol and Credit Gen'!CX16</f>
        <v>0</v>
      </c>
      <c r="CY87" s="77">
        <f>'Fuel Vol and Credit Gen'!CY16</f>
        <v>0</v>
      </c>
      <c r="CZ87" s="77">
        <f>'Fuel Vol and Credit Gen'!CZ16</f>
        <v>0</v>
      </c>
      <c r="DA87" s="77">
        <f>'Fuel Vol and Credit Gen'!DA16</f>
        <v>0</v>
      </c>
      <c r="DB87" s="77">
        <f>'Fuel Vol and Credit Gen'!DB16</f>
        <v>0</v>
      </c>
      <c r="DC87" s="77">
        <f>'Fuel Vol and Credit Gen'!DC16</f>
        <v>0</v>
      </c>
      <c r="DD87" s="77">
        <f>'Fuel Vol and Credit Gen'!DD16</f>
        <v>0</v>
      </c>
      <c r="DE87" s="77">
        <f>'Fuel Vol and Credit Gen'!DE16</f>
        <v>0</v>
      </c>
      <c r="DF87" s="77">
        <f>'Fuel Vol and Credit Gen'!DF16</f>
        <v>0</v>
      </c>
      <c r="DG87" s="77">
        <f>'Fuel Vol and Credit Gen'!DG16</f>
        <v>0</v>
      </c>
      <c r="DH87" s="77">
        <f>'Fuel Vol and Credit Gen'!DH16</f>
        <v>0</v>
      </c>
      <c r="DI87" s="77">
        <f>'Fuel Vol and Credit Gen'!DI16</f>
        <v>0</v>
      </c>
      <c r="DJ87" s="77">
        <f>'Fuel Vol and Credit Gen'!DJ16</f>
        <v>0</v>
      </c>
      <c r="DK87" s="77">
        <f>'Fuel Vol and Credit Gen'!DK16</f>
        <v>0</v>
      </c>
      <c r="DL87" s="77">
        <f>'Fuel Vol and Credit Gen'!DL16</f>
        <v>0</v>
      </c>
      <c r="DM87" s="77">
        <f>'Fuel Vol and Credit Gen'!DM16</f>
        <v>0</v>
      </c>
      <c r="DN87" s="77">
        <f>'Fuel Vol and Credit Gen'!DN16</f>
        <v>0</v>
      </c>
      <c r="DO87" s="77">
        <f>'Fuel Vol and Credit Gen'!DO16</f>
        <v>0</v>
      </c>
      <c r="DP87" s="77">
        <f>'Fuel Vol and Credit Gen'!DP16</f>
        <v>0</v>
      </c>
      <c r="DQ87" s="77">
        <f>'Fuel Vol and Credit Gen'!DQ16</f>
        <v>0</v>
      </c>
      <c r="DR87" s="77">
        <f>'Fuel Vol and Credit Gen'!DR16</f>
        <v>0</v>
      </c>
      <c r="DS87" s="77">
        <f>'Fuel Vol and Credit Gen'!DS16</f>
        <v>0</v>
      </c>
      <c r="DT87" s="77">
        <f>'Fuel Vol and Credit Gen'!DT16</f>
        <v>0</v>
      </c>
      <c r="DU87" s="77">
        <f>'Fuel Vol and Credit Gen'!DU16</f>
        <v>0</v>
      </c>
      <c r="DV87" s="77">
        <f>'Fuel Vol and Credit Gen'!DV16</f>
        <v>0</v>
      </c>
      <c r="DW87" s="77">
        <f>'Fuel Vol and Credit Gen'!DW16</f>
        <v>0</v>
      </c>
      <c r="DX87" s="77">
        <f>'Fuel Vol and Credit Gen'!DX16</f>
        <v>0</v>
      </c>
      <c r="DY87" s="77">
        <f>'Fuel Vol and Credit Gen'!DY16</f>
        <v>0</v>
      </c>
      <c r="DZ87" s="77">
        <f>'Fuel Vol and Credit Gen'!DZ16</f>
        <v>0</v>
      </c>
    </row>
    <row r="88" spans="1:130" x14ac:dyDescent="0.2">
      <c r="A88" s="39" t="s">
        <v>126</v>
      </c>
      <c r="B88" s="39" t="s">
        <v>125</v>
      </c>
      <c r="C88" s="70">
        <v>3187578208</v>
      </c>
      <c r="D88" s="70">
        <v>3294107893</v>
      </c>
      <c r="E88" s="70">
        <v>3320247258</v>
      </c>
      <c r="F88" s="70">
        <v>3323012827</v>
      </c>
      <c r="G88" s="70">
        <v>3189895483</v>
      </c>
      <c r="H88" s="70">
        <v>3273254068</v>
      </c>
      <c r="I88" s="70">
        <v>3298505633</v>
      </c>
      <c r="J88" s="70">
        <v>3449039221</v>
      </c>
      <c r="K88" s="70">
        <v>2991042519</v>
      </c>
      <c r="L88" s="70">
        <v>3298305567</v>
      </c>
      <c r="M88" s="70">
        <v>3336711067</v>
      </c>
      <c r="N88" s="70">
        <v>3347165477</v>
      </c>
      <c r="O88" s="70">
        <v>3118899568</v>
      </c>
      <c r="P88" s="70">
        <v>3279279406</v>
      </c>
      <c r="Q88" s="70">
        <v>3395731910</v>
      </c>
      <c r="R88" s="70">
        <v>3539912317</v>
      </c>
      <c r="S88" s="70">
        <v>3158733458</v>
      </c>
      <c r="T88" s="70">
        <v>3433573365</v>
      </c>
      <c r="U88" s="70">
        <v>3514621395</v>
      </c>
      <c r="V88" s="70">
        <v>3337634199</v>
      </c>
      <c r="W88" s="70">
        <v>3435633723</v>
      </c>
      <c r="X88" s="70">
        <v>3478700777</v>
      </c>
      <c r="Y88" s="70">
        <v>3566483826</v>
      </c>
      <c r="Z88" s="70">
        <v>3572453275</v>
      </c>
      <c r="AA88" s="70">
        <v>3341219548</v>
      </c>
      <c r="AB88" s="70">
        <v>3529939560</v>
      </c>
      <c r="AC88" s="70">
        <v>3617739626</v>
      </c>
      <c r="AD88" s="70">
        <v>3579790158</v>
      </c>
      <c r="AE88" s="70">
        <v>3314263901</v>
      </c>
      <c r="AF88" s="70">
        <v>3500848195</v>
      </c>
      <c r="AG88" s="70">
        <v>3521521071</v>
      </c>
      <c r="AH88" s="70">
        <v>3442349061</v>
      </c>
      <c r="AI88" s="70">
        <v>3311327792</v>
      </c>
      <c r="AJ88" s="70">
        <v>3490625083</v>
      </c>
      <c r="AK88" s="70">
        <v>3427420016</v>
      </c>
      <c r="AL88" s="70">
        <v>3508158465</v>
      </c>
      <c r="AM88" s="70">
        <v>3139225686</v>
      </c>
      <c r="AN88" s="70">
        <v>2376026761</v>
      </c>
      <c r="AO88" s="70">
        <v>2927129520</v>
      </c>
      <c r="AP88" s="70">
        <v>2896415790</v>
      </c>
      <c r="AQ88" s="70">
        <v>2802093093</v>
      </c>
      <c r="AR88" s="70">
        <v>3141349588</v>
      </c>
      <c r="AS88" s="70">
        <v>3318341379</v>
      </c>
      <c r="AT88" s="70">
        <v>3134290583</v>
      </c>
      <c r="AU88" s="70">
        <v>2984051294</v>
      </c>
      <c r="AV88" s="70">
        <v>3133122469</v>
      </c>
      <c r="AW88" s="70">
        <v>3035442626</v>
      </c>
      <c r="AX88" s="70">
        <f t="shared" ref="AX88" si="189">_xlfn.FORECAST.ETS(AX$19,AN88:AW88,AN$19:AW$19)</f>
        <v>3126403516.1188507</v>
      </c>
      <c r="AY88" s="70">
        <v>2877639926</v>
      </c>
      <c r="AZ88" s="70">
        <v>3101909762</v>
      </c>
      <c r="BA88" s="70">
        <v>3117814822</v>
      </c>
      <c r="BB88" s="70">
        <v>3011760731</v>
      </c>
      <c r="BC88" s="70">
        <v>2923005317</v>
      </c>
      <c r="BD88" s="70">
        <v>3126653399</v>
      </c>
      <c r="BE88" s="70">
        <v>2920630023</v>
      </c>
      <c r="BF88" s="77">
        <f t="shared" ref="BF88:BU89" si="190">_xlfn.FORECAST.ETS(BF$19,AV88:BE88,AV$19:BE$19)</f>
        <v>2989222212.948998</v>
      </c>
      <c r="BG88" s="77">
        <f t="shared" si="190"/>
        <v>2961046650.0072694</v>
      </c>
      <c r="BH88" s="77">
        <f t="shared" si="190"/>
        <v>2974712164.8706927</v>
      </c>
      <c r="BI88" s="77">
        <f t="shared" si="190"/>
        <v>2965128146.1999397</v>
      </c>
      <c r="BJ88" s="77">
        <f t="shared" si="190"/>
        <v>2948949437.5131664</v>
      </c>
      <c r="BK88" s="77">
        <f t="shared" si="190"/>
        <v>2932664092.4199338</v>
      </c>
      <c r="BL88" s="77">
        <f t="shared" si="190"/>
        <v>2938542084.9279871</v>
      </c>
      <c r="BM88" s="77">
        <f t="shared" si="190"/>
        <v>2926102857.1784225</v>
      </c>
      <c r="BN88" s="77">
        <f t="shared" si="190"/>
        <v>2909632461.533638</v>
      </c>
      <c r="BO88" s="77">
        <f t="shared" si="190"/>
        <v>2908154476.7176657</v>
      </c>
      <c r="BP88" s="77">
        <f t="shared" si="190"/>
        <v>2887755733.4575357</v>
      </c>
      <c r="BQ88" s="77">
        <f t="shared" si="190"/>
        <v>2883673821.1619477</v>
      </c>
      <c r="BR88" s="77">
        <f t="shared" si="190"/>
        <v>2873381003.3774829</v>
      </c>
      <c r="BS88" s="77">
        <f t="shared" si="190"/>
        <v>2864424336.2989926</v>
      </c>
      <c r="BT88" s="77">
        <f t="shared" si="190"/>
        <v>2854537293.9498038</v>
      </c>
      <c r="BU88" s="77">
        <f t="shared" si="190"/>
        <v>2845750247.4360871</v>
      </c>
      <c r="BV88" s="77">
        <f t="shared" ref="BV88:DZ89" si="191">_xlfn.FORECAST.ETS(BV$19,BL88:BU88,BL$19:BU$19)</f>
        <v>2834048288.1651115</v>
      </c>
      <c r="BW88" s="77">
        <f t="shared" si="191"/>
        <v>2826553778.297328</v>
      </c>
      <c r="BX88" s="77">
        <f t="shared" si="191"/>
        <v>2813595081.1524954</v>
      </c>
      <c r="BY88" s="77">
        <f t="shared" si="191"/>
        <v>2807497723.0258346</v>
      </c>
      <c r="BZ88" s="77">
        <f t="shared" si="191"/>
        <v>2795676945.5905514</v>
      </c>
      <c r="CA88" s="77">
        <f t="shared" si="191"/>
        <v>2787856003.5355506</v>
      </c>
      <c r="CB88" s="77">
        <f t="shared" si="191"/>
        <v>2776320704.1814737</v>
      </c>
      <c r="CC88" s="77">
        <f t="shared" si="191"/>
        <v>2768497500.3366609</v>
      </c>
      <c r="CD88" s="77">
        <f t="shared" si="191"/>
        <v>2756627066.2593451</v>
      </c>
      <c r="CE88" s="77">
        <f t="shared" si="191"/>
        <v>2749458339.8210154</v>
      </c>
      <c r="CF88" s="77">
        <f t="shared" si="191"/>
        <v>2737478323.6289816</v>
      </c>
      <c r="CG88" s="77">
        <f t="shared" si="191"/>
        <v>2730334477.715282</v>
      </c>
      <c r="CH88" s="77">
        <f t="shared" si="191"/>
        <v>2718361727.2843823</v>
      </c>
      <c r="CI88" s="77">
        <f t="shared" si="191"/>
        <v>2710828055.7369843</v>
      </c>
      <c r="CJ88" s="77">
        <f t="shared" si="191"/>
        <v>2699106157.3363194</v>
      </c>
      <c r="CK88" s="77">
        <f t="shared" si="191"/>
        <v>2691652994.4955063</v>
      </c>
      <c r="CL88" s="77">
        <f t="shared" si="191"/>
        <v>2679797627.6542926</v>
      </c>
      <c r="CM88" s="77">
        <f t="shared" si="191"/>
        <v>2672503377.0220151</v>
      </c>
      <c r="CN88" s="77">
        <f t="shared" si="191"/>
        <v>2660558497.9816995</v>
      </c>
      <c r="CO88" s="77">
        <f t="shared" si="191"/>
        <v>2653202977.9285731</v>
      </c>
      <c r="CP88" s="77">
        <f t="shared" si="191"/>
        <v>2641323557.2977104</v>
      </c>
      <c r="CQ88" s="77">
        <f t="shared" si="191"/>
        <v>2633923684.321816</v>
      </c>
      <c r="CR88" s="77">
        <f t="shared" si="191"/>
        <v>2622112706.4490128</v>
      </c>
      <c r="CS88" s="77">
        <f t="shared" si="191"/>
        <v>2614711732.5781703</v>
      </c>
      <c r="CT88" s="77">
        <f t="shared" si="191"/>
        <v>2602835863.8628597</v>
      </c>
      <c r="CU88" s="77">
        <f t="shared" si="191"/>
        <v>2595481147.8026471</v>
      </c>
      <c r="CV88" s="77">
        <f t="shared" si="191"/>
        <v>2583582374.2036047</v>
      </c>
      <c r="CW88" s="77">
        <f t="shared" si="191"/>
        <v>2576216675.595993</v>
      </c>
      <c r="CX88" s="77">
        <f t="shared" si="191"/>
        <v>2564357407.9598694</v>
      </c>
      <c r="CY88" s="77">
        <f t="shared" si="191"/>
        <v>2556973578.201818</v>
      </c>
      <c r="CZ88" s="77">
        <f t="shared" si="191"/>
        <v>2545113008.4700384</v>
      </c>
      <c r="DA88" s="77">
        <f t="shared" si="191"/>
        <v>2537731736.76404</v>
      </c>
      <c r="DB88" s="77">
        <f t="shared" si="191"/>
        <v>2525859260.7517076</v>
      </c>
      <c r="DC88" s="77">
        <f t="shared" si="191"/>
        <v>2518489773.7717781</v>
      </c>
      <c r="DD88" s="77">
        <f t="shared" si="191"/>
        <v>2506614737.537663</v>
      </c>
      <c r="DE88" s="77">
        <f t="shared" si="191"/>
        <v>2499242759.4014096</v>
      </c>
      <c r="DF88" s="77">
        <f t="shared" si="191"/>
        <v>2487375328.050447</v>
      </c>
      <c r="DG88" s="77">
        <f t="shared" si="191"/>
        <v>2479997885.1958838</v>
      </c>
      <c r="DH88" s="77">
        <f t="shared" si="191"/>
        <v>2468129300.5714793</v>
      </c>
      <c r="DI88" s="77">
        <f t="shared" si="191"/>
        <v>2460753843.7968969</v>
      </c>
      <c r="DJ88" s="77">
        <f t="shared" si="191"/>
        <v>2448883443.954021</v>
      </c>
      <c r="DK88" s="77">
        <f t="shared" si="191"/>
        <v>2441510574.4000144</v>
      </c>
      <c r="DL88" s="77">
        <f t="shared" si="191"/>
        <v>2429639533.1895556</v>
      </c>
      <c r="DM88" s="77">
        <f t="shared" si="191"/>
        <v>2422265460.1413431</v>
      </c>
      <c r="DN88" s="77">
        <f t="shared" si="191"/>
        <v>2410395968.7095003</v>
      </c>
      <c r="DO88" s="77">
        <f t="shared" si="191"/>
        <v>2403020314.189218</v>
      </c>
      <c r="DP88" s="77">
        <f t="shared" si="191"/>
        <v>2391151020.1780944</v>
      </c>
      <c r="DQ88" s="77">
        <f t="shared" si="191"/>
        <v>2383776610.3633389</v>
      </c>
      <c r="DR88" s="77">
        <f t="shared" si="191"/>
        <v>2371906383.429564</v>
      </c>
      <c r="DS88" s="77">
        <f t="shared" si="191"/>
        <v>2364532257.1641126</v>
      </c>
      <c r="DT88" s="77">
        <f t="shared" si="191"/>
        <v>2352662044.7962728</v>
      </c>
      <c r="DU88" s="77">
        <f t="shared" si="191"/>
        <v>2345287501.8336205</v>
      </c>
      <c r="DV88" s="77">
        <f t="shared" si="191"/>
        <v>2333417758.1101012</v>
      </c>
      <c r="DW88" s="77">
        <f t="shared" si="191"/>
        <v>2326043014.5728211</v>
      </c>
      <c r="DX88" s="77">
        <f t="shared" si="191"/>
        <v>2314173288.0698481</v>
      </c>
      <c r="DY88" s="77">
        <f t="shared" si="191"/>
        <v>2306798772.6662917</v>
      </c>
      <c r="DZ88" s="77">
        <f t="shared" si="191"/>
        <v>2294928742.7752523</v>
      </c>
    </row>
    <row r="89" spans="1:130" x14ac:dyDescent="0.2">
      <c r="A89" s="39" t="s">
        <v>127</v>
      </c>
      <c r="B89" s="39" t="s">
        <v>125</v>
      </c>
      <c r="C89" s="70">
        <v>806819602</v>
      </c>
      <c r="D89" s="70">
        <v>898714606</v>
      </c>
      <c r="E89" s="70">
        <v>969964838</v>
      </c>
      <c r="F89" s="70">
        <v>909161464</v>
      </c>
      <c r="G89" s="70">
        <v>771973725</v>
      </c>
      <c r="H89" s="70">
        <v>891135601</v>
      </c>
      <c r="I89" s="70">
        <v>990066549</v>
      </c>
      <c r="J89" s="70">
        <v>922317155</v>
      </c>
      <c r="K89" s="70">
        <v>801458731</v>
      </c>
      <c r="L89" s="70">
        <v>933891967</v>
      </c>
      <c r="M89" s="70">
        <v>914337244</v>
      </c>
      <c r="N89" s="70">
        <v>848422498</v>
      </c>
      <c r="O89" s="70">
        <v>782052674</v>
      </c>
      <c r="P89" s="70">
        <v>853357445</v>
      </c>
      <c r="Q89" s="70">
        <v>928242072</v>
      </c>
      <c r="R89" s="70">
        <v>923253715</v>
      </c>
      <c r="S89" s="70">
        <v>780306276</v>
      </c>
      <c r="T89" s="70">
        <v>891669978</v>
      </c>
      <c r="U89" s="70">
        <v>945127593</v>
      </c>
      <c r="V89" s="70">
        <v>848568072</v>
      </c>
      <c r="W89" s="70">
        <v>771524952</v>
      </c>
      <c r="X89" s="70">
        <v>852507840</v>
      </c>
      <c r="Y89" s="70">
        <v>995644592</v>
      </c>
      <c r="Z89" s="70">
        <v>762491040</v>
      </c>
      <c r="AA89" s="70">
        <v>758909481</v>
      </c>
      <c r="AB89" s="70">
        <v>811130582</v>
      </c>
      <c r="AC89" s="70">
        <v>878738400</v>
      </c>
      <c r="AD89" s="70">
        <v>893171901</v>
      </c>
      <c r="AE89" s="70">
        <v>711401767</v>
      </c>
      <c r="AF89" s="70">
        <v>849679238</v>
      </c>
      <c r="AG89" s="70">
        <v>861843804</v>
      </c>
      <c r="AH89" s="70">
        <v>787497672</v>
      </c>
      <c r="AI89" s="70">
        <v>684643231</v>
      </c>
      <c r="AJ89" s="70">
        <v>757142167</v>
      </c>
      <c r="AK89" s="70">
        <v>791474334</v>
      </c>
      <c r="AL89" s="70">
        <v>754020517</v>
      </c>
      <c r="AM89" s="70">
        <v>621673074</v>
      </c>
      <c r="AN89" s="70">
        <v>679469633</v>
      </c>
      <c r="AO89" s="70">
        <v>723665358</v>
      </c>
      <c r="AP89" s="70">
        <v>701111104</v>
      </c>
      <c r="AQ89" s="70">
        <v>574934106</v>
      </c>
      <c r="AR89" s="70">
        <v>672080316</v>
      </c>
      <c r="AS89" s="70">
        <v>688878020</v>
      </c>
      <c r="AT89" s="70">
        <v>581035867</v>
      </c>
      <c r="AU89" s="70">
        <v>500245522</v>
      </c>
      <c r="AV89" s="70">
        <v>521594545</v>
      </c>
      <c r="AW89" s="70">
        <v>486840255</v>
      </c>
      <c r="AX89" s="70">
        <f t="shared" ref="AX89" si="192">_xlfn.FORECAST.ETS(AX$19,AN89:AW89,AN$19:AW$19)*1.05</f>
        <v>510594081.76175731</v>
      </c>
      <c r="AY89" s="70">
        <v>350392323</v>
      </c>
      <c r="AZ89" s="70">
        <v>344959500</v>
      </c>
      <c r="BA89" s="70">
        <v>392693153</v>
      </c>
      <c r="BB89" s="70">
        <v>320738602</v>
      </c>
      <c r="BC89" s="70">
        <v>217083416</v>
      </c>
      <c r="BD89" s="70">
        <v>214595114</v>
      </c>
      <c r="BE89" s="70">
        <v>307009591</v>
      </c>
      <c r="BF89" s="77">
        <f t="shared" si="190"/>
        <v>114893019.07372282</v>
      </c>
      <c r="BG89" s="77">
        <f t="shared" si="190"/>
        <v>124125261.86673732</v>
      </c>
      <c r="BH89" s="77">
        <f t="shared" si="190"/>
        <v>174156847.30929953</v>
      </c>
      <c r="BI89" s="77">
        <f t="shared" si="190"/>
        <v>30451853.312222362</v>
      </c>
      <c r="BJ89" s="77">
        <f t="shared" si="190"/>
        <v>63397147.003140628</v>
      </c>
      <c r="BK89" s="77">
        <f t="shared" si="190"/>
        <v>69417055.13424629</v>
      </c>
      <c r="BL89" s="77">
        <f t="shared" si="190"/>
        <v>-56624356.663018294</v>
      </c>
      <c r="BM89" s="77">
        <f>_xlfn.FORECAST.ETS(BM$19,BC89:BL89,BC$19:BL$19)</f>
        <v>-48006476.69453378</v>
      </c>
      <c r="BN89" s="77">
        <f t="shared" si="190"/>
        <v>-93518409.99268873</v>
      </c>
      <c r="BO89" s="77">
        <f t="shared" si="190"/>
        <v>-125019771.4794569</v>
      </c>
      <c r="BP89" s="77">
        <f t="shared" si="190"/>
        <v>-148227177.16300306</v>
      </c>
      <c r="BQ89" s="77">
        <f t="shared" si="190"/>
        <v>-195203274.61882108</v>
      </c>
      <c r="BR89" s="77">
        <f t="shared" si="190"/>
        <v>-229912295.4383733</v>
      </c>
      <c r="BS89" s="77">
        <f t="shared" si="190"/>
        <v>-260094770.62342915</v>
      </c>
      <c r="BT89" s="77">
        <f t="shared" si="190"/>
        <v>-302261809.43619865</v>
      </c>
      <c r="BU89" s="77">
        <f t="shared" si="190"/>
        <v>-337484510.82331222</v>
      </c>
      <c r="BV89" s="77">
        <f>_xlfn.FORECAST.ETS(BV$19,BL89:BU89,BL$19:BU$19)</f>
        <v>-369805728.29159075</v>
      </c>
      <c r="BW89" s="77">
        <f t="shared" si="191"/>
        <v>-414551657.9368915</v>
      </c>
      <c r="BX89" s="77">
        <f t="shared" si="191"/>
        <v>-447744580.4899379</v>
      </c>
      <c r="BY89" s="77">
        <f t="shared" si="191"/>
        <v>-483783586.38416493</v>
      </c>
      <c r="BZ89" s="77">
        <f t="shared" si="191"/>
        <v>-524778132.90160519</v>
      </c>
      <c r="CA89" s="77">
        <f t="shared" si="191"/>
        <v>-558777658.63406479</v>
      </c>
      <c r="CB89" s="77">
        <f t="shared" si="191"/>
        <v>-596348983.40476739</v>
      </c>
      <c r="CC89" s="77">
        <f t="shared" si="191"/>
        <v>-633846828.87229657</v>
      </c>
      <c r="CD89" s="77">
        <f t="shared" si="191"/>
        <v>-670992309.53063571</v>
      </c>
      <c r="CE89" s="77">
        <f t="shared" si="191"/>
        <v>-708536849.63879538</v>
      </c>
      <c r="CF89" s="77">
        <f t="shared" si="191"/>
        <v>-745677044.18717825</v>
      </c>
      <c r="CG89" s="77">
        <f>_xlfn.FORECAST.ETS(CG$19,BW89:CF89,BW$19:CF$19)</f>
        <v>-782439118.87375689</v>
      </c>
      <c r="CH89" s="77">
        <f t="shared" si="191"/>
        <v>-819781321.57550204</v>
      </c>
      <c r="CI89" s="77">
        <f t="shared" si="191"/>
        <v>-856950559.06353998</v>
      </c>
      <c r="CJ89" s="77">
        <f t="shared" si="191"/>
        <v>-894029829.17817247</v>
      </c>
      <c r="CK89" s="77">
        <f>_xlfn.FORECAST.ETS(CK$19,CA89:CJ89,CA$19:CJ$19)</f>
        <v>-931273592.06871879</v>
      </c>
      <c r="CL89" s="77">
        <f t="shared" si="191"/>
        <v>-968453893.27646995</v>
      </c>
      <c r="CM89" s="77">
        <f t="shared" si="191"/>
        <v>-1005384041.7739106</v>
      </c>
      <c r="CN89" s="77">
        <f t="shared" si="191"/>
        <v>-1042723245.0220684</v>
      </c>
      <c r="CO89" s="77">
        <f t="shared" si="191"/>
        <v>-1079781211.2324998</v>
      </c>
      <c r="CP89" s="77">
        <f t="shared" si="191"/>
        <v>-1116948258.2869244</v>
      </c>
      <c r="CQ89" s="77">
        <f>_xlfn.FORECAST.ETS(CQ$19,CG89:CP89,CG$19:CP$19)*0.975</f>
        <v>-1125259566.0554307</v>
      </c>
      <c r="CR89" s="77">
        <f>_xlfn.FORECAST.ETS(CR$19,CH89:CQ89,CH$19:CQ$19)</f>
        <v>-1178493263.3557525</v>
      </c>
      <c r="CS89" s="77">
        <f t="shared" si="191"/>
        <v>-1212462890.5691235</v>
      </c>
      <c r="CT89" s="77">
        <f t="shared" si="191"/>
        <v>-1246049151.1736505</v>
      </c>
      <c r="CU89" s="77">
        <f t="shared" si="191"/>
        <v>-1279034232.7094767</v>
      </c>
      <c r="CV89" s="77">
        <f t="shared" si="191"/>
        <v>-1312146526.4493427</v>
      </c>
      <c r="CW89" s="77">
        <f t="shared" si="191"/>
        <v>-1344093129.7933483</v>
      </c>
      <c r="CX89" s="77">
        <f t="shared" si="191"/>
        <v>-1378803349.1041284</v>
      </c>
      <c r="CY89" s="77">
        <f t="shared" si="191"/>
        <v>-1413580486.652056</v>
      </c>
      <c r="CZ89" s="77">
        <f t="shared" si="191"/>
        <v>-1447827252.4083312</v>
      </c>
      <c r="DA89" s="77">
        <f>_xlfn.FORECAST.ETS(DA$19,CQ89:CZ89,CQ$19:CZ$19)</f>
        <v>-1482465792.5202734</v>
      </c>
      <c r="DB89" s="77">
        <f t="shared" si="191"/>
        <v>-1516010649.7753279</v>
      </c>
      <c r="DC89" s="77">
        <f t="shared" si="191"/>
        <v>-1549778609.6972885</v>
      </c>
      <c r="DD89" s="77">
        <f t="shared" si="191"/>
        <v>-1583669448.8912542</v>
      </c>
      <c r="DE89" s="77">
        <f>_xlfn.FORECAST.ETS(DE$19,CU89:DD89,CU$19:DD$19)</f>
        <v>-1617681193.7806642</v>
      </c>
      <c r="DF89" s="77">
        <f t="shared" si="191"/>
        <v>-1651798076.7408223</v>
      </c>
      <c r="DG89" s="77">
        <f t="shared" si="191"/>
        <v>-1685924184.4840651</v>
      </c>
      <c r="DH89" s="77">
        <f t="shared" si="191"/>
        <v>-1719966823.8183441</v>
      </c>
      <c r="DI89" s="77">
        <f t="shared" si="191"/>
        <v>-1753959770.0260303</v>
      </c>
      <c r="DJ89" s="77">
        <f t="shared" si="191"/>
        <v>-1787787791.2281983</v>
      </c>
      <c r="DK89" s="77">
        <f t="shared" si="191"/>
        <v>-1821633283.3741627</v>
      </c>
      <c r="DL89" s="77">
        <f t="shared" si="191"/>
        <v>-1855478434.0209904</v>
      </c>
      <c r="DM89" s="77">
        <f t="shared" si="191"/>
        <v>-1889323584.667846</v>
      </c>
      <c r="DN89" s="77">
        <f t="shared" si="191"/>
        <v>-1923168735.3147106</v>
      </c>
      <c r="DO89" s="77">
        <f t="shared" si="191"/>
        <v>-1957013885.9615641</v>
      </c>
      <c r="DP89" s="77">
        <f t="shared" si="191"/>
        <v>-1990859036.6083877</v>
      </c>
      <c r="DQ89" s="77">
        <f t="shared" si="191"/>
        <v>-2024727877.9341874</v>
      </c>
      <c r="DR89" s="77">
        <f t="shared" si="191"/>
        <v>-2058579355.8660135</v>
      </c>
      <c r="DS89" s="77">
        <f t="shared" si="191"/>
        <v>-2092425566.9205532</v>
      </c>
      <c r="DT89" s="77">
        <f t="shared" si="191"/>
        <v>-2126274639.6187816</v>
      </c>
      <c r="DU89" s="77">
        <f t="shared" si="191"/>
        <v>-2160124447.0930347</v>
      </c>
      <c r="DV89" s="77">
        <f t="shared" si="191"/>
        <v>-2193974947.200316</v>
      </c>
      <c r="DW89" s="77">
        <f t="shared" si="191"/>
        <v>-2227827587.667418</v>
      </c>
      <c r="DX89" s="77">
        <f t="shared" si="191"/>
        <v>-2261681950.4071479</v>
      </c>
      <c r="DY89" s="77">
        <f t="shared" si="191"/>
        <v>-2295531921.3364167</v>
      </c>
      <c r="DZ89" s="77">
        <f t="shared" si="191"/>
        <v>-2329383396.7866001</v>
      </c>
    </row>
    <row r="90" spans="1:130" x14ac:dyDescent="0.2">
      <c r="A90" s="76"/>
      <c r="B90" s="39"/>
      <c r="C90" s="69"/>
      <c r="D90" s="69"/>
      <c r="E90" s="69"/>
      <c r="F90" s="69"/>
      <c r="G90" s="69"/>
      <c r="H90" s="69"/>
      <c r="I90" s="69"/>
      <c r="J90" s="69"/>
      <c r="K90" s="69"/>
      <c r="L90" s="69"/>
      <c r="M90" s="69"/>
      <c r="N90" s="69"/>
      <c r="O90" s="69"/>
      <c r="P90" s="69"/>
      <c r="Q90" s="69"/>
      <c r="R90" s="69"/>
      <c r="S90" s="69"/>
      <c r="T90" s="69"/>
      <c r="U90" s="69"/>
      <c r="V90" s="69"/>
      <c r="W90" s="69"/>
      <c r="X90" s="69"/>
      <c r="Y90" s="69"/>
      <c r="Z90" s="69"/>
      <c r="AA90" s="69"/>
      <c r="AB90" s="69"/>
      <c r="AC90" s="69"/>
      <c r="AD90" s="69"/>
      <c r="AE90" s="69"/>
      <c r="AF90" s="69"/>
      <c r="AG90" s="69"/>
      <c r="AH90" s="69"/>
      <c r="AI90" s="69"/>
      <c r="AJ90" s="119"/>
      <c r="AK90" s="119"/>
      <c r="AL90" s="119"/>
      <c r="AM90" s="119"/>
      <c r="AN90" s="119"/>
      <c r="AO90" s="119"/>
    </row>
    <row r="91" spans="1:130" ht="18" x14ac:dyDescent="0.2">
      <c r="A91" s="63" t="s">
        <v>128</v>
      </c>
      <c r="B91" s="64" t="s">
        <v>87</v>
      </c>
      <c r="C91" s="65"/>
      <c r="D91" s="65"/>
      <c r="E91" s="65"/>
      <c r="F91" s="65">
        <v>2011</v>
      </c>
      <c r="G91" s="65"/>
      <c r="H91" s="65"/>
      <c r="I91" s="65"/>
      <c r="J91" s="65">
        <v>2012</v>
      </c>
      <c r="K91" s="65"/>
      <c r="L91" s="65"/>
      <c r="M91" s="65"/>
      <c r="N91" s="65">
        <v>2013</v>
      </c>
      <c r="O91" s="65"/>
      <c r="P91" s="65"/>
      <c r="Q91" s="65"/>
      <c r="R91" s="65">
        <v>2014</v>
      </c>
      <c r="S91" s="65"/>
      <c r="T91" s="65"/>
      <c r="U91" s="65"/>
      <c r="V91" s="65">
        <v>2015</v>
      </c>
      <c r="W91" s="65"/>
      <c r="X91" s="65"/>
      <c r="Y91" s="65"/>
      <c r="Z91" s="65">
        <v>2016</v>
      </c>
      <c r="AA91" s="65"/>
      <c r="AB91" s="65"/>
      <c r="AC91" s="65"/>
      <c r="AD91" s="65">
        <v>2017</v>
      </c>
      <c r="AE91" s="66"/>
      <c r="AF91" s="66"/>
      <c r="AG91" s="66"/>
      <c r="AH91" s="67">
        <v>2018</v>
      </c>
      <c r="AI91" s="67"/>
      <c r="AJ91" s="67"/>
      <c r="AK91" s="67"/>
      <c r="AL91" s="67">
        <v>2019</v>
      </c>
      <c r="AM91" s="67"/>
      <c r="AN91" s="67"/>
      <c r="AO91" s="66"/>
      <c r="AP91" s="66">
        <v>2020</v>
      </c>
      <c r="AQ91" s="66"/>
      <c r="AR91" s="66"/>
      <c r="AS91" s="66"/>
      <c r="AT91" s="66">
        <v>2021</v>
      </c>
      <c r="AU91" s="66"/>
      <c r="AV91" s="66"/>
      <c r="AW91" s="66"/>
      <c r="AX91" s="66">
        <v>2022</v>
      </c>
      <c r="AY91" s="66"/>
      <c r="AZ91" s="66"/>
      <c r="BA91" s="66"/>
      <c r="BB91" s="66">
        <v>2023</v>
      </c>
      <c r="BC91" s="66"/>
      <c r="BD91" s="66"/>
      <c r="BE91" s="66"/>
      <c r="BF91" s="66">
        <v>2024</v>
      </c>
      <c r="BG91" s="66"/>
      <c r="BH91" s="66"/>
      <c r="BI91" s="66"/>
      <c r="BJ91" s="66">
        <v>2025</v>
      </c>
      <c r="BK91" s="66"/>
      <c r="BL91" s="66"/>
      <c r="BM91" s="66"/>
      <c r="BN91" s="66">
        <v>2026</v>
      </c>
      <c r="BO91" s="66"/>
      <c r="BP91" s="66"/>
      <c r="BQ91" s="66"/>
      <c r="BR91" s="66">
        <v>2027</v>
      </c>
      <c r="BS91" s="66"/>
      <c r="BT91" s="66"/>
      <c r="BU91" s="66"/>
      <c r="BV91" s="66">
        <v>2028</v>
      </c>
      <c r="BW91" s="66"/>
      <c r="BX91" s="66"/>
      <c r="BY91" s="66"/>
      <c r="BZ91" s="66">
        <v>2029</v>
      </c>
      <c r="CA91" s="66"/>
      <c r="CB91" s="66"/>
      <c r="CC91" s="66"/>
      <c r="CD91" s="66">
        <v>2030</v>
      </c>
      <c r="CE91" s="66"/>
      <c r="CF91" s="66"/>
      <c r="CG91" s="66"/>
      <c r="CH91" s="66">
        <v>2031</v>
      </c>
      <c r="CI91" s="66"/>
      <c r="CJ91" s="66"/>
      <c r="CK91" s="66"/>
      <c r="CL91" s="66">
        <v>2032</v>
      </c>
      <c r="CM91" s="66"/>
      <c r="CN91" s="66"/>
      <c r="CO91" s="66"/>
      <c r="CP91" s="66">
        <v>2033</v>
      </c>
      <c r="CQ91" s="66"/>
      <c r="CR91" s="66"/>
      <c r="CS91" s="66"/>
      <c r="CT91" s="66">
        <v>2034</v>
      </c>
      <c r="CU91" s="66"/>
      <c r="CV91" s="66"/>
      <c r="CW91" s="66"/>
      <c r="CX91" s="66">
        <v>2035</v>
      </c>
      <c r="CY91" s="66"/>
      <c r="CZ91" s="66"/>
      <c r="DA91" s="66"/>
      <c r="DB91" s="66">
        <v>2036</v>
      </c>
      <c r="DC91" s="66"/>
      <c r="DD91" s="66"/>
      <c r="DE91" s="66"/>
      <c r="DF91" s="66">
        <v>2037</v>
      </c>
      <c r="DG91" s="66"/>
      <c r="DH91" s="66"/>
      <c r="DI91" s="66"/>
      <c r="DJ91" s="66">
        <v>2038</v>
      </c>
      <c r="DK91" s="66"/>
      <c r="DL91" s="66"/>
      <c r="DM91" s="66"/>
      <c r="DN91" s="66">
        <v>2039</v>
      </c>
      <c r="DO91" s="66"/>
      <c r="DP91" s="66"/>
      <c r="DQ91" s="66"/>
      <c r="DR91" s="66">
        <v>2040</v>
      </c>
      <c r="DS91" s="66"/>
      <c r="DT91" s="66"/>
      <c r="DU91" s="66"/>
      <c r="DV91" s="66">
        <v>2041</v>
      </c>
      <c r="DW91" s="66"/>
      <c r="DX91" s="66"/>
      <c r="DY91" s="66"/>
      <c r="DZ91" s="66"/>
    </row>
    <row r="92" spans="1:130" x14ac:dyDescent="0.2">
      <c r="A92" s="68" t="s">
        <v>129</v>
      </c>
      <c r="B92" s="39" t="s">
        <v>88</v>
      </c>
      <c r="C92" s="39" t="s">
        <v>160</v>
      </c>
      <c r="D92" s="39" t="s">
        <v>69</v>
      </c>
      <c r="E92" s="39" t="s">
        <v>70</v>
      </c>
      <c r="F92" s="39" t="s">
        <v>71</v>
      </c>
      <c r="G92" s="39" t="s">
        <v>161</v>
      </c>
      <c r="H92" s="39" t="s">
        <v>69</v>
      </c>
      <c r="I92" s="39" t="s">
        <v>70</v>
      </c>
      <c r="J92" s="39" t="s">
        <v>71</v>
      </c>
      <c r="K92" s="39" t="s">
        <v>162</v>
      </c>
      <c r="L92" s="39" t="s">
        <v>69</v>
      </c>
      <c r="M92" s="39" t="s">
        <v>70</v>
      </c>
      <c r="N92" s="39" t="s">
        <v>71</v>
      </c>
      <c r="O92" s="39" t="s">
        <v>163</v>
      </c>
      <c r="P92" s="39" t="s">
        <v>69</v>
      </c>
      <c r="Q92" s="39" t="s">
        <v>70</v>
      </c>
      <c r="R92" s="39" t="s">
        <v>71</v>
      </c>
      <c r="S92" s="39" t="s">
        <v>164</v>
      </c>
      <c r="T92" s="39" t="s">
        <v>69</v>
      </c>
      <c r="U92" s="39" t="s">
        <v>70</v>
      </c>
      <c r="V92" s="39" t="s">
        <v>71</v>
      </c>
      <c r="W92" s="39" t="s">
        <v>165</v>
      </c>
      <c r="X92" s="39" t="s">
        <v>69</v>
      </c>
      <c r="Y92" s="39" t="s">
        <v>70</v>
      </c>
      <c r="Z92" s="39" t="s">
        <v>71</v>
      </c>
      <c r="AA92" s="39" t="s">
        <v>166</v>
      </c>
      <c r="AB92" s="39" t="s">
        <v>69</v>
      </c>
      <c r="AC92" s="39" t="s">
        <v>70</v>
      </c>
      <c r="AD92" s="39" t="s">
        <v>71</v>
      </c>
      <c r="AE92" s="39" t="s">
        <v>167</v>
      </c>
      <c r="AF92" s="39" t="s">
        <v>69</v>
      </c>
      <c r="AG92" s="39" t="s">
        <v>70</v>
      </c>
      <c r="AH92" s="39" t="s">
        <v>71</v>
      </c>
      <c r="AI92" s="39" t="s">
        <v>168</v>
      </c>
      <c r="AJ92" s="69" t="s">
        <v>69</v>
      </c>
      <c r="AK92" s="69" t="s">
        <v>70</v>
      </c>
      <c r="AL92" s="69" t="s">
        <v>71</v>
      </c>
      <c r="AM92" s="39" t="s">
        <v>169</v>
      </c>
      <c r="AN92" s="39" t="s">
        <v>69</v>
      </c>
      <c r="AO92" s="39" t="s">
        <v>70</v>
      </c>
      <c r="AP92" s="39" t="s">
        <v>71</v>
      </c>
      <c r="AQ92" s="39" t="str">
        <f>AQ76</f>
        <v>2021Q1</v>
      </c>
      <c r="AR92" s="39" t="str">
        <f t="shared" ref="AR92:DC92" si="193">AR76</f>
        <v>Q2</v>
      </c>
      <c r="AS92" s="39" t="str">
        <f t="shared" si="193"/>
        <v>Q3</v>
      </c>
      <c r="AT92" s="39" t="str">
        <f t="shared" si="193"/>
        <v>Q4</v>
      </c>
      <c r="AU92" s="39" t="str">
        <f t="shared" si="193"/>
        <v>2022Q1</v>
      </c>
      <c r="AV92" s="39" t="str">
        <f t="shared" si="193"/>
        <v>Q2</v>
      </c>
      <c r="AW92" s="39" t="str">
        <f t="shared" si="193"/>
        <v>Q3</v>
      </c>
      <c r="AX92" s="39" t="str">
        <f t="shared" si="193"/>
        <v>Q4</v>
      </c>
      <c r="AY92" s="39" t="str">
        <f t="shared" si="193"/>
        <v>2023Q1</v>
      </c>
      <c r="AZ92" s="39" t="str">
        <f t="shared" si="193"/>
        <v>Q2</v>
      </c>
      <c r="BA92" s="39" t="str">
        <f t="shared" si="193"/>
        <v>Q3</v>
      </c>
      <c r="BB92" s="39" t="str">
        <f t="shared" si="193"/>
        <v>Q4</v>
      </c>
      <c r="BC92" s="39" t="str">
        <f t="shared" si="193"/>
        <v>2024Q1</v>
      </c>
      <c r="BD92" s="39" t="str">
        <f t="shared" si="193"/>
        <v>Q2</v>
      </c>
      <c r="BE92" s="39" t="str">
        <f t="shared" si="193"/>
        <v>Q3</v>
      </c>
      <c r="BF92" s="39" t="str">
        <f t="shared" si="193"/>
        <v>Q4</v>
      </c>
      <c r="BG92" s="39" t="str">
        <f t="shared" si="193"/>
        <v>2025Q1</v>
      </c>
      <c r="BH92" s="39" t="str">
        <f t="shared" si="193"/>
        <v>Q2</v>
      </c>
      <c r="BI92" s="39" t="str">
        <f t="shared" si="193"/>
        <v>Q3</v>
      </c>
      <c r="BJ92" s="39" t="str">
        <f t="shared" si="193"/>
        <v>Q4</v>
      </c>
      <c r="BK92" s="39" t="str">
        <f t="shared" si="193"/>
        <v>2026Q1</v>
      </c>
      <c r="BL92" s="39" t="str">
        <f t="shared" si="193"/>
        <v>Q2</v>
      </c>
      <c r="BM92" s="39" t="str">
        <f t="shared" si="193"/>
        <v>Q3</v>
      </c>
      <c r="BN92" s="39" t="str">
        <f t="shared" si="193"/>
        <v>Q4</v>
      </c>
      <c r="BO92" s="39" t="str">
        <f t="shared" si="193"/>
        <v>2027Q1</v>
      </c>
      <c r="BP92" s="39" t="str">
        <f t="shared" si="193"/>
        <v>Q2</v>
      </c>
      <c r="BQ92" s="39" t="str">
        <f t="shared" si="193"/>
        <v>Q3</v>
      </c>
      <c r="BR92" s="39" t="str">
        <f t="shared" si="193"/>
        <v>Q4</v>
      </c>
      <c r="BS92" s="39" t="str">
        <f t="shared" si="193"/>
        <v>2028Q1</v>
      </c>
      <c r="BT92" s="39" t="str">
        <f t="shared" si="193"/>
        <v>Q2</v>
      </c>
      <c r="BU92" s="39" t="str">
        <f t="shared" si="193"/>
        <v>Q3</v>
      </c>
      <c r="BV92" s="39" t="str">
        <f t="shared" si="193"/>
        <v>Q4</v>
      </c>
      <c r="BW92" s="39" t="str">
        <f t="shared" si="193"/>
        <v>2029Q1</v>
      </c>
      <c r="BX92" s="39" t="str">
        <f t="shared" si="193"/>
        <v>Q2</v>
      </c>
      <c r="BY92" s="39" t="str">
        <f t="shared" si="193"/>
        <v>Q3</v>
      </c>
      <c r="BZ92" s="39" t="str">
        <f t="shared" si="193"/>
        <v>Q4</v>
      </c>
      <c r="CA92" s="39" t="str">
        <f t="shared" si="193"/>
        <v>2030Q1</v>
      </c>
      <c r="CB92" s="39" t="str">
        <f t="shared" si="193"/>
        <v>Q2</v>
      </c>
      <c r="CC92" s="39" t="str">
        <f t="shared" si="193"/>
        <v>Q3</v>
      </c>
      <c r="CD92" s="39" t="str">
        <f t="shared" si="193"/>
        <v>Q4</v>
      </c>
      <c r="CE92" s="39" t="str">
        <f t="shared" si="193"/>
        <v>2031Q1</v>
      </c>
      <c r="CF92" s="39" t="str">
        <f t="shared" si="193"/>
        <v>Q2</v>
      </c>
      <c r="CG92" s="39" t="str">
        <f t="shared" si="193"/>
        <v>Q3</v>
      </c>
      <c r="CH92" s="39" t="str">
        <f t="shared" si="193"/>
        <v>Q4</v>
      </c>
      <c r="CI92" s="39" t="str">
        <f t="shared" si="193"/>
        <v>2032Q1</v>
      </c>
      <c r="CJ92" s="39" t="str">
        <f t="shared" si="193"/>
        <v>Q2</v>
      </c>
      <c r="CK92" s="39" t="str">
        <f t="shared" si="193"/>
        <v>Q3</v>
      </c>
      <c r="CL92" s="39" t="str">
        <f t="shared" si="193"/>
        <v>Q4</v>
      </c>
      <c r="CM92" s="39" t="str">
        <f t="shared" si="193"/>
        <v>2033Q1</v>
      </c>
      <c r="CN92" s="39" t="str">
        <f t="shared" si="193"/>
        <v>Q2</v>
      </c>
      <c r="CO92" s="39" t="str">
        <f t="shared" si="193"/>
        <v>Q3</v>
      </c>
      <c r="CP92" s="39" t="str">
        <f t="shared" si="193"/>
        <v>Q4</v>
      </c>
      <c r="CQ92" s="39" t="str">
        <f t="shared" si="193"/>
        <v>2034Q1</v>
      </c>
      <c r="CR92" s="39" t="str">
        <f t="shared" si="193"/>
        <v>Q2</v>
      </c>
      <c r="CS92" s="39" t="str">
        <f t="shared" si="193"/>
        <v>Q3</v>
      </c>
      <c r="CT92" s="39" t="str">
        <f t="shared" si="193"/>
        <v>Q4</v>
      </c>
      <c r="CU92" s="39" t="str">
        <f t="shared" si="193"/>
        <v>2035Q1</v>
      </c>
      <c r="CV92" s="39" t="str">
        <f t="shared" si="193"/>
        <v>Q2</v>
      </c>
      <c r="CW92" s="39" t="str">
        <f t="shared" si="193"/>
        <v>Q3</v>
      </c>
      <c r="CX92" s="39" t="str">
        <f t="shared" si="193"/>
        <v>Q4</v>
      </c>
      <c r="CY92" s="39" t="str">
        <f t="shared" si="193"/>
        <v>2036Q1</v>
      </c>
      <c r="CZ92" s="39" t="str">
        <f t="shared" si="193"/>
        <v>Q2</v>
      </c>
      <c r="DA92" s="39" t="str">
        <f t="shared" si="193"/>
        <v>Q3</v>
      </c>
      <c r="DB92" s="39" t="str">
        <f t="shared" si="193"/>
        <v>Q4</v>
      </c>
      <c r="DC92" s="39" t="str">
        <f t="shared" si="193"/>
        <v>2037Q1</v>
      </c>
      <c r="DD92" s="39" t="str">
        <f t="shared" ref="DD92:DZ92" si="194">DD76</f>
        <v>Q2</v>
      </c>
      <c r="DE92" s="39" t="str">
        <f t="shared" si="194"/>
        <v>Q3</v>
      </c>
      <c r="DF92" s="39" t="str">
        <f t="shared" si="194"/>
        <v>Q4</v>
      </c>
      <c r="DG92" s="39" t="str">
        <f t="shared" si="194"/>
        <v>2038Q1</v>
      </c>
      <c r="DH92" s="39" t="str">
        <f t="shared" si="194"/>
        <v>Q2</v>
      </c>
      <c r="DI92" s="39" t="str">
        <f t="shared" si="194"/>
        <v>Q3</v>
      </c>
      <c r="DJ92" s="39" t="str">
        <f t="shared" si="194"/>
        <v>Q4</v>
      </c>
      <c r="DK92" s="39" t="str">
        <f t="shared" si="194"/>
        <v>2039Q1</v>
      </c>
      <c r="DL92" s="39" t="str">
        <f t="shared" si="194"/>
        <v>Q2</v>
      </c>
      <c r="DM92" s="39" t="str">
        <f t="shared" si="194"/>
        <v>Q3</v>
      </c>
      <c r="DN92" s="39" t="str">
        <f t="shared" si="194"/>
        <v>Q4</v>
      </c>
      <c r="DO92" s="39" t="str">
        <f t="shared" si="194"/>
        <v>2040Q1</v>
      </c>
      <c r="DP92" s="39" t="str">
        <f t="shared" si="194"/>
        <v>Q2</v>
      </c>
      <c r="DQ92" s="39" t="str">
        <f t="shared" si="194"/>
        <v>Q3</v>
      </c>
      <c r="DR92" s="39" t="str">
        <f t="shared" si="194"/>
        <v>Q4</v>
      </c>
      <c r="DS92" s="39" t="str">
        <f t="shared" si="194"/>
        <v>2041Q1</v>
      </c>
      <c r="DT92" s="39" t="str">
        <f t="shared" si="194"/>
        <v>Q2</v>
      </c>
      <c r="DU92" s="39" t="str">
        <f t="shared" si="194"/>
        <v>Q3</v>
      </c>
      <c r="DV92" s="39" t="str">
        <f t="shared" si="194"/>
        <v>Q4</v>
      </c>
      <c r="DW92" s="39" t="str">
        <f t="shared" si="194"/>
        <v>2042Q1</v>
      </c>
      <c r="DX92" s="39" t="str">
        <f t="shared" si="194"/>
        <v>Q2</v>
      </c>
      <c r="DY92" s="39" t="str">
        <f t="shared" si="194"/>
        <v>Q3</v>
      </c>
      <c r="DZ92" s="39" t="str">
        <f t="shared" si="194"/>
        <v>Q4</v>
      </c>
    </row>
    <row r="93" spans="1:130" x14ac:dyDescent="0.2">
      <c r="A93" s="40" t="s">
        <v>131</v>
      </c>
      <c r="B93" s="39" t="s">
        <v>123</v>
      </c>
      <c r="C93" s="70">
        <v>21816</v>
      </c>
      <c r="D93" s="70">
        <v>60591</v>
      </c>
      <c r="E93" s="70">
        <v>119059</v>
      </c>
      <c r="F93" s="70">
        <v>171607</v>
      </c>
      <c r="G93" s="70">
        <v>220891</v>
      </c>
      <c r="H93" s="70">
        <v>271183</v>
      </c>
      <c r="I93" s="70">
        <v>355146</v>
      </c>
      <c r="J93" s="70">
        <v>468250</v>
      </c>
      <c r="K93" s="70">
        <v>575617</v>
      </c>
      <c r="L93" s="70">
        <v>746463</v>
      </c>
      <c r="M93" s="70">
        <v>957652</v>
      </c>
      <c r="N93" s="70">
        <v>1320154</v>
      </c>
      <c r="O93" s="70">
        <v>1595430</v>
      </c>
      <c r="P93" s="70">
        <v>1950333</v>
      </c>
      <c r="Q93" s="70">
        <v>2266455</v>
      </c>
      <c r="R93" s="70">
        <v>2640450</v>
      </c>
      <c r="S93" s="70">
        <v>2820481</v>
      </c>
      <c r="T93" s="70">
        <v>2990668</v>
      </c>
      <c r="U93" s="70">
        <v>3498333</v>
      </c>
      <c r="V93" s="70">
        <v>3652731</v>
      </c>
      <c r="W93" s="70">
        <v>4872477</v>
      </c>
      <c r="X93" s="70">
        <v>5167531</v>
      </c>
      <c r="Y93" s="70">
        <v>5538669</v>
      </c>
      <c r="Z93" s="70">
        <v>6455415</v>
      </c>
      <c r="AA93" s="70">
        <v>7501199</v>
      </c>
      <c r="AB93" s="70">
        <v>7582920</v>
      </c>
      <c r="AC93" s="70">
        <v>8034459</v>
      </c>
      <c r="AD93" s="70">
        <v>8638298</v>
      </c>
      <c r="AE93" s="70">
        <v>10704547</v>
      </c>
      <c r="AF93" s="70">
        <v>11940226</v>
      </c>
      <c r="AG93" s="70">
        <v>13760081</v>
      </c>
      <c r="AH93" s="70">
        <v>15097403</v>
      </c>
      <c r="AI93" s="70">
        <v>0</v>
      </c>
      <c r="AJ93" s="70">
        <v>0</v>
      </c>
      <c r="AK93" s="70">
        <v>0</v>
      </c>
      <c r="AL93" s="70">
        <v>0</v>
      </c>
      <c r="AM93" s="70">
        <v>0</v>
      </c>
      <c r="AN93" s="70">
        <v>0</v>
      </c>
      <c r="AO93" s="70">
        <v>0</v>
      </c>
      <c r="AP93" s="70">
        <v>0</v>
      </c>
      <c r="AQ93" s="70">
        <v>0</v>
      </c>
      <c r="AR93" s="70">
        <v>0</v>
      </c>
      <c r="AS93" s="70">
        <v>0</v>
      </c>
      <c r="AT93" s="70">
        <v>0</v>
      </c>
      <c r="AU93" s="70">
        <v>0</v>
      </c>
      <c r="AV93" s="70">
        <v>0</v>
      </c>
      <c r="AW93" s="77">
        <v>0</v>
      </c>
      <c r="AX93" s="70">
        <f>'Fuel Vol and Credit Gen'!AX22</f>
        <v>0</v>
      </c>
      <c r="AY93" s="70">
        <v>0</v>
      </c>
      <c r="AZ93" s="77">
        <v>0</v>
      </c>
      <c r="BA93" s="70">
        <v>0</v>
      </c>
      <c r="BB93" s="70">
        <v>0</v>
      </c>
      <c r="BC93" s="70">
        <v>0</v>
      </c>
      <c r="BD93" s="70">
        <v>0</v>
      </c>
      <c r="BE93" s="70">
        <v>0</v>
      </c>
      <c r="BF93" s="77">
        <f>'Fuel Vol and Credit Gen'!BF22</f>
        <v>0</v>
      </c>
      <c r="BG93" s="77">
        <f>'Fuel Vol and Credit Gen'!BG22</f>
        <v>0</v>
      </c>
      <c r="BH93" s="77">
        <f>'Fuel Vol and Credit Gen'!BH22</f>
        <v>0</v>
      </c>
      <c r="BI93" s="77">
        <f>'Fuel Vol and Credit Gen'!BI22</f>
        <v>0</v>
      </c>
      <c r="BJ93" s="77">
        <f>'Fuel Vol and Credit Gen'!BJ22</f>
        <v>0</v>
      </c>
      <c r="BK93" s="77">
        <f>'Fuel Vol and Credit Gen'!BK22</f>
        <v>0</v>
      </c>
      <c r="BL93" s="77">
        <f>'Fuel Vol and Credit Gen'!BL22</f>
        <v>0</v>
      </c>
      <c r="BM93" s="77">
        <f>'Fuel Vol and Credit Gen'!BM22</f>
        <v>0</v>
      </c>
      <c r="BN93" s="77">
        <f>'Fuel Vol and Credit Gen'!BN22</f>
        <v>0</v>
      </c>
      <c r="BO93" s="77">
        <f>'Fuel Vol and Credit Gen'!BO22</f>
        <v>0</v>
      </c>
      <c r="BP93" s="77">
        <f>'Fuel Vol and Credit Gen'!BP22</f>
        <v>0</v>
      </c>
      <c r="BQ93" s="77">
        <f>'Fuel Vol and Credit Gen'!BQ22</f>
        <v>0</v>
      </c>
      <c r="BR93" s="77">
        <f>'Fuel Vol and Credit Gen'!BR22</f>
        <v>0</v>
      </c>
      <c r="BS93" s="77">
        <f>'Fuel Vol and Credit Gen'!BS22</f>
        <v>0</v>
      </c>
      <c r="BT93" s="77">
        <f>'Fuel Vol and Credit Gen'!BT22</f>
        <v>0</v>
      </c>
      <c r="BU93" s="77">
        <f>'Fuel Vol and Credit Gen'!BU22</f>
        <v>0</v>
      </c>
      <c r="BV93" s="77">
        <f>'Fuel Vol and Credit Gen'!BV22</f>
        <v>0</v>
      </c>
      <c r="BW93" s="77">
        <f>'Fuel Vol and Credit Gen'!BW22</f>
        <v>0</v>
      </c>
      <c r="BX93" s="77">
        <f>'Fuel Vol and Credit Gen'!BX22</f>
        <v>0</v>
      </c>
      <c r="BY93" s="77">
        <f>'Fuel Vol and Credit Gen'!BY22</f>
        <v>0</v>
      </c>
      <c r="BZ93" s="77">
        <f>'Fuel Vol and Credit Gen'!BZ22</f>
        <v>0</v>
      </c>
      <c r="CA93" s="77">
        <f>'Fuel Vol and Credit Gen'!CA22</f>
        <v>0</v>
      </c>
      <c r="CB93" s="77">
        <f>'Fuel Vol and Credit Gen'!CB22</f>
        <v>0</v>
      </c>
      <c r="CC93" s="77">
        <f>'Fuel Vol and Credit Gen'!CC22</f>
        <v>0</v>
      </c>
      <c r="CD93" s="77">
        <f>'Fuel Vol and Credit Gen'!CD22</f>
        <v>0</v>
      </c>
      <c r="CE93" s="77">
        <f>'Fuel Vol and Credit Gen'!CE22</f>
        <v>0</v>
      </c>
      <c r="CF93" s="77">
        <f>'Fuel Vol and Credit Gen'!CF22</f>
        <v>0</v>
      </c>
      <c r="CG93" s="77">
        <f>'Fuel Vol and Credit Gen'!CG22</f>
        <v>0</v>
      </c>
      <c r="CH93" s="77">
        <f>'Fuel Vol and Credit Gen'!CH22</f>
        <v>0</v>
      </c>
      <c r="CI93" s="77">
        <f>'Fuel Vol and Credit Gen'!CI22</f>
        <v>0</v>
      </c>
      <c r="CJ93" s="77">
        <f>'Fuel Vol and Credit Gen'!CJ22</f>
        <v>0</v>
      </c>
      <c r="CK93" s="77">
        <f>'Fuel Vol and Credit Gen'!CK22</f>
        <v>0</v>
      </c>
      <c r="CL93" s="77">
        <f>'Fuel Vol and Credit Gen'!CL22</f>
        <v>0</v>
      </c>
      <c r="CM93" s="77">
        <f>'Fuel Vol and Credit Gen'!CM22</f>
        <v>0</v>
      </c>
      <c r="CN93" s="77">
        <f>'Fuel Vol and Credit Gen'!CN22</f>
        <v>0</v>
      </c>
      <c r="CO93" s="77">
        <f>'Fuel Vol and Credit Gen'!CO22</f>
        <v>0</v>
      </c>
      <c r="CP93" s="77">
        <f>'Fuel Vol and Credit Gen'!CP22</f>
        <v>0</v>
      </c>
      <c r="CQ93" s="77">
        <f>'Fuel Vol and Credit Gen'!CQ22</f>
        <v>0</v>
      </c>
      <c r="CR93" s="77">
        <f>'Fuel Vol and Credit Gen'!CR22</f>
        <v>0</v>
      </c>
      <c r="CS93" s="77">
        <f>'Fuel Vol and Credit Gen'!CS22</f>
        <v>0</v>
      </c>
      <c r="CT93" s="77">
        <f>'Fuel Vol and Credit Gen'!CT22</f>
        <v>0</v>
      </c>
      <c r="CU93" s="77">
        <f>'Fuel Vol and Credit Gen'!CU22</f>
        <v>0</v>
      </c>
      <c r="CV93" s="77">
        <f>'Fuel Vol and Credit Gen'!CV22</f>
        <v>0</v>
      </c>
      <c r="CW93" s="77">
        <f>'Fuel Vol and Credit Gen'!CW22</f>
        <v>0</v>
      </c>
      <c r="CX93" s="77">
        <f>'Fuel Vol and Credit Gen'!CX22</f>
        <v>0</v>
      </c>
      <c r="CY93" s="77">
        <f>'Fuel Vol and Credit Gen'!CY22</f>
        <v>0</v>
      </c>
      <c r="CZ93" s="77">
        <f>'Fuel Vol and Credit Gen'!CZ22</f>
        <v>0</v>
      </c>
      <c r="DA93" s="77">
        <f>'Fuel Vol and Credit Gen'!DA22</f>
        <v>0</v>
      </c>
      <c r="DB93" s="77">
        <f>'Fuel Vol and Credit Gen'!DB22</f>
        <v>0</v>
      </c>
      <c r="DC93" s="77">
        <f>'Fuel Vol and Credit Gen'!DC22</f>
        <v>0</v>
      </c>
      <c r="DD93" s="77">
        <f>'Fuel Vol and Credit Gen'!DD22</f>
        <v>0</v>
      </c>
      <c r="DE93" s="77">
        <f>'Fuel Vol and Credit Gen'!DE22</f>
        <v>0</v>
      </c>
      <c r="DF93" s="77">
        <f>'Fuel Vol and Credit Gen'!DF22</f>
        <v>0</v>
      </c>
      <c r="DG93" s="77">
        <f>'Fuel Vol and Credit Gen'!DG22</f>
        <v>0</v>
      </c>
      <c r="DH93" s="77">
        <f>'Fuel Vol and Credit Gen'!DH22</f>
        <v>0</v>
      </c>
      <c r="DI93" s="77">
        <f>'Fuel Vol and Credit Gen'!DI22</f>
        <v>0</v>
      </c>
      <c r="DJ93" s="77">
        <f>'Fuel Vol and Credit Gen'!DJ22</f>
        <v>0</v>
      </c>
      <c r="DK93" s="77">
        <f>'Fuel Vol and Credit Gen'!DK22</f>
        <v>0</v>
      </c>
      <c r="DL93" s="77">
        <f>'Fuel Vol and Credit Gen'!DL22</f>
        <v>0</v>
      </c>
      <c r="DM93" s="77">
        <f>'Fuel Vol and Credit Gen'!DM22</f>
        <v>0</v>
      </c>
      <c r="DN93" s="77">
        <f>'Fuel Vol and Credit Gen'!DN22</f>
        <v>0</v>
      </c>
      <c r="DO93" s="77">
        <f>'Fuel Vol and Credit Gen'!DO22</f>
        <v>0</v>
      </c>
      <c r="DP93" s="77">
        <f>'Fuel Vol and Credit Gen'!DP22</f>
        <v>0</v>
      </c>
      <c r="DQ93" s="77">
        <f>'Fuel Vol and Credit Gen'!DQ22</f>
        <v>0</v>
      </c>
      <c r="DR93" s="77">
        <f>'Fuel Vol and Credit Gen'!DR22</f>
        <v>0</v>
      </c>
      <c r="DS93" s="77">
        <f>'Fuel Vol and Credit Gen'!DS22</f>
        <v>0</v>
      </c>
      <c r="DT93" s="77">
        <f>'Fuel Vol and Credit Gen'!DT22</f>
        <v>0</v>
      </c>
      <c r="DU93" s="77">
        <f>'Fuel Vol and Credit Gen'!DU22</f>
        <v>0</v>
      </c>
      <c r="DV93" s="77">
        <f>'Fuel Vol and Credit Gen'!DV22</f>
        <v>0</v>
      </c>
      <c r="DW93" s="77">
        <f>'Fuel Vol and Credit Gen'!DW22</f>
        <v>0</v>
      </c>
      <c r="DX93" s="77">
        <f>'Fuel Vol and Credit Gen'!DX22</f>
        <v>0</v>
      </c>
      <c r="DY93" s="77">
        <f>'Fuel Vol and Credit Gen'!DY22</f>
        <v>0</v>
      </c>
      <c r="DZ93" s="77">
        <f>'Fuel Vol and Credit Gen'!DZ22</f>
        <v>0</v>
      </c>
    </row>
    <row r="94" spans="1:130" x14ac:dyDescent="0.2">
      <c r="A94" s="40" t="s">
        <v>132</v>
      </c>
      <c r="B94" s="39" t="s">
        <v>123</v>
      </c>
      <c r="C94" s="70">
        <v>0</v>
      </c>
      <c r="D94" s="70">
        <v>1624</v>
      </c>
      <c r="E94" s="70">
        <v>0</v>
      </c>
      <c r="F94" s="70">
        <v>0</v>
      </c>
      <c r="G94" s="70">
        <v>0</v>
      </c>
      <c r="H94" s="70">
        <v>0</v>
      </c>
      <c r="I94" s="70">
        <v>0</v>
      </c>
      <c r="J94" s="70">
        <v>0</v>
      </c>
      <c r="K94" s="70">
        <v>0</v>
      </c>
      <c r="L94" s="70">
        <v>0</v>
      </c>
      <c r="M94" s="70">
        <v>0</v>
      </c>
      <c r="N94" s="70">
        <v>0</v>
      </c>
      <c r="O94" s="70">
        <v>0</v>
      </c>
      <c r="P94" s="70">
        <v>0</v>
      </c>
      <c r="Q94" s="70">
        <v>0</v>
      </c>
      <c r="R94" s="70">
        <v>0</v>
      </c>
      <c r="S94" s="70">
        <v>0</v>
      </c>
      <c r="T94" s="70">
        <v>0</v>
      </c>
      <c r="U94" s="70">
        <v>7186</v>
      </c>
      <c r="V94" s="70">
        <v>6427</v>
      </c>
      <c r="W94" s="70">
        <v>8685</v>
      </c>
      <c r="X94" s="70">
        <v>10049</v>
      </c>
      <c r="Y94" s="70">
        <v>10519</v>
      </c>
      <c r="Z94" s="70">
        <v>10947</v>
      </c>
      <c r="AA94" s="70">
        <v>13207</v>
      </c>
      <c r="AB94" s="70">
        <v>13775</v>
      </c>
      <c r="AC94" s="70">
        <v>14705</v>
      </c>
      <c r="AD94" s="70">
        <v>17400</v>
      </c>
      <c r="AE94" s="70">
        <v>24451</v>
      </c>
      <c r="AF94" s="70">
        <v>24140</v>
      </c>
      <c r="AG94" s="70">
        <v>39552</v>
      </c>
      <c r="AH94" s="70">
        <v>51069</v>
      </c>
      <c r="AI94" s="70">
        <v>0</v>
      </c>
      <c r="AJ94" s="70">
        <v>0</v>
      </c>
      <c r="AK94" s="70">
        <v>0</v>
      </c>
      <c r="AL94" s="70">
        <v>0</v>
      </c>
      <c r="AM94" s="70">
        <v>0</v>
      </c>
      <c r="AN94" s="70">
        <v>0</v>
      </c>
      <c r="AO94" s="70">
        <v>0</v>
      </c>
      <c r="AP94" s="70">
        <v>0</v>
      </c>
      <c r="AQ94" s="70">
        <v>0</v>
      </c>
      <c r="AR94" s="70">
        <v>0</v>
      </c>
      <c r="AS94" s="70">
        <v>0</v>
      </c>
      <c r="AT94" s="70">
        <v>0</v>
      </c>
      <c r="AU94" s="70">
        <v>0</v>
      </c>
      <c r="AV94" s="70">
        <v>0</v>
      </c>
      <c r="AW94" s="70">
        <v>0</v>
      </c>
      <c r="AX94" s="70">
        <f>'Fuel Vol and Credit Gen'!AX23</f>
        <v>0</v>
      </c>
      <c r="AY94" s="70">
        <v>0</v>
      </c>
      <c r="AZ94" s="77">
        <v>0</v>
      </c>
      <c r="BA94" s="70">
        <v>0</v>
      </c>
      <c r="BB94" s="70">
        <v>0</v>
      </c>
      <c r="BC94" s="70">
        <v>0</v>
      </c>
      <c r="BD94" s="70">
        <v>0</v>
      </c>
      <c r="BE94" s="70">
        <v>0</v>
      </c>
      <c r="BF94" s="77">
        <f>'Fuel Vol and Credit Gen'!BF23</f>
        <v>0</v>
      </c>
      <c r="BG94" s="77">
        <f>'Fuel Vol and Credit Gen'!BG23</f>
        <v>0</v>
      </c>
      <c r="BH94" s="77">
        <f>'Fuel Vol and Credit Gen'!BH23</f>
        <v>0</v>
      </c>
      <c r="BI94" s="77">
        <f>'Fuel Vol and Credit Gen'!BI23</f>
        <v>0</v>
      </c>
      <c r="BJ94" s="77">
        <f>'Fuel Vol and Credit Gen'!BJ23</f>
        <v>0</v>
      </c>
      <c r="BK94" s="77">
        <f>'Fuel Vol and Credit Gen'!BK23</f>
        <v>0</v>
      </c>
      <c r="BL94" s="77">
        <f>'Fuel Vol and Credit Gen'!BL23</f>
        <v>0</v>
      </c>
      <c r="BM94" s="77">
        <f>'Fuel Vol and Credit Gen'!BM23</f>
        <v>0</v>
      </c>
      <c r="BN94" s="77">
        <f>'Fuel Vol and Credit Gen'!BN23</f>
        <v>0</v>
      </c>
      <c r="BO94" s="77">
        <f>'Fuel Vol and Credit Gen'!BO23</f>
        <v>0</v>
      </c>
      <c r="BP94" s="77">
        <f>'Fuel Vol and Credit Gen'!BP23</f>
        <v>0</v>
      </c>
      <c r="BQ94" s="77">
        <f>'Fuel Vol and Credit Gen'!BQ23</f>
        <v>0</v>
      </c>
      <c r="BR94" s="77">
        <f>'Fuel Vol and Credit Gen'!BR23</f>
        <v>0</v>
      </c>
      <c r="BS94" s="77">
        <f>'Fuel Vol and Credit Gen'!BS23</f>
        <v>0</v>
      </c>
      <c r="BT94" s="77">
        <f>'Fuel Vol and Credit Gen'!BT23</f>
        <v>0</v>
      </c>
      <c r="BU94" s="77">
        <f>'Fuel Vol and Credit Gen'!BU23</f>
        <v>0</v>
      </c>
      <c r="BV94" s="77">
        <f>'Fuel Vol and Credit Gen'!BV23</f>
        <v>0</v>
      </c>
      <c r="BW94" s="77">
        <f>'Fuel Vol and Credit Gen'!BW23</f>
        <v>0</v>
      </c>
      <c r="BX94" s="77">
        <f>'Fuel Vol and Credit Gen'!BX23</f>
        <v>0</v>
      </c>
      <c r="BY94" s="77">
        <f>'Fuel Vol and Credit Gen'!BY23</f>
        <v>0</v>
      </c>
      <c r="BZ94" s="77">
        <f>'Fuel Vol and Credit Gen'!BZ23</f>
        <v>0</v>
      </c>
      <c r="CA94" s="77">
        <f>'Fuel Vol and Credit Gen'!CA23</f>
        <v>0</v>
      </c>
      <c r="CB94" s="77">
        <f>'Fuel Vol and Credit Gen'!CB23</f>
        <v>0</v>
      </c>
      <c r="CC94" s="77">
        <f>'Fuel Vol and Credit Gen'!CC23</f>
        <v>0</v>
      </c>
      <c r="CD94" s="77">
        <f>'Fuel Vol and Credit Gen'!CD23</f>
        <v>0</v>
      </c>
      <c r="CE94" s="77">
        <f>'Fuel Vol and Credit Gen'!CE23</f>
        <v>0</v>
      </c>
      <c r="CF94" s="77">
        <f>'Fuel Vol and Credit Gen'!CF23</f>
        <v>0</v>
      </c>
      <c r="CG94" s="77">
        <f>'Fuel Vol and Credit Gen'!CG23</f>
        <v>0</v>
      </c>
      <c r="CH94" s="77">
        <f>'Fuel Vol and Credit Gen'!CH23</f>
        <v>0</v>
      </c>
      <c r="CI94" s="77">
        <f>'Fuel Vol and Credit Gen'!CI23</f>
        <v>0</v>
      </c>
      <c r="CJ94" s="77">
        <f>'Fuel Vol and Credit Gen'!CJ23</f>
        <v>0</v>
      </c>
      <c r="CK94" s="77">
        <f>'Fuel Vol and Credit Gen'!CK23</f>
        <v>0</v>
      </c>
      <c r="CL94" s="77">
        <f>'Fuel Vol and Credit Gen'!CL23</f>
        <v>0</v>
      </c>
      <c r="CM94" s="77">
        <f>'Fuel Vol and Credit Gen'!CM23</f>
        <v>0</v>
      </c>
      <c r="CN94" s="77">
        <f>'Fuel Vol and Credit Gen'!CN23</f>
        <v>0</v>
      </c>
      <c r="CO94" s="77">
        <f>'Fuel Vol and Credit Gen'!CO23</f>
        <v>0</v>
      </c>
      <c r="CP94" s="77">
        <f>'Fuel Vol and Credit Gen'!CP23</f>
        <v>0</v>
      </c>
      <c r="CQ94" s="77">
        <f>'Fuel Vol and Credit Gen'!CQ23</f>
        <v>0</v>
      </c>
      <c r="CR94" s="77">
        <f>'Fuel Vol and Credit Gen'!CR23</f>
        <v>0</v>
      </c>
      <c r="CS94" s="77">
        <f>'Fuel Vol and Credit Gen'!CS23</f>
        <v>0</v>
      </c>
      <c r="CT94" s="77">
        <f>'Fuel Vol and Credit Gen'!CT23</f>
        <v>0</v>
      </c>
      <c r="CU94" s="77">
        <f>'Fuel Vol and Credit Gen'!CU23</f>
        <v>0</v>
      </c>
      <c r="CV94" s="77">
        <f>'Fuel Vol and Credit Gen'!CV23</f>
        <v>0</v>
      </c>
      <c r="CW94" s="77">
        <f>'Fuel Vol and Credit Gen'!CW23</f>
        <v>0</v>
      </c>
      <c r="CX94" s="77">
        <f>'Fuel Vol and Credit Gen'!CX23</f>
        <v>0</v>
      </c>
      <c r="CY94" s="77">
        <f>'Fuel Vol and Credit Gen'!CY23</f>
        <v>0</v>
      </c>
      <c r="CZ94" s="77">
        <f>'Fuel Vol and Credit Gen'!CZ23</f>
        <v>0</v>
      </c>
      <c r="DA94" s="77">
        <f>'Fuel Vol and Credit Gen'!DA23</f>
        <v>0</v>
      </c>
      <c r="DB94" s="77">
        <f>'Fuel Vol and Credit Gen'!DB23</f>
        <v>0</v>
      </c>
      <c r="DC94" s="77">
        <f>'Fuel Vol and Credit Gen'!DC23</f>
        <v>0</v>
      </c>
      <c r="DD94" s="77">
        <f>'Fuel Vol and Credit Gen'!DD23</f>
        <v>0</v>
      </c>
      <c r="DE94" s="77">
        <f>'Fuel Vol and Credit Gen'!DE23</f>
        <v>0</v>
      </c>
      <c r="DF94" s="77">
        <f>'Fuel Vol and Credit Gen'!DF23</f>
        <v>0</v>
      </c>
      <c r="DG94" s="77">
        <f>'Fuel Vol and Credit Gen'!DG23</f>
        <v>0</v>
      </c>
      <c r="DH94" s="77">
        <f>'Fuel Vol and Credit Gen'!DH23</f>
        <v>0</v>
      </c>
      <c r="DI94" s="77">
        <f>'Fuel Vol and Credit Gen'!DI23</f>
        <v>0</v>
      </c>
      <c r="DJ94" s="77">
        <f>'Fuel Vol and Credit Gen'!DJ23</f>
        <v>0</v>
      </c>
      <c r="DK94" s="77">
        <f>'Fuel Vol and Credit Gen'!DK23</f>
        <v>0</v>
      </c>
      <c r="DL94" s="77">
        <f>'Fuel Vol and Credit Gen'!DL23</f>
        <v>0</v>
      </c>
      <c r="DM94" s="77">
        <f>'Fuel Vol and Credit Gen'!DM23</f>
        <v>0</v>
      </c>
      <c r="DN94" s="77">
        <f>'Fuel Vol and Credit Gen'!DN23</f>
        <v>0</v>
      </c>
      <c r="DO94" s="77">
        <f>'Fuel Vol and Credit Gen'!DO23</f>
        <v>0</v>
      </c>
      <c r="DP94" s="77">
        <f>'Fuel Vol and Credit Gen'!DP23</f>
        <v>0</v>
      </c>
      <c r="DQ94" s="77">
        <f>'Fuel Vol and Credit Gen'!DQ23</f>
        <v>0</v>
      </c>
      <c r="DR94" s="77">
        <f>'Fuel Vol and Credit Gen'!DR23</f>
        <v>0</v>
      </c>
      <c r="DS94" s="77">
        <f>'Fuel Vol and Credit Gen'!DS23</f>
        <v>0</v>
      </c>
      <c r="DT94" s="77">
        <f>'Fuel Vol and Credit Gen'!DT23</f>
        <v>0</v>
      </c>
      <c r="DU94" s="77">
        <f>'Fuel Vol and Credit Gen'!DU23</f>
        <v>0</v>
      </c>
      <c r="DV94" s="77">
        <f>'Fuel Vol and Credit Gen'!DV23</f>
        <v>0</v>
      </c>
      <c r="DW94" s="77">
        <f>'Fuel Vol and Credit Gen'!DW23</f>
        <v>0</v>
      </c>
      <c r="DX94" s="77">
        <f>'Fuel Vol and Credit Gen'!DX23</f>
        <v>0</v>
      </c>
      <c r="DY94" s="77">
        <f>'Fuel Vol and Credit Gen'!DY23</f>
        <v>0</v>
      </c>
      <c r="DZ94" s="77">
        <f>'Fuel Vol and Credit Gen'!DZ23</f>
        <v>0</v>
      </c>
    </row>
    <row r="95" spans="1:130" x14ac:dyDescent="0.2">
      <c r="A95" s="42" t="s">
        <v>133</v>
      </c>
      <c r="B95" s="39" t="s">
        <v>123</v>
      </c>
      <c r="C95" s="70">
        <v>0</v>
      </c>
      <c r="D95" s="70">
        <v>0</v>
      </c>
      <c r="E95" s="70">
        <v>0</v>
      </c>
      <c r="F95" s="70">
        <v>0</v>
      </c>
      <c r="G95" s="70">
        <v>0</v>
      </c>
      <c r="H95" s="70">
        <v>0</v>
      </c>
      <c r="I95" s="70">
        <v>0</v>
      </c>
      <c r="J95" s="70">
        <v>0</v>
      </c>
      <c r="K95" s="70">
        <v>0</v>
      </c>
      <c r="L95" s="70">
        <v>0</v>
      </c>
      <c r="M95" s="70">
        <v>0</v>
      </c>
      <c r="N95" s="70">
        <v>0</v>
      </c>
      <c r="O95" s="70">
        <v>0</v>
      </c>
      <c r="P95" s="70">
        <v>0</v>
      </c>
      <c r="Q95" s="70">
        <v>0</v>
      </c>
      <c r="R95" s="70">
        <v>0</v>
      </c>
      <c r="S95" s="70">
        <v>0</v>
      </c>
      <c r="T95" s="70">
        <v>0</v>
      </c>
      <c r="U95" s="70">
        <v>0</v>
      </c>
      <c r="V95" s="70">
        <v>0</v>
      </c>
      <c r="W95" s="70">
        <v>0</v>
      </c>
      <c r="X95" s="70">
        <v>0</v>
      </c>
      <c r="Y95" s="70">
        <v>0</v>
      </c>
      <c r="Z95" s="70">
        <v>0</v>
      </c>
      <c r="AA95" s="70">
        <v>0</v>
      </c>
      <c r="AB95" s="70">
        <v>0</v>
      </c>
      <c r="AC95" s="70">
        <v>0</v>
      </c>
      <c r="AD95" s="70">
        <v>0</v>
      </c>
      <c r="AE95" s="70">
        <v>0</v>
      </c>
      <c r="AF95" s="70">
        <v>0</v>
      </c>
      <c r="AG95" s="70">
        <v>0</v>
      </c>
      <c r="AH95" s="70">
        <v>0</v>
      </c>
      <c r="AI95" s="70">
        <v>14112490</v>
      </c>
      <c r="AJ95" s="70">
        <v>12387189</v>
      </c>
      <c r="AK95" s="70">
        <v>13722414</v>
      </c>
      <c r="AL95" s="70">
        <v>15357142</v>
      </c>
      <c r="AM95" s="70">
        <v>15430193</v>
      </c>
      <c r="AN95" s="70">
        <v>8803013</v>
      </c>
      <c r="AO95" s="70">
        <v>10981770</v>
      </c>
      <c r="AP95" s="70">
        <v>12182757</v>
      </c>
      <c r="AQ95" s="70">
        <v>12434539</v>
      </c>
      <c r="AR95" s="70">
        <v>15637758</v>
      </c>
      <c r="AS95" s="70">
        <v>17451974</v>
      </c>
      <c r="AT95" s="70">
        <v>19182187</v>
      </c>
      <c r="AU95" s="70">
        <v>23609406</v>
      </c>
      <c r="AV95" s="70">
        <v>25876915</v>
      </c>
      <c r="AW95" s="70">
        <v>27552062</v>
      </c>
      <c r="AX95" s="70">
        <f>'Fuel Vol and Credit Gen'!AX24</f>
        <v>31700136</v>
      </c>
      <c r="AY95" s="70">
        <v>28795361.989121988</v>
      </c>
      <c r="AZ95" s="70">
        <v>31633493.61305362</v>
      </c>
      <c r="BA95" s="70">
        <v>34677814.794094801</v>
      </c>
      <c r="BB95" s="70">
        <v>36026305.112665117</v>
      </c>
      <c r="BC95" s="70">
        <v>37038728.826728828</v>
      </c>
      <c r="BD95" s="70">
        <v>42639004</v>
      </c>
      <c r="BE95" s="70">
        <v>44951708.665112667</v>
      </c>
      <c r="BF95" s="77">
        <f>'Fuel Vol and Credit Gen'!BF24</f>
        <v>47049696.281668849</v>
      </c>
      <c r="BG95" s="77">
        <f>'Fuel Vol and Credit Gen'!BG24</f>
        <v>49553396.523913205</v>
      </c>
      <c r="BH95" s="77">
        <f>'Fuel Vol and Credit Gen'!BH24</f>
        <v>52057096.823271997</v>
      </c>
      <c r="BI95" s="77">
        <f>'Fuel Vol and Credit Gen'!BI24</f>
        <v>54050703.69654081</v>
      </c>
      <c r="BJ95" s="77">
        <f>'Fuel Vol and Credit Gen'!BJ24</f>
        <v>56639419.35919366</v>
      </c>
      <c r="BK95" s="77">
        <f>'Fuel Vol and Credit Gen'!BK24</f>
        <v>59550400.423898265</v>
      </c>
      <c r="BL95" s="77">
        <f>'Fuel Vol and Credit Gen'!BL24</f>
        <v>62213779.471606858</v>
      </c>
      <c r="BM95" s="77">
        <f>'Fuel Vol and Credit Gen'!BM24</f>
        <v>65046528.086983681</v>
      </c>
      <c r="BN95" s="77">
        <f>'Fuel Vol and Credit Gen'!BN24</f>
        <v>67944460.301086143</v>
      </c>
      <c r="BO95" s="77">
        <f>'Fuel Vol and Credit Gen'!BO24</f>
        <v>70641776.520744383</v>
      </c>
      <c r="BP95" s="77">
        <f>'Fuel Vol and Credit Gen'!BP24</f>
        <v>73304977.60726586</v>
      </c>
      <c r="BQ95" s="77">
        <f>'Fuel Vol and Credit Gen'!BQ24</f>
        <v>76016702.298312485</v>
      </c>
      <c r="BR95" s="77">
        <f>'Fuel Vol and Credit Gen'!BR24</f>
        <v>78728427.071809828</v>
      </c>
      <c r="BS95" s="77">
        <f>'Fuel Vol and Credit Gen'!BS24</f>
        <v>81440151.92959027</v>
      </c>
      <c r="BT95" s="77">
        <f>'Fuel Vol and Credit Gen'!BT24</f>
        <v>84151876.873282537</v>
      </c>
      <c r="BU95" s="77">
        <f>'Fuel Vol and Credit Gen'!BU24</f>
        <v>86863601.904293925</v>
      </c>
      <c r="BV95" s="77">
        <f>'Fuel Vol and Credit Gen'!BV24</f>
        <v>89575327.023792759</v>
      </c>
      <c r="BW95" s="77">
        <f>'Fuel Vol and Credit Gen'!BW24</f>
        <v>92287052.232690632</v>
      </c>
      <c r="BX95" s="77">
        <f>'Fuel Vol and Credit Gen'!BX24</f>
        <v>94998777.531624779</v>
      </c>
      <c r="BY95" s="77">
        <f>'Fuel Vol and Credit Gen'!BY24</f>
        <v>97708220.329935759</v>
      </c>
      <c r="BZ95" s="77">
        <f>'Fuel Vol and Credit Gen'!BZ24</f>
        <v>100417677.26634152</v>
      </c>
      <c r="CA95" s="77">
        <f>'Fuel Vol and Credit Gen'!CA24</f>
        <v>103127136.39842677</v>
      </c>
      <c r="CB95" s="77">
        <f>'Fuel Vol and Credit Gen'!CB24</f>
        <v>105836597.27515982</v>
      </c>
      <c r="CC95" s="77">
        <f>'Fuel Vol and Credit Gen'!CC24</f>
        <v>108547418.02915886</v>
      </c>
      <c r="CD95" s="77">
        <f>'Fuel Vol and Credit Gen'!CD24</f>
        <v>111257629.3163574</v>
      </c>
      <c r="CE95" s="77">
        <f>'Fuel Vol and Credit Gen'!CE24</f>
        <v>113967840.26333241</v>
      </c>
      <c r="CF95" s="77">
        <f>'Fuel Vol and Credit Gen'!CF24</f>
        <v>116678051.30594635</v>
      </c>
      <c r="CG95" s="77">
        <f>'Fuel Vol and Credit Gen'!CG24</f>
        <v>119388262.48134488</v>
      </c>
      <c r="CH95" s="77">
        <f>'Fuel Vol and Credit Gen'!CH24</f>
        <v>122098473.51355012</v>
      </c>
      <c r="CI95" s="77">
        <f>'Fuel Vol and Credit Gen'!CI24</f>
        <v>124808684.63465579</v>
      </c>
      <c r="CJ95" s="77">
        <f>'Fuel Vol and Credit Gen'!CJ24</f>
        <v>127365053.13696396</v>
      </c>
      <c r="CK95" s="77">
        <f>'Fuel Vol and Credit Gen'!CK24</f>
        <v>130100904.4581091</v>
      </c>
      <c r="CL95" s="77">
        <f>'Fuel Vol and Credit Gen'!CL24</f>
        <v>132697323.51559801</v>
      </c>
      <c r="CM95" s="77">
        <f>'Fuel Vol and Credit Gen'!CM24</f>
        <v>135345057.25382459</v>
      </c>
      <c r="CN95" s="77">
        <f>'Fuel Vol and Credit Gen'!CN24</f>
        <v>137999975.35061425</v>
      </c>
      <c r="CO95" s="77">
        <f>'Fuel Vol and Credit Gen'!CO24</f>
        <v>140737241.9381122</v>
      </c>
      <c r="CP95" s="77">
        <f>'Fuel Vol and Credit Gen'!CP24</f>
        <v>143424408.35387093</v>
      </c>
      <c r="CQ95" s="77">
        <f>'Fuel Vol and Credit Gen'!CQ24</f>
        <v>146104142.34693226</v>
      </c>
      <c r="CR95" s="77">
        <f>'Fuel Vol and Credit Gen'!CR24</f>
        <v>148918391.29689386</v>
      </c>
      <c r="CS95" s="77">
        <f>'Fuel Vol and Credit Gen'!CS24</f>
        <v>151578948.46697092</v>
      </c>
      <c r="CT95" s="77">
        <f>'Fuel Vol and Credit Gen'!CT24</f>
        <v>154268191.54602784</v>
      </c>
      <c r="CU95" s="77">
        <f>'Fuel Vol and Credit Gen'!CU24</f>
        <v>156960537.77211332</v>
      </c>
      <c r="CV95" s="77">
        <f>'Fuel Vol and Credit Gen'!CV24</f>
        <v>159656967.88964543</v>
      </c>
      <c r="CW95" s="77">
        <f>'Fuel Vol and Credit Gen'!CW24</f>
        <v>162357119.9251132</v>
      </c>
      <c r="CX95" s="77">
        <f>'Fuel Vol and Credit Gen'!CX24</f>
        <v>165058748.52511734</v>
      </c>
      <c r="CY95" s="77">
        <f>'Fuel Vol and Credit Gen'!CY24</f>
        <v>167762067.95766324</v>
      </c>
      <c r="CZ95" s="77">
        <f>'Fuel Vol and Credit Gen'!CZ24</f>
        <v>170463845.28658685</v>
      </c>
      <c r="DA95" s="77">
        <f>'Fuel Vol and Credit Gen'!DA24</f>
        <v>173163563.33539149</v>
      </c>
      <c r="DB95" s="77">
        <f>'Fuel Vol and Credit Gen'!DB24</f>
        <v>175862302.86562654</v>
      </c>
      <c r="DC95" s="77">
        <f>'Fuel Vol and Credit Gen'!DC24</f>
        <v>178559241.26566318</v>
      </c>
      <c r="DD95" s="77">
        <f>'Fuel Vol and Credit Gen'!DD24</f>
        <v>181255499.58598128</v>
      </c>
      <c r="DE95" s="77">
        <f>'Fuel Vol and Credit Gen'!DE24</f>
        <v>183951563.59640005</v>
      </c>
      <c r="DF95" s="77">
        <f>'Fuel Vol and Credit Gen'!DF24</f>
        <v>186647405.59363014</v>
      </c>
      <c r="DG95" s="77">
        <f>'Fuel Vol and Credit Gen'!DG24</f>
        <v>189342829.55715221</v>
      </c>
      <c r="DH95" s="77">
        <f>'Fuel Vol and Credit Gen'!DH24</f>
        <v>192037891.46807888</v>
      </c>
      <c r="DI95" s="77">
        <f>'Fuel Vol and Credit Gen'!DI24</f>
        <v>194733287.13293239</v>
      </c>
      <c r="DJ95" s="77">
        <f>'Fuel Vol and Credit Gen'!DJ24</f>
        <v>197427667.11880502</v>
      </c>
      <c r="DK95" s="77">
        <f>'Fuel Vol and Credit Gen'!DK24</f>
        <v>200121861.61467606</v>
      </c>
      <c r="DL95" s="77">
        <f>'Fuel Vol and Credit Gen'!DL24</f>
        <v>202815844.31392893</v>
      </c>
      <c r="DM95" s="77">
        <f>'Fuel Vol and Credit Gen'!DM24</f>
        <v>205509657.11466968</v>
      </c>
      <c r="DN95" s="77">
        <f>'Fuel Vol and Credit Gen'!DN24</f>
        <v>208203344.18875369</v>
      </c>
      <c r="DO95" s="77">
        <f>'Fuel Vol and Credit Gen'!DO24</f>
        <v>210896954.84432936</v>
      </c>
      <c r="DP95" s="77">
        <f>'Fuel Vol and Credit Gen'!DP24</f>
        <v>213590529.58722159</v>
      </c>
      <c r="DQ95" s="77">
        <f>'Fuel Vol and Credit Gen'!DQ24</f>
        <v>216284112.46583</v>
      </c>
      <c r="DR95" s="77">
        <f>'Fuel Vol and Credit Gen'!DR24</f>
        <v>218977750.08127719</v>
      </c>
      <c r="DS95" s="77">
        <f>'Fuel Vol and Credit Gen'!DS24</f>
        <v>221671490.13814676</v>
      </c>
      <c r="DT95" s="77">
        <f>'Fuel Vol and Credit Gen'!DT24</f>
        <v>224365390.70219111</v>
      </c>
      <c r="DU95" s="77">
        <f>'Fuel Vol and Credit Gen'!DU24</f>
        <v>227059509.3893331</v>
      </c>
      <c r="DV95" s="77">
        <f>'Fuel Vol and Credit Gen'!DV24</f>
        <v>229753907.4007028</v>
      </c>
      <c r="DW95" s="77">
        <f>'Fuel Vol and Credit Gen'!DW24</f>
        <v>232448649.40225634</v>
      </c>
      <c r="DX95" s="77">
        <f>'Fuel Vol and Credit Gen'!DX24</f>
        <v>235143803.69107372</v>
      </c>
      <c r="DY95" s="77">
        <f>'Fuel Vol and Credit Gen'!DY24</f>
        <v>237839442.36137855</v>
      </c>
      <c r="DZ95" s="77">
        <f>'Fuel Vol and Credit Gen'!DZ24</f>
        <v>240535823.00790578</v>
      </c>
    </row>
    <row r="96" spans="1:130" ht="25.5" x14ac:dyDescent="0.2">
      <c r="A96" s="42" t="s">
        <v>134</v>
      </c>
      <c r="B96" s="39" t="s">
        <v>123</v>
      </c>
      <c r="C96" s="70">
        <v>0</v>
      </c>
      <c r="D96" s="70">
        <v>0</v>
      </c>
      <c r="E96" s="70">
        <v>0</v>
      </c>
      <c r="F96" s="70">
        <v>0</v>
      </c>
      <c r="G96" s="70">
        <v>0</v>
      </c>
      <c r="H96" s="70">
        <v>0</v>
      </c>
      <c r="I96" s="70">
        <v>0</v>
      </c>
      <c r="J96" s="70">
        <v>0</v>
      </c>
      <c r="K96" s="70">
        <v>0</v>
      </c>
      <c r="L96" s="70">
        <v>0</v>
      </c>
      <c r="M96" s="70">
        <v>0</v>
      </c>
      <c r="N96" s="70">
        <v>0</v>
      </c>
      <c r="O96" s="70">
        <v>0</v>
      </c>
      <c r="P96" s="70">
        <v>0</v>
      </c>
      <c r="Q96" s="70">
        <v>0</v>
      </c>
      <c r="R96" s="70">
        <v>0</v>
      </c>
      <c r="S96" s="70">
        <v>0</v>
      </c>
      <c r="T96" s="70">
        <v>0</v>
      </c>
      <c r="U96" s="70">
        <v>0</v>
      </c>
      <c r="V96" s="70">
        <v>0</v>
      </c>
      <c r="W96" s="70">
        <v>0</v>
      </c>
      <c r="X96" s="70">
        <v>0</v>
      </c>
      <c r="Y96" s="70">
        <v>0</v>
      </c>
      <c r="Z96" s="70">
        <v>0</v>
      </c>
      <c r="AA96" s="70">
        <v>0</v>
      </c>
      <c r="AB96" s="70">
        <v>0</v>
      </c>
      <c r="AC96" s="70">
        <v>0</v>
      </c>
      <c r="AD96" s="70">
        <v>0</v>
      </c>
      <c r="AE96" s="70">
        <v>0</v>
      </c>
      <c r="AF96" s="70">
        <v>0</v>
      </c>
      <c r="AG96" s="70">
        <v>0</v>
      </c>
      <c r="AH96" s="70">
        <v>0</v>
      </c>
      <c r="AI96" s="70">
        <v>437784</v>
      </c>
      <c r="AJ96" s="70">
        <v>539082</v>
      </c>
      <c r="AK96" s="70">
        <v>295459</v>
      </c>
      <c r="AL96" s="70">
        <v>320905</v>
      </c>
      <c r="AM96" s="70">
        <v>235013</v>
      </c>
      <c r="AN96" s="70">
        <v>63624</v>
      </c>
      <c r="AO96" s="70">
        <v>138562</v>
      </c>
      <c r="AP96" s="70">
        <v>95476</v>
      </c>
      <c r="AQ96" s="70">
        <v>93215</v>
      </c>
      <c r="AR96" s="70">
        <v>114493</v>
      </c>
      <c r="AS96" s="70">
        <v>174300</v>
      </c>
      <c r="AT96" s="70">
        <v>180270</v>
      </c>
      <c r="AU96" s="70">
        <v>184310</v>
      </c>
      <c r="AV96" s="70">
        <v>188379</v>
      </c>
      <c r="AW96" s="70">
        <v>223271</v>
      </c>
      <c r="AX96" s="70">
        <f>'Fuel Vol and Credit Gen'!AX25</f>
        <v>612670</v>
      </c>
      <c r="AY96" s="70">
        <v>395550.76923076919</v>
      </c>
      <c r="AZ96" s="70">
        <v>969562.6728826731</v>
      </c>
      <c r="BA96" s="70">
        <v>865020.0466200466</v>
      </c>
      <c r="BB96" s="70">
        <v>541603.82284382253</v>
      </c>
      <c r="BC96" s="70">
        <v>693451.65501165483</v>
      </c>
      <c r="BD96" s="70">
        <v>645121</v>
      </c>
      <c r="BE96" s="70">
        <v>660402</v>
      </c>
      <c r="BF96" s="77">
        <f>'Fuel Vol and Credit Gen'!BF25</f>
        <v>712750.21005010349</v>
      </c>
      <c r="BG96" s="77">
        <f>'Fuel Vol and Credit Gen'!BG25</f>
        <v>698225.58305300237</v>
      </c>
      <c r="BH96" s="77">
        <f>'Fuel Vol and Credit Gen'!BH25</f>
        <v>688434.45635711774</v>
      </c>
      <c r="BI96" s="77">
        <f>'Fuel Vol and Credit Gen'!BI25</f>
        <v>717899.25327038881</v>
      </c>
      <c r="BJ96" s="77">
        <f>'Fuel Vol and Credit Gen'!BJ25</f>
        <v>718729.97614034545</v>
      </c>
      <c r="BK96" s="77">
        <f>'Fuel Vol and Credit Gen'!BK25</f>
        <v>1085749.9877798082</v>
      </c>
      <c r="BL96" s="77">
        <f>'Fuel Vol and Credit Gen'!BL25</f>
        <v>1190520.2275142944</v>
      </c>
      <c r="BM96" s="77">
        <f>'Fuel Vol and Credit Gen'!BM25</f>
        <v>986342.35034513881</v>
      </c>
      <c r="BN96" s="77">
        <f>'Fuel Vol and Credit Gen'!BN25</f>
        <v>1066539.2670654275</v>
      </c>
      <c r="BO96" s="77">
        <f>'Fuel Vol and Credit Gen'!BO25</f>
        <v>1006057.8080861196</v>
      </c>
      <c r="BP96" s="77">
        <f>'Fuel Vol and Credit Gen'!BP25</f>
        <v>805627.62580287305</v>
      </c>
      <c r="BQ96" s="77">
        <f>'Fuel Vol and Credit Gen'!BQ25</f>
        <v>852122.39570952335</v>
      </c>
      <c r="BR96" s="77">
        <f>'Fuel Vol and Credit Gen'!BR25</f>
        <v>824043.33757905988</v>
      </c>
      <c r="BS96" s="77">
        <f>'Fuel Vol and Credit Gen'!BS25</f>
        <v>806772.16022355482</v>
      </c>
      <c r="BT96" s="77">
        <f>'Fuel Vol and Credit Gen'!BT25</f>
        <v>816051.97485118918</v>
      </c>
      <c r="BU96" s="77">
        <f>'Fuel Vol and Credit Gen'!BU25</f>
        <v>847505.07230767026</v>
      </c>
      <c r="BV96" s="77">
        <f>'Fuel Vol and Credit Gen'!BV25</f>
        <v>860068.79657102202</v>
      </c>
      <c r="BW96" s="77">
        <f>'Fuel Vol and Credit Gen'!BW25</f>
        <v>853183.04076733312</v>
      </c>
      <c r="BX96" s="77">
        <f>'Fuel Vol and Credit Gen'!BX25</f>
        <v>833086.19358262199</v>
      </c>
      <c r="BY96" s="77">
        <f>'Fuel Vol and Credit Gen'!BY25</f>
        <v>1235451.8814316471</v>
      </c>
      <c r="BZ96" s="77">
        <f>'Fuel Vol and Credit Gen'!BZ25</f>
        <v>1325275.3465390268</v>
      </c>
      <c r="CA96" s="77">
        <f>'Fuel Vol and Credit Gen'!CA25</f>
        <v>1048387.1162108729</v>
      </c>
      <c r="CB96" s="77">
        <f>'Fuel Vol and Credit Gen'!CB25</f>
        <v>1342653.4424626916</v>
      </c>
      <c r="CC96" s="77">
        <f>'Fuel Vol and Credit Gen'!CC25</f>
        <v>1261374.8496464079</v>
      </c>
      <c r="CD96" s="77">
        <f>'Fuel Vol and Credit Gen'!CD25</f>
        <v>953291.52847700531</v>
      </c>
      <c r="CE96" s="77">
        <f>'Fuel Vol and Credit Gen'!CE25</f>
        <v>1112103.8244174246</v>
      </c>
      <c r="CF96" s="77">
        <f>'Fuel Vol and Credit Gen'!CF25</f>
        <v>1056294.3299104951</v>
      </c>
      <c r="CG96" s="77">
        <f>'Fuel Vol and Credit Gen'!CG25</f>
        <v>1070263.7949243735</v>
      </c>
      <c r="CH96" s="77">
        <f>'Fuel Vol and Credit Gen'!CH25</f>
        <v>1116111.0601092665</v>
      </c>
      <c r="CI96" s="77">
        <f>'Fuel Vol and Credit Gen'!CI25</f>
        <v>1130864.3277563159</v>
      </c>
      <c r="CJ96" s="77">
        <f>'Fuel Vol and Credit Gen'!CJ25</f>
        <v>1132094.8443319588</v>
      </c>
      <c r="CK96" s="77">
        <f>'Fuel Vol and Credit Gen'!CK25</f>
        <v>1154983.5482469269</v>
      </c>
      <c r="CL96" s="77">
        <f>'Fuel Vol and Credit Gen'!CL25</f>
        <v>1162419.9845456011</v>
      </c>
      <c r="CM96" s="77">
        <f>'Fuel Vol and Credit Gen'!CM25</f>
        <v>1553820.837097154</v>
      </c>
      <c r="CN96" s="77">
        <f>'Fuel Vol and Credit Gen'!CN25</f>
        <v>1653983.0248634308</v>
      </c>
      <c r="CO96" s="77">
        <f>'Fuel Vol and Credit Gen'!CO25</f>
        <v>1454219.6557173519</v>
      </c>
      <c r="CP96" s="77">
        <f>'Fuel Vol and Credit Gen'!CP25</f>
        <v>1615760.2489909735</v>
      </c>
      <c r="CQ96" s="77">
        <f>'Fuel Vol and Credit Gen'!CQ25</f>
        <v>1557668.5475716535</v>
      </c>
      <c r="CR96" s="77">
        <f>'Fuel Vol and Credit Gen'!CR25</f>
        <v>1339883.3230151813</v>
      </c>
      <c r="CS96" s="77">
        <f>'Fuel Vol and Credit Gen'!CS25</f>
        <v>1401265.4396789188</v>
      </c>
      <c r="CT96" s="77">
        <f>'Fuel Vol and Credit Gen'!CT25</f>
        <v>1385012.9951199791</v>
      </c>
      <c r="CU96" s="77">
        <f>'Fuel Vol and Credit Gen'!CU25</f>
        <v>1376840.909626011</v>
      </c>
      <c r="CV96" s="77">
        <f>'Fuel Vol and Credit Gen'!CV25</f>
        <v>1395780.1841348889</v>
      </c>
      <c r="CW96" s="77">
        <f>'Fuel Vol and Credit Gen'!CW25</f>
        <v>1417421.7456495455</v>
      </c>
      <c r="CX96" s="77">
        <f>'Fuel Vol and Credit Gen'!CX25</f>
        <v>1426417.9899306765</v>
      </c>
      <c r="CY96" s="77">
        <f>'Fuel Vol and Credit Gen'!CY25</f>
        <v>1432284.5873642778</v>
      </c>
      <c r="CZ96" s="77">
        <f>'Fuel Vol and Credit Gen'!CZ25</f>
        <v>1417385.8612929345</v>
      </c>
      <c r="DA96" s="77">
        <f>'Fuel Vol and Credit Gen'!DA25</f>
        <v>1811505.5424000069</v>
      </c>
      <c r="DB96" s="77">
        <f>'Fuel Vol and Credit Gen'!DB25</f>
        <v>1911058.6109578584</v>
      </c>
      <c r="DC96" s="77">
        <f>'Fuel Vol and Credit Gen'!DC25</f>
        <v>1645612.1160368235</v>
      </c>
      <c r="DD96" s="77">
        <f>'Fuel Vol and Credit Gen'!DD25</f>
        <v>1903893.6864689519</v>
      </c>
      <c r="DE96" s="77">
        <f>'Fuel Vol and Credit Gen'!DE25</f>
        <v>1828189.5550602383</v>
      </c>
      <c r="DF96" s="77">
        <f>'Fuel Vol and Credit Gen'!DF25</f>
        <v>1519619.1884459027</v>
      </c>
      <c r="DG96" s="77">
        <f>'Fuel Vol and Credit Gen'!DG25</f>
        <v>1682843.1537508946</v>
      </c>
      <c r="DH96" s="77">
        <f>'Fuel Vol and Credit Gen'!DH25</f>
        <v>1606149.1967709849</v>
      </c>
      <c r="DI96" s="77">
        <f>'Fuel Vol and Credit Gen'!DI25</f>
        <v>1621535.0144121682</v>
      </c>
      <c r="DJ96" s="77">
        <f>'Fuel Vol and Credit Gen'!DJ25</f>
        <v>1676924.1600688456</v>
      </c>
      <c r="DK96" s="77">
        <f>'Fuel Vol and Credit Gen'!DK25</f>
        <v>1679977.9747931226</v>
      </c>
      <c r="DL96" s="77">
        <f>'Fuel Vol and Credit Gen'!DL25</f>
        <v>1686188.4212495361</v>
      </c>
      <c r="DM96" s="77">
        <f>'Fuel Vol and Credit Gen'!DM25</f>
        <v>1697312.9945139627</v>
      </c>
      <c r="DN96" s="77">
        <f>'Fuel Vol and Credit Gen'!DN25</f>
        <v>1704377.5074679437</v>
      </c>
      <c r="DO96" s="77">
        <f>'Fuel Vol and Credit Gen'!DO25</f>
        <v>2090174.0404223558</v>
      </c>
      <c r="DP96" s="77">
        <f>'Fuel Vol and Credit Gen'!DP25</f>
        <v>2190464.5981163341</v>
      </c>
      <c r="DQ96" s="77">
        <f>'Fuel Vol and Credit Gen'!DQ25</f>
        <v>1975977.4171891611</v>
      </c>
      <c r="DR96" s="77">
        <f>'Fuel Vol and Credit Gen'!DR25</f>
        <v>2164313.3166725375</v>
      </c>
      <c r="DS96" s="77">
        <f>'Fuel Vol and Credit Gen'!DS25</f>
        <v>2100946.9452015092</v>
      </c>
      <c r="DT96" s="77">
        <f>'Fuel Vol and Credit Gen'!DT25</f>
        <v>1883092.2269491914</v>
      </c>
      <c r="DU96" s="77">
        <f>'Fuel Vol and Credit Gen'!DU25</f>
        <v>1937154.234149318</v>
      </c>
      <c r="DV96" s="77">
        <f>'Fuel Vol and Credit Gen'!DV25</f>
        <v>1934463.4042732862</v>
      </c>
      <c r="DW96" s="77">
        <f>'Fuel Vol and Credit Gen'!DW25</f>
        <v>1925737.2911395484</v>
      </c>
      <c r="DX96" s="77">
        <f>'Fuel Vol and Credit Gen'!DX25</f>
        <v>1940539.3089353633</v>
      </c>
      <c r="DY96" s="77">
        <f>'Fuel Vol and Credit Gen'!DY25</f>
        <v>1970233.4494800523</v>
      </c>
      <c r="DZ96" s="77">
        <f>'Fuel Vol and Credit Gen'!DZ25</f>
        <v>1979913.3590611094</v>
      </c>
    </row>
    <row r="97" spans="1:130" ht="25.5" x14ac:dyDescent="0.2">
      <c r="A97" s="42" t="s">
        <v>135</v>
      </c>
      <c r="B97" s="39" t="s">
        <v>123</v>
      </c>
      <c r="C97" s="70">
        <v>0</v>
      </c>
      <c r="D97" s="70">
        <v>0</v>
      </c>
      <c r="E97" s="70">
        <v>0</v>
      </c>
      <c r="F97" s="70">
        <v>0</v>
      </c>
      <c r="G97" s="70">
        <v>0</v>
      </c>
      <c r="H97" s="70">
        <v>0</v>
      </c>
      <c r="I97" s="70">
        <v>0</v>
      </c>
      <c r="J97" s="70">
        <v>0</v>
      </c>
      <c r="K97" s="70">
        <v>0</v>
      </c>
      <c r="L97" s="70">
        <v>0</v>
      </c>
      <c r="M97" s="70">
        <v>0</v>
      </c>
      <c r="N97" s="70">
        <v>0</v>
      </c>
      <c r="O97" s="70">
        <v>0</v>
      </c>
      <c r="P97" s="70">
        <v>0</v>
      </c>
      <c r="Q97" s="70">
        <v>0</v>
      </c>
      <c r="R97" s="70">
        <v>0</v>
      </c>
      <c r="S97" s="70">
        <v>0</v>
      </c>
      <c r="T97" s="70">
        <v>0</v>
      </c>
      <c r="U97" s="70">
        <v>0</v>
      </c>
      <c r="V97" s="70">
        <v>0</v>
      </c>
      <c r="W97" s="70">
        <v>0</v>
      </c>
      <c r="X97" s="70">
        <v>0</v>
      </c>
      <c r="Y97" s="70">
        <v>0</v>
      </c>
      <c r="Z97" s="70">
        <v>0</v>
      </c>
      <c r="AA97" s="70">
        <v>0</v>
      </c>
      <c r="AB97" s="70">
        <v>0</v>
      </c>
      <c r="AC97" s="70">
        <v>0</v>
      </c>
      <c r="AD97" s="70">
        <v>0</v>
      </c>
      <c r="AE97" s="70">
        <v>0</v>
      </c>
      <c r="AF97" s="70">
        <v>0</v>
      </c>
      <c r="AG97" s="70">
        <v>0</v>
      </c>
      <c r="AH97" s="70">
        <v>0</v>
      </c>
      <c r="AI97" s="70">
        <v>1597231</v>
      </c>
      <c r="AJ97" s="70">
        <v>1837329</v>
      </c>
      <c r="AK97" s="70">
        <v>2189362</v>
      </c>
      <c r="AL97" s="70">
        <v>2284298</v>
      </c>
      <c r="AM97" s="70">
        <v>1909164</v>
      </c>
      <c r="AN97" s="70">
        <v>1424745</v>
      </c>
      <c r="AO97" s="70">
        <v>1885721</v>
      </c>
      <c r="AP97" s="70">
        <v>1892124</v>
      </c>
      <c r="AQ97" s="70">
        <v>2236386</v>
      </c>
      <c r="AR97" s="70">
        <v>3198522</v>
      </c>
      <c r="AS97" s="70">
        <v>3944707</v>
      </c>
      <c r="AT97" s="70">
        <v>4410225</v>
      </c>
      <c r="AU97" s="70">
        <v>4653440</v>
      </c>
      <c r="AV97" s="70">
        <v>6292509</v>
      </c>
      <c r="AW97" s="70">
        <v>6725960</v>
      </c>
      <c r="AX97" s="70">
        <f>'Fuel Vol and Credit Gen'!AX26</f>
        <v>7061854</v>
      </c>
      <c r="AY97" s="70">
        <v>7779076.0528360521</v>
      </c>
      <c r="AZ97" s="70">
        <v>8355981.849261852</v>
      </c>
      <c r="BA97" s="70">
        <v>9908784.615384616</v>
      </c>
      <c r="BB97" s="70">
        <v>11351677.327117326</v>
      </c>
      <c r="BC97" s="70">
        <v>12122887.770007772</v>
      </c>
      <c r="BD97" s="70">
        <v>13463424.926184924</v>
      </c>
      <c r="BE97" s="70">
        <v>14451547</v>
      </c>
      <c r="BF97" s="77">
        <f>'Fuel Vol and Credit Gen'!BF26</f>
        <v>15588899.443666276</v>
      </c>
      <c r="BG97" s="77">
        <f>'Fuel Vol and Credit Gen'!BG26</f>
        <v>16680579.015751511</v>
      </c>
      <c r="BH97" s="77">
        <f>'Fuel Vol and Credit Gen'!BH26</f>
        <v>17780958.604108002</v>
      </c>
      <c r="BI97" s="77">
        <f>'Fuel Vol and Credit Gen'!BI26</f>
        <v>19269276.448602527</v>
      </c>
      <c r="BJ97" s="77">
        <f>'Fuel Vol and Credit Gen'!BJ26</f>
        <v>20487075.875505105</v>
      </c>
      <c r="BK97" s="77">
        <f>'Fuel Vol and Credit Gen'!BK26</f>
        <v>21676416.857231516</v>
      </c>
      <c r="BL97" s="77">
        <f>'Fuel Vol and Credit Gen'!BL26</f>
        <v>22899420.423203483</v>
      </c>
      <c r="BM97" s="77">
        <f>'Fuel Vol and Credit Gen'!BM26</f>
        <v>24122289.541308206</v>
      </c>
      <c r="BN97" s="77">
        <f>'Fuel Vol and Credit Gen'!BN26</f>
        <v>25342975.062230799</v>
      </c>
      <c r="BO97" s="77">
        <f>'Fuel Vol and Credit Gen'!BO26</f>
        <v>26564758.932536207</v>
      </c>
      <c r="BP97" s="77">
        <f>'Fuel Vol and Credit Gen'!BP26</f>
        <v>27777375.434495151</v>
      </c>
      <c r="BQ97" s="77">
        <f>'Fuel Vol and Credit Gen'!BQ26</f>
        <v>28994600.926033825</v>
      </c>
      <c r="BR97" s="77">
        <f>'Fuel Vol and Credit Gen'!BR26</f>
        <v>30211808.091570351</v>
      </c>
      <c r="BS97" s="77">
        <f>'Fuel Vol and Credit Gen'!BS26</f>
        <v>31429015.257107049</v>
      </c>
      <c r="BT97" s="77">
        <f>'Fuel Vol and Credit Gen'!BT26</f>
        <v>32643699.782816976</v>
      </c>
      <c r="BU97" s="77">
        <f>'Fuel Vol and Credit Gen'!BU26</f>
        <v>33858392.816562109</v>
      </c>
      <c r="BV97" s="77">
        <f>'Fuel Vol and Credit Gen'!BV26</f>
        <v>35073087.685187556</v>
      </c>
      <c r="BW97" s="77">
        <f>'Fuel Vol and Credit Gen'!BW26</f>
        <v>36287875.105165921</v>
      </c>
      <c r="BX97" s="77">
        <f>'Fuel Vol and Credit Gen'!BX26</f>
        <v>37502772.109326325</v>
      </c>
      <c r="BY97" s="77">
        <f>'Fuel Vol and Credit Gen'!BY26</f>
        <v>38717668.672777399</v>
      </c>
      <c r="BZ97" s="77">
        <f>'Fuel Vol and Credit Gen'!BZ26</f>
        <v>39932565.236228637</v>
      </c>
      <c r="CA97" s="77">
        <f>'Fuel Vol and Credit Gen'!CA26</f>
        <v>41147461.799680017</v>
      </c>
      <c r="CB97" s="77">
        <f>'Fuel Vol and Credit Gen'!CB26</f>
        <v>42362306.161989368</v>
      </c>
      <c r="CC97" s="77">
        <f>'Fuel Vol and Credit Gen'!CC26</f>
        <v>43577153.590948753</v>
      </c>
      <c r="CD97" s="77">
        <f>'Fuel Vol and Credit Gen'!CD26</f>
        <v>44792004.173382454</v>
      </c>
      <c r="CE97" s="77">
        <f>'Fuel Vol and Credit Gen'!CE26</f>
        <v>46006856.100355394</v>
      </c>
      <c r="CF97" s="77">
        <f>'Fuel Vol and Credit Gen'!CF26</f>
        <v>47221710.277644433</v>
      </c>
      <c r="CG97" s="77">
        <f>'Fuel Vol and Credit Gen'!CG26</f>
        <v>48436566.06281618</v>
      </c>
      <c r="CH97" s="77">
        <f>'Fuel Vol and Credit Gen'!CH26</f>
        <v>49651422.280222856</v>
      </c>
      <c r="CI97" s="77">
        <f>'Fuel Vol and Credit Gen'!CI26</f>
        <v>50866279.371932782</v>
      </c>
      <c r="CJ97" s="77">
        <f>'Fuel Vol and Credit Gen'!CJ26</f>
        <v>52081137.893956557</v>
      </c>
      <c r="CK97" s="77">
        <f>'Fuel Vol and Credit Gen'!CK26</f>
        <v>53290677.32776425</v>
      </c>
      <c r="CL97" s="77">
        <f>'Fuel Vol and Credit Gen'!CL26</f>
        <v>54504222.612209655</v>
      </c>
      <c r="CM97" s="77">
        <f>'Fuel Vol and Credit Gen'!CM26</f>
        <v>55714842.600708395</v>
      </c>
      <c r="CN97" s="77">
        <f>'Fuel Vol and Credit Gen'!CN26</f>
        <v>56919785.189058103</v>
      </c>
      <c r="CO97" s="77">
        <f>'Fuel Vol and Credit Gen'!CO26</f>
        <v>58129550.396187805</v>
      </c>
      <c r="CP97" s="77">
        <f>'Fuel Vol and Credit Gen'!CP26</f>
        <v>59342535.171460964</v>
      </c>
      <c r="CQ97" s="77">
        <f>'Fuel Vol and Credit Gen'!CQ26</f>
        <v>60553725.774911433</v>
      </c>
      <c r="CR97" s="77">
        <f>'Fuel Vol and Credit Gen'!CR26</f>
        <v>61765968.069727898</v>
      </c>
      <c r="CS97" s="77">
        <f>'Fuel Vol and Credit Gen'!CS26</f>
        <v>62980608.017213561</v>
      </c>
      <c r="CT97" s="77">
        <f>'Fuel Vol and Credit Gen'!CT26</f>
        <v>64195280.552519344</v>
      </c>
      <c r="CU97" s="77">
        <f>'Fuel Vol and Credit Gen'!CU26</f>
        <v>65411373.779984511</v>
      </c>
      <c r="CV97" s="77">
        <f>'Fuel Vol and Credit Gen'!CV26</f>
        <v>66663241.844126664</v>
      </c>
      <c r="CW97" s="77">
        <f>'Fuel Vol and Credit Gen'!CW26</f>
        <v>67862090.365791932</v>
      </c>
      <c r="CX97" s="77">
        <f>'Fuel Vol and Credit Gen'!CX26</f>
        <v>69079139.316750258</v>
      </c>
      <c r="CY97" s="77">
        <f>'Fuel Vol and Credit Gen'!CY26</f>
        <v>70293569.708735302</v>
      </c>
      <c r="CZ97" s="77">
        <f>'Fuel Vol and Credit Gen'!CZ26</f>
        <v>71508094.44328177</v>
      </c>
      <c r="DA97" s="77">
        <f>'Fuel Vol and Credit Gen'!DA26</f>
        <v>72722679.635981753</v>
      </c>
      <c r="DB97" s="77">
        <f>'Fuel Vol and Credit Gen'!DB26</f>
        <v>73936897.859838352</v>
      </c>
      <c r="DC97" s="77">
        <f>'Fuel Vol and Credit Gen'!DC26</f>
        <v>75148914.351593077</v>
      </c>
      <c r="DD97" s="77">
        <f>'Fuel Vol and Credit Gen'!DD26</f>
        <v>76360402.201089978</v>
      </c>
      <c r="DE97" s="77">
        <f>'Fuel Vol and Credit Gen'!DE26</f>
        <v>77573676.760066479</v>
      </c>
      <c r="DF97" s="77">
        <f>'Fuel Vol and Credit Gen'!DF26</f>
        <v>78786490.520998046</v>
      </c>
      <c r="DG97" s="77">
        <f>'Fuel Vol and Credit Gen'!DG26</f>
        <v>80001232.212954834</v>
      </c>
      <c r="DH97" s="77">
        <f>'Fuel Vol and Credit Gen'!DH26</f>
        <v>81215465.0704972</v>
      </c>
      <c r="DI97" s="77">
        <f>'Fuel Vol and Credit Gen'!DI26</f>
        <v>82429685.646433473</v>
      </c>
      <c r="DJ97" s="77">
        <f>'Fuel Vol and Credit Gen'!DJ26</f>
        <v>83643907.195627749</v>
      </c>
      <c r="DK97" s="77">
        <f>'Fuel Vol and Credit Gen'!DK26</f>
        <v>84858127.025526389</v>
      </c>
      <c r="DL97" s="77">
        <f>'Fuel Vol and Credit Gen'!DL26</f>
        <v>86072346.271528676</v>
      </c>
      <c r="DM97" s="77">
        <f>'Fuel Vol and Credit Gen'!DM26</f>
        <v>87286565.986062989</v>
      </c>
      <c r="DN97" s="77">
        <f>'Fuel Vol and Credit Gen'!DN26</f>
        <v>88500787.173193589</v>
      </c>
      <c r="DO97" s="77">
        <f>'Fuel Vol and Credit Gen'!DO26</f>
        <v>89715012.356235489</v>
      </c>
      <c r="DP97" s="77">
        <f>'Fuel Vol and Credit Gen'!DP26</f>
        <v>90929244.946917549</v>
      </c>
      <c r="DQ97" s="77">
        <f>'Fuel Vol and Credit Gen'!DQ26</f>
        <v>92143486.024374828</v>
      </c>
      <c r="DR97" s="77">
        <f>'Fuel Vol and Credit Gen'!DR26</f>
        <v>93357738.344974771</v>
      </c>
      <c r="DS97" s="77">
        <f>'Fuel Vol and Credit Gen'!DS26</f>
        <v>94572004.23425284</v>
      </c>
      <c r="DT97" s="77">
        <f>'Fuel Vol and Credit Gen'!DT26</f>
        <v>95786286.247826859</v>
      </c>
      <c r="DU97" s="77">
        <f>'Fuel Vol and Credit Gen'!DU26</f>
        <v>97000587.100443363</v>
      </c>
      <c r="DV97" s="77">
        <f>'Fuel Vol and Credit Gen'!DV26</f>
        <v>98214909.659339339</v>
      </c>
      <c r="DW97" s="77">
        <f>'Fuel Vol and Credit Gen'!DW26</f>
        <v>99429256.960444838</v>
      </c>
      <c r="DX97" s="77">
        <f>'Fuel Vol and Credit Gen'!DX26</f>
        <v>100643632.2116636</v>
      </c>
      <c r="DY97" s="77">
        <f>'Fuel Vol and Credit Gen'!DY26</f>
        <v>101858038.7922114</v>
      </c>
      <c r="DZ97" s="77">
        <f>'Fuel Vol and Credit Gen'!DZ26</f>
        <v>103072480.26293755</v>
      </c>
    </row>
    <row r="98" spans="1:130" ht="25.5" x14ac:dyDescent="0.2">
      <c r="A98" s="42" t="s">
        <v>136</v>
      </c>
      <c r="B98" s="39" t="s">
        <v>123</v>
      </c>
      <c r="C98" s="70">
        <v>0</v>
      </c>
      <c r="D98" s="70">
        <v>0</v>
      </c>
      <c r="E98" s="70">
        <v>0</v>
      </c>
      <c r="F98" s="70">
        <v>0</v>
      </c>
      <c r="G98" s="70">
        <v>0</v>
      </c>
      <c r="H98" s="70">
        <v>0</v>
      </c>
      <c r="I98" s="70">
        <v>0</v>
      </c>
      <c r="J98" s="70">
        <v>0</v>
      </c>
      <c r="K98" s="70">
        <v>0</v>
      </c>
      <c r="L98" s="70">
        <v>0</v>
      </c>
      <c r="M98" s="70">
        <v>0</v>
      </c>
      <c r="N98" s="70">
        <v>0</v>
      </c>
      <c r="O98" s="70">
        <v>0</v>
      </c>
      <c r="P98" s="70">
        <v>0</v>
      </c>
      <c r="Q98" s="70">
        <v>0</v>
      </c>
      <c r="R98" s="70">
        <v>0</v>
      </c>
      <c r="S98" s="70">
        <v>0</v>
      </c>
      <c r="T98" s="70">
        <v>0</v>
      </c>
      <c r="U98" s="70">
        <v>0</v>
      </c>
      <c r="V98" s="70">
        <v>0</v>
      </c>
      <c r="W98" s="70">
        <v>0</v>
      </c>
      <c r="X98" s="70">
        <v>0</v>
      </c>
      <c r="Y98" s="70">
        <v>0</v>
      </c>
      <c r="Z98" s="70">
        <v>0</v>
      </c>
      <c r="AA98" s="70">
        <v>0</v>
      </c>
      <c r="AB98" s="70">
        <v>0</v>
      </c>
      <c r="AC98" s="70">
        <v>0</v>
      </c>
      <c r="AD98" s="70">
        <v>0</v>
      </c>
      <c r="AE98" s="70">
        <v>0</v>
      </c>
      <c r="AF98" s="70">
        <v>0</v>
      </c>
      <c r="AG98" s="70">
        <v>0</v>
      </c>
      <c r="AH98" s="70">
        <v>0</v>
      </c>
      <c r="AI98" s="70">
        <v>61670</v>
      </c>
      <c r="AJ98" s="70">
        <v>84295</v>
      </c>
      <c r="AK98" s="70">
        <v>71702</v>
      </c>
      <c r="AL98" s="70">
        <v>94717</v>
      </c>
      <c r="AM98" s="70">
        <v>98629</v>
      </c>
      <c r="AN98" s="70">
        <v>87326</v>
      </c>
      <c r="AO98" s="70">
        <v>80722</v>
      </c>
      <c r="AP98" s="70">
        <v>42292</v>
      </c>
      <c r="AQ98" s="70">
        <v>35111</v>
      </c>
      <c r="AR98" s="70">
        <v>33810</v>
      </c>
      <c r="AS98" s="70">
        <v>28774</v>
      </c>
      <c r="AT98" s="70">
        <v>29145</v>
      </c>
      <c r="AU98" s="70">
        <v>27822</v>
      </c>
      <c r="AV98" s="70">
        <v>36807</v>
      </c>
      <c r="AW98" s="70">
        <v>51820</v>
      </c>
      <c r="AX98" s="70">
        <f>'Fuel Vol and Credit Gen'!AX27</f>
        <v>105779</v>
      </c>
      <c r="AY98" s="70">
        <v>109757.668997669</v>
      </c>
      <c r="AZ98" s="70">
        <v>115086.09168609171</v>
      </c>
      <c r="BA98" s="70">
        <v>165502.75058275057</v>
      </c>
      <c r="BB98" s="70">
        <v>136757.66899766901</v>
      </c>
      <c r="BC98" s="70">
        <v>144078.72571872573</v>
      </c>
      <c r="BD98" s="70">
        <v>130680.18648018646</v>
      </c>
      <c r="BE98" s="70">
        <v>151279</v>
      </c>
      <c r="BF98" s="77">
        <f>'Fuel Vol and Credit Gen'!BF27</f>
        <v>130564.53220091164</v>
      </c>
      <c r="BG98" s="77">
        <f>'Fuel Vol and Credit Gen'!BG27</f>
        <v>130279.79612841328</v>
      </c>
      <c r="BH98" s="77">
        <f>'Fuel Vol and Credit Gen'!BH27</f>
        <v>134848.60724407542</v>
      </c>
      <c r="BI98" s="77">
        <f>'Fuel Vol and Credit Gen'!BI27</f>
        <v>119293.40251979374</v>
      </c>
      <c r="BJ98" s="77">
        <f>'Fuel Vol and Credit Gen'!BJ27</f>
        <v>103247.79395100466</v>
      </c>
      <c r="BK98" s="77">
        <f>'Fuel Vol and Credit Gen'!BK27</f>
        <v>103581.48576647813</v>
      </c>
      <c r="BL98" s="77">
        <f>'Fuel Vol and Credit Gen'!BL27</f>
        <v>119424.69429762711</v>
      </c>
      <c r="BM98" s="77">
        <f>'Fuel Vol and Credit Gen'!BM27</f>
        <v>174368.87791485785</v>
      </c>
      <c r="BN98" s="77">
        <f>'Fuel Vol and Credit Gen'!BN27</f>
        <v>186112.88839448977</v>
      </c>
      <c r="BO98" s="77">
        <f>'Fuel Vol and Credit Gen'!BO27</f>
        <v>187604.10539487915</v>
      </c>
      <c r="BP98" s="77">
        <f>'Fuel Vol and Credit Gen'!BP27</f>
        <v>226115.57600290328</v>
      </c>
      <c r="BQ98" s="77">
        <f>'Fuel Vol and Credit Gen'!BQ27</f>
        <v>213203.1460011731</v>
      </c>
      <c r="BR98" s="77">
        <f>'Fuel Vol and Credit Gen'!BR27</f>
        <v>211364.13894323498</v>
      </c>
      <c r="BS98" s="77">
        <f>'Fuel Vol and Credit Gen'!BS27</f>
        <v>201369.82782901698</v>
      </c>
      <c r="BT98" s="77">
        <f>'Fuel Vol and Credit Gen'!BT27</f>
        <v>192583.75652308678</v>
      </c>
      <c r="BU98" s="77">
        <f>'Fuel Vol and Credit Gen'!BU27</f>
        <v>178329.27262265436</v>
      </c>
      <c r="BV98" s="77">
        <f>'Fuel Vol and Credit Gen'!BV27</f>
        <v>177441.19263500615</v>
      </c>
      <c r="BW98" s="77">
        <f>'Fuel Vol and Credit Gen'!BW27</f>
        <v>177272.40765878497</v>
      </c>
      <c r="BX98" s="77">
        <f>'Fuel Vol and Credit Gen'!BX27</f>
        <v>169714.48159715271</v>
      </c>
      <c r="BY98" s="77">
        <f>'Fuel Vol and Credit Gen'!BY27</f>
        <v>160970.57323049119</v>
      </c>
      <c r="BZ98" s="77">
        <f>'Fuel Vol and Credit Gen'!BZ27</f>
        <v>165475.43557230604</v>
      </c>
      <c r="CA98" s="77">
        <f>'Fuel Vol and Credit Gen'!CA27</f>
        <v>181373.85067525328</v>
      </c>
      <c r="CB98" s="77">
        <f>'Fuel Vol and Credit Gen'!CB27</f>
        <v>236307.52862055393</v>
      </c>
      <c r="CC98" s="77">
        <f>'Fuel Vol and Credit Gen'!CC27</f>
        <v>244213.93319706226</v>
      </c>
      <c r="CD98" s="77">
        <f>'Fuel Vol and Credit Gen'!CD27</f>
        <v>245197.22798731373</v>
      </c>
      <c r="CE98" s="77">
        <f>'Fuel Vol and Credit Gen'!CE27</f>
        <v>290236.14086985699</v>
      </c>
      <c r="CF98" s="77">
        <f>'Fuel Vol and Credit Gen'!CF27</f>
        <v>271525.80694603157</v>
      </c>
      <c r="CG98" s="77">
        <f>'Fuel Vol and Credit Gen'!CG27</f>
        <v>271493.37881657918</v>
      </c>
      <c r="CH98" s="77">
        <f>'Fuel Vol and Credit Gen'!CH27</f>
        <v>259789.09030572511</v>
      </c>
      <c r="CI98" s="77">
        <f>'Fuel Vol and Credit Gen'!CI27</f>
        <v>265960.79654474306</v>
      </c>
      <c r="CJ98" s="77">
        <f>'Fuel Vol and Credit Gen'!CJ27</f>
        <v>248575.71086533679</v>
      </c>
      <c r="CK98" s="77">
        <f>'Fuel Vol and Credit Gen'!CK27</f>
        <v>248055.73614380613</v>
      </c>
      <c r="CL98" s="77">
        <f>'Fuel Vol and Credit Gen'!CL27</f>
        <v>250191.23696290189</v>
      </c>
      <c r="CM98" s="77">
        <f>'Fuel Vol and Credit Gen'!CM27</f>
        <v>238597.40877341645</v>
      </c>
      <c r="CN98" s="77">
        <f>'Fuel Vol and Credit Gen'!CN27</f>
        <v>226225.4022903624</v>
      </c>
      <c r="CO98" s="77">
        <f>'Fuel Vol and Credit Gen'!CO27</f>
        <v>228719.5991132796</v>
      </c>
      <c r="CP98" s="77">
        <f>'Fuel Vol and Credit Gen'!CP27</f>
        <v>244387.09005627391</v>
      </c>
      <c r="CQ98" s="77">
        <f>'Fuel Vol and Credit Gen'!CQ27</f>
        <v>299612.07714073511</v>
      </c>
      <c r="CR98" s="77">
        <f>'Fuel Vol and Credit Gen'!CR27</f>
        <v>309077.00174821424</v>
      </c>
      <c r="CS98" s="77">
        <f>'Fuel Vol and Credit Gen'!CS27</f>
        <v>311198.43997982796</v>
      </c>
      <c r="CT98" s="77">
        <f>'Fuel Vol and Credit Gen'!CT27</f>
        <v>352909.08866114786</v>
      </c>
      <c r="CU98" s="77">
        <f>'Fuel Vol and Credit Gen'!CU27</f>
        <v>336372.19621149841</v>
      </c>
      <c r="CV98" s="77">
        <f>'Fuel Vol and Credit Gen'!CV27</f>
        <v>336456.84493969026</v>
      </c>
      <c r="CW98" s="77">
        <f>'Fuel Vol and Credit Gen'!CW27</f>
        <v>325614.76278919395</v>
      </c>
      <c r="CX98" s="77">
        <f>'Fuel Vol and Credit Gen'!CX27</f>
        <v>324199.92368170782</v>
      </c>
      <c r="CY98" s="77">
        <f>'Fuel Vol and Credit Gen'!CY27</f>
        <v>308342.11954903556</v>
      </c>
      <c r="CZ98" s="77">
        <f>'Fuel Vol and Credit Gen'!CZ27</f>
        <v>307607.15026485384</v>
      </c>
      <c r="DA98" s="77">
        <f>'Fuel Vol and Credit Gen'!DA27</f>
        <v>308623.04257649602</v>
      </c>
      <c r="DB98" s="77">
        <f>'Fuel Vol and Credit Gen'!DB27</f>
        <v>299287.38012106734</v>
      </c>
      <c r="DC98" s="77">
        <f>'Fuel Vol and Credit Gen'!DC27</f>
        <v>288653.30050972593</v>
      </c>
      <c r="DD98" s="77">
        <f>'Fuel Vol and Credit Gen'!DD27</f>
        <v>292096.03005478607</v>
      </c>
      <c r="DE98" s="77">
        <f>'Fuel Vol and Credit Gen'!DE27</f>
        <v>307970.85082764726</v>
      </c>
      <c r="DF98" s="77">
        <f>'Fuel Vol and Credit Gen'!DF27</f>
        <v>363473.73118764447</v>
      </c>
      <c r="DG98" s="77">
        <f>'Fuel Vol and Credit Gen'!DG27</f>
        <v>372025.02869212138</v>
      </c>
      <c r="DH98" s="77">
        <f>'Fuel Vol and Credit Gen'!DH27</f>
        <v>373215.59039356478</v>
      </c>
      <c r="DI98" s="77">
        <f>'Fuel Vol and Credit Gen'!DI27</f>
        <v>416574.42054641806</v>
      </c>
      <c r="DJ98" s="77">
        <f>'Fuel Vol and Credit Gen'!DJ27</f>
        <v>399213.08987085387</v>
      </c>
      <c r="DK98" s="77">
        <f>'Fuel Vol and Credit Gen'!DK27</f>
        <v>398835.26197077462</v>
      </c>
      <c r="DL98" s="77">
        <f>'Fuel Vol and Credit Gen'!DL27</f>
        <v>387569.80230134004</v>
      </c>
      <c r="DM98" s="77">
        <f>'Fuel Vol and Credit Gen'!DM27</f>
        <v>389915.14465232962</v>
      </c>
      <c r="DN98" s="77">
        <f>'Fuel Vol and Credit Gen'!DN27</f>
        <v>373320.72813614673</v>
      </c>
      <c r="DO98" s="77">
        <f>'Fuel Vol and Credit Gen'!DO27</f>
        <v>372714.29597521242</v>
      </c>
      <c r="DP98" s="77">
        <f>'Fuel Vol and Credit Gen'!DP27</f>
        <v>374270.98061077192</v>
      </c>
      <c r="DQ98" s="77">
        <f>'Fuel Vol and Credit Gen'!DQ27</f>
        <v>363714.25858509605</v>
      </c>
      <c r="DR98" s="77">
        <f>'Fuel Vol and Credit Gen'!DR27</f>
        <v>352240.21530262363</v>
      </c>
      <c r="DS98" s="77">
        <f>'Fuel Vol and Credit Gen'!DS27</f>
        <v>355230.29655189713</v>
      </c>
      <c r="DT98" s="77">
        <f>'Fuel Vol and Credit Gen'!DT27</f>
        <v>370964.00810472388</v>
      </c>
      <c r="DU98" s="77">
        <f>'Fuel Vol and Credit Gen'!DU27</f>
        <v>426416.07283699035</v>
      </c>
      <c r="DV98" s="77">
        <f>'Fuel Vol and Credit Gen'!DV27</f>
        <v>435297.57781079208</v>
      </c>
      <c r="DW98" s="77">
        <f>'Fuel Vol and Credit Gen'!DW27</f>
        <v>437104.843019469</v>
      </c>
      <c r="DX98" s="77">
        <f>'Fuel Vol and Credit Gen'!DX27</f>
        <v>479681.75355973479</v>
      </c>
      <c r="DY98" s="77">
        <f>'Fuel Vol and Credit Gen'!DY27</f>
        <v>462655.45932025643</v>
      </c>
      <c r="DZ98" s="77">
        <f>'Fuel Vol and Credit Gen'!DZ27</f>
        <v>462646.08400438383</v>
      </c>
    </row>
    <row r="99" spans="1:130" ht="25.5" x14ac:dyDescent="0.2">
      <c r="A99" s="42" t="s">
        <v>137</v>
      </c>
      <c r="B99" s="39" t="s">
        <v>123</v>
      </c>
      <c r="C99" s="70">
        <v>0</v>
      </c>
      <c r="D99" s="70">
        <v>0</v>
      </c>
      <c r="E99" s="70">
        <v>0</v>
      </c>
      <c r="F99" s="70">
        <v>0</v>
      </c>
      <c r="G99" s="70">
        <v>0</v>
      </c>
      <c r="H99" s="70">
        <v>0</v>
      </c>
      <c r="I99" s="70">
        <v>0</v>
      </c>
      <c r="J99" s="70">
        <v>0</v>
      </c>
      <c r="K99" s="70">
        <v>0</v>
      </c>
      <c r="L99" s="70">
        <v>0</v>
      </c>
      <c r="M99" s="70">
        <v>0</v>
      </c>
      <c r="N99" s="70">
        <v>0</v>
      </c>
      <c r="O99" s="70">
        <v>0</v>
      </c>
      <c r="P99" s="70">
        <v>0</v>
      </c>
      <c r="Q99" s="70">
        <v>0</v>
      </c>
      <c r="R99" s="70">
        <v>0</v>
      </c>
      <c r="S99" s="70">
        <v>0</v>
      </c>
      <c r="T99" s="70">
        <v>0</v>
      </c>
      <c r="U99" s="70">
        <v>0</v>
      </c>
      <c r="V99" s="70">
        <v>0</v>
      </c>
      <c r="W99" s="70">
        <v>0</v>
      </c>
      <c r="X99" s="70">
        <v>0</v>
      </c>
      <c r="Y99" s="70">
        <v>0</v>
      </c>
      <c r="Z99" s="70">
        <v>0</v>
      </c>
      <c r="AA99" s="70">
        <v>0</v>
      </c>
      <c r="AB99" s="70">
        <v>0</v>
      </c>
      <c r="AC99" s="70">
        <v>0</v>
      </c>
      <c r="AD99" s="70">
        <v>0</v>
      </c>
      <c r="AE99" s="70">
        <v>0</v>
      </c>
      <c r="AF99" s="70">
        <v>0</v>
      </c>
      <c r="AG99" s="70">
        <v>0</v>
      </c>
      <c r="AH99" s="70">
        <v>0</v>
      </c>
      <c r="AI99" s="70">
        <v>3995</v>
      </c>
      <c r="AJ99" s="70">
        <v>2385</v>
      </c>
      <c r="AK99" s="70">
        <v>50891</v>
      </c>
      <c r="AL99" s="70">
        <v>54537</v>
      </c>
      <c r="AM99" s="70">
        <v>57975</v>
      </c>
      <c r="AN99" s="70">
        <v>61093</v>
      </c>
      <c r="AO99" s="70">
        <v>102313</v>
      </c>
      <c r="AP99" s="70">
        <v>160968</v>
      </c>
      <c r="AQ99" s="70">
        <v>136123</v>
      </c>
      <c r="AR99" s="70">
        <v>162706</v>
      </c>
      <c r="AS99" s="70">
        <v>210459</v>
      </c>
      <c r="AT99" s="70">
        <v>233786</v>
      </c>
      <c r="AU99" s="70">
        <v>238700</v>
      </c>
      <c r="AV99" s="70">
        <v>265483</v>
      </c>
      <c r="AW99" s="70">
        <v>272236</v>
      </c>
      <c r="AX99" s="70">
        <f>'Fuel Vol and Credit Gen'!AX28</f>
        <v>259506</v>
      </c>
      <c r="AY99" s="70">
        <v>280569.38616938615</v>
      </c>
      <c r="AZ99" s="70">
        <v>317096.0994560995</v>
      </c>
      <c r="BA99" s="70">
        <v>354941.6317016317</v>
      </c>
      <c r="BB99" s="70">
        <v>435852.64957264962</v>
      </c>
      <c r="BC99" s="70">
        <v>496892.64957264956</v>
      </c>
      <c r="BD99" s="70">
        <v>536213</v>
      </c>
      <c r="BE99" s="70">
        <v>538793</v>
      </c>
      <c r="BF99" s="77">
        <f>'Fuel Vol and Credit Gen'!BF28</f>
        <v>602045.40375926229</v>
      </c>
      <c r="BG99" s="77">
        <f>'Fuel Vol and Credit Gen'!BG28</f>
        <v>653999.96222801344</v>
      </c>
      <c r="BH99" s="77">
        <f>'Fuel Vol and Credit Gen'!BH28</f>
        <v>656464.73345109029</v>
      </c>
      <c r="BI99" s="77">
        <f>'Fuel Vol and Credit Gen'!BI28</f>
        <v>705436.80869916512</v>
      </c>
      <c r="BJ99" s="77">
        <f>'Fuel Vol and Credit Gen'!BJ28</f>
        <v>754356.04369242094</v>
      </c>
      <c r="BK99" s="77">
        <f>'Fuel Vol and Credit Gen'!BK28</f>
        <v>804294.89175671746</v>
      </c>
      <c r="BL99" s="77">
        <f>'Fuel Vol and Credit Gen'!BL28</f>
        <v>855757.6762207502</v>
      </c>
      <c r="BM99" s="77">
        <f>'Fuel Vol and Credit Gen'!BM28</f>
        <v>900438.35952470673</v>
      </c>
      <c r="BN99" s="77">
        <f>'Fuel Vol and Credit Gen'!BN28</f>
        <v>943495.2978729388</v>
      </c>
      <c r="BO99" s="77">
        <f>'Fuel Vol and Credit Gen'!BO28</f>
        <v>987788.60970803839</v>
      </c>
      <c r="BP99" s="77">
        <f>'Fuel Vol and Credit Gen'!BP28</f>
        <v>1032839.4034583315</v>
      </c>
      <c r="BQ99" s="77">
        <f>'Fuel Vol and Credit Gen'!BQ28</f>
        <v>1077317.4386392364</v>
      </c>
      <c r="BR99" s="77">
        <f>'Fuel Vol and Credit Gen'!BR28</f>
        <v>1121797.0545357701</v>
      </c>
      <c r="BS99" s="77">
        <f>'Fuel Vol and Credit Gen'!BS28</f>
        <v>1169425.4081134733</v>
      </c>
      <c r="BT99" s="77">
        <f>'Fuel Vol and Credit Gen'!BT28</f>
        <v>1216729.7735458866</v>
      </c>
      <c r="BU99" s="77">
        <f>'Fuel Vol and Credit Gen'!BU28</f>
        <v>1263922.1697874793</v>
      </c>
      <c r="BV99" s="77">
        <f>'Fuel Vol and Credit Gen'!BV28</f>
        <v>1310868.8206989723</v>
      </c>
      <c r="BW99" s="77">
        <f>'Fuel Vol and Credit Gen'!BW28</f>
        <v>1357199.7226056179</v>
      </c>
      <c r="BX99" s="77">
        <f>'Fuel Vol and Credit Gen'!BX28</f>
        <v>1403532.3392049333</v>
      </c>
      <c r="BY99" s="77">
        <f>'Fuel Vol and Credit Gen'!BY28</f>
        <v>1449865.0211319162</v>
      </c>
      <c r="BZ99" s="77">
        <f>'Fuel Vol and Credit Gen'!BZ28</f>
        <v>1496197.7806416193</v>
      </c>
      <c r="CA99" s="77">
        <f>'Fuel Vol and Credit Gen'!CA28</f>
        <v>1542530.5223773893</v>
      </c>
      <c r="CB99" s="77">
        <f>'Fuel Vol and Credit Gen'!CB28</f>
        <v>1588863.3351873835</v>
      </c>
      <c r="CC99" s="77">
        <f>'Fuel Vol and Credit Gen'!CC28</f>
        <v>1635196.2204425635</v>
      </c>
      <c r="CD99" s="77">
        <f>'Fuel Vol and Credit Gen'!CD28</f>
        <v>1681529.1797578507</v>
      </c>
      <c r="CE99" s="77">
        <f>'Fuel Vol and Credit Gen'!CE28</f>
        <v>1727862.140577053</v>
      </c>
      <c r="CF99" s="77">
        <f>'Fuel Vol and Credit Gen'!CF28</f>
        <v>1774195.0711134858</v>
      </c>
      <c r="CG99" s="77">
        <f>'Fuel Vol and Credit Gen'!CG28</f>
        <v>1820528.1342679854</v>
      </c>
      <c r="CH99" s="77">
        <f>'Fuel Vol and Credit Gen'!CH28</f>
        <v>1866861.2306855216</v>
      </c>
      <c r="CI99" s="77">
        <f>'Fuel Vol and Credit Gen'!CI28</f>
        <v>1913194.3208642823</v>
      </c>
      <c r="CJ99" s="77">
        <f>'Fuel Vol and Credit Gen'!CJ28</f>
        <v>1959527.4533951012</v>
      </c>
      <c r="CK99" s="77">
        <f>'Fuel Vol and Credit Gen'!CK28</f>
        <v>2005860.6644911799</v>
      </c>
      <c r="CL99" s="77">
        <f>'Fuel Vol and Credit Gen'!CL28</f>
        <v>2051784.8785782366</v>
      </c>
      <c r="CM99" s="77">
        <f>'Fuel Vol and Credit Gen'!CM28</f>
        <v>2097767.8654893427</v>
      </c>
      <c r="CN99" s="77">
        <f>'Fuel Vol and Credit Gen'!CN28</f>
        <v>2142937.7905126633</v>
      </c>
      <c r="CO99" s="77">
        <f>'Fuel Vol and Credit Gen'!CO28</f>
        <v>2188359.5842548707</v>
      </c>
      <c r="CP99" s="77">
        <f>'Fuel Vol and Credit Gen'!CP28</f>
        <v>2233858.8177274643</v>
      </c>
      <c r="CQ99" s="77">
        <f>'Fuel Vol and Credit Gen'!CQ28</f>
        <v>2279371.0449147709</v>
      </c>
      <c r="CR99" s="77">
        <f>'Fuel Vol and Credit Gen'!CR28</f>
        <v>2324827.6014664499</v>
      </c>
      <c r="CS99" s="77">
        <f>'Fuel Vol and Credit Gen'!CS28</f>
        <v>2370422.8550296957</v>
      </c>
      <c r="CT99" s="77">
        <f>'Fuel Vol and Credit Gen'!CT28</f>
        <v>2416223.4232403631</v>
      </c>
      <c r="CU99" s="77">
        <f>'Fuel Vol and Credit Gen'!CU28</f>
        <v>2463018.1547200135</v>
      </c>
      <c r="CV99" s="77">
        <f>'Fuel Vol and Credit Gen'!CV28</f>
        <v>2508779.6287669274</v>
      </c>
      <c r="CW99" s="77">
        <f>'Fuel Vol and Credit Gen'!CW28</f>
        <v>2554833.6910495926</v>
      </c>
      <c r="CX99" s="77">
        <f>'Fuel Vol and Credit Gen'!CX28</f>
        <v>2600798.9790532421</v>
      </c>
      <c r="CY99" s="77">
        <f>'Fuel Vol and Credit Gen'!CY28</f>
        <v>2646794.6146648782</v>
      </c>
      <c r="CZ99" s="77">
        <f>'Fuel Vol and Credit Gen'!CZ28</f>
        <v>2692750.9845238966</v>
      </c>
      <c r="DA99" s="77">
        <f>'Fuel Vol and Credit Gen'!DA28</f>
        <v>2738706.4010395193</v>
      </c>
      <c r="DB99" s="77">
        <f>'Fuel Vol and Credit Gen'!DB28</f>
        <v>2784654.3628005935</v>
      </c>
      <c r="DC99" s="77">
        <f>'Fuel Vol and Credit Gen'!DC28</f>
        <v>2830604.4276214261</v>
      </c>
      <c r="DD99" s="77">
        <f>'Fuel Vol and Credit Gen'!DD28</f>
        <v>2876725.0835842788</v>
      </c>
      <c r="DE99" s="77">
        <f>'Fuel Vol and Credit Gen'!DE28</f>
        <v>2922828.1025037514</v>
      </c>
      <c r="DF99" s="77">
        <f>'Fuel Vol and Credit Gen'!DF28</f>
        <v>2968849.7528457679</v>
      </c>
      <c r="DG99" s="77">
        <f>'Fuel Vol and Credit Gen'!DG28</f>
        <v>3014895.8116989834</v>
      </c>
      <c r="DH99" s="77">
        <f>'Fuel Vol and Credit Gen'!DH28</f>
        <v>3060936.0698459269</v>
      </c>
      <c r="DI99" s="77">
        <f>'Fuel Vol and Credit Gen'!DI28</f>
        <v>3106977.4277620842</v>
      </c>
      <c r="DJ99" s="77">
        <f>'Fuel Vol and Credit Gen'!DJ28</f>
        <v>3153019.6642956566</v>
      </c>
      <c r="DK99" s="77">
        <f>'Fuel Vol and Credit Gen'!DK28</f>
        <v>3199061.8972903593</v>
      </c>
      <c r="DL99" s="77">
        <f>'Fuel Vol and Credit Gen'!DL28</f>
        <v>3245104.1302850614</v>
      </c>
      <c r="DM99" s="77">
        <f>'Fuel Vol and Credit Gen'!DM28</f>
        <v>3291146.3632797636</v>
      </c>
      <c r="DN99" s="77">
        <f>'Fuel Vol and Credit Gen'!DN28</f>
        <v>3337188.5962744658</v>
      </c>
      <c r="DO99" s="77">
        <f>'Fuel Vol and Credit Gen'!DO28</f>
        <v>3383230.829269168</v>
      </c>
      <c r="DP99" s="77">
        <f>'Fuel Vol and Credit Gen'!DP28</f>
        <v>3429273.0622638701</v>
      </c>
      <c r="DQ99" s="77">
        <f>'Fuel Vol and Credit Gen'!DQ28</f>
        <v>3475315.2930731224</v>
      </c>
      <c r="DR99" s="77">
        <f>'Fuel Vol and Credit Gen'!DR28</f>
        <v>3521357.5260680984</v>
      </c>
      <c r="DS99" s="77">
        <f>'Fuel Vol and Credit Gen'!DS28</f>
        <v>3567399.7590630744</v>
      </c>
      <c r="DT99" s="77">
        <f>'Fuel Vol and Credit Gen'!DT28</f>
        <v>3613441.9920580504</v>
      </c>
      <c r="DU99" s="77">
        <f>'Fuel Vol and Credit Gen'!DU28</f>
        <v>3659484.2250530263</v>
      </c>
      <c r="DV99" s="77">
        <f>'Fuel Vol and Credit Gen'!DV28</f>
        <v>3705526.4580480023</v>
      </c>
      <c r="DW99" s="77">
        <f>'Fuel Vol and Credit Gen'!DW28</f>
        <v>3751568.6910429783</v>
      </c>
      <c r="DX99" s="77">
        <f>'Fuel Vol and Credit Gen'!DX28</f>
        <v>3797610.9240209111</v>
      </c>
      <c r="DY99" s="77">
        <f>'Fuel Vol and Credit Gen'!DY28</f>
        <v>3843653.1569989119</v>
      </c>
      <c r="DZ99" s="77">
        <f>'Fuel Vol and Credit Gen'!DZ28</f>
        <v>3889695.3899769126</v>
      </c>
    </row>
    <row r="100" spans="1:130" x14ac:dyDescent="0.2">
      <c r="A100" s="42" t="s">
        <v>138</v>
      </c>
      <c r="B100" s="39" t="s">
        <v>123</v>
      </c>
      <c r="C100" s="70">
        <v>0</v>
      </c>
      <c r="D100" s="70">
        <v>0</v>
      </c>
      <c r="E100" s="70">
        <v>0</v>
      </c>
      <c r="F100" s="70">
        <v>0</v>
      </c>
      <c r="G100" s="70">
        <v>0</v>
      </c>
      <c r="H100" s="70">
        <v>0</v>
      </c>
      <c r="I100" s="70">
        <v>0</v>
      </c>
      <c r="J100" s="70">
        <v>0</v>
      </c>
      <c r="K100" s="70">
        <v>0</v>
      </c>
      <c r="L100" s="70">
        <v>0</v>
      </c>
      <c r="M100" s="70">
        <v>0</v>
      </c>
      <c r="N100" s="70">
        <v>0</v>
      </c>
      <c r="O100" s="70">
        <v>0</v>
      </c>
      <c r="P100" s="70">
        <v>0</v>
      </c>
      <c r="Q100" s="70">
        <v>0</v>
      </c>
      <c r="R100" s="70">
        <v>0</v>
      </c>
      <c r="S100" s="70">
        <v>0</v>
      </c>
      <c r="T100" s="70">
        <v>0</v>
      </c>
      <c r="U100" s="70">
        <v>0</v>
      </c>
      <c r="V100" s="70">
        <v>0</v>
      </c>
      <c r="W100" s="70">
        <v>4120613</v>
      </c>
      <c r="X100" s="70">
        <v>4768068</v>
      </c>
      <c r="Y100" s="70">
        <v>4678241</v>
      </c>
      <c r="Z100" s="70">
        <v>5290607</v>
      </c>
      <c r="AA100" s="70">
        <v>5001004</v>
      </c>
      <c r="AB100" s="70">
        <v>5979420</v>
      </c>
      <c r="AC100" s="70">
        <v>5874243</v>
      </c>
      <c r="AD100" s="70">
        <v>6292520</v>
      </c>
      <c r="AE100" s="70">
        <v>5640429</v>
      </c>
      <c r="AF100" s="70">
        <v>5665532</v>
      </c>
      <c r="AG100" s="70">
        <v>5977296</v>
      </c>
      <c r="AH100" s="70">
        <v>6016955</v>
      </c>
      <c r="AI100" s="70">
        <v>5378515</v>
      </c>
      <c r="AJ100" s="70">
        <v>5602600</v>
      </c>
      <c r="AK100" s="70">
        <v>5744706</v>
      </c>
      <c r="AL100" s="70">
        <v>5875189</v>
      </c>
      <c r="AM100" s="70">
        <v>5504688</v>
      </c>
      <c r="AN100" s="70">
        <v>4039261</v>
      </c>
      <c r="AO100" s="70">
        <v>4448829</v>
      </c>
      <c r="AP100" s="70">
        <v>4140940</v>
      </c>
      <c r="AQ100" s="70">
        <v>4192790</v>
      </c>
      <c r="AR100" s="70">
        <v>4364180</v>
      </c>
      <c r="AS100" s="70">
        <v>4992017</v>
      </c>
      <c r="AT100" s="70">
        <v>4935359</v>
      </c>
      <c r="AU100" s="70">
        <v>4796369</v>
      </c>
      <c r="AV100" s="70">
        <v>4679212</v>
      </c>
      <c r="AW100" s="70">
        <v>5376856</v>
      </c>
      <c r="AX100" s="70">
        <f>'Fuel Vol and Credit Gen'!AX29</f>
        <v>5490893</v>
      </c>
      <c r="AY100" s="70">
        <v>5190520.9324009325</v>
      </c>
      <c r="AZ100" s="70">
        <v>5705942.0357420361</v>
      </c>
      <c r="BA100" s="70">
        <v>6243539.4560994562</v>
      </c>
      <c r="BB100" s="70">
        <v>4994847.4281274285</v>
      </c>
      <c r="BC100" s="70">
        <v>5258330.069930071</v>
      </c>
      <c r="BD100" s="70">
        <v>5407908</v>
      </c>
      <c r="BE100" s="70">
        <v>6209719</v>
      </c>
      <c r="BF100" s="77">
        <f>'Fuel Vol and Credit Gen'!BF29</f>
        <v>6247012.7110663746</v>
      </c>
      <c r="BG100" s="77">
        <f>'Fuel Vol and Credit Gen'!BG29</f>
        <v>6344806.0374327805</v>
      </c>
      <c r="BH100" s="77">
        <f>'Fuel Vol and Credit Gen'!BH29</f>
        <v>6433327.1979780011</v>
      </c>
      <c r="BI100" s="77">
        <f>'Fuel Vol and Credit Gen'!BI29</f>
        <v>6511859.2886084588</v>
      </c>
      <c r="BJ100" s="77">
        <f>'Fuel Vol and Credit Gen'!BJ29</f>
        <v>6579639.107110044</v>
      </c>
      <c r="BK100" s="77">
        <f>'Fuel Vol and Credit Gen'!BK29</f>
        <v>6635856.2226018589</v>
      </c>
      <c r="BL100" s="77">
        <f>'Fuel Vol and Credit Gen'!BL29</f>
        <v>6679652.0127372965</v>
      </c>
      <c r="BM100" s="77">
        <f>'Fuel Vol and Credit Gen'!BM29</f>
        <v>6923060.3415401606</v>
      </c>
      <c r="BN100" s="77">
        <f>'Fuel Vol and Credit Gen'!BN29</f>
        <v>6828491.8401299194</v>
      </c>
      <c r="BO100" s="77">
        <f>'Fuel Vol and Credit Gen'!BO29</f>
        <v>6856312.5750142336</v>
      </c>
      <c r="BP100" s="77">
        <f>'Fuel Vol and Credit Gen'!BP29</f>
        <v>6944506.0344163161</v>
      </c>
      <c r="BQ100" s="77">
        <f>'Fuel Vol and Credit Gen'!BQ29</f>
        <v>7019740.3497879012</v>
      </c>
      <c r="BR100" s="77">
        <f>'Fuel Vol and Credit Gen'!BR29</f>
        <v>7040265.0159302047</v>
      </c>
      <c r="BS100" s="77">
        <f>'Fuel Vol and Credit Gen'!BS29</f>
        <v>7081117.0911844205</v>
      </c>
      <c r="BT100" s="77">
        <f>'Fuel Vol and Credit Gen'!BT29</f>
        <v>7125807.2763467012</v>
      </c>
      <c r="BU100" s="77">
        <f>'Fuel Vol and Credit Gen'!BU29</f>
        <v>7178275.6080506714</v>
      </c>
      <c r="BV100" s="77">
        <f>'Fuel Vol and Credit Gen'!BV29</f>
        <v>7233670.6684255386</v>
      </c>
      <c r="BW100" s="77">
        <f>'Fuel Vol and Credit Gen'!BW29</f>
        <v>7292533.6344355159</v>
      </c>
      <c r="BX100" s="77">
        <f>'Fuel Vol and Credit Gen'!BX29</f>
        <v>7356740.6709800558</v>
      </c>
      <c r="BY100" s="77">
        <f>'Fuel Vol and Credit Gen'!BY29</f>
        <v>7425938.1273641577</v>
      </c>
      <c r="BZ100" s="77">
        <f>'Fuel Vol and Credit Gen'!BZ29</f>
        <v>7497663.1156777609</v>
      </c>
      <c r="CA100" s="77">
        <f>'Fuel Vol and Credit Gen'!CA29</f>
        <v>7572993.9950761124</v>
      </c>
      <c r="CB100" s="77">
        <f>'Fuel Vol and Credit Gen'!CB29</f>
        <v>7652331.2227320233</v>
      </c>
      <c r="CC100" s="77">
        <f>'Fuel Vol and Credit Gen'!CC29</f>
        <v>7737681.4912885278</v>
      </c>
      <c r="CD100" s="77">
        <f>'Fuel Vol and Credit Gen'!CD29</f>
        <v>7703033.2299828092</v>
      </c>
      <c r="CE100" s="77">
        <f>'Fuel Vol and Credit Gen'!CE29</f>
        <v>7852003.5776271727</v>
      </c>
      <c r="CF100" s="77">
        <f>'Fuel Vol and Credit Gen'!CF29</f>
        <v>7937611.2582893623</v>
      </c>
      <c r="CG100" s="77">
        <f>'Fuel Vol and Credit Gen'!CG29</f>
        <v>8019278.3176039802</v>
      </c>
      <c r="CH100" s="77">
        <f>'Fuel Vol and Credit Gen'!CH29</f>
        <v>8098162.5479392912</v>
      </c>
      <c r="CI100" s="77">
        <f>'Fuel Vol and Credit Gen'!CI29</f>
        <v>8178459.9309833236</v>
      </c>
      <c r="CJ100" s="77">
        <f>'Fuel Vol and Credit Gen'!CJ29</f>
        <v>8257227.3572737603</v>
      </c>
      <c r="CK100" s="77">
        <f>'Fuel Vol and Credit Gen'!CK29</f>
        <v>8335754.0943467394</v>
      </c>
      <c r="CL100" s="77">
        <f>'Fuel Vol and Credit Gen'!CL29</f>
        <v>8410200.0712513607</v>
      </c>
      <c r="CM100" s="77">
        <f>'Fuel Vol and Credit Gen'!CM29</f>
        <v>8472051.8544671442</v>
      </c>
      <c r="CN100" s="77">
        <f>'Fuel Vol and Credit Gen'!CN29</f>
        <v>8577559.6058372334</v>
      </c>
      <c r="CO100" s="77">
        <f>'Fuel Vol and Credit Gen'!CO29</f>
        <v>8630877.0059126709</v>
      </c>
      <c r="CP100" s="77">
        <f>'Fuel Vol and Credit Gen'!CP29</f>
        <v>8707572.9015556872</v>
      </c>
      <c r="CQ100" s="77">
        <f>'Fuel Vol and Credit Gen'!CQ29</f>
        <v>8778660.4661398064</v>
      </c>
      <c r="CR100" s="77">
        <f>'Fuel Vol and Credit Gen'!CR29</f>
        <v>8853523.8951509949</v>
      </c>
      <c r="CS100" s="77">
        <f>'Fuel Vol and Credit Gen'!CS29</f>
        <v>8924873.0429183561</v>
      </c>
      <c r="CT100" s="77">
        <f>'Fuel Vol and Credit Gen'!CT29</f>
        <v>8994059.739655558</v>
      </c>
      <c r="CU100" s="77">
        <f>'Fuel Vol and Credit Gen'!CU29</f>
        <v>9067366.1115789413</v>
      </c>
      <c r="CV100" s="77">
        <f>'Fuel Vol and Credit Gen'!CV29</f>
        <v>9140051.4792262837</v>
      </c>
      <c r="CW100" s="77">
        <f>'Fuel Vol and Credit Gen'!CW29</f>
        <v>9212683.972811278</v>
      </c>
      <c r="CX100" s="77">
        <f>'Fuel Vol and Credit Gen'!CX29</f>
        <v>9283987.3609556463</v>
      </c>
      <c r="CY100" s="77">
        <f>'Fuel Vol and Credit Gen'!CY29</f>
        <v>9350861.5239289682</v>
      </c>
      <c r="CZ100" s="77">
        <f>'Fuel Vol and Credit Gen'!CZ29</f>
        <v>9428185.0933130831</v>
      </c>
      <c r="DA100" s="77">
        <f>'Fuel Vol and Credit Gen'!DA29</f>
        <v>9497541.8467831276</v>
      </c>
      <c r="DB100" s="77">
        <f>'Fuel Vol and Credit Gen'!DB29</f>
        <v>9565288.1029016841</v>
      </c>
      <c r="DC100" s="77">
        <f>'Fuel Vol and Credit Gen'!DC29</f>
        <v>9637681.6951986514</v>
      </c>
      <c r="DD100" s="77">
        <f>'Fuel Vol and Credit Gen'!DD29</f>
        <v>9708384.4280821085</v>
      </c>
      <c r="DE100" s="77">
        <f>'Fuel Vol and Credit Gen'!DE29</f>
        <v>9780038.5692543648</v>
      </c>
      <c r="DF100" s="77">
        <f>'Fuel Vol and Credit Gen'!DF29</f>
        <v>9851934.8095843438</v>
      </c>
      <c r="DG100" s="77">
        <f>'Fuel Vol and Credit Gen'!DG29</f>
        <v>9924201.075324038</v>
      </c>
      <c r="DH100" s="77">
        <f>'Fuel Vol and Credit Gen'!DH29</f>
        <v>9997098.8574374039</v>
      </c>
      <c r="DI100" s="77">
        <f>'Fuel Vol and Credit Gen'!DI29</f>
        <v>10070258.049738342</v>
      </c>
      <c r="DJ100" s="77">
        <f>'Fuel Vol and Credit Gen'!DJ29</f>
        <v>10143983.516566087</v>
      </c>
      <c r="DK100" s="77">
        <f>'Fuel Vol and Credit Gen'!DK29</f>
        <v>10214526.221911557</v>
      </c>
      <c r="DL100" s="77">
        <f>'Fuel Vol and Credit Gen'!DL29</f>
        <v>10287486.749494139</v>
      </c>
      <c r="DM100" s="77">
        <f>'Fuel Vol and Credit Gen'!DM29</f>
        <v>10362136.22357914</v>
      </c>
      <c r="DN100" s="77">
        <f>'Fuel Vol and Credit Gen'!DN29</f>
        <v>10435643.72151529</v>
      </c>
      <c r="DO100" s="77">
        <f>'Fuel Vol and Credit Gen'!DO29</f>
        <v>10509063.128954036</v>
      </c>
      <c r="DP100" s="77">
        <f>'Fuel Vol and Credit Gen'!DP29</f>
        <v>10582395.74340928</v>
      </c>
      <c r="DQ100" s="77">
        <f>'Fuel Vol and Credit Gen'!DQ29</f>
        <v>10655634.340170253</v>
      </c>
      <c r="DR100" s="77">
        <f>'Fuel Vol and Credit Gen'!DR29</f>
        <v>10728787.134664577</v>
      </c>
      <c r="DS100" s="77">
        <f>'Fuel Vol and Credit Gen'!DS29</f>
        <v>10801870.488196943</v>
      </c>
      <c r="DT100" s="77">
        <f>'Fuel Vol and Credit Gen'!DT29</f>
        <v>10875156.488260243</v>
      </c>
      <c r="DU100" s="77">
        <f>'Fuel Vol and Credit Gen'!DU29</f>
        <v>10948465.234046757</v>
      </c>
      <c r="DV100" s="77">
        <f>'Fuel Vol and Credit Gen'!DV29</f>
        <v>11021654.496666117</v>
      </c>
      <c r="DW100" s="77">
        <f>'Fuel Vol and Credit Gen'!DW29</f>
        <v>11094759.608563978</v>
      </c>
      <c r="DX100" s="77">
        <f>'Fuel Vol and Credit Gen'!DX29</f>
        <v>11168038.172900487</v>
      </c>
      <c r="DY100" s="77">
        <f>'Fuel Vol and Credit Gen'!DY29</f>
        <v>11241157.094852805</v>
      </c>
      <c r="DZ100" s="77">
        <f>'Fuel Vol and Credit Gen'!DZ29</f>
        <v>11314276.644568218</v>
      </c>
    </row>
    <row r="101" spans="1:130" x14ac:dyDescent="0.2">
      <c r="A101" s="42" t="s">
        <v>139</v>
      </c>
      <c r="B101" s="39" t="s">
        <v>123</v>
      </c>
      <c r="C101" s="70">
        <v>0</v>
      </c>
      <c r="D101" s="70">
        <v>0</v>
      </c>
      <c r="E101" s="70">
        <v>0</v>
      </c>
      <c r="F101" s="70">
        <v>0</v>
      </c>
      <c r="G101" s="70">
        <v>0</v>
      </c>
      <c r="H101" s="70">
        <v>0</v>
      </c>
      <c r="I101" s="70">
        <v>0</v>
      </c>
      <c r="J101" s="70">
        <v>0</v>
      </c>
      <c r="K101" s="70">
        <v>0</v>
      </c>
      <c r="L101" s="70">
        <v>0</v>
      </c>
      <c r="M101" s="70">
        <v>0</v>
      </c>
      <c r="N101" s="70">
        <v>0</v>
      </c>
      <c r="O101" s="70">
        <v>0</v>
      </c>
      <c r="P101" s="70">
        <v>0</v>
      </c>
      <c r="Q101" s="70">
        <v>0</v>
      </c>
      <c r="R101" s="70">
        <v>0</v>
      </c>
      <c r="S101" s="70">
        <v>0</v>
      </c>
      <c r="T101" s="70">
        <v>0</v>
      </c>
      <c r="U101" s="70">
        <v>0</v>
      </c>
      <c r="V101" s="70">
        <v>0</v>
      </c>
      <c r="W101" s="70">
        <v>0</v>
      </c>
      <c r="X101" s="70">
        <v>0</v>
      </c>
      <c r="Y101" s="70">
        <v>0</v>
      </c>
      <c r="Z101" s="70">
        <v>0</v>
      </c>
      <c r="AA101" s="70">
        <v>0</v>
      </c>
      <c r="AB101" s="70">
        <v>0</v>
      </c>
      <c r="AC101" s="70">
        <v>0</v>
      </c>
      <c r="AD101" s="70">
        <v>0</v>
      </c>
      <c r="AE101" s="70">
        <v>0</v>
      </c>
      <c r="AF101" s="70">
        <v>0</v>
      </c>
      <c r="AG101" s="70">
        <v>0</v>
      </c>
      <c r="AH101" s="70">
        <v>0</v>
      </c>
      <c r="AI101" s="70">
        <v>924451</v>
      </c>
      <c r="AJ101" s="70">
        <v>1055976</v>
      </c>
      <c r="AK101" s="70">
        <v>1111870</v>
      </c>
      <c r="AL101" s="70">
        <v>1159630</v>
      </c>
      <c r="AM101" s="70">
        <v>1078105</v>
      </c>
      <c r="AN101" s="70">
        <v>1047001</v>
      </c>
      <c r="AO101" s="70">
        <v>1158909</v>
      </c>
      <c r="AP101" s="70">
        <v>1768879</v>
      </c>
      <c r="AQ101" s="70">
        <v>1795611</v>
      </c>
      <c r="AR101" s="70">
        <v>1994763</v>
      </c>
      <c r="AS101" s="70">
        <v>2059130</v>
      </c>
      <c r="AT101" s="70">
        <v>2074920</v>
      </c>
      <c r="AU101" s="70">
        <v>1869091</v>
      </c>
      <c r="AV101" s="70">
        <v>4383063</v>
      </c>
      <c r="AW101" s="70">
        <v>4014275</v>
      </c>
      <c r="AX101" s="70">
        <f>'Fuel Vol and Credit Gen'!AX30</f>
        <v>4325911</v>
      </c>
      <c r="AY101" s="70">
        <v>3800935.8508158503</v>
      </c>
      <c r="AZ101" s="70">
        <v>4313970.4428904429</v>
      </c>
      <c r="BA101" s="70">
        <v>5115868.9665889665</v>
      </c>
      <c r="BB101" s="70">
        <v>4869784.4910644917</v>
      </c>
      <c r="BC101" s="70">
        <v>4391637.8865578864</v>
      </c>
      <c r="BD101" s="70">
        <v>4575722</v>
      </c>
      <c r="BE101" s="70">
        <v>4610999</v>
      </c>
      <c r="BF101" s="77">
        <f>'Fuel Vol and Credit Gen'!BF30</f>
        <v>5570236.0696326727</v>
      </c>
      <c r="BG101" s="77">
        <f>'Fuel Vol and Credit Gen'!BG30</f>
        <v>5514671.1150523089</v>
      </c>
      <c r="BH101" s="77">
        <f>'Fuel Vol and Credit Gen'!BH30</f>
        <v>5664675.9821552737</v>
      </c>
      <c r="BI101" s="77">
        <f>'Fuel Vol and Credit Gen'!BI30</f>
        <v>5788565.8846448623</v>
      </c>
      <c r="BJ101" s="77">
        <f>'Fuel Vol and Credit Gen'!BJ30</f>
        <v>5959054.5562617108</v>
      </c>
      <c r="BK101" s="77">
        <f>'Fuel Vol and Credit Gen'!BK30</f>
        <v>6127037.5929032806</v>
      </c>
      <c r="BL101" s="77">
        <f>'Fuel Vol and Credit Gen'!BL30</f>
        <v>6303824.7614046428</v>
      </c>
      <c r="BM101" s="77">
        <f>'Fuel Vol and Credit Gen'!BM30</f>
        <v>6484698.8253945429</v>
      </c>
      <c r="BN101" s="77">
        <f>'Fuel Vol and Credit Gen'!BN30</f>
        <v>6666351.3444476929</v>
      </c>
      <c r="BO101" s="77">
        <f>'Fuel Vol and Credit Gen'!BO30</f>
        <v>6856932.6560893729</v>
      </c>
      <c r="BP101" s="77">
        <f>'Fuel Vol and Credit Gen'!BP30</f>
        <v>7049173.6066053761</v>
      </c>
      <c r="BQ101" s="77">
        <f>'Fuel Vol and Credit Gen'!BQ30</f>
        <v>7244337.3486321727</v>
      </c>
      <c r="BR101" s="77">
        <f>'Fuel Vol and Credit Gen'!BR30</f>
        <v>7441953.2214625739</v>
      </c>
      <c r="BS101" s="77">
        <f>'Fuel Vol and Credit Gen'!BS30</f>
        <v>7641526.0514932862</v>
      </c>
      <c r="BT101" s="77">
        <f>'Fuel Vol and Credit Gen'!BT30</f>
        <v>7842534.2152034612</v>
      </c>
      <c r="BU101" s="77">
        <f>'Fuel Vol and Credit Gen'!BU30</f>
        <v>8044427.6890269369</v>
      </c>
      <c r="BV101" s="77">
        <f>'Fuel Vol and Credit Gen'!BV30</f>
        <v>8400826.8702343442</v>
      </c>
      <c r="BW101" s="77">
        <f>'Fuel Vol and Credit Gen'!BW30</f>
        <v>8526718.7611895744</v>
      </c>
      <c r="BX101" s="77">
        <f>'Fuel Vol and Credit Gen'!BX30</f>
        <v>8728717.6478508934</v>
      </c>
      <c r="BY101" s="77">
        <f>'Fuel Vol and Credit Gen'!BY30</f>
        <v>8925853.3520491607</v>
      </c>
      <c r="BZ101" s="77">
        <f>'Fuel Vol and Credit Gen'!BZ30</f>
        <v>9127988.9728698619</v>
      </c>
      <c r="CA101" s="77">
        <f>'Fuel Vol and Credit Gen'!CA30</f>
        <v>9331349.7306047566</v>
      </c>
      <c r="CB101" s="77">
        <f>'Fuel Vol and Credit Gen'!CB30</f>
        <v>9535171.9012908153</v>
      </c>
      <c r="CC101" s="77">
        <f>'Fuel Vol and Credit Gen'!CC30</f>
        <v>9738899.9788913727</v>
      </c>
      <c r="CD101" s="77">
        <f>'Fuel Vol and Credit Gen'!CD30</f>
        <v>9943033.1460979879</v>
      </c>
      <c r="CE101" s="77">
        <f>'Fuel Vol and Credit Gen'!CE30</f>
        <v>10143056.917453844</v>
      </c>
      <c r="CF101" s="77">
        <f>'Fuel Vol and Credit Gen'!CF30</f>
        <v>10332341.123965774</v>
      </c>
      <c r="CG101" s="77">
        <f>'Fuel Vol and Credit Gen'!CG30</f>
        <v>10534414.86090197</v>
      </c>
      <c r="CH101" s="77">
        <f>'Fuel Vol and Credit Gen'!CH30</f>
        <v>10730671.593605988</v>
      </c>
      <c r="CI101" s="77">
        <f>'Fuel Vol and Credit Gen'!CI30</f>
        <v>10926009.14038251</v>
      </c>
      <c r="CJ101" s="77">
        <f>'Fuel Vol and Credit Gen'!CJ30</f>
        <v>11119416.173576644</v>
      </c>
      <c r="CK101" s="77">
        <f>'Fuel Vol and Credit Gen'!CK30</f>
        <v>11311134.968389379</v>
      </c>
      <c r="CL101" s="77">
        <f>'Fuel Vol and Credit Gen'!CL30</f>
        <v>11475080.788089894</v>
      </c>
      <c r="CM101" s="77">
        <f>'Fuel Vol and Credit Gen'!CM30</f>
        <v>11674688.58201794</v>
      </c>
      <c r="CN101" s="77">
        <f>'Fuel Vol and Credit Gen'!CN30</f>
        <v>11866525.954643179</v>
      </c>
      <c r="CO101" s="77">
        <f>'Fuel Vol and Credit Gen'!CO30</f>
        <v>12056844.215949371</v>
      </c>
      <c r="CP101" s="77">
        <f>'Fuel Vol and Credit Gen'!CP30</f>
        <v>12255419.194133142</v>
      </c>
      <c r="CQ101" s="77">
        <f>'Fuel Vol and Credit Gen'!CQ30</f>
        <v>12448298.451980161</v>
      </c>
      <c r="CR101" s="77">
        <f>'Fuel Vol and Credit Gen'!CR30</f>
        <v>12645875.587710034</v>
      </c>
      <c r="CS101" s="77">
        <f>'Fuel Vol and Credit Gen'!CS30</f>
        <v>12861419.052339369</v>
      </c>
      <c r="CT101" s="77">
        <f>'Fuel Vol and Credit Gen'!CT30</f>
        <v>13053082.928051801</v>
      </c>
      <c r="CU101" s="77">
        <f>'Fuel Vol and Credit Gen'!CU30</f>
        <v>13251769.923892017</v>
      </c>
      <c r="CV101" s="77">
        <f>'Fuel Vol and Credit Gen'!CV30</f>
        <v>13449521.294727376</v>
      </c>
      <c r="CW101" s="77">
        <f>'Fuel Vol and Credit Gen'!CW30</f>
        <v>13647120.395420616</v>
      </c>
      <c r="CX101" s="77">
        <f>'Fuel Vol and Credit Gen'!CX30</f>
        <v>13845364.864466857</v>
      </c>
      <c r="CY101" s="77">
        <f>'Fuel Vol and Credit Gen'!CY30</f>
        <v>14044164.058514683</v>
      </c>
      <c r="CZ101" s="77">
        <f>'Fuel Vol and Credit Gen'!CZ30</f>
        <v>14243044.790709026</v>
      </c>
      <c r="DA101" s="77">
        <f>'Fuel Vol and Credit Gen'!DA30</f>
        <v>14442017.6246596</v>
      </c>
      <c r="DB101" s="77">
        <f>'Fuel Vol and Credit Gen'!DB30</f>
        <v>14640971.526479336</v>
      </c>
      <c r="DC101" s="77">
        <f>'Fuel Vol and Credit Gen'!DC30</f>
        <v>14839844.510186134</v>
      </c>
      <c r="DD101" s="77">
        <f>'Fuel Vol and Credit Gen'!DD30</f>
        <v>15038583.116139771</v>
      </c>
      <c r="DE101" s="77">
        <f>'Fuel Vol and Credit Gen'!DE30</f>
        <v>15237114.575864065</v>
      </c>
      <c r="DF101" s="77">
        <f>'Fuel Vol and Credit Gen'!DF30</f>
        <v>15435416.878244627</v>
      </c>
      <c r="DG101" s="77">
        <f>'Fuel Vol and Credit Gen'!DG30</f>
        <v>15633458.756216573</v>
      </c>
      <c r="DH101" s="77">
        <f>'Fuel Vol and Credit Gen'!DH30</f>
        <v>15831219.585200038</v>
      </c>
      <c r="DI101" s="77">
        <f>'Fuel Vol and Credit Gen'!DI30</f>
        <v>16028685.742630629</v>
      </c>
      <c r="DJ101" s="77">
        <f>'Fuel Vol and Credit Gen'!DJ30</f>
        <v>16225849.350481177</v>
      </c>
      <c r="DK101" s="77">
        <f>'Fuel Vol and Credit Gen'!DK30</f>
        <v>16422706.870315218</v>
      </c>
      <c r="DL101" s="77">
        <f>'Fuel Vol and Credit Gen'!DL30</f>
        <v>16620284.088640941</v>
      </c>
      <c r="DM101" s="77">
        <f>'Fuel Vol and Credit Gen'!DM30</f>
        <v>16817873.172470603</v>
      </c>
      <c r="DN101" s="77">
        <f>'Fuel Vol and Credit Gen'!DN30</f>
        <v>17015532.685830776</v>
      </c>
      <c r="DO101" s="77">
        <f>'Fuel Vol and Credit Gen'!DO30</f>
        <v>17213191.519902438</v>
      </c>
      <c r="DP101" s="77">
        <f>'Fuel Vol and Credit Gen'!DP30</f>
        <v>17410842.99120396</v>
      </c>
      <c r="DQ101" s="77">
        <f>'Fuel Vol and Credit Gen'!DQ30</f>
        <v>17608485.689043447</v>
      </c>
      <c r="DR101" s="77">
        <f>'Fuel Vol and Credit Gen'!DR30</f>
        <v>17806119.330923676</v>
      </c>
      <c r="DS101" s="77">
        <f>'Fuel Vol and Credit Gen'!DS30</f>
        <v>18003744.459358327</v>
      </c>
      <c r="DT101" s="77">
        <f>'Fuel Vol and Credit Gen'!DT30</f>
        <v>18201360.974364519</v>
      </c>
      <c r="DU101" s="77">
        <f>'Fuel Vol and Credit Gen'!DU30</f>
        <v>18398975.035139546</v>
      </c>
      <c r="DV101" s="77">
        <f>'Fuel Vol and Credit Gen'!DV30</f>
        <v>18596601.732437748</v>
      </c>
      <c r="DW101" s="77">
        <f>'Fuel Vol and Credit Gen'!DW30</f>
        <v>18794223.388619669</v>
      </c>
      <c r="DX101" s="77">
        <f>'Fuel Vol and Credit Gen'!DX30</f>
        <v>18991848.475000549</v>
      </c>
      <c r="DY101" s="77">
        <f>'Fuel Vol and Credit Gen'!DY30</f>
        <v>19189427.905739162</v>
      </c>
      <c r="DZ101" s="77">
        <f>'Fuel Vol and Credit Gen'!DZ30</f>
        <v>19387165.316356741</v>
      </c>
    </row>
    <row r="102" spans="1:130" x14ac:dyDescent="0.2">
      <c r="A102" s="42" t="s">
        <v>140</v>
      </c>
      <c r="B102" s="39" t="s">
        <v>123</v>
      </c>
      <c r="C102" s="70">
        <v>0</v>
      </c>
      <c r="D102" s="70">
        <v>0</v>
      </c>
      <c r="E102" s="70">
        <v>0</v>
      </c>
      <c r="F102" s="70">
        <v>0</v>
      </c>
      <c r="G102" s="70">
        <v>0</v>
      </c>
      <c r="H102" s="70">
        <v>0</v>
      </c>
      <c r="I102" s="70">
        <v>0</v>
      </c>
      <c r="J102" s="70">
        <v>0</v>
      </c>
      <c r="K102" s="70">
        <v>0</v>
      </c>
      <c r="L102" s="70">
        <v>0</v>
      </c>
      <c r="M102" s="70">
        <v>0</v>
      </c>
      <c r="N102" s="70">
        <v>0</v>
      </c>
      <c r="O102" s="70">
        <v>0</v>
      </c>
      <c r="P102" s="70">
        <v>0</v>
      </c>
      <c r="Q102" s="70">
        <v>0</v>
      </c>
      <c r="R102" s="70">
        <v>0</v>
      </c>
      <c r="S102" s="70">
        <v>0</v>
      </c>
      <c r="T102" s="70">
        <v>0</v>
      </c>
      <c r="U102" s="70">
        <v>0</v>
      </c>
      <c r="V102" s="70">
        <v>0</v>
      </c>
      <c r="W102" s="70">
        <v>0</v>
      </c>
      <c r="X102" s="70">
        <v>0</v>
      </c>
      <c r="Y102" s="70">
        <v>0</v>
      </c>
      <c r="Z102" s="70">
        <v>0</v>
      </c>
      <c r="AA102" s="70">
        <v>0</v>
      </c>
      <c r="AB102" s="70">
        <v>0</v>
      </c>
      <c r="AC102" s="70">
        <v>0</v>
      </c>
      <c r="AD102" s="70">
        <v>0</v>
      </c>
      <c r="AE102" s="70">
        <v>0</v>
      </c>
      <c r="AF102" s="70">
        <v>0</v>
      </c>
      <c r="AG102" s="70">
        <v>0</v>
      </c>
      <c r="AH102" s="70">
        <v>0</v>
      </c>
      <c r="AI102" s="70">
        <v>0</v>
      </c>
      <c r="AJ102" s="70">
        <v>141642</v>
      </c>
      <c r="AK102" s="70">
        <v>136066</v>
      </c>
      <c r="AL102" s="70">
        <v>151916</v>
      </c>
      <c r="AM102" s="70">
        <v>166761</v>
      </c>
      <c r="AN102" s="70">
        <v>192953</v>
      </c>
      <c r="AO102" s="70">
        <v>202275</v>
      </c>
      <c r="AP102" s="70">
        <v>206750</v>
      </c>
      <c r="AQ102" s="70">
        <v>235898</v>
      </c>
      <c r="AR102" s="70">
        <v>210608</v>
      </c>
      <c r="AS102" s="70">
        <v>258108</v>
      </c>
      <c r="AT102" s="70">
        <v>271518</v>
      </c>
      <c r="AU102" s="70">
        <v>324929</v>
      </c>
      <c r="AV102" s="70">
        <v>314599</v>
      </c>
      <c r="AW102" s="70">
        <v>293567</v>
      </c>
      <c r="AX102" s="70">
        <f>'Fuel Vol and Credit Gen'!AX31</f>
        <v>249895</v>
      </c>
      <c r="AY102" s="70">
        <v>277239.62703962706</v>
      </c>
      <c r="AZ102" s="70">
        <v>248894.1724941725</v>
      </c>
      <c r="BA102" s="70">
        <v>353679.28515928518</v>
      </c>
      <c r="BB102" s="70">
        <v>343330.22533022531</v>
      </c>
      <c r="BC102" s="70">
        <v>319769.54156954162</v>
      </c>
      <c r="BD102" s="70">
        <v>290951</v>
      </c>
      <c r="BE102" s="70">
        <v>324199</v>
      </c>
      <c r="BF102" s="77">
        <f>'Fuel Vol and Credit Gen'!BF31</f>
        <v>335700.0532138822</v>
      </c>
      <c r="BG102" s="77">
        <f>'Fuel Vol and Credit Gen'!BG31</f>
        <v>346176.87367777823</v>
      </c>
      <c r="BH102" s="77">
        <f>'Fuel Vol and Credit Gen'!BH31</f>
        <v>354093.50339082163</v>
      </c>
      <c r="BI102" s="77">
        <f>'Fuel Vol and Credit Gen'!BI31</f>
        <v>365131.05648742325</v>
      </c>
      <c r="BJ102" s="77">
        <f>'Fuel Vol and Credit Gen'!BJ31</f>
        <v>376057.89985452575</v>
      </c>
      <c r="BK102" s="77">
        <f>'Fuel Vol and Credit Gen'!BK31</f>
        <v>387157.65666837204</v>
      </c>
      <c r="BL102" s="77">
        <f>'Fuel Vol and Credit Gen'!BL31</f>
        <v>398552.85100331716</v>
      </c>
      <c r="BM102" s="77">
        <f>'Fuel Vol and Credit Gen'!BM31</f>
        <v>409867.13509342709</v>
      </c>
      <c r="BN102" s="77">
        <f>'Fuel Vol and Credit Gen'!BN31</f>
        <v>419437.29688138445</v>
      </c>
      <c r="BO102" s="77">
        <f>'Fuel Vol and Credit Gen'!BO31</f>
        <v>431200.7768386993</v>
      </c>
      <c r="BP102" s="77">
        <f>'Fuel Vol and Credit Gen'!BP31</f>
        <v>442529.56009567244</v>
      </c>
      <c r="BQ102" s="77">
        <f>'Fuel Vol and Credit Gen'!BQ31</f>
        <v>453821.51591438183</v>
      </c>
      <c r="BR102" s="77">
        <f>'Fuel Vol and Credit Gen'!BR31</f>
        <v>465043.5615118093</v>
      </c>
      <c r="BS102" s="77">
        <f>'Fuel Vol and Credit Gen'!BS31</f>
        <v>476160.58389860246</v>
      </c>
      <c r="BT102" s="77">
        <f>'Fuel Vol and Credit Gen'!BT31</f>
        <v>487135.3370321886</v>
      </c>
      <c r="BU102" s="77">
        <f>'Fuel Vol and Credit Gen'!BU31</f>
        <v>497928.33750989428</v>
      </c>
      <c r="BV102" s="77">
        <f>'Fuel Vol and Credit Gen'!BV31</f>
        <v>508497.75880323397</v>
      </c>
      <c r="BW102" s="77">
        <f>'Fuel Vol and Credit Gen'!BW31</f>
        <v>518799.32404603291</v>
      </c>
      <c r="BX102" s="77">
        <f>'Fuel Vol and Credit Gen'!BX31</f>
        <v>528786.19740084058</v>
      </c>
      <c r="BY102" s="77">
        <f>'Fuel Vol and Credit Gen'!BY31</f>
        <v>538408.87404020922</v>
      </c>
      <c r="BZ102" s="77">
        <f>'Fuel Vol and Credit Gen'!BZ31</f>
        <v>546811.73844778526</v>
      </c>
      <c r="CA102" s="77">
        <f>'Fuel Vol and Credit Gen'!CA31</f>
        <v>556039.31059075869</v>
      </c>
      <c r="CB102" s="77">
        <f>'Fuel Vol and Credit Gen'!CB31</f>
        <v>565113.82804730441</v>
      </c>
      <c r="CC102" s="77">
        <f>'Fuel Vol and Credit Gen'!CC31</f>
        <v>574161.0618249526</v>
      </c>
      <c r="CD102" s="77">
        <f>'Fuel Vol and Credit Gen'!CD31</f>
        <v>583148.41612242023</v>
      </c>
      <c r="CE102" s="77">
        <f>'Fuel Vol and Credit Gen'!CE31</f>
        <v>592247.64618621662</v>
      </c>
      <c r="CF102" s="77">
        <f>'Fuel Vol and Credit Gen'!CF31</f>
        <v>601393.52957376174</v>
      </c>
      <c r="CG102" s="77">
        <f>'Fuel Vol and Credit Gen'!CG31</f>
        <v>610454.30716144433</v>
      </c>
      <c r="CH102" s="77">
        <f>'Fuel Vol and Credit Gen'!CH31</f>
        <v>619707.8904179855</v>
      </c>
      <c r="CI102" s="77">
        <f>'Fuel Vol and Credit Gen'!CI31</f>
        <v>628779.5840565426</v>
      </c>
      <c r="CJ102" s="77">
        <f>'Fuel Vol and Credit Gen'!CJ31</f>
        <v>638057.65761868516</v>
      </c>
      <c r="CK102" s="77">
        <f>'Fuel Vol and Credit Gen'!CK31</f>
        <v>673993.87220447359</v>
      </c>
      <c r="CL102" s="77">
        <f>'Fuel Vol and Credit Gen'!CL31</f>
        <v>670627.11467207863</v>
      </c>
      <c r="CM102" s="77">
        <f>'Fuel Vol and Credit Gen'!CM31</f>
        <v>676731.39813740691</v>
      </c>
      <c r="CN102" s="77">
        <f>'Fuel Vol and Credit Gen'!CN31</f>
        <v>687152.76492170896</v>
      </c>
      <c r="CO102" s="77">
        <f>'Fuel Vol and Credit Gen'!CO31</f>
        <v>696250.04506340064</v>
      </c>
      <c r="CP102" s="77">
        <f>'Fuel Vol and Credit Gen'!CP31</f>
        <v>706708.16443016555</v>
      </c>
      <c r="CQ102" s="77">
        <f>'Fuel Vol and Credit Gen'!CQ31</f>
        <v>716572.74456690997</v>
      </c>
      <c r="CR102" s="77">
        <f>'Fuel Vol and Credit Gen'!CR31</f>
        <v>726730.60798760364</v>
      </c>
      <c r="CS102" s="77">
        <f>'Fuel Vol and Credit Gen'!CS31</f>
        <v>737337.07752767741</v>
      </c>
      <c r="CT102" s="77">
        <f>'Fuel Vol and Credit Gen'!CT31</f>
        <v>747709.01438771619</v>
      </c>
      <c r="CU102" s="77">
        <f>'Fuel Vol and Credit Gen'!CU31</f>
        <v>758834.53269092832</v>
      </c>
      <c r="CV102" s="77">
        <f>'Fuel Vol and Credit Gen'!CV31</f>
        <v>768620.41474076128</v>
      </c>
      <c r="CW102" s="77">
        <f>'Fuel Vol and Credit Gen'!CW31</f>
        <v>778837.30337498209</v>
      </c>
      <c r="CX102" s="77">
        <f>'Fuel Vol and Credit Gen'!CX31</f>
        <v>789084.69852850598</v>
      </c>
      <c r="CY102" s="77">
        <f>'Fuel Vol and Credit Gen'!CY31</f>
        <v>799284.9265868396</v>
      </c>
      <c r="CZ102" s="77">
        <f>'Fuel Vol and Credit Gen'!CZ31</f>
        <v>809467.77090013842</v>
      </c>
      <c r="DA102" s="77">
        <f>'Fuel Vol and Credit Gen'!DA31</f>
        <v>819633.49136120221</v>
      </c>
      <c r="DB102" s="77">
        <f>'Fuel Vol and Credit Gen'!DB31</f>
        <v>829783.94000219833</v>
      </c>
      <c r="DC102" s="77">
        <f>'Fuel Vol and Credit Gen'!DC31</f>
        <v>839924.06936851749</v>
      </c>
      <c r="DD102" s="77">
        <f>'Fuel Vol and Credit Gen'!DD31</f>
        <v>848391.35952483118</v>
      </c>
      <c r="DE102" s="77">
        <f>'Fuel Vol and Credit Gen'!DE31</f>
        <v>857759.38711653394</v>
      </c>
      <c r="DF102" s="77">
        <f>'Fuel Vol and Credit Gen'!DF31</f>
        <v>866965.59047582815</v>
      </c>
      <c r="DG102" s="77">
        <f>'Fuel Vol and Credit Gen'!DG31</f>
        <v>876918.83493710111</v>
      </c>
      <c r="DH102" s="77">
        <f>'Fuel Vol and Credit Gen'!DH31</f>
        <v>886004.57061397762</v>
      </c>
      <c r="DI102" s="77">
        <f>'Fuel Vol and Credit Gen'!DI31</f>
        <v>895305.19860928692</v>
      </c>
      <c r="DJ102" s="77">
        <f>'Fuel Vol and Credit Gen'!DJ31</f>
        <v>904304.70498619648</v>
      </c>
      <c r="DK102" s="77">
        <f>'Fuel Vol and Credit Gen'!DK31</f>
        <v>913191.40699454537</v>
      </c>
      <c r="DL102" s="77">
        <f>'Fuel Vol and Credit Gen'!DL31</f>
        <v>922153.12643052125</v>
      </c>
      <c r="DM102" s="77">
        <f>'Fuel Vol and Credit Gen'!DM31</f>
        <v>950818.82133232255</v>
      </c>
      <c r="DN102" s="77">
        <f>'Fuel Vol and Credit Gen'!DN31</f>
        <v>952969.81758044101</v>
      </c>
      <c r="DO102" s="77">
        <f>'Fuel Vol and Credit Gen'!DO31</f>
        <v>958751.26757769298</v>
      </c>
      <c r="DP102" s="77">
        <f>'Fuel Vol and Credit Gen'!DP31</f>
        <v>969326.52155121125</v>
      </c>
      <c r="DQ102" s="77">
        <f>'Fuel Vol and Credit Gen'!DQ31</f>
        <v>978005.26954722463</v>
      </c>
      <c r="DR102" s="77">
        <f>'Fuel Vol and Credit Gen'!DR31</f>
        <v>988298.47955249925</v>
      </c>
      <c r="DS102" s="77">
        <f>'Fuel Vol and Credit Gen'!DS31</f>
        <v>997379.72551472334</v>
      </c>
      <c r="DT102" s="77">
        <f>'Fuel Vol and Credit Gen'!DT31</f>
        <v>1009460.6696101715</v>
      </c>
      <c r="DU102" s="77">
        <f>'Fuel Vol and Credit Gen'!DU31</f>
        <v>1019598.1933380243</v>
      </c>
      <c r="DV102" s="77">
        <f>'Fuel Vol and Credit Gen'!DV31</f>
        <v>1029711.0915213877</v>
      </c>
      <c r="DW102" s="77">
        <f>'Fuel Vol and Credit Gen'!DW31</f>
        <v>1039801.8639652766</v>
      </c>
      <c r="DX102" s="77">
        <f>'Fuel Vol and Credit Gen'!DX31</f>
        <v>1049711.2469885109</v>
      </c>
      <c r="DY102" s="77">
        <f>'Fuel Vol and Credit Gen'!DY31</f>
        <v>1059744.6045681187</v>
      </c>
      <c r="DZ102" s="77">
        <f>'Fuel Vol and Credit Gen'!DZ31</f>
        <v>1069742.0010395937</v>
      </c>
    </row>
    <row r="103" spans="1:130" x14ac:dyDescent="0.2">
      <c r="A103" s="42" t="s">
        <v>198</v>
      </c>
      <c r="B103" s="39" t="s">
        <v>123</v>
      </c>
      <c r="C103" s="70">
        <v>0</v>
      </c>
      <c r="D103" s="70">
        <v>0</v>
      </c>
      <c r="E103" s="70">
        <v>0</v>
      </c>
      <c r="F103" s="70">
        <v>0</v>
      </c>
      <c r="G103" s="70">
        <v>0</v>
      </c>
      <c r="H103" s="70">
        <v>0</v>
      </c>
      <c r="I103" s="70">
        <v>0</v>
      </c>
      <c r="J103" s="70">
        <v>0</v>
      </c>
      <c r="K103" s="70">
        <v>0</v>
      </c>
      <c r="L103" s="70">
        <v>0</v>
      </c>
      <c r="M103" s="70">
        <v>0</v>
      </c>
      <c r="N103" s="70">
        <v>0</v>
      </c>
      <c r="O103" s="70">
        <v>0</v>
      </c>
      <c r="P103" s="70">
        <v>0</v>
      </c>
      <c r="Q103" s="70">
        <v>0</v>
      </c>
      <c r="R103" s="70">
        <v>0</v>
      </c>
      <c r="S103" s="70">
        <v>0</v>
      </c>
      <c r="T103" s="70">
        <v>0</v>
      </c>
      <c r="U103" s="70">
        <v>0</v>
      </c>
      <c r="V103" s="70">
        <v>0</v>
      </c>
      <c r="W103" s="70">
        <v>4684097</v>
      </c>
      <c r="X103" s="70">
        <v>4752638</v>
      </c>
      <c r="Y103" s="70">
        <v>4841054</v>
      </c>
      <c r="Z103" s="70">
        <v>5004280</v>
      </c>
      <c r="AA103" s="70">
        <v>4989228</v>
      </c>
      <c r="AB103" s="70">
        <v>5056098</v>
      </c>
      <c r="AC103" s="70">
        <v>5076687</v>
      </c>
      <c r="AD103" s="70">
        <v>5096041</v>
      </c>
      <c r="AE103" s="70">
        <v>0</v>
      </c>
      <c r="AF103" s="70">
        <v>0</v>
      </c>
      <c r="AG103" s="70">
        <v>0</v>
      </c>
      <c r="AH103" s="70">
        <v>0</v>
      </c>
      <c r="AI103" s="70">
        <v>0</v>
      </c>
      <c r="AJ103" s="70">
        <v>0</v>
      </c>
      <c r="AK103" s="70">
        <v>0</v>
      </c>
      <c r="AL103" s="70">
        <v>0</v>
      </c>
      <c r="AM103" s="70">
        <v>0</v>
      </c>
      <c r="AN103" s="70">
        <v>0</v>
      </c>
      <c r="AO103" s="70">
        <v>0</v>
      </c>
      <c r="AP103" s="70">
        <v>0</v>
      </c>
      <c r="AQ103" s="70">
        <v>0</v>
      </c>
      <c r="AR103" s="70">
        <v>0</v>
      </c>
      <c r="AS103" s="70">
        <v>0</v>
      </c>
      <c r="AT103" s="70">
        <v>0</v>
      </c>
      <c r="AU103" s="70">
        <f>'Fuel Vol and Credit Gen'!AU32</f>
        <v>0</v>
      </c>
      <c r="AV103" s="77">
        <f>'Fuel Vol and Credit Gen'!AV32</f>
        <v>0</v>
      </c>
      <c r="AW103" s="70">
        <f>'Fuel Vol and Credit Gen'!AW32</f>
        <v>0</v>
      </c>
      <c r="AX103" s="70">
        <f>'Fuel Vol and Credit Gen'!AX32</f>
        <v>0</v>
      </c>
      <c r="AY103" s="70"/>
      <c r="AZ103" s="70"/>
      <c r="BA103" s="70"/>
      <c r="BB103" s="70"/>
      <c r="BC103" s="70">
        <v>0</v>
      </c>
      <c r="BD103" s="70">
        <v>0</v>
      </c>
      <c r="BE103" s="70">
        <v>0</v>
      </c>
      <c r="BF103" s="77">
        <f>'Fuel Vol and Credit Gen'!BF32</f>
        <v>0</v>
      </c>
      <c r="BG103" s="77">
        <f>'Fuel Vol and Credit Gen'!BG32</f>
        <v>0</v>
      </c>
      <c r="BH103" s="77">
        <f>'Fuel Vol and Credit Gen'!BH32</f>
        <v>0</v>
      </c>
      <c r="BI103" s="77">
        <f>'Fuel Vol and Credit Gen'!BI32</f>
        <v>0</v>
      </c>
      <c r="BJ103" s="77">
        <f>'Fuel Vol and Credit Gen'!BJ32</f>
        <v>0</v>
      </c>
      <c r="BK103" s="77">
        <f>'Fuel Vol and Credit Gen'!BK32</f>
        <v>0</v>
      </c>
      <c r="BL103" s="77">
        <f>'Fuel Vol and Credit Gen'!BL32</f>
        <v>0</v>
      </c>
      <c r="BM103" s="77">
        <f>'Fuel Vol and Credit Gen'!BM32</f>
        <v>0</v>
      </c>
      <c r="BN103" s="77">
        <f>'Fuel Vol and Credit Gen'!BN32</f>
        <v>0</v>
      </c>
      <c r="BO103" s="77">
        <f>'Fuel Vol and Credit Gen'!BO32</f>
        <v>0</v>
      </c>
      <c r="BP103" s="77">
        <f>'Fuel Vol and Credit Gen'!BP32</f>
        <v>0</v>
      </c>
      <c r="BQ103" s="77">
        <f>'Fuel Vol and Credit Gen'!BQ32</f>
        <v>0</v>
      </c>
      <c r="BR103" s="77">
        <f>'Fuel Vol and Credit Gen'!BR32</f>
        <v>0</v>
      </c>
      <c r="BS103" s="77">
        <f>'Fuel Vol and Credit Gen'!BS32</f>
        <v>0</v>
      </c>
      <c r="BT103" s="77">
        <f>'Fuel Vol and Credit Gen'!BT32</f>
        <v>0</v>
      </c>
      <c r="BU103" s="77">
        <f>'Fuel Vol and Credit Gen'!BU32</f>
        <v>0</v>
      </c>
      <c r="BV103" s="77">
        <f>'Fuel Vol and Credit Gen'!BV32</f>
        <v>0</v>
      </c>
      <c r="BW103" s="77">
        <f>'Fuel Vol and Credit Gen'!BW32</f>
        <v>0</v>
      </c>
      <c r="BX103" s="77">
        <f>'Fuel Vol and Credit Gen'!BX32</f>
        <v>0</v>
      </c>
      <c r="BY103" s="77">
        <f>'Fuel Vol and Credit Gen'!BY32</f>
        <v>0</v>
      </c>
      <c r="BZ103" s="77">
        <f>'Fuel Vol and Credit Gen'!BZ32</f>
        <v>0</v>
      </c>
      <c r="CA103" s="77">
        <f>'Fuel Vol and Credit Gen'!CA32</f>
        <v>0</v>
      </c>
      <c r="CB103" s="77">
        <f>'Fuel Vol and Credit Gen'!CB32</f>
        <v>0</v>
      </c>
      <c r="CC103" s="77">
        <f>'Fuel Vol and Credit Gen'!CC32</f>
        <v>0</v>
      </c>
      <c r="CD103" s="77">
        <f>'Fuel Vol and Credit Gen'!CD32</f>
        <v>0</v>
      </c>
      <c r="CE103" s="77">
        <f>'Fuel Vol and Credit Gen'!CE32</f>
        <v>0</v>
      </c>
      <c r="CF103" s="77">
        <f>'Fuel Vol and Credit Gen'!CF32</f>
        <v>0</v>
      </c>
      <c r="CG103" s="77">
        <f>'Fuel Vol and Credit Gen'!CG32</f>
        <v>0</v>
      </c>
      <c r="CH103" s="77">
        <f>'Fuel Vol and Credit Gen'!CH32</f>
        <v>0</v>
      </c>
      <c r="CI103" s="77">
        <f>'Fuel Vol and Credit Gen'!CI32</f>
        <v>0</v>
      </c>
      <c r="CJ103" s="77">
        <f>'Fuel Vol and Credit Gen'!CJ32</f>
        <v>0</v>
      </c>
      <c r="CK103" s="77">
        <f>'Fuel Vol and Credit Gen'!CK32</f>
        <v>0</v>
      </c>
      <c r="CL103" s="77">
        <f>'Fuel Vol and Credit Gen'!CL32</f>
        <v>0</v>
      </c>
      <c r="CM103" s="77">
        <f>'Fuel Vol and Credit Gen'!CM32</f>
        <v>0</v>
      </c>
      <c r="CN103" s="77">
        <f>'Fuel Vol and Credit Gen'!CN32</f>
        <v>0</v>
      </c>
      <c r="CO103" s="77">
        <f>'Fuel Vol and Credit Gen'!CO32</f>
        <v>0</v>
      </c>
      <c r="CP103" s="77">
        <f>'Fuel Vol and Credit Gen'!CP32</f>
        <v>0</v>
      </c>
      <c r="CQ103" s="77">
        <f>'Fuel Vol and Credit Gen'!CQ32</f>
        <v>0</v>
      </c>
      <c r="CR103" s="77">
        <f>'Fuel Vol and Credit Gen'!CR32</f>
        <v>0</v>
      </c>
      <c r="CS103" s="77">
        <f>'Fuel Vol and Credit Gen'!CS32</f>
        <v>0</v>
      </c>
      <c r="CT103" s="77">
        <f>'Fuel Vol and Credit Gen'!CT32</f>
        <v>0</v>
      </c>
      <c r="CU103" s="77">
        <f>'Fuel Vol and Credit Gen'!CU32</f>
        <v>0</v>
      </c>
      <c r="CV103" s="77">
        <f>'Fuel Vol and Credit Gen'!CV32</f>
        <v>0</v>
      </c>
      <c r="CW103" s="77">
        <f>'Fuel Vol and Credit Gen'!CW32</f>
        <v>0</v>
      </c>
      <c r="CX103" s="77">
        <f>'Fuel Vol and Credit Gen'!CX32</f>
        <v>0</v>
      </c>
      <c r="CY103" s="77">
        <f>'Fuel Vol and Credit Gen'!CY32</f>
        <v>0</v>
      </c>
      <c r="CZ103" s="77">
        <f>'Fuel Vol and Credit Gen'!CZ32</f>
        <v>0</v>
      </c>
      <c r="DA103" s="77">
        <f>'Fuel Vol and Credit Gen'!DA32</f>
        <v>0</v>
      </c>
      <c r="DB103" s="77">
        <f>'Fuel Vol and Credit Gen'!DB32</f>
        <v>0</v>
      </c>
      <c r="DC103" s="77">
        <f>'Fuel Vol and Credit Gen'!DC32</f>
        <v>0</v>
      </c>
      <c r="DD103" s="77">
        <f>'Fuel Vol and Credit Gen'!DD32</f>
        <v>0</v>
      </c>
      <c r="DE103" s="77">
        <f>'Fuel Vol and Credit Gen'!DE32</f>
        <v>0</v>
      </c>
      <c r="DF103" s="77">
        <f>'Fuel Vol and Credit Gen'!DF32</f>
        <v>0</v>
      </c>
      <c r="DG103" s="77">
        <f>'Fuel Vol and Credit Gen'!DG32</f>
        <v>0</v>
      </c>
      <c r="DH103" s="77">
        <f>'Fuel Vol and Credit Gen'!DH32</f>
        <v>0</v>
      </c>
      <c r="DI103" s="77">
        <f>'Fuel Vol and Credit Gen'!DI32</f>
        <v>0</v>
      </c>
      <c r="DJ103" s="77">
        <f>'Fuel Vol and Credit Gen'!DJ32</f>
        <v>0</v>
      </c>
      <c r="DK103" s="77">
        <f>'Fuel Vol and Credit Gen'!DK32</f>
        <v>0</v>
      </c>
      <c r="DL103" s="77">
        <f>'Fuel Vol and Credit Gen'!DL32</f>
        <v>0</v>
      </c>
      <c r="DM103" s="77">
        <f>'Fuel Vol and Credit Gen'!DM32</f>
        <v>0</v>
      </c>
      <c r="DN103" s="77">
        <f>'Fuel Vol and Credit Gen'!DN32</f>
        <v>0</v>
      </c>
      <c r="DO103" s="77">
        <f>'Fuel Vol and Credit Gen'!DO32</f>
        <v>0</v>
      </c>
      <c r="DP103" s="77">
        <f>'Fuel Vol and Credit Gen'!DP32</f>
        <v>0</v>
      </c>
      <c r="DQ103" s="77">
        <f>'Fuel Vol and Credit Gen'!DQ32</f>
        <v>0</v>
      </c>
      <c r="DR103" s="77">
        <f>'Fuel Vol and Credit Gen'!DR32</f>
        <v>0</v>
      </c>
      <c r="DS103" s="77">
        <f>'Fuel Vol and Credit Gen'!DS32</f>
        <v>0</v>
      </c>
      <c r="DT103" s="77">
        <f>'Fuel Vol and Credit Gen'!DT32</f>
        <v>0</v>
      </c>
      <c r="DU103" s="77">
        <f>'Fuel Vol and Credit Gen'!DU32</f>
        <v>0</v>
      </c>
      <c r="DV103" s="77">
        <f>'Fuel Vol and Credit Gen'!DV32</f>
        <v>0</v>
      </c>
      <c r="DW103" s="77">
        <f>'Fuel Vol and Credit Gen'!DW32</f>
        <v>0</v>
      </c>
      <c r="DX103" s="77">
        <f>'Fuel Vol and Credit Gen'!DX32</f>
        <v>0</v>
      </c>
      <c r="DY103" s="77">
        <f>'Fuel Vol and Credit Gen'!DY32</f>
        <v>0</v>
      </c>
      <c r="DZ103" s="77">
        <f>'Fuel Vol and Credit Gen'!DZ32</f>
        <v>0</v>
      </c>
    </row>
    <row r="104" spans="1:130" x14ac:dyDescent="0.2">
      <c r="A104" s="42" t="s">
        <v>142</v>
      </c>
      <c r="B104" s="39"/>
      <c r="C104" s="70">
        <v>0</v>
      </c>
      <c r="D104" s="70">
        <v>0</v>
      </c>
      <c r="E104" s="70">
        <v>0</v>
      </c>
      <c r="F104" s="70">
        <v>0</v>
      </c>
      <c r="G104" s="70">
        <v>0</v>
      </c>
      <c r="H104" s="70">
        <v>0</v>
      </c>
      <c r="I104" s="70">
        <v>0</v>
      </c>
      <c r="J104" s="70">
        <v>0</v>
      </c>
      <c r="K104" s="70">
        <v>0</v>
      </c>
      <c r="L104" s="70">
        <v>0</v>
      </c>
      <c r="M104" s="70">
        <v>0</v>
      </c>
      <c r="N104" s="70">
        <v>0</v>
      </c>
      <c r="O104" s="70">
        <v>0</v>
      </c>
      <c r="P104" s="70">
        <v>0</v>
      </c>
      <c r="Q104" s="70">
        <v>0</v>
      </c>
      <c r="R104" s="70">
        <v>0</v>
      </c>
      <c r="S104" s="70">
        <v>0</v>
      </c>
      <c r="T104" s="70">
        <v>0</v>
      </c>
      <c r="U104" s="70">
        <v>0</v>
      </c>
      <c r="V104" s="70">
        <v>0</v>
      </c>
      <c r="W104" s="70">
        <v>0</v>
      </c>
      <c r="X104" s="70">
        <v>0</v>
      </c>
      <c r="Y104" s="70">
        <v>0</v>
      </c>
      <c r="Z104" s="70">
        <v>0</v>
      </c>
      <c r="AA104" s="70">
        <v>0</v>
      </c>
      <c r="AB104" s="70">
        <v>0</v>
      </c>
      <c r="AC104" s="70">
        <v>0</v>
      </c>
      <c r="AD104" s="70">
        <v>0</v>
      </c>
      <c r="AE104" s="70">
        <v>3743846</v>
      </c>
      <c r="AF104" s="70">
        <v>3456255</v>
      </c>
      <c r="AG104" s="70">
        <v>3174942</v>
      </c>
      <c r="AH104" s="70">
        <v>2982760</v>
      </c>
      <c r="AI104" s="70">
        <v>2933204</v>
      </c>
      <c r="AJ104" s="70">
        <v>2640692</v>
      </c>
      <c r="AK104" s="70">
        <v>1825421</v>
      </c>
      <c r="AL104" s="70">
        <v>1313252</v>
      </c>
      <c r="AM104" s="70">
        <v>380989</v>
      </c>
      <c r="AN104" s="70">
        <v>0</v>
      </c>
      <c r="AO104" s="70">
        <v>0</v>
      </c>
      <c r="AP104" s="70">
        <v>0</v>
      </c>
      <c r="AQ104" s="70">
        <v>2422945</v>
      </c>
      <c r="AR104" s="70">
        <v>1571526</v>
      </c>
      <c r="AS104" s="70">
        <v>607109</v>
      </c>
      <c r="AT104" s="70">
        <v>161941</v>
      </c>
      <c r="AU104" s="70">
        <v>0</v>
      </c>
      <c r="AV104" s="70">
        <v>0</v>
      </c>
      <c r="AW104" s="70">
        <v>0</v>
      </c>
      <c r="AX104" s="70"/>
      <c r="BC104" s="70">
        <v>0</v>
      </c>
      <c r="BD104" s="70">
        <v>0</v>
      </c>
      <c r="BE104" s="70">
        <v>13131887</v>
      </c>
      <c r="BF104" s="77">
        <f>'Fuel Vol and Credit Gen'!BF33</f>
        <v>474968.62132286909</v>
      </c>
      <c r="BG104" s="77">
        <f>'Fuel Vol and Credit Gen'!BG33</f>
        <v>476944.49808535021</v>
      </c>
      <c r="BH104" s="77">
        <f>'Fuel Vol and Credit Gen'!BH33</f>
        <v>476543.30886833731</v>
      </c>
      <c r="BI104" s="77">
        <f>'Fuel Vol and Credit Gen'!BI33</f>
        <v>472827.52918584232</v>
      </c>
      <c r="BJ104" s="77">
        <f>'Fuel Vol and Credit Gen'!BJ33</f>
        <v>465545.95883760916</v>
      </c>
      <c r="BK104" s="77">
        <f>'Fuel Vol and Credit Gen'!BK33</f>
        <v>454610.51690471411</v>
      </c>
      <c r="BL104" s="77">
        <f>'Fuel Vol and Credit Gen'!BL33</f>
        <v>439909.17814263416</v>
      </c>
      <c r="BM104" s="77">
        <f>'Fuel Vol and Credit Gen'!BM33</f>
        <v>421319.55892865726</v>
      </c>
      <c r="BN104" s="77">
        <f>'Fuel Vol and Credit Gen'!BN33</f>
        <v>398709.09881849209</v>
      </c>
      <c r="BO104" s="77">
        <f>'Fuel Vol and Credit Gen'!BO33</f>
        <v>771935.22920469043</v>
      </c>
      <c r="BP104" s="77">
        <f>'Fuel Vol and Credit Gen'!BP33</f>
        <v>710237.42118094955</v>
      </c>
      <c r="BQ104" s="77">
        <f>'Fuel Vol and Credit Gen'!BQ33</f>
        <v>1076824.9817312246</v>
      </c>
      <c r="BR104" s="77">
        <f>'Fuel Vol and Credit Gen'!BR33</f>
        <v>1102389.6485833742</v>
      </c>
      <c r="BS104" s="77">
        <f>'Fuel Vol and Credit Gen'!BS33</f>
        <v>1055658.6088221266</v>
      </c>
      <c r="BT104" s="77">
        <f>'Fuel Vol and Credit Gen'!BT33</f>
        <v>1066184.2040387571</v>
      </c>
      <c r="BU104" s="77">
        <f>'Fuel Vol and Credit Gen'!BU33</f>
        <v>1071079.3475011124</v>
      </c>
      <c r="BV104" s="77">
        <f>'Fuel Vol and Credit Gen'!BV33</f>
        <v>1035936.8704444801</v>
      </c>
      <c r="BW104" s="77">
        <f>'Fuel Vol and Credit Gen'!BW33</f>
        <v>1060071.1135823934</v>
      </c>
      <c r="BX104" s="77">
        <f>'Fuel Vol and Credit Gen'!BX33</f>
        <v>1087590.5416988502</v>
      </c>
      <c r="BY104" s="77">
        <f>'Fuel Vol and Credit Gen'!BY33</f>
        <v>1123372.4899241503</v>
      </c>
      <c r="BZ104" s="77">
        <f>'Fuel Vol and Credit Gen'!BZ33</f>
        <v>642162.80890601571</v>
      </c>
      <c r="CA104" s="77">
        <f>'Fuel Vol and Credit Gen'!CA33</f>
        <v>745709.67297434201</v>
      </c>
      <c r="CB104" s="77">
        <f>'Fuel Vol and Credit Gen'!CB33</f>
        <v>812185.79400604719</v>
      </c>
      <c r="CC104" s="77">
        <f>'Fuel Vol and Credit Gen'!CC33</f>
        <v>1128960.380881615</v>
      </c>
      <c r="CD104" s="77">
        <f>'Fuel Vol and Credit Gen'!CD33</f>
        <v>1108453.4531854405</v>
      </c>
      <c r="CE104" s="77">
        <f>'Fuel Vol and Credit Gen'!CE33</f>
        <v>1212081.3001971426</v>
      </c>
      <c r="CF104" s="77">
        <f>'Fuel Vol and Credit Gen'!CF33</f>
        <v>1201133.0294438347</v>
      </c>
      <c r="CG104" s="77">
        <f>'Fuel Vol and Credit Gen'!CG33</f>
        <v>1213699.1318991985</v>
      </c>
      <c r="CH104" s="77">
        <f>'Fuel Vol and Credit Gen'!CH33</f>
        <v>1207076.738065755</v>
      </c>
      <c r="CI104" s="77">
        <f>'Fuel Vol and Credit Gen'!CI33</f>
        <v>1234637.1625518973</v>
      </c>
      <c r="CJ104" s="77">
        <f>'Fuel Vol and Credit Gen'!CJ33</f>
        <v>1260879.610789282</v>
      </c>
      <c r="CK104" s="77">
        <f>'Fuel Vol and Credit Gen'!CK33</f>
        <v>1740836.3298281836</v>
      </c>
      <c r="CL104" s="77">
        <f>'Fuel Vol and Credit Gen'!CL33</f>
        <v>1884423.1372108308</v>
      </c>
      <c r="CM104" s="77">
        <f>'Fuel Vol and Credit Gen'!CM33</f>
        <v>2363950.5854592128</v>
      </c>
      <c r="CN104" s="77">
        <f>'Fuel Vol and Credit Gen'!CN33</f>
        <v>2846803.9750080234</v>
      </c>
      <c r="CO104" s="77">
        <f>'Fuel Vol and Credit Gen'!CO33</f>
        <v>3334363.0606419174</v>
      </c>
      <c r="CP104" s="77">
        <f>'Fuel Vol and Credit Gen'!CP33</f>
        <v>3827939.2858792655</v>
      </c>
      <c r="CQ104" s="77">
        <f>'Fuel Vol and Credit Gen'!CQ33</f>
        <v>4336076.7946071485</v>
      </c>
      <c r="CR104" s="77">
        <f>'Fuel Vol and Credit Gen'!CR33</f>
        <v>4852591.1737346407</v>
      </c>
      <c r="CS104" s="77">
        <f>'Fuel Vol and Credit Gen'!CS33</f>
        <v>5377988.8806648767</v>
      </c>
      <c r="CT104" s="77">
        <f>'Fuel Vol and Credit Gen'!CT33</f>
        <v>5912648.7576503903</v>
      </c>
      <c r="CU104" s="77">
        <f>'Fuel Vol and Credit Gen'!CU33</f>
        <v>6456847.8541608313</v>
      </c>
      <c r="CV104" s="77">
        <f>'Fuel Vol and Credit Gen'!CV33</f>
        <v>7449925.744664764</v>
      </c>
      <c r="CW104" s="77">
        <f>'Fuel Vol and Credit Gen'!CW33</f>
        <v>7991872.9766083704</v>
      </c>
      <c r="CX104" s="77">
        <f>'Fuel Vol and Credit Gen'!CX33</f>
        <v>8576415.2459905613</v>
      </c>
      <c r="CY104" s="77">
        <f>'Fuel Vol and Credit Gen'!CY33</f>
        <v>9351612.8284015823</v>
      </c>
      <c r="CZ104" s="77">
        <f>'Fuel Vol and Credit Gen'!CZ33</f>
        <v>10031578.108118188</v>
      </c>
      <c r="DA104" s="77">
        <f>'Fuel Vol and Credit Gen'!DA33</f>
        <v>10707199.916602651</v>
      </c>
      <c r="DB104" s="77">
        <f>'Fuel Vol and Credit Gen'!DB33</f>
        <v>11450719.71821304</v>
      </c>
      <c r="DC104" s="77">
        <f>'Fuel Vol and Credit Gen'!DC33</f>
        <v>12194265.21715444</v>
      </c>
      <c r="DD104" s="77">
        <f>'Fuel Vol and Credit Gen'!DD33</f>
        <v>12937838.335183227</v>
      </c>
      <c r="DE104" s="77">
        <f>'Fuel Vol and Credit Gen'!DE33</f>
        <v>13584400.043918669</v>
      </c>
      <c r="DF104" s="77">
        <f>'Fuel Vol and Credit Gen'!DF33</f>
        <v>14303047.592132956</v>
      </c>
      <c r="DG104" s="77">
        <f>'Fuel Vol and Credit Gen'!DG33</f>
        <v>15001495.960716432</v>
      </c>
      <c r="DH104" s="77">
        <f>'Fuel Vol and Credit Gen'!DH33</f>
        <v>15701171.398434691</v>
      </c>
      <c r="DI104" s="77">
        <f>'Fuel Vol and Credit Gen'!DI33</f>
        <v>16385806.48250144</v>
      </c>
      <c r="DJ104" s="77">
        <f>'Fuel Vol and Credit Gen'!DJ33</f>
        <v>17078510.156717211</v>
      </c>
      <c r="DK104" s="77">
        <f>'Fuel Vol and Credit Gen'!DK33</f>
        <v>17767689.193016753</v>
      </c>
      <c r="DL104" s="77">
        <f>'Fuel Vol and Credit Gen'!DL33</f>
        <v>18456521.910690665</v>
      </c>
      <c r="DM104" s="77">
        <f>'Fuel Vol and Credit Gen'!DM33</f>
        <v>19146405.485580929</v>
      </c>
      <c r="DN104" s="77">
        <f>'Fuel Vol and Credit Gen'!DN33</f>
        <v>19838004.034330919</v>
      </c>
      <c r="DO104" s="77">
        <f>'Fuel Vol and Credit Gen'!DO33</f>
        <v>20529599.023078058</v>
      </c>
      <c r="DP104" s="77">
        <f>'Fuel Vol and Credit Gen'!DP33</f>
        <v>21220407.627234809</v>
      </c>
      <c r="DQ104" s="77">
        <f>'Fuel Vol and Credit Gen'!DQ33</f>
        <v>21911890.094549868</v>
      </c>
      <c r="DR104" s="77">
        <f>'Fuel Vol and Credit Gen'!DR33</f>
        <v>22603143.175784096</v>
      </c>
      <c r="DS104" s="77">
        <f>'Fuel Vol and Credit Gen'!DS33</f>
        <v>23294396.257018376</v>
      </c>
      <c r="DT104" s="77">
        <f>'Fuel Vol and Credit Gen'!DT33</f>
        <v>23985649.338252567</v>
      </c>
      <c r="DU104" s="77">
        <f>'Fuel Vol and Credit Gen'!DU33</f>
        <v>24676902.164796155</v>
      </c>
      <c r="DV104" s="77">
        <f>'Fuel Vol and Credit Gen'!DV33</f>
        <v>25368152.656764243</v>
      </c>
      <c r="DW104" s="77">
        <f>'Fuel Vol and Credit Gen'!DW33</f>
        <v>26059403.85040139</v>
      </c>
      <c r="DX104" s="77">
        <f>'Fuel Vol and Credit Gen'!DX33</f>
        <v>26750655.041263852</v>
      </c>
      <c r="DY104" s="77">
        <f>'Fuel Vol and Credit Gen'!DY33</f>
        <v>27441904.841180194</v>
      </c>
      <c r="DZ104" s="77">
        <f>'Fuel Vol and Credit Gen'!DZ33</f>
        <v>28133177.755964246</v>
      </c>
    </row>
    <row r="105" spans="1:130" x14ac:dyDescent="0.2">
      <c r="A105" s="42" t="s">
        <v>143</v>
      </c>
      <c r="B105" s="39"/>
      <c r="C105" s="70">
        <v>0</v>
      </c>
      <c r="D105" s="70">
        <v>0</v>
      </c>
      <c r="E105" s="70">
        <v>0</v>
      </c>
      <c r="F105" s="70">
        <v>0</v>
      </c>
      <c r="G105" s="70">
        <v>0</v>
      </c>
      <c r="H105" s="70">
        <v>0</v>
      </c>
      <c r="I105" s="70">
        <v>0</v>
      </c>
      <c r="J105" s="70">
        <v>0</v>
      </c>
      <c r="K105" s="70">
        <v>0</v>
      </c>
      <c r="L105" s="70">
        <v>0</v>
      </c>
      <c r="M105" s="70">
        <v>0</v>
      </c>
      <c r="N105" s="70">
        <v>0</v>
      </c>
      <c r="O105" s="70">
        <v>0</v>
      </c>
      <c r="P105" s="70">
        <v>0</v>
      </c>
      <c r="Q105" s="70">
        <v>0</v>
      </c>
      <c r="R105" s="70">
        <v>0</v>
      </c>
      <c r="S105" s="70">
        <v>0</v>
      </c>
      <c r="T105" s="70">
        <v>0</v>
      </c>
      <c r="U105" s="70">
        <v>0</v>
      </c>
      <c r="V105" s="70">
        <v>0</v>
      </c>
      <c r="W105" s="70">
        <v>4684097</v>
      </c>
      <c r="X105" s="70">
        <v>4752638</v>
      </c>
      <c r="Y105" s="70">
        <v>4841054</v>
      </c>
      <c r="Z105" s="70">
        <v>5004280</v>
      </c>
      <c r="AA105" s="70">
        <v>4989228</v>
      </c>
      <c r="AB105" s="70">
        <v>5056098</v>
      </c>
      <c r="AC105" s="70">
        <v>5076687</v>
      </c>
      <c r="AD105" s="70">
        <v>5096041</v>
      </c>
      <c r="AE105" s="70">
        <v>5129549</v>
      </c>
      <c r="AF105" s="70">
        <v>5164110</v>
      </c>
      <c r="AG105" s="70">
        <v>5188442</v>
      </c>
      <c r="AH105" s="70">
        <v>5223272</v>
      </c>
      <c r="AI105" s="70">
        <v>5250727</v>
      </c>
      <c r="AJ105" s="70">
        <v>5277940</v>
      </c>
      <c r="AK105" s="70">
        <v>5291908</v>
      </c>
      <c r="AL105" s="70">
        <v>5282897</v>
      </c>
      <c r="AM105" s="70">
        <v>5316667</v>
      </c>
      <c r="AN105" s="70">
        <v>5602615</v>
      </c>
      <c r="AO105" s="70">
        <v>6660907</v>
      </c>
      <c r="AP105" s="70">
        <v>7146737</v>
      </c>
      <c r="AQ105" s="70">
        <v>10147094</v>
      </c>
      <c r="AR105" s="70">
        <v>10127077</v>
      </c>
      <c r="AS105" s="70">
        <v>10168994</v>
      </c>
      <c r="AT105" s="70">
        <v>10167338</v>
      </c>
      <c r="AU105" s="70">
        <v>10560373</v>
      </c>
      <c r="AV105" s="70">
        <v>11242201</v>
      </c>
      <c r="AW105" s="70">
        <v>11572049</v>
      </c>
      <c r="AX105" s="70">
        <f>'Fuel Vol and Credit Gen'!AX34</f>
        <v>10849648.99201321</v>
      </c>
      <c r="AY105" s="70">
        <v>12056581.662781667</v>
      </c>
      <c r="AZ105" s="70">
        <v>12390861.383061387</v>
      </c>
      <c r="BA105" s="70">
        <v>12642903.993783994</v>
      </c>
      <c r="BB105" s="70">
        <v>12857516.456876457</v>
      </c>
      <c r="BC105" s="70">
        <v>12878082.641802641</v>
      </c>
      <c r="BD105" s="70">
        <v>13073715</v>
      </c>
      <c r="BE105" s="70">
        <v>285827</v>
      </c>
      <c r="BF105" s="77">
        <f>'Fuel Vol and Credit Gen'!BF34</f>
        <v>13493009.913131453</v>
      </c>
      <c r="BG105" s="77">
        <f>'Fuel Vol and Credit Gen'!BG34</f>
        <v>13824773.289081637</v>
      </c>
      <c r="BH105" s="77">
        <f>'Fuel Vol and Credit Gen'!BH34</f>
        <v>14158282.107541209</v>
      </c>
      <c r="BI105" s="77">
        <f>'Fuel Vol and Credit Gen'!BI34</f>
        <v>14485887.413010335</v>
      </c>
      <c r="BJ105" s="77">
        <f>'Fuel Vol and Credit Gen'!BJ34</f>
        <v>14810172.846078426</v>
      </c>
      <c r="BK105" s="77">
        <f>'Fuel Vol and Credit Gen'!BK34</f>
        <v>15129600.859916598</v>
      </c>
      <c r="BL105" s="77">
        <f>'Fuel Vol and Credit Gen'!BL34</f>
        <v>15442878.947138103</v>
      </c>
      <c r="BM105" s="77">
        <f>'Fuel Vol and Credit Gen'!BM34</f>
        <v>15743116.622800412</v>
      </c>
      <c r="BN105" s="77">
        <f>'Fuel Vol and Credit Gen'!BN34</f>
        <v>16052186.97536038</v>
      </c>
      <c r="BO105" s="77">
        <f>'Fuel Vol and Credit Gen'!BO34</f>
        <v>16367396.098140346</v>
      </c>
      <c r="BP105" s="77">
        <f>'Fuel Vol and Credit Gen'!BP34</f>
        <v>16688215.220011285</v>
      </c>
      <c r="BQ105" s="77">
        <f>'Fuel Vol and Credit Gen'!BQ34</f>
        <v>17014672.364371076</v>
      </c>
      <c r="BR105" s="77">
        <f>'Fuel Vol and Credit Gen'!BR34</f>
        <v>17345765.787995938</v>
      </c>
      <c r="BS105" s="77">
        <f>'Fuel Vol and Credit Gen'!BS34</f>
        <v>17681002.218408044</v>
      </c>
      <c r="BT105" s="77">
        <f>'Fuel Vol and Credit Gen'!BT34</f>
        <v>18019591.275239564</v>
      </c>
      <c r="BU105" s="77">
        <f>'Fuel Vol and Credit Gen'!BU34</f>
        <v>18360702.204594538</v>
      </c>
      <c r="BV105" s="77">
        <f>'Fuel Vol and Credit Gen'!BV34</f>
        <v>18703531.64378557</v>
      </c>
      <c r="BW105" s="77">
        <f>'Fuel Vol and Credit Gen'!BW34</f>
        <v>19047243.489848983</v>
      </c>
      <c r="BX105" s="77">
        <f>'Fuel Vol and Credit Gen'!BX34</f>
        <v>19390891.425680157</v>
      </c>
      <c r="BY105" s="77">
        <f>'Fuel Vol and Credit Gen'!BY34</f>
        <v>19733544.078110155</v>
      </c>
      <c r="BZ105" s="77">
        <f>'Fuel Vol and Credit Gen'!BZ34</f>
        <v>20074176.195600059</v>
      </c>
      <c r="CA105" s="77">
        <f>'Fuel Vol and Credit Gen'!CA34</f>
        <v>20411723.714470886</v>
      </c>
      <c r="CB105" s="77">
        <f>'Fuel Vol and Credit Gen'!CB34</f>
        <v>20745023.735980511</v>
      </c>
      <c r="CC105" s="77">
        <f>'Fuel Vol and Credit Gen'!CC34</f>
        <v>21072689.006915189</v>
      </c>
      <c r="CD105" s="77">
        <f>'Fuel Vol and Credit Gen'!CD34</f>
        <v>21393186.563724026</v>
      </c>
      <c r="CE105" s="77">
        <f>'Fuel Vol and Credit Gen'!CE34</f>
        <v>21703444.703192364</v>
      </c>
      <c r="CF105" s="77">
        <f>'Fuel Vol and Credit Gen'!CF34</f>
        <v>22009324.380852234</v>
      </c>
      <c r="CG105" s="77">
        <f>'Fuel Vol and Credit Gen'!CG34</f>
        <v>22391819.353425439</v>
      </c>
      <c r="CH105" s="77">
        <f>'Fuel Vol and Credit Gen'!CH34</f>
        <v>22706485.493511595</v>
      </c>
      <c r="CI105" s="77">
        <f>'Fuel Vol and Credit Gen'!CI34</f>
        <v>23021094.275805552</v>
      </c>
      <c r="CJ105" s="77">
        <f>'Fuel Vol and Credit Gen'!CJ34</f>
        <v>23316042.557938408</v>
      </c>
      <c r="CK105" s="77">
        <f>'Fuel Vol and Credit Gen'!CK34</f>
        <v>23626338.638222136</v>
      </c>
      <c r="CL105" s="77">
        <f>'Fuel Vol and Credit Gen'!CL34</f>
        <v>23936759.072051749</v>
      </c>
      <c r="CM105" s="77">
        <f>'Fuel Vol and Credit Gen'!CM34</f>
        <v>24249601.986295223</v>
      </c>
      <c r="CN105" s="77">
        <f>'Fuel Vol and Credit Gen'!CN34</f>
        <v>24567889.905385956</v>
      </c>
      <c r="CO105" s="77">
        <f>'Fuel Vol and Credit Gen'!CO34</f>
        <v>24884451.196924593</v>
      </c>
      <c r="CP105" s="77">
        <f>'Fuel Vol and Credit Gen'!CP34</f>
        <v>25200157.415625323</v>
      </c>
      <c r="CQ105" s="77">
        <f>'Fuel Vol and Credit Gen'!CQ34</f>
        <v>25515919.938547961</v>
      </c>
      <c r="CR105" s="77">
        <f>'Fuel Vol and Credit Gen'!CR34</f>
        <v>25839246.890436362</v>
      </c>
      <c r="CS105" s="77">
        <f>'Fuel Vol and Credit Gen'!CS34</f>
        <v>26161794.871776979</v>
      </c>
      <c r="CT105" s="77">
        <f>'Fuel Vol and Credit Gen'!CT34</f>
        <v>26484565.734135862</v>
      </c>
      <c r="CU105" s="77">
        <f>'Fuel Vol and Credit Gen'!CU34</f>
        <v>26804403.066239756</v>
      </c>
      <c r="CV105" s="77">
        <f>'Fuel Vol and Credit Gen'!CV34</f>
        <v>27124248.147060812</v>
      </c>
      <c r="CW105" s="77">
        <f>'Fuel Vol and Credit Gen'!CW34</f>
        <v>27444093.215751611</v>
      </c>
      <c r="CX105" s="77">
        <f>'Fuel Vol and Credit Gen'!CX34</f>
        <v>27764639.573035669</v>
      </c>
      <c r="CY105" s="77">
        <f>'Fuel Vol and Credit Gen'!CY34</f>
        <v>28084599.371217716</v>
      </c>
      <c r="CZ105" s="77">
        <f>'Fuel Vol and Credit Gen'!CZ34</f>
        <v>28405081.657978144</v>
      </c>
      <c r="DA105" s="77">
        <f>'Fuel Vol and Credit Gen'!DA34</f>
        <v>28725568.018159416</v>
      </c>
      <c r="DB105" s="77">
        <f>'Fuel Vol and Credit Gen'!DB34</f>
        <v>29046067.378712513</v>
      </c>
      <c r="DC105" s="77">
        <f>'Fuel Vol and Credit Gen'!DC34</f>
        <v>29366596.617722511</v>
      </c>
      <c r="DD105" s="77">
        <f>'Fuel Vol and Credit Gen'!DD34</f>
        <v>29687141.898114011</v>
      </c>
      <c r="DE105" s="77">
        <f>'Fuel Vol and Credit Gen'!DE34</f>
        <v>30007537.580554526</v>
      </c>
      <c r="DF105" s="77">
        <f>'Fuel Vol and Credit Gen'!DF34</f>
        <v>30327933.663639057</v>
      </c>
      <c r="DG105" s="77">
        <f>'Fuel Vol and Credit Gen'!DG34</f>
        <v>30648329.736702099</v>
      </c>
      <c r="DH105" s="77">
        <f>'Fuel Vol and Credit Gen'!DH34</f>
        <v>30968725.789776612</v>
      </c>
      <c r="DI105" s="77">
        <f>'Fuel Vol and Credit Gen'!DI34</f>
        <v>31289121.813955188</v>
      </c>
      <c r="DJ105" s="77">
        <f>'Fuel Vol and Credit Gen'!DJ34</f>
        <v>31609517.80198998</v>
      </c>
      <c r="DK105" s="77">
        <f>'Fuel Vol and Credit Gen'!DK34</f>
        <v>31929913.748383868</v>
      </c>
      <c r="DL105" s="77">
        <f>'Fuel Vol and Credit Gen'!DL34</f>
        <v>32250255.493741956</v>
      </c>
      <c r="DM105" s="77">
        <f>'Fuel Vol and Credit Gen'!DM34</f>
        <v>32570560.553390607</v>
      </c>
      <c r="DN105" s="77">
        <f>'Fuel Vol and Credit Gen'!DN34</f>
        <v>32890347.366089568</v>
      </c>
      <c r="DO105" s="77">
        <f>'Fuel Vol and Credit Gen'!DO34</f>
        <v>33209929.875435803</v>
      </c>
      <c r="DP105" s="77">
        <f>'Fuel Vol and Credit Gen'!DP34</f>
        <v>33529355.702635318</v>
      </c>
      <c r="DQ105" s="77">
        <f>'Fuel Vol and Credit Gen'!DQ34</f>
        <v>33848688.929432511</v>
      </c>
      <c r="DR105" s="77">
        <f>'Fuel Vol and Credit Gen'!DR34</f>
        <v>34167987.268032692</v>
      </c>
      <c r="DS105" s="77">
        <f>'Fuel Vol and Credit Gen'!DS34</f>
        <v>34487298.095381878</v>
      </c>
      <c r="DT105" s="77">
        <f>'Fuel Vol and Credit Gen'!DT34</f>
        <v>34806653.356843635</v>
      </c>
      <c r="DU105" s="77">
        <f>'Fuel Vol and Credit Gen'!DU34</f>
        <v>35126065.384467714</v>
      </c>
      <c r="DV105" s="77">
        <f>'Fuel Vol and Credit Gen'!DV34</f>
        <v>35445504.240462638</v>
      </c>
      <c r="DW105" s="77">
        <f>'Fuel Vol and Credit Gen'!DW34</f>
        <v>35764935.393611245</v>
      </c>
      <c r="DX105" s="77">
        <f>'Fuel Vol and Credit Gen'!DX34</f>
        <v>36084553.081126586</v>
      </c>
      <c r="DY105" s="77">
        <f>'Fuel Vol and Credit Gen'!DY34</f>
        <v>36404096.512659624</v>
      </c>
      <c r="DZ105" s="77">
        <f>'Fuel Vol and Credit Gen'!DZ34</f>
        <v>36723645.990262643</v>
      </c>
    </row>
    <row r="106" spans="1:130" x14ac:dyDescent="0.2">
      <c r="A106" s="42" t="s">
        <v>144</v>
      </c>
      <c r="B106" s="39"/>
      <c r="C106" s="70">
        <v>0</v>
      </c>
      <c r="D106" s="70">
        <v>0</v>
      </c>
      <c r="E106" s="70">
        <v>0</v>
      </c>
      <c r="F106" s="70">
        <v>0</v>
      </c>
      <c r="G106" s="70">
        <v>0</v>
      </c>
      <c r="H106" s="70">
        <v>0</v>
      </c>
      <c r="I106" s="70">
        <v>0</v>
      </c>
      <c r="J106" s="70">
        <v>0</v>
      </c>
      <c r="K106" s="70">
        <v>0</v>
      </c>
      <c r="L106" s="70">
        <v>0</v>
      </c>
      <c r="M106" s="70">
        <v>0</v>
      </c>
      <c r="N106" s="70">
        <v>0</v>
      </c>
      <c r="O106" s="70">
        <v>0</v>
      </c>
      <c r="P106" s="70">
        <v>0</v>
      </c>
      <c r="Q106" s="70">
        <v>0</v>
      </c>
      <c r="R106" s="70">
        <v>0</v>
      </c>
      <c r="S106" s="70">
        <v>0</v>
      </c>
      <c r="T106" s="70">
        <v>0</v>
      </c>
      <c r="U106" s="70">
        <v>0</v>
      </c>
      <c r="V106" s="70">
        <v>0</v>
      </c>
      <c r="W106" s="70">
        <v>0</v>
      </c>
      <c r="X106" s="70">
        <v>0</v>
      </c>
      <c r="Y106" s="70">
        <v>0</v>
      </c>
      <c r="Z106" s="70">
        <v>0</v>
      </c>
      <c r="AA106" s="70">
        <v>0</v>
      </c>
      <c r="AB106" s="70">
        <v>0</v>
      </c>
      <c r="AC106" s="70">
        <v>0</v>
      </c>
      <c r="AD106" s="70">
        <v>0</v>
      </c>
      <c r="AE106" s="70">
        <v>0</v>
      </c>
      <c r="AF106" s="70">
        <v>0</v>
      </c>
      <c r="AG106" s="70">
        <v>0</v>
      </c>
      <c r="AH106" s="70">
        <v>0</v>
      </c>
      <c r="AI106" s="70">
        <v>0</v>
      </c>
      <c r="AJ106" s="70">
        <v>0</v>
      </c>
      <c r="AK106" s="70">
        <v>124937</v>
      </c>
      <c r="AL106" s="70">
        <v>98771</v>
      </c>
      <c r="AM106" s="70">
        <v>124010</v>
      </c>
      <c r="AN106" s="70">
        <v>143373</v>
      </c>
      <c r="AO106" s="70">
        <v>148388</v>
      </c>
      <c r="AP106" s="70">
        <v>136674</v>
      </c>
      <c r="AQ106" s="70">
        <v>180187</v>
      </c>
      <c r="AR106" s="70">
        <v>198924</v>
      </c>
      <c r="AS106" s="70">
        <v>212562</v>
      </c>
      <c r="AT106" s="70">
        <v>189810</v>
      </c>
      <c r="AU106" s="70">
        <v>196027</v>
      </c>
      <c r="AV106" s="70">
        <v>252941</v>
      </c>
      <c r="AW106" s="70">
        <v>297757</v>
      </c>
      <c r="AX106" s="70">
        <f>'Fuel Vol and Credit Gen'!AX35</f>
        <v>283563.24914230499</v>
      </c>
      <c r="AY106" s="70">
        <v>240401.6161616162</v>
      </c>
      <c r="AZ106" s="70">
        <v>319074.31235431234</v>
      </c>
      <c r="BA106" s="70">
        <v>304873.0380730381</v>
      </c>
      <c r="BB106" s="70">
        <v>244451.4685314685</v>
      </c>
      <c r="BC106" s="70">
        <v>224634.77855477855</v>
      </c>
      <c r="BD106" s="70">
        <v>275419</v>
      </c>
      <c r="BE106" s="70">
        <v>85316360.665112674</v>
      </c>
      <c r="BF106" s="77">
        <f>'Fuel Vol and Credit Gen'!BF35</f>
        <v>292137.24390783091</v>
      </c>
      <c r="BG106" s="77">
        <f>'Fuel Vol and Credit Gen'!BG35</f>
        <v>300591.20789679064</v>
      </c>
      <c r="BH106" s="77">
        <f>'Fuel Vol and Credit Gen'!BH35</f>
        <v>309909.13596638048</v>
      </c>
      <c r="BI106" s="77">
        <f>'Fuel Vol and Credit Gen'!BI35</f>
        <v>319354.35310354579</v>
      </c>
      <c r="BJ106" s="77">
        <f>'Fuel Vol and Credit Gen'!BJ35</f>
        <v>328925.819547955</v>
      </c>
      <c r="BK106" s="77">
        <f>'Fuel Vol and Credit Gen'!BK35</f>
        <v>338736.00110325613</v>
      </c>
      <c r="BL106" s="77">
        <f>'Fuel Vol and Credit Gen'!BL35</f>
        <v>351244.81655534555</v>
      </c>
      <c r="BM106" s="77">
        <f>'Fuel Vol and Credit Gen'!BM35</f>
        <v>361032.30310615187</v>
      </c>
      <c r="BN106" s="77">
        <f>'Fuel Vol and Credit Gen'!BN35</f>
        <v>370815.81062460097</v>
      </c>
      <c r="BO106" s="77">
        <f>'Fuel Vol and Credit Gen'!BO35</f>
        <v>381160.47560015414</v>
      </c>
      <c r="BP106" s="77">
        <f>'Fuel Vol and Credit Gen'!BP35</f>
        <v>391492.81113668624</v>
      </c>
      <c r="BQ106" s="77">
        <f>'Fuel Vol and Credit Gen'!BQ35</f>
        <v>401862.6125864099</v>
      </c>
      <c r="BR106" s="77">
        <f>'Fuel Vol and Credit Gen'!BR35</f>
        <v>412253.35244453506</v>
      </c>
      <c r="BS106" s="77">
        <f>'Fuel Vol and Credit Gen'!BS35</f>
        <v>422603.44244615309</v>
      </c>
      <c r="BT106" s="77">
        <f>'Fuel Vol and Credit Gen'!BT35</f>
        <v>432889.88901814015</v>
      </c>
      <c r="BU106" s="77">
        <f>'Fuel Vol and Credit Gen'!BU35</f>
        <v>443079.10797793075</v>
      </c>
      <c r="BV106" s="77">
        <f>'Fuel Vol and Credit Gen'!BV35</f>
        <v>453135.51771351986</v>
      </c>
      <c r="BW106" s="77">
        <f>'Fuel Vol and Credit Gen'!BW35</f>
        <v>463021.43965333002</v>
      </c>
      <c r="BX106" s="77">
        <f>'Fuel Vol and Credit Gen'!BX35</f>
        <v>472696.99743021862</v>
      </c>
      <c r="BY106" s="77">
        <f>'Fuel Vol and Credit Gen'!BY35</f>
        <v>482120.01475277974</v>
      </c>
      <c r="BZ106" s="77">
        <f>'Fuel Vol and Credit Gen'!BZ35</f>
        <v>491379.30995309388</v>
      </c>
      <c r="CA106" s="77">
        <f>'Fuel Vol and Credit Gen'!CA35</f>
        <v>499632.175991058</v>
      </c>
      <c r="CB106" s="77">
        <f>'Fuel Vol and Credit Gen'!CB35</f>
        <v>508689.07666118717</v>
      </c>
      <c r="CC106" s="77">
        <f>'Fuel Vol and Credit Gen'!CC35</f>
        <v>517432.7010514501</v>
      </c>
      <c r="CD106" s="77">
        <f>'Fuel Vol and Credit Gen'!CD35</f>
        <v>526186.28375097096</v>
      </c>
      <c r="CE106" s="77">
        <f>'Fuel Vol and Credit Gen'!CE35</f>
        <v>535005.92972959939</v>
      </c>
      <c r="CF106" s="77">
        <f>'Fuel Vol and Credit Gen'!CF35</f>
        <v>543868.45093808509</v>
      </c>
      <c r="CG106" s="77">
        <f>'Fuel Vol and Credit Gen'!CG35</f>
        <v>552415.2599777081</v>
      </c>
      <c r="CH106" s="77">
        <f>'Fuel Vol and Credit Gen'!CH35</f>
        <v>561119.91845758923</v>
      </c>
      <c r="CI106" s="77">
        <f>'Fuel Vol and Credit Gen'!CI35</f>
        <v>569912.59233962186</v>
      </c>
      <c r="CJ106" s="77">
        <f>'Fuel Vol and Credit Gen'!CJ35</f>
        <v>578920.824874477</v>
      </c>
      <c r="CK106" s="77">
        <f>'Fuel Vol and Credit Gen'!CK35</f>
        <v>587754.75735496834</v>
      </c>
      <c r="CL106" s="77">
        <f>'Fuel Vol and Credit Gen'!CL35</f>
        <v>596357.12891227682</v>
      </c>
      <c r="CM106" s="77">
        <f>'Fuel Vol and Credit Gen'!CM35</f>
        <v>605276.7796528918</v>
      </c>
      <c r="CN106" s="77">
        <f>'Fuel Vol and Credit Gen'!CN35</f>
        <v>614390.32976130222</v>
      </c>
      <c r="CO106" s="77">
        <f>'Fuel Vol and Credit Gen'!CO35</f>
        <v>625546.01883906126</v>
      </c>
      <c r="CP106" s="77" t="e">
        <f>'Fuel Vol and Credit Gen'!CP35</f>
        <v>#N/A</v>
      </c>
      <c r="CQ106" s="77" t="e">
        <f>'Fuel Vol and Credit Gen'!CQ35</f>
        <v>#N/A</v>
      </c>
      <c r="CR106" s="77" t="e">
        <f>'Fuel Vol and Credit Gen'!CR35</f>
        <v>#N/A</v>
      </c>
      <c r="CS106" s="77" t="e">
        <f>'Fuel Vol and Credit Gen'!CS35</f>
        <v>#N/A</v>
      </c>
      <c r="CT106" s="77" t="e">
        <f>'Fuel Vol and Credit Gen'!CT35</f>
        <v>#N/A</v>
      </c>
      <c r="CU106" s="77" t="e">
        <f>'Fuel Vol and Credit Gen'!CU35</f>
        <v>#N/A</v>
      </c>
      <c r="CV106" s="77" t="e">
        <f>'Fuel Vol and Credit Gen'!CV35</f>
        <v>#N/A</v>
      </c>
      <c r="CW106" s="77" t="e">
        <f>'Fuel Vol and Credit Gen'!CW35</f>
        <v>#N/A</v>
      </c>
      <c r="CX106" s="77" t="e">
        <f>'Fuel Vol and Credit Gen'!CX35</f>
        <v>#N/A</v>
      </c>
      <c r="CY106" s="77" t="e">
        <f>'Fuel Vol and Credit Gen'!CY35</f>
        <v>#N/A</v>
      </c>
      <c r="CZ106" s="77" t="e">
        <f>'Fuel Vol and Credit Gen'!CZ35</f>
        <v>#N/A</v>
      </c>
      <c r="DA106" s="77" t="e">
        <f>'Fuel Vol and Credit Gen'!DA35</f>
        <v>#N/A</v>
      </c>
      <c r="DB106" s="77" t="e">
        <f>'Fuel Vol and Credit Gen'!DB35</f>
        <v>#N/A</v>
      </c>
      <c r="DC106" s="77" t="e">
        <f>'Fuel Vol and Credit Gen'!DC35</f>
        <v>#N/A</v>
      </c>
      <c r="DD106" s="77" t="e">
        <f>'Fuel Vol and Credit Gen'!DD35</f>
        <v>#N/A</v>
      </c>
      <c r="DE106" s="77" t="e">
        <f>'Fuel Vol and Credit Gen'!DE35</f>
        <v>#N/A</v>
      </c>
      <c r="DF106" s="77" t="e">
        <f>'Fuel Vol and Credit Gen'!DF35</f>
        <v>#N/A</v>
      </c>
      <c r="DG106" s="77" t="e">
        <f>'Fuel Vol and Credit Gen'!DG35</f>
        <v>#N/A</v>
      </c>
      <c r="DH106" s="77" t="e">
        <f>'Fuel Vol and Credit Gen'!DH35</f>
        <v>#N/A</v>
      </c>
      <c r="DI106" s="77" t="e">
        <f>'Fuel Vol and Credit Gen'!DI35</f>
        <v>#N/A</v>
      </c>
      <c r="DJ106" s="77" t="e">
        <f>'Fuel Vol and Credit Gen'!DJ35</f>
        <v>#N/A</v>
      </c>
      <c r="DK106" s="77" t="e">
        <f>'Fuel Vol and Credit Gen'!DK35</f>
        <v>#N/A</v>
      </c>
      <c r="DL106" s="77" t="e">
        <f>'Fuel Vol and Credit Gen'!DL35</f>
        <v>#N/A</v>
      </c>
      <c r="DM106" s="77" t="e">
        <f>'Fuel Vol and Credit Gen'!DM35</f>
        <v>#N/A</v>
      </c>
      <c r="DN106" s="77" t="e">
        <f>'Fuel Vol and Credit Gen'!DN35</f>
        <v>#N/A</v>
      </c>
      <c r="DO106" s="77" t="e">
        <f>'Fuel Vol and Credit Gen'!DO35</f>
        <v>#N/A</v>
      </c>
      <c r="DP106" s="77" t="e">
        <f>'Fuel Vol and Credit Gen'!DP35</f>
        <v>#N/A</v>
      </c>
      <c r="DQ106" s="77" t="e">
        <f>'Fuel Vol and Credit Gen'!DQ35</f>
        <v>#N/A</v>
      </c>
      <c r="DR106" s="77" t="e">
        <f>'Fuel Vol and Credit Gen'!DR35</f>
        <v>#N/A</v>
      </c>
      <c r="DS106" s="77" t="e">
        <f>'Fuel Vol and Credit Gen'!DS35</f>
        <v>#N/A</v>
      </c>
      <c r="DT106" s="77" t="e">
        <f>'Fuel Vol and Credit Gen'!DT35</f>
        <v>#N/A</v>
      </c>
      <c r="DU106" s="77" t="e">
        <f>'Fuel Vol and Credit Gen'!DU35</f>
        <v>#N/A</v>
      </c>
      <c r="DV106" s="77" t="e">
        <f>'Fuel Vol and Credit Gen'!DV35</f>
        <v>#N/A</v>
      </c>
      <c r="DW106" s="77" t="e">
        <f>'Fuel Vol and Credit Gen'!DW35</f>
        <v>#N/A</v>
      </c>
      <c r="DX106" s="77" t="e">
        <f>'Fuel Vol and Credit Gen'!DX35</f>
        <v>#N/A</v>
      </c>
      <c r="DY106" s="77" t="e">
        <f>'Fuel Vol and Credit Gen'!DY35</f>
        <v>#N/A</v>
      </c>
      <c r="DZ106" s="77" t="e">
        <f>'Fuel Vol and Credit Gen'!DZ35</f>
        <v>#N/A</v>
      </c>
    </row>
    <row r="107" spans="1:130" ht="18" x14ac:dyDescent="0.2">
      <c r="A107" s="120" t="s">
        <v>145</v>
      </c>
      <c r="B107" s="39" t="s">
        <v>123</v>
      </c>
      <c r="C107" s="90">
        <f t="shared" ref="C107:V107" si="195">SUM(C93:C106)-C103</f>
        <v>21816</v>
      </c>
      <c r="D107" s="90">
        <f t="shared" si="195"/>
        <v>62215</v>
      </c>
      <c r="E107" s="90">
        <f t="shared" si="195"/>
        <v>119059</v>
      </c>
      <c r="F107" s="90">
        <f t="shared" si="195"/>
        <v>171607</v>
      </c>
      <c r="G107" s="90">
        <f t="shared" si="195"/>
        <v>220891</v>
      </c>
      <c r="H107" s="90">
        <f t="shared" si="195"/>
        <v>271183</v>
      </c>
      <c r="I107" s="90">
        <f t="shared" si="195"/>
        <v>355146</v>
      </c>
      <c r="J107" s="90">
        <f t="shared" si="195"/>
        <v>468250</v>
      </c>
      <c r="K107" s="90">
        <f t="shared" si="195"/>
        <v>575617</v>
      </c>
      <c r="L107" s="90">
        <f t="shared" si="195"/>
        <v>746463</v>
      </c>
      <c r="M107" s="90">
        <f t="shared" si="195"/>
        <v>957652</v>
      </c>
      <c r="N107" s="90">
        <f t="shared" si="195"/>
        <v>1320154</v>
      </c>
      <c r="O107" s="90">
        <f t="shared" si="195"/>
        <v>1595430</v>
      </c>
      <c r="P107" s="90">
        <f t="shared" si="195"/>
        <v>1950333</v>
      </c>
      <c r="Q107" s="90">
        <f t="shared" si="195"/>
        <v>2266455</v>
      </c>
      <c r="R107" s="90">
        <f t="shared" si="195"/>
        <v>2640450</v>
      </c>
      <c r="S107" s="90">
        <f t="shared" si="195"/>
        <v>2820481</v>
      </c>
      <c r="T107" s="90">
        <f t="shared" si="195"/>
        <v>2990668</v>
      </c>
      <c r="U107" s="90">
        <f t="shared" si="195"/>
        <v>3505519</v>
      </c>
      <c r="V107" s="90">
        <f t="shared" si="195"/>
        <v>3659158</v>
      </c>
      <c r="W107" s="90">
        <f>SUM(W93:W106)-W103</f>
        <v>13685872</v>
      </c>
      <c r="X107" s="90">
        <f t="shared" ref="X107:AW107" si="196">SUM(X93:X106)-X103</f>
        <v>14698286</v>
      </c>
      <c r="Y107" s="90">
        <f t="shared" si="196"/>
        <v>15068483</v>
      </c>
      <c r="Z107" s="90">
        <f t="shared" si="196"/>
        <v>16761249</v>
      </c>
      <c r="AA107" s="90">
        <f t="shared" si="196"/>
        <v>17504638</v>
      </c>
      <c r="AB107" s="90">
        <f t="shared" si="196"/>
        <v>18632213</v>
      </c>
      <c r="AC107" s="90">
        <f t="shared" si="196"/>
        <v>19000094</v>
      </c>
      <c r="AD107" s="90">
        <f t="shared" si="196"/>
        <v>20044259</v>
      </c>
      <c r="AE107" s="90">
        <f t="shared" si="196"/>
        <v>25242822</v>
      </c>
      <c r="AF107" s="90">
        <f t="shared" si="196"/>
        <v>26250263</v>
      </c>
      <c r="AG107" s="90">
        <f t="shared" si="196"/>
        <v>28140313</v>
      </c>
      <c r="AH107" s="90">
        <f t="shared" si="196"/>
        <v>29371459</v>
      </c>
      <c r="AI107" s="90">
        <f t="shared" si="196"/>
        <v>30700067</v>
      </c>
      <c r="AJ107" s="90">
        <f t="shared" si="196"/>
        <v>29569130</v>
      </c>
      <c r="AK107" s="90">
        <f t="shared" si="196"/>
        <v>30564736</v>
      </c>
      <c r="AL107" s="90">
        <f t="shared" si="196"/>
        <v>31993254</v>
      </c>
      <c r="AM107" s="90">
        <f t="shared" si="196"/>
        <v>30302194</v>
      </c>
      <c r="AN107" s="90">
        <f t="shared" si="196"/>
        <v>21465004</v>
      </c>
      <c r="AO107" s="90">
        <f t="shared" si="196"/>
        <v>25808396</v>
      </c>
      <c r="AP107" s="90">
        <f t="shared" si="196"/>
        <v>27773597</v>
      </c>
      <c r="AQ107" s="90">
        <f t="shared" si="196"/>
        <v>33909899</v>
      </c>
      <c r="AR107" s="90">
        <f t="shared" si="196"/>
        <v>37614367</v>
      </c>
      <c r="AS107" s="90">
        <f t="shared" si="196"/>
        <v>40108134</v>
      </c>
      <c r="AT107" s="90">
        <f t="shared" si="196"/>
        <v>41836499</v>
      </c>
      <c r="AU107" s="90">
        <f t="shared" si="196"/>
        <v>46460467</v>
      </c>
      <c r="AV107" s="90">
        <f t="shared" si="196"/>
        <v>53532109</v>
      </c>
      <c r="AW107" s="90">
        <f t="shared" si="196"/>
        <v>56379853</v>
      </c>
      <c r="AX107" s="90">
        <f t="shared" ref="AX107" si="197">SUM(AX93:AX106)-AX103</f>
        <v>60939856.241155513</v>
      </c>
      <c r="AY107" s="90">
        <v>58925995.555555552</v>
      </c>
      <c r="AZ107" s="90">
        <v>64369962.672882691</v>
      </c>
      <c r="BA107" s="90">
        <v>70632928.578088582</v>
      </c>
      <c r="BB107" s="90">
        <v>71802126.651126653</v>
      </c>
      <c r="BC107" s="90">
        <v>73568494.545454547</v>
      </c>
      <c r="BD107" s="90">
        <f t="shared" ref="BD107:DO107" si="198">SUM(BD93:BD106)-BD103</f>
        <v>81038158.112665117</v>
      </c>
      <c r="BE107" s="90">
        <f t="shared" si="198"/>
        <v>170632721.33022535</v>
      </c>
      <c r="BF107" s="121">
        <f t="shared" si="198"/>
        <v>90497020.48362048</v>
      </c>
      <c r="BG107" s="121">
        <f t="shared" si="198"/>
        <v>94524443.902300775</v>
      </c>
      <c r="BH107" s="121">
        <f t="shared" si="198"/>
        <v>98714634.460332289</v>
      </c>
      <c r="BI107" s="121">
        <f t="shared" si="198"/>
        <v>102806235.13467315</v>
      </c>
      <c r="BJ107" s="121">
        <f t="shared" si="198"/>
        <v>107222225.2361728</v>
      </c>
      <c r="BK107" s="121">
        <f t="shared" si="198"/>
        <v>112293442.49653086</v>
      </c>
      <c r="BL107" s="121">
        <f t="shared" si="198"/>
        <v>116894965.05982436</v>
      </c>
      <c r="BM107" s="121">
        <f t="shared" si="198"/>
        <v>121573062.00293994</v>
      </c>
      <c r="BN107" s="121">
        <f t="shared" si="198"/>
        <v>126219575.18291225</v>
      </c>
      <c r="BO107" s="121">
        <f t="shared" si="198"/>
        <v>131052923.78735715</v>
      </c>
      <c r="BP107" s="121">
        <f t="shared" si="198"/>
        <v>135373090.3004714</v>
      </c>
      <c r="BQ107" s="121">
        <f t="shared" si="198"/>
        <v>140365205.37771943</v>
      </c>
      <c r="BR107" s="121">
        <f t="shared" si="198"/>
        <v>144905110.28236669</v>
      </c>
      <c r="BS107" s="121">
        <f t="shared" si="198"/>
        <v>149404802.57911599</v>
      </c>
      <c r="BT107" s="121">
        <f t="shared" si="198"/>
        <v>153995084.3578985</v>
      </c>
      <c r="BU107" s="121">
        <f t="shared" si="198"/>
        <v>158607243.53023493</v>
      </c>
      <c r="BV107" s="121">
        <f t="shared" si="198"/>
        <v>163332392.84829199</v>
      </c>
      <c r="BW107" s="121">
        <f t="shared" si="198"/>
        <v>167870970.27164412</v>
      </c>
      <c r="BX107" s="121">
        <f t="shared" si="198"/>
        <v>172473306.13637683</v>
      </c>
      <c r="BY107" s="121">
        <f t="shared" si="198"/>
        <v>177501413.41474786</v>
      </c>
      <c r="BZ107" s="121">
        <f t="shared" si="198"/>
        <v>181717373.20677769</v>
      </c>
      <c r="CA107" s="121">
        <f t="shared" si="198"/>
        <v>186164338.28707826</v>
      </c>
      <c r="CB107" s="121">
        <f t="shared" si="198"/>
        <v>191185243.3021377</v>
      </c>
      <c r="CC107" s="121">
        <f t="shared" si="198"/>
        <v>196035181.24424669</v>
      </c>
      <c r="CD107" s="121">
        <f t="shared" si="198"/>
        <v>200186692.51882568</v>
      </c>
      <c r="CE107" s="121">
        <f t="shared" si="198"/>
        <v>205142738.54393849</v>
      </c>
      <c r="CF107" s="121">
        <f t="shared" si="198"/>
        <v>209627448.56462386</v>
      </c>
      <c r="CG107" s="121">
        <f t="shared" si="198"/>
        <v>214309195.08313975</v>
      </c>
      <c r="CH107" s="121">
        <f t="shared" si="198"/>
        <v>218915881.35687172</v>
      </c>
      <c r="CI107" s="121">
        <f t="shared" si="198"/>
        <v>223543876.13787341</v>
      </c>
      <c r="CJ107" s="121">
        <f t="shared" si="198"/>
        <v>227956933.22158417</v>
      </c>
      <c r="CK107" s="121">
        <f t="shared" si="198"/>
        <v>233076294.39510113</v>
      </c>
      <c r="CL107" s="121">
        <f t="shared" si="198"/>
        <v>237639389.54008257</v>
      </c>
      <c r="CM107" s="121">
        <f t="shared" si="198"/>
        <v>242992387.15192273</v>
      </c>
      <c r="CN107" s="121">
        <f t="shared" si="198"/>
        <v>248103229.29289618</v>
      </c>
      <c r="CO107" s="121">
        <f t="shared" si="198"/>
        <v>252966422.7167165</v>
      </c>
      <c r="CP107" s="121" t="e">
        <f t="shared" si="198"/>
        <v>#N/A</v>
      </c>
      <c r="CQ107" s="121" t="e">
        <f t="shared" si="198"/>
        <v>#N/A</v>
      </c>
      <c r="CR107" s="121" t="e">
        <f t="shared" si="198"/>
        <v>#N/A</v>
      </c>
      <c r="CS107" s="121" t="e">
        <f t="shared" si="198"/>
        <v>#N/A</v>
      </c>
      <c r="CT107" s="121" t="e">
        <f t="shared" si="198"/>
        <v>#N/A</v>
      </c>
      <c r="CU107" s="121" t="e">
        <f t="shared" si="198"/>
        <v>#N/A</v>
      </c>
      <c r="CV107" s="121" t="e">
        <f t="shared" si="198"/>
        <v>#N/A</v>
      </c>
      <c r="CW107" s="121" t="e">
        <f t="shared" si="198"/>
        <v>#N/A</v>
      </c>
      <c r="CX107" s="121" t="e">
        <f t="shared" si="198"/>
        <v>#N/A</v>
      </c>
      <c r="CY107" s="121" t="e">
        <f t="shared" si="198"/>
        <v>#N/A</v>
      </c>
      <c r="CZ107" s="121" t="e">
        <f t="shared" si="198"/>
        <v>#N/A</v>
      </c>
      <c r="DA107" s="121" t="e">
        <f t="shared" si="198"/>
        <v>#N/A</v>
      </c>
      <c r="DB107" s="121" t="e">
        <f t="shared" si="198"/>
        <v>#N/A</v>
      </c>
      <c r="DC107" s="121" t="e">
        <f t="shared" si="198"/>
        <v>#N/A</v>
      </c>
      <c r="DD107" s="121" t="e">
        <f t="shared" si="198"/>
        <v>#N/A</v>
      </c>
      <c r="DE107" s="121" t="e">
        <f t="shared" si="198"/>
        <v>#N/A</v>
      </c>
      <c r="DF107" s="121" t="e">
        <f t="shared" si="198"/>
        <v>#N/A</v>
      </c>
      <c r="DG107" s="121" t="e">
        <f t="shared" si="198"/>
        <v>#N/A</v>
      </c>
      <c r="DH107" s="121" t="e">
        <f t="shared" si="198"/>
        <v>#N/A</v>
      </c>
      <c r="DI107" s="121" t="e">
        <f t="shared" si="198"/>
        <v>#N/A</v>
      </c>
      <c r="DJ107" s="121" t="e">
        <f t="shared" si="198"/>
        <v>#N/A</v>
      </c>
      <c r="DK107" s="121" t="e">
        <f t="shared" si="198"/>
        <v>#N/A</v>
      </c>
      <c r="DL107" s="121" t="e">
        <f t="shared" si="198"/>
        <v>#N/A</v>
      </c>
      <c r="DM107" s="121" t="e">
        <f t="shared" si="198"/>
        <v>#N/A</v>
      </c>
      <c r="DN107" s="121" t="e">
        <f t="shared" si="198"/>
        <v>#N/A</v>
      </c>
      <c r="DO107" s="121" t="e">
        <f t="shared" si="198"/>
        <v>#N/A</v>
      </c>
      <c r="DP107" s="121" t="e">
        <f t="shared" ref="DP107:DZ107" si="199">SUM(DP93:DP106)-DP103</f>
        <v>#N/A</v>
      </c>
      <c r="DQ107" s="121" t="e">
        <f t="shared" si="199"/>
        <v>#N/A</v>
      </c>
      <c r="DR107" s="121" t="e">
        <f t="shared" si="199"/>
        <v>#N/A</v>
      </c>
      <c r="DS107" s="121" t="e">
        <f t="shared" si="199"/>
        <v>#N/A</v>
      </c>
      <c r="DT107" s="121" t="e">
        <f t="shared" si="199"/>
        <v>#N/A</v>
      </c>
      <c r="DU107" s="121" t="e">
        <f t="shared" si="199"/>
        <v>#N/A</v>
      </c>
      <c r="DV107" s="121" t="e">
        <f t="shared" si="199"/>
        <v>#N/A</v>
      </c>
      <c r="DW107" s="121" t="e">
        <f t="shared" si="199"/>
        <v>#N/A</v>
      </c>
      <c r="DX107" s="121" t="e">
        <f t="shared" si="199"/>
        <v>#N/A</v>
      </c>
      <c r="DY107" s="121" t="e">
        <f t="shared" si="199"/>
        <v>#N/A</v>
      </c>
      <c r="DZ107" s="121" t="e">
        <f t="shared" si="199"/>
        <v>#N/A</v>
      </c>
    </row>
    <row r="108" spans="1:130" x14ac:dyDescent="0.2">
      <c r="A108" s="39"/>
      <c r="B108" s="39"/>
      <c r="C108" s="122"/>
      <c r="D108" s="122"/>
      <c r="E108" s="122"/>
      <c r="F108" s="122"/>
      <c r="G108" s="122"/>
      <c r="H108" s="122"/>
      <c r="I108" s="122"/>
      <c r="J108" s="122"/>
      <c r="K108" s="122"/>
      <c r="L108" s="122"/>
      <c r="M108" s="122"/>
      <c r="N108" s="122"/>
      <c r="O108" s="122"/>
      <c r="P108" s="122"/>
      <c r="Q108" s="122"/>
      <c r="R108" s="122"/>
      <c r="S108" s="122"/>
      <c r="T108" s="122"/>
      <c r="U108" s="122"/>
      <c r="V108" s="122"/>
      <c r="W108" s="122"/>
      <c r="X108" s="122"/>
      <c r="Y108" s="122"/>
      <c r="Z108" s="122"/>
      <c r="AA108" s="122"/>
      <c r="AB108" s="122"/>
      <c r="AC108" s="122"/>
      <c r="AD108" s="122"/>
      <c r="AE108" s="123"/>
      <c r="AF108" s="123"/>
      <c r="AG108" s="123"/>
      <c r="AH108" s="124"/>
      <c r="AI108" s="124"/>
      <c r="AJ108" s="124"/>
      <c r="AK108" s="124"/>
      <c r="AL108" s="124"/>
      <c r="AM108" s="124"/>
      <c r="AN108" s="124"/>
      <c r="AO108" s="123"/>
      <c r="AP108" s="123"/>
      <c r="AQ108" s="123"/>
      <c r="AR108" s="123"/>
    </row>
    <row r="109" spans="1:130" ht="15" x14ac:dyDescent="0.2">
      <c r="A109" s="125" t="s">
        <v>231</v>
      </c>
      <c r="B109" s="64" t="s">
        <v>87</v>
      </c>
      <c r="C109" s="65"/>
      <c r="D109" s="65"/>
      <c r="E109" s="65"/>
      <c r="F109" s="65">
        <v>2011</v>
      </c>
      <c r="G109" s="65"/>
      <c r="H109" s="65"/>
      <c r="I109" s="65"/>
      <c r="J109" s="65">
        <v>2012</v>
      </c>
      <c r="K109" s="65"/>
      <c r="L109" s="65"/>
      <c r="M109" s="65"/>
      <c r="N109" s="65">
        <v>2013</v>
      </c>
      <c r="O109" s="65"/>
      <c r="P109" s="65"/>
      <c r="Q109" s="65"/>
      <c r="R109" s="65">
        <v>2014</v>
      </c>
      <c r="S109" s="65"/>
      <c r="T109" s="65"/>
      <c r="U109" s="65"/>
      <c r="V109" s="65">
        <v>2015</v>
      </c>
      <c r="W109" s="65"/>
      <c r="X109" s="65"/>
      <c r="Y109" s="65"/>
      <c r="Z109" s="65">
        <v>2016</v>
      </c>
      <c r="AA109" s="65"/>
      <c r="AB109" s="65"/>
      <c r="AC109" s="65"/>
      <c r="AD109" s="65">
        <v>2017</v>
      </c>
      <c r="AE109" s="66"/>
      <c r="AF109" s="66"/>
      <c r="AG109" s="66"/>
      <c r="AH109" s="67">
        <v>2018</v>
      </c>
      <c r="AI109" s="67"/>
      <c r="AJ109" s="67"/>
      <c r="AK109" s="67"/>
      <c r="AL109" s="67">
        <v>2019</v>
      </c>
      <c r="AM109" s="67"/>
      <c r="AN109" s="67"/>
      <c r="AO109" s="66"/>
      <c r="AP109" s="66">
        <v>2020</v>
      </c>
      <c r="AQ109" s="66"/>
      <c r="AR109" s="66"/>
      <c r="AS109" s="66"/>
      <c r="AT109" s="66">
        <v>2021</v>
      </c>
      <c r="AU109" s="66"/>
      <c r="AV109" s="66"/>
      <c r="AW109" s="66"/>
      <c r="AX109" s="66">
        <v>2022</v>
      </c>
      <c r="AY109" s="66"/>
      <c r="AZ109" s="66"/>
      <c r="BA109" s="66"/>
      <c r="BB109" s="66">
        <v>2023</v>
      </c>
      <c r="BC109" s="66"/>
      <c r="BD109" s="66"/>
      <c r="BE109" s="66"/>
      <c r="BF109" s="66"/>
    </row>
    <row r="110" spans="1:130" x14ac:dyDescent="0.2">
      <c r="A110" s="39" t="s">
        <v>87</v>
      </c>
      <c r="B110" s="39" t="s">
        <v>87</v>
      </c>
      <c r="C110" s="39" t="str">
        <f>C54</f>
        <v>2011 Q1</v>
      </c>
      <c r="D110" s="39" t="str">
        <f t="shared" ref="D110:BE110" si="200">D54</f>
        <v>Q2</v>
      </c>
      <c r="E110" s="39" t="str">
        <f t="shared" si="200"/>
        <v>Q3</v>
      </c>
      <c r="F110" s="39" t="str">
        <f t="shared" si="200"/>
        <v>Q4</v>
      </c>
      <c r="G110" s="39" t="str">
        <f t="shared" si="200"/>
        <v>2012 Q1</v>
      </c>
      <c r="H110" s="39" t="str">
        <f t="shared" si="200"/>
        <v>Q2</v>
      </c>
      <c r="I110" s="39" t="str">
        <f t="shared" si="200"/>
        <v>Q3</v>
      </c>
      <c r="J110" s="39" t="str">
        <f t="shared" si="200"/>
        <v>Q4</v>
      </c>
      <c r="K110" s="39" t="str">
        <f t="shared" si="200"/>
        <v>2013 Q1</v>
      </c>
      <c r="L110" s="39" t="str">
        <f t="shared" si="200"/>
        <v>Q2</v>
      </c>
      <c r="M110" s="39" t="str">
        <f t="shared" si="200"/>
        <v>Q3</v>
      </c>
      <c r="N110" s="39" t="str">
        <f t="shared" si="200"/>
        <v>Q4</v>
      </c>
      <c r="O110" s="39" t="str">
        <f t="shared" si="200"/>
        <v>2014 Q1</v>
      </c>
      <c r="P110" s="39" t="str">
        <f t="shared" si="200"/>
        <v>Q2</v>
      </c>
      <c r="Q110" s="39" t="str">
        <f t="shared" si="200"/>
        <v>Q3</v>
      </c>
      <c r="R110" s="39" t="str">
        <f t="shared" si="200"/>
        <v>Q4</v>
      </c>
      <c r="S110" s="39" t="str">
        <f t="shared" si="200"/>
        <v>2015 Q1</v>
      </c>
      <c r="T110" s="39" t="str">
        <f t="shared" si="200"/>
        <v>Q2</v>
      </c>
      <c r="U110" s="39" t="str">
        <f t="shared" si="200"/>
        <v>Q3</v>
      </c>
      <c r="V110" s="39" t="str">
        <f t="shared" si="200"/>
        <v>Q4</v>
      </c>
      <c r="W110" s="39" t="str">
        <f t="shared" si="200"/>
        <v>2016 Q1</v>
      </c>
      <c r="X110" s="39" t="str">
        <f t="shared" si="200"/>
        <v>Q2</v>
      </c>
      <c r="Y110" s="39" t="str">
        <f t="shared" si="200"/>
        <v>Q3</v>
      </c>
      <c r="Z110" s="39" t="str">
        <f t="shared" si="200"/>
        <v>Q4</v>
      </c>
      <c r="AA110" s="39" t="str">
        <f t="shared" si="200"/>
        <v>2017 Q1</v>
      </c>
      <c r="AB110" s="39" t="str">
        <f t="shared" si="200"/>
        <v>Q2</v>
      </c>
      <c r="AC110" s="39" t="str">
        <f t="shared" si="200"/>
        <v>Q3</v>
      </c>
      <c r="AD110" s="39" t="str">
        <f t="shared" si="200"/>
        <v>Q4</v>
      </c>
      <c r="AE110" s="39" t="str">
        <f t="shared" si="200"/>
        <v>2018 Q1</v>
      </c>
      <c r="AF110" s="39" t="str">
        <f t="shared" si="200"/>
        <v>Q2</v>
      </c>
      <c r="AG110" s="39" t="str">
        <f t="shared" si="200"/>
        <v>Q3</v>
      </c>
      <c r="AH110" s="39" t="str">
        <f t="shared" si="200"/>
        <v>Q4</v>
      </c>
      <c r="AI110" s="39" t="str">
        <f t="shared" si="200"/>
        <v>2019 Q1</v>
      </c>
      <c r="AJ110" s="39" t="str">
        <f t="shared" si="200"/>
        <v>Q2</v>
      </c>
      <c r="AK110" s="39" t="str">
        <f t="shared" si="200"/>
        <v>Q3</v>
      </c>
      <c r="AL110" s="39" t="str">
        <f t="shared" si="200"/>
        <v>Q4</v>
      </c>
      <c r="AM110" s="39" t="str">
        <f t="shared" si="200"/>
        <v>2020 Q1</v>
      </c>
      <c r="AN110" s="39" t="str">
        <f t="shared" si="200"/>
        <v>Q2</v>
      </c>
      <c r="AO110" s="39" t="str">
        <f t="shared" si="200"/>
        <v>Q3</v>
      </c>
      <c r="AP110" s="39" t="str">
        <f t="shared" si="200"/>
        <v>Q4</v>
      </c>
      <c r="AQ110" s="39" t="str">
        <f t="shared" si="200"/>
        <v>2021 Q1</v>
      </c>
      <c r="AR110" s="39" t="str">
        <f t="shared" si="200"/>
        <v>Q2</v>
      </c>
      <c r="AS110" s="39" t="str">
        <f t="shared" si="200"/>
        <v>Q3</v>
      </c>
      <c r="AT110" s="39" t="str">
        <f t="shared" si="200"/>
        <v>Q4</v>
      </c>
      <c r="AU110" s="39" t="str">
        <f t="shared" si="200"/>
        <v>2022 Q1</v>
      </c>
      <c r="AV110" s="39" t="str">
        <f t="shared" si="200"/>
        <v>Q2</v>
      </c>
      <c r="AW110" s="39" t="str">
        <f t="shared" si="200"/>
        <v>Q3</v>
      </c>
      <c r="AX110" s="39" t="str">
        <f t="shared" si="200"/>
        <v>Q4</v>
      </c>
      <c r="AY110" s="39" t="str">
        <f t="shared" si="200"/>
        <v>2023 Q1</v>
      </c>
      <c r="AZ110" s="39" t="str">
        <f t="shared" si="200"/>
        <v>Q2</v>
      </c>
      <c r="BA110" s="39" t="str">
        <f t="shared" si="200"/>
        <v>Q3</v>
      </c>
      <c r="BB110" s="39" t="str">
        <f t="shared" si="200"/>
        <v>Q4</v>
      </c>
      <c r="BC110" s="39" t="str">
        <f t="shared" si="200"/>
        <v>2024Q1</v>
      </c>
      <c r="BD110" s="39" t="str">
        <f t="shared" si="200"/>
        <v>Q2</v>
      </c>
      <c r="BE110" s="39" t="str">
        <f t="shared" si="200"/>
        <v>Q3</v>
      </c>
    </row>
    <row r="111" spans="1:130" x14ac:dyDescent="0.2">
      <c r="A111" s="39" t="s">
        <v>75</v>
      </c>
      <c r="B111" s="126" t="s">
        <v>87</v>
      </c>
      <c r="C111" s="127">
        <v>88.48</v>
      </c>
      <c r="D111" s="127">
        <v>87.8</v>
      </c>
      <c r="E111" s="127">
        <v>87</v>
      </c>
      <c r="F111" s="127">
        <v>86.6</v>
      </c>
      <c r="G111" s="127">
        <v>86.8</v>
      </c>
      <c r="H111" s="127">
        <v>86.78</v>
      </c>
      <c r="I111" s="127">
        <v>83.48</v>
      </c>
      <c r="J111" s="127">
        <v>84.27</v>
      </c>
      <c r="K111" s="127">
        <v>83.6</v>
      </c>
      <c r="L111" s="127">
        <v>83.81</v>
      </c>
      <c r="M111" s="127">
        <v>80.239999999999995</v>
      </c>
      <c r="N111" s="127">
        <v>81.84</v>
      </c>
      <c r="O111" s="127">
        <v>82.83</v>
      </c>
      <c r="P111" s="127">
        <v>80.400000000000006</v>
      </c>
      <c r="Q111" s="127">
        <v>82.03</v>
      </c>
      <c r="R111" s="127">
        <v>82.38</v>
      </c>
      <c r="S111" s="127">
        <v>82.86</v>
      </c>
      <c r="T111" s="127">
        <v>82.75</v>
      </c>
      <c r="U111" s="127">
        <v>81.8</v>
      </c>
      <c r="V111" s="127">
        <v>78.87</v>
      </c>
      <c r="W111" s="127">
        <v>72.87</v>
      </c>
      <c r="X111" s="127">
        <v>70.83</v>
      </c>
      <c r="Y111" s="127">
        <v>69.98</v>
      </c>
      <c r="Z111" s="127">
        <v>70.34</v>
      </c>
      <c r="AA111" s="127">
        <v>71.489999999999995</v>
      </c>
      <c r="AB111" s="127">
        <v>70.290000000000006</v>
      </c>
      <c r="AC111" s="127">
        <v>69.510000000000005</v>
      </c>
      <c r="AD111" s="127">
        <v>68.98</v>
      </c>
      <c r="AE111" s="127">
        <v>70.099999999999994</v>
      </c>
      <c r="AF111" s="127">
        <v>70.02</v>
      </c>
      <c r="AG111" s="127">
        <v>68.41</v>
      </c>
      <c r="AH111" s="127">
        <v>65.89</v>
      </c>
      <c r="AI111" s="127">
        <v>66</v>
      </c>
      <c r="AJ111" s="127">
        <v>63.69</v>
      </c>
      <c r="AK111" s="127">
        <v>59.33</v>
      </c>
      <c r="AL111" s="127">
        <v>59.46</v>
      </c>
      <c r="AM111" s="127">
        <v>60.34</v>
      </c>
      <c r="AN111" s="127">
        <v>62.13</v>
      </c>
      <c r="AO111" s="127">
        <v>57.77</v>
      </c>
      <c r="AP111" s="127">
        <v>57.69</v>
      </c>
      <c r="AQ111" s="127">
        <v>60.66</v>
      </c>
      <c r="AR111" s="127">
        <v>60.87</v>
      </c>
      <c r="AS111" s="127">
        <v>59.45</v>
      </c>
      <c r="AT111" s="127">
        <v>58.8</v>
      </c>
      <c r="AU111" s="127">
        <v>58.47</v>
      </c>
      <c r="AV111" s="127">
        <v>59.71</v>
      </c>
      <c r="AW111" s="127">
        <v>59.39</v>
      </c>
      <c r="AX111" s="127">
        <f t="shared" ref="AX111:AX117" si="201">_xlfn.FORECAST.ETS(AX$19,AN111:AW111,AN$19:AW$19)</f>
        <v>59.168167502801701</v>
      </c>
      <c r="AY111" s="39">
        <v>60.09</v>
      </c>
      <c r="AZ111" s="39">
        <v>60.47</v>
      </c>
      <c r="BA111" s="39">
        <v>61.32</v>
      </c>
      <c r="BB111" s="39">
        <v>58.3</v>
      </c>
      <c r="BC111" s="75">
        <v>59.16</v>
      </c>
      <c r="BD111" s="39">
        <v>57.51</v>
      </c>
      <c r="BE111" s="39">
        <v>59.32</v>
      </c>
    </row>
    <row r="112" spans="1:130" x14ac:dyDescent="0.2">
      <c r="A112" s="39" t="s">
        <v>76</v>
      </c>
      <c r="B112" s="126" t="s">
        <v>87</v>
      </c>
      <c r="C112" s="127">
        <v>44.57</v>
      </c>
      <c r="D112" s="127">
        <v>30.14</v>
      </c>
      <c r="E112" s="127">
        <v>44.16</v>
      </c>
      <c r="F112" s="127">
        <v>45.45</v>
      </c>
      <c r="G112" s="127">
        <v>39.68</v>
      </c>
      <c r="H112" s="127">
        <v>43.15</v>
      </c>
      <c r="I112" s="127">
        <v>30.58</v>
      </c>
      <c r="J112" s="127">
        <v>23.16</v>
      </c>
      <c r="K112" s="127">
        <v>29.14</v>
      </c>
      <c r="L112" s="127">
        <v>27.78</v>
      </c>
      <c r="M112" s="127">
        <v>26.97</v>
      </c>
      <c r="N112" s="127">
        <v>21.59</v>
      </c>
      <c r="O112" s="127">
        <v>18.52</v>
      </c>
      <c r="P112" s="127">
        <v>19.91</v>
      </c>
      <c r="Q112" s="127">
        <v>15.16</v>
      </c>
      <c r="R112" s="127">
        <v>19.04</v>
      </c>
      <c r="S112" s="127">
        <v>24.88</v>
      </c>
      <c r="T112" s="127">
        <v>21.9</v>
      </c>
      <c r="U112" s="127">
        <v>33.51</v>
      </c>
      <c r="V112" s="127">
        <v>20.7</v>
      </c>
      <c r="W112" s="127">
        <v>17.25</v>
      </c>
      <c r="X112" s="127">
        <v>13.83</v>
      </c>
      <c r="Y112" s="127">
        <v>17.53</v>
      </c>
      <c r="Z112" s="127">
        <v>18.309999999999999</v>
      </c>
      <c r="AA112" s="127">
        <v>34.76</v>
      </c>
      <c r="AB112" s="127">
        <v>30.84</v>
      </c>
      <c r="AC112" s="127">
        <v>36.82</v>
      </c>
      <c r="AD112" s="127">
        <v>34.22</v>
      </c>
      <c r="AE112" s="127">
        <v>33.97</v>
      </c>
      <c r="AF112" s="127">
        <v>29.93</v>
      </c>
      <c r="AG112" s="127">
        <v>29.61</v>
      </c>
      <c r="AH112" s="127">
        <v>30.69</v>
      </c>
      <c r="AI112" s="127">
        <v>28.46</v>
      </c>
      <c r="AJ112" s="127">
        <v>26.98</v>
      </c>
      <c r="AK112" s="127">
        <v>26.15</v>
      </c>
      <c r="AL112" s="127">
        <v>26.35</v>
      </c>
      <c r="AM112" s="127">
        <v>25.93</v>
      </c>
      <c r="AN112" s="127">
        <v>27.25</v>
      </c>
      <c r="AO112" s="127">
        <v>27.08</v>
      </c>
      <c r="AP112" s="127">
        <v>29.92</v>
      </c>
      <c r="AQ112" s="127">
        <v>29.77</v>
      </c>
      <c r="AR112" s="127">
        <v>28.49</v>
      </c>
      <c r="AS112" s="127">
        <v>28.03</v>
      </c>
      <c r="AT112" s="127">
        <v>27.97</v>
      </c>
      <c r="AU112" s="127">
        <v>27.17</v>
      </c>
      <c r="AV112" s="127">
        <v>27.51</v>
      </c>
      <c r="AW112" s="127">
        <v>29.04</v>
      </c>
      <c r="AX112" s="127">
        <f t="shared" si="201"/>
        <v>28.882976472976342</v>
      </c>
      <c r="AY112" s="39">
        <v>32.409999999999997</v>
      </c>
      <c r="AZ112" s="39">
        <v>28.42</v>
      </c>
      <c r="BA112" s="39">
        <v>30.5</v>
      </c>
      <c r="BB112" s="39">
        <v>33.78</v>
      </c>
      <c r="BC112" s="75">
        <v>32.26</v>
      </c>
      <c r="BD112" s="39">
        <v>27.45</v>
      </c>
      <c r="BE112" s="39">
        <v>29.57</v>
      </c>
    </row>
    <row r="113" spans="1:130" x14ac:dyDescent="0.2">
      <c r="A113" s="39" t="s">
        <v>77</v>
      </c>
      <c r="B113" s="126" t="s">
        <v>87</v>
      </c>
      <c r="C113" s="127">
        <v>19.649999999999999</v>
      </c>
      <c r="D113" s="127">
        <v>19.649999999999999</v>
      </c>
      <c r="E113" s="127">
        <v>19.649999999999999</v>
      </c>
      <c r="F113" s="127">
        <v>19.649999999999999</v>
      </c>
      <c r="G113" s="127">
        <v>19.649999999999999</v>
      </c>
      <c r="H113" s="127">
        <v>19.649999999999999</v>
      </c>
      <c r="I113" s="127">
        <v>19.649999999999999</v>
      </c>
      <c r="J113" s="127">
        <v>32.11</v>
      </c>
      <c r="K113" s="127">
        <v>34.65</v>
      </c>
      <c r="L113" s="127">
        <v>37.1</v>
      </c>
      <c r="M113" s="127">
        <v>41.86</v>
      </c>
      <c r="N113" s="127">
        <v>52.18</v>
      </c>
      <c r="O113" s="127">
        <v>38.159999999999997</v>
      </c>
      <c r="P113" s="127">
        <v>34.32</v>
      </c>
      <c r="Q113" s="127">
        <v>40.53</v>
      </c>
      <c r="R113" s="127">
        <v>36.840000000000003</v>
      </c>
      <c r="S113" s="127">
        <v>37.26</v>
      </c>
      <c r="T113" s="127">
        <v>50.63</v>
      </c>
      <c r="U113" s="127">
        <v>51.06</v>
      </c>
      <c r="V113" s="127">
        <v>46.56</v>
      </c>
      <c r="W113" s="127">
        <v>52.89</v>
      </c>
      <c r="X113" s="127">
        <v>31.78</v>
      </c>
      <c r="Y113" s="127">
        <v>30.2</v>
      </c>
      <c r="Z113" s="127">
        <v>30.71</v>
      </c>
      <c r="AA113" s="127">
        <v>30.11</v>
      </c>
      <c r="AB113" s="127">
        <v>30.23</v>
      </c>
      <c r="AC113" s="127">
        <v>30.39</v>
      </c>
      <c r="AD113" s="127">
        <v>30.9</v>
      </c>
      <c r="AE113" s="127">
        <v>30.9</v>
      </c>
      <c r="AF113" s="127">
        <v>31.53</v>
      </c>
      <c r="AG113" s="127">
        <v>32.200000000000003</v>
      </c>
      <c r="AH113" s="127">
        <v>34.049999999999997</v>
      </c>
      <c r="AI113" s="127">
        <v>36.39</v>
      </c>
      <c r="AJ113" s="127">
        <v>34.25</v>
      </c>
      <c r="AK113" s="127">
        <v>33.58</v>
      </c>
      <c r="AL113" s="127">
        <v>34.119999999999997</v>
      </c>
      <c r="AM113" s="127">
        <v>32.11</v>
      </c>
      <c r="AN113" s="127">
        <v>35.049999999999997</v>
      </c>
      <c r="AO113" s="127">
        <v>32.1</v>
      </c>
      <c r="AP113" s="127">
        <v>32.880000000000003</v>
      </c>
      <c r="AQ113" s="127">
        <v>36.159999999999997</v>
      </c>
      <c r="AR113" s="127">
        <v>38.659999999999997</v>
      </c>
      <c r="AS113" s="127">
        <v>38.520000000000003</v>
      </c>
      <c r="AT113" s="127">
        <v>38.08</v>
      </c>
      <c r="AU113" s="127">
        <v>35.6</v>
      </c>
      <c r="AV113" s="127">
        <v>35.96</v>
      </c>
      <c r="AW113" s="127">
        <v>38.01</v>
      </c>
      <c r="AX113" s="127">
        <f t="shared" si="201"/>
        <v>38.293093233450428</v>
      </c>
      <c r="AY113" s="39">
        <v>41.51</v>
      </c>
      <c r="AZ113" s="39">
        <v>43.74</v>
      </c>
      <c r="BA113" s="39">
        <v>43.01</v>
      </c>
      <c r="BB113" s="39">
        <v>41.62</v>
      </c>
      <c r="BC113" s="75">
        <v>41.27</v>
      </c>
      <c r="BD113" s="39">
        <v>43.24</v>
      </c>
      <c r="BE113" s="39">
        <v>42.1</v>
      </c>
    </row>
    <row r="114" spans="1:130" x14ac:dyDescent="0.2">
      <c r="A114" s="39" t="s">
        <v>66</v>
      </c>
      <c r="B114" s="126" t="s">
        <v>87</v>
      </c>
      <c r="C114" s="127" t="s">
        <v>87</v>
      </c>
      <c r="D114" s="127" t="s">
        <v>87</v>
      </c>
      <c r="E114" s="127" t="s">
        <v>87</v>
      </c>
      <c r="F114" s="127" t="s">
        <v>87</v>
      </c>
      <c r="G114" s="127" t="s">
        <v>87</v>
      </c>
      <c r="H114" s="127" t="s">
        <v>87</v>
      </c>
      <c r="I114" s="127" t="s">
        <v>87</v>
      </c>
      <c r="J114" s="127" t="s">
        <v>87</v>
      </c>
      <c r="K114" s="127" t="s">
        <v>87</v>
      </c>
      <c r="L114" s="127">
        <v>32.21</v>
      </c>
      <c r="M114" s="127">
        <v>14.83</v>
      </c>
      <c r="N114" s="127">
        <v>15.88</v>
      </c>
      <c r="O114" s="127">
        <v>16.02</v>
      </c>
      <c r="P114" s="127">
        <v>16.62</v>
      </c>
      <c r="Q114" s="127">
        <v>22.11</v>
      </c>
      <c r="R114" s="127">
        <v>24.76</v>
      </c>
      <c r="S114" s="127">
        <v>25.92</v>
      </c>
      <c r="T114" s="127">
        <v>21.27</v>
      </c>
      <c r="U114" s="127">
        <v>19.3</v>
      </c>
      <c r="V114" s="127">
        <v>22.06</v>
      </c>
      <c r="W114" s="127">
        <v>23.84</v>
      </c>
      <c r="X114" s="127">
        <v>26.3</v>
      </c>
      <c r="Y114" s="127">
        <v>39.659999999999997</v>
      </c>
      <c r="Z114" s="127">
        <v>41.26</v>
      </c>
      <c r="AA114" s="127">
        <v>44.65</v>
      </c>
      <c r="AB114" s="127">
        <v>40.270000000000003</v>
      </c>
      <c r="AC114" s="127">
        <v>38.22</v>
      </c>
      <c r="AD114" s="127">
        <v>37.549999999999997</v>
      </c>
      <c r="AE114" s="127">
        <v>38.880000000000003</v>
      </c>
      <c r="AF114" s="127">
        <v>43.04</v>
      </c>
      <c r="AG114" s="127">
        <v>40.39</v>
      </c>
      <c r="AH114" s="127">
        <v>41.44</v>
      </c>
      <c r="AI114" s="127">
        <v>41.33</v>
      </c>
      <c r="AJ114" s="127">
        <v>41.77</v>
      </c>
      <c r="AK114" s="127">
        <v>30.99</v>
      </c>
      <c r="AL114" s="127">
        <v>16.84</v>
      </c>
      <c r="AM114" s="127">
        <v>20.73</v>
      </c>
      <c r="AN114" s="127">
        <v>5.42</v>
      </c>
      <c r="AO114" s="127">
        <v>-14.28</v>
      </c>
      <c r="AP114" s="127">
        <v>-25.92</v>
      </c>
      <c r="AQ114" s="127">
        <v>-16.43</v>
      </c>
      <c r="AR114" s="127">
        <v>-35.93</v>
      </c>
      <c r="AS114" s="127">
        <v>-61.46</v>
      </c>
      <c r="AT114" s="127">
        <v>-63.34</v>
      </c>
      <c r="AU114" s="127">
        <v>-61.4</v>
      </c>
      <c r="AV114" s="127">
        <v>-103.67</v>
      </c>
      <c r="AW114" s="127">
        <v>-111.7</v>
      </c>
      <c r="AX114" s="127">
        <f t="shared" si="201"/>
        <v>-125.63414944331217</v>
      </c>
      <c r="AY114" s="39">
        <v>-93.03</v>
      </c>
      <c r="AZ114" s="39">
        <v>-131.36000000000001</v>
      </c>
      <c r="BA114" s="39">
        <v>-132.15</v>
      </c>
      <c r="BB114" s="39">
        <v>-147.59</v>
      </c>
      <c r="BC114" s="75">
        <v>-155.71</v>
      </c>
      <c r="BD114" s="39">
        <v>-190.51</v>
      </c>
      <c r="BE114" s="39">
        <v>-212.13</v>
      </c>
    </row>
    <row r="115" spans="1:130" x14ac:dyDescent="0.2">
      <c r="A115" s="39" t="s">
        <v>74</v>
      </c>
      <c r="B115" s="126" t="s">
        <v>87</v>
      </c>
      <c r="C115" s="127">
        <v>15.56</v>
      </c>
      <c r="D115" s="127">
        <v>15.56</v>
      </c>
      <c r="E115" s="127">
        <v>15.56</v>
      </c>
      <c r="F115" s="127">
        <v>15.56</v>
      </c>
      <c r="G115" s="127">
        <v>15.56</v>
      </c>
      <c r="H115" s="127">
        <v>15.56</v>
      </c>
      <c r="I115" s="127">
        <v>15.56</v>
      </c>
      <c r="J115" s="127">
        <v>15.56</v>
      </c>
      <c r="K115" s="127">
        <v>15.56</v>
      </c>
      <c r="L115" s="127">
        <v>25.06</v>
      </c>
      <c r="M115" s="127">
        <v>20.32</v>
      </c>
      <c r="N115" s="127">
        <v>23.42</v>
      </c>
      <c r="O115" s="127">
        <v>24.31</v>
      </c>
      <c r="P115" s="127">
        <v>26</v>
      </c>
      <c r="Q115" s="127">
        <v>39.65</v>
      </c>
      <c r="R115" s="127">
        <v>34.76</v>
      </c>
      <c r="S115" s="127">
        <v>33.17</v>
      </c>
      <c r="T115" s="127">
        <v>25.96</v>
      </c>
      <c r="U115" s="127">
        <v>24.2</v>
      </c>
      <c r="V115" s="127">
        <v>26.86</v>
      </c>
      <c r="W115" s="127">
        <v>26.17</v>
      </c>
      <c r="X115" s="127">
        <v>26.78</v>
      </c>
      <c r="Y115" s="127">
        <v>42.66</v>
      </c>
      <c r="Z115" s="127">
        <v>43.55</v>
      </c>
      <c r="AA115" s="127">
        <v>49.59</v>
      </c>
      <c r="AB115" s="127">
        <v>47.97</v>
      </c>
      <c r="AC115" s="127">
        <v>51.38</v>
      </c>
      <c r="AD115" s="127">
        <v>49.57</v>
      </c>
      <c r="AE115" s="127">
        <v>52.59</v>
      </c>
      <c r="AF115" s="127">
        <v>51.78</v>
      </c>
      <c r="AG115" s="127">
        <v>52.1</v>
      </c>
      <c r="AH115" s="127">
        <v>52.25</v>
      </c>
      <c r="AI115" s="127">
        <v>58.14</v>
      </c>
      <c r="AJ115" s="127">
        <v>52.69</v>
      </c>
      <c r="AK115" s="127">
        <v>57.83</v>
      </c>
      <c r="AL115" s="127">
        <v>55.92</v>
      </c>
      <c r="AM115" s="127">
        <v>52.31</v>
      </c>
      <c r="AN115" s="127">
        <v>54.07</v>
      </c>
      <c r="AO115" s="127">
        <v>57.42</v>
      </c>
      <c r="AP115" s="127">
        <v>55.96</v>
      </c>
      <c r="AQ115" s="127">
        <v>61.71</v>
      </c>
      <c r="AR115" s="127">
        <v>60.84</v>
      </c>
      <c r="AS115" s="127">
        <v>61.28</v>
      </c>
      <c r="AT115" s="127">
        <v>57.21</v>
      </c>
      <c r="AU115" s="127">
        <v>53.96</v>
      </c>
      <c r="AV115" s="127">
        <v>54.4</v>
      </c>
      <c r="AW115" s="127">
        <v>55.04</v>
      </c>
      <c r="AX115" s="127">
        <f t="shared" si="201"/>
        <v>54.739725648411302</v>
      </c>
      <c r="AY115" s="39">
        <v>49.82</v>
      </c>
      <c r="AZ115" s="39">
        <v>49.5</v>
      </c>
      <c r="BA115" s="39">
        <v>48.59</v>
      </c>
      <c r="BB115" s="39">
        <v>49.03</v>
      </c>
      <c r="BC115" s="75">
        <v>48.81</v>
      </c>
      <c r="BD115" s="39">
        <v>45.68</v>
      </c>
      <c r="BE115" s="39">
        <v>43.17</v>
      </c>
    </row>
    <row r="116" spans="1:130" x14ac:dyDescent="0.2">
      <c r="A116" s="39" t="s">
        <v>124</v>
      </c>
      <c r="B116" s="126"/>
      <c r="C116" s="127">
        <v>105.13</v>
      </c>
      <c r="D116" s="127">
        <v>106.66</v>
      </c>
      <c r="E116" s="127">
        <v>108.82</v>
      </c>
      <c r="F116" s="127">
        <v>108.98</v>
      </c>
      <c r="G116" s="127">
        <v>109.46</v>
      </c>
      <c r="H116" s="127">
        <v>109.11</v>
      </c>
      <c r="I116" s="127">
        <v>108.82</v>
      </c>
      <c r="J116" s="127">
        <v>108.9</v>
      </c>
      <c r="K116" s="127">
        <v>107.33</v>
      </c>
      <c r="L116" s="127">
        <v>107.34</v>
      </c>
      <c r="M116" s="127">
        <v>107.33</v>
      </c>
      <c r="N116" s="127">
        <v>108.43</v>
      </c>
      <c r="O116" s="127">
        <v>107.13</v>
      </c>
      <c r="P116" s="127">
        <v>106.9</v>
      </c>
      <c r="Q116" s="127">
        <v>106.94</v>
      </c>
      <c r="R116" s="127">
        <v>107.06</v>
      </c>
      <c r="S116" s="127">
        <v>107.45</v>
      </c>
      <c r="T116" s="127">
        <v>107.69</v>
      </c>
      <c r="U116" s="127">
        <v>108.72</v>
      </c>
      <c r="V116" s="127">
        <v>108.98</v>
      </c>
      <c r="W116" s="127">
        <v>109.57</v>
      </c>
      <c r="X116" s="127">
        <v>109.39</v>
      </c>
      <c r="Y116" s="127">
        <v>109.4</v>
      </c>
      <c r="Z116" s="127">
        <v>106.8</v>
      </c>
      <c r="AA116" s="127">
        <v>105.16</v>
      </c>
      <c r="AB116" s="127">
        <v>105.16</v>
      </c>
      <c r="AC116" s="127">
        <v>105.16</v>
      </c>
      <c r="AD116" s="127">
        <v>105.16</v>
      </c>
      <c r="AE116" s="127">
        <v>105.15</v>
      </c>
      <c r="AF116" s="127">
        <v>105.06</v>
      </c>
      <c r="AG116" s="127">
        <v>105.09</v>
      </c>
      <c r="AH116" s="127">
        <v>105.13</v>
      </c>
      <c r="AI116" s="127">
        <v>73.77</v>
      </c>
      <c r="AJ116" s="127">
        <v>68.260000000000005</v>
      </c>
      <c r="AK116" s="127">
        <v>50.83</v>
      </c>
      <c r="AL116" s="127">
        <v>48.32</v>
      </c>
      <c r="AM116" s="127">
        <v>44.26</v>
      </c>
      <c r="AN116" s="127">
        <v>33.92</v>
      </c>
      <c r="AO116" s="127">
        <v>31.02</v>
      </c>
      <c r="AP116" s="127">
        <v>30.55</v>
      </c>
      <c r="AQ116" s="127">
        <v>27.62</v>
      </c>
      <c r="AR116" s="127">
        <v>25.27</v>
      </c>
      <c r="AS116" s="127">
        <v>26.79</v>
      </c>
      <c r="AT116" s="127">
        <v>27.42</v>
      </c>
      <c r="AU116" s="127">
        <v>24.06</v>
      </c>
      <c r="AV116" s="127">
        <v>28.94</v>
      </c>
      <c r="AW116" s="127">
        <v>27.84</v>
      </c>
      <c r="AX116" s="127">
        <f t="shared" si="201"/>
        <v>27.042784203898883</v>
      </c>
      <c r="AY116" s="39">
        <v>42.48</v>
      </c>
      <c r="AZ116" s="39">
        <v>47.94</v>
      </c>
      <c r="BA116" s="39">
        <v>48.19</v>
      </c>
      <c r="BB116" s="39">
        <v>42.79</v>
      </c>
      <c r="BC116" s="75">
        <v>47.5</v>
      </c>
      <c r="BD116" s="39">
        <v>46.79</v>
      </c>
      <c r="BE116" s="39">
        <v>44.75</v>
      </c>
    </row>
    <row r="117" spans="1:130" x14ac:dyDescent="0.2">
      <c r="A117" s="39" t="s">
        <v>78</v>
      </c>
      <c r="B117" s="126"/>
      <c r="C117" s="127" t="s">
        <v>87</v>
      </c>
      <c r="D117" s="127" t="s">
        <v>87</v>
      </c>
      <c r="E117" s="127" t="s">
        <v>87</v>
      </c>
      <c r="F117" s="127" t="s">
        <v>87</v>
      </c>
      <c r="G117" s="127" t="s">
        <v>87</v>
      </c>
      <c r="H117" s="127" t="s">
        <v>87</v>
      </c>
      <c r="I117" s="127" t="s">
        <v>87</v>
      </c>
      <c r="J117" s="127" t="s">
        <v>87</v>
      </c>
      <c r="K117" s="127" t="s">
        <v>87</v>
      </c>
      <c r="L117" s="127" t="s">
        <v>87</v>
      </c>
      <c r="M117" s="127" t="s">
        <v>87</v>
      </c>
      <c r="N117" s="127" t="s">
        <v>87</v>
      </c>
      <c r="O117" s="127" t="s">
        <v>87</v>
      </c>
      <c r="P117" s="127" t="s">
        <v>87</v>
      </c>
      <c r="Q117" s="127" t="s">
        <v>87</v>
      </c>
      <c r="R117" s="127" t="s">
        <v>87</v>
      </c>
      <c r="S117" s="127" t="s">
        <v>87</v>
      </c>
      <c r="T117" s="127" t="s">
        <v>87</v>
      </c>
      <c r="U117" s="127" t="s">
        <v>87</v>
      </c>
      <c r="V117" s="127" t="s">
        <v>87</v>
      </c>
      <c r="W117" s="127" t="s">
        <v>87</v>
      </c>
      <c r="X117" s="127" t="s">
        <v>87</v>
      </c>
      <c r="Y117" s="127" t="s">
        <v>87</v>
      </c>
      <c r="Z117" s="127" t="s">
        <v>87</v>
      </c>
      <c r="AA117" s="127" t="s">
        <v>87</v>
      </c>
      <c r="AB117" s="127" t="s">
        <v>87</v>
      </c>
      <c r="AC117" s="127" t="s">
        <v>87</v>
      </c>
      <c r="AD117" s="127" t="s">
        <v>87</v>
      </c>
      <c r="AE117" s="127" t="s">
        <v>87</v>
      </c>
      <c r="AF117" s="127" t="s">
        <v>87</v>
      </c>
      <c r="AG117" s="127" t="s">
        <v>87</v>
      </c>
      <c r="AH117" s="127" t="s">
        <v>87</v>
      </c>
      <c r="AI117" s="127" t="s">
        <v>87</v>
      </c>
      <c r="AJ117" s="127">
        <v>50</v>
      </c>
      <c r="AK117" s="127">
        <v>37.130000000000003</v>
      </c>
      <c r="AL117" s="127">
        <v>37.380000000000003</v>
      </c>
      <c r="AM117" s="127">
        <v>31.41</v>
      </c>
      <c r="AN117" s="127">
        <v>47.03</v>
      </c>
      <c r="AO117" s="127">
        <v>42.98</v>
      </c>
      <c r="AP117" s="127">
        <v>25.41</v>
      </c>
      <c r="AQ117" s="127">
        <v>22.96</v>
      </c>
      <c r="AR117" s="127">
        <v>40.36</v>
      </c>
      <c r="AS117" s="127">
        <v>41.31</v>
      </c>
      <c r="AT117" s="127">
        <v>40.299999999999997</v>
      </c>
      <c r="AU117" s="127">
        <v>22.67</v>
      </c>
      <c r="AV117" s="127">
        <v>45.46</v>
      </c>
      <c r="AW117" s="127">
        <v>42.36</v>
      </c>
      <c r="AX117" s="127">
        <f t="shared" si="201"/>
        <v>38.885830383647011</v>
      </c>
      <c r="AY117" s="39">
        <v>47.16</v>
      </c>
      <c r="AZ117" s="39">
        <v>36.67</v>
      </c>
      <c r="BA117" s="39">
        <v>48.75</v>
      </c>
      <c r="BB117" s="39">
        <v>48.3</v>
      </c>
      <c r="BC117" s="75">
        <v>44.03</v>
      </c>
      <c r="BD117" s="39">
        <v>46.89</v>
      </c>
      <c r="BE117" s="39">
        <v>47.07</v>
      </c>
    </row>
    <row r="118" spans="1:130" x14ac:dyDescent="0.2">
      <c r="A118" s="75" t="s">
        <v>122</v>
      </c>
      <c r="B118" s="128"/>
      <c r="C118" s="129"/>
      <c r="D118" s="129"/>
      <c r="E118" s="129"/>
      <c r="F118" s="129"/>
      <c r="G118" s="129"/>
      <c r="H118" s="129"/>
      <c r="I118" s="129"/>
      <c r="J118" s="129"/>
      <c r="K118" s="129"/>
      <c r="L118" s="129"/>
      <c r="M118" s="129"/>
      <c r="N118" s="129"/>
      <c r="O118" s="129"/>
      <c r="P118" s="129"/>
      <c r="Q118" s="129"/>
      <c r="R118" s="129"/>
      <c r="S118" s="129"/>
      <c r="T118" s="129"/>
      <c r="U118" s="129"/>
      <c r="V118" s="129"/>
      <c r="W118" s="129"/>
      <c r="X118" s="129"/>
      <c r="Y118" s="129"/>
      <c r="Z118" s="129"/>
      <c r="AA118" s="129">
        <v>125.97</v>
      </c>
      <c r="AB118" s="129">
        <v>126.62</v>
      </c>
      <c r="AC118" s="129">
        <v>128</v>
      </c>
      <c r="AD118" s="129">
        <v>126.57</v>
      </c>
      <c r="AE118" s="129">
        <v>126.92</v>
      </c>
      <c r="AF118" s="129">
        <v>126.07</v>
      </c>
      <c r="AG118" s="129">
        <v>126.33</v>
      </c>
      <c r="AH118" s="129">
        <v>124.98</v>
      </c>
      <c r="AI118" s="129">
        <v>141.13999999999999</v>
      </c>
      <c r="AJ118" s="129">
        <v>135.25</v>
      </c>
      <c r="AK118" s="129">
        <v>127.03</v>
      </c>
      <c r="AL118" s="129">
        <v>124.63</v>
      </c>
      <c r="AM118" s="129">
        <v>124.17</v>
      </c>
      <c r="AN118" s="129">
        <v>113.41</v>
      </c>
      <c r="AO118" s="129">
        <v>116.7</v>
      </c>
      <c r="AP118" s="129">
        <v>71.17</v>
      </c>
      <c r="AQ118" s="129">
        <v>69.72</v>
      </c>
      <c r="AR118" s="129">
        <v>57.89</v>
      </c>
      <c r="AS118" s="130">
        <v>55.27</v>
      </c>
      <c r="AT118" s="130">
        <v>40.81</v>
      </c>
      <c r="AU118" s="130">
        <v>34.01</v>
      </c>
      <c r="AV118" s="130">
        <v>24.54</v>
      </c>
      <c r="AW118" s="130">
        <v>32.14</v>
      </c>
      <c r="AX118" s="130">
        <v>39.659999999999997</v>
      </c>
      <c r="AY118" s="39">
        <v>31.11</v>
      </c>
      <c r="AZ118" s="39">
        <v>47.94</v>
      </c>
      <c r="BA118" s="39">
        <v>34.11</v>
      </c>
      <c r="BB118" s="39">
        <v>36.03</v>
      </c>
      <c r="BC118" s="75">
        <v>40.200000000000003</v>
      </c>
      <c r="BD118" s="39">
        <v>52.4</v>
      </c>
      <c r="BE118" s="39">
        <v>51.04</v>
      </c>
    </row>
    <row r="119" spans="1:130" x14ac:dyDescent="0.2">
      <c r="A119" s="75"/>
      <c r="B119" s="97"/>
      <c r="C119" s="97"/>
      <c r="D119" s="97"/>
      <c r="E119" s="97"/>
      <c r="F119" s="97"/>
      <c r="G119" s="97"/>
      <c r="H119" s="97"/>
      <c r="I119" s="97"/>
      <c r="J119" s="97"/>
      <c r="K119" s="97"/>
      <c r="L119" s="97"/>
      <c r="M119" s="97"/>
      <c r="N119" s="97"/>
      <c r="O119" s="97"/>
      <c r="P119" s="97"/>
      <c r="Q119" s="97"/>
      <c r="R119" s="97"/>
      <c r="S119" s="97"/>
      <c r="T119" s="97"/>
      <c r="U119" s="97"/>
      <c r="V119" s="97"/>
      <c r="W119" s="97"/>
      <c r="X119" s="97"/>
      <c r="Y119" s="97"/>
      <c r="Z119" s="97"/>
      <c r="AA119" s="97"/>
      <c r="AB119" s="97"/>
      <c r="AC119" s="97"/>
      <c r="AD119" s="97"/>
      <c r="AE119" s="97"/>
      <c r="AF119" s="97"/>
      <c r="AG119" s="97"/>
      <c r="AH119" s="97"/>
      <c r="AI119" s="97"/>
      <c r="AJ119" s="97"/>
      <c r="AK119" s="97"/>
      <c r="AL119" s="97"/>
      <c r="AM119" s="97"/>
      <c r="AN119" s="97"/>
      <c r="AO119" s="97"/>
      <c r="AP119" s="97"/>
      <c r="AQ119" s="97"/>
      <c r="AR119" s="97"/>
    </row>
    <row r="120" spans="1:130" ht="15.75" x14ac:dyDescent="0.2">
      <c r="A120" s="131" t="s">
        <v>232</v>
      </c>
      <c r="B120" s="131" t="s">
        <v>87</v>
      </c>
      <c r="C120" s="132"/>
      <c r="D120" s="132"/>
      <c r="E120" s="132"/>
      <c r="F120" s="132">
        <v>2011</v>
      </c>
      <c r="G120" s="132"/>
      <c r="H120" s="132"/>
      <c r="I120" s="132"/>
      <c r="J120" s="132">
        <v>2012</v>
      </c>
      <c r="K120" s="132"/>
      <c r="L120" s="132"/>
      <c r="M120" s="132"/>
      <c r="N120" s="132">
        <v>2013</v>
      </c>
      <c r="O120" s="132"/>
      <c r="P120" s="132"/>
      <c r="Q120" s="132"/>
      <c r="R120" s="132">
        <v>2014</v>
      </c>
      <c r="S120" s="132"/>
      <c r="T120" s="132"/>
      <c r="U120" s="132"/>
      <c r="V120" s="132">
        <v>2015</v>
      </c>
      <c r="W120" s="132"/>
      <c r="X120" s="132"/>
      <c r="Y120" s="132"/>
      <c r="Z120" s="132">
        <v>2016</v>
      </c>
      <c r="AA120" s="132"/>
      <c r="AB120" s="132"/>
      <c r="AC120" s="132"/>
      <c r="AD120" s="132">
        <v>2017</v>
      </c>
      <c r="AE120" s="133"/>
      <c r="AF120" s="133"/>
      <c r="AG120" s="133"/>
      <c r="AH120" s="134">
        <v>2018</v>
      </c>
      <c r="AI120" s="134"/>
      <c r="AJ120" s="134"/>
      <c r="AK120" s="134"/>
      <c r="AL120" s="134">
        <v>2019</v>
      </c>
      <c r="AM120" s="134"/>
      <c r="AN120" s="134"/>
      <c r="AO120" s="133"/>
      <c r="AP120" s="133">
        <v>2020</v>
      </c>
      <c r="AQ120" s="134"/>
      <c r="AR120" s="134"/>
      <c r="AS120" s="133"/>
      <c r="AT120" s="133">
        <v>2021</v>
      </c>
      <c r="AU120" s="134"/>
      <c r="AV120" s="134"/>
      <c r="AW120" s="133"/>
      <c r="AX120" s="133">
        <v>2022</v>
      </c>
      <c r="AY120" s="134"/>
      <c r="AZ120" s="134"/>
      <c r="BA120" s="133"/>
      <c r="BB120" s="133">
        <v>2023</v>
      </c>
      <c r="BC120" s="134"/>
      <c r="BD120" s="66"/>
      <c r="BE120" s="66">
        <v>2024</v>
      </c>
    </row>
    <row r="121" spans="1:130" ht="15.75" x14ac:dyDescent="0.2">
      <c r="A121" s="68" t="s">
        <v>87</v>
      </c>
      <c r="B121" s="39" t="s">
        <v>88</v>
      </c>
      <c r="C121" s="39" t="str">
        <f>C54</f>
        <v>2011 Q1</v>
      </c>
      <c r="D121" s="39" t="str">
        <f t="shared" ref="D121:AP121" si="202">D54</f>
        <v>Q2</v>
      </c>
      <c r="E121" s="39" t="str">
        <f t="shared" si="202"/>
        <v>Q3</v>
      </c>
      <c r="F121" s="39" t="str">
        <f t="shared" si="202"/>
        <v>Q4</v>
      </c>
      <c r="G121" s="39" t="str">
        <f t="shared" si="202"/>
        <v>2012 Q1</v>
      </c>
      <c r="H121" s="39" t="str">
        <f t="shared" si="202"/>
        <v>Q2</v>
      </c>
      <c r="I121" s="39" t="str">
        <f t="shared" si="202"/>
        <v>Q3</v>
      </c>
      <c r="J121" s="39" t="str">
        <f t="shared" si="202"/>
        <v>Q4</v>
      </c>
      <c r="K121" s="39" t="str">
        <f t="shared" si="202"/>
        <v>2013 Q1</v>
      </c>
      <c r="L121" s="39" t="str">
        <f t="shared" si="202"/>
        <v>Q2</v>
      </c>
      <c r="M121" s="39" t="str">
        <f t="shared" si="202"/>
        <v>Q3</v>
      </c>
      <c r="N121" s="39" t="str">
        <f t="shared" si="202"/>
        <v>Q4</v>
      </c>
      <c r="O121" s="39" t="str">
        <f t="shared" si="202"/>
        <v>2014 Q1</v>
      </c>
      <c r="P121" s="39" t="str">
        <f t="shared" si="202"/>
        <v>Q2</v>
      </c>
      <c r="Q121" s="39" t="str">
        <f t="shared" si="202"/>
        <v>Q3</v>
      </c>
      <c r="R121" s="39" t="str">
        <f t="shared" si="202"/>
        <v>Q4</v>
      </c>
      <c r="S121" s="39" t="str">
        <f t="shared" si="202"/>
        <v>2015 Q1</v>
      </c>
      <c r="T121" s="39" t="str">
        <f t="shared" si="202"/>
        <v>Q2</v>
      </c>
      <c r="U121" s="39" t="str">
        <f t="shared" si="202"/>
        <v>Q3</v>
      </c>
      <c r="V121" s="39" t="str">
        <f t="shared" si="202"/>
        <v>Q4</v>
      </c>
      <c r="W121" s="39" t="str">
        <f t="shared" si="202"/>
        <v>2016 Q1</v>
      </c>
      <c r="X121" s="39" t="str">
        <f t="shared" si="202"/>
        <v>Q2</v>
      </c>
      <c r="Y121" s="39" t="str">
        <f t="shared" si="202"/>
        <v>Q3</v>
      </c>
      <c r="Z121" s="39" t="str">
        <f t="shared" si="202"/>
        <v>Q4</v>
      </c>
      <c r="AA121" s="39" t="str">
        <f t="shared" si="202"/>
        <v>2017 Q1</v>
      </c>
      <c r="AB121" s="39" t="str">
        <f t="shared" si="202"/>
        <v>Q2</v>
      </c>
      <c r="AC121" s="39" t="str">
        <f t="shared" si="202"/>
        <v>Q3</v>
      </c>
      <c r="AD121" s="39" t="str">
        <f t="shared" si="202"/>
        <v>Q4</v>
      </c>
      <c r="AE121" s="39" t="str">
        <f t="shared" si="202"/>
        <v>2018 Q1</v>
      </c>
      <c r="AF121" s="39" t="str">
        <f t="shared" si="202"/>
        <v>Q2</v>
      </c>
      <c r="AG121" s="39" t="str">
        <f t="shared" si="202"/>
        <v>Q3</v>
      </c>
      <c r="AH121" s="39" t="str">
        <f t="shared" si="202"/>
        <v>Q4</v>
      </c>
      <c r="AI121" s="39" t="str">
        <f t="shared" si="202"/>
        <v>2019 Q1</v>
      </c>
      <c r="AJ121" s="39" t="str">
        <f t="shared" si="202"/>
        <v>Q2</v>
      </c>
      <c r="AK121" s="39" t="str">
        <f t="shared" si="202"/>
        <v>Q3</v>
      </c>
      <c r="AL121" s="39" t="str">
        <f t="shared" si="202"/>
        <v>Q4</v>
      </c>
      <c r="AM121" s="39" t="str">
        <f t="shared" si="202"/>
        <v>2020 Q1</v>
      </c>
      <c r="AN121" s="39" t="str">
        <f t="shared" si="202"/>
        <v>Q2</v>
      </c>
      <c r="AO121" s="39" t="str">
        <f t="shared" si="202"/>
        <v>Q3</v>
      </c>
      <c r="AP121" s="39" t="str">
        <f t="shared" si="202"/>
        <v>Q4</v>
      </c>
      <c r="AQ121" s="39" t="s">
        <v>175</v>
      </c>
      <c r="AR121" s="39" t="s">
        <v>69</v>
      </c>
      <c r="AS121" s="39" t="s">
        <v>70</v>
      </c>
      <c r="AT121" s="39" t="s">
        <v>71</v>
      </c>
      <c r="AU121" s="39" t="str">
        <f t="shared" ref="AU121:BD121" si="203">AU54</f>
        <v>2022 Q1</v>
      </c>
      <c r="AV121" s="39" t="str">
        <f t="shared" si="203"/>
        <v>Q2</v>
      </c>
      <c r="AW121" s="39" t="str">
        <f t="shared" si="203"/>
        <v>Q3</v>
      </c>
      <c r="AX121" s="39" t="str">
        <f t="shared" si="203"/>
        <v>Q4</v>
      </c>
      <c r="AY121" s="39" t="str">
        <f t="shared" si="203"/>
        <v>2023 Q1</v>
      </c>
      <c r="AZ121" s="39" t="str">
        <f t="shared" si="203"/>
        <v>Q2</v>
      </c>
      <c r="BA121" s="39" t="str">
        <f t="shared" si="203"/>
        <v>Q3</v>
      </c>
      <c r="BB121" s="39" t="str">
        <f t="shared" si="203"/>
        <v>Q4</v>
      </c>
      <c r="BC121" s="39" t="str">
        <f t="shared" si="203"/>
        <v>2024Q1</v>
      </c>
      <c r="BD121" s="39" t="str">
        <f t="shared" si="203"/>
        <v>Q2</v>
      </c>
      <c r="BE121" s="41" t="s">
        <v>70</v>
      </c>
    </row>
    <row r="122" spans="1:130" ht="25.5" x14ac:dyDescent="0.2">
      <c r="A122" s="39" t="s">
        <v>233</v>
      </c>
      <c r="B122" s="39" t="s">
        <v>123</v>
      </c>
      <c r="C122" s="70">
        <v>272081361</v>
      </c>
      <c r="D122" s="70">
        <v>296412229</v>
      </c>
      <c r="E122" s="70">
        <v>298637862</v>
      </c>
      <c r="F122" s="70">
        <v>277662760</v>
      </c>
      <c r="G122" s="70">
        <v>287550865</v>
      </c>
      <c r="H122" s="70">
        <v>294112710</v>
      </c>
      <c r="I122" s="70">
        <v>288856701</v>
      </c>
      <c r="J122" s="70">
        <v>293544957</v>
      </c>
      <c r="K122" s="70">
        <v>302716667</v>
      </c>
      <c r="L122" s="70">
        <v>320283504</v>
      </c>
      <c r="M122" s="70">
        <v>363376165</v>
      </c>
      <c r="N122" s="70">
        <v>364190131</v>
      </c>
      <c r="O122" s="70">
        <v>326870073</v>
      </c>
      <c r="P122" s="70">
        <v>343265830</v>
      </c>
      <c r="Q122" s="70">
        <v>373879749</v>
      </c>
      <c r="R122" s="70">
        <v>358032886</v>
      </c>
      <c r="S122" s="70">
        <v>357891542</v>
      </c>
      <c r="T122" s="70">
        <v>396239101</v>
      </c>
      <c r="U122" s="70">
        <v>421978945</v>
      </c>
      <c r="V122" s="70">
        <v>386644313</v>
      </c>
      <c r="W122" s="70">
        <v>460462580</v>
      </c>
      <c r="X122" s="70">
        <v>497215915</v>
      </c>
      <c r="Y122" s="70">
        <v>500513054</v>
      </c>
      <c r="Z122" s="70">
        <v>508765320</v>
      </c>
      <c r="AA122" s="70">
        <v>487876198</v>
      </c>
      <c r="AB122" s="70">
        <v>540292707</v>
      </c>
      <c r="AC122" s="70">
        <v>569378978</v>
      </c>
      <c r="AD122" s="70">
        <v>516522265</v>
      </c>
      <c r="AE122" s="70">
        <v>534471408</v>
      </c>
      <c r="AF122" s="70">
        <v>556066758</v>
      </c>
      <c r="AG122" s="70">
        <v>585144868</v>
      </c>
      <c r="AH122" s="70">
        <v>607383350</v>
      </c>
      <c r="AI122" s="70">
        <v>618661341</v>
      </c>
      <c r="AJ122" s="70">
        <v>681521784</v>
      </c>
      <c r="AK122" s="70">
        <v>643244317</v>
      </c>
      <c r="AL122" s="70">
        <v>681339654</v>
      </c>
      <c r="AM122" s="70">
        <v>630049708</v>
      </c>
      <c r="AN122" s="70">
        <v>520451215</v>
      </c>
      <c r="AO122" s="70">
        <v>637817899</v>
      </c>
      <c r="AP122" s="70">
        <v>656666608</v>
      </c>
      <c r="AQ122" s="70">
        <v>656145199</v>
      </c>
      <c r="AR122" s="70">
        <v>803264688</v>
      </c>
      <c r="AS122" s="70">
        <v>835082909</v>
      </c>
      <c r="AT122" s="70">
        <v>845927964</v>
      </c>
      <c r="AU122" s="70">
        <v>902132142</v>
      </c>
      <c r="AV122" s="70">
        <v>976962903</v>
      </c>
      <c r="AW122" s="70">
        <v>1009107696</v>
      </c>
      <c r="AX122" s="69">
        <v>1024747188</v>
      </c>
      <c r="AY122" s="70">
        <v>1049004041</v>
      </c>
      <c r="AZ122" s="70">
        <v>1117234086</v>
      </c>
      <c r="BA122" s="70">
        <v>1268334914</v>
      </c>
      <c r="BB122" s="69">
        <v>1269559517</v>
      </c>
      <c r="BC122" s="69">
        <v>1231136076</v>
      </c>
      <c r="BD122" s="69">
        <v>1374823463</v>
      </c>
      <c r="BE122" s="69">
        <v>1297003172</v>
      </c>
    </row>
    <row r="123" spans="1:130" ht="15" x14ac:dyDescent="0.25">
      <c r="A123" s="39" t="s">
        <v>87</v>
      </c>
      <c r="B123" s="39" t="s">
        <v>87</v>
      </c>
      <c r="C123" s="39" t="s">
        <v>87</v>
      </c>
      <c r="D123" s="39" t="s">
        <v>87</v>
      </c>
      <c r="E123" s="39" t="s">
        <v>87</v>
      </c>
      <c r="F123" s="39" t="s">
        <v>87</v>
      </c>
      <c r="G123" s="39" t="s">
        <v>87</v>
      </c>
      <c r="H123" s="39" t="s">
        <v>87</v>
      </c>
      <c r="I123" s="39" t="s">
        <v>87</v>
      </c>
      <c r="J123" s="39" t="s">
        <v>87</v>
      </c>
      <c r="K123" s="39" t="s">
        <v>87</v>
      </c>
      <c r="L123" s="39" t="s">
        <v>87</v>
      </c>
      <c r="M123" s="39" t="s">
        <v>87</v>
      </c>
      <c r="N123" s="39" t="s">
        <v>87</v>
      </c>
      <c r="O123" s="39" t="s">
        <v>87</v>
      </c>
      <c r="P123" s="39" t="s">
        <v>87</v>
      </c>
      <c r="Q123" s="39" t="s">
        <v>87</v>
      </c>
      <c r="R123" s="39" t="s">
        <v>87</v>
      </c>
      <c r="S123" s="39" t="s">
        <v>87</v>
      </c>
      <c r="T123" s="39" t="s">
        <v>87</v>
      </c>
      <c r="U123" s="39" t="s">
        <v>87</v>
      </c>
      <c r="V123" s="39" t="s">
        <v>87</v>
      </c>
      <c r="W123" s="39" t="s">
        <v>87</v>
      </c>
      <c r="X123" s="39" t="s">
        <v>87</v>
      </c>
      <c r="Y123" s="39" t="s">
        <v>87</v>
      </c>
      <c r="Z123" s="39" t="s">
        <v>87</v>
      </c>
      <c r="AA123" s="39" t="s">
        <v>87</v>
      </c>
      <c r="AB123" s="39" t="s">
        <v>87</v>
      </c>
      <c r="AC123" s="39" t="s">
        <v>87</v>
      </c>
      <c r="AD123" s="39" t="s">
        <v>87</v>
      </c>
      <c r="AE123" s="39" t="s">
        <v>87</v>
      </c>
      <c r="AF123" s="39" t="s">
        <v>87</v>
      </c>
      <c r="AG123" s="39" t="s">
        <v>87</v>
      </c>
      <c r="AH123" s="50"/>
      <c r="AI123" s="50"/>
      <c r="AJ123" s="50"/>
      <c r="AK123" s="50"/>
      <c r="AL123" s="50"/>
      <c r="AM123" s="50"/>
      <c r="AN123" s="50"/>
      <c r="AO123" s="50"/>
      <c r="AZ123" s="8"/>
    </row>
    <row r="124" spans="1:130" ht="11.25" customHeight="1" x14ac:dyDescent="0.25">
      <c r="AV124" s="8"/>
      <c r="AW124" s="8"/>
      <c r="AZ124" s="8"/>
    </row>
    <row r="125" spans="1:130" x14ac:dyDescent="0.2">
      <c r="C125" s="90">
        <v>275639</v>
      </c>
      <c r="D125" s="90">
        <v>325071</v>
      </c>
      <c r="E125" s="90">
        <v>358817</v>
      </c>
      <c r="F125" s="90">
        <v>334451</v>
      </c>
      <c r="G125" s="90">
        <v>366391</v>
      </c>
      <c r="H125" s="90">
        <v>380783</v>
      </c>
      <c r="I125" s="90">
        <v>471290</v>
      </c>
      <c r="J125" s="90">
        <v>473045</v>
      </c>
      <c r="K125" s="90">
        <v>652535</v>
      </c>
      <c r="L125" s="90">
        <v>832199</v>
      </c>
      <c r="M125" s="90">
        <v>1132141</v>
      </c>
      <c r="N125" s="90">
        <v>1137322</v>
      </c>
      <c r="O125" s="90">
        <v>961263</v>
      </c>
      <c r="P125" s="90">
        <v>1111616</v>
      </c>
      <c r="Q125" s="90">
        <v>1148264</v>
      </c>
      <c r="R125" s="90">
        <v>1079148</v>
      </c>
      <c r="S125" s="90">
        <v>1102924</v>
      </c>
      <c r="T125" s="90">
        <v>1307672</v>
      </c>
      <c r="U125" s="90">
        <v>1510754</v>
      </c>
      <c r="V125" s="90">
        <v>1566898</v>
      </c>
      <c r="W125" s="90">
        <v>1907907</v>
      </c>
      <c r="X125" s="90">
        <v>2416121</v>
      </c>
      <c r="Y125" s="90">
        <v>2428897</v>
      </c>
      <c r="Z125" s="90">
        <v>2631117</v>
      </c>
      <c r="AA125" s="90">
        <v>2195244</v>
      </c>
      <c r="AB125" s="90">
        <v>2582576</v>
      </c>
      <c r="AC125" s="90">
        <v>2727781</v>
      </c>
      <c r="AD125" s="90">
        <v>2515832</v>
      </c>
      <c r="AE125" s="90">
        <v>2510702</v>
      </c>
      <c r="AF125" s="90">
        <v>2698411</v>
      </c>
      <c r="AG125" s="90">
        <v>2801496</v>
      </c>
      <c r="AH125" s="90">
        <v>3299857</v>
      </c>
      <c r="AI125" s="90">
        <v>3327537</v>
      </c>
      <c r="AJ125" s="90">
        <v>3707200</v>
      </c>
      <c r="AK125" s="90">
        <v>3812949</v>
      </c>
      <c r="AL125" s="90">
        <v>4087212</v>
      </c>
      <c r="AM125" s="90">
        <v>3701393</v>
      </c>
      <c r="AN125" s="90">
        <v>3252944</v>
      </c>
      <c r="AO125" s="90">
        <v>4068893</v>
      </c>
      <c r="AP125" s="90">
        <v>4355579</v>
      </c>
      <c r="AQ125" s="90">
        <v>4041805</v>
      </c>
      <c r="AR125" s="90">
        <v>4975110</v>
      </c>
      <c r="AS125" s="90">
        <v>5530951</v>
      </c>
      <c r="AT125" s="90">
        <v>5610911</v>
      </c>
      <c r="AU125" s="90">
        <v>6040374</v>
      </c>
      <c r="AV125" s="121">
        <f>SUM(AV4:AV18, AV22:AV33,AV35:AV36)</f>
        <v>6669518</v>
      </c>
      <c r="AW125" s="121">
        <f t="shared" ref="AW125:DH125" si="204">SUM(AW80:AW94, AW98:AW109,AW116:AW123)</f>
        <v>5435050868.3400002</v>
      </c>
      <c r="AX125" s="90">
        <f t="shared" si="204"/>
        <v>5558993072.9515324</v>
      </c>
      <c r="AY125" s="90">
        <f t="shared" si="204"/>
        <v>5198162410.049922</v>
      </c>
      <c r="AZ125" s="121">
        <f t="shared" si="204"/>
        <v>5514583411.7605658</v>
      </c>
      <c r="BA125" s="121">
        <f t="shared" si="204"/>
        <v>5884394741.7500763</v>
      </c>
      <c r="BB125" s="121">
        <f t="shared" si="204"/>
        <v>5696602098.159627</v>
      </c>
      <c r="BC125" s="121">
        <f t="shared" si="204"/>
        <v>5423669610.5691614</v>
      </c>
      <c r="BD125" s="121">
        <f t="shared" si="204"/>
        <v>5886931469.3791456</v>
      </c>
      <c r="BE125" s="90">
        <f t="shared" si="204"/>
        <v>5923934120.8553371</v>
      </c>
      <c r="BF125" s="121">
        <f t="shared" si="204"/>
        <v>4229861107.423964</v>
      </c>
      <c r="BG125" s="121">
        <f t="shared" si="204"/>
        <v>4122460159.7182126</v>
      </c>
      <c r="BH125" s="121">
        <f t="shared" si="204"/>
        <v>4186316793.1184731</v>
      </c>
      <c r="BI125" s="121">
        <f t="shared" si="204"/>
        <v>4203105611.5329871</v>
      </c>
      <c r="BJ125" s="121">
        <f t="shared" si="204"/>
        <v>4125295982.1499801</v>
      </c>
      <c r="BK125" s="121">
        <f t="shared" si="204"/>
        <v>4105919214.6062794</v>
      </c>
      <c r="BL125" s="121">
        <f t="shared" si="204"/>
        <v>4058799648.5610919</v>
      </c>
      <c r="BM125" s="121">
        <f t="shared" si="204"/>
        <v>4148940780.3431826</v>
      </c>
      <c r="BN125" s="121">
        <f t="shared" si="204"/>
        <v>4048685715.6334162</v>
      </c>
      <c r="BO125" s="121">
        <f t="shared" si="204"/>
        <v>4109713080.3522906</v>
      </c>
      <c r="BP125" s="121">
        <f t="shared" si="204"/>
        <v>4163615976.5383372</v>
      </c>
      <c r="BQ125" s="121">
        <f t="shared" si="204"/>
        <v>4276890609.0706902</v>
      </c>
      <c r="BR125" s="121">
        <f t="shared" si="204"/>
        <v>4013311331.4955835</v>
      </c>
      <c r="BS125" s="121">
        <f t="shared" si="204"/>
        <v>4008363088.2836308</v>
      </c>
      <c r="BT125" s="121">
        <f t="shared" si="204"/>
        <v>4029960500.713933</v>
      </c>
      <c r="BU125" s="121">
        <f t="shared" si="204"/>
        <v>4203892885.6166778</v>
      </c>
      <c r="BV125" s="121">
        <f t="shared" si="204"/>
        <v>3859066538.6781192</v>
      </c>
      <c r="BW125" s="121">
        <f t="shared" si="204"/>
        <v>3906423648.8619494</v>
      </c>
      <c r="BX125" s="121">
        <f t="shared" si="204"/>
        <v>3962196354.8009872</v>
      </c>
      <c r="BY125" s="121">
        <f t="shared" si="204"/>
        <v>4168060038.1804247</v>
      </c>
      <c r="BZ125" s="121">
        <f t="shared" si="204"/>
        <v>3704791318.4451475</v>
      </c>
      <c r="CA125" s="121">
        <f t="shared" si="204"/>
        <v>3876218104.1085916</v>
      </c>
      <c r="CB125" s="121">
        <f t="shared" si="204"/>
        <v>3950882144.9745498</v>
      </c>
      <c r="CC125" s="121">
        <f t="shared" si="204"/>
        <v>4185973915.9511027</v>
      </c>
      <c r="CD125" s="121">
        <f t="shared" si="204"/>
        <v>3626939525.0171318</v>
      </c>
      <c r="CE125" s="121">
        <f t="shared" si="204"/>
        <v>3793254972.0721393</v>
      </c>
      <c r="CF125" s="121">
        <f t="shared" si="204"/>
        <v>3891418492.9813194</v>
      </c>
      <c r="CG125" s="121">
        <f t="shared" si="204"/>
        <v>4097243834.972261</v>
      </c>
      <c r="CH125" s="121">
        <f t="shared" si="204"/>
        <v>3532319023.5581431</v>
      </c>
      <c r="CI125" s="121">
        <f t="shared" si="204"/>
        <v>3854954450.4091663</v>
      </c>
      <c r="CJ125" s="121">
        <f t="shared" si="204"/>
        <v>3991688707.990315</v>
      </c>
      <c r="CK125" s="121">
        <f t="shared" si="204"/>
        <v>4127324619.6171846</v>
      </c>
      <c r="CL125" s="121">
        <f t="shared" si="204"/>
        <v>3544891815.7333651</v>
      </c>
      <c r="CM125" s="121">
        <f t="shared" si="204"/>
        <v>3744010494.2628675</v>
      </c>
      <c r="CN125" s="121">
        <f t="shared" si="204"/>
        <v>3879665320.0513353</v>
      </c>
      <c r="CO125" s="121">
        <f t="shared" si="204"/>
        <v>4057399302.3413372</v>
      </c>
      <c r="CP125" s="121" t="e">
        <f t="shared" si="204"/>
        <v>#N/A</v>
      </c>
      <c r="CQ125" s="121" t="e">
        <f t="shared" si="204"/>
        <v>#N/A</v>
      </c>
      <c r="CR125" s="121" t="e">
        <f t="shared" si="204"/>
        <v>#N/A</v>
      </c>
      <c r="CS125" s="121" t="e">
        <f t="shared" si="204"/>
        <v>#N/A</v>
      </c>
      <c r="CT125" s="121" t="e">
        <f t="shared" si="204"/>
        <v>#N/A</v>
      </c>
      <c r="CU125" s="121" t="e">
        <f t="shared" si="204"/>
        <v>#N/A</v>
      </c>
      <c r="CV125" s="121" t="e">
        <f t="shared" si="204"/>
        <v>#N/A</v>
      </c>
      <c r="CW125" s="121" t="e">
        <f t="shared" si="204"/>
        <v>#N/A</v>
      </c>
      <c r="CX125" s="121" t="e">
        <f t="shared" si="204"/>
        <v>#N/A</v>
      </c>
      <c r="CY125" s="121" t="e">
        <f t="shared" si="204"/>
        <v>#N/A</v>
      </c>
      <c r="CZ125" s="121" t="e">
        <f t="shared" si="204"/>
        <v>#N/A</v>
      </c>
      <c r="DA125" s="121" t="e">
        <f t="shared" si="204"/>
        <v>#N/A</v>
      </c>
      <c r="DB125" s="121" t="e">
        <f t="shared" si="204"/>
        <v>#N/A</v>
      </c>
      <c r="DC125" s="121" t="e">
        <f t="shared" si="204"/>
        <v>#N/A</v>
      </c>
      <c r="DD125" s="121" t="e">
        <f t="shared" si="204"/>
        <v>#N/A</v>
      </c>
      <c r="DE125" s="121" t="e">
        <f t="shared" si="204"/>
        <v>#N/A</v>
      </c>
      <c r="DF125" s="121" t="e">
        <f t="shared" si="204"/>
        <v>#N/A</v>
      </c>
      <c r="DG125" s="121" t="e">
        <f t="shared" si="204"/>
        <v>#N/A</v>
      </c>
      <c r="DH125" s="121" t="e">
        <f t="shared" si="204"/>
        <v>#N/A</v>
      </c>
      <c r="DI125" s="121" t="e">
        <f t="shared" ref="DI125:DZ125" si="205">SUM(DI80:DI94, DI98:DI109,DI116:DI123)</f>
        <v>#N/A</v>
      </c>
      <c r="DJ125" s="121" t="e">
        <f t="shared" si="205"/>
        <v>#N/A</v>
      </c>
      <c r="DK125" s="121" t="e">
        <f t="shared" si="205"/>
        <v>#N/A</v>
      </c>
      <c r="DL125" s="121" t="e">
        <f t="shared" si="205"/>
        <v>#N/A</v>
      </c>
      <c r="DM125" s="121" t="e">
        <f t="shared" si="205"/>
        <v>#N/A</v>
      </c>
      <c r="DN125" s="121" t="e">
        <f t="shared" si="205"/>
        <v>#N/A</v>
      </c>
      <c r="DO125" s="121" t="e">
        <f t="shared" si="205"/>
        <v>#N/A</v>
      </c>
      <c r="DP125" s="121" t="e">
        <f t="shared" si="205"/>
        <v>#N/A</v>
      </c>
      <c r="DQ125" s="121" t="e">
        <f t="shared" si="205"/>
        <v>#N/A</v>
      </c>
      <c r="DR125" s="121" t="e">
        <f t="shared" si="205"/>
        <v>#N/A</v>
      </c>
      <c r="DS125" s="121" t="e">
        <f t="shared" si="205"/>
        <v>#N/A</v>
      </c>
      <c r="DT125" s="121" t="e">
        <f t="shared" si="205"/>
        <v>#N/A</v>
      </c>
      <c r="DU125" s="121" t="e">
        <f t="shared" si="205"/>
        <v>#N/A</v>
      </c>
      <c r="DV125" s="121" t="e">
        <f t="shared" si="205"/>
        <v>#N/A</v>
      </c>
      <c r="DW125" s="121" t="e">
        <f t="shared" si="205"/>
        <v>#N/A</v>
      </c>
      <c r="DX125" s="121" t="e">
        <f t="shared" si="205"/>
        <v>#N/A</v>
      </c>
      <c r="DY125" s="121" t="e">
        <f t="shared" si="205"/>
        <v>#N/A</v>
      </c>
      <c r="DZ125" s="121" t="e">
        <f t="shared" si="205"/>
        <v>#N/A</v>
      </c>
    </row>
    <row r="126" spans="1:130" x14ac:dyDescent="0.2">
      <c r="C126" s="90">
        <v>143356</v>
      </c>
      <c r="D126" s="90">
        <v>333667</v>
      </c>
      <c r="E126" s="90">
        <v>551103</v>
      </c>
      <c r="F126" s="90">
        <v>748158</v>
      </c>
      <c r="G126" s="90">
        <v>874289</v>
      </c>
      <c r="H126" s="90">
        <v>1002322</v>
      </c>
      <c r="I126" s="90">
        <v>1214030</v>
      </c>
      <c r="J126" s="90">
        <v>1420409</v>
      </c>
      <c r="K126" s="90">
        <v>1514140</v>
      </c>
      <c r="L126" s="90">
        <v>1710199</v>
      </c>
      <c r="M126" s="90">
        <v>2195727</v>
      </c>
      <c r="N126" s="90">
        <v>2679484</v>
      </c>
      <c r="O126" s="90">
        <v>3044507</v>
      </c>
      <c r="P126" s="90">
        <v>3503001</v>
      </c>
      <c r="Q126" s="90">
        <v>3991011</v>
      </c>
      <c r="R126" s="90">
        <v>4412427</v>
      </c>
      <c r="S126" s="90">
        <v>4915207</v>
      </c>
      <c r="T126" s="90">
        <v>5562237</v>
      </c>
      <c r="U126" s="90">
        <v>6376219</v>
      </c>
      <c r="V126" s="90">
        <v>7256907</v>
      </c>
      <c r="W126" s="90">
        <v>7537619</v>
      </c>
      <c r="X126" s="90">
        <v>8312183</v>
      </c>
      <c r="Y126" s="90">
        <v>9004600</v>
      </c>
      <c r="Z126" s="90">
        <v>9860228</v>
      </c>
      <c r="AA126" s="90">
        <v>9699253</v>
      </c>
      <c r="AB126" s="90">
        <v>9784005</v>
      </c>
      <c r="AC126" s="90">
        <v>9944921</v>
      </c>
      <c r="AD126" s="90">
        <v>9864812</v>
      </c>
      <c r="AE126" s="90">
        <v>9496285</v>
      </c>
      <c r="AF126" s="90">
        <v>9052959</v>
      </c>
      <c r="AG126" s="90">
        <v>8713550</v>
      </c>
      <c r="AH126" s="90">
        <v>8808712</v>
      </c>
      <c r="AI126" s="90">
        <v>8388886</v>
      </c>
      <c r="AJ126" s="90">
        <v>8177138</v>
      </c>
      <c r="AK126" s="90">
        <v>8059956</v>
      </c>
      <c r="AL126" s="90">
        <v>8256195</v>
      </c>
      <c r="AM126" s="90">
        <v>7808903</v>
      </c>
      <c r="AN126" s="90">
        <v>7673788</v>
      </c>
      <c r="AO126" s="90">
        <v>7741108</v>
      </c>
      <c r="AP126" s="90">
        <v>8146772</v>
      </c>
      <c r="AQ126" s="90">
        <v>7885517</v>
      </c>
      <c r="AR126" s="90">
        <v>8065257</v>
      </c>
      <c r="AS126" s="90">
        <v>8483802</v>
      </c>
      <c r="AT126" s="90">
        <v>9456861</v>
      </c>
      <c r="AU126" s="90">
        <v>10349292</v>
      </c>
      <c r="AV126" s="121">
        <f>AU126+AV125-AV147</f>
        <v>17018810</v>
      </c>
      <c r="AW126" s="121">
        <f t="shared" ref="AW126:AY126" si="206">AV126+AW125-AW147</f>
        <v>5452069678.3400002</v>
      </c>
      <c r="AX126" s="90">
        <f t="shared" si="206"/>
        <v>11011062751.291533</v>
      </c>
      <c r="AY126" s="90">
        <f t="shared" si="206"/>
        <v>16209225161.341454</v>
      </c>
      <c r="AZ126" s="121">
        <f>AY126+AZ125-AZ147</f>
        <v>21723808573.10202</v>
      </c>
      <c r="BA126" s="121">
        <f t="shared" ref="BA126:DL126" si="207">AZ126+BA125-BA147</f>
        <v>27608203314.852097</v>
      </c>
      <c r="BB126" s="121">
        <f t="shared" si="207"/>
        <v>33304805413.011723</v>
      </c>
      <c r="BC126" s="121">
        <f t="shared" si="207"/>
        <v>38728475023.580887</v>
      </c>
      <c r="BD126" s="121">
        <f t="shared" si="207"/>
        <v>44615406492.96003</v>
      </c>
      <c r="BE126" s="90">
        <f t="shared" si="207"/>
        <v>50539340613.815369</v>
      </c>
      <c r="BF126" s="121">
        <f t="shared" si="207"/>
        <v>54769201721.239334</v>
      </c>
      <c r="BG126" s="121">
        <f t="shared" si="207"/>
        <v>58891661880.95755</v>
      </c>
      <c r="BH126" s="121">
        <f t="shared" si="207"/>
        <v>63077978674.076019</v>
      </c>
      <c r="BI126" s="121">
        <f t="shared" si="207"/>
        <v>67281084285.609009</v>
      </c>
      <c r="BJ126" s="121">
        <f t="shared" si="207"/>
        <v>71406380267.758987</v>
      </c>
      <c r="BK126" s="121">
        <f t="shared" si="207"/>
        <v>75512299482.365265</v>
      </c>
      <c r="BL126" s="121">
        <f t="shared" si="207"/>
        <v>79571099130.926361</v>
      </c>
      <c r="BM126" s="121">
        <f t="shared" si="207"/>
        <v>83720039911.269547</v>
      </c>
      <c r="BN126" s="121">
        <f t="shared" si="207"/>
        <v>87768725626.902969</v>
      </c>
      <c r="BO126" s="121">
        <f t="shared" si="207"/>
        <v>91878438707.255264</v>
      </c>
      <c r="BP126" s="121">
        <f t="shared" si="207"/>
        <v>96042054683.793594</v>
      </c>
      <c r="BQ126" s="121">
        <f t="shared" si="207"/>
        <v>100318945292.86429</v>
      </c>
      <c r="BR126" s="121">
        <f t="shared" si="207"/>
        <v>104332256624.35988</v>
      </c>
      <c r="BS126" s="121">
        <f t="shared" si="207"/>
        <v>108340619712.64351</v>
      </c>
      <c r="BT126" s="121">
        <f t="shared" si="207"/>
        <v>112370580213.35744</v>
      </c>
      <c r="BU126" s="121">
        <f t="shared" si="207"/>
        <v>116574473098.97412</v>
      </c>
      <c r="BV126" s="121">
        <f t="shared" si="207"/>
        <v>120433539637.65224</v>
      </c>
      <c r="BW126" s="121">
        <f t="shared" si="207"/>
        <v>124339963286.51419</v>
      </c>
      <c r="BX126" s="121">
        <f t="shared" si="207"/>
        <v>128302159641.31519</v>
      </c>
      <c r="BY126" s="121">
        <f t="shared" si="207"/>
        <v>132470219679.49561</v>
      </c>
      <c r="BZ126" s="121">
        <f t="shared" si="207"/>
        <v>136175010997.94075</v>
      </c>
      <c r="CA126" s="121">
        <f t="shared" si="207"/>
        <v>140051229102.04935</v>
      </c>
      <c r="CB126" s="121">
        <f t="shared" si="207"/>
        <v>144002111247.0239</v>
      </c>
      <c r="CC126" s="121">
        <f t="shared" si="207"/>
        <v>148188085162.97501</v>
      </c>
      <c r="CD126" s="121">
        <f t="shared" si="207"/>
        <v>151815024687.99213</v>
      </c>
      <c r="CE126" s="121">
        <f t="shared" si="207"/>
        <v>155608279660.06427</v>
      </c>
      <c r="CF126" s="121">
        <f t="shared" si="207"/>
        <v>159499698153.04559</v>
      </c>
      <c r="CG126" s="121">
        <f t="shared" si="207"/>
        <v>163596941988.01785</v>
      </c>
      <c r="CH126" s="121">
        <f t="shared" si="207"/>
        <v>167129261011.57599</v>
      </c>
      <c r="CI126" s="121">
        <f t="shared" si="207"/>
        <v>170984215461.98517</v>
      </c>
      <c r="CJ126" s="121">
        <f t="shared" si="207"/>
        <v>174975904169.97549</v>
      </c>
      <c r="CK126" s="121">
        <f t="shared" si="207"/>
        <v>179103228789.59268</v>
      </c>
      <c r="CL126" s="121">
        <f t="shared" si="207"/>
        <v>182648120605.32605</v>
      </c>
      <c r="CM126" s="121">
        <f t="shared" si="207"/>
        <v>186392131099.58893</v>
      </c>
      <c r="CN126" s="121">
        <f t="shared" si="207"/>
        <v>190271796419.64026</v>
      </c>
      <c r="CO126" s="121">
        <f t="shared" si="207"/>
        <v>194329195721.9816</v>
      </c>
      <c r="CP126" s="121" t="e">
        <f t="shared" si="207"/>
        <v>#N/A</v>
      </c>
      <c r="CQ126" s="121" t="e">
        <f t="shared" si="207"/>
        <v>#N/A</v>
      </c>
      <c r="CR126" s="121" t="e">
        <f t="shared" si="207"/>
        <v>#N/A</v>
      </c>
      <c r="CS126" s="121" t="e">
        <f t="shared" si="207"/>
        <v>#N/A</v>
      </c>
      <c r="CT126" s="121" t="e">
        <f t="shared" si="207"/>
        <v>#N/A</v>
      </c>
      <c r="CU126" s="121" t="e">
        <f t="shared" si="207"/>
        <v>#N/A</v>
      </c>
      <c r="CV126" s="121" t="e">
        <f t="shared" si="207"/>
        <v>#N/A</v>
      </c>
      <c r="CW126" s="121" t="e">
        <f t="shared" si="207"/>
        <v>#N/A</v>
      </c>
      <c r="CX126" s="121" t="e">
        <f t="shared" si="207"/>
        <v>#N/A</v>
      </c>
      <c r="CY126" s="121" t="e">
        <f t="shared" si="207"/>
        <v>#N/A</v>
      </c>
      <c r="CZ126" s="121" t="e">
        <f t="shared" si="207"/>
        <v>#N/A</v>
      </c>
      <c r="DA126" s="121" t="e">
        <f t="shared" si="207"/>
        <v>#N/A</v>
      </c>
      <c r="DB126" s="121" t="e">
        <f t="shared" si="207"/>
        <v>#N/A</v>
      </c>
      <c r="DC126" s="121" t="e">
        <f t="shared" si="207"/>
        <v>#N/A</v>
      </c>
      <c r="DD126" s="121" t="e">
        <f t="shared" si="207"/>
        <v>#N/A</v>
      </c>
      <c r="DE126" s="121" t="e">
        <f t="shared" si="207"/>
        <v>#N/A</v>
      </c>
      <c r="DF126" s="121" t="e">
        <f t="shared" si="207"/>
        <v>#N/A</v>
      </c>
      <c r="DG126" s="121" t="e">
        <f t="shared" si="207"/>
        <v>#N/A</v>
      </c>
      <c r="DH126" s="121" t="e">
        <f t="shared" si="207"/>
        <v>#N/A</v>
      </c>
      <c r="DI126" s="121" t="e">
        <f t="shared" si="207"/>
        <v>#N/A</v>
      </c>
      <c r="DJ126" s="121" t="e">
        <f t="shared" si="207"/>
        <v>#N/A</v>
      </c>
      <c r="DK126" s="121" t="e">
        <f t="shared" si="207"/>
        <v>#N/A</v>
      </c>
      <c r="DL126" s="121" t="e">
        <f t="shared" si="207"/>
        <v>#N/A</v>
      </c>
      <c r="DM126" s="121" t="e">
        <f t="shared" ref="DM126:DZ126" si="208">DL126+DM125-DM147</f>
        <v>#N/A</v>
      </c>
      <c r="DN126" s="121" t="e">
        <f t="shared" si="208"/>
        <v>#N/A</v>
      </c>
      <c r="DO126" s="121" t="e">
        <f t="shared" si="208"/>
        <v>#N/A</v>
      </c>
      <c r="DP126" s="121" t="e">
        <f t="shared" si="208"/>
        <v>#N/A</v>
      </c>
      <c r="DQ126" s="121" t="e">
        <f t="shared" si="208"/>
        <v>#N/A</v>
      </c>
      <c r="DR126" s="121" t="e">
        <f t="shared" si="208"/>
        <v>#N/A</v>
      </c>
      <c r="DS126" s="121" t="e">
        <f t="shared" si="208"/>
        <v>#N/A</v>
      </c>
      <c r="DT126" s="121" t="e">
        <f t="shared" si="208"/>
        <v>#N/A</v>
      </c>
      <c r="DU126" s="121" t="e">
        <f t="shared" si="208"/>
        <v>#N/A</v>
      </c>
      <c r="DV126" s="121" t="e">
        <f t="shared" si="208"/>
        <v>#N/A</v>
      </c>
      <c r="DW126" s="121" t="e">
        <f t="shared" si="208"/>
        <v>#N/A</v>
      </c>
      <c r="DX126" s="121" t="e">
        <f t="shared" si="208"/>
        <v>#N/A</v>
      </c>
      <c r="DY126" s="121" t="e">
        <f t="shared" si="208"/>
        <v>#N/A</v>
      </c>
      <c r="DZ126" s="121" t="e">
        <f t="shared" si="208"/>
        <v>#N/A</v>
      </c>
    </row>
    <row r="127" spans="1:130" ht="15" x14ac:dyDescent="0.25">
      <c r="AV127" s="8"/>
      <c r="AW127" s="8"/>
      <c r="AZ127" s="8"/>
    </row>
    <row r="128" spans="1:130" ht="15" x14ac:dyDescent="0.25">
      <c r="AV128" s="8"/>
      <c r="AW128" s="8"/>
      <c r="AZ128" s="8"/>
    </row>
    <row r="131" spans="48:49" x14ac:dyDescent="0.2">
      <c r="AV131" s="39" t="s">
        <v>75</v>
      </c>
      <c r="AW131" s="135">
        <f>AW111-AV111</f>
        <v>-0.32000000000000028</v>
      </c>
    </row>
    <row r="132" spans="48:49" x14ac:dyDescent="0.2">
      <c r="AV132" s="9" t="s">
        <v>234</v>
      </c>
      <c r="AW132" s="135">
        <f>AW111-AS111</f>
        <v>-6.0000000000002274E-2</v>
      </c>
    </row>
    <row r="133" spans="48:49" x14ac:dyDescent="0.2">
      <c r="AV133" s="39" t="s">
        <v>76</v>
      </c>
      <c r="AW133" s="135">
        <f>AW112-AV112</f>
        <v>1.5299999999999976</v>
      </c>
    </row>
    <row r="134" spans="48:49" x14ac:dyDescent="0.2">
      <c r="AV134" s="9" t="s">
        <v>234</v>
      </c>
      <c r="AW134" s="135">
        <f>AW112-AS112</f>
        <v>1.009999999999998</v>
      </c>
    </row>
    <row r="135" spans="48:49" ht="25.5" x14ac:dyDescent="0.2">
      <c r="AV135" s="39" t="s">
        <v>77</v>
      </c>
      <c r="AW135" s="135">
        <f>AW113-AV113</f>
        <v>2.0499999999999972</v>
      </c>
    </row>
    <row r="136" spans="48:49" x14ac:dyDescent="0.2">
      <c r="AV136" s="9" t="s">
        <v>234</v>
      </c>
      <c r="AW136" s="135">
        <f>AW113-AS113</f>
        <v>-0.51000000000000512</v>
      </c>
    </row>
    <row r="137" spans="48:49" x14ac:dyDescent="0.2">
      <c r="AV137" s="39" t="s">
        <v>66</v>
      </c>
      <c r="AW137" s="135">
        <f>AW114-AV114</f>
        <v>-8.0300000000000011</v>
      </c>
    </row>
    <row r="138" spans="48:49" x14ac:dyDescent="0.2">
      <c r="AV138" s="9" t="s">
        <v>234</v>
      </c>
      <c r="AW138" s="135">
        <f>AW114-AS114</f>
        <v>-50.24</v>
      </c>
    </row>
    <row r="139" spans="48:49" x14ac:dyDescent="0.2">
      <c r="AV139" s="39" t="s">
        <v>74</v>
      </c>
      <c r="AW139" s="135">
        <f>AW115-AV115</f>
        <v>0.64000000000000057</v>
      </c>
    </row>
    <row r="140" spans="48:49" x14ac:dyDescent="0.2">
      <c r="AW140" s="135">
        <f>AW115-AS115</f>
        <v>-6.240000000000002</v>
      </c>
    </row>
    <row r="141" spans="48:49" x14ac:dyDescent="0.2">
      <c r="AV141" s="39" t="s">
        <v>124</v>
      </c>
      <c r="AW141" s="135">
        <f>AW116-AV116</f>
        <v>-1.1000000000000014</v>
      </c>
    </row>
    <row r="142" spans="48:49" x14ac:dyDescent="0.2">
      <c r="AW142" s="135">
        <f>AW116-AS116</f>
        <v>1.0500000000000007</v>
      </c>
    </row>
    <row r="143" spans="48:49" ht="25.5" x14ac:dyDescent="0.2">
      <c r="AV143" s="39" t="s">
        <v>78</v>
      </c>
      <c r="AW143" s="135">
        <f>AW117-AV117</f>
        <v>-3.1000000000000014</v>
      </c>
    </row>
    <row r="144" spans="48:49" x14ac:dyDescent="0.2">
      <c r="AW144" s="135">
        <f>AW117-AS117</f>
        <v>1.0499999999999972</v>
      </c>
    </row>
    <row r="145" spans="3:104" x14ac:dyDescent="0.2">
      <c r="AV145" s="75" t="s">
        <v>122</v>
      </c>
      <c r="AW145" s="135">
        <f>AW118-AV118</f>
        <v>7.6000000000000014</v>
      </c>
    </row>
    <row r="146" spans="3:104" x14ac:dyDescent="0.2">
      <c r="AW146" s="135">
        <f>AW118-AS118</f>
        <v>-23.130000000000003</v>
      </c>
    </row>
    <row r="154" spans="3:104" s="59" customFormat="1" x14ac:dyDescent="0.2">
      <c r="C154" s="59">
        <f t="shared" ref="A154:AR154" si="209">C48-C70</f>
        <v>143356</v>
      </c>
      <c r="D154" s="59">
        <f t="shared" si="209"/>
        <v>190311</v>
      </c>
      <c r="E154" s="59">
        <f t="shared" si="209"/>
        <v>217436</v>
      </c>
      <c r="F154" s="59">
        <f t="shared" si="209"/>
        <v>197055</v>
      </c>
      <c r="G154" s="59">
        <f t="shared" si="209"/>
        <v>126131</v>
      </c>
      <c r="H154" s="59">
        <f t="shared" si="209"/>
        <v>128033</v>
      </c>
      <c r="I154" s="59">
        <f t="shared" si="209"/>
        <v>211708</v>
      </c>
      <c r="J154" s="59">
        <f t="shared" si="209"/>
        <v>206379</v>
      </c>
      <c r="K154" s="59">
        <f t="shared" si="209"/>
        <v>93731</v>
      </c>
      <c r="L154" s="59">
        <f t="shared" si="209"/>
        <v>196059</v>
      </c>
      <c r="M154" s="59">
        <f t="shared" si="209"/>
        <v>485528</v>
      </c>
      <c r="N154" s="59">
        <f t="shared" si="209"/>
        <v>483757</v>
      </c>
      <c r="O154" s="59">
        <f t="shared" si="209"/>
        <v>365023</v>
      </c>
      <c r="P154" s="59">
        <f t="shared" si="209"/>
        <v>458494</v>
      </c>
      <c r="Q154" s="59">
        <f t="shared" si="209"/>
        <v>488010</v>
      </c>
      <c r="R154" s="59">
        <f t="shared" si="209"/>
        <v>421416</v>
      </c>
      <c r="S154" s="59">
        <f t="shared" si="209"/>
        <v>502780</v>
      </c>
      <c r="T154" s="59">
        <f t="shared" si="209"/>
        <v>647030</v>
      </c>
      <c r="U154" s="59">
        <f t="shared" si="209"/>
        <v>813982</v>
      </c>
      <c r="V154" s="59">
        <f t="shared" si="209"/>
        <v>880688</v>
      </c>
      <c r="W154" s="59">
        <f t="shared" si="209"/>
        <v>280712</v>
      </c>
      <c r="X154" s="59">
        <f t="shared" si="209"/>
        <v>774564</v>
      </c>
      <c r="Y154" s="59">
        <f t="shared" si="209"/>
        <v>692417</v>
      </c>
      <c r="Z154" s="59">
        <f t="shared" si="209"/>
        <v>855628</v>
      </c>
      <c r="AA154" s="59">
        <f t="shared" si="209"/>
        <v>-160975</v>
      </c>
      <c r="AB154" s="59">
        <f t="shared" si="209"/>
        <v>84752</v>
      </c>
      <c r="AC154" s="59">
        <f t="shared" si="209"/>
        <v>160916</v>
      </c>
      <c r="AD154" s="59">
        <f t="shared" si="209"/>
        <v>-80109</v>
      </c>
      <c r="AE154" s="59">
        <f t="shared" si="209"/>
        <v>-368527</v>
      </c>
      <c r="AF154" s="59">
        <f t="shared" si="209"/>
        <v>-443326</v>
      </c>
      <c r="AG154" s="59">
        <f t="shared" si="209"/>
        <v>-339409</v>
      </c>
      <c r="AH154" s="59">
        <f t="shared" si="209"/>
        <v>95162</v>
      </c>
      <c r="AI154" s="59">
        <f t="shared" si="209"/>
        <v>-419826</v>
      </c>
      <c r="AJ154" s="59">
        <f t="shared" si="209"/>
        <v>-211748</v>
      </c>
      <c r="AK154" s="59">
        <f t="shared" si="209"/>
        <v>-117182</v>
      </c>
      <c r="AL154" s="59">
        <f t="shared" si="209"/>
        <v>196239</v>
      </c>
      <c r="AM154" s="59">
        <f t="shared" si="209"/>
        <v>-447292</v>
      </c>
      <c r="AN154" s="59">
        <f t="shared" si="209"/>
        <v>-135115</v>
      </c>
      <c r="AO154" s="59">
        <f t="shared" si="209"/>
        <v>67320</v>
      </c>
      <c r="AP154" s="59">
        <f t="shared" si="209"/>
        <v>405664</v>
      </c>
      <c r="AQ154" s="59">
        <f t="shared" si="209"/>
        <v>-280104</v>
      </c>
      <c r="AR154" s="59">
        <f t="shared" si="209"/>
        <v>145260</v>
      </c>
      <c r="AS154" s="59">
        <f>AS48-AS70</f>
        <v>367359</v>
      </c>
      <c r="AT154" s="59">
        <f t="shared" ref="AT154:CZ154" si="210">AT48-AT70</f>
        <v>914128</v>
      </c>
      <c r="AU154" s="59">
        <f t="shared" si="210"/>
        <v>691260</v>
      </c>
      <c r="AV154" s="59">
        <f t="shared" si="210"/>
        <v>1348475</v>
      </c>
      <c r="AW154" s="59">
        <f t="shared" si="210"/>
        <v>1742910</v>
      </c>
      <c r="AX154" s="59">
        <f t="shared" si="210"/>
        <v>1654357</v>
      </c>
      <c r="AY154" s="59">
        <f t="shared" si="210"/>
        <v>1339592</v>
      </c>
      <c r="AZ154" s="59">
        <f t="shared" si="210"/>
        <v>1596809</v>
      </c>
      <c r="BA154" s="59">
        <f t="shared" si="210"/>
        <v>2249236</v>
      </c>
      <c r="BB154" s="59">
        <f t="shared" si="210"/>
        <v>4996870.1906351708</v>
      </c>
      <c r="BC154" s="59">
        <f t="shared" si="210"/>
        <v>2457813</v>
      </c>
      <c r="BD154" s="59">
        <f t="shared" si="210"/>
        <v>3118072</v>
      </c>
      <c r="BE154" s="59">
        <f t="shared" si="210"/>
        <v>11578888.129310068</v>
      </c>
      <c r="BF154" s="59">
        <f t="shared" si="210"/>
        <v>654126.99999999814</v>
      </c>
      <c r="BG154" s="59">
        <f>BG48-BG70</f>
        <v>834314.84618702345</v>
      </c>
      <c r="BH154" s="59">
        <f t="shared" si="210"/>
        <v>724942.22866914421</v>
      </c>
      <c r="BI154" s="59">
        <f t="shared" si="210"/>
        <v>1178854.7868084479</v>
      </c>
      <c r="BJ154" s="59">
        <f t="shared" si="210"/>
        <v>-324316.26012192108</v>
      </c>
      <c r="BK154" s="59">
        <f t="shared" si="210"/>
        <v>181203.35051712394</v>
      </c>
      <c r="BL154" s="59">
        <f t="shared" si="210"/>
        <v>1152634.7518337835</v>
      </c>
      <c r="BM154" s="59">
        <f t="shared" si="210"/>
        <v>465543.39627663791</v>
      </c>
      <c r="BN154" s="59">
        <f t="shared" si="210"/>
        <v>-50708.246543383226</v>
      </c>
      <c r="BO154" s="59">
        <f t="shared" si="210"/>
        <v>247563.98031041771</v>
      </c>
      <c r="BP154" s="59">
        <f t="shared" si="210"/>
        <v>1720352.7396204211</v>
      </c>
      <c r="BQ154" s="59">
        <f t="shared" si="210"/>
        <v>1153436.1054213271</v>
      </c>
      <c r="BR154" s="59">
        <f t="shared" si="210"/>
        <v>706402.88158207573</v>
      </c>
      <c r="BS154" s="59">
        <f t="shared" si="210"/>
        <v>-1200000</v>
      </c>
      <c r="BT154" s="59">
        <f t="shared" si="210"/>
        <v>2553668.7416645736</v>
      </c>
      <c r="BU154" s="59">
        <f t="shared" si="210"/>
        <v>882469.36032307893</v>
      </c>
      <c r="BV154" s="59">
        <f t="shared" si="210"/>
        <v>-754909.95508044586</v>
      </c>
      <c r="BW154" s="59">
        <f t="shared" si="210"/>
        <v>-1000000</v>
      </c>
      <c r="BX154" s="59">
        <f t="shared" si="210"/>
        <v>2785699.8242345452</v>
      </c>
      <c r="BY154" s="59">
        <f t="shared" si="210"/>
        <v>1610966.3119097129</v>
      </c>
      <c r="BZ154" s="59">
        <f t="shared" si="210"/>
        <v>-1933045.5615779981</v>
      </c>
      <c r="CA154" s="59">
        <f t="shared" si="210"/>
        <v>-1000000</v>
      </c>
      <c r="CB154" s="59">
        <f t="shared" si="210"/>
        <v>8829011.6988792587</v>
      </c>
      <c r="CC154" s="59">
        <f t="shared" si="210"/>
        <v>11327581.101379693</v>
      </c>
      <c r="CD154" s="59">
        <f t="shared" si="210"/>
        <v>29411.927956204861</v>
      </c>
      <c r="CE154" s="59">
        <f t="shared" si="210"/>
        <v>-1000000</v>
      </c>
      <c r="CF154" s="59">
        <f t="shared" si="210"/>
        <v>9322063.1880135946</v>
      </c>
      <c r="CG154" s="59">
        <f t="shared" si="210"/>
        <v>11698473.132833302</v>
      </c>
      <c r="CH154" s="59">
        <f t="shared" si="210"/>
        <v>-3000000</v>
      </c>
      <c r="CI154" s="59">
        <f t="shared" si="210"/>
        <v>-3000000</v>
      </c>
      <c r="CJ154" s="59">
        <f t="shared" si="210"/>
        <v>11105741.819751941</v>
      </c>
      <c r="CK154" s="59">
        <f t="shared" si="210"/>
        <v>13201024.552654702</v>
      </c>
      <c r="CL154" s="59">
        <f t="shared" si="210"/>
        <v>-3000000</v>
      </c>
      <c r="CM154" s="59">
        <f t="shared" si="210"/>
        <v>-4500000</v>
      </c>
      <c r="CN154" s="59">
        <f t="shared" si="210"/>
        <v>2635373.2975335531</v>
      </c>
      <c r="CO154" s="59">
        <f t="shared" si="210"/>
        <v>2662341.3432833329</v>
      </c>
      <c r="CP154" s="59">
        <f t="shared" si="210"/>
        <v>-8999999.9999999963</v>
      </c>
      <c r="CQ154" s="59">
        <f t="shared" si="210"/>
        <v>-24687944.280033521</v>
      </c>
      <c r="CR154" s="59">
        <f t="shared" si="210"/>
        <v>4076865.8873575516</v>
      </c>
      <c r="CS154" s="59">
        <f t="shared" si="210"/>
        <v>4955340.781233713</v>
      </c>
      <c r="CT154" s="59">
        <f t="shared" si="210"/>
        <v>-22932006.147279162</v>
      </c>
      <c r="CU154" s="59">
        <f t="shared" si="210"/>
        <v>-32092938.369634189</v>
      </c>
      <c r="CV154" s="59">
        <f t="shared" si="210"/>
        <v>-11289209.749274619</v>
      </c>
      <c r="CW154" s="59">
        <f t="shared" si="210"/>
        <v>-14372618.507699005</v>
      </c>
      <c r="CX154" s="59">
        <f t="shared" si="210"/>
        <v>-35474137.659356654</v>
      </c>
      <c r="CY154" s="59">
        <f t="shared" si="210"/>
        <v>-69102177.6056692</v>
      </c>
      <c r="CZ154" s="59">
        <f t="shared" si="210"/>
        <v>-30229126.838979688</v>
      </c>
    </row>
  </sheetData>
  <pageMargins left="1" right="1" top="1" bottom="1" header="1" footer="1"/>
  <pageSetup orientation="portrait" horizontalDpi="300" verticalDpi="30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AFF20C-EB80-473A-A553-9BCB74E2AEB8}">
  <sheetPr>
    <tabColor rgb="FF5D803B"/>
  </sheetPr>
  <dimension ref="A2:AG39"/>
  <sheetViews>
    <sheetView zoomScale="85" zoomScaleNormal="85" workbookViewId="0">
      <pane xSplit="1" ySplit="3" topLeftCell="J4" activePane="bottomRight" state="frozen"/>
      <selection activeCell="A6" sqref="A6"/>
      <selection pane="topRight" activeCell="A6" sqref="A6"/>
      <selection pane="bottomLeft" activeCell="A6" sqref="A6"/>
      <selection pane="bottomRight" activeCell="A6" sqref="A6"/>
    </sheetView>
  </sheetViews>
  <sheetFormatPr defaultColWidth="9.140625" defaultRowHeight="14.25" x14ac:dyDescent="0.2"/>
  <cols>
    <col min="1" max="1" width="33.42578125" style="9" customWidth="1"/>
    <col min="2" max="33" width="14.28515625" style="9" customWidth="1"/>
    <col min="34" max="16384" width="9.140625" style="9"/>
  </cols>
  <sheetData>
    <row r="2" spans="1:33" ht="15" x14ac:dyDescent="0.25">
      <c r="A2" s="9" t="s">
        <v>235</v>
      </c>
      <c r="B2" s="8">
        <v>2011</v>
      </c>
      <c r="C2" s="8">
        <v>2012</v>
      </c>
      <c r="D2" s="8">
        <v>2013</v>
      </c>
      <c r="E2" s="8">
        <v>2014</v>
      </c>
      <c r="F2" s="8">
        <v>2015</v>
      </c>
      <c r="G2" s="8">
        <v>2016</v>
      </c>
      <c r="H2" s="8">
        <v>2017</v>
      </c>
      <c r="I2" s="8">
        <v>2018</v>
      </c>
      <c r="J2" s="8">
        <v>2019</v>
      </c>
      <c r="K2" s="8">
        <v>2020</v>
      </c>
      <c r="L2" s="8">
        <v>2021</v>
      </c>
      <c r="M2" s="8">
        <v>2022</v>
      </c>
      <c r="N2" s="8">
        <v>2023</v>
      </c>
      <c r="O2" s="8">
        <v>2024</v>
      </c>
      <c r="P2" s="8">
        <v>2025</v>
      </c>
      <c r="Q2" s="8">
        <v>2026</v>
      </c>
      <c r="R2" s="8">
        <v>2027</v>
      </c>
      <c r="S2" s="8">
        <v>2028</v>
      </c>
      <c r="T2" s="8">
        <v>2029</v>
      </c>
      <c r="U2" s="8">
        <v>2030</v>
      </c>
      <c r="V2" s="8">
        <v>2031</v>
      </c>
      <c r="W2" s="8">
        <v>2032</v>
      </c>
      <c r="X2" s="8">
        <v>2033</v>
      </c>
      <c r="Y2" s="8">
        <v>2034</v>
      </c>
      <c r="Z2" s="8">
        <v>2035</v>
      </c>
      <c r="AA2" s="8">
        <v>2036</v>
      </c>
      <c r="AB2" s="8">
        <v>2037</v>
      </c>
      <c r="AC2" s="8">
        <v>2038</v>
      </c>
      <c r="AD2" s="8">
        <v>2039</v>
      </c>
      <c r="AE2" s="8">
        <v>2040</v>
      </c>
      <c r="AF2" s="8">
        <v>2041</v>
      </c>
      <c r="AG2" s="8">
        <v>2042</v>
      </c>
    </row>
    <row r="3" spans="1:33" x14ac:dyDescent="0.2">
      <c r="A3" s="68" t="s">
        <v>159</v>
      </c>
    </row>
    <row r="4" spans="1:33" ht="15" x14ac:dyDescent="0.25">
      <c r="A4" s="68" t="s">
        <v>66</v>
      </c>
      <c r="B4" s="59">
        <f>SUM('Qrtly Credit-Deficit Generation'!C55:F55)</f>
        <v>0</v>
      </c>
      <c r="C4" s="59">
        <f>SUM('Qrtly Credit-Deficit Generation'!G55:J55)</f>
        <v>0</v>
      </c>
      <c r="D4" s="59">
        <f>SUM('Qrtly Credit-Deficit Generation'!K55:N55)</f>
        <v>0</v>
      </c>
      <c r="E4" s="59">
        <f>SUM('Qrtly Credit-Deficit Generation'!O55:R55)</f>
        <v>0</v>
      </c>
      <c r="F4" s="59">
        <f>SUM('Qrtly Credit-Deficit Generation'!S55:V55)</f>
        <v>0</v>
      </c>
      <c r="G4" s="59">
        <f>SUM('Qrtly Credit-Deficit Generation'!W55:Z55)</f>
        <v>0</v>
      </c>
      <c r="H4" s="59">
        <f>SUM('Qrtly Credit-Deficit Generation'!AA55:AD55)</f>
        <v>0</v>
      </c>
      <c r="I4" s="59">
        <f>SUM('Qrtly Credit-Deficit Generation'!AE55:AH55)</f>
        <v>0</v>
      </c>
      <c r="J4" s="59">
        <f>SUM('Qrtly Credit-Deficit Generation'!AI55:AL55)</f>
        <v>669</v>
      </c>
      <c r="K4" s="59">
        <f>SUM('Qrtly Credit-Deficit Generation'!AM55:AP55)</f>
        <v>0</v>
      </c>
      <c r="L4" s="59">
        <f>SUM('Qrtly Credit-Deficit Generation'!AQ55:AT55)</f>
        <v>85</v>
      </c>
      <c r="M4" s="59">
        <f>SUM('Qrtly Credit-Deficit Generation'!AU55:AX55)</f>
        <v>549</v>
      </c>
      <c r="N4" s="59">
        <f>SUM('Qrtly Credit-Deficit Generation'!AY55:BB55)</f>
        <v>1196</v>
      </c>
      <c r="O4" s="61">
        <f>SUM('Qrtly Credit-Deficit Generation'!BC55:BF55)</f>
        <v>0</v>
      </c>
      <c r="P4" s="61">
        <f>SUM('Qrtly Credit-Deficit Generation'!BG55:BJ55)</f>
        <v>0</v>
      </c>
      <c r="Q4" s="61">
        <f>SUM('Qrtly Credit-Deficit Generation'!BK55:BN55)</f>
        <v>0</v>
      </c>
      <c r="R4" s="61">
        <f>SUM('Qrtly Credit-Deficit Generation'!BO55:BR55)</f>
        <v>0</v>
      </c>
      <c r="S4" s="61">
        <f>SUM('Qrtly Credit-Deficit Generation'!BS55:BV55)</f>
        <v>0</v>
      </c>
      <c r="T4" s="61">
        <f>SUM('Qrtly Credit-Deficit Generation'!BW55:BZ55)</f>
        <v>0</v>
      </c>
      <c r="U4" s="61">
        <f>SUM('Qrtly Credit-Deficit Generation'!CA55:CD55)</f>
        <v>0</v>
      </c>
      <c r="V4" s="61">
        <f>SUM('Qrtly Credit-Deficit Generation'!CE55:CH55)</f>
        <v>0</v>
      </c>
      <c r="W4" s="61">
        <f>SUM('Qrtly Credit-Deficit Generation'!CI55:CL55)</f>
        <v>0</v>
      </c>
      <c r="X4" s="61">
        <f>SUM('Qrtly Credit-Deficit Generation'!CM55:CP55)</f>
        <v>0</v>
      </c>
      <c r="Y4" s="61">
        <f>SUM('Qrtly Credit-Deficit Generation'!CQ55:CT55)</f>
        <v>0</v>
      </c>
      <c r="Z4" s="61">
        <f>SUM('Qrtly Credit-Deficit Generation'!CU55:CX55)</f>
        <v>0</v>
      </c>
      <c r="AA4" s="61">
        <f>SUM('Qrtly Credit-Deficit Generation'!CY55:DB55)</f>
        <v>0</v>
      </c>
      <c r="AB4" s="61">
        <f>SUM('Qrtly Credit-Deficit Generation'!DC55:DF55)</f>
        <v>0</v>
      </c>
      <c r="AC4" s="61">
        <f>SUM('Qrtly Credit-Deficit Generation'!DG55:DJ55)</f>
        <v>0</v>
      </c>
      <c r="AD4" s="61">
        <f>SUM('Qrtly Credit-Deficit Generation'!DK55:DN55)</f>
        <v>0</v>
      </c>
      <c r="AE4" s="61">
        <f>SUM('Qrtly Credit-Deficit Generation'!DO55:DR55)</f>
        <v>0</v>
      </c>
      <c r="AF4" s="61">
        <f>SUM('Qrtly Credit-Deficit Generation'!DS55:DV55)</f>
        <v>0</v>
      </c>
      <c r="AG4" s="61">
        <f>SUM('Qrtly Credit-Deficit Generation'!DW55:DZ55)</f>
        <v>0</v>
      </c>
    </row>
    <row r="5" spans="1:33" ht="15" x14ac:dyDescent="0.25">
      <c r="A5" s="68" t="s">
        <v>74</v>
      </c>
      <c r="B5" s="59">
        <f>SUM('Qrtly Credit-Deficit Generation'!C56:F56)</f>
        <v>0</v>
      </c>
      <c r="C5" s="59">
        <f>SUM('Qrtly Credit-Deficit Generation'!G56:J56)</f>
        <v>0</v>
      </c>
      <c r="D5" s="59">
        <f>SUM('Qrtly Credit-Deficit Generation'!K56:N56)</f>
        <v>0</v>
      </c>
      <c r="E5" s="59">
        <f>SUM('Qrtly Credit-Deficit Generation'!O56:R56)</f>
        <v>0</v>
      </c>
      <c r="F5" s="59">
        <f>SUM('Qrtly Credit-Deficit Generation'!S56:V56)</f>
        <v>0</v>
      </c>
      <c r="G5" s="59">
        <f>SUM('Qrtly Credit-Deficit Generation'!W56:Z56)</f>
        <v>0</v>
      </c>
      <c r="H5" s="59">
        <f>SUM('Qrtly Credit-Deficit Generation'!AA56:AD56)</f>
        <v>0</v>
      </c>
      <c r="I5" s="59">
        <f>SUM('Qrtly Credit-Deficit Generation'!AE56:AH56)</f>
        <v>0</v>
      </c>
      <c r="J5" s="59">
        <f>SUM('Qrtly Credit-Deficit Generation'!AI56:AL56)</f>
        <v>130</v>
      </c>
      <c r="K5" s="59">
        <f>SUM('Qrtly Credit-Deficit Generation'!AM56:AP56)</f>
        <v>0</v>
      </c>
      <c r="L5" s="59">
        <f>SUM('Qrtly Credit-Deficit Generation'!AQ56:AT56)</f>
        <v>0</v>
      </c>
      <c r="M5" s="59">
        <f>SUM('Qrtly Credit-Deficit Generation'!AU56:AX56)</f>
        <v>0</v>
      </c>
      <c r="N5" s="59">
        <f>SUM('Qrtly Credit-Deficit Generation'!AY56:BB56)</f>
        <v>3</v>
      </c>
      <c r="O5" s="61">
        <f>SUM('Qrtly Credit-Deficit Generation'!BC56:BF56)</f>
        <v>0</v>
      </c>
      <c r="P5" s="61">
        <f>SUM('Qrtly Credit-Deficit Generation'!BG56:BJ56)</f>
        <v>0</v>
      </c>
      <c r="Q5" s="61">
        <f>SUM('Qrtly Credit-Deficit Generation'!BK56:BN56)</f>
        <v>0</v>
      </c>
      <c r="R5" s="61">
        <f>SUM('Qrtly Credit-Deficit Generation'!BO56:BR56)</f>
        <v>0</v>
      </c>
      <c r="S5" s="61">
        <f>SUM('Qrtly Credit-Deficit Generation'!BS56:BV56)</f>
        <v>0</v>
      </c>
      <c r="T5" s="61">
        <f>SUM('Qrtly Credit-Deficit Generation'!BW56:BZ56)</f>
        <v>0</v>
      </c>
      <c r="U5" s="61">
        <f>SUM('Qrtly Credit-Deficit Generation'!CA56:CD56)</f>
        <v>0</v>
      </c>
      <c r="V5" s="61">
        <f>SUM('Qrtly Credit-Deficit Generation'!CE56:CH56)</f>
        <v>0</v>
      </c>
      <c r="W5" s="61">
        <f>SUM('Qrtly Credit-Deficit Generation'!CI56:CL56)</f>
        <v>0</v>
      </c>
      <c r="X5" s="61">
        <f>SUM('Qrtly Credit-Deficit Generation'!CM56:CP56)</f>
        <v>0</v>
      </c>
      <c r="Y5" s="61">
        <f>SUM('Qrtly Credit-Deficit Generation'!CQ56:CT56)</f>
        <v>0</v>
      </c>
      <c r="Z5" s="61">
        <f>SUM('Qrtly Credit-Deficit Generation'!CU56:CX56)</f>
        <v>0</v>
      </c>
      <c r="AA5" s="61">
        <f>SUM('Qrtly Credit-Deficit Generation'!CY56:DB56)</f>
        <v>0</v>
      </c>
      <c r="AB5" s="61">
        <f>SUM('Qrtly Credit-Deficit Generation'!DC56:DF56)</f>
        <v>0</v>
      </c>
      <c r="AC5" s="61">
        <f>SUM('Qrtly Credit-Deficit Generation'!DG56:DJ56)</f>
        <v>0</v>
      </c>
      <c r="AD5" s="61">
        <f>SUM('Qrtly Credit-Deficit Generation'!DK56:DN56)</f>
        <v>0</v>
      </c>
      <c r="AE5" s="61">
        <f>SUM('Qrtly Credit-Deficit Generation'!DO56:DR56)</f>
        <v>0</v>
      </c>
      <c r="AF5" s="61">
        <f>SUM('Qrtly Credit-Deficit Generation'!DS56:DV56)</f>
        <v>0</v>
      </c>
      <c r="AG5" s="61">
        <f>SUM('Qrtly Credit-Deficit Generation'!DW56:DZ56)</f>
        <v>0</v>
      </c>
    </row>
    <row r="6" spans="1:33" ht="15" x14ac:dyDescent="0.25">
      <c r="A6" s="68" t="s">
        <v>120</v>
      </c>
      <c r="B6" s="59">
        <f>SUM('Qrtly Credit-Deficit Generation'!C57:F57)</f>
        <v>0</v>
      </c>
      <c r="C6" s="59">
        <f>SUM('Qrtly Credit-Deficit Generation'!G57:J57)</f>
        <v>0</v>
      </c>
      <c r="D6" s="59">
        <f>SUM('Qrtly Credit-Deficit Generation'!K57:N57)</f>
        <v>0</v>
      </c>
      <c r="E6" s="59">
        <f>SUM('Qrtly Credit-Deficit Generation'!O57:R57)</f>
        <v>0</v>
      </c>
      <c r="F6" s="59">
        <f>SUM('Qrtly Credit-Deficit Generation'!S57:V57)</f>
        <v>0</v>
      </c>
      <c r="G6" s="59">
        <f>SUM('Qrtly Credit-Deficit Generation'!W57:Z57)</f>
        <v>43</v>
      </c>
      <c r="H6" s="59">
        <f>SUM('Qrtly Credit-Deficit Generation'!AA57:AD57)</f>
        <v>577</v>
      </c>
      <c r="I6" s="59">
        <f>SUM('Qrtly Credit-Deficit Generation'!AE57:AH57)</f>
        <v>380</v>
      </c>
      <c r="J6" s="59">
        <f>SUM('Qrtly Credit-Deficit Generation'!AI57:AL57)</f>
        <v>1501</v>
      </c>
      <c r="K6" s="59">
        <f>SUM('Qrtly Credit-Deficit Generation'!AM57:AP57)</f>
        <v>0</v>
      </c>
      <c r="L6" s="59">
        <f>SUM('Qrtly Credit-Deficit Generation'!AQ57:AT57)</f>
        <v>0</v>
      </c>
      <c r="M6" s="59">
        <f>SUM('Qrtly Credit-Deficit Generation'!AU57:AX57)</f>
        <v>0</v>
      </c>
      <c r="N6" s="59">
        <f>SUM('Qrtly Credit-Deficit Generation'!AY57:BB57)</f>
        <v>0</v>
      </c>
      <c r="O6" s="61">
        <f>SUM('Qrtly Credit-Deficit Generation'!BC57:BF57)</f>
        <v>13</v>
      </c>
      <c r="P6" s="61">
        <f>SUM('Qrtly Credit-Deficit Generation'!BG57:BJ57)</f>
        <v>0</v>
      </c>
      <c r="Q6" s="61">
        <f>SUM('Qrtly Credit-Deficit Generation'!BK57:BN57)</f>
        <v>0</v>
      </c>
      <c r="R6" s="61">
        <f>SUM('Qrtly Credit-Deficit Generation'!BO57:BR57)</f>
        <v>0</v>
      </c>
      <c r="S6" s="61">
        <f>SUM('Qrtly Credit-Deficit Generation'!BS57:BV57)</f>
        <v>0</v>
      </c>
      <c r="T6" s="61">
        <f>SUM('Qrtly Credit-Deficit Generation'!BW57:BZ57)</f>
        <v>0</v>
      </c>
      <c r="U6" s="61">
        <f>SUM('Qrtly Credit-Deficit Generation'!CA57:CD57)</f>
        <v>0</v>
      </c>
      <c r="V6" s="61">
        <f>SUM('Qrtly Credit-Deficit Generation'!CE57:CH57)</f>
        <v>0</v>
      </c>
      <c r="W6" s="61">
        <f>SUM('Qrtly Credit-Deficit Generation'!CI57:CL57)</f>
        <v>0</v>
      </c>
      <c r="X6" s="61">
        <f>SUM('Qrtly Credit-Deficit Generation'!CM57:CP57)</f>
        <v>0</v>
      </c>
      <c r="Y6" s="61">
        <f>SUM('Qrtly Credit-Deficit Generation'!CQ57:CT57)</f>
        <v>0</v>
      </c>
      <c r="Z6" s="61">
        <f>SUM('Qrtly Credit-Deficit Generation'!CU57:CX57)</f>
        <v>0</v>
      </c>
      <c r="AA6" s="61">
        <f>SUM('Qrtly Credit-Deficit Generation'!CY57:DB57)</f>
        <v>0</v>
      </c>
      <c r="AB6" s="61">
        <f>SUM('Qrtly Credit-Deficit Generation'!DC57:DF57)</f>
        <v>0</v>
      </c>
      <c r="AC6" s="61">
        <f>SUM('Qrtly Credit-Deficit Generation'!DG57:DJ57)</f>
        <v>0</v>
      </c>
      <c r="AD6" s="61">
        <f>SUM('Qrtly Credit-Deficit Generation'!DK57:DN57)</f>
        <v>0</v>
      </c>
      <c r="AE6" s="61">
        <f>SUM('Qrtly Credit-Deficit Generation'!DO57:DR57)</f>
        <v>0</v>
      </c>
      <c r="AF6" s="61">
        <f>SUM('Qrtly Credit-Deficit Generation'!DS57:DV57)</f>
        <v>0</v>
      </c>
      <c r="AG6" s="61">
        <f>SUM('Qrtly Credit-Deficit Generation'!DW57:DZ57)</f>
        <v>0</v>
      </c>
    </row>
    <row r="7" spans="1:33" ht="15" x14ac:dyDescent="0.25">
      <c r="A7" s="68" t="s">
        <v>121</v>
      </c>
      <c r="B7" s="59">
        <f>SUM('Qrtly Credit-Deficit Generation'!C58:F58)</f>
        <v>0</v>
      </c>
      <c r="C7" s="59">
        <f>SUM('Qrtly Credit-Deficit Generation'!G58:J58)</f>
        <v>0</v>
      </c>
      <c r="D7" s="59">
        <f>SUM('Qrtly Credit-Deficit Generation'!K58:N58)</f>
        <v>0</v>
      </c>
      <c r="E7" s="59">
        <f>SUM('Qrtly Credit-Deficit Generation'!O58:R58)</f>
        <v>0</v>
      </c>
      <c r="F7" s="59">
        <f>SUM('Qrtly Credit-Deficit Generation'!S58:V58)</f>
        <v>0</v>
      </c>
      <c r="G7" s="59">
        <f>SUM('Qrtly Credit-Deficit Generation'!W58:Z58)</f>
        <v>0</v>
      </c>
      <c r="H7" s="59">
        <f>SUM('Qrtly Credit-Deficit Generation'!AA58:AD58)</f>
        <v>47</v>
      </c>
      <c r="I7" s="59">
        <f>SUM('Qrtly Credit-Deficit Generation'!AE58:AH58)</f>
        <v>0</v>
      </c>
      <c r="J7" s="59">
        <f>SUM('Qrtly Credit-Deficit Generation'!AI58:AL58)</f>
        <v>525</v>
      </c>
      <c r="K7" s="59">
        <f>SUM('Qrtly Credit-Deficit Generation'!AM58:AP58)</f>
        <v>26</v>
      </c>
      <c r="L7" s="59">
        <f>SUM('Qrtly Credit-Deficit Generation'!AQ58:AT58)</f>
        <v>0</v>
      </c>
      <c r="M7" s="59">
        <f>SUM('Qrtly Credit-Deficit Generation'!AU58:AX58)</f>
        <v>1800</v>
      </c>
      <c r="N7" s="59">
        <f>SUM('Qrtly Credit-Deficit Generation'!AY58:BB58)</f>
        <v>0</v>
      </c>
      <c r="O7" s="61">
        <f>SUM('Qrtly Credit-Deficit Generation'!BC58:BF58)</f>
        <v>14</v>
      </c>
      <c r="P7" s="61">
        <f>SUM('Qrtly Credit-Deficit Generation'!BG58:BJ58)</f>
        <v>0</v>
      </c>
      <c r="Q7" s="61">
        <f>SUM('Qrtly Credit-Deficit Generation'!BK58:BN58)</f>
        <v>0</v>
      </c>
      <c r="R7" s="61">
        <f>SUM('Qrtly Credit-Deficit Generation'!BO58:BR58)</f>
        <v>0</v>
      </c>
      <c r="S7" s="61">
        <f>SUM('Qrtly Credit-Deficit Generation'!BS58:BV58)</f>
        <v>0</v>
      </c>
      <c r="T7" s="61">
        <f>SUM('Qrtly Credit-Deficit Generation'!BW58:BZ58)</f>
        <v>0</v>
      </c>
      <c r="U7" s="61">
        <f>SUM('Qrtly Credit-Deficit Generation'!CA58:CD58)</f>
        <v>0</v>
      </c>
      <c r="V7" s="61">
        <f>SUM('Qrtly Credit-Deficit Generation'!CE58:CH58)</f>
        <v>0</v>
      </c>
      <c r="W7" s="61">
        <f>SUM('Qrtly Credit-Deficit Generation'!CI58:CL58)</f>
        <v>0</v>
      </c>
      <c r="X7" s="61">
        <f>SUM('Qrtly Credit-Deficit Generation'!CM58:CP58)</f>
        <v>0</v>
      </c>
      <c r="Y7" s="61">
        <f>SUM('Qrtly Credit-Deficit Generation'!CQ58:CT58)</f>
        <v>0</v>
      </c>
      <c r="Z7" s="61">
        <f>SUM('Qrtly Credit-Deficit Generation'!CU58:CX58)</f>
        <v>0</v>
      </c>
      <c r="AA7" s="61">
        <f>SUM('Qrtly Credit-Deficit Generation'!CY58:DB58)</f>
        <v>0</v>
      </c>
      <c r="AB7" s="61">
        <f>SUM('Qrtly Credit-Deficit Generation'!DC58:DF58)</f>
        <v>0</v>
      </c>
      <c r="AC7" s="61">
        <f>SUM('Qrtly Credit-Deficit Generation'!DG58:DJ58)</f>
        <v>0</v>
      </c>
      <c r="AD7" s="61">
        <f>SUM('Qrtly Credit-Deficit Generation'!DK58:DN58)</f>
        <v>0</v>
      </c>
      <c r="AE7" s="61">
        <f>SUM('Qrtly Credit-Deficit Generation'!DO58:DR58)</f>
        <v>0</v>
      </c>
      <c r="AF7" s="61">
        <f>SUM('Qrtly Credit-Deficit Generation'!DS58:DV58)</f>
        <v>0</v>
      </c>
      <c r="AG7" s="61">
        <f>SUM('Qrtly Credit-Deficit Generation'!DW58:DZ58)</f>
        <v>0</v>
      </c>
    </row>
    <row r="8" spans="1:33" ht="15" x14ac:dyDescent="0.25">
      <c r="A8" s="68" t="s">
        <v>122</v>
      </c>
      <c r="B8" s="59">
        <f>SUM('Qrtly Credit-Deficit Generation'!C59:F59)</f>
        <v>0</v>
      </c>
      <c r="C8" s="59">
        <f>SUM('Qrtly Credit-Deficit Generation'!G59:J59)</f>
        <v>0</v>
      </c>
      <c r="D8" s="59">
        <f>SUM('Qrtly Credit-Deficit Generation'!K59:N59)</f>
        <v>0</v>
      </c>
      <c r="E8" s="59">
        <f>SUM('Qrtly Credit-Deficit Generation'!O59:R59)</f>
        <v>0</v>
      </c>
      <c r="F8" s="59">
        <f>SUM('Qrtly Credit-Deficit Generation'!S59:V59)</f>
        <v>0</v>
      </c>
      <c r="G8" s="59">
        <f>SUM('Qrtly Credit-Deficit Generation'!W59:Z59)</f>
        <v>0</v>
      </c>
      <c r="H8" s="59">
        <f>SUM('Qrtly Credit-Deficit Generation'!AA59:AD59)</f>
        <v>0</v>
      </c>
      <c r="I8" s="59">
        <f>SUM('Qrtly Credit-Deficit Generation'!AE59:AH59)</f>
        <v>0</v>
      </c>
      <c r="J8" s="59">
        <f>SUM('Qrtly Credit-Deficit Generation'!AI59:AL59)</f>
        <v>0</v>
      </c>
      <c r="K8" s="59">
        <f>SUM('Qrtly Credit-Deficit Generation'!AM59:AP59)</f>
        <v>0</v>
      </c>
      <c r="L8" s="59">
        <f>SUM('Qrtly Credit-Deficit Generation'!AQ59:AT59)</f>
        <v>0</v>
      </c>
      <c r="M8" s="59">
        <f>SUM('Qrtly Credit-Deficit Generation'!AU59:AX59)</f>
        <v>0</v>
      </c>
      <c r="N8" s="59">
        <f>SUM('Qrtly Credit-Deficit Generation'!AY59:BB59)</f>
        <v>0</v>
      </c>
      <c r="O8" s="61">
        <f>SUM('Qrtly Credit-Deficit Generation'!BC59:BF59)</f>
        <v>8</v>
      </c>
      <c r="P8" s="61">
        <f>SUM('Qrtly Credit-Deficit Generation'!BG59:BJ59)</f>
        <v>0</v>
      </c>
      <c r="Q8" s="61">
        <f>SUM('Qrtly Credit-Deficit Generation'!BK59:BN59)</f>
        <v>0</v>
      </c>
      <c r="R8" s="61">
        <f>SUM('Qrtly Credit-Deficit Generation'!BO59:BR59)</f>
        <v>0</v>
      </c>
      <c r="S8" s="61">
        <f>SUM('Qrtly Credit-Deficit Generation'!BS59:BV59)</f>
        <v>0</v>
      </c>
      <c r="T8" s="61">
        <f>SUM('Qrtly Credit-Deficit Generation'!BW59:BZ59)</f>
        <v>0</v>
      </c>
      <c r="U8" s="61">
        <f>SUM('Qrtly Credit-Deficit Generation'!CA59:CD59)</f>
        <v>0</v>
      </c>
      <c r="V8" s="61">
        <f>SUM('Qrtly Credit-Deficit Generation'!CE59:CH59)</f>
        <v>0</v>
      </c>
      <c r="W8" s="61">
        <f>SUM('Qrtly Credit-Deficit Generation'!CI59:CL59)</f>
        <v>0</v>
      </c>
      <c r="X8" s="61">
        <f>SUM('Qrtly Credit-Deficit Generation'!CM59:CP59)</f>
        <v>0</v>
      </c>
      <c r="Y8" s="61">
        <f>SUM('Qrtly Credit-Deficit Generation'!CQ59:CT59)</f>
        <v>0</v>
      </c>
      <c r="Z8" s="61">
        <f>SUM('Qrtly Credit-Deficit Generation'!CU59:CX59)</f>
        <v>0</v>
      </c>
      <c r="AA8" s="61">
        <f>SUM('Qrtly Credit-Deficit Generation'!CY59:DB59)</f>
        <v>0</v>
      </c>
      <c r="AB8" s="61">
        <f>SUM('Qrtly Credit-Deficit Generation'!DC59:DF59)</f>
        <v>0</v>
      </c>
      <c r="AC8" s="61">
        <f>SUM('Qrtly Credit-Deficit Generation'!DG59:DJ59)</f>
        <v>0</v>
      </c>
      <c r="AD8" s="61">
        <f>SUM('Qrtly Credit-Deficit Generation'!DK59:DN59)</f>
        <v>0</v>
      </c>
      <c r="AE8" s="61">
        <f>SUM('Qrtly Credit-Deficit Generation'!DO59:DR59)</f>
        <v>0</v>
      </c>
      <c r="AF8" s="61">
        <f>SUM('Qrtly Credit-Deficit Generation'!DS59:DV59)</f>
        <v>0</v>
      </c>
      <c r="AG8" s="61">
        <f>SUM('Qrtly Credit-Deficit Generation'!DW59:DZ59)</f>
        <v>0</v>
      </c>
    </row>
    <row r="9" spans="1:33" ht="15" x14ac:dyDescent="0.25">
      <c r="A9" s="68" t="s">
        <v>75</v>
      </c>
      <c r="B9" s="59">
        <f>SUM('Qrtly Credit-Deficit Generation'!C60:F60)</f>
        <v>33996</v>
      </c>
      <c r="C9" s="59">
        <f>SUM('Qrtly Credit-Deficit Generation'!G60:J60)</f>
        <v>14664</v>
      </c>
      <c r="D9" s="59">
        <f>SUM('Qrtly Credit-Deficit Generation'!K60:N60)</f>
        <v>100214</v>
      </c>
      <c r="E9" s="59">
        <f>SUM('Qrtly Credit-Deficit Generation'!O60:R60)</f>
        <v>87986</v>
      </c>
      <c r="F9" s="59">
        <f>SUM('Qrtly Credit-Deficit Generation'!S60:V60)</f>
        <v>128375</v>
      </c>
      <c r="G9" s="59">
        <f>SUM('Qrtly Credit-Deficit Generation'!W60:Z60)</f>
        <v>202293</v>
      </c>
      <c r="H9" s="59">
        <f>SUM('Qrtly Credit-Deficit Generation'!AA60:AD60)</f>
        <v>283358</v>
      </c>
      <c r="I9" s="59">
        <f>SUM('Qrtly Credit-Deficit Generation'!AE60:AH60)</f>
        <v>199044</v>
      </c>
      <c r="J9" s="59">
        <f>SUM('Qrtly Credit-Deficit Generation'!AI60:AL60)</f>
        <v>383904</v>
      </c>
      <c r="K9" s="59">
        <f>SUM('Qrtly Credit-Deficit Generation'!AM60:AP60)</f>
        <v>272271</v>
      </c>
      <c r="L9" s="59">
        <f>SUM('Qrtly Credit-Deficit Generation'!AQ60:AT60)</f>
        <v>257665</v>
      </c>
      <c r="M9" s="59">
        <f>SUM('Qrtly Credit-Deficit Generation'!AU60:AX60)</f>
        <v>146451</v>
      </c>
      <c r="N9" s="59">
        <f>SUM('Qrtly Credit-Deficit Generation'!AY60:BB60)</f>
        <v>187743</v>
      </c>
      <c r="O9" s="61">
        <f>SUM('Qrtly Credit-Deficit Generation'!BC60:BF60)</f>
        <v>145818.70925361352</v>
      </c>
      <c r="P9" s="61">
        <f>SUM('Qrtly Credit-Deficit Generation'!BG60:BJ60)</f>
        <v>130080.54649307235</v>
      </c>
      <c r="Q9" s="61">
        <f>SUM('Qrtly Credit-Deficit Generation'!BK60:BN60)</f>
        <v>124250.60090271381</v>
      </c>
      <c r="R9" s="61">
        <f>SUM('Qrtly Credit-Deficit Generation'!BO60:BR60)</f>
        <v>105670.05225642322</v>
      </c>
      <c r="S9" s="61">
        <f>SUM('Qrtly Credit-Deficit Generation'!BS60:BV60)</f>
        <v>95341.353158126061</v>
      </c>
      <c r="T9" s="61">
        <f>SUM('Qrtly Credit-Deficit Generation'!BW60:BZ60)</f>
        <v>81672.056726231312</v>
      </c>
      <c r="U9" s="61">
        <f>SUM('Qrtly Credit-Deficit Generation'!CA60:CD60)</f>
        <v>68595.498957788601</v>
      </c>
      <c r="V9" s="61">
        <f>SUM('Qrtly Credit-Deficit Generation'!CE60:CH60)</f>
        <v>55555.378131177422</v>
      </c>
      <c r="W9" s="61">
        <f>SUM('Qrtly Credit-Deficit Generation'!CI60:CL60)</f>
        <v>42621.152042529982</v>
      </c>
      <c r="X9" s="61">
        <f>SUM('Qrtly Credit-Deficit Generation'!CM60:CP60)</f>
        <v>29524.415901006483</v>
      </c>
      <c r="Y9" s="61">
        <f>SUM('Qrtly Credit-Deficit Generation'!CQ60:CT60)</f>
        <v>439327.77165359136</v>
      </c>
      <c r="Z9" s="61">
        <f>SUM('Qrtly Credit-Deficit Generation'!CU60:CX60)</f>
        <v>1670547.3147461014</v>
      </c>
      <c r="AA9" s="61">
        <f>SUM('Qrtly Credit-Deficit Generation'!CY60:DB60)</f>
        <v>5104408.9303672425</v>
      </c>
      <c r="AB9" s="61">
        <f>SUM('Qrtly Credit-Deficit Generation'!DC60:DF60)</f>
        <v>11418953.984403124</v>
      </c>
      <c r="AC9" s="61">
        <f>SUM('Qrtly Credit-Deficit Generation'!DG60:DJ60)</f>
        <v>20610299.040062282</v>
      </c>
      <c r="AD9" s="61">
        <f>SUM('Qrtly Credit-Deficit Generation'!DK60:DN60)</f>
        <v>32678444.097614527</v>
      </c>
      <c r="AE9" s="61">
        <f>SUM('Qrtly Credit-Deficit Generation'!DO60:DR60)</f>
        <v>47623389.157062173</v>
      </c>
      <c r="AF9" s="61">
        <f>SUM('Qrtly Credit-Deficit Generation'!DS60:DV60)</f>
        <v>65445134.218405262</v>
      </c>
      <c r="AG9" s="61">
        <f>SUM('Qrtly Credit-Deficit Generation'!DW60:DZ60)</f>
        <v>86143679.281643793</v>
      </c>
    </row>
    <row r="10" spans="1:33" ht="15" x14ac:dyDescent="0.25">
      <c r="A10" s="68" t="s">
        <v>76</v>
      </c>
      <c r="B10" s="59">
        <f>SUM('Qrtly Credit-Deficit Generation'!C61:F61)</f>
        <v>906</v>
      </c>
      <c r="C10" s="59">
        <f>SUM('Qrtly Credit-Deficit Generation'!G61:J61)</f>
        <v>1045</v>
      </c>
      <c r="D10" s="59">
        <f>SUM('Qrtly Credit-Deficit Generation'!K61:N61)</f>
        <v>22123</v>
      </c>
      <c r="E10" s="59">
        <f>SUM('Qrtly Credit-Deficit Generation'!O61:R61)</f>
        <v>54653</v>
      </c>
      <c r="F10" s="59">
        <f>SUM('Qrtly Credit-Deficit Generation'!S61:V61)</f>
        <v>80152</v>
      </c>
      <c r="G10" s="59">
        <f>SUM('Qrtly Credit-Deficit Generation'!W61:Z61)</f>
        <v>25794</v>
      </c>
      <c r="H10" s="59">
        <f>SUM('Qrtly Credit-Deficit Generation'!AA61:AD61)</f>
        <v>7641</v>
      </c>
      <c r="I10" s="59">
        <f>SUM('Qrtly Credit-Deficit Generation'!AE61:AH61)</f>
        <v>35007</v>
      </c>
      <c r="J10" s="59">
        <f>SUM('Qrtly Credit-Deficit Generation'!AI61:AL61)</f>
        <v>35542</v>
      </c>
      <c r="K10" s="59">
        <f>SUM('Qrtly Credit-Deficit Generation'!AM61:AP61)</f>
        <v>22753</v>
      </c>
      <c r="L10" s="59">
        <f>SUM('Qrtly Credit-Deficit Generation'!AQ61:AT61)</f>
        <v>1053</v>
      </c>
      <c r="M10" s="59">
        <f>SUM('Qrtly Credit-Deficit Generation'!AU61:AX61)</f>
        <v>6631</v>
      </c>
      <c r="N10" s="59">
        <f>SUM('Qrtly Credit-Deficit Generation'!AY61:BB61)</f>
        <v>12101</v>
      </c>
      <c r="O10" s="61">
        <f>SUM('Qrtly Credit-Deficit Generation'!BC61:BF61)</f>
        <v>47915.751972868668</v>
      </c>
      <c r="P10" s="61">
        <f>SUM('Qrtly Credit-Deficit Generation'!BG61:BJ61)</f>
        <v>135536.44813814067</v>
      </c>
      <c r="Q10" s="61">
        <f>SUM('Qrtly Credit-Deficit Generation'!BK61:BN61)</f>
        <v>264838.09870312159</v>
      </c>
      <c r="R10" s="61">
        <f>SUM('Qrtly Credit-Deficit Generation'!BO61:BR61)</f>
        <v>426209.06631959701</v>
      </c>
      <c r="S10" s="61">
        <f>SUM('Qrtly Credit-Deficit Generation'!BS61:BV61)</f>
        <v>610555.6396541039</v>
      </c>
      <c r="T10" s="61">
        <f>SUM('Qrtly Credit-Deficit Generation'!BW61:BZ61)</f>
        <v>818799.57507304836</v>
      </c>
      <c r="U10" s="61">
        <f>SUM('Qrtly Credit-Deficit Generation'!CA61:CD61)</f>
        <v>1055035.0004585332</v>
      </c>
      <c r="V10" s="61">
        <f>SUM('Qrtly Credit-Deficit Generation'!CE61:CH61)</f>
        <v>1332639.8721938804</v>
      </c>
      <c r="W10" s="61">
        <f>SUM('Qrtly Credit-Deficit Generation'!CI61:CL61)</f>
        <v>1655294.9925433411</v>
      </c>
      <c r="X10" s="61">
        <f>SUM('Qrtly Credit-Deficit Generation'!CM61:CP61)</f>
        <v>2021283.7264916068</v>
      </c>
      <c r="Y10" s="61">
        <f>SUM('Qrtly Credit-Deficit Generation'!CQ61:CT61)</f>
        <v>2418158.5706375381</v>
      </c>
      <c r="Z10" s="61">
        <f>SUM('Qrtly Credit-Deficit Generation'!CU61:CX61)</f>
        <v>2846131.8959764075</v>
      </c>
      <c r="AA10" s="61">
        <f>SUM('Qrtly Credit-Deficit Generation'!CY61:DB61)</f>
        <v>3300496.1537306402</v>
      </c>
      <c r="AB10" s="61">
        <f>SUM('Qrtly Credit-Deficit Generation'!DC61:DF61)</f>
        <v>3785965.543521258</v>
      </c>
      <c r="AC10" s="61">
        <f>SUM('Qrtly Credit-Deficit Generation'!DG61:DJ61)</f>
        <v>4311511.3432927458</v>
      </c>
      <c r="AD10" s="61">
        <f>SUM('Qrtly Credit-Deficit Generation'!DK61:DN61)</f>
        <v>4882247.5933846664</v>
      </c>
      <c r="AE10" s="61">
        <f>SUM('Qrtly Credit-Deficit Generation'!DO61:DR61)</f>
        <v>5495710.5299840514</v>
      </c>
      <c r="AF10" s="61">
        <f>SUM('Qrtly Credit-Deficit Generation'!DS61:DV61)</f>
        <v>6140179.0078836093</v>
      </c>
      <c r="AG10" s="61">
        <f>SUM('Qrtly Credit-Deficit Generation'!DW61:DZ61)</f>
        <v>6817338.8803406246</v>
      </c>
    </row>
    <row r="11" spans="1:33" ht="15" x14ac:dyDescent="0.25">
      <c r="A11" s="68" t="s">
        <v>77</v>
      </c>
      <c r="B11" s="59">
        <f>SUM('Qrtly Credit-Deficit Generation'!C62:F62)</f>
        <v>0</v>
      </c>
      <c r="C11" s="59">
        <f>SUM('Qrtly Credit-Deficit Generation'!G62:J62)</f>
        <v>0</v>
      </c>
      <c r="D11" s="59">
        <f>SUM('Qrtly Credit-Deficit Generation'!K62:N62)</f>
        <v>12619</v>
      </c>
      <c r="E11" s="59">
        <f>SUM('Qrtly Credit-Deficit Generation'!O62:R62)</f>
        <v>793</v>
      </c>
      <c r="F11" s="59">
        <f>SUM('Qrtly Credit-Deficit Generation'!S62:V62)</f>
        <v>4692</v>
      </c>
      <c r="G11" s="59">
        <f>SUM('Qrtly Credit-Deficit Generation'!W62:Z62)</f>
        <v>77267</v>
      </c>
      <c r="H11" s="59">
        <f>SUM('Qrtly Credit-Deficit Generation'!AA62:AD62)</f>
        <v>7687</v>
      </c>
      <c r="I11" s="59">
        <f>SUM('Qrtly Credit-Deficit Generation'!AE62:AH62)</f>
        <v>192974</v>
      </c>
      <c r="J11" s="59">
        <f>SUM('Qrtly Credit-Deficit Generation'!AI62:AL62)</f>
        <v>10200</v>
      </c>
      <c r="K11" s="59">
        <f>SUM('Qrtly Credit-Deficit Generation'!AM62:AP62)</f>
        <v>1873</v>
      </c>
      <c r="L11" s="59">
        <f>SUM('Qrtly Credit-Deficit Generation'!AQ62:AT62)</f>
        <v>968</v>
      </c>
      <c r="M11" s="59">
        <f>SUM('Qrtly Credit-Deficit Generation'!AU62:AX62)</f>
        <v>40013</v>
      </c>
      <c r="N11" s="59">
        <f>SUM('Qrtly Credit-Deficit Generation'!AY62:BB62)</f>
        <v>40923</v>
      </c>
      <c r="O11" s="61">
        <f>SUM('Qrtly Credit-Deficit Generation'!BC62:BF62)</f>
        <v>31293.943516761057</v>
      </c>
      <c r="P11" s="61">
        <f>SUM('Qrtly Credit-Deficit Generation'!BG62:BJ62)</f>
        <v>10551.43576313489</v>
      </c>
      <c r="Q11" s="61">
        <f>SUM('Qrtly Credit-Deficit Generation'!BK62:BN62)</f>
        <v>-16474.085852046395</v>
      </c>
      <c r="R11" s="61">
        <f>SUM('Qrtly Credit-Deficit Generation'!BO62:BR62)</f>
        <v>-39385.769728209358</v>
      </c>
      <c r="S11" s="61">
        <f>SUM('Qrtly Credit-Deficit Generation'!BS62:BV62)</f>
        <v>-59157.148067630464</v>
      </c>
      <c r="T11" s="61">
        <f>SUM('Qrtly Credit-Deficit Generation'!BW62:BZ62)</f>
        <v>-78545.145332124361</v>
      </c>
      <c r="U11" s="61">
        <f>SUM('Qrtly Credit-Deficit Generation'!CA62:CD62)</f>
        <v>-94890.60755038583</v>
      </c>
      <c r="V11" s="61">
        <f>SUM('Qrtly Credit-Deficit Generation'!CE62:CH62)</f>
        <v>-109394.02316228219</v>
      </c>
      <c r="W11" s="61">
        <f>SUM('Qrtly Credit-Deficit Generation'!CI62:CL62)</f>
        <v>-121507.32243215571</v>
      </c>
      <c r="X11" s="61">
        <f>SUM('Qrtly Credit-Deficit Generation'!CM62:CP62)</f>
        <v>-131282.87012088997</v>
      </c>
      <c r="Y11" s="61">
        <f>SUM('Qrtly Credit-Deficit Generation'!CQ62:CT62)</f>
        <v>-138578.5012321588</v>
      </c>
      <c r="Z11" s="61">
        <f>SUM('Qrtly Credit-Deficit Generation'!CU62:CX62)</f>
        <v>-142064.57087106624</v>
      </c>
      <c r="AA11" s="61">
        <f>SUM('Qrtly Credit-Deficit Generation'!CY62:DB62)</f>
        <v>-141435.86015863263</v>
      </c>
      <c r="AB11" s="61">
        <f>SUM('Qrtly Credit-Deficit Generation'!DC62:DF62)</f>
        <v>-137604.80696232687</v>
      </c>
      <c r="AC11" s="61">
        <f>SUM('Qrtly Credit-Deficit Generation'!DG62:DJ62)</f>
        <v>-130050.44126253421</v>
      </c>
      <c r="AD11" s="61">
        <f>SUM('Qrtly Credit-Deficit Generation'!DK62:DN62)</f>
        <v>-118945.30880289333</v>
      </c>
      <c r="AE11" s="61">
        <f>SUM('Qrtly Credit-Deficit Generation'!DO62:DR62)</f>
        <v>-104247.70453456725</v>
      </c>
      <c r="AF11" s="61">
        <f>SUM('Qrtly Credit-Deficit Generation'!DS62:DV62)</f>
        <v>-85963.35651470322</v>
      </c>
      <c r="AG11" s="61">
        <f>SUM('Qrtly Credit-Deficit Generation'!DW62:DZ62)</f>
        <v>-63593.291292271591</v>
      </c>
    </row>
    <row r="12" spans="1:33" ht="15" x14ac:dyDescent="0.25">
      <c r="A12" s="68" t="s">
        <v>78</v>
      </c>
      <c r="B12" s="59">
        <f>SUM('Qrtly Credit-Deficit Generation'!C63:F63)</f>
        <v>0</v>
      </c>
      <c r="C12" s="59">
        <f>SUM('Qrtly Credit-Deficit Generation'!G63:J63)</f>
        <v>0</v>
      </c>
      <c r="D12" s="59">
        <f>SUM('Qrtly Credit-Deficit Generation'!K63:N63)</f>
        <v>0</v>
      </c>
      <c r="E12" s="59">
        <f>SUM('Qrtly Credit-Deficit Generation'!O63:R63)</f>
        <v>0</v>
      </c>
      <c r="F12" s="59">
        <f>SUM('Qrtly Credit-Deficit Generation'!S63:V63)</f>
        <v>0</v>
      </c>
      <c r="G12" s="59">
        <f>SUM('Qrtly Credit-Deficit Generation'!W63:Z63)</f>
        <v>0</v>
      </c>
      <c r="H12" s="59">
        <f>SUM('Qrtly Credit-Deficit Generation'!AA63:AD63)</f>
        <v>0</v>
      </c>
      <c r="I12" s="59">
        <f>SUM('Qrtly Credit-Deficit Generation'!AE63:AH63)</f>
        <v>0</v>
      </c>
      <c r="J12" s="59">
        <f>SUM('Qrtly Credit-Deficit Generation'!AI63:AL63)</f>
        <v>0</v>
      </c>
      <c r="K12" s="59">
        <f>SUM('Qrtly Credit-Deficit Generation'!AM63:AP63)</f>
        <v>0</v>
      </c>
      <c r="L12" s="59">
        <f>SUM('Qrtly Credit-Deficit Generation'!AQ63:AT63)</f>
        <v>0</v>
      </c>
      <c r="M12" s="59">
        <f>SUM('Qrtly Credit-Deficit Generation'!AU63:AX63)</f>
        <v>85</v>
      </c>
      <c r="N12" s="59">
        <f>SUM('Qrtly Credit-Deficit Generation'!AY63:BB63)</f>
        <v>1318</v>
      </c>
      <c r="O12" s="61">
        <f>SUM('Qrtly Credit-Deficit Generation'!BC63:BF63)</f>
        <v>618</v>
      </c>
      <c r="P12" s="61">
        <f>SUM('Qrtly Credit-Deficit Generation'!BG63:BJ63)</f>
        <v>0</v>
      </c>
      <c r="Q12" s="61">
        <f>SUM('Qrtly Credit-Deficit Generation'!BK63:BN63)</f>
        <v>0</v>
      </c>
      <c r="R12" s="61">
        <f>SUM('Qrtly Credit-Deficit Generation'!BO63:BR63)</f>
        <v>0</v>
      </c>
      <c r="S12" s="61">
        <f>SUM('Qrtly Credit-Deficit Generation'!BS63:BV63)</f>
        <v>0</v>
      </c>
      <c r="T12" s="61">
        <f>SUM('Qrtly Credit-Deficit Generation'!BW63:BZ63)</f>
        <v>0</v>
      </c>
      <c r="U12" s="61">
        <f>SUM('Qrtly Credit-Deficit Generation'!CA63:CD63)</f>
        <v>0</v>
      </c>
      <c r="V12" s="61">
        <f>SUM('Qrtly Credit-Deficit Generation'!CE63:CH63)</f>
        <v>0</v>
      </c>
      <c r="W12" s="61">
        <f>SUM('Qrtly Credit-Deficit Generation'!CI63:CL63)</f>
        <v>0</v>
      </c>
      <c r="X12" s="61">
        <f>SUM('Qrtly Credit-Deficit Generation'!CM63:CP63)</f>
        <v>0</v>
      </c>
      <c r="Y12" s="61">
        <f>SUM('Qrtly Credit-Deficit Generation'!CQ63:CT63)</f>
        <v>0</v>
      </c>
      <c r="Z12" s="61">
        <f>SUM('Qrtly Credit-Deficit Generation'!CU63:CX63)</f>
        <v>0</v>
      </c>
      <c r="AA12" s="61">
        <f>SUM('Qrtly Credit-Deficit Generation'!CY63:DB63)</f>
        <v>0</v>
      </c>
      <c r="AB12" s="61">
        <f>SUM('Qrtly Credit-Deficit Generation'!DC63:DF63)</f>
        <v>0</v>
      </c>
      <c r="AC12" s="61">
        <f>SUM('Qrtly Credit-Deficit Generation'!DG63:DJ63)</f>
        <v>0</v>
      </c>
      <c r="AD12" s="61">
        <f>SUM('Qrtly Credit-Deficit Generation'!DK63:DN63)</f>
        <v>0</v>
      </c>
      <c r="AE12" s="61">
        <f>SUM('Qrtly Credit-Deficit Generation'!DO63:DR63)</f>
        <v>0</v>
      </c>
      <c r="AF12" s="61">
        <f>SUM('Qrtly Credit-Deficit Generation'!DS63:DV63)</f>
        <v>0</v>
      </c>
      <c r="AG12" s="61">
        <f>SUM('Qrtly Credit-Deficit Generation'!DW63:DZ63)</f>
        <v>0</v>
      </c>
    </row>
    <row r="13" spans="1:33" ht="15" x14ac:dyDescent="0.25">
      <c r="A13" s="68" t="s">
        <v>171</v>
      </c>
      <c r="B13" s="59">
        <f>SUM('Qrtly Credit-Deficit Generation'!C64:F64)</f>
        <v>0</v>
      </c>
      <c r="C13" s="59">
        <f>SUM('Qrtly Credit-Deficit Generation'!G64:J64)</f>
        <v>0</v>
      </c>
      <c r="D13" s="59">
        <f>SUM('Qrtly Credit-Deficit Generation'!K64:N64)</f>
        <v>0</v>
      </c>
      <c r="E13" s="59">
        <f>SUM('Qrtly Credit-Deficit Generation'!O64:R64)</f>
        <v>0</v>
      </c>
      <c r="F13" s="59">
        <f>SUM('Qrtly Credit-Deficit Generation'!S64:V64)</f>
        <v>0</v>
      </c>
      <c r="G13" s="59">
        <f>SUM('Qrtly Credit-Deficit Generation'!W64:Z64)</f>
        <v>0</v>
      </c>
      <c r="H13" s="59">
        <f>SUM('Qrtly Credit-Deficit Generation'!AA64:AD64)</f>
        <v>0</v>
      </c>
      <c r="I13" s="59">
        <f>SUM('Qrtly Credit-Deficit Generation'!AE64:AH64)</f>
        <v>0</v>
      </c>
      <c r="J13" s="59">
        <f>SUM('Qrtly Credit-Deficit Generation'!AI64:AL64)</f>
        <v>0</v>
      </c>
      <c r="K13" s="59">
        <f>SUM('Qrtly Credit-Deficit Generation'!AM64:AP64)</f>
        <v>0</v>
      </c>
      <c r="L13" s="59">
        <f>SUM('Qrtly Credit-Deficit Generation'!AQ64:AT64)</f>
        <v>0</v>
      </c>
      <c r="M13" s="59">
        <f>SUM('Qrtly Credit-Deficit Generation'!AU64:AX64)</f>
        <v>158</v>
      </c>
      <c r="N13" s="59">
        <f>SUM('Qrtly Credit-Deficit Generation'!AY64:BB64)</f>
        <v>254</v>
      </c>
      <c r="O13" s="61">
        <f>SUM('Qrtly Credit-Deficit Generation'!BC64:BF64)</f>
        <v>558</v>
      </c>
      <c r="P13" s="61">
        <f>SUM('Qrtly Credit-Deficit Generation'!BG64:BJ64)</f>
        <v>0</v>
      </c>
      <c r="Q13" s="61">
        <f>SUM('Qrtly Credit-Deficit Generation'!BK64:BN64)</f>
        <v>0</v>
      </c>
      <c r="R13" s="61">
        <f>SUM('Qrtly Credit-Deficit Generation'!BO64:BR64)</f>
        <v>0</v>
      </c>
      <c r="S13" s="61">
        <f>SUM('Qrtly Credit-Deficit Generation'!BS64:BV64)</f>
        <v>0</v>
      </c>
      <c r="T13" s="61">
        <f>SUM('Qrtly Credit-Deficit Generation'!BW64:BZ64)</f>
        <v>0</v>
      </c>
      <c r="U13" s="61">
        <f>SUM('Qrtly Credit-Deficit Generation'!CA64:CD64)</f>
        <v>0</v>
      </c>
      <c r="V13" s="61">
        <f>SUM('Qrtly Credit-Deficit Generation'!CE64:CH64)</f>
        <v>0</v>
      </c>
      <c r="W13" s="61">
        <f>SUM('Qrtly Credit-Deficit Generation'!CI64:CL64)</f>
        <v>0</v>
      </c>
      <c r="X13" s="61">
        <f>SUM('Qrtly Credit-Deficit Generation'!CM64:CP64)</f>
        <v>0</v>
      </c>
      <c r="Y13" s="61">
        <f>SUM('Qrtly Credit-Deficit Generation'!CQ64:CT64)</f>
        <v>0</v>
      </c>
      <c r="Z13" s="61">
        <f>SUM('Qrtly Credit-Deficit Generation'!CU64:CX64)</f>
        <v>0</v>
      </c>
      <c r="AA13" s="61">
        <f>SUM('Qrtly Credit-Deficit Generation'!CY64:DB64)</f>
        <v>0</v>
      </c>
      <c r="AB13" s="61">
        <f>SUM('Qrtly Credit-Deficit Generation'!DC64:DF64)</f>
        <v>0</v>
      </c>
      <c r="AC13" s="61">
        <f>SUM('Qrtly Credit-Deficit Generation'!DG64:DJ64)</f>
        <v>0</v>
      </c>
      <c r="AD13" s="61">
        <f>SUM('Qrtly Credit-Deficit Generation'!DK64:DN64)</f>
        <v>0</v>
      </c>
      <c r="AE13" s="61">
        <f>SUM('Qrtly Credit-Deficit Generation'!DO64:DR64)</f>
        <v>0</v>
      </c>
      <c r="AF13" s="61">
        <f>SUM('Qrtly Credit-Deficit Generation'!DS64:DV64)</f>
        <v>0</v>
      </c>
      <c r="AG13" s="61">
        <f>SUM('Qrtly Credit-Deficit Generation'!DW64:DZ64)</f>
        <v>0</v>
      </c>
    </row>
    <row r="14" spans="1:33" ht="15" x14ac:dyDescent="0.25">
      <c r="A14" s="68" t="s">
        <v>80</v>
      </c>
      <c r="B14" s="59">
        <f>SUM('Qrtly Credit-Deficit Generation'!C65:F65)</f>
        <v>0</v>
      </c>
      <c r="C14" s="59">
        <f>SUM('Qrtly Credit-Deficit Generation'!G65:J65)</f>
        <v>0</v>
      </c>
      <c r="D14" s="59">
        <f>SUM('Qrtly Credit-Deficit Generation'!K65:N65)</f>
        <v>0</v>
      </c>
      <c r="E14" s="59">
        <f>SUM('Qrtly Credit-Deficit Generation'!O65:R65)</f>
        <v>0</v>
      </c>
      <c r="F14" s="59">
        <f>SUM('Qrtly Credit-Deficit Generation'!S65:V65)</f>
        <v>0</v>
      </c>
      <c r="G14" s="59">
        <f>SUM('Qrtly Credit-Deficit Generation'!W65:Z65)</f>
        <v>0</v>
      </c>
      <c r="H14" s="59">
        <f>SUM('Qrtly Credit-Deficit Generation'!AA65:AD65)</f>
        <v>0</v>
      </c>
      <c r="I14" s="59">
        <f>SUM('Qrtly Credit-Deficit Generation'!AE65:AH65)</f>
        <v>0</v>
      </c>
      <c r="J14" s="59">
        <f>SUM('Qrtly Credit-Deficit Generation'!AI65:AL65)</f>
        <v>0</v>
      </c>
      <c r="K14" s="59">
        <f>SUM('Qrtly Credit-Deficit Generation'!AM65:AP65)</f>
        <v>0</v>
      </c>
      <c r="L14" s="59">
        <f>SUM('Qrtly Credit-Deficit Generation'!AQ65:AT65)</f>
        <v>422</v>
      </c>
      <c r="M14" s="59">
        <f>SUM('Qrtly Credit-Deficit Generation'!AU65:AX65)</f>
        <v>1279</v>
      </c>
      <c r="N14" s="59">
        <f>SUM('Qrtly Credit-Deficit Generation'!AY65:BB65)</f>
        <v>1204</v>
      </c>
      <c r="O14" s="61">
        <f>SUM('Qrtly Credit-Deficit Generation'!BC65:BF65)</f>
        <v>1180.44722313486</v>
      </c>
      <c r="P14" s="61">
        <f>SUM('Qrtly Credit-Deficit Generation'!BG65:BJ65)</f>
        <v>1019.5507654555169</v>
      </c>
      <c r="Q14" s="61">
        <f>SUM('Qrtly Credit-Deficit Generation'!BK65:BN65)</f>
        <v>943.79691624092902</v>
      </c>
      <c r="R14" s="61">
        <f>SUM('Qrtly Credit-Deficit Generation'!BO65:BR65)</f>
        <v>848.77263553155558</v>
      </c>
      <c r="S14" s="61">
        <f>SUM('Qrtly Credit-Deficit Generation'!BS65:BV65)</f>
        <v>756.77404532397577</v>
      </c>
      <c r="T14" s="61">
        <f>SUM('Qrtly Credit-Deficit Generation'!BW65:BZ65)</f>
        <v>666.05346701468216</v>
      </c>
      <c r="U14" s="61">
        <f>SUM('Qrtly Credit-Deficit Generation'!CA65:CD65)</f>
        <v>574.87075467661691</v>
      </c>
      <c r="V14" s="61">
        <f>SUM('Qrtly Credit-Deficit Generation'!CE65:CH65)</f>
        <v>484.07873146238916</v>
      </c>
      <c r="W14" s="61">
        <f>SUM('Qrtly Credit-Deficit Generation'!CI65:CL65)</f>
        <v>393.10950812287115</v>
      </c>
      <c r="X14" s="61">
        <f>SUM('Qrtly Credit-Deficit Generation'!CM65:CP65)</f>
        <v>302.23259501372559</v>
      </c>
      <c r="Y14" s="61">
        <f>SUM('Qrtly Credit-Deficit Generation'!CQ65:CT65)</f>
        <v>211.30945252367144</v>
      </c>
      <c r="Z14" s="61">
        <f>SUM('Qrtly Credit-Deficit Generation'!CU65:CX65)</f>
        <v>120.40448330740715</v>
      </c>
      <c r="AA14" s="61">
        <f>SUM('Qrtly Credit-Deficit Generation'!CY65:DB65)</f>
        <v>29.492389036859691</v>
      </c>
      <c r="AB14" s="61">
        <f>SUM('Qrtly Credit-Deficit Generation'!DC65:DF65)</f>
        <v>-61.416801473817443</v>
      </c>
      <c r="AC14" s="61">
        <f>SUM('Qrtly Credit-Deficit Generation'!DG65:DJ65)</f>
        <v>-152.32707162502217</v>
      </c>
      <c r="AD14" s="61">
        <f>SUM('Qrtly Credit-Deficit Generation'!DK65:DN65)</f>
        <v>-243.23699328773006</v>
      </c>
      <c r="AE14" s="61">
        <f>SUM('Qrtly Credit-Deficit Generation'!DO65:DR65)</f>
        <v>-334.14700867259126</v>
      </c>
      <c r="AF14" s="61">
        <f>SUM('Qrtly Credit-Deficit Generation'!DS65:DV65)</f>
        <v>-425.0569928010342</v>
      </c>
      <c r="AG14" s="61">
        <f>SUM('Qrtly Credit-Deficit Generation'!DW65:DZ65)</f>
        <v>-515.96698207845407</v>
      </c>
    </row>
    <row r="15" spans="1:33" ht="15" x14ac:dyDescent="0.25">
      <c r="A15" s="68" t="s">
        <v>126</v>
      </c>
      <c r="B15" s="59">
        <f>SUM('Qrtly Credit-Deficit Generation'!C66:F66)</f>
        <v>394193</v>
      </c>
      <c r="C15" s="59">
        <f>SUM('Qrtly Credit-Deficit Generation'!G66:J66)</f>
        <v>774845</v>
      </c>
      <c r="D15" s="59">
        <f>SUM('Qrtly Credit-Deficit Generation'!K66:N66)</f>
        <v>1896099</v>
      </c>
      <c r="E15" s="59">
        <f>SUM('Qrtly Credit-Deficit Generation'!O66:R66)</f>
        <v>1948187</v>
      </c>
      <c r="F15" s="59">
        <f>SUM('Qrtly Credit-Deficit Generation'!S66:V66)</f>
        <v>1967744</v>
      </c>
      <c r="G15" s="59">
        <f>SUM('Qrtly Credit-Deficit Generation'!W66:Z66)</f>
        <v>5537069</v>
      </c>
      <c r="H15" s="59">
        <f>SUM('Qrtly Credit-Deficit Generation'!AA66:AD66)</f>
        <v>8062417</v>
      </c>
      <c r="I15" s="59">
        <f>SUM('Qrtly Credit-Deficit Generation'!AE66:AH66)</f>
        <v>10333835</v>
      </c>
      <c r="J15" s="59">
        <f>SUM('Qrtly Credit-Deficit Generation'!AI66:AL66)</f>
        <v>12515262</v>
      </c>
      <c r="K15" s="59">
        <f>SUM('Qrtly Credit-Deficit Generation'!AM66:AP66)</f>
        <v>12027808</v>
      </c>
      <c r="L15" s="59">
        <f>SUM('Qrtly Credit-Deficit Generation'!AQ66:AT66)</f>
        <v>14981678</v>
      </c>
      <c r="M15" s="59">
        <f>SUM('Qrtly Credit-Deficit Generation'!AU66:AX66)</f>
        <v>16703544</v>
      </c>
      <c r="N15" s="59">
        <f>SUM('Qrtly Credit-Deficit Generation'!AY66:BB66)</f>
        <v>18223310</v>
      </c>
      <c r="O15" s="61">
        <f>SUM('Qrtly Credit-Deficit Generation'!BC66:BF66)</f>
        <v>19962766.284788717</v>
      </c>
      <c r="P15" s="61">
        <f>SUM('Qrtly Credit-Deficit Generation'!BG66:BJ66)</f>
        <v>21392537.616594624</v>
      </c>
      <c r="Q15" s="61">
        <f>SUM('Qrtly Credit-Deficit Generation'!BK66:BN66)</f>
        <v>23069933.728340112</v>
      </c>
      <c r="R15" s="61">
        <f>SUM('Qrtly Credit-Deficit Generation'!BO66:BR66)</f>
        <v>24840098.031958085</v>
      </c>
      <c r="S15" s="61">
        <f>SUM('Qrtly Credit-Deficit Generation'!BS66:BV66)</f>
        <v>26764380.667303547</v>
      </c>
      <c r="T15" s="61">
        <f>SUM('Qrtly Credit-Deficit Generation'!BW66:BZ66)</f>
        <v>28970373.278329242</v>
      </c>
      <c r="U15" s="61">
        <f>SUM('Qrtly Credit-Deficit Generation'!CA66:CD66)</f>
        <v>31284700.465248846</v>
      </c>
      <c r="V15" s="61">
        <f>SUM('Qrtly Credit-Deficit Generation'!CE66:CH66)</f>
        <v>33471857.095149696</v>
      </c>
      <c r="W15" s="61">
        <f>SUM('Qrtly Credit-Deficit Generation'!CI66:CL66)</f>
        <v>35695074.05718042</v>
      </c>
      <c r="X15" s="61">
        <f>SUM('Qrtly Credit-Deficit Generation'!CM66:CP66)</f>
        <v>37902004.161760114</v>
      </c>
      <c r="Y15" s="61">
        <f>SUM('Qrtly Credit-Deficit Generation'!CQ66:CT66)</f>
        <v>40115494.67776911</v>
      </c>
      <c r="Z15" s="61">
        <f>SUM('Qrtly Credit-Deficit Generation'!CU66:CX66)</f>
        <v>42326190.240817815</v>
      </c>
      <c r="AA15" s="61">
        <f>SUM('Qrtly Credit-Deficit Generation'!CY66:DB66)</f>
        <v>44538146.359135583</v>
      </c>
      <c r="AB15" s="61">
        <f>SUM('Qrtly Credit-Deficit Generation'!DC66:DF66)</f>
        <v>46749662.13215632</v>
      </c>
      <c r="AC15" s="61">
        <f>SUM('Qrtly Credit-Deficit Generation'!DG66:DJ66)</f>
        <v>48961326.618818931</v>
      </c>
      <c r="AD15" s="61">
        <f>SUM('Qrtly Credit-Deficit Generation'!DK66:DN66)</f>
        <v>51172944.367924981</v>
      </c>
      <c r="AE15" s="61">
        <f>SUM('Qrtly Credit-Deficit Generation'!DO66:DR66)</f>
        <v>53384577.028758854</v>
      </c>
      <c r="AF15" s="61">
        <f>SUM('Qrtly Credit-Deficit Generation'!DS66:DV66)</f>
        <v>55596203.296982013</v>
      </c>
      <c r="AG15" s="61">
        <f>SUM('Qrtly Credit-Deficit Generation'!DW66:DZ66)</f>
        <v>57807831.302405603</v>
      </c>
    </row>
    <row r="16" spans="1:33" ht="15" x14ac:dyDescent="0.25">
      <c r="A16" s="68" t="s">
        <v>127</v>
      </c>
      <c r="B16" s="59">
        <f>SUM('Qrtly Credit-Deficit Generation'!C67:F67)</f>
        <v>116725</v>
      </c>
      <c r="C16" s="59">
        <f>SUM('Qrtly Credit-Deficit Generation'!G67:J67)</f>
        <v>228704</v>
      </c>
      <c r="D16" s="59">
        <f>SUM('Qrtly Credit-Deficit Generation'!K67:N67)</f>
        <v>464067</v>
      </c>
      <c r="E16" s="59">
        <f>SUM('Qrtly Credit-Deficit Generation'!O67:R67)</f>
        <v>475729</v>
      </c>
      <c r="F16" s="59">
        <f>SUM('Qrtly Credit-Deficit Generation'!S67:V67)</f>
        <v>462805</v>
      </c>
      <c r="G16" s="59">
        <f>SUM('Qrtly Credit-Deficit Generation'!W67:Z67)</f>
        <v>938255</v>
      </c>
      <c r="H16" s="59">
        <f>SUM('Qrtly Credit-Deficit Generation'!AA67:AD67)</f>
        <v>1655122</v>
      </c>
      <c r="I16" s="59">
        <f>SUM('Qrtly Credit-Deficit Generation'!AE67:AH67)</f>
        <v>1605326</v>
      </c>
      <c r="J16" s="59">
        <f>SUM('Qrtly Credit-Deficit Generation'!AI67:AL67)</f>
        <v>2539682</v>
      </c>
      <c r="K16" s="59">
        <f>SUM('Qrtly Credit-Deficit Generation'!AM67:AP67)</f>
        <v>2765610</v>
      </c>
      <c r="L16" s="59">
        <f>SUM('Qrtly Credit-Deficit Generation'!AQ67:AT67)</f>
        <v>2980944</v>
      </c>
      <c r="M16" s="59">
        <f>SUM('Qrtly Credit-Deficit Generation'!AU67:AX67)</f>
        <v>2718526</v>
      </c>
      <c r="N16" s="59">
        <f>SUM('Qrtly Credit-Deficit Generation'!AY67:BB67)</f>
        <v>2147120</v>
      </c>
      <c r="O16" s="61">
        <f>SUM('Qrtly Credit-Deficit Generation'!BC67:BF67)</f>
        <v>1628041.5795296244</v>
      </c>
      <c r="P16" s="61">
        <f>SUM('Qrtly Credit-Deficit Generation'!BG67:BJ67)</f>
        <v>1481048.6519703688</v>
      </c>
      <c r="Q16" s="61">
        <f>SUM('Qrtly Credit-Deficit Generation'!BK67:BN67)</f>
        <v>1231679.0339421434</v>
      </c>
      <c r="R16" s="61">
        <f>SUM('Qrtly Credit-Deficit Generation'!BO67:BR67)</f>
        <v>975355.79947542853</v>
      </c>
      <c r="S16" s="61">
        <f>SUM('Qrtly Credit-Deficit Generation'!BS67:BV67)</f>
        <v>1133764.1871995744</v>
      </c>
      <c r="T16" s="61">
        <f>SUM('Qrtly Credit-Deficit Generation'!BW67:BZ67)</f>
        <v>1176517.3613924126</v>
      </c>
      <c r="U16" s="61">
        <f>SUM('Qrtly Credit-Deficit Generation'!CA67:CD67)</f>
        <v>1295538.9957234005</v>
      </c>
      <c r="V16" s="61">
        <f>SUM('Qrtly Credit-Deficit Generation'!CE67:CH67)</f>
        <v>1394432.0052464162</v>
      </c>
      <c r="W16" s="61">
        <f>SUM('Qrtly Credit-Deficit Generation'!CI67:CL67)</f>
        <v>1503197.9625446997</v>
      </c>
      <c r="X16" s="61">
        <f>SUM('Qrtly Credit-Deficit Generation'!CM67:CP67)</f>
        <v>1610663.9961391438</v>
      </c>
      <c r="Y16" s="61">
        <f>SUM('Qrtly Credit-Deficit Generation'!CQ67:CT67)</f>
        <v>1718386.8220759269</v>
      </c>
      <c r="Z16" s="61">
        <f>SUM('Qrtly Credit-Deficit Generation'!CU67:CX67)</f>
        <v>1826931.0193471042</v>
      </c>
      <c r="AA16" s="61">
        <f>SUM('Qrtly Credit-Deficit Generation'!CY67:DB67)</f>
        <v>1935055.0705270001</v>
      </c>
      <c r="AB16" s="61">
        <f>SUM('Qrtly Credit-Deficit Generation'!DC67:DF67)</f>
        <v>2043478.994929244</v>
      </c>
      <c r="AC16" s="61">
        <f>SUM('Qrtly Credit-Deficit Generation'!DG67:DJ67)</f>
        <v>2151829.8553100834</v>
      </c>
      <c r="AD16" s="61">
        <f>SUM('Qrtly Credit-Deficit Generation'!DK67:DN67)</f>
        <v>2260215.5271966564</v>
      </c>
      <c r="AE16" s="61">
        <f>SUM('Qrtly Credit-Deficit Generation'!DO67:DR67)</f>
        <v>2368598.0124135604</v>
      </c>
      <c r="AF16" s="61">
        <f>SUM('Qrtly Credit-Deficit Generation'!DS67:DV67)</f>
        <v>2476982.5786916735</v>
      </c>
      <c r="AG16" s="61">
        <f>SUM('Qrtly Credit-Deficit Generation'!DW67:DZ67)</f>
        <v>2585368.808777398</v>
      </c>
    </row>
    <row r="17" spans="1:33" ht="15" x14ac:dyDescent="0.25">
      <c r="A17" s="68" t="s">
        <v>172</v>
      </c>
      <c r="B17" s="59">
        <f>SUM('Qrtly Credit-Deficit Generation'!C68:F68)</f>
        <v>0</v>
      </c>
      <c r="C17" s="59">
        <f>SUM('Qrtly Credit-Deficit Generation'!G68:J68)</f>
        <v>0</v>
      </c>
      <c r="D17" s="59">
        <f>SUM('Qrtly Credit-Deficit Generation'!K68:N68)</f>
        <v>0</v>
      </c>
      <c r="E17" s="59">
        <f>SUM('Qrtly Credit-Deficit Generation'!O68:R68)</f>
        <v>0</v>
      </c>
      <c r="F17" s="59">
        <f>SUM('Qrtly Credit-Deficit Generation'!S68:V68)</f>
        <v>0</v>
      </c>
      <c r="G17" s="59">
        <f>SUM('Qrtly Credit-Deficit Generation'!W68:Z68)</f>
        <v>0</v>
      </c>
      <c r="H17" s="59">
        <f>SUM('Qrtly Credit-Deficit Generation'!AA68:AD68)</f>
        <v>0</v>
      </c>
      <c r="I17" s="59">
        <f>SUM('Qrtly Credit-Deficit Generation'!AE68:AH68)</f>
        <v>0</v>
      </c>
      <c r="J17" s="59">
        <f>SUM('Qrtly Credit-Deficit Generation'!AI68:AL68)</f>
        <v>0</v>
      </c>
      <c r="K17" s="59">
        <f>SUM('Qrtly Credit-Deficit Generation'!AM68:AP68)</f>
        <v>312702</v>
      </c>
      <c r="L17" s="59">
        <f>SUM('Qrtly Credit-Deficit Generation'!AQ68:AT68)</f>
        <v>609383</v>
      </c>
      <c r="M17" s="59">
        <f>SUM('Qrtly Credit-Deficit Generation'!AU68:AX68)</f>
        <v>1357531</v>
      </c>
      <c r="N17" s="59">
        <f>SUM('Qrtly Credit-Deficit Generation'!AY68:BB68)</f>
        <v>1594698</v>
      </c>
      <c r="O17" s="61">
        <f>SUM('Qrtly Credit-Deficit Generation'!BC68:BF68)</f>
        <v>9419668.1091767251</v>
      </c>
      <c r="P17" s="61">
        <f>SUM('Qrtly Credit-Deficit Generation'!BG68:BJ68)</f>
        <v>31639297.404803611</v>
      </c>
      <c r="Q17" s="61">
        <f>SUM('Qrtly Credit-Deficit Generation'!BK68:BN68)</f>
        <v>36356316.661421329</v>
      </c>
      <c r="R17" s="61">
        <f>SUM('Qrtly Credit-Deficit Generation'!BO68:BR68)</f>
        <v>45011985.810853034</v>
      </c>
      <c r="S17" s="61">
        <f>SUM('Qrtly Credit-Deficit Generation'!BS68:BV68)</f>
        <v>47641612.851304911</v>
      </c>
      <c r="T17" s="61">
        <f>SUM('Qrtly Credit-Deficit Generation'!BW68:BZ68)</f>
        <v>49852669.419344276</v>
      </c>
      <c r="U17" s="61">
        <f>SUM('Qrtly Credit-Deficit Generation'!CA68:CD68)</f>
        <v>37559877.368844248</v>
      </c>
      <c r="V17" s="61">
        <f>SUM('Qrtly Credit-Deficit Generation'!CE68:CH68)</f>
        <v>41830191.929753751</v>
      </c>
      <c r="W17" s="61">
        <f>SUM('Qrtly Credit-Deficit Generation'!CI68:CL68)</f>
        <v>49903726.768811442</v>
      </c>
      <c r="X17" s="61">
        <f>SUM('Qrtly Credit-Deficit Generation'!CM68:CP68)</f>
        <v>85015179.637646899</v>
      </c>
      <c r="Y17" s="61">
        <f>SUM('Qrtly Credit-Deficit Generation'!CQ68:CT68)</f>
        <v>120036000</v>
      </c>
      <c r="Z17" s="61">
        <f>SUM('Qrtly Credit-Deficit Generation'!CU68:CX68)</f>
        <v>176546000</v>
      </c>
      <c r="AA17" s="61">
        <f>SUM('Qrtly Credit-Deficit Generation'!CY68:DB68)</f>
        <v>268317000</v>
      </c>
      <c r="AB17" s="61">
        <f>SUM('Qrtly Credit-Deficit Generation'!DC68:DF68)</f>
        <v>388087000</v>
      </c>
      <c r="AC17" s="61">
        <f>SUM('Qrtly Credit-Deficit Generation'!DG68:DJ68)</f>
        <v>582118000</v>
      </c>
      <c r="AD17" s="61">
        <f>SUM('Qrtly Credit-Deficit Generation'!DK68:DN68)</f>
        <v>858927000</v>
      </c>
      <c r="AE17" s="61">
        <f>SUM('Qrtly Credit-Deficit Generation'!DO68:DR68)</f>
        <v>1269546000</v>
      </c>
      <c r="AF17" s="61">
        <f>SUM('Qrtly Credit-Deficit Generation'!DS68:DV68)</f>
        <v>1885657000</v>
      </c>
      <c r="AG17" s="61">
        <f>SUM('Qrtly Credit-Deficit Generation'!DW68:DZ68)</f>
        <v>2785180000</v>
      </c>
    </row>
    <row r="18" spans="1:33" ht="15" x14ac:dyDescent="0.25">
      <c r="A18" s="68" t="s">
        <v>173</v>
      </c>
      <c r="B18" s="59">
        <f>SUM('Qrtly Credit-Deficit Generation'!C69:F69)</f>
        <v>0</v>
      </c>
      <c r="C18" s="59">
        <f>SUM('Qrtly Credit-Deficit Generation'!G69:J69)</f>
        <v>0</v>
      </c>
      <c r="D18" s="59">
        <f>SUM('Qrtly Credit-Deficit Generation'!K69:N69)</f>
        <v>0</v>
      </c>
      <c r="E18" s="59">
        <f>SUM('Qrtly Credit-Deficit Generation'!O69:R69)</f>
        <v>0</v>
      </c>
      <c r="F18" s="59">
        <f>SUM('Qrtly Credit-Deficit Generation'!S69:V69)</f>
        <v>0</v>
      </c>
      <c r="G18" s="59">
        <f>SUM('Qrtly Credit-Deficit Generation'!W69:Z69)</f>
        <v>0</v>
      </c>
      <c r="H18" s="59">
        <f>SUM('Qrtly Credit-Deficit Generation'!AA69:AD69)</f>
        <v>0</v>
      </c>
      <c r="I18" s="59">
        <f>SUM('Qrtly Credit-Deficit Generation'!AE69:AH69)</f>
        <v>0</v>
      </c>
      <c r="J18" s="59">
        <f>SUM('Qrtly Credit-Deficit Generation'!AI69:AL69)</f>
        <v>0</v>
      </c>
      <c r="K18" s="59">
        <f>SUM('Qrtly Credit-Deficit Generation'!AM69:AP69)</f>
        <v>85189</v>
      </c>
      <c r="L18" s="59">
        <f>SUM('Qrtly Credit-Deficit Generation'!AQ69:AT69)</f>
        <v>139047</v>
      </c>
      <c r="M18" s="59">
        <f>SUM('Qrtly Credit-Deficit Generation'!AU69:AX69)</f>
        <v>249103</v>
      </c>
      <c r="N18" s="59">
        <f>SUM('Qrtly Credit-Deficit Generation'!AY69:BB69)</f>
        <v>208916</v>
      </c>
      <c r="O18" s="61">
        <f>SUM('Qrtly Credit-Deficit Generation'!BC69:BF69)</f>
        <v>211586.98058868514</v>
      </c>
      <c r="P18" s="61">
        <f>SUM('Qrtly Credit-Deficit Generation'!BG69:BJ69)</f>
        <v>307278.89225883712</v>
      </c>
      <c r="Q18" s="61">
        <f>SUM('Qrtly Credit-Deficit Generation'!BK69:BN69)</f>
        <v>275000</v>
      </c>
      <c r="R18" s="61">
        <f>SUM('Qrtly Credit-Deficit Generation'!BO69:BR69)</f>
        <v>271600</v>
      </c>
      <c r="S18" s="61">
        <f>SUM('Qrtly Credit-Deficit Generation'!BS69:BV69)</f>
        <v>304800</v>
      </c>
      <c r="T18" s="61">
        <f>SUM('Qrtly Credit-Deficit Generation'!BW69:BZ69)</f>
        <v>286400</v>
      </c>
      <c r="U18" s="61">
        <f>SUM('Qrtly Credit-Deficit Generation'!CA69:CD69)</f>
        <v>301600</v>
      </c>
      <c r="V18" s="61">
        <f>SUM('Qrtly Credit-Deficit Generation'!CE69:CH69)</f>
        <v>309600</v>
      </c>
      <c r="W18" s="61">
        <f>SUM('Qrtly Credit-Deficit Generation'!CI69:CL69)</f>
        <v>307600</v>
      </c>
      <c r="X18" s="61">
        <f>SUM('Qrtly Credit-Deficit Generation'!CM69:CP69)</f>
        <v>319600</v>
      </c>
      <c r="Y18" s="61">
        <f>SUM('Qrtly Credit-Deficit Generation'!CQ69:CT69)</f>
        <v>808000</v>
      </c>
      <c r="Z18" s="61">
        <f>SUM('Qrtly Credit-Deficit Generation'!CU69:CX69)</f>
        <v>821000</v>
      </c>
      <c r="AA18" s="61">
        <f>SUM('Qrtly Credit-Deficit Generation'!CY69:DB69)</f>
        <v>1475000</v>
      </c>
      <c r="AB18" s="61">
        <f>SUM('Qrtly Credit-Deficit Generation'!DC69:DF69)</f>
        <v>2132000</v>
      </c>
      <c r="AC18" s="61">
        <f>SUM('Qrtly Credit-Deficit Generation'!DG69:DJ69)</f>
        <v>3004000</v>
      </c>
      <c r="AD18" s="61">
        <f>SUM('Qrtly Credit-Deficit Generation'!DK69:DN69)</f>
        <v>4721000</v>
      </c>
      <c r="AE18" s="61">
        <f>SUM('Qrtly Credit-Deficit Generation'!DO69:DR69)</f>
        <v>6721000</v>
      </c>
      <c r="AF18" s="61">
        <f>SUM('Qrtly Credit-Deficit Generation'!DS69:DV69)</f>
        <v>10108000</v>
      </c>
      <c r="AG18" s="61">
        <f>SUM('Qrtly Credit-Deficit Generation'!DW69:DZ69)</f>
        <v>14973000</v>
      </c>
    </row>
    <row r="19" spans="1:33" ht="15" x14ac:dyDescent="0.25">
      <c r="A19" s="9" t="s">
        <v>226</v>
      </c>
      <c r="B19" s="59">
        <f>SUM(B4:B18)</f>
        <v>545820</v>
      </c>
      <c r="C19" s="59">
        <f t="shared" ref="C19:L19" si="0">SUM(C4:C18)</f>
        <v>1019258</v>
      </c>
      <c r="D19" s="59">
        <f t="shared" si="0"/>
        <v>2495122</v>
      </c>
      <c r="E19" s="59">
        <f t="shared" si="0"/>
        <v>2567348</v>
      </c>
      <c r="F19" s="59">
        <f t="shared" si="0"/>
        <v>2643768</v>
      </c>
      <c r="G19" s="59">
        <f t="shared" si="0"/>
        <v>6780721</v>
      </c>
      <c r="H19" s="59">
        <f t="shared" si="0"/>
        <v>10016849</v>
      </c>
      <c r="I19" s="59">
        <f t="shared" si="0"/>
        <v>12366566</v>
      </c>
      <c r="J19" s="59">
        <f t="shared" si="0"/>
        <v>15487415</v>
      </c>
      <c r="K19" s="59">
        <f t="shared" si="0"/>
        <v>15488232</v>
      </c>
      <c r="L19" s="59">
        <f t="shared" si="0"/>
        <v>18971245</v>
      </c>
      <c r="M19" s="59">
        <f>SUM(M4:M18)</f>
        <v>21225670</v>
      </c>
      <c r="N19" s="59">
        <f t="shared" ref="N19:AG19" si="1">SUM(N4:N18)</f>
        <v>22418786</v>
      </c>
      <c r="O19" s="61">
        <f t="shared" si="1"/>
        <v>31449482.806050129</v>
      </c>
      <c r="P19" s="61">
        <f t="shared" si="1"/>
        <v>55097350.546787247</v>
      </c>
      <c r="Q19" s="61">
        <f t="shared" si="1"/>
        <v>61306487.834373616</v>
      </c>
      <c r="R19" s="61">
        <f t="shared" si="1"/>
        <v>71592381.763769895</v>
      </c>
      <c r="S19" s="61">
        <f t="shared" si="1"/>
        <v>76492054.324597955</v>
      </c>
      <c r="T19" s="61">
        <f t="shared" si="1"/>
        <v>81108552.599000096</v>
      </c>
      <c r="U19" s="61">
        <f t="shared" si="1"/>
        <v>71471031.592437118</v>
      </c>
      <c r="V19" s="61">
        <f t="shared" si="1"/>
        <v>78285366.336044103</v>
      </c>
      <c r="W19" s="61">
        <f t="shared" si="1"/>
        <v>88986400.720198393</v>
      </c>
      <c r="X19" s="61">
        <f t="shared" si="1"/>
        <v>126767275.30041289</v>
      </c>
      <c r="Y19" s="61">
        <f t="shared" si="1"/>
        <v>165397000.65035653</v>
      </c>
      <c r="Z19" s="61">
        <f t="shared" si="1"/>
        <v>225894856.30449966</v>
      </c>
      <c r="AA19" s="61">
        <f t="shared" si="1"/>
        <v>324528700.14599085</v>
      </c>
      <c r="AB19" s="61">
        <f t="shared" si="1"/>
        <v>454079394.43124616</v>
      </c>
      <c r="AC19" s="61">
        <f t="shared" si="1"/>
        <v>661026764.08914983</v>
      </c>
      <c r="AD19" s="61">
        <f t="shared" si="1"/>
        <v>954522663.04032469</v>
      </c>
      <c r="AE19" s="61">
        <f t="shared" si="1"/>
        <v>1385034692.8766754</v>
      </c>
      <c r="AF19" s="61">
        <f t="shared" si="1"/>
        <v>2025337110.6884551</v>
      </c>
      <c r="AG19" s="61">
        <f t="shared" si="1"/>
        <v>2953443109.0148931</v>
      </c>
    </row>
    <row r="20" spans="1:33" ht="15" x14ac:dyDescent="0.25">
      <c r="B20" s="59"/>
      <c r="C20" s="59"/>
      <c r="D20" s="59"/>
      <c r="E20" s="59"/>
      <c r="F20" s="59"/>
      <c r="G20" s="59"/>
      <c r="H20" s="59"/>
      <c r="I20" s="59"/>
      <c r="J20" s="59"/>
      <c r="K20" s="59"/>
      <c r="L20" s="59"/>
      <c r="M20" s="59"/>
      <c r="N20" s="59">
        <f>N19-SUM(N4:N18)</f>
        <v>0</v>
      </c>
      <c r="O20" s="61">
        <f t="shared" ref="O20:X20" si="2">O19-SUM(O4:O18)</f>
        <v>0</v>
      </c>
      <c r="P20" s="61">
        <f t="shared" si="2"/>
        <v>0</v>
      </c>
      <c r="Q20" s="61">
        <f t="shared" si="2"/>
        <v>0</v>
      </c>
      <c r="R20" s="61">
        <f t="shared" si="2"/>
        <v>0</v>
      </c>
      <c r="S20" s="61">
        <f t="shared" si="2"/>
        <v>0</v>
      </c>
      <c r="T20" s="61"/>
      <c r="U20" s="61">
        <f t="shared" si="2"/>
        <v>0</v>
      </c>
      <c r="V20" s="61">
        <f t="shared" si="2"/>
        <v>0</v>
      </c>
      <c r="W20" s="61">
        <f t="shared" si="2"/>
        <v>0</v>
      </c>
      <c r="X20" s="61">
        <f t="shared" si="2"/>
        <v>0</v>
      </c>
      <c r="Y20" s="61"/>
      <c r="Z20" s="61"/>
      <c r="AA20" s="61"/>
      <c r="AB20" s="61"/>
      <c r="AC20" s="61"/>
      <c r="AD20" s="61"/>
      <c r="AE20" s="61"/>
      <c r="AF20" s="61"/>
      <c r="AG20" s="61"/>
    </row>
    <row r="21" spans="1:33" x14ac:dyDescent="0.2">
      <c r="F21" s="136">
        <f t="shared" ref="F21:K21" si="3">F19/F36</f>
        <v>0.48101813037099139</v>
      </c>
      <c r="G21" s="136">
        <f t="shared" si="3"/>
        <v>0.73265496841220623</v>
      </c>
      <c r="H21" s="136">
        <f t="shared" si="3"/>
        <v>1.0246661115498399</v>
      </c>
      <c r="I21" s="136">
        <f t="shared" si="3"/>
        <v>1.108109275398161</v>
      </c>
      <c r="J21" s="136">
        <f t="shared" si="3"/>
        <v>1.0499338038102077</v>
      </c>
      <c r="K21" s="136">
        <f t="shared" si="3"/>
        <v>1.0176203769120586</v>
      </c>
      <c r="L21" s="136">
        <f>L19/L36</f>
        <v>0.94254611950114209</v>
      </c>
      <c r="M21" s="136">
        <f t="shared" ref="M21:X21" si="4">M19/M36</f>
        <v>0.79913248388890579</v>
      </c>
      <c r="N21" s="136">
        <f t="shared" si="4"/>
        <v>0.74091046633354518</v>
      </c>
      <c r="O21" s="136">
        <f t="shared" si="4"/>
        <v>0.88804809252793671</v>
      </c>
      <c r="P21" s="136">
        <f t="shared" si="4"/>
        <v>1.6260168874677619</v>
      </c>
      <c r="Q21" s="136">
        <f t="shared" si="4"/>
        <v>1.6271822067554613</v>
      </c>
      <c r="R21" s="136">
        <f t="shared" si="4"/>
        <v>1.5648138936061349</v>
      </c>
      <c r="S21" s="136">
        <f t="shared" si="4"/>
        <v>1.6065651485303241</v>
      </c>
      <c r="T21" s="136">
        <f t="shared" si="4"/>
        <v>1.6019408534985393</v>
      </c>
      <c r="U21" s="136">
        <f t="shared" si="4"/>
        <v>1.2810674439729846</v>
      </c>
      <c r="V21" s="136">
        <f t="shared" si="4"/>
        <v>1.3351164575941261</v>
      </c>
      <c r="W21" s="136">
        <f t="shared" si="4"/>
        <v>1.345481055110441</v>
      </c>
      <c r="X21" s="136">
        <f t="shared" si="4"/>
        <v>1.6616321159705487</v>
      </c>
    </row>
    <row r="22" spans="1:33" ht="15" x14ac:dyDescent="0.25">
      <c r="A22" s="9" t="s">
        <v>236</v>
      </c>
      <c r="B22" s="8">
        <f>B2</f>
        <v>2011</v>
      </c>
      <c r="C22" s="8">
        <f t="shared" ref="C22:AG22" si="5">C2</f>
        <v>2012</v>
      </c>
      <c r="D22" s="8">
        <f t="shared" si="5"/>
        <v>2013</v>
      </c>
      <c r="E22" s="8">
        <f t="shared" si="5"/>
        <v>2014</v>
      </c>
      <c r="F22" s="8">
        <f t="shared" si="5"/>
        <v>2015</v>
      </c>
      <c r="G22" s="8">
        <f t="shared" si="5"/>
        <v>2016</v>
      </c>
      <c r="H22" s="8">
        <f t="shared" si="5"/>
        <v>2017</v>
      </c>
      <c r="I22" s="8">
        <f t="shared" si="5"/>
        <v>2018</v>
      </c>
      <c r="J22" s="8">
        <f t="shared" si="5"/>
        <v>2019</v>
      </c>
      <c r="K22" s="8">
        <f t="shared" si="5"/>
        <v>2020</v>
      </c>
      <c r="L22" s="8">
        <f t="shared" si="5"/>
        <v>2021</v>
      </c>
      <c r="M22" s="9">
        <f t="shared" si="5"/>
        <v>2022</v>
      </c>
      <c r="N22" s="9">
        <f t="shared" si="5"/>
        <v>2023</v>
      </c>
      <c r="O22" s="8">
        <f t="shared" si="5"/>
        <v>2024</v>
      </c>
      <c r="P22" s="8">
        <f t="shared" si="5"/>
        <v>2025</v>
      </c>
      <c r="Q22" s="8">
        <f t="shared" si="5"/>
        <v>2026</v>
      </c>
      <c r="R22" s="8">
        <f t="shared" si="5"/>
        <v>2027</v>
      </c>
      <c r="S22" s="8">
        <f t="shared" si="5"/>
        <v>2028</v>
      </c>
      <c r="T22" s="8">
        <f t="shared" si="5"/>
        <v>2029</v>
      </c>
      <c r="U22" s="8">
        <f t="shared" si="5"/>
        <v>2030</v>
      </c>
      <c r="V22" s="8">
        <f t="shared" si="5"/>
        <v>2031</v>
      </c>
      <c r="W22" s="8">
        <f t="shared" si="5"/>
        <v>2032</v>
      </c>
      <c r="X22" s="8">
        <f t="shared" si="5"/>
        <v>2033</v>
      </c>
      <c r="Y22" s="8">
        <f t="shared" si="5"/>
        <v>2034</v>
      </c>
      <c r="Z22" s="8">
        <f t="shared" si="5"/>
        <v>2035</v>
      </c>
      <c r="AA22" s="8">
        <f t="shared" si="5"/>
        <v>2036</v>
      </c>
      <c r="AB22" s="8">
        <f t="shared" si="5"/>
        <v>2037</v>
      </c>
      <c r="AC22" s="8">
        <f t="shared" si="5"/>
        <v>2038</v>
      </c>
      <c r="AD22" s="8">
        <f t="shared" si="5"/>
        <v>2039</v>
      </c>
      <c r="AE22" s="8">
        <f t="shared" si="5"/>
        <v>2040</v>
      </c>
      <c r="AF22" s="8">
        <f t="shared" si="5"/>
        <v>2041</v>
      </c>
      <c r="AG22" s="8">
        <f t="shared" si="5"/>
        <v>2042</v>
      </c>
    </row>
    <row r="23" spans="1:33" x14ac:dyDescent="0.2">
      <c r="A23" s="68" t="s">
        <v>159</v>
      </c>
      <c r="B23" s="59"/>
    </row>
    <row r="24" spans="1:33" ht="15" x14ac:dyDescent="0.25">
      <c r="A24" s="9" t="s">
        <v>66</v>
      </c>
      <c r="B24" s="59">
        <f>SUM('Qrtly Credit-Deficit Generation'!C4:F4)</f>
        <v>0</v>
      </c>
      <c r="C24" s="59">
        <f>SUM('Qrtly Credit-Deficit Generation'!G4:J4)</f>
        <v>0</v>
      </c>
      <c r="D24" s="59">
        <f>SUM('Qrtly Credit-Deficit Generation'!K4:N4)</f>
        <v>56759</v>
      </c>
      <c r="E24" s="59">
        <f>SUM('Qrtly Credit-Deficit Generation'!O4:R4)</f>
        <v>145349</v>
      </c>
      <c r="F24" s="59">
        <f>SUM('Qrtly Credit-Deficit Generation'!S4:V4)</f>
        <v>355730</v>
      </c>
      <c r="G24" s="59">
        <f>SUM('Qrtly Credit-Deficit Generation'!W4:Z4)</f>
        <v>468400</v>
      </c>
      <c r="H24" s="59">
        <f>SUM('Qrtly Credit-Deficit Generation'!AA4:AD4)</f>
        <v>573945</v>
      </c>
      <c r="I24" s="59">
        <f>SUM('Qrtly Credit-Deficit Generation'!AE4:AH4)</f>
        <v>679330</v>
      </c>
      <c r="J24" s="59">
        <f>SUM('Qrtly Credit-Deficit Generation'!AI4:AL4)</f>
        <v>873786</v>
      </c>
      <c r="K24" s="59">
        <f>SUM('Qrtly Credit-Deficit Generation'!AM4:AP4)</f>
        <v>1595328</v>
      </c>
      <c r="L24" s="59">
        <f>SUM('Qrtly Credit-Deficit Generation'!AQ4:AT4)</f>
        <v>2738490</v>
      </c>
      <c r="M24" s="59">
        <f>SUM('Qrtly Credit-Deficit Generation'!AU4:AX4)</f>
        <v>4291699</v>
      </c>
      <c r="N24" s="59">
        <f>SUM('Qrtly Credit-Deficit Generation'!AY4:BB4)</f>
        <v>5266717</v>
      </c>
      <c r="O24" s="61">
        <f>SUM('Qrtly Credit-Deficit Generation'!BC4:BF4)</f>
        <v>6640496.1339200595</v>
      </c>
      <c r="P24" s="61">
        <f>SUM('Qrtly Credit-Deficit Generation'!BG4:BJ4)</f>
        <v>4510019.9754902031</v>
      </c>
      <c r="Q24" s="61">
        <f>SUM('Qrtly Credit-Deficit Generation'!BK4:BN4)</f>
        <v>4508372.2036285577</v>
      </c>
      <c r="R24" s="61">
        <f>SUM('Qrtly Credit-Deficit Generation'!BO4:BR4)</f>
        <v>4494265.8776229508</v>
      </c>
      <c r="S24" s="61">
        <f>SUM('Qrtly Credit-Deficit Generation'!BS4:BV4)</f>
        <v>4427278.4564908911</v>
      </c>
      <c r="T24" s="61">
        <f>SUM('Qrtly Credit-Deficit Generation'!BW4:BZ4)</f>
        <v>4397030.6719618756</v>
      </c>
      <c r="U24" s="61">
        <f>SUM('Qrtly Credit-Deficit Generation'!CA4:CD4)</f>
        <v>4438198.1694644717</v>
      </c>
      <c r="V24" s="61">
        <f>SUM('Qrtly Credit-Deficit Generation'!CE4:CH4)</f>
        <v>4479681.9097191673</v>
      </c>
      <c r="W24" s="61">
        <f>SUM('Qrtly Credit-Deficit Generation'!CI4:CL4)</f>
        <v>4439674.8366547814</v>
      </c>
      <c r="X24" s="61">
        <f>SUM('Qrtly Credit-Deficit Generation'!CM4:CP4)</f>
        <v>4455195.9189773584</v>
      </c>
      <c r="Y24" s="61">
        <f>SUM('Qrtly Credit-Deficit Generation'!CQ4:CT4)</f>
        <v>4447429.3504860587</v>
      </c>
      <c r="Z24" s="61">
        <f>SUM('Qrtly Credit-Deficit Generation'!CU4:CX4)</f>
        <v>4440966.5866876701</v>
      </c>
      <c r="AA24" s="61">
        <f>SUM('Qrtly Credit-Deficit Generation'!CY4:DB4)</f>
        <v>4442507.4197044335</v>
      </c>
      <c r="AB24" s="61">
        <f>SUM('Qrtly Credit-Deficit Generation'!DC4:DF4)</f>
        <v>4449143.766988026</v>
      </c>
      <c r="AC24" s="61">
        <f>SUM('Qrtly Credit-Deficit Generation'!DG4:DJ4)</f>
        <v>4450793.790533131</v>
      </c>
      <c r="AD24" s="61">
        <f>SUM('Qrtly Credit-Deficit Generation'!DK4:DN4)</f>
        <v>4446531.277277112</v>
      </c>
      <c r="AE24" s="61">
        <f>SUM('Qrtly Credit-Deficit Generation'!DO4:DR4)</f>
        <v>4447569.9302303251</v>
      </c>
      <c r="AF24" s="61">
        <f>SUM('Qrtly Credit-Deficit Generation'!DS4:DV4)</f>
        <v>4446468.1607885081</v>
      </c>
      <c r="AG24" s="61">
        <f>SUM('Qrtly Credit-Deficit Generation'!DW4:DZ4)</f>
        <v>4540889.8846814875</v>
      </c>
    </row>
    <row r="25" spans="1:33" ht="15" x14ac:dyDescent="0.25">
      <c r="A25" s="9" t="s">
        <v>74</v>
      </c>
      <c r="B25" s="59">
        <f>SUM('Qrtly Credit-Deficit Generation'!C5:F5)</f>
        <v>14715</v>
      </c>
      <c r="C25" s="59">
        <f>SUM('Qrtly Credit-Deficit Generation'!G5:J5)</f>
        <v>14845</v>
      </c>
      <c r="D25" s="59">
        <f>SUM('Qrtly Credit-Deficit Generation'!K5:N5)</f>
        <v>41359</v>
      </c>
      <c r="E25" s="59">
        <f>SUM('Qrtly Credit-Deficit Generation'!O5:R5)</f>
        <v>94209</v>
      </c>
      <c r="F25" s="59">
        <f>SUM('Qrtly Credit-Deficit Generation'!S5:V5)</f>
        <v>220222</v>
      </c>
      <c r="G25" s="59">
        <f>SUM('Qrtly Credit-Deficit Generation'!W5:Z5)</f>
        <v>214255</v>
      </c>
      <c r="H25" s="59">
        <f>SUM('Qrtly Credit-Deficit Generation'!AA5:AD5)</f>
        <v>107040</v>
      </c>
      <c r="I25" s="59">
        <f>SUM('Qrtly Credit-Deficit Generation'!AE5:AH5)</f>
        <v>71958</v>
      </c>
      <c r="J25" s="59">
        <f>SUM('Qrtly Credit-Deficit Generation'!AI5:AL5)</f>
        <v>63006</v>
      </c>
      <c r="K25" s="59">
        <f>SUM('Qrtly Credit-Deficit Generation'!AM5:AP5)</f>
        <v>69379</v>
      </c>
      <c r="L25" s="59">
        <f>SUM('Qrtly Credit-Deficit Generation'!AQ5:AT5)</f>
        <v>48594</v>
      </c>
      <c r="M25" s="59">
        <f>SUM('Qrtly Credit-Deficit Generation'!AU5:AX5)</f>
        <v>53380</v>
      </c>
      <c r="N25" s="59">
        <f>SUM('Qrtly Credit-Deficit Generation'!AY5:BB5)</f>
        <v>58805</v>
      </c>
      <c r="O25" s="61">
        <f>SUM('Qrtly Credit-Deficit Generation'!BC5:BF5)</f>
        <v>57674.271797208901</v>
      </c>
      <c r="P25" s="61">
        <f>SUM('Qrtly Credit-Deficit Generation'!BG5:BJ5)</f>
        <v>59621.301281733875</v>
      </c>
      <c r="Q25" s="61">
        <f>SUM('Qrtly Credit-Deficit Generation'!BK5:BN5)</f>
        <v>57808.311742700185</v>
      </c>
      <c r="R25" s="61">
        <f>SUM('Qrtly Credit-Deficit Generation'!BO5:BR5)</f>
        <v>57580.334323251744</v>
      </c>
      <c r="S25" s="61">
        <f>SUM('Qrtly Credit-Deficit Generation'!BS5:BV5)</f>
        <v>56429.263708957318</v>
      </c>
      <c r="T25" s="61">
        <f>SUM('Qrtly Credit-Deficit Generation'!BW5:BZ5)</f>
        <v>57457.730656192005</v>
      </c>
      <c r="U25" s="61">
        <f>SUM('Qrtly Credit-Deficit Generation'!CA5:CD5)</f>
        <v>58200.588692590078</v>
      </c>
      <c r="V25" s="61">
        <f>SUM('Qrtly Credit-Deficit Generation'!CE5:CH5)</f>
        <v>58136.463590826548</v>
      </c>
      <c r="W25" s="61">
        <f>SUM('Qrtly Credit-Deficit Generation'!CI5:CL5)</f>
        <v>57917.551647819404</v>
      </c>
      <c r="X25" s="61">
        <f>SUM('Qrtly Credit-Deficit Generation'!CM5:CP5)</f>
        <v>57661.408520591576</v>
      </c>
      <c r="Y25" s="61">
        <f>SUM('Qrtly Credit-Deficit Generation'!CQ5:CT5)</f>
        <v>57622.215733511097</v>
      </c>
      <c r="Z25" s="61">
        <f>SUM('Qrtly Credit-Deficit Generation'!CU5:CX5)</f>
        <v>57638.185521105712</v>
      </c>
      <c r="AA25" s="61">
        <f>SUM('Qrtly Credit-Deficit Generation'!CY5:DB5)</f>
        <v>57790.329215905484</v>
      </c>
      <c r="AB25" s="61">
        <f>SUM('Qrtly Credit-Deficit Generation'!DC5:DF5)</f>
        <v>57849.205493907517</v>
      </c>
      <c r="AC25" s="61">
        <f>SUM('Qrtly Credit-Deficit Generation'!DG5:DJ5)</f>
        <v>57806.326918523147</v>
      </c>
      <c r="AD25" s="61">
        <f>SUM('Qrtly Credit-Deficit Generation'!DK5:DN5)</f>
        <v>57758.239596906678</v>
      </c>
      <c r="AE25" s="61">
        <f>SUM('Qrtly Credit-Deficit Generation'!DO5:DR5)</f>
        <v>57733.464203465941</v>
      </c>
      <c r="AF25" s="61">
        <f>SUM('Qrtly Credit-Deficit Generation'!DS5:DV5)</f>
        <v>57741.845475950155</v>
      </c>
      <c r="AG25" s="61">
        <f>SUM('Qrtly Credit-Deficit Generation'!DW5:DZ5)</f>
        <v>58616.824825083626</v>
      </c>
    </row>
    <row r="26" spans="1:33" ht="15" x14ac:dyDescent="0.25">
      <c r="A26" s="9" t="s">
        <v>120</v>
      </c>
      <c r="B26" s="59">
        <f>SUM('Qrtly Credit-Deficit Generation'!C6:F6)</f>
        <v>132978</v>
      </c>
      <c r="C26" s="59">
        <f>SUM('Qrtly Credit-Deficit Generation'!G6:J6)</f>
        <v>143896</v>
      </c>
      <c r="D26" s="59">
        <f>SUM('Qrtly Credit-Deficit Generation'!K6:N6)</f>
        <v>171414</v>
      </c>
      <c r="E26" s="59">
        <f>SUM('Qrtly Credit-Deficit Generation'!O6:R6)</f>
        <v>210374</v>
      </c>
      <c r="F26" s="59">
        <f>SUM('Qrtly Credit-Deficit Generation'!S6:V6)</f>
        <v>183341</v>
      </c>
      <c r="G26" s="59">
        <f>SUM('Qrtly Credit-Deficit Generation'!W6:Z6)</f>
        <v>162682</v>
      </c>
      <c r="H26" s="59">
        <f>SUM('Qrtly Credit-Deficit Generation'!AA6:AD6)</f>
        <v>58321</v>
      </c>
      <c r="I26" s="59">
        <f>SUM('Qrtly Credit-Deficit Generation'!AE6:AH6)</f>
        <v>58606</v>
      </c>
      <c r="J26" s="59">
        <f>SUM('Qrtly Credit-Deficit Generation'!AI6:AL6)</f>
        <v>30851</v>
      </c>
      <c r="K26" s="59">
        <f>SUM('Qrtly Credit-Deficit Generation'!AM6:AP6)</f>
        <v>8193</v>
      </c>
      <c r="L26" s="59">
        <f>SUM('Qrtly Credit-Deficit Generation'!AQ6:AT6)</f>
        <v>2447</v>
      </c>
      <c r="M26" s="59">
        <f>SUM('Qrtly Credit-Deficit Generation'!AU6:AX6)</f>
        <v>2542</v>
      </c>
      <c r="N26" s="59">
        <f>SUM('Qrtly Credit-Deficit Generation'!AY6:BB6)</f>
        <v>1636</v>
      </c>
      <c r="O26" s="61">
        <f>SUM('Qrtly Credit-Deficit Generation'!BC6:BF6)</f>
        <v>446</v>
      </c>
      <c r="P26" s="61">
        <f>SUM('Qrtly Credit-Deficit Generation'!BG6:BJ6)</f>
        <v>0</v>
      </c>
      <c r="Q26" s="61">
        <f>SUM('Qrtly Credit-Deficit Generation'!BK6:BN6)</f>
        <v>951.45180376718247</v>
      </c>
      <c r="R26" s="61">
        <f>SUM('Qrtly Credit-Deficit Generation'!BO6:BR6)</f>
        <v>1782.2624302666827</v>
      </c>
      <c r="S26" s="61">
        <f>SUM('Qrtly Credit-Deficit Generation'!BS6:BV6)</f>
        <v>2084.5569861629738</v>
      </c>
      <c r="T26" s="61">
        <f>SUM('Qrtly Credit-Deficit Generation'!BW6:BZ6)</f>
        <v>2138.1733395403617</v>
      </c>
      <c r="U26" s="61">
        <f>SUM('Qrtly Credit-Deficit Generation'!CA6:CD6)</f>
        <v>1904.9874051198021</v>
      </c>
      <c r="V26" s="61">
        <f>SUM('Qrtly Credit-Deficit Generation'!CE6:CH6)</f>
        <v>2055.4166939706201</v>
      </c>
      <c r="W26" s="61">
        <f>SUM('Qrtly Credit-Deficit Generation'!CI6:CL6)</f>
        <v>2182.6509445217307</v>
      </c>
      <c r="X26" s="61">
        <f>SUM('Qrtly Credit-Deficit Generation'!CM6:CP6)</f>
        <v>2248.2596060847904</v>
      </c>
      <c r="Y26" s="61">
        <f>SUM('Qrtly Credit-Deficit Generation'!CQ6:CT6)</f>
        <v>2245.7785435948445</v>
      </c>
      <c r="Z26" s="61">
        <f>SUM('Qrtly Credit-Deficit Generation'!CU6:CX6)</f>
        <v>2288.5708618348367</v>
      </c>
      <c r="AA26" s="61">
        <f>SUM('Qrtly Credit-Deficit Generation'!CY6:DB6)</f>
        <v>2410.8053737565601</v>
      </c>
      <c r="AB26" s="61">
        <f>SUM('Qrtly Credit-Deficit Generation'!DC6:DF6)</f>
        <v>2495.9389433068059</v>
      </c>
      <c r="AC26" s="61">
        <f>SUM('Qrtly Credit-Deficit Generation'!DG6:DJ6)</f>
        <v>2551.8842678817036</v>
      </c>
      <c r="AD26" s="61">
        <f>SUM('Qrtly Credit-Deficit Generation'!DK6:DN6)</f>
        <v>2598.7395760387703</v>
      </c>
      <c r="AE26" s="61">
        <f>SUM('Qrtly Credit-Deficit Generation'!DO6:DR6)</f>
        <v>2668.9744086983974</v>
      </c>
      <c r="AF26" s="61">
        <f>SUM('Qrtly Credit-Deficit Generation'!DS6:DV6)</f>
        <v>2752.71286079431</v>
      </c>
      <c r="AG26" s="61">
        <f>SUM('Qrtly Credit-Deficit Generation'!DW6:DZ6)</f>
        <v>2827.0771337263045</v>
      </c>
    </row>
    <row r="27" spans="1:33" ht="15" x14ac:dyDescent="0.25">
      <c r="A27" s="9" t="s">
        <v>121</v>
      </c>
      <c r="B27" s="59">
        <f>SUM('Qrtly Credit-Deficit Generation'!C7:F7)</f>
        <v>31412</v>
      </c>
      <c r="C27" s="59">
        <f>SUM('Qrtly Credit-Deficit Generation'!G7:J7)</f>
        <v>39274</v>
      </c>
      <c r="D27" s="59">
        <f>SUM('Qrtly Credit-Deficit Generation'!K7:N7)</f>
        <v>50441</v>
      </c>
      <c r="E27" s="59">
        <f>SUM('Qrtly Credit-Deficit Generation'!O7:R7)</f>
        <v>36642</v>
      </c>
      <c r="F27" s="59">
        <f>SUM('Qrtly Credit-Deficit Generation'!S7:V7)</f>
        <v>22250</v>
      </c>
      <c r="G27" s="59">
        <f>SUM('Qrtly Credit-Deficit Generation'!W7:Z7)</f>
        <v>7509</v>
      </c>
      <c r="H27" s="59">
        <f>SUM('Qrtly Credit-Deficit Generation'!AA7:AD7)</f>
        <v>173</v>
      </c>
      <c r="I27" s="59">
        <f>SUM('Qrtly Credit-Deficit Generation'!AE7:AH7)</f>
        <v>169</v>
      </c>
      <c r="J27" s="59">
        <f>SUM('Qrtly Credit-Deficit Generation'!AI7:AL7)</f>
        <v>0</v>
      </c>
      <c r="K27" s="59">
        <f>SUM('Qrtly Credit-Deficit Generation'!AM7:AP7)</f>
        <v>0</v>
      </c>
      <c r="L27" s="59">
        <f>SUM('Qrtly Credit-Deficit Generation'!AQ7:AT7)</f>
        <v>0</v>
      </c>
      <c r="M27" s="59">
        <f>SUM('Qrtly Credit-Deficit Generation'!AU7:AX7)</f>
        <v>0</v>
      </c>
      <c r="N27" s="59">
        <f>SUM('Qrtly Credit-Deficit Generation'!AY7:BB7)</f>
        <v>0</v>
      </c>
      <c r="O27" s="61">
        <f>SUM('Qrtly Credit-Deficit Generation'!BC7:BF7)</f>
        <v>0</v>
      </c>
      <c r="P27" s="61">
        <f>SUM('Qrtly Credit-Deficit Generation'!BG7:BJ7)</f>
        <v>0</v>
      </c>
      <c r="Q27" s="61">
        <f>SUM('Qrtly Credit-Deficit Generation'!BK7:BN7)</f>
        <v>0</v>
      </c>
      <c r="R27" s="61">
        <f>SUM('Qrtly Credit-Deficit Generation'!BO7:BR7)</f>
        <v>0</v>
      </c>
      <c r="S27" s="61">
        <f>SUM('Qrtly Credit-Deficit Generation'!BS7:BV7)</f>
        <v>0</v>
      </c>
      <c r="T27" s="61">
        <f>SUM('Qrtly Credit-Deficit Generation'!BW7:BZ7)</f>
        <v>0</v>
      </c>
      <c r="U27" s="61">
        <f>SUM('Qrtly Credit-Deficit Generation'!CA7:CD7)</f>
        <v>0</v>
      </c>
      <c r="V27" s="61">
        <f>SUM('Qrtly Credit-Deficit Generation'!CE7:CH7)</f>
        <v>0</v>
      </c>
      <c r="W27" s="61">
        <f>SUM('Qrtly Credit-Deficit Generation'!CI7:CL7)</f>
        <v>0</v>
      </c>
      <c r="X27" s="61">
        <f>SUM('Qrtly Credit-Deficit Generation'!CM7:CP7)</f>
        <v>0</v>
      </c>
      <c r="Y27" s="61">
        <f>SUM('Qrtly Credit-Deficit Generation'!CQ7:CT7)</f>
        <v>0</v>
      </c>
      <c r="Z27" s="61">
        <f>SUM('Qrtly Credit-Deficit Generation'!CU7:CX7)</f>
        <v>0</v>
      </c>
      <c r="AA27" s="61">
        <f>SUM('Qrtly Credit-Deficit Generation'!CY7:DB7)</f>
        <v>0</v>
      </c>
      <c r="AB27" s="61">
        <f>SUM('Qrtly Credit-Deficit Generation'!DC7:DF7)</f>
        <v>0</v>
      </c>
      <c r="AC27" s="61">
        <f>SUM('Qrtly Credit-Deficit Generation'!DG7:DJ7)</f>
        <v>0</v>
      </c>
      <c r="AD27" s="61">
        <f>SUM('Qrtly Credit-Deficit Generation'!DK7:DN7)</f>
        <v>0</v>
      </c>
      <c r="AE27" s="61">
        <f>SUM('Qrtly Credit-Deficit Generation'!DO7:DR7)</f>
        <v>0</v>
      </c>
      <c r="AF27" s="61">
        <f>SUM('Qrtly Credit-Deficit Generation'!DS7:DV7)</f>
        <v>0</v>
      </c>
      <c r="AG27" s="61">
        <f>SUM('Qrtly Credit-Deficit Generation'!DW7:DZ7)</f>
        <v>0</v>
      </c>
    </row>
    <row r="28" spans="1:33" ht="15" x14ac:dyDescent="0.25">
      <c r="A28" s="9" t="s">
        <v>122</v>
      </c>
      <c r="B28" s="59">
        <f>SUM('Qrtly Credit-Deficit Generation'!C8:F8)</f>
        <v>0</v>
      </c>
      <c r="C28" s="59">
        <f>SUM('Qrtly Credit-Deficit Generation'!G8:J8)</f>
        <v>0</v>
      </c>
      <c r="D28" s="59">
        <f>SUM('Qrtly Credit-Deficit Generation'!K8:N8)</f>
        <v>0</v>
      </c>
      <c r="E28" s="59">
        <f>SUM('Qrtly Credit-Deficit Generation'!O8:R8)</f>
        <v>0</v>
      </c>
      <c r="F28" s="59">
        <f>SUM('Qrtly Credit-Deficit Generation'!S8:V8)</f>
        <v>74</v>
      </c>
      <c r="G28" s="59">
        <f>SUM('Qrtly Credit-Deficit Generation'!W8:Z8)</f>
        <v>64</v>
      </c>
      <c r="H28" s="59">
        <f>SUM('Qrtly Credit-Deficit Generation'!AA8:AD8)</f>
        <v>3436</v>
      </c>
      <c r="I28" s="59">
        <f>SUM('Qrtly Credit-Deficit Generation'!AE8:AH8)</f>
        <v>6984</v>
      </c>
      <c r="J28" s="59">
        <f>SUM('Qrtly Credit-Deficit Generation'!AI8:AL8)</f>
        <v>13822</v>
      </c>
      <c r="K28" s="59">
        <f>SUM('Qrtly Credit-Deficit Generation'!AM8:AP8)</f>
        <v>18014</v>
      </c>
      <c r="L28" s="59">
        <f>SUM('Qrtly Credit-Deficit Generation'!AQ8:AT8)</f>
        <v>36887</v>
      </c>
      <c r="M28" s="59">
        <f>SUM('Qrtly Credit-Deficit Generation'!AU8:AX8)</f>
        <v>62349</v>
      </c>
      <c r="N28" s="59">
        <f>SUM('Qrtly Credit-Deficit Generation'!AY8:BB8)</f>
        <v>60780</v>
      </c>
      <c r="O28" s="61">
        <f>SUM('Qrtly Credit-Deficit Generation'!BC8:BF8)</f>
        <v>50074.67849309474</v>
      </c>
      <c r="P28" s="61">
        <f>SUM('Qrtly Credit-Deficit Generation'!BG8:BJ8)</f>
        <v>63361.621196262968</v>
      </c>
      <c r="Q28" s="61">
        <f>SUM('Qrtly Credit-Deficit Generation'!BK8:BN8)</f>
        <v>80027.830878105146</v>
      </c>
      <c r="R28" s="61">
        <f>SUM('Qrtly Credit-Deficit Generation'!BO8:BR8)</f>
        <v>90184.366207025247</v>
      </c>
      <c r="S28" s="61">
        <f>SUM('Qrtly Credit-Deficit Generation'!BS8:BV8)</f>
        <v>99002.40318390826</v>
      </c>
      <c r="T28" s="61">
        <f>SUM('Qrtly Credit-Deficit Generation'!BW8:BZ8)</f>
        <v>108334.44431717246</v>
      </c>
      <c r="U28" s="61">
        <f>SUM('Qrtly Credit-Deficit Generation'!CA8:CD8)</f>
        <v>117823.28308179832</v>
      </c>
      <c r="V28" s="61">
        <f>SUM('Qrtly Credit-Deficit Generation'!CE8:CH8)</f>
        <v>126970.52157466582</v>
      </c>
      <c r="W28" s="61">
        <f>SUM('Qrtly Credit-Deficit Generation'!CI8:CL8)</f>
        <v>135445.03440494314</v>
      </c>
      <c r="X28" s="61">
        <f>SUM('Qrtly Credit-Deficit Generation'!CM8:CP8)</f>
        <v>144089.81859344055</v>
      </c>
      <c r="Y28" s="61">
        <f>SUM('Qrtly Credit-Deficit Generation'!CQ8:CT8)</f>
        <v>153117.02509590104</v>
      </c>
      <c r="Z28" s="61">
        <f>SUM('Qrtly Credit-Deficit Generation'!CU8:CX8)</f>
        <v>162289.40806583961</v>
      </c>
      <c r="AA28" s="61">
        <f>SUM('Qrtly Credit-Deficit Generation'!CY8:DB8)</f>
        <v>171347.53826431494</v>
      </c>
      <c r="AB28" s="61">
        <f>SUM('Qrtly Credit-Deficit Generation'!DC8:DF8)</f>
        <v>180297.23397571477</v>
      </c>
      <c r="AC28" s="61">
        <f>SUM('Qrtly Credit-Deficit Generation'!DG8:DJ8)</f>
        <v>189291.41295788201</v>
      </c>
      <c r="AD28" s="61">
        <f>SUM('Qrtly Credit-Deficit Generation'!DK8:DN8)</f>
        <v>198338.75369254418</v>
      </c>
      <c r="AE28" s="61">
        <f>SUM('Qrtly Credit-Deficit Generation'!DO8:DR8)</f>
        <v>207396.09721221015</v>
      </c>
      <c r="AF28" s="61">
        <f>SUM('Qrtly Credit-Deficit Generation'!DS8:DV8)</f>
        <v>216426.37131238362</v>
      </c>
      <c r="AG28" s="61">
        <f>SUM('Qrtly Credit-Deficit Generation'!DW8:DZ8)</f>
        <v>225424.62596382829</v>
      </c>
    </row>
    <row r="29" spans="1:33" ht="15" x14ac:dyDescent="0.25">
      <c r="A29" s="9" t="s">
        <v>124</v>
      </c>
      <c r="B29" s="59">
        <f>SUM('Qrtly Credit-Deficit Generation'!C37:F37)</f>
        <v>7743</v>
      </c>
      <c r="C29" s="59">
        <f>SUM('Qrtly Credit-Deficit Generation'!G37:J37)</f>
        <v>26984</v>
      </c>
      <c r="D29" s="59">
        <f>SUM('Qrtly Credit-Deficit Generation'!K37:N37)</f>
        <v>93953</v>
      </c>
      <c r="E29" s="59">
        <f>SUM('Qrtly Credit-Deficit Generation'!O37:R37)</f>
        <v>221330</v>
      </c>
      <c r="F29" s="59">
        <f>SUM('Qrtly Credit-Deficit Generation'!S37:V37)</f>
        <v>337740</v>
      </c>
      <c r="G29" s="59">
        <f>SUM('Qrtly Credit-Deficit Generation'!W37:Z37)</f>
        <v>904703</v>
      </c>
      <c r="H29" s="59">
        <f>SUM('Qrtly Credit-Deficit Generation'!AA37:AD37)</f>
        <v>1198112</v>
      </c>
      <c r="I29" s="59">
        <f>SUM('Qrtly Credit-Deficit Generation'!AE37:AH37)</f>
        <v>1791457</v>
      </c>
      <c r="J29" s="59">
        <f>SUM('Qrtly Credit-Deficit Generation'!AI37:AL37)</f>
        <v>2792820</v>
      </c>
      <c r="K29" s="59">
        <f>SUM('Qrtly Credit-Deficit Generation'!AM37:AP37)</f>
        <v>2942983</v>
      </c>
      <c r="L29" s="59">
        <f>SUM('Qrtly Credit-Deficit Generation'!AQ37:AT37)</f>
        <v>4467248</v>
      </c>
      <c r="M29" s="59">
        <f>SUM('Qrtly Credit-Deficit Generation'!AU37:AX37)</f>
        <v>6409650</v>
      </c>
      <c r="N29" s="59">
        <f>SUM('Qrtly Credit-Deficit Generation'!AY37:BB37)</f>
        <v>7343546</v>
      </c>
      <c r="O29" s="61">
        <f>SUM('Qrtly Credit-Deficit Generation'!BC37:BF37)</f>
        <v>8845312.3404896148</v>
      </c>
      <c r="P29" s="61">
        <f>SUM('Qrtly Credit-Deficit Generation'!BG37:BJ37)</f>
        <v>10150493.157284711</v>
      </c>
      <c r="Q29" s="61">
        <f>SUM('Qrtly Credit-Deficit Generation'!BK37:BN37)</f>
        <v>10563387.872249167</v>
      </c>
      <c r="R29" s="61">
        <f>SUM('Qrtly Credit-Deficit Generation'!BO37:BR37)</f>
        <v>10912377.155863011</v>
      </c>
      <c r="S29" s="61">
        <f>SUM('Qrtly Credit-Deficit Generation'!BS37:BV37)</f>
        <v>10347031.004873965</v>
      </c>
      <c r="T29" s="61">
        <f>SUM('Qrtly Credit-Deficit Generation'!BW37:BZ37)</f>
        <v>10321208.639542315</v>
      </c>
      <c r="U29" s="61">
        <f>SUM('Qrtly Credit-Deficit Generation'!CA37:CD37)</f>
        <v>10165617.580240443</v>
      </c>
      <c r="V29" s="61">
        <f>SUM('Qrtly Credit-Deficit Generation'!CE37:CH37)</f>
        <v>10093287.274807664</v>
      </c>
      <c r="W29" s="61">
        <f>SUM('Qrtly Credit-Deficit Generation'!CI37:CL37)</f>
        <v>10016932.638132803</v>
      </c>
      <c r="X29" s="61">
        <f>SUM('Qrtly Credit-Deficit Generation'!CM37:CP37)</f>
        <v>17974207.282509819</v>
      </c>
      <c r="Y29" s="61">
        <f>SUM('Qrtly Credit-Deficit Generation'!CQ37:CT37)</f>
        <v>21988143.985282637</v>
      </c>
      <c r="Z29" s="61">
        <f>SUM('Qrtly Credit-Deficit Generation'!CU37:CX37)</f>
        <v>23542919.5900179</v>
      </c>
      <c r="AA29" s="61">
        <f>SUM('Qrtly Credit-Deficit Generation'!CY37:DB37)</f>
        <v>25112078.459169716</v>
      </c>
      <c r="AB29" s="61">
        <f>SUM('Qrtly Credit-Deficit Generation'!DC37:DF37)</f>
        <v>26697568.39144247</v>
      </c>
      <c r="AC29" s="61">
        <f>SUM('Qrtly Credit-Deficit Generation'!DG37:DJ37)</f>
        <v>28297912.885047093</v>
      </c>
      <c r="AD29" s="61">
        <f>SUM('Qrtly Credit-Deficit Generation'!DK37:DN37)</f>
        <v>29913117.787880834</v>
      </c>
      <c r="AE29" s="61">
        <f>SUM('Qrtly Credit-Deficit Generation'!DO37:DR37)</f>
        <v>31542487.240139242</v>
      </c>
      <c r="AF29" s="61">
        <f>SUM('Qrtly Credit-Deficit Generation'!DS37:DV37)</f>
        <v>33186247.727689199</v>
      </c>
      <c r="AG29" s="61">
        <f>SUM('Qrtly Credit-Deficit Generation'!DW37:DZ37)</f>
        <v>34844400.999867409</v>
      </c>
    </row>
    <row r="30" spans="1:33" ht="15" x14ac:dyDescent="0.25">
      <c r="A30" s="9" t="s">
        <v>75</v>
      </c>
      <c r="B30" s="59">
        <f>SUM('Qrtly Credit-Deficit Generation'!C9:F9)</f>
        <v>1023553</v>
      </c>
      <c r="C30" s="59">
        <f>SUM('Qrtly Credit-Deficit Generation'!G9:J9)</f>
        <v>1219094</v>
      </c>
      <c r="D30" s="59">
        <f>SUM('Qrtly Credit-Deficit Generation'!K9:N9)</f>
        <v>1983878</v>
      </c>
      <c r="E30" s="59">
        <f>SUM('Qrtly Credit-Deficit Generation'!O9:R9)</f>
        <v>2030883</v>
      </c>
      <c r="F30" s="59">
        <f>SUM('Qrtly Credit-Deficit Generation'!S9:V9)</f>
        <v>2124754</v>
      </c>
      <c r="G30" s="59">
        <f>SUM('Qrtly Credit-Deficit Generation'!W9:Z9)</f>
        <v>3519386</v>
      </c>
      <c r="H30" s="59">
        <f>SUM('Qrtly Credit-Deficit Generation'!AA9:AD9)</f>
        <v>3488224</v>
      </c>
      <c r="I30" s="59">
        <f>SUM('Qrtly Credit-Deficit Generation'!AE9:AH9)</f>
        <v>3458529</v>
      </c>
      <c r="J30" s="59">
        <f>SUM('Qrtly Credit-Deficit Generation'!AI9:AL9)</f>
        <v>4342132</v>
      </c>
      <c r="K30" s="59">
        <f>SUM('Qrtly Credit-Deficit Generation'!AM9:AP9)</f>
        <v>3736655</v>
      </c>
      <c r="L30" s="59">
        <f>SUM('Qrtly Credit-Deficit Generation'!AQ9:AT9)</f>
        <v>3825552</v>
      </c>
      <c r="M30" s="59">
        <f>SUM('Qrtly Credit-Deficit Generation'!AU9:AX9)</f>
        <v>3740640</v>
      </c>
      <c r="N30" s="59">
        <f>SUM('Qrtly Credit-Deficit Generation'!AY9:BB9)</f>
        <v>3362896</v>
      </c>
      <c r="O30" s="61">
        <f>SUM('Qrtly Credit-Deficit Generation'!BC9:BF9)</f>
        <v>3493933.0523557556</v>
      </c>
      <c r="P30" s="61">
        <f>SUM('Qrtly Credit-Deficit Generation'!BG9:BJ9)</f>
        <v>3722761.2189416019</v>
      </c>
      <c r="Q30" s="61">
        <f>SUM('Qrtly Credit-Deficit Generation'!BK9:BN9)</f>
        <v>3806463.5850368096</v>
      </c>
      <c r="R30" s="61">
        <f>SUM('Qrtly Credit-Deficit Generation'!BO9:BR9)</f>
        <v>3777996.703232978</v>
      </c>
      <c r="S30" s="61">
        <f>SUM('Qrtly Credit-Deficit Generation'!BS9:BV9)</f>
        <v>3737678.7492903769</v>
      </c>
      <c r="T30" s="61">
        <f>SUM('Qrtly Credit-Deficit Generation'!BW9:BZ9)</f>
        <v>3704169.9140234482</v>
      </c>
      <c r="U30" s="61">
        <f>SUM('Qrtly Credit-Deficit Generation'!CA9:CD9)</f>
        <v>3698352.2196878078</v>
      </c>
      <c r="V30" s="61">
        <f>SUM('Qrtly Credit-Deficit Generation'!CE9:CH9)</f>
        <v>3722067.994626408</v>
      </c>
      <c r="W30" s="61">
        <f>SUM('Qrtly Credit-Deficit Generation'!CI9:CL9)</f>
        <v>3736125.1401292803</v>
      </c>
      <c r="X30" s="61">
        <f>SUM('Qrtly Credit-Deficit Generation'!CM9:CP9)</f>
        <v>3740399.9638048732</v>
      </c>
      <c r="Y30" s="61">
        <f>SUM('Qrtly Credit-Deficit Generation'!CQ9:CT9)</f>
        <v>3731116.9417836918</v>
      </c>
      <c r="Z30" s="61">
        <f>SUM('Qrtly Credit-Deficit Generation'!CU9:CX9)</f>
        <v>3724438.9575828556</v>
      </c>
      <c r="AA30" s="61">
        <f>SUM('Qrtly Credit-Deficit Generation'!CY9:DB9)</f>
        <v>3722369.1904818052</v>
      </c>
      <c r="AB30" s="61">
        <f>SUM('Qrtly Credit-Deficit Generation'!DC9:DF9)</f>
        <v>3724843.5411073049</v>
      </c>
      <c r="AC30" s="61">
        <f>SUM('Qrtly Credit-Deficit Generation'!DG9:DJ9)</f>
        <v>3728426.5225942447</v>
      </c>
      <c r="AD30" s="61">
        <f>SUM('Qrtly Credit-Deficit Generation'!DK9:DN9)</f>
        <v>3729593.4584081667</v>
      </c>
      <c r="AE30" s="61">
        <f>SUM('Qrtly Credit-Deficit Generation'!DO9:DR9)</f>
        <v>3728782.0129221622</v>
      </c>
      <c r="AF30" s="61">
        <f>SUM('Qrtly Credit-Deficit Generation'!DS9:DV9)</f>
        <v>3727133.2154661724</v>
      </c>
      <c r="AG30" s="61">
        <f>SUM('Qrtly Credit-Deficit Generation'!DW9:DZ9)</f>
        <v>3795864.3518061074</v>
      </c>
    </row>
    <row r="31" spans="1:33" ht="15" x14ac:dyDescent="0.25">
      <c r="A31" s="9" t="s">
        <v>76</v>
      </c>
      <c r="B31" s="59">
        <f>SUM('Qrtly Credit-Deficit Generation'!C10:F10)</f>
        <v>84267</v>
      </c>
      <c r="C31" s="59">
        <f>SUM('Qrtly Credit-Deficit Generation'!G10:J10)</f>
        <v>149347</v>
      </c>
      <c r="D31" s="59">
        <f>SUM('Qrtly Credit-Deficit Generation'!K10:N10)</f>
        <v>566670</v>
      </c>
      <c r="E31" s="59">
        <f>SUM('Qrtly Credit-Deficit Generation'!O10:R10)</f>
        <v>718000</v>
      </c>
      <c r="F31" s="59">
        <f>SUM('Qrtly Credit-Deficit Generation'!S10:V10)</f>
        <v>1213910</v>
      </c>
      <c r="G31" s="59">
        <f>SUM('Qrtly Credit-Deficit Generation'!W10:Z10)</f>
        <v>1736783</v>
      </c>
      <c r="H31" s="59">
        <f>SUM('Qrtly Credit-Deficit Generation'!AA10:AD10)</f>
        <v>1379739</v>
      </c>
      <c r="I31" s="59">
        <f>SUM('Qrtly Credit-Deficit Generation'!AE10:AH10)</f>
        <v>1606554</v>
      </c>
      <c r="J31" s="59">
        <f>SUM('Qrtly Credit-Deficit Generation'!AI10:AL10)</f>
        <v>1831090</v>
      </c>
      <c r="K31" s="59">
        <f>SUM('Qrtly Credit-Deficit Generation'!AM10:AP10)</f>
        <v>2213327</v>
      </c>
      <c r="L31" s="59">
        <f>SUM('Qrtly Credit-Deficit Generation'!AQ10:AT10)</f>
        <v>2310599</v>
      </c>
      <c r="M31" s="59">
        <f>SUM('Qrtly Credit-Deficit Generation'!AU10:AX10)</f>
        <v>2204548</v>
      </c>
      <c r="N31" s="59">
        <f>SUM('Qrtly Credit-Deficit Generation'!AY10:BB10)</f>
        <v>1970200</v>
      </c>
      <c r="O31" s="61">
        <f>SUM('Qrtly Credit-Deficit Generation'!BC10:BF10)</f>
        <v>1786713.8906531611</v>
      </c>
      <c r="P31" s="61">
        <f>SUM('Qrtly Credit-Deficit Generation'!BG10:BJ10)</f>
        <v>1919646.6842864396</v>
      </c>
      <c r="Q31" s="61">
        <f>SUM('Qrtly Credit-Deficit Generation'!BK10:BN10)</f>
        <v>1927866.1479589422</v>
      </c>
      <c r="R31" s="61">
        <f>SUM('Qrtly Credit-Deficit Generation'!BO10:BR10)</f>
        <v>1931131.7244823833</v>
      </c>
      <c r="S31" s="61">
        <f>SUM('Qrtly Credit-Deficit Generation'!BS10:BV10)</f>
        <v>1667875.6840976174</v>
      </c>
      <c r="T31" s="61">
        <f>SUM('Qrtly Credit-Deficit Generation'!BW10:BZ10)</f>
        <v>1769834.4408103111</v>
      </c>
      <c r="U31" s="61">
        <f>SUM('Qrtly Credit-Deficit Generation'!CA10:CD10)</f>
        <v>1877220.3228203568</v>
      </c>
      <c r="V31" s="61">
        <f>SUM('Qrtly Credit-Deficit Generation'!CE10:CH10)</f>
        <v>1863926.2672604537</v>
      </c>
      <c r="W31" s="61">
        <f>SUM('Qrtly Credit-Deficit Generation'!CI10:CL10)</f>
        <v>1891244.9791386535</v>
      </c>
      <c r="X31" s="61">
        <f>SUM('Qrtly Credit-Deficit Generation'!CM10:CP10)</f>
        <v>1877947.9629540695</v>
      </c>
      <c r="Y31" s="61">
        <f>SUM('Qrtly Credit-Deficit Generation'!CQ10:CT10)</f>
        <v>1871143.6838098387</v>
      </c>
      <c r="Z31" s="61">
        <f>SUM('Qrtly Credit-Deficit Generation'!CU10:CX10)</f>
        <v>1832922.1891563116</v>
      </c>
      <c r="AA31" s="61">
        <f>SUM('Qrtly Credit-Deficit Generation'!CY10:DB10)</f>
        <v>1753800.0634763027</v>
      </c>
      <c r="AB31" s="61">
        <f>SUM('Qrtly Credit-Deficit Generation'!DC10:DF10)</f>
        <v>1686660.258089355</v>
      </c>
      <c r="AC31" s="61">
        <f>SUM('Qrtly Credit-Deficit Generation'!DG10:DJ10)</f>
        <v>1705788.898697827</v>
      </c>
      <c r="AD31" s="61">
        <f>SUM('Qrtly Credit-Deficit Generation'!DK10:DN10)</f>
        <v>1666474.4796270076</v>
      </c>
      <c r="AE31" s="61">
        <f>SUM('Qrtly Credit-Deficit Generation'!DO10:DR10)</f>
        <v>1702828.9852787617</v>
      </c>
      <c r="AF31" s="61">
        <f>SUM('Qrtly Credit-Deficit Generation'!DS10:DV10)</f>
        <v>2669038.3344082735</v>
      </c>
      <c r="AG31" s="61">
        <f>SUM('Qrtly Credit-Deficit Generation'!DW10:DZ10)</f>
        <v>2669143.164215764</v>
      </c>
    </row>
    <row r="32" spans="1:33" ht="15" x14ac:dyDescent="0.25">
      <c r="A32" s="9" t="s">
        <v>77</v>
      </c>
      <c r="B32" s="59">
        <f>SUM('Qrtly Credit-Deficit Generation'!C11:F11)</f>
        <v>17020</v>
      </c>
      <c r="C32" s="59">
        <f>SUM('Qrtly Credit-Deficit Generation'!G11:J11)</f>
        <v>72659</v>
      </c>
      <c r="D32" s="59">
        <f>SUM('Qrtly Credit-Deficit Generation'!K11:N11)</f>
        <v>789929</v>
      </c>
      <c r="E32" s="59">
        <f>SUM('Qrtly Credit-Deficit Generation'!O11:R11)</f>
        <v>844979</v>
      </c>
      <c r="F32" s="59">
        <f>SUM('Qrtly Credit-Deficit Generation'!S11:V11)</f>
        <v>1038171</v>
      </c>
      <c r="G32" s="59">
        <f>SUM('Qrtly Credit-Deficit Generation'!W11:Z11)</f>
        <v>2241217</v>
      </c>
      <c r="H32" s="59">
        <f>SUM('Qrtly Credit-Deficit Generation'!AA11:AD11)</f>
        <v>2966730</v>
      </c>
      <c r="I32" s="59">
        <f>SUM('Qrtly Credit-Deficit Generation'!AE11:AH11)</f>
        <v>3485391</v>
      </c>
      <c r="J32" s="59">
        <f>SUM('Qrtly Credit-Deficit Generation'!AI11:AL11)</f>
        <v>4780527</v>
      </c>
      <c r="K32" s="59">
        <f>SUM('Qrtly Credit-Deficit Generation'!AM11:AP11)</f>
        <v>4571300</v>
      </c>
      <c r="L32" s="59">
        <f>SUM('Qrtly Credit-Deficit Generation'!AQ11:AT11)</f>
        <v>6556463</v>
      </c>
      <c r="M32" s="59">
        <f>SUM('Qrtly Credit-Deficit Generation'!AU11:AX11)</f>
        <v>9616935</v>
      </c>
      <c r="N32" s="59">
        <f>SUM('Qrtly Credit-Deficit Generation'!AY11:BB11)</f>
        <v>11928852</v>
      </c>
      <c r="O32" s="61">
        <f>SUM('Qrtly Credit-Deficit Generation'!BC11:BF11)</f>
        <v>13991902.007660478</v>
      </c>
      <c r="P32" s="61">
        <f>SUM('Qrtly Credit-Deficit Generation'!BG11:BJ11)</f>
        <v>12304335.0706304</v>
      </c>
      <c r="Q32" s="61">
        <f>SUM('Qrtly Credit-Deficit Generation'!BK11:BN11)</f>
        <v>12350472.143637195</v>
      </c>
      <c r="R32" s="61">
        <f>SUM('Qrtly Credit-Deficit Generation'!BO11:BR11)</f>
        <v>13213347.139931984</v>
      </c>
      <c r="S32" s="61">
        <f>SUM('Qrtly Credit-Deficit Generation'!BS11:BV11)</f>
        <v>12532724.156106692</v>
      </c>
      <c r="T32" s="61">
        <f>SUM('Qrtly Credit-Deficit Generation'!BW11:BZ11)</f>
        <v>12609546.349225083</v>
      </c>
      <c r="U32" s="61">
        <f>SUM('Qrtly Credit-Deficit Generation'!CA11:CD11)</f>
        <v>12978143.846124511</v>
      </c>
      <c r="V32" s="61">
        <f>SUM('Qrtly Credit-Deficit Generation'!CE11:CH11)</f>
        <v>13574085.215623273</v>
      </c>
      <c r="W32" s="61">
        <f>SUM('Qrtly Credit-Deficit Generation'!CI11:CL11)</f>
        <v>14942874.833361471</v>
      </c>
      <c r="X32" s="61">
        <f>SUM('Qrtly Credit-Deficit Generation'!CM11:CP11)</f>
        <v>14947065.25963028</v>
      </c>
      <c r="Y32" s="61">
        <f>SUM('Qrtly Credit-Deficit Generation'!CQ11:CT11)</f>
        <v>14678759.313871071</v>
      </c>
      <c r="Z32" s="61">
        <f>SUM('Qrtly Credit-Deficit Generation'!CU11:CX11)</f>
        <v>15563928.462906677</v>
      </c>
      <c r="AA32" s="61">
        <f>SUM('Qrtly Credit-Deficit Generation'!CY11:DB11)</f>
        <v>16091229.196873905</v>
      </c>
      <c r="AB32" s="61">
        <f>SUM('Qrtly Credit-Deficit Generation'!DC11:DF11)</f>
        <v>17398340.535756066</v>
      </c>
      <c r="AC32" s="61">
        <f>SUM('Qrtly Credit-Deficit Generation'!DG11:DJ11)</f>
        <v>18557940.417281944</v>
      </c>
      <c r="AD32" s="61">
        <f>SUM('Qrtly Credit-Deficit Generation'!DK11:DN11)</f>
        <v>18600827.109388277</v>
      </c>
      <c r="AE32" s="61">
        <f>SUM('Qrtly Credit-Deficit Generation'!DO11:DR11)</f>
        <v>17093303.429997027</v>
      </c>
      <c r="AF32" s="61">
        <f>SUM('Qrtly Credit-Deficit Generation'!DS11:DV11)</f>
        <v>23141305.510509759</v>
      </c>
      <c r="AG32" s="61">
        <f>SUM('Qrtly Credit-Deficit Generation'!DW11:DZ11)</f>
        <v>23141103.514100075</v>
      </c>
    </row>
    <row r="33" spans="1:33" ht="15" x14ac:dyDescent="0.25">
      <c r="A33" s="9" t="s">
        <v>78</v>
      </c>
      <c r="B33" s="59">
        <f>SUM('Qrtly Credit-Deficit Generation'!C12:F12)</f>
        <v>0</v>
      </c>
      <c r="C33" s="59">
        <f>SUM('Qrtly Credit-Deficit Generation'!G12:J12)</f>
        <v>0</v>
      </c>
      <c r="D33" s="59">
        <f>SUM('Qrtly Credit-Deficit Generation'!K12:N12)</f>
        <v>0</v>
      </c>
      <c r="E33" s="59">
        <f>SUM('Qrtly Credit-Deficit Generation'!O12:R12)</f>
        <v>0</v>
      </c>
      <c r="F33" s="59">
        <f>SUM('Qrtly Credit-Deficit Generation'!S12:V12)</f>
        <v>0</v>
      </c>
      <c r="G33" s="59">
        <f>SUM('Qrtly Credit-Deficit Generation'!W12:Z12)</f>
        <v>0</v>
      </c>
      <c r="H33" s="59">
        <f>SUM('Qrtly Credit-Deficit Generation'!AA12:AD12)</f>
        <v>0</v>
      </c>
      <c r="I33" s="59">
        <f>SUM('Qrtly Credit-Deficit Generation'!AE12:AH12)</f>
        <v>0</v>
      </c>
      <c r="J33" s="59">
        <f>SUM('Qrtly Credit-Deficit Generation'!AI12:AL12)</f>
        <v>11103</v>
      </c>
      <c r="K33" s="59">
        <f>SUM('Qrtly Credit-Deficit Generation'!AM12:AP12)</f>
        <v>27737</v>
      </c>
      <c r="L33" s="59">
        <f>SUM('Qrtly Credit-Deficit Generation'!AQ12:AT12)</f>
        <v>52504</v>
      </c>
      <c r="M33" s="59">
        <f>SUM('Qrtly Credit-Deficit Generation'!AU12:AX12)</f>
        <v>69562</v>
      </c>
      <c r="N33" s="59">
        <f>SUM('Qrtly Credit-Deficit Generation'!AY12:BB12)</f>
        <v>122332</v>
      </c>
      <c r="O33" s="61">
        <f>SUM('Qrtly Credit-Deficit Generation'!BC12:BF12)</f>
        <v>328113.24597390264</v>
      </c>
      <c r="P33" s="61">
        <f>SUM('Qrtly Credit-Deficit Generation'!BG12:BJ12)</f>
        <v>568744.0260321087</v>
      </c>
      <c r="Q33" s="61">
        <f>SUM('Qrtly Credit-Deficit Generation'!BK12:BN12)</f>
        <v>2190562.1430410645</v>
      </c>
      <c r="R33" s="61">
        <f>SUM('Qrtly Credit-Deficit Generation'!BO12:BR12)</f>
        <v>5636352.9644491915</v>
      </c>
      <c r="S33" s="61">
        <f>SUM('Qrtly Credit-Deficit Generation'!BS12:BV12)</f>
        <v>7371033.2848659782</v>
      </c>
      <c r="T33" s="61">
        <f>SUM('Qrtly Credit-Deficit Generation'!BW12:BZ12)</f>
        <v>8830853.6978423167</v>
      </c>
      <c r="U33" s="61">
        <f>SUM('Qrtly Credit-Deficit Generation'!CA12:CD12)</f>
        <v>11227358.006951341</v>
      </c>
      <c r="V33" s="61">
        <f>SUM('Qrtly Credit-Deficit Generation'!CE12:CH12)</f>
        <v>12357670.897019414</v>
      </c>
      <c r="W33" s="61">
        <f>SUM('Qrtly Credit-Deficit Generation'!CI12:CL12)</f>
        <v>15457420.150649568</v>
      </c>
      <c r="X33" s="61">
        <f>SUM('Qrtly Credit-Deficit Generation'!CM12:CP12)</f>
        <v>16546001.651866108</v>
      </c>
      <c r="Y33" s="61">
        <f>SUM('Qrtly Credit-Deficit Generation'!CQ12:CT12)</f>
        <v>18140279.738253944</v>
      </c>
      <c r="Z33" s="61">
        <f>SUM('Qrtly Credit-Deficit Generation'!CU12:CX12)</f>
        <v>19010689.029351894</v>
      </c>
      <c r="AA33" s="61">
        <f>SUM('Qrtly Credit-Deficit Generation'!CY12:DB12)</f>
        <v>13968815.712627884</v>
      </c>
      <c r="AB33" s="61">
        <f>SUM('Qrtly Credit-Deficit Generation'!DC12:DF12)</f>
        <v>14496559.968864463</v>
      </c>
      <c r="AC33" s="61">
        <f>SUM('Qrtly Credit-Deficit Generation'!DG12:DJ12)</f>
        <v>15186693.650722437</v>
      </c>
      <c r="AD33" s="61">
        <f>SUM('Qrtly Credit-Deficit Generation'!DK12:DN12)</f>
        <v>15032645.852340244</v>
      </c>
      <c r="AE33" s="61">
        <f>SUM('Qrtly Credit-Deficit Generation'!DO12:DR12)</f>
        <v>16495551.162760301</v>
      </c>
      <c r="AF33" s="61">
        <f>SUM('Qrtly Credit-Deficit Generation'!DS12:DV12)</f>
        <v>5814948.456342794</v>
      </c>
      <c r="AG33" s="61">
        <f>SUM('Qrtly Credit-Deficit Generation'!DW12:DZ12)</f>
        <v>5814941.0608778698</v>
      </c>
    </row>
    <row r="34" spans="1:33" ht="15" x14ac:dyDescent="0.25">
      <c r="A34" s="9" t="s">
        <v>171</v>
      </c>
      <c r="B34" s="59">
        <f>SUM('Qrtly Credit-Deficit Generation'!C13:F13)</f>
        <v>0</v>
      </c>
      <c r="C34" s="59">
        <f>SUM('Qrtly Credit-Deficit Generation'!G13:J13)</f>
        <v>0</v>
      </c>
      <c r="D34" s="59">
        <f>SUM('Qrtly Credit-Deficit Generation'!K13:N13)</f>
        <v>0</v>
      </c>
      <c r="E34" s="59">
        <f>SUM('Qrtly Credit-Deficit Generation'!O13:R13)</f>
        <v>0</v>
      </c>
      <c r="F34" s="59">
        <f>SUM('Qrtly Credit-Deficit Generation'!S13:V13)</f>
        <v>0</v>
      </c>
      <c r="G34" s="59">
        <f>SUM('Qrtly Credit-Deficit Generation'!W13:Z13)</f>
        <v>0</v>
      </c>
      <c r="H34" s="59">
        <f>SUM('Qrtly Credit-Deficit Generation'!AA13:AD13)</f>
        <v>0</v>
      </c>
      <c r="I34" s="59">
        <f>SUM('Qrtly Credit-Deficit Generation'!AE13:AH13)</f>
        <v>1082</v>
      </c>
      <c r="J34" s="59">
        <f>SUM('Qrtly Credit-Deficit Generation'!AI13:AL13)</f>
        <v>8018</v>
      </c>
      <c r="K34" s="59">
        <f>SUM('Qrtly Credit-Deficit Generation'!AM13:AP13)</f>
        <v>15921</v>
      </c>
      <c r="L34" s="59">
        <f>SUM('Qrtly Credit-Deficit Generation'!AQ13:AT13)</f>
        <v>49425</v>
      </c>
      <c r="M34" s="59">
        <f>SUM('Qrtly Credit-Deficit Generation'!AU13:AX13)</f>
        <v>71388</v>
      </c>
      <c r="N34" s="59">
        <f>SUM('Qrtly Credit-Deficit Generation'!AY13:BB13)</f>
        <v>113656</v>
      </c>
      <c r="O34" s="61">
        <f>SUM('Qrtly Credit-Deficit Generation'!BC13:BF13)</f>
        <v>198052.24597390267</v>
      </c>
      <c r="P34" s="61">
        <f>SUM('Qrtly Credit-Deficit Generation'!BG13:BJ13)</f>
        <v>568744.0260321087</v>
      </c>
      <c r="Q34" s="61">
        <f>SUM('Qrtly Credit-Deficit Generation'!BK13:BN13)</f>
        <v>2190562.1430410645</v>
      </c>
      <c r="R34" s="61">
        <f>SUM('Qrtly Credit-Deficit Generation'!BO13:BR13)</f>
        <v>5636352.9644491915</v>
      </c>
      <c r="S34" s="61">
        <f>SUM('Qrtly Credit-Deficit Generation'!BS13:BV13)</f>
        <v>7371033.2848659782</v>
      </c>
      <c r="T34" s="61">
        <f>SUM('Qrtly Credit-Deficit Generation'!BW13:BZ13)</f>
        <v>8830853.6978423167</v>
      </c>
      <c r="U34" s="61">
        <f>SUM('Qrtly Credit-Deficit Generation'!CA13:CD13)</f>
        <v>11227358.006951341</v>
      </c>
      <c r="V34" s="61">
        <f>SUM('Qrtly Credit-Deficit Generation'!CE13:CH13)</f>
        <v>12357670.897019414</v>
      </c>
      <c r="W34" s="61">
        <f>SUM('Qrtly Credit-Deficit Generation'!CI13:CL13)</f>
        <v>15457420.150649568</v>
      </c>
      <c r="X34" s="61">
        <f>SUM('Qrtly Credit-Deficit Generation'!CM13:CP13)</f>
        <v>16546001.651866108</v>
      </c>
      <c r="Y34" s="61">
        <f>SUM('Qrtly Credit-Deficit Generation'!CQ13:CT13)</f>
        <v>18140279.738253944</v>
      </c>
      <c r="Z34" s="61">
        <f>SUM('Qrtly Credit-Deficit Generation'!CU13:CX13)</f>
        <v>19010689.029351894</v>
      </c>
      <c r="AA34" s="61">
        <f>SUM('Qrtly Credit-Deficit Generation'!CY13:DB13)</f>
        <v>13968815.712627884</v>
      </c>
      <c r="AB34" s="61">
        <f>SUM('Qrtly Credit-Deficit Generation'!DC13:DF13)</f>
        <v>14496559.968864463</v>
      </c>
      <c r="AC34" s="61">
        <f>SUM('Qrtly Credit-Deficit Generation'!DG13:DJ13)</f>
        <v>15186693.650722437</v>
      </c>
      <c r="AD34" s="61">
        <f>SUM('Qrtly Credit-Deficit Generation'!DK13:DN13)</f>
        <v>15032645.852340244</v>
      </c>
      <c r="AE34" s="61">
        <f>SUM('Qrtly Credit-Deficit Generation'!DO13:DR13)</f>
        <v>16495551.162760301</v>
      </c>
      <c r="AF34" s="61">
        <f>SUM('Qrtly Credit-Deficit Generation'!DS13:DV13)</f>
        <v>5814948.456342794</v>
      </c>
      <c r="AG34" s="61">
        <f>SUM('Qrtly Credit-Deficit Generation'!DW13:DZ13)</f>
        <v>5814941.0608778698</v>
      </c>
    </row>
    <row r="35" spans="1:33" ht="15" x14ac:dyDescent="0.25">
      <c r="A35" s="9" t="s">
        <v>80</v>
      </c>
      <c r="B35" s="59">
        <f>SUM('Qrtly Credit-Deficit Generation'!C14:F14)</f>
        <v>0</v>
      </c>
      <c r="C35" s="59">
        <f>SUM('Qrtly Credit-Deficit Generation'!G14:J14)</f>
        <v>0</v>
      </c>
      <c r="D35" s="59">
        <f>SUM('Qrtly Credit-Deficit Generation'!K14:N14)</f>
        <v>0</v>
      </c>
      <c r="E35" s="59">
        <f>SUM('Qrtly Credit-Deficit Generation'!O14:R14)</f>
        <v>0</v>
      </c>
      <c r="F35" s="59">
        <f>SUM('Qrtly Credit-Deficit Generation'!S14:V14)</f>
        <v>0</v>
      </c>
      <c r="G35" s="59">
        <f>SUM('Qrtly Credit-Deficit Generation'!W14:Z14)</f>
        <v>0</v>
      </c>
      <c r="H35" s="59">
        <f>SUM('Qrtly Credit-Deficit Generation'!AA14:AD14)</f>
        <v>0</v>
      </c>
      <c r="I35" s="59">
        <f>SUM('Qrtly Credit-Deficit Generation'!AE14:AH14)</f>
        <v>0</v>
      </c>
      <c r="J35" s="59">
        <f>SUM('Qrtly Credit-Deficit Generation'!AI14:AL14)</f>
        <v>3694</v>
      </c>
      <c r="K35" s="59">
        <f>SUM('Qrtly Credit-Deficit Generation'!AM14:AP14)</f>
        <v>21212</v>
      </c>
      <c r="L35" s="59">
        <f>SUM('Qrtly Credit-Deficit Generation'!AQ14:AT14)</f>
        <v>39448</v>
      </c>
      <c r="M35" s="59">
        <f>SUM('Qrtly Credit-Deficit Generation'!AU14:AX14)</f>
        <v>38197</v>
      </c>
      <c r="N35" s="59">
        <f>SUM('Qrtly Credit-Deficit Generation'!AY14:BB14)</f>
        <v>29008</v>
      </c>
      <c r="O35" s="61">
        <f>SUM('Qrtly Credit-Deficit Generation'!BC14:BF14)</f>
        <v>21448.404382550347</v>
      </c>
      <c r="P35" s="61">
        <f>SUM('Qrtly Credit-Deficit Generation'!BG14:BJ14)</f>
        <v>17130.432568817658</v>
      </c>
      <c r="Q35" s="61">
        <f>SUM('Qrtly Credit-Deficit Generation'!BK14:BN14)</f>
        <v>0</v>
      </c>
      <c r="R35" s="61">
        <f>SUM('Qrtly Credit-Deficit Generation'!BO14:BR14)</f>
        <v>0</v>
      </c>
      <c r="S35" s="61">
        <f>SUM('Qrtly Credit-Deficit Generation'!BS14:BV14)</f>
        <v>0</v>
      </c>
      <c r="T35" s="61">
        <f>SUM('Qrtly Credit-Deficit Generation'!BW14:BZ14)</f>
        <v>0</v>
      </c>
      <c r="U35" s="61">
        <f>SUM('Qrtly Credit-Deficit Generation'!CA14:CD14)</f>
        <v>40.692328464655702</v>
      </c>
      <c r="V35" s="61">
        <f>SUM('Qrtly Credit-Deficit Generation'!CE14:CH14)</f>
        <v>55.961623434136527</v>
      </c>
      <c r="W35" s="61">
        <f>SUM('Qrtly Credit-Deficit Generation'!CI14:CL14)</f>
        <v>0</v>
      </c>
      <c r="X35" s="61">
        <f>SUM('Qrtly Credit-Deficit Generation'!CM14:CP14)</f>
        <v>0</v>
      </c>
      <c r="Y35" s="61">
        <f>SUM('Qrtly Credit-Deficit Generation'!CQ14:CT14)</f>
        <v>0</v>
      </c>
      <c r="Z35" s="61">
        <f>SUM('Qrtly Credit-Deficit Generation'!CU14:CX14)</f>
        <v>0</v>
      </c>
      <c r="AA35" s="61">
        <f>SUM('Qrtly Credit-Deficit Generation'!CY14:DB14)</f>
        <v>0</v>
      </c>
      <c r="AB35" s="61">
        <f>SUM('Qrtly Credit-Deficit Generation'!DC14:DF14)</f>
        <v>0</v>
      </c>
      <c r="AC35" s="61">
        <f>SUM('Qrtly Credit-Deficit Generation'!DG14:DJ14)</f>
        <v>0</v>
      </c>
      <c r="AD35" s="61">
        <f>SUM('Qrtly Credit-Deficit Generation'!DK14:DN14)</f>
        <v>0</v>
      </c>
      <c r="AE35" s="61">
        <f>SUM('Qrtly Credit-Deficit Generation'!DO14:DR14)</f>
        <v>0</v>
      </c>
      <c r="AF35" s="61">
        <f>SUM('Qrtly Credit-Deficit Generation'!DS14:DV14)</f>
        <v>0</v>
      </c>
      <c r="AG35" s="61">
        <f>SUM('Qrtly Credit-Deficit Generation'!DW14:DZ14)</f>
        <v>0</v>
      </c>
    </row>
    <row r="36" spans="1:33" ht="15" x14ac:dyDescent="0.25">
      <c r="A36" s="9" t="s">
        <v>151</v>
      </c>
      <c r="B36" s="59">
        <f>SUM(B24:B35)</f>
        <v>1311688</v>
      </c>
      <c r="C36" s="59">
        <f t="shared" ref="C36:AG36" si="6">SUM(C24:C35)</f>
        <v>1666099</v>
      </c>
      <c r="D36" s="59">
        <f t="shared" si="6"/>
        <v>3754403</v>
      </c>
      <c r="E36" s="59">
        <f t="shared" si="6"/>
        <v>4301766</v>
      </c>
      <c r="F36" s="59">
        <f t="shared" si="6"/>
        <v>5496192</v>
      </c>
      <c r="G36" s="59">
        <f t="shared" si="6"/>
        <v>9254999</v>
      </c>
      <c r="H36" s="59">
        <f t="shared" si="6"/>
        <v>9775720</v>
      </c>
      <c r="I36" s="59">
        <f t="shared" si="6"/>
        <v>11160060</v>
      </c>
      <c r="J36" s="59">
        <f t="shared" si="6"/>
        <v>14750849</v>
      </c>
      <c r="K36" s="59">
        <f t="shared" si="6"/>
        <v>15220049</v>
      </c>
      <c r="L36" s="59">
        <f t="shared" si="6"/>
        <v>20127657</v>
      </c>
      <c r="M36" s="59">
        <f t="shared" si="6"/>
        <v>26560890</v>
      </c>
      <c r="N36" s="59">
        <f t="shared" si="6"/>
        <v>30258428</v>
      </c>
      <c r="O36" s="61">
        <f t="shared" si="6"/>
        <v>35414166.271699719</v>
      </c>
      <c r="P36" s="61">
        <f t="shared" si="6"/>
        <v>33884857.513744384</v>
      </c>
      <c r="Q36" s="61">
        <f t="shared" si="6"/>
        <v>37676473.833017379</v>
      </c>
      <c r="R36" s="61">
        <f t="shared" si="6"/>
        <v>45751371.49299223</v>
      </c>
      <c r="S36" s="61">
        <f t="shared" si="6"/>
        <v>47612170.844470523</v>
      </c>
      <c r="T36" s="61">
        <f t="shared" si="6"/>
        <v>50631427.75956057</v>
      </c>
      <c r="U36" s="61">
        <f t="shared" si="6"/>
        <v>55790217.703748249</v>
      </c>
      <c r="V36" s="61">
        <f t="shared" si="6"/>
        <v>58635608.819558695</v>
      </c>
      <c r="W36" s="61">
        <f t="shared" si="6"/>
        <v>66137237.965713412</v>
      </c>
      <c r="X36" s="61">
        <f t="shared" si="6"/>
        <v>76290819.178328738</v>
      </c>
      <c r="Y36" s="61">
        <f t="shared" si="6"/>
        <v>83210137.7711142</v>
      </c>
      <c r="Z36" s="61">
        <f t="shared" si="6"/>
        <v>87348770.009503976</v>
      </c>
      <c r="AA36" s="61">
        <f t="shared" si="6"/>
        <v>79291164.427815914</v>
      </c>
      <c r="AB36" s="61">
        <f t="shared" si="6"/>
        <v>83190318.809525073</v>
      </c>
      <c r="AC36" s="61">
        <f t="shared" si="6"/>
        <v>87363899.4397434</v>
      </c>
      <c r="AD36" s="61">
        <f t="shared" si="6"/>
        <v>88680531.550127387</v>
      </c>
      <c r="AE36" s="61">
        <f t="shared" si="6"/>
        <v>91773872.459912494</v>
      </c>
      <c r="AF36" s="61">
        <f t="shared" si="6"/>
        <v>79077010.791196615</v>
      </c>
      <c r="AG36" s="61">
        <f t="shared" si="6"/>
        <v>80908152.564349234</v>
      </c>
    </row>
    <row r="37" spans="1:33" x14ac:dyDescent="0.2">
      <c r="B37" s="59"/>
    </row>
    <row r="38" spans="1:33" x14ac:dyDescent="0.2">
      <c r="B38" s="59"/>
    </row>
    <row r="39" spans="1:33" x14ac:dyDescent="0.2">
      <c r="L39" s="59">
        <f>L36-L19</f>
        <v>1156412</v>
      </c>
      <c r="M39" s="59">
        <f>M36-M19</f>
        <v>5335220</v>
      </c>
      <c r="N39" s="59">
        <f t="shared" ref="N39:U39" si="7">N36-N19</f>
        <v>7839642</v>
      </c>
      <c r="O39" s="59">
        <f t="shared" si="7"/>
        <v>3964683.4656495899</v>
      </c>
      <c r="P39" s="59">
        <f t="shared" si="7"/>
        <v>-21212493.033042863</v>
      </c>
      <c r="Q39" s="59">
        <f t="shared" si="7"/>
        <v>-23630014.001356237</v>
      </c>
      <c r="R39" s="59">
        <f t="shared" si="7"/>
        <v>-25841010.270777665</v>
      </c>
      <c r="S39" s="59">
        <f t="shared" si="7"/>
        <v>-28879883.480127431</v>
      </c>
      <c r="T39" s="59">
        <f t="shared" si="7"/>
        <v>-30477124.839439526</v>
      </c>
      <c r="U39" s="59">
        <f t="shared" si="7"/>
        <v>-15680813.88868887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A782AB-A2B6-4CE4-AC88-2EC8D132EF78}">
  <sheetPr>
    <tabColor rgb="FF5D803B"/>
  </sheetPr>
  <dimension ref="A1:DZ48"/>
  <sheetViews>
    <sheetView showGridLines="0" zoomScaleNormal="100" workbookViewId="0">
      <pane xSplit="1" topLeftCell="AU1" activePane="topRight" state="frozen"/>
      <selection activeCell="A6" sqref="A6"/>
      <selection pane="topRight" activeCell="A6" sqref="A6"/>
    </sheetView>
  </sheetViews>
  <sheetFormatPr defaultColWidth="9.140625" defaultRowHeight="15" x14ac:dyDescent="0.25"/>
  <cols>
    <col min="1" max="1" width="29.85546875" style="13" customWidth="1"/>
    <col min="2" max="2" width="10.140625" style="13" customWidth="1"/>
    <col min="3" max="26" width="13.7109375" style="13" hidden="1" customWidth="1"/>
    <col min="27" max="27" width="10.7109375" style="13" hidden="1" customWidth="1"/>
    <col min="28" max="28" width="12.85546875" style="13" hidden="1" customWidth="1"/>
    <col min="29" max="38" width="9.140625" style="13" hidden="1" customWidth="1"/>
    <col min="39" max="39" width="9.140625" style="13" customWidth="1"/>
    <col min="40" max="49" width="9.140625" style="13"/>
    <col min="50" max="50" width="11.42578125" style="13" bestFit="1" customWidth="1"/>
    <col min="51" max="51" width="11.140625" style="13" bestFit="1" customWidth="1"/>
    <col min="52" max="60" width="11.42578125" style="13" bestFit="1" customWidth="1"/>
    <col min="61" max="61" width="10.85546875" style="13" customWidth="1"/>
    <col min="62" max="62" width="11" style="13" customWidth="1"/>
    <col min="63" max="16384" width="9.140625" style="13"/>
  </cols>
  <sheetData>
    <row r="1" spans="1:130" ht="18.75" x14ac:dyDescent="0.3">
      <c r="A1" s="137" t="s">
        <v>237</v>
      </c>
    </row>
    <row r="2" spans="1:130" ht="18.75" x14ac:dyDescent="0.3">
      <c r="A2" s="137"/>
    </row>
    <row r="3" spans="1:130" x14ac:dyDescent="0.25">
      <c r="A3" s="14" t="s">
        <v>238</v>
      </c>
    </row>
    <row r="4" spans="1:130" x14ac:dyDescent="0.25">
      <c r="A4" s="37" t="s">
        <v>158</v>
      </c>
      <c r="B4" s="37" t="s">
        <v>130</v>
      </c>
      <c r="C4" s="195">
        <v>2011</v>
      </c>
      <c r="D4" s="196"/>
      <c r="E4" s="196"/>
      <c r="F4" s="197"/>
      <c r="G4" s="195">
        <v>2012</v>
      </c>
      <c r="H4" s="196"/>
      <c r="I4" s="196"/>
      <c r="J4" s="197"/>
      <c r="K4" s="195">
        <v>2013</v>
      </c>
      <c r="L4" s="196"/>
      <c r="M4" s="196"/>
      <c r="N4" s="197"/>
      <c r="O4" s="195">
        <v>2014</v>
      </c>
      <c r="P4" s="196"/>
      <c r="Q4" s="196"/>
      <c r="R4" s="197"/>
      <c r="S4" s="195">
        <v>2015</v>
      </c>
      <c r="T4" s="196"/>
      <c r="U4" s="196"/>
      <c r="V4" s="197"/>
      <c r="W4" s="195">
        <v>2016</v>
      </c>
      <c r="X4" s="196"/>
      <c r="Y4" s="196"/>
      <c r="Z4" s="197"/>
      <c r="AA4" s="195">
        <v>2017</v>
      </c>
      <c r="AB4" s="196"/>
      <c r="AC4" s="196"/>
      <c r="AD4" s="197"/>
      <c r="AE4" s="195">
        <v>2018</v>
      </c>
      <c r="AF4" s="196"/>
      <c r="AG4" s="196"/>
      <c r="AH4" s="197"/>
      <c r="AI4" s="195">
        <v>2019</v>
      </c>
      <c r="AJ4" s="196"/>
      <c r="AK4" s="196"/>
      <c r="AL4" s="197"/>
      <c r="AM4" s="195">
        <v>2020</v>
      </c>
      <c r="AN4" s="196"/>
      <c r="AO4" s="196"/>
      <c r="AP4" s="197"/>
      <c r="AQ4" s="195">
        <v>2021</v>
      </c>
      <c r="AR4" s="196"/>
      <c r="AS4" s="196"/>
      <c r="AT4" s="197"/>
      <c r="AU4" s="195">
        <v>2022</v>
      </c>
      <c r="AV4" s="196"/>
      <c r="AW4" s="196"/>
      <c r="AX4" s="197"/>
      <c r="AY4" s="195">
        <v>2023</v>
      </c>
      <c r="AZ4" s="196"/>
      <c r="BA4" s="196"/>
      <c r="BB4" s="197"/>
      <c r="BC4" s="195">
        <v>2024</v>
      </c>
      <c r="BD4" s="196"/>
      <c r="BE4" s="196"/>
      <c r="BF4" s="197"/>
      <c r="BG4" s="195">
        <v>2025</v>
      </c>
      <c r="BH4" s="196"/>
      <c r="BI4" s="196"/>
      <c r="BJ4" s="197"/>
      <c r="BK4" s="195">
        <v>2026</v>
      </c>
      <c r="BL4" s="196"/>
      <c r="BM4" s="196"/>
      <c r="BN4" s="197"/>
      <c r="BO4" s="195">
        <v>2027</v>
      </c>
      <c r="BP4" s="196"/>
      <c r="BQ4" s="196"/>
      <c r="BR4" s="197"/>
      <c r="BS4" s="195">
        <v>2028</v>
      </c>
      <c r="BT4" s="196"/>
      <c r="BU4" s="196"/>
      <c r="BV4" s="197"/>
      <c r="BW4" s="195">
        <v>2029</v>
      </c>
      <c r="BX4" s="196"/>
      <c r="BY4" s="196"/>
      <c r="BZ4" s="197"/>
      <c r="CA4" s="195">
        <v>2030</v>
      </c>
      <c r="CB4" s="196"/>
      <c r="CC4" s="196"/>
      <c r="CD4" s="197"/>
      <c r="CE4" s="195">
        <v>2031</v>
      </c>
      <c r="CF4" s="196"/>
      <c r="CG4" s="196"/>
      <c r="CH4" s="197"/>
      <c r="CI4" s="195">
        <v>2032</v>
      </c>
      <c r="CJ4" s="196"/>
      <c r="CK4" s="196"/>
      <c r="CL4" s="197"/>
      <c r="CM4" s="195">
        <v>2033</v>
      </c>
      <c r="CN4" s="196"/>
      <c r="CO4" s="196"/>
      <c r="CP4" s="197"/>
      <c r="CQ4" s="195">
        <v>2034</v>
      </c>
      <c r="CR4" s="196"/>
      <c r="CS4" s="196"/>
      <c r="CT4" s="197"/>
      <c r="CU4" s="195">
        <v>2035</v>
      </c>
      <c r="CV4" s="196"/>
      <c r="CW4" s="196"/>
      <c r="CX4" s="197"/>
      <c r="CY4" s="195">
        <v>2036</v>
      </c>
      <c r="CZ4" s="196"/>
      <c r="DA4" s="196"/>
      <c r="DB4" s="197"/>
      <c r="DC4" s="195">
        <v>2037</v>
      </c>
      <c r="DD4" s="196"/>
      <c r="DE4" s="196"/>
      <c r="DF4" s="197"/>
      <c r="DG4" s="195">
        <v>2038</v>
      </c>
      <c r="DH4" s="196"/>
      <c r="DI4" s="196"/>
      <c r="DJ4" s="197"/>
      <c r="DK4" s="195">
        <v>2039</v>
      </c>
      <c r="DL4" s="196"/>
      <c r="DM4" s="196"/>
      <c r="DN4" s="197"/>
      <c r="DO4" s="195">
        <v>2040</v>
      </c>
      <c r="DP4" s="196"/>
      <c r="DQ4" s="196"/>
      <c r="DR4" s="197"/>
      <c r="DS4" s="195">
        <v>2041</v>
      </c>
      <c r="DT4" s="196"/>
      <c r="DU4" s="196"/>
      <c r="DV4" s="197"/>
      <c r="DW4" s="195">
        <v>2042</v>
      </c>
      <c r="DX4" s="196"/>
      <c r="DY4" s="196"/>
      <c r="DZ4" s="197"/>
    </row>
    <row r="5" spans="1:130" x14ac:dyDescent="0.25">
      <c r="A5" s="39" t="s">
        <v>239</v>
      </c>
      <c r="B5" s="39" t="s">
        <v>87</v>
      </c>
      <c r="C5" s="39" t="s">
        <v>68</v>
      </c>
      <c r="D5" s="39" t="s">
        <v>69</v>
      </c>
      <c r="E5" s="39" t="s">
        <v>70</v>
      </c>
      <c r="F5" s="39" t="s">
        <v>71</v>
      </c>
      <c r="G5" s="39" t="s">
        <v>68</v>
      </c>
      <c r="H5" s="39" t="s">
        <v>69</v>
      </c>
      <c r="I5" s="39" t="s">
        <v>70</v>
      </c>
      <c r="J5" s="39" t="s">
        <v>71</v>
      </c>
      <c r="K5" s="39" t="s">
        <v>68</v>
      </c>
      <c r="L5" s="39" t="s">
        <v>69</v>
      </c>
      <c r="M5" s="39" t="s">
        <v>70</v>
      </c>
      <c r="N5" s="39" t="s">
        <v>71</v>
      </c>
      <c r="O5" s="39" t="s">
        <v>68</v>
      </c>
      <c r="P5" s="39" t="s">
        <v>69</v>
      </c>
      <c r="Q5" s="39" t="s">
        <v>70</v>
      </c>
      <c r="R5" s="39" t="s">
        <v>71</v>
      </c>
      <c r="S5" s="39" t="s">
        <v>68</v>
      </c>
      <c r="T5" s="39" t="s">
        <v>69</v>
      </c>
      <c r="U5" s="39" t="s">
        <v>70</v>
      </c>
      <c r="V5" s="39" t="s">
        <v>71</v>
      </c>
      <c r="W5" s="39" t="s">
        <v>68</v>
      </c>
      <c r="X5" s="39" t="s">
        <v>69</v>
      </c>
      <c r="Y5" s="39" t="s">
        <v>70</v>
      </c>
      <c r="Z5" s="39" t="s">
        <v>71</v>
      </c>
      <c r="AA5" s="39" t="s">
        <v>68</v>
      </c>
      <c r="AB5" s="39" t="s">
        <v>69</v>
      </c>
      <c r="AC5" s="39" t="s">
        <v>70</v>
      </c>
      <c r="AD5" s="39" t="s">
        <v>71</v>
      </c>
      <c r="AE5" s="39" t="s">
        <v>68</v>
      </c>
      <c r="AF5" s="39" t="s">
        <v>69</v>
      </c>
      <c r="AG5" s="39" t="s">
        <v>70</v>
      </c>
      <c r="AH5" s="39" t="s">
        <v>71</v>
      </c>
      <c r="AI5" s="39" t="s">
        <v>68</v>
      </c>
      <c r="AJ5" s="39" t="s">
        <v>69</v>
      </c>
      <c r="AK5" s="39" t="s">
        <v>70</v>
      </c>
      <c r="AL5" s="39" t="s">
        <v>71</v>
      </c>
      <c r="AM5" s="39" t="s">
        <v>68</v>
      </c>
      <c r="AN5" s="39" t="s">
        <v>69</v>
      </c>
      <c r="AO5" s="39" t="s">
        <v>70</v>
      </c>
      <c r="AP5" s="39" t="s">
        <v>71</v>
      </c>
      <c r="AQ5" s="39" t="s">
        <v>68</v>
      </c>
      <c r="AR5" s="39" t="s">
        <v>69</v>
      </c>
      <c r="AS5" s="39" t="s">
        <v>70</v>
      </c>
      <c r="AT5" s="39" t="s">
        <v>71</v>
      </c>
      <c r="AU5" s="39" t="s">
        <v>68</v>
      </c>
      <c r="AV5" s="39" t="s">
        <v>69</v>
      </c>
      <c r="AW5" s="39" t="s">
        <v>70</v>
      </c>
      <c r="AX5" s="39" t="s">
        <v>71</v>
      </c>
      <c r="AY5" s="39" t="s">
        <v>68</v>
      </c>
      <c r="AZ5" s="39" t="s">
        <v>69</v>
      </c>
      <c r="BA5" s="39" t="s">
        <v>70</v>
      </c>
      <c r="BB5" s="39" t="s">
        <v>71</v>
      </c>
      <c r="BC5" s="39" t="s">
        <v>68</v>
      </c>
      <c r="BD5" s="39" t="s">
        <v>69</v>
      </c>
      <c r="BE5" s="39" t="s">
        <v>70</v>
      </c>
      <c r="BF5" s="39" t="s">
        <v>71</v>
      </c>
      <c r="BG5" s="39" t="s">
        <v>68</v>
      </c>
      <c r="BH5" s="39" t="s">
        <v>69</v>
      </c>
      <c r="BI5" s="39" t="s">
        <v>70</v>
      </c>
      <c r="BJ5" s="39" t="s">
        <v>71</v>
      </c>
      <c r="BK5" s="39" t="s">
        <v>68</v>
      </c>
      <c r="BL5" s="39" t="s">
        <v>69</v>
      </c>
      <c r="BM5" s="39" t="s">
        <v>70</v>
      </c>
      <c r="BN5" s="39" t="s">
        <v>71</v>
      </c>
      <c r="BO5" s="39" t="s">
        <v>68</v>
      </c>
      <c r="BP5" s="39" t="s">
        <v>69</v>
      </c>
      <c r="BQ5" s="39" t="s">
        <v>70</v>
      </c>
      <c r="BR5" s="39" t="s">
        <v>71</v>
      </c>
      <c r="BS5" s="39" t="s">
        <v>68</v>
      </c>
      <c r="BT5" s="39" t="s">
        <v>69</v>
      </c>
      <c r="BU5" s="39" t="s">
        <v>70</v>
      </c>
      <c r="BV5" s="39" t="s">
        <v>71</v>
      </c>
      <c r="BW5" s="39" t="s">
        <v>68</v>
      </c>
      <c r="BX5" s="39" t="s">
        <v>69</v>
      </c>
      <c r="BY5" s="39" t="s">
        <v>70</v>
      </c>
      <c r="BZ5" s="39" t="s">
        <v>71</v>
      </c>
      <c r="CA5" s="39" t="s">
        <v>68</v>
      </c>
      <c r="CB5" s="39" t="s">
        <v>69</v>
      </c>
      <c r="CC5" s="39" t="s">
        <v>70</v>
      </c>
      <c r="CD5" s="39" t="s">
        <v>71</v>
      </c>
      <c r="CE5" s="39" t="s">
        <v>68</v>
      </c>
      <c r="CF5" s="39" t="s">
        <v>69</v>
      </c>
      <c r="CG5" s="39" t="s">
        <v>70</v>
      </c>
      <c r="CH5" s="39" t="s">
        <v>71</v>
      </c>
      <c r="CI5" s="39" t="s">
        <v>68</v>
      </c>
      <c r="CJ5" s="39" t="s">
        <v>69</v>
      </c>
      <c r="CK5" s="39" t="s">
        <v>70</v>
      </c>
      <c r="CL5" s="39" t="s">
        <v>71</v>
      </c>
      <c r="CM5" s="39" t="s">
        <v>68</v>
      </c>
      <c r="CN5" s="39" t="s">
        <v>69</v>
      </c>
      <c r="CO5" s="39" t="s">
        <v>70</v>
      </c>
      <c r="CP5" s="39" t="s">
        <v>71</v>
      </c>
      <c r="CQ5" s="39" t="s">
        <v>68</v>
      </c>
      <c r="CR5" s="39" t="s">
        <v>69</v>
      </c>
      <c r="CS5" s="39" t="s">
        <v>70</v>
      </c>
      <c r="CT5" s="39" t="s">
        <v>71</v>
      </c>
      <c r="CU5" s="39" t="s">
        <v>68</v>
      </c>
      <c r="CV5" s="39" t="s">
        <v>69</v>
      </c>
      <c r="CW5" s="39" t="s">
        <v>70</v>
      </c>
      <c r="CX5" s="39" t="s">
        <v>71</v>
      </c>
      <c r="CY5" s="39" t="s">
        <v>68</v>
      </c>
      <c r="CZ5" s="39" t="s">
        <v>69</v>
      </c>
      <c r="DA5" s="39" t="s">
        <v>70</v>
      </c>
      <c r="DB5" s="39" t="s">
        <v>71</v>
      </c>
      <c r="DC5" s="39" t="s">
        <v>68</v>
      </c>
      <c r="DD5" s="39" t="s">
        <v>69</v>
      </c>
      <c r="DE5" s="39" t="s">
        <v>70</v>
      </c>
      <c r="DF5" s="39" t="s">
        <v>71</v>
      </c>
      <c r="DG5" s="39" t="s">
        <v>68</v>
      </c>
      <c r="DH5" s="39" t="s">
        <v>69</v>
      </c>
      <c r="DI5" s="39" t="s">
        <v>70</v>
      </c>
      <c r="DJ5" s="39" t="s">
        <v>71</v>
      </c>
      <c r="DK5" s="39" t="s">
        <v>68</v>
      </c>
      <c r="DL5" s="39" t="s">
        <v>69</v>
      </c>
      <c r="DM5" s="39" t="s">
        <v>70</v>
      </c>
      <c r="DN5" s="39" t="s">
        <v>71</v>
      </c>
      <c r="DO5" s="39" t="s">
        <v>68</v>
      </c>
      <c r="DP5" s="39" t="s">
        <v>69</v>
      </c>
      <c r="DQ5" s="39" t="s">
        <v>70</v>
      </c>
      <c r="DR5" s="39" t="s">
        <v>71</v>
      </c>
      <c r="DS5" s="39" t="s">
        <v>68</v>
      </c>
      <c r="DT5" s="39" t="s">
        <v>69</v>
      </c>
      <c r="DU5" s="39" t="s">
        <v>70</v>
      </c>
      <c r="DV5" s="39" t="s">
        <v>71</v>
      </c>
      <c r="DW5" s="39" t="s">
        <v>68</v>
      </c>
      <c r="DX5" s="39" t="s">
        <v>69</v>
      </c>
      <c r="DY5" s="39" t="s">
        <v>70</v>
      </c>
      <c r="DZ5" s="39" t="s">
        <v>71</v>
      </c>
    </row>
    <row r="6" spans="1:130" x14ac:dyDescent="0.25">
      <c r="A6" s="39" t="s">
        <v>240</v>
      </c>
      <c r="B6" s="39" t="s">
        <v>87</v>
      </c>
      <c r="C6" s="139">
        <v>43</v>
      </c>
      <c r="D6" s="139">
        <v>109</v>
      </c>
      <c r="E6" s="139">
        <v>0</v>
      </c>
      <c r="F6" s="139">
        <v>0</v>
      </c>
      <c r="G6" s="139">
        <v>98</v>
      </c>
      <c r="H6" s="139">
        <v>0</v>
      </c>
      <c r="I6" s="139">
        <v>87</v>
      </c>
      <c r="J6" s="139">
        <v>519</v>
      </c>
      <c r="K6" s="139">
        <v>1613</v>
      </c>
      <c r="L6" s="139">
        <v>6070</v>
      </c>
      <c r="M6" s="139">
        <v>5688</v>
      </c>
      <c r="N6" s="139">
        <v>9283</v>
      </c>
      <c r="O6" s="139">
        <v>7085</v>
      </c>
      <c r="P6" s="139">
        <v>8360</v>
      </c>
      <c r="Q6" s="139">
        <v>1942</v>
      </c>
      <c r="R6" s="139">
        <v>9184</v>
      </c>
      <c r="S6" s="139">
        <v>3284</v>
      </c>
      <c r="T6" s="139">
        <v>22026</v>
      </c>
      <c r="U6" s="139">
        <v>48980</v>
      </c>
      <c r="V6" s="139">
        <v>32717</v>
      </c>
      <c r="W6" s="139">
        <v>21609</v>
      </c>
      <c r="X6" s="139">
        <v>9197</v>
      </c>
      <c r="Y6" s="139">
        <v>33396</v>
      </c>
      <c r="Z6" s="139">
        <v>32762</v>
      </c>
      <c r="AA6" s="139">
        <v>46725</v>
      </c>
      <c r="AB6" s="139">
        <v>13305</v>
      </c>
      <c r="AC6" s="139">
        <v>85642</v>
      </c>
      <c r="AD6" s="139">
        <v>43498</v>
      </c>
      <c r="AE6" s="139">
        <v>34370</v>
      </c>
      <c r="AF6" s="139">
        <v>7233</v>
      </c>
      <c r="AG6" s="139">
        <v>7688</v>
      </c>
      <c r="AH6" s="139">
        <v>21583</v>
      </c>
      <c r="AI6" s="139">
        <v>939</v>
      </c>
      <c r="AJ6" s="139">
        <v>3921</v>
      </c>
      <c r="AK6" s="139">
        <v>5858</v>
      </c>
      <c r="AL6" s="139">
        <v>10031</v>
      </c>
      <c r="AM6" s="139">
        <v>1106</v>
      </c>
      <c r="AN6" s="139">
        <v>4033</v>
      </c>
      <c r="AO6" s="139">
        <v>3213</v>
      </c>
      <c r="AP6" s="139">
        <v>41026</v>
      </c>
      <c r="AQ6" s="139">
        <v>160</v>
      </c>
      <c r="AR6" s="139">
        <v>0</v>
      </c>
      <c r="AS6" s="139">
        <v>12161</v>
      </c>
      <c r="AT6" s="139">
        <v>5884</v>
      </c>
      <c r="AU6" s="139">
        <v>17460</v>
      </c>
      <c r="AV6" s="139">
        <v>19551</v>
      </c>
      <c r="AW6" s="139">
        <v>33717</v>
      </c>
      <c r="AX6" s="139">
        <v>55285</v>
      </c>
      <c r="AY6" s="139">
        <v>109914</v>
      </c>
      <c r="AZ6" s="139">
        <v>34240</v>
      </c>
      <c r="BA6" s="139">
        <v>35693</v>
      </c>
      <c r="BB6" s="139">
        <v>110066</v>
      </c>
      <c r="BC6" s="139">
        <v>105974</v>
      </c>
      <c r="BD6" s="139">
        <v>26605</v>
      </c>
      <c r="BE6" s="139">
        <v>59259</v>
      </c>
      <c r="BF6" s="140">
        <f>FORECAST('Fuel Vol and Credit Gen'!BF$56,'Biofuel Feedstocks'!AJ6:BE6,'Fuel Vol and Credit Gen'!AJ$56:BE$56)</f>
        <v>43743.243168382032</v>
      </c>
      <c r="BG6" s="140">
        <f>FORECAST('Fuel Vol and Credit Gen'!BG$56,'Biofuel Feedstocks'!AK6:BF6,'Fuel Vol and Credit Gen'!AK$56:BF$56)</f>
        <v>18577.067675272163</v>
      </c>
      <c r="BH6" s="140">
        <f>FORECAST('Fuel Vol and Credit Gen'!BH$56,'Biofuel Feedstocks'!AL6:BG6,'Fuel Vol and Credit Gen'!AL$56:BG$56)</f>
        <v>54175.42830744214</v>
      </c>
      <c r="BI6" s="140">
        <f>FORECAST('Fuel Vol and Credit Gen'!BI$56,'Biofuel Feedstocks'!AM6:BH6,'Fuel Vol and Credit Gen'!AM$56:BH$56)</f>
        <v>52180.37177662224</v>
      </c>
      <c r="BJ6" s="140">
        <f>FORECAST('Fuel Vol and Credit Gen'!BJ$56,'Biofuel Feedstocks'!AN6:BI6,'Fuel Vol and Credit Gen'!AN$56:BI$56)</f>
        <v>49307.56373502448</v>
      </c>
      <c r="BK6" s="140">
        <f>FORECAST('Fuel Vol and Credit Gen'!BK$56,'Biofuel Feedstocks'!AO6:BJ6,'Fuel Vol and Credit Gen'!AO$56:BJ$56)</f>
        <v>46082.235734474103</v>
      </c>
      <c r="BL6" s="140">
        <f>FORECAST('Fuel Vol and Credit Gen'!BL$56,'Biofuel Feedstocks'!AP6:BK6,'Fuel Vol and Credit Gen'!AP$56:BK$56)</f>
        <v>58722.315856478395</v>
      </c>
      <c r="BM6" s="140">
        <f>FORECAST('Fuel Vol and Credit Gen'!BM$56,'Biofuel Feedstocks'!AQ6:BL6,'Fuel Vol and Credit Gen'!AQ$56:BL$56)</f>
        <v>52636.104158184811</v>
      </c>
      <c r="BN6" s="140">
        <f>FORECAST('Fuel Vol and Credit Gen'!BN$56,'Biofuel Feedstocks'!AR6:BM6,'Fuel Vol and Credit Gen'!AR$56:BM$56)</f>
        <v>36403.630838208861</v>
      </c>
      <c r="BO6" s="140">
        <f>FORECAST('Fuel Vol and Credit Gen'!BO$56,'Biofuel Feedstocks'!AS6:BN6,'Fuel Vol and Credit Gen'!AS$56:BN$56)</f>
        <v>43601.165101563776</v>
      </c>
      <c r="BP6" s="140">
        <f>FORECAST('Fuel Vol and Credit Gen'!BP$56,'Biofuel Feedstocks'!AT6:BO6,'Fuel Vol and Credit Gen'!AT$56:BO$56)</f>
        <v>65952.905797181622</v>
      </c>
      <c r="BQ6" s="140">
        <f>FORECAST('Fuel Vol and Credit Gen'!BQ$56,'Biofuel Feedstocks'!AU6:BP6,'Fuel Vol and Credit Gen'!AU$56:BP$56)</f>
        <v>58208.692826156956</v>
      </c>
      <c r="BR6" s="140">
        <f>FORECAST('Fuel Vol and Credit Gen'!BR$56,'Biofuel Feedstocks'!AV6:BQ6,'Fuel Vol and Credit Gen'!AV$56:BQ$56)</f>
        <v>43028.75124921267</v>
      </c>
      <c r="BS6" s="140">
        <f>FORECAST('Fuel Vol and Credit Gen'!BS$56,'Biofuel Feedstocks'!AW6:BR6,'Fuel Vol and Credit Gen'!AW$56:BR$56)</f>
        <v>47609.958857830294</v>
      </c>
      <c r="BT6" s="140">
        <f>FORECAST('Fuel Vol and Credit Gen'!BT$56,'Biofuel Feedstocks'!AX6:BS6,'Fuel Vol and Credit Gen'!AX$56:BS$56)</f>
        <v>78940.790855345025</v>
      </c>
      <c r="BU6" s="140">
        <f>FORECAST('Fuel Vol and Credit Gen'!BU$56,'Biofuel Feedstocks'!AY6:BT6,'Fuel Vol and Credit Gen'!AY$56:BT$56)</f>
        <v>75362.22407693589</v>
      </c>
      <c r="BV6" s="140">
        <f>FORECAST('Fuel Vol and Credit Gen'!BV$56,'Biofuel Feedstocks'!AZ6:BU6,'Fuel Vol and Credit Gen'!AZ$56:BU$56)</f>
        <v>37124.936753761329</v>
      </c>
      <c r="BW6" s="140">
        <f>FORECAST('Fuel Vol and Credit Gen'!BW$56,'Biofuel Feedstocks'!BA6:BV6,'Fuel Vol and Credit Gen'!BA$56:BV$56)</f>
        <v>49614.61809233237</v>
      </c>
      <c r="BX6" s="140">
        <f>FORECAST('Fuel Vol and Credit Gen'!BX$56,'Biofuel Feedstocks'!BB6:BW6,'Fuel Vol and Credit Gen'!BB$56:BW$56)</f>
        <v>69094.110497013462</v>
      </c>
      <c r="BY6" s="140">
        <f>FORECAST('Fuel Vol and Credit Gen'!BY$56,'Biofuel Feedstocks'!BC6:BX6,'Fuel Vol and Credit Gen'!BC$56:BX$56)</f>
        <v>63861.436854287887</v>
      </c>
      <c r="BZ6" s="140">
        <f>FORECAST('Fuel Vol and Credit Gen'!BZ$56,'Biofuel Feedstocks'!BD6:BY6,'Fuel Vol and Credit Gen'!BD$56:BY$56)</f>
        <v>39771.633998922844</v>
      </c>
      <c r="CA6" s="140">
        <f>FORECAST('Fuel Vol and Credit Gen'!CA$56,'Biofuel Feedstocks'!BE6:BZ6,'Fuel Vol and Credit Gen'!BE$56:BZ$56)</f>
        <v>46868.317182680228</v>
      </c>
      <c r="CB6" s="140">
        <f>FORECAST('Fuel Vol and Credit Gen'!CB$56,'Biofuel Feedstocks'!BF6:CA6,'Fuel Vol and Credit Gen'!BF$56:CA$56)</f>
        <v>65233.350983510078</v>
      </c>
      <c r="CC6" s="140">
        <f>FORECAST('Fuel Vol and Credit Gen'!CC$56,'Biofuel Feedstocks'!BG6:CB6,'Fuel Vol and Credit Gen'!BG$56:CB$56)</f>
        <v>61018.513311896691</v>
      </c>
      <c r="CD6" s="140">
        <f>FORECAST('Fuel Vol and Credit Gen'!CD$56,'Biofuel Feedstocks'!BH6:CC6,'Fuel Vol and Credit Gen'!BH$56:CC$56)</f>
        <v>32115.216474158966</v>
      </c>
      <c r="CE6" s="140">
        <f>FORECAST('Fuel Vol and Credit Gen'!CE$56,'Biofuel Feedstocks'!BI6:CD6,'Fuel Vol and Credit Gen'!BI$56:CD$56)</f>
        <v>50216.201018293257</v>
      </c>
      <c r="CF6" s="140">
        <f>FORECAST('Fuel Vol and Credit Gen'!CF$56,'Biofuel Feedstocks'!BJ6:CE6,'Fuel Vol and Credit Gen'!BJ$56:CE$56)</f>
        <v>62741.002279154818</v>
      </c>
      <c r="CG6" s="140">
        <f>FORECAST('Fuel Vol and Credit Gen'!CG$56,'Biofuel Feedstocks'!BK6:CF6,'Fuel Vol and Credit Gen'!BK$56:CF$56)</f>
        <v>61687.262211898917</v>
      </c>
      <c r="CH6" s="140">
        <f>FORECAST('Fuel Vol and Credit Gen'!CH$56,'Biofuel Feedstocks'!BL6:CG6,'Fuel Vol and Credit Gen'!BL$56:CG$56)</f>
        <v>35632.789741868721</v>
      </c>
      <c r="CI6" s="140">
        <f>FORECAST('Fuel Vol and Credit Gen'!CI$56,'Biofuel Feedstocks'!BM6:CH6,'Fuel Vol and Credit Gen'!BM$56:CH$56)</f>
        <v>49253.661306864611</v>
      </c>
      <c r="CJ6" s="140">
        <f>FORECAST('Fuel Vol and Credit Gen'!CJ$56,'Biofuel Feedstocks'!BN6:CI6,'Fuel Vol and Credit Gen'!BN$56:CI$56)</f>
        <v>61285.561057120794</v>
      </c>
      <c r="CK6" s="140">
        <f>FORECAST('Fuel Vol and Credit Gen'!CK$56,'Biofuel Feedstocks'!BO6:CJ6,'Fuel Vol and Credit Gen'!BO$56:CJ$56)</f>
        <v>57345.133724840234</v>
      </c>
      <c r="CL6" s="140">
        <f>FORECAST('Fuel Vol and Credit Gen'!CL$56,'Biofuel Feedstocks'!BP6:CK6,'Fuel Vol and Credit Gen'!BP$56:CK$56)</f>
        <v>40742.83638413217</v>
      </c>
      <c r="CM6" s="140">
        <f>FORECAST('Fuel Vol and Credit Gen'!CM$56,'Biofuel Feedstocks'!BQ6:CL6,'Fuel Vol and Credit Gen'!BQ$56:CL$56)</f>
        <v>47564.654275335692</v>
      </c>
      <c r="CN6" s="140">
        <f>FORECAST('Fuel Vol and Credit Gen'!CN$56,'Biofuel Feedstocks'!BR6:CM6,'Fuel Vol and Credit Gen'!BR$56:CM$56)</f>
        <v>66634.872879631148</v>
      </c>
      <c r="CO6" s="140">
        <f>FORECAST('Fuel Vol and Credit Gen'!CO$56,'Biofuel Feedstocks'!BS6:CN6,'Fuel Vol and Credit Gen'!BS$56:CN$56)</f>
        <v>58442.401033682348</v>
      </c>
      <c r="CP6" s="140">
        <f>FORECAST('Fuel Vol and Credit Gen'!CP$56,'Biofuel Feedstocks'!BT6:CO6,'Fuel Vol and Credit Gen'!BT$56:CO$56)</f>
        <v>36597.892548958698</v>
      </c>
      <c r="CQ6" s="140">
        <f>FORECAST('Fuel Vol and Credit Gen'!CQ$56,'Biofuel Feedstocks'!BU6:CP6,'Fuel Vol and Credit Gen'!BU$56:CP$56)</f>
        <v>45898.647490460869</v>
      </c>
      <c r="CR6" s="140">
        <f>FORECAST('Fuel Vol and Credit Gen'!CR$56,'Biofuel Feedstocks'!BV6:CQ6,'Fuel Vol and Credit Gen'!BV$56:CQ$56)</f>
        <v>68226.375956110234</v>
      </c>
      <c r="CS6" s="140">
        <f>FORECAST('Fuel Vol and Credit Gen'!CS$56,'Biofuel Feedstocks'!BW6:CR6,'Fuel Vol and Credit Gen'!BW$56:CR$56)</f>
        <v>60056.691128857936</v>
      </c>
      <c r="CT6" s="140">
        <f>FORECAST('Fuel Vol and Credit Gen'!CT$56,'Biofuel Feedstocks'!BX6:CS6,'Fuel Vol and Credit Gen'!BX$56:CS$56)</f>
        <v>34960.671121999258</v>
      </c>
      <c r="CU6" s="140">
        <f>FORECAST('Fuel Vol and Credit Gen'!CU$56,'Biofuel Feedstocks'!BY6:CT6,'Fuel Vol and Credit Gen'!BY$56:CT$56)</f>
        <v>44952.019206109137</v>
      </c>
      <c r="CV6" s="140">
        <f>FORECAST('Fuel Vol and Credit Gen'!CV$56,'Biofuel Feedstocks'!BZ6:CU6,'Fuel Vol and Credit Gen'!BZ$56:CU$56)</f>
        <v>71160.952211938187</v>
      </c>
      <c r="CW6" s="140">
        <f>FORECAST('Fuel Vol and Credit Gen'!CW$56,'Biofuel Feedstocks'!CA6:CV6,'Fuel Vol and Credit Gen'!CA$56:CV$56)</f>
        <v>63167.22494502028</v>
      </c>
      <c r="CX6" s="140">
        <f>FORECAST('Fuel Vol and Credit Gen'!CX$56,'Biofuel Feedstocks'!CB6:CW6,'Fuel Vol and Credit Gen'!CB$56:CW$56)</f>
        <v>34527.90937013147</v>
      </c>
      <c r="CY6" s="140">
        <f>FORECAST('Fuel Vol and Credit Gen'!CY$56,'Biofuel Feedstocks'!CC6:CX6,'Fuel Vol and Credit Gen'!CC$56:CX$56)</f>
        <v>40626.201431906113</v>
      </c>
      <c r="CZ6" s="140">
        <f>FORECAST('Fuel Vol and Credit Gen'!CZ$56,'Biofuel Feedstocks'!CD6:CY6,'Fuel Vol and Credit Gen'!CD$56:CY$56)</f>
        <v>83505.298330327831</v>
      </c>
      <c r="DA6" s="140">
        <f>FORECAST('Fuel Vol and Credit Gen'!DA$56,'Biofuel Feedstocks'!CE6:CZ6,'Fuel Vol and Credit Gen'!CE$56:CZ$56)</f>
        <v>66449.016205044056</v>
      </c>
      <c r="DB6" s="140">
        <f>FORECAST('Fuel Vol and Credit Gen'!DB$56,'Biofuel Feedstocks'!CF6:DA6,'Fuel Vol and Credit Gen'!CF$56:DA$56)</f>
        <v>33695.012917449159</v>
      </c>
      <c r="DC6" s="140">
        <f>FORECAST('Fuel Vol and Credit Gen'!DC$56,'Biofuel Feedstocks'!CG6:DB6,'Fuel Vol and Credit Gen'!CG$56:DB$56)</f>
        <v>33813.553275892002</v>
      </c>
      <c r="DD6" s="140">
        <f>FORECAST('Fuel Vol and Credit Gen'!DD$56,'Biofuel Feedstocks'!CH6:DC6,'Fuel Vol and Credit Gen'!CH$56:DC$56)</f>
        <v>96364.629940951228</v>
      </c>
      <c r="DE6" s="140">
        <f>FORECAST('Fuel Vol and Credit Gen'!DE$56,'Biofuel Feedstocks'!CI6:DD6,'Fuel Vol and Credit Gen'!CI$56:DD$56)</f>
        <v>70283.899870178691</v>
      </c>
      <c r="DF6" s="140">
        <f>FORECAST('Fuel Vol and Credit Gen'!DF$56,'Biofuel Feedstocks'!CJ6:DE6,'Fuel Vol and Credit Gen'!CJ$56:DE$56)</f>
        <v>32149.457977344617</v>
      </c>
      <c r="DG6" s="140">
        <f>FORECAST('Fuel Vol and Credit Gen'!DG$56,'Biofuel Feedstocks'!CK6:DF6,'Fuel Vol and Credit Gen'!CK$56:DF$56)</f>
        <v>31916.589459353592</v>
      </c>
      <c r="DH6" s="140">
        <f>FORECAST('Fuel Vol and Credit Gen'!DH$56,'Biofuel Feedstocks'!CL6:DG6,'Fuel Vol and Credit Gen'!CL$56:DG$56)</f>
        <v>97827.068160487484</v>
      </c>
      <c r="DI6" s="140">
        <f>FORECAST('Fuel Vol and Credit Gen'!DI$56,'Biofuel Feedstocks'!CM6:DH6,'Fuel Vol and Credit Gen'!CM$56:DH$56)</f>
        <v>69365.039083598909</v>
      </c>
      <c r="DJ6" s="140">
        <f>FORECAST('Fuel Vol and Credit Gen'!DJ$56,'Biofuel Feedstocks'!CN6:DI6,'Fuel Vol and Credit Gen'!CN$56:DI$56)</f>
        <v>30936.391795468357</v>
      </c>
      <c r="DK6" s="140">
        <f>FORECAST('Fuel Vol and Credit Gen'!DK$56,'Biofuel Feedstocks'!CO6:DJ6,'Fuel Vol and Credit Gen'!CO$56:DJ$56)</f>
        <v>26446.816173081912</v>
      </c>
      <c r="DL6" s="140">
        <f>FORECAST('Fuel Vol and Credit Gen'!DL$56,'Biofuel Feedstocks'!CP6:DK6,'Fuel Vol and Credit Gen'!CP$56:DK$56)</f>
        <v>107268.57075043638</v>
      </c>
      <c r="DM6" s="140">
        <f>FORECAST('Fuel Vol and Credit Gen'!DM$56,'Biofuel Feedstocks'!CQ6:DL6,'Fuel Vol and Credit Gen'!CQ$56:DL$56)</f>
        <v>71984.09936267139</v>
      </c>
      <c r="DN6" s="140">
        <f>FORECAST('Fuel Vol and Credit Gen'!DN$56,'Biofuel Feedstocks'!CR6:DM6,'Fuel Vol and Credit Gen'!CR$56:DM$56)</f>
        <v>29101.347162083723</v>
      </c>
      <c r="DO6" s="140">
        <f>FORECAST('Fuel Vol and Credit Gen'!DO$56,'Biofuel Feedstocks'!CS6:DN6,'Fuel Vol and Credit Gen'!CS$56:DN$56)</f>
        <v>17141.803088941786</v>
      </c>
      <c r="DP6" s="140">
        <f>FORECAST('Fuel Vol and Credit Gen'!DP$56,'Biofuel Feedstocks'!CT6:DO6,'Fuel Vol and Credit Gen'!CT$56:DO$56)</f>
        <v>110224.607901803</v>
      </c>
      <c r="DQ6" s="140">
        <f>FORECAST('Fuel Vol and Credit Gen'!DQ$56,'Biofuel Feedstocks'!CU6:DP6,'Fuel Vol and Credit Gen'!CU$56:DP$56)</f>
        <v>75214.89819040976</v>
      </c>
      <c r="DR6" s="140">
        <f>FORECAST('Fuel Vol and Credit Gen'!DR$56,'Biofuel Feedstocks'!CV6:DQ6,'Fuel Vol and Credit Gen'!CV$56:DQ$56)</f>
        <v>27760.192047747565</v>
      </c>
      <c r="DS6" s="140">
        <f>FORECAST('Fuel Vol and Credit Gen'!DS$56,'Biofuel Feedstocks'!CW6:DR6,'Fuel Vol and Credit Gen'!CW$56:DR$56)</f>
        <v>27743.306268825632</v>
      </c>
      <c r="DT6" s="140">
        <f>FORECAST('Fuel Vol and Credit Gen'!DT$56,'Biofuel Feedstocks'!CX6:DS6,'Fuel Vol and Credit Gen'!CX$56:DS$56)</f>
        <v>27731.045312683636</v>
      </c>
      <c r="DU6" s="140">
        <f>FORECAST('Fuel Vol and Credit Gen'!DU$56,'Biofuel Feedstocks'!CY6:DT6,'Fuel Vol and Credit Gen'!CY$56:DT$56)</f>
        <v>27769.574204264369</v>
      </c>
      <c r="DV6" s="140">
        <f>FORECAST('Fuel Vol and Credit Gen'!DV$56,'Biofuel Feedstocks'!CZ6:DU6,'Fuel Vol and Credit Gen'!CZ$56:DU$56)</f>
        <v>27776.831760593908</v>
      </c>
      <c r="DW6" s="140">
        <f>FORECAST('Fuel Vol and Credit Gen'!DW$56,'Biofuel Feedstocks'!DA6:DV6,'Fuel Vol and Credit Gen'!DA$56:DV$56)</f>
        <v>27755.592627836144</v>
      </c>
      <c r="DX6" s="140">
        <f>FORECAST('Fuel Vol and Credit Gen'!DX$56,'Biofuel Feedstocks'!DB6:DW6,'Fuel Vol and Credit Gen'!DB$56:DW$56)</f>
        <v>27734.816331693073</v>
      </c>
      <c r="DY6" s="140">
        <f>FORECAST('Fuel Vol and Credit Gen'!DY$56,'Biofuel Feedstocks'!DC6:DX6,'Fuel Vol and Credit Gen'!DC$56:DX$56)</f>
        <v>27758.860068886468</v>
      </c>
      <c r="DZ6" s="140">
        <f>FORECAST('Fuel Vol and Credit Gen'!DZ$56,'Biofuel Feedstocks'!DD6:DY6,'Fuel Vol and Credit Gen'!DD$56:DY$56)</f>
        <v>27755.071119584842</v>
      </c>
    </row>
    <row r="7" spans="1:130" x14ac:dyDescent="0.25">
      <c r="A7" s="39" t="s">
        <v>241</v>
      </c>
      <c r="B7" s="39" t="s">
        <v>87</v>
      </c>
      <c r="C7" s="139">
        <v>280</v>
      </c>
      <c r="D7" s="139">
        <v>0</v>
      </c>
      <c r="E7" s="139">
        <v>0</v>
      </c>
      <c r="F7" s="139">
        <v>1692</v>
      </c>
      <c r="G7" s="139">
        <v>0</v>
      </c>
      <c r="H7" s="139">
        <v>20</v>
      </c>
      <c r="I7" s="139">
        <v>311</v>
      </c>
      <c r="J7" s="139">
        <v>502</v>
      </c>
      <c r="K7" s="139">
        <v>1929</v>
      </c>
      <c r="L7" s="139">
        <v>22328</v>
      </c>
      <c r="M7" s="139">
        <v>33680</v>
      </c>
      <c r="N7" s="139">
        <v>70810</v>
      </c>
      <c r="O7" s="139">
        <v>76718</v>
      </c>
      <c r="P7" s="139">
        <v>67930</v>
      </c>
      <c r="Q7" s="139">
        <v>37354</v>
      </c>
      <c r="R7" s="139">
        <v>74732</v>
      </c>
      <c r="S7" s="139">
        <v>57118</v>
      </c>
      <c r="T7" s="139">
        <v>72012</v>
      </c>
      <c r="U7" s="139">
        <v>131089</v>
      </c>
      <c r="V7" s="139">
        <v>182224</v>
      </c>
      <c r="W7" s="139">
        <v>195693</v>
      </c>
      <c r="X7" s="139">
        <v>205468</v>
      </c>
      <c r="Y7" s="139">
        <v>266303</v>
      </c>
      <c r="Z7" s="139">
        <v>302222</v>
      </c>
      <c r="AA7" s="139">
        <v>58658</v>
      </c>
      <c r="AB7" s="139">
        <v>103758</v>
      </c>
      <c r="AC7" s="139">
        <v>117590</v>
      </c>
      <c r="AD7" s="139">
        <v>143959</v>
      </c>
      <c r="AE7" s="139">
        <v>129380</v>
      </c>
      <c r="AF7" s="139">
        <v>110704</v>
      </c>
      <c r="AG7" s="139">
        <v>186986</v>
      </c>
      <c r="AH7" s="139">
        <v>208424</v>
      </c>
      <c r="AI7" s="139">
        <v>150823</v>
      </c>
      <c r="AJ7" s="139">
        <v>222112</v>
      </c>
      <c r="AK7" s="139">
        <v>263050</v>
      </c>
      <c r="AL7" s="139">
        <v>220723</v>
      </c>
      <c r="AM7" s="139">
        <v>253131</v>
      </c>
      <c r="AN7" s="139">
        <v>147977</v>
      </c>
      <c r="AO7" s="139">
        <v>216961</v>
      </c>
      <c r="AP7" s="139">
        <v>273614</v>
      </c>
      <c r="AQ7" s="139">
        <v>239381</v>
      </c>
      <c r="AR7" s="139">
        <v>259705</v>
      </c>
      <c r="AS7" s="139">
        <v>236600</v>
      </c>
      <c r="AT7" s="139">
        <v>180779</v>
      </c>
      <c r="AU7" s="139">
        <v>279063</v>
      </c>
      <c r="AV7" s="139">
        <v>101548</v>
      </c>
      <c r="AW7" s="139">
        <v>159976</v>
      </c>
      <c r="AX7" s="139">
        <v>168359</v>
      </c>
      <c r="AY7" s="139">
        <v>198138</v>
      </c>
      <c r="AZ7" s="139">
        <v>141601</v>
      </c>
      <c r="BA7" s="139">
        <v>104450</v>
      </c>
      <c r="BB7" s="139">
        <v>119674</v>
      </c>
      <c r="BC7" s="139">
        <v>98334</v>
      </c>
      <c r="BD7" s="139">
        <v>106296</v>
      </c>
      <c r="BE7" s="139">
        <v>103959</v>
      </c>
      <c r="BF7" s="140">
        <f>FORECAST('Fuel Vol and Credit Gen'!BF$56,'Biofuel Feedstocks'!AJ7:BE7,'Fuel Vol and Credit Gen'!AJ$56:BE$56)</f>
        <v>142300.9947363695</v>
      </c>
      <c r="BG7" s="140">
        <f>FORECAST('Fuel Vol and Credit Gen'!BG$56,'Biofuel Feedstocks'!AK7:BF7,'Fuel Vol and Credit Gen'!AK$56:BF$56)</f>
        <v>233888.3227540373</v>
      </c>
      <c r="BH7" s="140">
        <f>FORECAST('Fuel Vol and Credit Gen'!BH$56,'Biofuel Feedstocks'!AL7:BG7,'Fuel Vol and Credit Gen'!AL$56:BG$56)</f>
        <v>111679.81177810719</v>
      </c>
      <c r="BI7" s="140">
        <f>FORECAST('Fuel Vol and Credit Gen'!BI$56,'Biofuel Feedstocks'!AM7:BH7,'Fuel Vol and Credit Gen'!AM$56:BH$56)</f>
        <v>121827.47674424571</v>
      </c>
      <c r="BJ7" s="140">
        <f>FORECAST('Fuel Vol and Credit Gen'!BJ$56,'Biofuel Feedstocks'!AN7:BI7,'Fuel Vol and Credit Gen'!AN$56:BI$56)</f>
        <v>134209.41881453397</v>
      </c>
      <c r="BK7" s="140">
        <f>FORECAST('Fuel Vol and Credit Gen'!BK$56,'Biofuel Feedstocks'!AO7:BJ7,'Fuel Vol and Credit Gen'!AO$56:BJ$56)</f>
        <v>151825.11940150938</v>
      </c>
      <c r="BL7" s="140">
        <f>FORECAST('Fuel Vol and Credit Gen'!BL$56,'Biofuel Feedstocks'!AP7:BK7,'Fuel Vol and Credit Gen'!AP$56:BK$56)</f>
        <v>111225.85856907337</v>
      </c>
      <c r="BM7" s="140">
        <f>FORECAST('Fuel Vol and Credit Gen'!BM$56,'Biofuel Feedstocks'!AQ7:BL7,'Fuel Vol and Credit Gen'!AQ$56:BL$56)</f>
        <v>133767.05420777373</v>
      </c>
      <c r="BN7" s="140">
        <f>FORECAST('Fuel Vol and Credit Gen'!BN$56,'Biofuel Feedstocks'!AR7:BM7,'Fuel Vol and Credit Gen'!AR$56:BM$56)</f>
        <v>178619.19507532133</v>
      </c>
      <c r="BO7" s="140">
        <f>FORECAST('Fuel Vol and Credit Gen'!BO$56,'Biofuel Feedstocks'!AS7:BN7,'Fuel Vol and Credit Gen'!AS$56:BN$56)</f>
        <v>160634.56120102864</v>
      </c>
      <c r="BP7" s="140">
        <f>FORECAST('Fuel Vol and Credit Gen'!BP$56,'Biofuel Feedstocks'!AT7:BO7,'Fuel Vol and Credit Gen'!AT$56:BO$56)</f>
        <v>97841.792478578369</v>
      </c>
      <c r="BQ7" s="140">
        <f>FORECAST('Fuel Vol and Credit Gen'!BQ$56,'Biofuel Feedstocks'!AU7:BP7,'Fuel Vol and Credit Gen'!AU$56:BP$56)</f>
        <v>118345.51921211177</v>
      </c>
      <c r="BR7" s="140">
        <f>FORECAST('Fuel Vol and Credit Gen'!BR$56,'Biofuel Feedstocks'!AV7:BQ7,'Fuel Vol and Credit Gen'!AV$56:BQ$56)</f>
        <v>172355.08274711293</v>
      </c>
      <c r="BS7" s="140">
        <f>FORECAST('Fuel Vol and Credit Gen'!BS$56,'Biofuel Feedstocks'!AW7:BR7,'Fuel Vol and Credit Gen'!AW$56:BR$56)</f>
        <v>170229.87506880815</v>
      </c>
      <c r="BT7" s="140">
        <f>FORECAST('Fuel Vol and Credit Gen'!BT$56,'Biofuel Feedstocks'!AX7:BS7,'Fuel Vol and Credit Gen'!AX$56:BS$56)</f>
        <v>3506.6324385973858</v>
      </c>
      <c r="BU7" s="140">
        <f>FORECAST('Fuel Vol and Credit Gen'!BU$56,'Biofuel Feedstocks'!AY7:BT7,'Fuel Vol and Credit Gen'!AY$56:BT$56)</f>
        <v>26248.997154520534</v>
      </c>
      <c r="BV7" s="140">
        <f>FORECAST('Fuel Vol and Credit Gen'!BV$56,'Biofuel Feedstocks'!AZ7:BU7,'Fuel Vol and Credit Gen'!AZ$56:BU$56)</f>
        <v>206361.37375042413</v>
      </c>
      <c r="BW7" s="140">
        <f>FORECAST('Fuel Vol and Credit Gen'!BW$56,'Biofuel Feedstocks'!BA7:BV7,'Fuel Vol and Credit Gen'!BA$56:BV$56)</f>
        <v>150849.39904728087</v>
      </c>
      <c r="BX7" s="140">
        <f>FORECAST('Fuel Vol and Credit Gen'!BX$56,'Biofuel Feedstocks'!BB7:BW7,'Fuel Vol and Credit Gen'!BB$56:BW$56)</f>
        <v>60951.478317352434</v>
      </c>
      <c r="BY7" s="140">
        <f>FORECAST('Fuel Vol and Credit Gen'!BY$56,'Biofuel Feedstocks'!BC7:BX7,'Fuel Vol and Credit Gen'!BC$56:BX$56)</f>
        <v>81215.535566348786</v>
      </c>
      <c r="BZ7" s="140">
        <f>FORECAST('Fuel Vol and Credit Gen'!BZ$56,'Biofuel Feedstocks'!BD7:BY7,'Fuel Vol and Credit Gen'!BD$56:BY$56)</f>
        <v>175932.63147128519</v>
      </c>
      <c r="CA7" s="140">
        <f>FORECAST('Fuel Vol and Credit Gen'!CA$56,'Biofuel Feedstocks'!BE7:BZ7,'Fuel Vol and Credit Gen'!BE$56:BZ$56)</f>
        <v>150807.77736496559</v>
      </c>
      <c r="CB7" s="140">
        <f>FORECAST('Fuel Vol and Credit Gen'!CB$56,'Biofuel Feedstocks'!BF7:CA7,'Fuel Vol and Credit Gen'!BF$56:CA$56)</f>
        <v>73562.859191194264</v>
      </c>
      <c r="CC7" s="140">
        <f>FORECAST('Fuel Vol and Credit Gen'!CC$56,'Biofuel Feedstocks'!BG7:CB7,'Fuel Vol and Credit Gen'!BG$56:CB$56)</f>
        <v>92310.271185262012</v>
      </c>
      <c r="CD7" s="140">
        <f>FORECAST('Fuel Vol and Credit Gen'!CD$56,'Biofuel Feedstocks'!BH7:CC7,'Fuel Vol and Credit Gen'!BH$56:CC$56)</f>
        <v>220750.79570499802</v>
      </c>
      <c r="CE7" s="140">
        <f>FORECAST('Fuel Vol and Credit Gen'!CE$56,'Biofuel Feedstocks'!BI7:CD7,'Fuel Vol and Credit Gen'!BI$56:CD$56)</f>
        <v>140654.78507737516</v>
      </c>
      <c r="CF7" s="140">
        <f>FORECAST('Fuel Vol and Credit Gen'!CF$56,'Biofuel Feedstocks'!BJ7:CE7,'Fuel Vol and Credit Gen'!BJ$56:CE$56)</f>
        <v>85753.052450268995</v>
      </c>
      <c r="CG7" s="140">
        <f>FORECAST('Fuel Vol and Credit Gen'!CG$56,'Biofuel Feedstocks'!BK7:CF7,'Fuel Vol and Credit Gen'!BK$56:CF$56)</f>
        <v>90874.044682798136</v>
      </c>
      <c r="CH7" s="140">
        <f>FORECAST('Fuel Vol and Credit Gen'!CH$56,'Biofuel Feedstocks'!BL7:CG7,'Fuel Vol and Credit Gen'!BL$56:CG$56)</f>
        <v>206666.41060976696</v>
      </c>
      <c r="CI7" s="140">
        <f>FORECAST('Fuel Vol and Credit Gen'!CI$56,'Biofuel Feedstocks'!BM7:CH7,'Fuel Vol and Credit Gen'!BM$56:CH$56)</f>
        <v>145993.03045095029</v>
      </c>
      <c r="CJ7" s="140">
        <f>FORECAST('Fuel Vol and Credit Gen'!CJ$56,'Biofuel Feedstocks'!BN7:CI7,'Fuel Vol and Credit Gen'!BN$56:CI$56)</f>
        <v>92439.713842047247</v>
      </c>
      <c r="CK7" s="140">
        <f>FORECAST('Fuel Vol and Credit Gen'!CK$56,'Biofuel Feedstocks'!BO7:CJ7,'Fuel Vol and Credit Gen'!BO$56:CJ$56)</f>
        <v>110827.83871763716</v>
      </c>
      <c r="CL7" s="140">
        <f>FORECAST('Fuel Vol and Credit Gen'!CL$56,'Biofuel Feedstocks'!BP7:CK7,'Fuel Vol and Credit Gen'!BP$56:CK$56)</f>
        <v>186749.39186826325</v>
      </c>
      <c r="CM7" s="140">
        <f>FORECAST('Fuel Vol and Credit Gen'!CM$56,'Biofuel Feedstocks'!BQ7:CL7,'Fuel Vol and Credit Gen'!BQ$56:CL$56)</f>
        <v>154858.4688991601</v>
      </c>
      <c r="CN7" s="140">
        <f>FORECAST('Fuel Vol and Credit Gen'!CN$56,'Biofuel Feedstocks'!BR7:CM7,'Fuel Vol and Credit Gen'!BR$56:CM$56)</f>
        <v>66773.22330495168</v>
      </c>
      <c r="CO7" s="140">
        <f>FORECAST('Fuel Vol and Credit Gen'!CO$56,'Biofuel Feedstocks'!BS7:CN7,'Fuel Vol and Credit Gen'!BS$56:CN$56)</f>
        <v>104477.7848872727</v>
      </c>
      <c r="CP7" s="140">
        <f>FORECAST('Fuel Vol and Credit Gen'!CP$56,'Biofuel Feedstocks'!BT7:CO7,'Fuel Vol and Credit Gen'!BT$56:CO$56)</f>
        <v>203304.93474503461</v>
      </c>
      <c r="CQ7" s="140">
        <f>FORECAST('Fuel Vol and Credit Gen'!CQ$56,'Biofuel Feedstocks'!BU7:CP7,'Fuel Vol and Credit Gen'!BU$56:CP$56)</f>
        <v>160879.079353565</v>
      </c>
      <c r="CR7" s="140">
        <f>FORECAST('Fuel Vol and Credit Gen'!CR$56,'Biofuel Feedstocks'!BV7:CQ7,'Fuel Vol and Credit Gen'!BV$56:CQ$56)</f>
        <v>61142.706532203854</v>
      </c>
      <c r="CS7" s="140">
        <f>FORECAST('Fuel Vol and Credit Gen'!CS$56,'Biofuel Feedstocks'!BW7:CR7,'Fuel Vol and Credit Gen'!BW$56:CR$56)</f>
        <v>97634.42354597451</v>
      </c>
      <c r="CT7" s="140">
        <f>FORECAST('Fuel Vol and Credit Gen'!CT$56,'Biofuel Feedstocks'!BX7:CS7,'Fuel Vol and Credit Gen'!BX$56:CS$56)</f>
        <v>208038.56814606211</v>
      </c>
      <c r="CU7" s="140">
        <f>FORECAST('Fuel Vol and Credit Gen'!CU$56,'Biofuel Feedstocks'!BY7:CT7,'Fuel Vol and Credit Gen'!BY$56:CT$56)</f>
        <v>163978.45680699722</v>
      </c>
      <c r="CV7" s="140">
        <f>FORECAST('Fuel Vol and Credit Gen'!CV$56,'Biofuel Feedstocks'!BZ7:CU7,'Fuel Vol and Credit Gen'!BZ$56:CU$56)</f>
        <v>47841.576343560504</v>
      </c>
      <c r="CW7" s="140">
        <f>FORECAST('Fuel Vol and Credit Gen'!CW$56,'Biofuel Feedstocks'!CA7:CV7,'Fuel Vol and Credit Gen'!CA$56:CV$56)</f>
        <v>83387.098191521742</v>
      </c>
      <c r="CX7" s="140">
        <f>FORECAST('Fuel Vol and Credit Gen'!CX$56,'Biofuel Feedstocks'!CB7:CW7,'Fuel Vol and Credit Gen'!CB$56:CW$56)</f>
        <v>211683.40605456906</v>
      </c>
      <c r="CY7" s="140">
        <f>FORECAST('Fuel Vol and Credit Gen'!CY$56,'Biofuel Feedstocks'!CC7:CX7,'Fuel Vol and Credit Gen'!CC$56:CX$56)</f>
        <v>184397.17665826163</v>
      </c>
      <c r="CZ7" s="140">
        <f>FORECAST('Fuel Vol and Credit Gen'!CZ$56,'Biofuel Feedstocks'!CD7:CY7,'Fuel Vol and Credit Gen'!CD$56:CY$56)</f>
        <v>-7168.9191488281649</v>
      </c>
      <c r="DA7" s="140">
        <f>FORECAST('Fuel Vol and Credit Gen'!DA$56,'Biofuel Feedstocks'!CE7:CZ7,'Fuel Vol and Credit Gen'!CE$56:CZ$56)</f>
        <v>68993.706150755141</v>
      </c>
      <c r="DB7" s="140">
        <f>FORECAST('Fuel Vol and Credit Gen'!DB$56,'Biofuel Feedstocks'!CF7:DA7,'Fuel Vol and Credit Gen'!CF$56:DA$56)</f>
        <v>215695.88389131331</v>
      </c>
      <c r="DC7" s="140">
        <f>FORECAST('Fuel Vol and Credit Gen'!DC$56,'Biofuel Feedstocks'!CG7:DB7,'Fuel Vol and Credit Gen'!CG$56:DB$56)</f>
        <v>215164.93190053065</v>
      </c>
      <c r="DD7" s="140">
        <f>FORECAST('Fuel Vol and Credit Gen'!DD$56,'Biofuel Feedstocks'!CH7:DC7,'Fuel Vol and Credit Gen'!CH$56:DC$56)</f>
        <v>-65023.241026233802</v>
      </c>
      <c r="DE7" s="140">
        <f>FORECAST('Fuel Vol and Credit Gen'!DE$56,'Biofuel Feedstocks'!CI7:DD7,'Fuel Vol and Credit Gen'!CI$56:DD$56)</f>
        <v>51799.0458054021</v>
      </c>
      <c r="DF7" s="140">
        <f>FORECAST('Fuel Vol and Credit Gen'!DF$56,'Biofuel Feedstocks'!CJ7:DE7,'Fuel Vol and Credit Gen'!CJ$56:DE$56)</f>
        <v>222656.78444311523</v>
      </c>
      <c r="DG7" s="140">
        <f>FORECAST('Fuel Vol and Credit Gen'!DG$56,'Biofuel Feedstocks'!CK7:DF7,'Fuel Vol and Credit Gen'!CK$56:DF$56)</f>
        <v>223692.97289211678</v>
      </c>
      <c r="DH7" s="140">
        <f>FORECAST('Fuel Vol and Credit Gen'!DH$56,'Biofuel Feedstocks'!CL7:DG7,'Fuel Vol and Credit Gen'!CL$56:DG$56)</f>
        <v>-71710.404359989494</v>
      </c>
      <c r="DI7" s="140">
        <f>FORECAST('Fuel Vol and Credit Gen'!DI$56,'Biofuel Feedstocks'!CM7:DH7,'Fuel Vol and Credit Gen'!CM$56:DH$56)</f>
        <v>55781.513443149131</v>
      </c>
      <c r="DJ7" s="140">
        <f>FORECAST('Fuel Vol and Credit Gen'!DJ$56,'Biofuel Feedstocks'!CN7:DI7,'Fuel Vol and Credit Gen'!CN$56:DI$56)</f>
        <v>227710.97371205664</v>
      </c>
      <c r="DK7" s="140">
        <f>FORECAST('Fuel Vol and Credit Gen'!DK$56,'Biofuel Feedstocks'!CO7:DJ7,'Fuel Vol and Credit Gen'!CO$56:DJ$56)</f>
        <v>247814.25949095422</v>
      </c>
      <c r="DL7" s="140">
        <f>FORECAST('Fuel Vol and Credit Gen'!DL$56,'Biofuel Feedstocks'!CP7:DK7,'Fuel Vol and Credit Gen'!CP$56:DK$56)</f>
        <v>-113746.96457256711</v>
      </c>
      <c r="DM7" s="140">
        <f>FORECAST('Fuel Vol and Credit Gen'!DM$56,'Biofuel Feedstocks'!CQ7:DL7,'Fuel Vol and Credit Gen'!CQ$56:DL$56)</f>
        <v>44084.333081377859</v>
      </c>
      <c r="DN7" s="140">
        <f>FORECAST('Fuel Vol and Credit Gen'!DN$56,'Biofuel Feedstocks'!CR7:DM7,'Fuel Vol and Credit Gen'!CR$56:DM$56)</f>
        <v>235855.68225832854</v>
      </c>
      <c r="DO7" s="140">
        <f>FORECAST('Fuel Vol and Credit Gen'!DO$56,'Biofuel Feedstocks'!CS7:DN7,'Fuel Vol and Credit Gen'!CS$56:DN$56)</f>
        <v>289337.28483038367</v>
      </c>
      <c r="DP7" s="140">
        <f>FORECAST('Fuel Vol and Credit Gen'!DP$56,'Biofuel Feedstocks'!CT7:DO7,'Fuel Vol and Credit Gen'!CT$56:DO$56)</f>
        <v>-126975.1080780042</v>
      </c>
      <c r="DQ7" s="140">
        <f>FORECAST('Fuel Vol and Credit Gen'!DQ$56,'Biofuel Feedstocks'!CU7:DP7,'Fuel Vol and Credit Gen'!CU$56:DP$56)</f>
        <v>29639.770997341373</v>
      </c>
      <c r="DR7" s="140">
        <f>FORECAST('Fuel Vol and Credit Gen'!DR$56,'Biofuel Feedstocks'!CV7:DQ7,'Fuel Vol and Credit Gen'!CV$56:DQ$56)</f>
        <v>242047.17691004969</v>
      </c>
      <c r="DS7" s="140">
        <f>FORECAST('Fuel Vol and Credit Gen'!DS$56,'Biofuel Feedstocks'!CW7:DR7,'Fuel Vol and Credit Gen'!CW$56:DR$56)</f>
        <v>242122.20102997212</v>
      </c>
      <c r="DT7" s="140">
        <f>FORECAST('Fuel Vol and Credit Gen'!DT$56,'Biofuel Feedstocks'!CX7:DS7,'Fuel Vol and Credit Gen'!CX$56:DS$56)</f>
        <v>242183.92462856922</v>
      </c>
      <c r="DU7" s="140">
        <f>FORECAST('Fuel Vol and Credit Gen'!DU$56,'Biofuel Feedstocks'!CY7:DT7,'Fuel Vol and Credit Gen'!CY$56:DT$56)</f>
        <v>242017.66170593427</v>
      </c>
      <c r="DV7" s="140">
        <f>FORECAST('Fuel Vol and Credit Gen'!DV$56,'Biofuel Feedstocks'!CZ7:DU7,'Fuel Vol and Credit Gen'!CZ$56:DU$56)</f>
        <v>241990.49792563776</v>
      </c>
      <c r="DW7" s="140">
        <f>FORECAST('Fuel Vol and Credit Gen'!DW$56,'Biofuel Feedstocks'!DA7:DV7,'Fuel Vol and Credit Gen'!DA$56:DV$56)</f>
        <v>242083.95247193563</v>
      </c>
      <c r="DX7" s="140">
        <f>FORECAST('Fuel Vol and Credit Gen'!DX$56,'Biofuel Feedstocks'!DB7:DW7,'Fuel Vol and Credit Gen'!DB$56:DW$56)</f>
        <v>242174.47425974123</v>
      </c>
      <c r="DY7" s="140">
        <f>FORECAST('Fuel Vol and Credit Gen'!DY$56,'Biofuel Feedstocks'!DC7:DX7,'Fuel Vol and Credit Gen'!DC$56:DX$56)</f>
        <v>242054.35281743272</v>
      </c>
      <c r="DZ7" s="140">
        <f>FORECAST('Fuel Vol and Credit Gen'!DZ$56,'Biofuel Feedstocks'!DD7:DY7,'Fuel Vol and Credit Gen'!DD$56:DY$56)</f>
        <v>242058.27458054494</v>
      </c>
    </row>
    <row r="8" spans="1:130" x14ac:dyDescent="0.25">
      <c r="A8" s="39" t="s">
        <v>242</v>
      </c>
      <c r="B8" s="39" t="s">
        <v>87</v>
      </c>
      <c r="C8" s="139">
        <v>1231</v>
      </c>
      <c r="D8" s="139">
        <v>1192</v>
      </c>
      <c r="E8" s="139">
        <v>2570</v>
      </c>
      <c r="F8" s="139">
        <v>3116</v>
      </c>
      <c r="G8" s="139">
        <v>2352</v>
      </c>
      <c r="H8" s="139">
        <v>3363</v>
      </c>
      <c r="I8" s="139">
        <v>1462</v>
      </c>
      <c r="J8" s="139">
        <v>569</v>
      </c>
      <c r="K8" s="139">
        <v>1873</v>
      </c>
      <c r="L8" s="139">
        <v>1919</v>
      </c>
      <c r="M8" s="139">
        <v>2679</v>
      </c>
      <c r="N8" s="139">
        <v>1639</v>
      </c>
      <c r="O8" s="139">
        <v>663</v>
      </c>
      <c r="P8" s="139">
        <v>185</v>
      </c>
      <c r="Q8" s="139">
        <v>30</v>
      </c>
      <c r="R8" s="139">
        <v>441</v>
      </c>
      <c r="S8" s="139">
        <v>4200</v>
      </c>
      <c r="T8" s="139">
        <v>8</v>
      </c>
      <c r="U8" s="139">
        <v>19</v>
      </c>
      <c r="V8" s="139">
        <v>7</v>
      </c>
      <c r="W8" s="139">
        <v>0</v>
      </c>
      <c r="X8" s="139">
        <v>0</v>
      </c>
      <c r="Y8" s="139">
        <v>5860</v>
      </c>
      <c r="Z8" s="139">
        <v>8645</v>
      </c>
      <c r="AA8" s="139">
        <v>3283</v>
      </c>
      <c r="AB8" s="139">
        <v>5167</v>
      </c>
      <c r="AC8" s="139">
        <v>5243</v>
      </c>
      <c r="AD8" s="139">
        <v>3946</v>
      </c>
      <c r="AE8" s="139">
        <v>4048</v>
      </c>
      <c r="AF8" s="139">
        <v>3266</v>
      </c>
      <c r="AG8" s="139">
        <v>3148</v>
      </c>
      <c r="AH8" s="139">
        <v>963</v>
      </c>
      <c r="AI8" s="139">
        <v>1344</v>
      </c>
      <c r="AJ8" s="139">
        <v>684</v>
      </c>
      <c r="AK8" s="139">
        <v>611</v>
      </c>
      <c r="AL8" s="139">
        <v>960</v>
      </c>
      <c r="AM8" s="139">
        <v>362</v>
      </c>
      <c r="AN8" s="139">
        <v>524</v>
      </c>
      <c r="AO8" s="139">
        <v>1203</v>
      </c>
      <c r="AP8" s="139">
        <v>14779</v>
      </c>
      <c r="AQ8" s="139">
        <v>168</v>
      </c>
      <c r="AR8" s="139">
        <v>1332</v>
      </c>
      <c r="AS8" s="139">
        <v>0</v>
      </c>
      <c r="AT8" s="139">
        <v>20465</v>
      </c>
      <c r="AU8" s="139">
        <v>15418</v>
      </c>
      <c r="AV8" s="139">
        <v>9613</v>
      </c>
      <c r="AW8" s="139">
        <v>6865</v>
      </c>
      <c r="AX8" s="139">
        <v>9178</v>
      </c>
      <c r="AY8" s="139">
        <v>3019</v>
      </c>
      <c r="AZ8" s="139">
        <v>1113</v>
      </c>
      <c r="BA8" s="139">
        <v>20579</v>
      </c>
      <c r="BB8" s="139">
        <v>32507</v>
      </c>
      <c r="BC8" s="139">
        <v>3662</v>
      </c>
      <c r="BD8" s="139">
        <v>279</v>
      </c>
      <c r="BE8" s="139">
        <v>2005</v>
      </c>
      <c r="BF8" s="140">
        <f>FORECAST('Fuel Vol and Credit Gen'!BF$56,'Biofuel Feedstocks'!AJ8:BE8,'Fuel Vol and Credit Gen'!AJ$56:BE$56)</f>
        <v>3654.3912132855821</v>
      </c>
      <c r="BG8" s="140">
        <f>FORECAST('Fuel Vol and Credit Gen'!BG$56,'Biofuel Feedstocks'!AK8:BF8,'Fuel Vol and Credit Gen'!AK$56:BF$56)+5000</f>
        <v>14911.227397376177</v>
      </c>
      <c r="BH8" s="140">
        <f>FORECAST('Fuel Vol and Credit Gen'!BH$56,'Biofuel Feedstocks'!AL8:BG8,'Fuel Vol and Credit Gen'!AL$56:BG$56)</f>
        <v>2833.8285681605321</v>
      </c>
      <c r="BI8" s="140">
        <f>FORECAST('Fuel Vol and Credit Gen'!BI$56,'Biofuel Feedstocks'!AM8:BH8,'Fuel Vol and Credit Gen'!AM$56:BH$56)</f>
        <v>4187.0288427917039</v>
      </c>
      <c r="BJ8" s="140">
        <f>FORECAST('Fuel Vol and Credit Gen'!BJ$56,'Biofuel Feedstocks'!AN8:BI8,'Fuel Vol and Credit Gen'!AN$56:BI$56)</f>
        <v>5728.4589066565568</v>
      </c>
      <c r="BK8" s="140">
        <f>FORECAST('Fuel Vol and Credit Gen'!BK$56,'Biofuel Feedstocks'!AO8:BJ8,'Fuel Vol and Credit Gen'!AO$56:BJ$56)</f>
        <v>6976.7035600927411</v>
      </c>
      <c r="BL8" s="140">
        <f>FORECAST('Fuel Vol and Credit Gen'!BL$56,'Biofuel Feedstocks'!AP8:BK8,'Fuel Vol and Credit Gen'!AP$56:BK$56)</f>
        <v>4754.6735997280975</v>
      </c>
      <c r="BM8" s="140">
        <f>FORECAST('Fuel Vol and Credit Gen'!BM$56,'Biofuel Feedstocks'!AQ8:BL8,'Fuel Vol and Credit Gen'!AQ$56:BL$56)</f>
        <v>6135.7164809849855</v>
      </c>
      <c r="BN8" s="140">
        <f>FORECAST('Fuel Vol and Credit Gen'!BN$56,'Biofuel Feedstocks'!AR8:BM8,'Fuel Vol and Credit Gen'!AR$56:BM$56)</f>
        <v>9311.9938938622854</v>
      </c>
      <c r="BO8" s="140">
        <f>FORECAST('Fuel Vol and Credit Gen'!BO$56,'Biofuel Feedstocks'!AS8:BN8,'Fuel Vol and Credit Gen'!AS$56:BN$56)</f>
        <v>9182.5294298277076</v>
      </c>
      <c r="BP8" s="140">
        <f>FORECAST('Fuel Vol and Credit Gen'!BP$56,'Biofuel Feedstocks'!AT8:BO8,'Fuel Vol and Credit Gen'!AT$56:BO$56)</f>
        <v>1816.3495301878502</v>
      </c>
      <c r="BQ8" s="140">
        <f>FORECAST('Fuel Vol and Credit Gen'!BQ$56,'Biofuel Feedstocks'!AU8:BP8,'Fuel Vol and Credit Gen'!AU$56:BP$56)</f>
        <v>4811.3379046215559</v>
      </c>
      <c r="BR8" s="140">
        <f>FORECAST('Fuel Vol and Credit Gen'!BR$56,'Biofuel Feedstocks'!AV8:BQ8,'Fuel Vol and Credit Gen'!AV$56:BQ$56)</f>
        <v>12763.337248783224</v>
      </c>
      <c r="BS8" s="140">
        <f>FORECAST('Fuel Vol and Credit Gen'!BS$56,'Biofuel Feedstocks'!AW8:BR8,'Fuel Vol and Credit Gen'!AW$56:BR$56)</f>
        <v>11773.427082904574</v>
      </c>
      <c r="BT8" s="140">
        <f>FORECAST('Fuel Vol and Credit Gen'!BT$56,'Biofuel Feedstocks'!AX8:BS8,'Fuel Vol and Credit Gen'!AX$56:BS$56)</f>
        <v>-12124.97538024608</v>
      </c>
      <c r="BU8" s="140">
        <f>FORECAST('Fuel Vol and Credit Gen'!BU$56,'Biofuel Feedstocks'!AY8:BT8,'Fuel Vol and Credit Gen'!AY$56:BT$56)</f>
        <v>-9026.4734866934523</v>
      </c>
      <c r="BV8" s="140">
        <f>FORECAST('Fuel Vol and Credit Gen'!BV$56,'Biofuel Feedstocks'!AZ8:BU8,'Fuel Vol and Credit Gen'!AZ$56:BU$56)</f>
        <v>18923.957110384406</v>
      </c>
      <c r="BW8" s="140">
        <f>FORECAST('Fuel Vol and Credit Gen'!BW$56,'Biofuel Feedstocks'!BA8:BV8,'Fuel Vol and Credit Gen'!BA$56:BV$56)</f>
        <v>10679.913275627445</v>
      </c>
      <c r="BX8" s="140">
        <f>FORECAST('Fuel Vol and Credit Gen'!BX$56,'Biofuel Feedstocks'!BB8:BW8,'Fuel Vol and Credit Gen'!BB$56:BW$56)</f>
        <v>-3653.0017895273268</v>
      </c>
      <c r="BY8" s="140">
        <f>FORECAST('Fuel Vol and Credit Gen'!BY$56,'Biofuel Feedstocks'!BC8:BX8,'Fuel Vol and Credit Gen'!BC$56:BX$56)</f>
        <v>-1205.9581529172028</v>
      </c>
      <c r="BZ8" s="140">
        <f>FORECAST('Fuel Vol and Credit Gen'!BZ$56,'Biofuel Feedstocks'!BD8:BY8,'Fuel Vol and Credit Gen'!BD$56:BY$56)</f>
        <v>11453.983829320594</v>
      </c>
      <c r="CA8" s="140">
        <f>FORECAST('Fuel Vol and Credit Gen'!CA$56,'Biofuel Feedstocks'!BE8:BZ8,'Fuel Vol and Credit Gen'!BE$56:BZ$56)</f>
        <v>8141.3978699502586</v>
      </c>
      <c r="CB8" s="140">
        <f>FORECAST('Fuel Vol and Credit Gen'!CB$56,'Biofuel Feedstocks'!BF8:CA8,'Fuel Vol and Credit Gen'!BF$56:CA$56)</f>
        <v>-2257.7686597497304</v>
      </c>
      <c r="CC8" s="140">
        <f>FORECAST('Fuel Vol and Credit Gen'!CC$56,'Biofuel Feedstocks'!BG8:CB8,'Fuel Vol and Credit Gen'!BG$56:CB$56)</f>
        <v>430.94432023282934</v>
      </c>
      <c r="CD8" s="140">
        <f>FORECAST('Fuel Vol and Credit Gen'!CD$56,'Biofuel Feedstocks'!BH8:CC8,'Fuel Vol and Credit Gen'!BH$56:CC$56)</f>
        <v>18601.195860363961</v>
      </c>
      <c r="CE8" s="140">
        <f>FORECAST('Fuel Vol and Credit Gen'!CE$56,'Biofuel Feedstocks'!BI8:CD8,'Fuel Vol and Credit Gen'!BI$56:CD$56)</f>
        <v>7272.2210527404313</v>
      </c>
      <c r="CF8" s="140">
        <f>FORECAST('Fuel Vol and Credit Gen'!CF$56,'Biofuel Feedstocks'!BJ8:CE8,'Fuel Vol and Credit Gen'!BJ$56:CE$56)</f>
        <v>-471.09471883464721</v>
      </c>
      <c r="CG8" s="140">
        <f>FORECAST('Fuel Vol and Credit Gen'!CG$56,'Biofuel Feedstocks'!BK8:CF8,'Fuel Vol and Credit Gen'!BK$56:CF$56)</f>
        <v>280.67037193089345</v>
      </c>
      <c r="CH8" s="140">
        <f>FORECAST('Fuel Vol and Credit Gen'!CH$56,'Biofuel Feedstocks'!BL8:CG8,'Fuel Vol and Credit Gen'!BL$56:CG$56)</f>
        <v>16797.538787663245</v>
      </c>
      <c r="CI8" s="140">
        <f>FORECAST('Fuel Vol and Credit Gen'!CI$56,'Biofuel Feedstocks'!BM8:CH8,'Fuel Vol and Credit Gen'!BM$56:CH$56)</f>
        <v>8115.488758067404</v>
      </c>
      <c r="CJ8" s="140">
        <f>FORECAST('Fuel Vol and Credit Gen'!CJ$56,'Biofuel Feedstocks'!BN8:CI8,'Fuel Vol and Credit Gen'!BN$56:CI$56)</f>
        <v>499.41495290976673</v>
      </c>
      <c r="CK8" s="140">
        <f>FORECAST('Fuel Vol and Credit Gen'!CK$56,'Biofuel Feedstocks'!BO8:CJ8,'Fuel Vol and Credit Gen'!BO$56:CJ$56)</f>
        <v>3245.1815329738747</v>
      </c>
      <c r="CL8" s="140">
        <f>FORECAST('Fuel Vol and Credit Gen'!CL$56,'Biofuel Feedstocks'!BP8:CK8,'Fuel Vol and Credit Gen'!BP$56:CK$56)</f>
        <v>14336.357541800848</v>
      </c>
      <c r="CM8" s="140">
        <f>FORECAST('Fuel Vol and Credit Gen'!CM$56,'Biofuel Feedstocks'!BQ8:CL8,'Fuel Vol and Credit Gen'!BQ$56:CL$56)</f>
        <v>9684.4884952329012</v>
      </c>
      <c r="CN8" s="140">
        <f>FORECAST('Fuel Vol and Credit Gen'!CN$56,'Biofuel Feedstocks'!BR8:CM8,'Fuel Vol and Credit Gen'!BR$56:CM$56)</f>
        <v>-3160.7020214281838</v>
      </c>
      <c r="CO8" s="140">
        <f>FORECAST('Fuel Vol and Credit Gen'!CO$56,'Biofuel Feedstocks'!BS8:CN8,'Fuel Vol and Credit Gen'!BS$56:CN$56)</f>
        <v>2312.3299134459157</v>
      </c>
      <c r="CP8" s="140">
        <f>FORECAST('Fuel Vol and Credit Gen'!CP$56,'Biofuel Feedstocks'!BT8:CO8,'Fuel Vol and Credit Gen'!BT$56:CO$56)</f>
        <v>16669.564036233747</v>
      </c>
      <c r="CQ8" s="140">
        <f>FORECAST('Fuel Vol and Credit Gen'!CQ$56,'Biofuel Feedstocks'!BU8:CP8,'Fuel Vol and Credit Gen'!BU$56:CP$56)</f>
        <v>10511.030574300657</v>
      </c>
      <c r="CR8" s="140">
        <f>FORECAST('Fuel Vol and Credit Gen'!CR$56,'Biofuel Feedstocks'!BV8:CQ8,'Fuel Vol and Credit Gen'!BV$56:CQ$56)</f>
        <v>-4032.4883955563455</v>
      </c>
      <c r="CS8" s="140">
        <f>FORECAST('Fuel Vol and Credit Gen'!CS$56,'Biofuel Feedstocks'!BW8:CR8,'Fuel Vol and Credit Gen'!BW$56:CR$56)</f>
        <v>1289.8317731660427</v>
      </c>
      <c r="CT8" s="140">
        <f>FORECAST('Fuel Vol and Credit Gen'!CT$56,'Biofuel Feedstocks'!BX8:CS8,'Fuel Vol and Credit Gen'!BX$56:CS$56)</f>
        <v>16934.831578538007</v>
      </c>
      <c r="CU8" s="140">
        <f>FORECAST('Fuel Vol and Credit Gen'!CU$56,'Biofuel Feedstocks'!BY8:CT8,'Fuel Vol and Credit Gen'!BY$56:CT$56)</f>
        <v>10667.564911776069</v>
      </c>
      <c r="CV8" s="140">
        <f>FORECAST('Fuel Vol and Credit Gen'!CV$56,'Biofuel Feedstocks'!BZ8:CU8,'Fuel Vol and Credit Gen'!BZ$56:CU$56)</f>
        <v>-5885.0218436007308</v>
      </c>
      <c r="CW8" s="140">
        <f>FORECAST('Fuel Vol and Credit Gen'!CW$56,'Biofuel Feedstocks'!CA8:CV8,'Fuel Vol and Credit Gen'!CA$56:CV$56)</f>
        <v>-807.68540286545613</v>
      </c>
      <c r="CX8" s="140">
        <f>FORECAST('Fuel Vol and Credit Gen'!CX$56,'Biofuel Feedstocks'!CB8:CW8,'Fuel Vol and Credit Gen'!CB$56:CW$56)</f>
        <v>17616.383668035851</v>
      </c>
      <c r="CY8" s="140">
        <f>FORECAST('Fuel Vol and Credit Gen'!CY$56,'Biofuel Feedstocks'!CC8:CX8,'Fuel Vol and Credit Gen'!CC$56:CX$56)</f>
        <v>13702.300263952235</v>
      </c>
      <c r="CZ8" s="140">
        <f>FORECAST('Fuel Vol and Credit Gen'!CZ$56,'Biofuel Feedstocks'!CD8:CY8,'Fuel Vol and Credit Gen'!CD$56:CY$56)</f>
        <v>-13753.770021886583</v>
      </c>
      <c r="DA8" s="140">
        <f>FORECAST('Fuel Vol and Credit Gen'!DA$56,'Biofuel Feedstocks'!CE8:CZ8,'Fuel Vol and Credit Gen'!CE$56:CZ$56)</f>
        <v>-2845.3137351661826</v>
      </c>
      <c r="DB8" s="140">
        <f>FORECAST('Fuel Vol and Credit Gen'!DB$56,'Biofuel Feedstocks'!CF8:DA8,'Fuel Vol and Credit Gen'!CF$56:DA$56)</f>
        <v>18248.146584305228</v>
      </c>
      <c r="DC8" s="140">
        <f>FORECAST('Fuel Vol and Credit Gen'!DC$56,'Biofuel Feedstocks'!CG8:DB8,'Fuel Vol and Credit Gen'!CG$56:DB$56)</f>
        <v>18171.876724819947</v>
      </c>
      <c r="DD8" s="140">
        <f>FORECAST('Fuel Vol and Credit Gen'!DD$56,'Biofuel Feedstocks'!CH8:DC8,'Fuel Vol and Credit Gen'!CH$56:DC$56)</f>
        <v>-22092.823409418263</v>
      </c>
      <c r="DE8" s="140">
        <f>FORECAST('Fuel Vol and Credit Gen'!DE$56,'Biofuel Feedstocks'!CI8:DD8,'Fuel Vol and Credit Gen'!CI$56:DD$56)</f>
        <v>-5305.178880906431</v>
      </c>
      <c r="DF8" s="140">
        <f>FORECAST('Fuel Vol and Credit Gen'!DF$56,'Biofuel Feedstocks'!CJ8:DE8,'Fuel Vol and Credit Gen'!CJ$56:DE$56)</f>
        <v>19274.466177627997</v>
      </c>
      <c r="DG8" s="140">
        <f>FORECAST('Fuel Vol and Credit Gen'!DG$56,'Biofuel Feedstocks'!CK8:DF8,'Fuel Vol and Credit Gen'!CK$56:DF$56)</f>
        <v>19424.501916636647</v>
      </c>
      <c r="DH8" s="140">
        <f>FORECAST('Fuel Vol and Credit Gen'!DH$56,'Biofuel Feedstocks'!CL8:DG8,'Fuel Vol and Credit Gen'!CL$56:DG$56)</f>
        <v>-23066.261150957002</v>
      </c>
      <c r="DI8" s="140">
        <f>FORECAST('Fuel Vol and Credit Gen'!DI$56,'Biofuel Feedstocks'!CM8:DH8,'Fuel Vol and Credit Gen'!CM$56:DH$56)</f>
        <v>-4733.4557733239199</v>
      </c>
      <c r="DJ8" s="140">
        <f>FORECAST('Fuel Vol and Credit Gen'!DJ$56,'Biofuel Feedstocks'!CN8:DI8,'Fuel Vol and Credit Gen'!CN$56:DI$56)</f>
        <v>19968.03247394734</v>
      </c>
      <c r="DK8" s="140">
        <f>FORECAST('Fuel Vol and Credit Gen'!DK$56,'Biofuel Feedstocks'!CO8:DJ8,'Fuel Vol and Credit Gen'!CO$56:DJ$56)</f>
        <v>22856.987562722192</v>
      </c>
      <c r="DL8" s="140">
        <f>FORECAST('Fuel Vol and Credit Gen'!DL$56,'Biofuel Feedstocks'!CP8:DK8,'Fuel Vol and Credit Gen'!CP$56:DK$56)</f>
        <v>-29104.929413112441</v>
      </c>
      <c r="DM8" s="140">
        <f>FORECAST('Fuel Vol and Credit Gen'!DM$56,'Biofuel Feedstocks'!CQ8:DL8,'Fuel Vol and Credit Gen'!CQ$56:DL$56)</f>
        <v>-6427.3036014035242</v>
      </c>
      <c r="DN8" s="140">
        <f>FORECAST('Fuel Vol and Credit Gen'!DN$56,'Biofuel Feedstocks'!CR8:DM8,'Fuel Vol and Credit Gen'!CR$56:DM$56)</f>
        <v>21106.251047092486</v>
      </c>
      <c r="DO8" s="140">
        <f>FORECAST('Fuel Vol and Credit Gen'!DO$56,'Biofuel Feedstocks'!CS8:DN8,'Fuel Vol and Credit Gen'!CS$56:DN$56)</f>
        <v>28786.826651066658</v>
      </c>
      <c r="DP8" s="140">
        <f>FORECAST('Fuel Vol and Credit Gen'!DP$56,'Biofuel Feedstocks'!CT8:DO8,'Fuel Vol and Credit Gen'!CT$56:DO$56)</f>
        <v>-30994.38856004439</v>
      </c>
      <c r="DQ8" s="140">
        <f>FORECAST('Fuel Vol and Credit Gen'!DQ$56,'Biofuel Feedstocks'!CU8:DP8,'Fuel Vol and Credit Gen'!CU$56:DP$56)</f>
        <v>-8501.2377592886405</v>
      </c>
      <c r="DR8" s="140">
        <f>FORECAST('Fuel Vol and Credit Gen'!DR$56,'Biofuel Feedstocks'!CV8:DQ8,'Fuel Vol and Credit Gen'!CV$56:DQ$56)</f>
        <v>22018.863074909641</v>
      </c>
      <c r="DS8" s="140">
        <f>FORECAST('Fuel Vol and Credit Gen'!DS$56,'Biofuel Feedstocks'!CW8:DR8,'Fuel Vol and Credit Gen'!CW$56:DR$56)</f>
        <v>22029.708600886104</v>
      </c>
      <c r="DT8" s="140">
        <f>FORECAST('Fuel Vol and Credit Gen'!DT$56,'Biofuel Feedstocks'!CX8:DS8,'Fuel Vol and Credit Gen'!CX$56:DS$56)</f>
        <v>22039.673240259744</v>
      </c>
      <c r="DU8" s="140">
        <f>FORECAST('Fuel Vol and Credit Gen'!DU$56,'Biofuel Feedstocks'!CY8:DT8,'Fuel Vol and Credit Gen'!CY$56:DT$56)</f>
        <v>22018.858951930088</v>
      </c>
      <c r="DV8" s="140">
        <f>FORECAST('Fuel Vol and Credit Gen'!DV$56,'Biofuel Feedstocks'!CZ8:DU8,'Fuel Vol and Credit Gen'!CZ$56:DU$56)</f>
        <v>22017.380690624908</v>
      </c>
      <c r="DW8" s="140">
        <f>FORECAST('Fuel Vol and Credit Gen'!DW$56,'Biofuel Feedstocks'!DA8:DV8,'Fuel Vol and Credit Gen'!DA$56:DV$56)</f>
        <v>22030.626563460984</v>
      </c>
      <c r="DX8" s="140">
        <f>FORECAST('Fuel Vol and Credit Gen'!DX$56,'Biofuel Feedstocks'!DB8:DW8,'Fuel Vol and Credit Gen'!DB$56:DW$56)</f>
        <v>22043.763138721013</v>
      </c>
      <c r="DY8" s="140">
        <f>FORECAST('Fuel Vol and Credit Gen'!DY$56,'Biofuel Feedstocks'!DC8:DX8,'Fuel Vol and Credit Gen'!DC$56:DX$56)</f>
        <v>22025.932598821659</v>
      </c>
      <c r="DZ8" s="140">
        <f>FORECAST('Fuel Vol and Credit Gen'!DZ$56,'Biofuel Feedstocks'!DD8:DY8,'Fuel Vol and Credit Gen'!DD$56:DY$56)</f>
        <v>22025.898923227098</v>
      </c>
    </row>
    <row r="9" spans="1:130" x14ac:dyDescent="0.25">
      <c r="A9" s="39" t="s">
        <v>243</v>
      </c>
      <c r="B9" s="39" t="s">
        <v>87</v>
      </c>
      <c r="C9" s="139">
        <v>0</v>
      </c>
      <c r="D9" s="139">
        <v>0</v>
      </c>
      <c r="E9" s="139">
        <v>0</v>
      </c>
      <c r="F9" s="139">
        <v>790</v>
      </c>
      <c r="G9" s="139">
        <v>3477</v>
      </c>
      <c r="H9" s="139">
        <v>6306</v>
      </c>
      <c r="I9" s="139">
        <v>138</v>
      </c>
      <c r="J9" s="139">
        <v>3288</v>
      </c>
      <c r="K9" s="139">
        <v>2596</v>
      </c>
      <c r="L9" s="139">
        <v>12678</v>
      </c>
      <c r="M9" s="139">
        <v>10830</v>
      </c>
      <c r="N9" s="139">
        <v>8363</v>
      </c>
      <c r="O9" s="139">
        <v>9265</v>
      </c>
      <c r="P9" s="139">
        <v>9058</v>
      </c>
      <c r="Q9" s="139">
        <v>6266</v>
      </c>
      <c r="R9" s="139">
        <v>7057</v>
      </c>
      <c r="S9" s="139">
        <v>14657</v>
      </c>
      <c r="T9" s="139">
        <v>759</v>
      </c>
      <c r="U9" s="139">
        <v>2243</v>
      </c>
      <c r="V9" s="139">
        <v>5606</v>
      </c>
      <c r="W9" s="139">
        <v>5772</v>
      </c>
      <c r="X9" s="139">
        <v>7541</v>
      </c>
      <c r="Y9" s="139">
        <v>4824</v>
      </c>
      <c r="Z9" s="139">
        <v>4790</v>
      </c>
      <c r="AA9" s="139">
        <v>65952</v>
      </c>
      <c r="AB9" s="139">
        <v>32736</v>
      </c>
      <c r="AC9" s="139">
        <v>42279</v>
      </c>
      <c r="AD9" s="139">
        <v>23171</v>
      </c>
      <c r="AE9" s="139">
        <v>27899</v>
      </c>
      <c r="AF9" s="139">
        <v>51042</v>
      </c>
      <c r="AG9" s="139">
        <v>18953</v>
      </c>
      <c r="AH9" s="139">
        <v>17689</v>
      </c>
      <c r="AI9" s="139">
        <v>3768</v>
      </c>
      <c r="AJ9" s="139">
        <v>15929</v>
      </c>
      <c r="AK9" s="139">
        <v>14996</v>
      </c>
      <c r="AL9" s="139">
        <v>16289</v>
      </c>
      <c r="AM9" s="139">
        <v>17577</v>
      </c>
      <c r="AN9" s="139">
        <v>110903</v>
      </c>
      <c r="AO9" s="139">
        <v>124092</v>
      </c>
      <c r="AP9" s="139">
        <v>75855</v>
      </c>
      <c r="AQ9" s="139">
        <v>75170</v>
      </c>
      <c r="AR9" s="139">
        <v>157049</v>
      </c>
      <c r="AS9" s="139">
        <v>146085</v>
      </c>
      <c r="AT9" s="139">
        <v>75846</v>
      </c>
      <c r="AU9" s="139">
        <v>60351</v>
      </c>
      <c r="AV9" s="139">
        <v>184799</v>
      </c>
      <c r="AW9" s="139">
        <v>160452</v>
      </c>
      <c r="AX9" s="139">
        <v>126252</v>
      </c>
      <c r="AY9" s="139">
        <v>51254</v>
      </c>
      <c r="AZ9" s="139">
        <v>113902</v>
      </c>
      <c r="BA9" s="139">
        <v>148428</v>
      </c>
      <c r="BB9" s="139">
        <v>34019</v>
      </c>
      <c r="BC9" s="139">
        <v>54777</v>
      </c>
      <c r="BD9" s="139">
        <v>98261</v>
      </c>
      <c r="BE9" s="139">
        <v>121454</v>
      </c>
      <c r="BF9" s="140">
        <f>FORECAST('Fuel Vol and Credit Gen'!BF$56,'Biofuel Feedstocks'!AJ9:BE9,'Fuel Vol and Credit Gen'!AJ$56:BE$56)</f>
        <v>66858.288014126199</v>
      </c>
      <c r="BG9" s="140">
        <f>FORECAST('Fuel Vol and Credit Gen'!BG$56,'Biofuel Feedstocks'!AK9:BF9,'Fuel Vol and Credit Gen'!AK$56:BF$56)</f>
        <v>116586.11599854117</v>
      </c>
      <c r="BH9" s="140">
        <f>FORECAST('Fuel Vol and Credit Gen'!BH$56,'Biofuel Feedstocks'!AL9:BG9,'Fuel Vol and Credit Gen'!AL$56:BG$56)</f>
        <v>67516.83902114442</v>
      </c>
      <c r="BI9" s="140">
        <f>FORECAST('Fuel Vol and Credit Gen'!BI$56,'Biofuel Feedstocks'!AM9:BH9,'Fuel Vol and Credit Gen'!AM$56:BH$56)</f>
        <v>79281.846084629302</v>
      </c>
      <c r="BJ9" s="140">
        <f>FORECAST('Fuel Vol and Credit Gen'!BJ$56,'Biofuel Feedstocks'!AN9:BI9,'Fuel Vol and Credit Gen'!AN$56:BI$56)</f>
        <v>91306.269433328198</v>
      </c>
      <c r="BK9" s="140">
        <f>FORECAST('Fuel Vol and Credit Gen'!BK$56,'Biofuel Feedstocks'!AO9:BJ9,'Fuel Vol and Credit Gen'!AO$56:BJ$56)</f>
        <v>95839.373235362204</v>
      </c>
      <c r="BL9" s="140">
        <f>FORECAST('Fuel Vol and Credit Gen'!BL$56,'Biofuel Feedstocks'!AP9:BK9,'Fuel Vol and Credit Gen'!AP$56:BK$56)</f>
        <v>83434.663609388372</v>
      </c>
      <c r="BM9" s="140">
        <f>FORECAST('Fuel Vol and Credit Gen'!BM$56,'Biofuel Feedstocks'!AQ9:BL9,'Fuel Vol and Credit Gen'!AQ$56:BL$56)</f>
        <v>89116.829858842772</v>
      </c>
      <c r="BN9" s="140">
        <f>FORECAST('Fuel Vol and Credit Gen'!BN$56,'Biofuel Feedstocks'!AR9:BM9,'Fuel Vol and Credit Gen'!AR$56:BM$56)</f>
        <v>111096.48515289291</v>
      </c>
      <c r="BO9" s="140">
        <f>FORECAST('Fuel Vol and Credit Gen'!BO$56,'Biofuel Feedstocks'!AS9:BN9,'Fuel Vol and Credit Gen'!AS$56:BN$56)</f>
        <v>102745.57843199636</v>
      </c>
      <c r="BP9" s="140">
        <f>FORECAST('Fuel Vol and Credit Gen'!BP$56,'Biofuel Feedstocks'!AT9:BO9,'Fuel Vol and Credit Gen'!AT$56:BO$56)</f>
        <v>80127.704120368857</v>
      </c>
      <c r="BQ9" s="140">
        <f>FORECAST('Fuel Vol and Credit Gen'!BQ$56,'Biofuel Feedstocks'!AU9:BP9,'Fuel Vol and Credit Gen'!AU$56:BP$56)</f>
        <v>86519.208093456517</v>
      </c>
      <c r="BR9" s="140">
        <f>FORECAST('Fuel Vol and Credit Gen'!BR$56,'Biofuel Feedstocks'!AV9:BQ9,'Fuel Vol and Credit Gen'!AV$56:BQ$56)</f>
        <v>123396.45953856301</v>
      </c>
      <c r="BS9" s="140">
        <f>FORECAST('Fuel Vol and Credit Gen'!BS$56,'Biofuel Feedstocks'!AW9:BR9,'Fuel Vol and Credit Gen'!AW$56:BR$56)+15000</f>
        <v>126776.01587773573</v>
      </c>
      <c r="BT9" s="140">
        <f>FORECAST('Fuel Vol and Credit Gen'!BT$56,'Biofuel Feedstocks'!AX9:BS9,'Fuel Vol and Credit Gen'!AX$56:BS$56)</f>
        <v>36555.544517682785</v>
      </c>
      <c r="BU9" s="140">
        <f>FORECAST('Fuel Vol and Credit Gen'!BU$56,'Biofuel Feedstocks'!AY9:BT9,'Fuel Vol and Credit Gen'!AY$56:BT$56)</f>
        <v>47750.722340216409</v>
      </c>
      <c r="BV9" s="140">
        <f>FORECAST('Fuel Vol and Credit Gen'!BV$56,'Biofuel Feedstocks'!AZ9:BU9,'Fuel Vol and Credit Gen'!AZ$56:BU$56)</f>
        <v>124555.67225534044</v>
      </c>
      <c r="BW9" s="140">
        <f>FORECAST('Fuel Vol and Credit Gen'!BW$56,'Biofuel Feedstocks'!BA9:BV9,'Fuel Vol and Credit Gen'!BA$56:BV$56)+50000</f>
        <v>150162.91562166857</v>
      </c>
      <c r="BX9" s="140">
        <f>FORECAST('Fuel Vol and Credit Gen'!BX$56,'Biofuel Feedstocks'!BB9:BW9,'Fuel Vol and Credit Gen'!BB$56:BW$56)</f>
        <v>61159.222342889276</v>
      </c>
      <c r="BY9" s="140">
        <f>FORECAST('Fuel Vol and Credit Gen'!BY$56,'Biofuel Feedstocks'!BC9:BX9,'Fuel Vol and Credit Gen'!BC$56:BX$56)</f>
        <v>70871.415760378281</v>
      </c>
      <c r="BZ9" s="140">
        <f>FORECAST('Fuel Vol and Credit Gen'!BZ$56,'Biofuel Feedstocks'!BD9:BY9,'Fuel Vol and Credit Gen'!BD$56:BY$56)</f>
        <v>114862.1067489985</v>
      </c>
      <c r="CA9" s="140">
        <f>FORECAST('Fuel Vol and Credit Gen'!CA$56,'Biofuel Feedstocks'!BE9:BZ9,'Fuel Vol and Credit Gen'!BE$56:BZ$56)</f>
        <v>102837.31626595937</v>
      </c>
      <c r="CB9" s="140">
        <f>FORECAST('Fuel Vol and Credit Gen'!CB$56,'Biofuel Feedstocks'!BF9:CA9,'Fuel Vol and Credit Gen'!BF$56:CA$56)</f>
        <v>65349.195418108007</v>
      </c>
      <c r="CC9" s="140">
        <f>FORECAST('Fuel Vol and Credit Gen'!CC$56,'Biofuel Feedstocks'!BG9:CB9,'Fuel Vol and Credit Gen'!BG$56:CB$56)</f>
        <v>75556.039853040944</v>
      </c>
      <c r="CD9" s="140">
        <f>FORECAST('Fuel Vol and Credit Gen'!CD$56,'Biofuel Feedstocks'!BH9:CC9,'Fuel Vol and Credit Gen'!BH$56:CC$56)</f>
        <v>139657.11944700475</v>
      </c>
      <c r="CE9" s="140">
        <f>FORECAST('Fuel Vol and Credit Gen'!CE$56,'Biofuel Feedstocks'!BI9:CD9,'Fuel Vol and Credit Gen'!BI$56:CD$56)</f>
        <v>100323.71914567584</v>
      </c>
      <c r="CF9" s="140">
        <f>FORECAST('Fuel Vol and Credit Gen'!CF$56,'Biofuel Feedstocks'!BJ9:CE9,'Fuel Vol and Credit Gen'!BJ$56:CE$56)</f>
        <v>73950.109148799616</v>
      </c>
      <c r="CG9" s="140">
        <f>FORECAST('Fuel Vol and Credit Gen'!CG$56,'Biofuel Feedstocks'!BK9:CF9,'Fuel Vol and Credit Gen'!BK$56:CF$56)</f>
        <v>76729.028604220803</v>
      </c>
      <c r="CH9" s="140">
        <f>FORECAST('Fuel Vol and Credit Gen'!CH$56,'Biofuel Feedstocks'!BL9:CG9,'Fuel Vol and Credit Gen'!BL$56:CG$56)</f>
        <v>134259.39633676287</v>
      </c>
      <c r="CI9" s="140">
        <f>FORECAST('Fuel Vol and Credit Gen'!CI$56,'Biofuel Feedstocks'!BM9:CH9,'Fuel Vol and Credit Gen'!BM$56:CH$56)</f>
        <v>104462.37974882439</v>
      </c>
      <c r="CJ9" s="140">
        <f>FORECAST('Fuel Vol and Credit Gen'!CJ$56,'Biofuel Feedstocks'!BN9:CI9,'Fuel Vol and Credit Gen'!BN$56:CI$56)</f>
        <v>78489.507544832406</v>
      </c>
      <c r="CK9" s="140">
        <f>FORECAST('Fuel Vol and Credit Gen'!CK$56,'Biofuel Feedstocks'!BO9:CJ9,'Fuel Vol and Credit Gen'!BO$56:CJ$56)</f>
        <v>87916.56066471817</v>
      </c>
      <c r="CL9" s="140">
        <f>FORECAST('Fuel Vol and Credit Gen'!CL$56,'Biofuel Feedstocks'!BP9:CK9,'Fuel Vol and Credit Gen'!BP$56:CK$56)</f>
        <v>126649.18385362912</v>
      </c>
      <c r="CM9" s="140">
        <f>FORECAST('Fuel Vol and Credit Gen'!CM$56,'Biofuel Feedstocks'!BQ9:CL9,'Fuel Vol and Credit Gen'!BQ$56:CL$56)</f>
        <v>110604.93825021626</v>
      </c>
      <c r="CN9" s="140">
        <f>FORECAST('Fuel Vol and Credit Gen'!CN$56,'Biofuel Feedstocks'!BR9:CM9,'Fuel Vol and Credit Gen'!BR$56:CM$56)</f>
        <v>66478.124181963285</v>
      </c>
      <c r="CO9" s="140">
        <f>FORECAST('Fuel Vol and Credit Gen'!CO$56,'Biofuel Feedstocks'!BS9:CN9,'Fuel Vol and Credit Gen'!BS$56:CN$56)</f>
        <v>85352.149064529658</v>
      </c>
      <c r="CP9" s="140">
        <f>FORECAST('Fuel Vol and Credit Gen'!CP$56,'Biofuel Feedstocks'!BT9:CO9,'Fuel Vol and Credit Gen'!BT$56:CO$56)</f>
        <v>133937.10596260894</v>
      </c>
      <c r="CQ9" s="140">
        <f>FORECAST('Fuel Vol and Credit Gen'!CQ$56,'Biofuel Feedstocks'!BU9:CP9,'Fuel Vol and Credit Gen'!BU$56:CP$56)</f>
        <v>112977.33511911461</v>
      </c>
      <c r="CR9" s="140">
        <f>FORECAST('Fuel Vol and Credit Gen'!CR$56,'Biofuel Feedstocks'!BV9:CQ9,'Fuel Vol and Credit Gen'!BV$56:CQ$56)</f>
        <v>63048.690452181414</v>
      </c>
      <c r="CS9" s="140">
        <f>FORECAST('Fuel Vol and Credit Gen'!CS$56,'Biofuel Feedstocks'!BW9:CR9,'Fuel Vol and Credit Gen'!BW$56:CR$56)</f>
        <v>81314.305788357917</v>
      </c>
      <c r="CT9" s="140">
        <f>FORECAST('Fuel Vol and Credit Gen'!CT$56,'Biofuel Feedstocks'!BX9:CS9,'Fuel Vol and Credit Gen'!BX$56:CS$56)</f>
        <v>134789.55897248973</v>
      </c>
      <c r="CU9" s="140">
        <f>FORECAST('Fuel Vol and Credit Gen'!CU$56,'Biofuel Feedstocks'!BY9:CT9,'Fuel Vol and Credit Gen'!BY$56:CT$56)</f>
        <v>112947.45987634856</v>
      </c>
      <c r="CV9" s="140">
        <f>FORECAST('Fuel Vol and Credit Gen'!CV$56,'Biofuel Feedstocks'!BZ9:CU9,'Fuel Vol and Credit Gen'!BZ$56:CU$56)</f>
        <v>55613.650094549026</v>
      </c>
      <c r="CW9" s="140">
        <f>FORECAST('Fuel Vol and Credit Gen'!CW$56,'Biofuel Feedstocks'!CA9:CV9,'Fuel Vol and Credit Gen'!CA$56:CV$56)</f>
        <v>73214.559791614316</v>
      </c>
      <c r="CX9" s="140">
        <f>FORECAST('Fuel Vol and Credit Gen'!CX$56,'Biofuel Feedstocks'!CB9:CW9,'Fuel Vol and Credit Gen'!CB$56:CW$56)</f>
        <v>137229.27387000713</v>
      </c>
      <c r="CY9" s="140">
        <f>FORECAST('Fuel Vol and Credit Gen'!CY$56,'Biofuel Feedstocks'!CC9:CX9,'Fuel Vol and Credit Gen'!CC$56:CX$56)</f>
        <v>123629.12137098491</v>
      </c>
      <c r="CZ9" s="140">
        <f>FORECAST('Fuel Vol and Credit Gen'!CZ$56,'Biofuel Feedstocks'!CD9:CY9,'Fuel Vol and Credit Gen'!CD$56:CY$56)</f>
        <v>29162.306670090635</v>
      </c>
      <c r="DA9" s="140">
        <f>FORECAST('Fuel Vol and Credit Gen'!DA$56,'Biofuel Feedstocks'!CE9:CZ9,'Fuel Vol and Credit Gen'!CE$56:CZ$56)</f>
        <v>66683.587886752051</v>
      </c>
      <c r="DB9" s="140">
        <f>FORECAST('Fuel Vol and Credit Gen'!DB$56,'Biofuel Feedstocks'!CF9:DA9,'Fuel Vol and Credit Gen'!CF$56:DA$56)</f>
        <v>139511.31211061592</v>
      </c>
      <c r="DC9" s="140">
        <f>FORECAST('Fuel Vol and Credit Gen'!DC$56,'Biofuel Feedstocks'!CG9:DB9,'Fuel Vol and Credit Gen'!CG$56:DB$56)</f>
        <v>139249.32094627011</v>
      </c>
      <c r="DD9" s="140">
        <f>FORECAST('Fuel Vol and Credit Gen'!DD$56,'Biofuel Feedstocks'!CH9:DC9,'Fuel Vol and Credit Gen'!CH$56:DC$56)</f>
        <v>576.94348912833084</v>
      </c>
      <c r="DE9" s="140">
        <f>FORECAST('Fuel Vol and Credit Gen'!DE$56,'Biofuel Feedstocks'!CI9:DD9,'Fuel Vol and Credit Gen'!CI$56:DD$56)</f>
        <v>58395.232609876533</v>
      </c>
      <c r="DF9" s="140">
        <f>FORECAST('Fuel Vol and Credit Gen'!DF$56,'Biofuel Feedstocks'!CJ9:DE9,'Fuel Vol and Credit Gen'!CJ$56:DE$56)</f>
        <v>143093.1758271865</v>
      </c>
      <c r="DG9" s="140">
        <f>FORECAST('Fuel Vol and Credit Gen'!DG$56,'Biofuel Feedstocks'!CK9:DF9,'Fuel Vol and Credit Gen'!CK$56:DF$56)</f>
        <v>143608.19276451226</v>
      </c>
      <c r="DH9" s="140">
        <f>FORECAST('Fuel Vol and Credit Gen'!DH$56,'Biofuel Feedstocks'!CL9:DG9,'Fuel Vol and Credit Gen'!CL$56:DG$56)</f>
        <v>-2810.0177010912194</v>
      </c>
      <c r="DI9" s="140">
        <f>FORECAST('Fuel Vol and Credit Gen'!DI$56,'Biofuel Feedstocks'!CM9:DH9,'Fuel Vol and Credit Gen'!CM$56:DH$56)</f>
        <v>60349.60314826903</v>
      </c>
      <c r="DJ9" s="140">
        <f>FORECAST('Fuel Vol and Credit Gen'!DJ$56,'Biofuel Feedstocks'!CN9:DI9,'Fuel Vol and Credit Gen'!CN$56:DI$56)</f>
        <v>145385.84425643936</v>
      </c>
      <c r="DK9" s="140">
        <f>FORECAST('Fuel Vol and Credit Gen'!DK$56,'Biofuel Feedstocks'!CO9:DJ9,'Fuel Vol and Credit Gen'!CO$56:DJ$56)</f>
        <v>155326.37988573388</v>
      </c>
      <c r="DL9" s="140">
        <f>FORECAST('Fuel Vol and Credit Gen'!DL$56,'Biofuel Feedstocks'!CP9:DK9,'Fuel Vol and Credit Gen'!CP$56:DK$56)</f>
        <v>-23727.894368209138</v>
      </c>
      <c r="DM9" s="140">
        <f>FORECAST('Fuel Vol and Credit Gen'!DM$56,'Biofuel Feedstocks'!CQ9:DL9,'Fuel Vol and Credit Gen'!CQ$56:DL$56)*2</f>
        <v>108812.28459488138</v>
      </c>
      <c r="DN9" s="140">
        <f>FORECAST('Fuel Vol and Credit Gen'!DN$56,'Biofuel Feedstocks'!CR9:DM9,'Fuel Vol and Credit Gen'!CR$56:DM$56)*1.5</f>
        <v>224992.18792433545</v>
      </c>
      <c r="DO9" s="140">
        <f>FORECAST('Fuel Vol and Credit Gen'!DO$56,'Biofuel Feedstocks'!CS9:DN9,'Fuel Vol and Credit Gen'!CS$56:DN$56)</f>
        <v>184977.83806393683</v>
      </c>
      <c r="DP9" s="140">
        <f>FORECAST('Fuel Vol and Credit Gen'!DP$56,'Biofuel Feedstocks'!CT9:DO9,'Fuel Vol and Credit Gen'!CT$56:DO$56)*0.5</f>
        <v>-14345.224299654561</v>
      </c>
      <c r="DQ9" s="140">
        <f>FORECAST('Fuel Vol and Credit Gen'!DQ$56,'Biofuel Feedstocks'!CU9:DP9,'Fuel Vol and Credit Gen'!CU$56:DP$56)*1.25</f>
        <v>66718.609710106015</v>
      </c>
      <c r="DR9" s="140">
        <f>FORECAST('Fuel Vol and Credit Gen'!DR$56,'Biofuel Feedstocks'!CV9:DQ9,'Fuel Vol and Credit Gen'!CV$56:DQ$56)</f>
        <v>161719.29773028879</v>
      </c>
      <c r="DS9" s="140">
        <f>FORECAST('Fuel Vol and Credit Gen'!DS$56,'Biofuel Feedstocks'!CW9:DR9,'Fuel Vol and Credit Gen'!CW$56:DR$56)+100000</f>
        <v>261937.86554229181</v>
      </c>
      <c r="DT9" s="140">
        <f>FORECAST('Fuel Vol and Credit Gen'!DT$56,'Biofuel Feedstocks'!CX9:DS9,'Fuel Vol and Credit Gen'!CX$56:DS$56)+35000</f>
        <v>205784.99285624502</v>
      </c>
      <c r="DU9" s="140">
        <f>FORECAST('Fuel Vol and Credit Gen'!DU$56,'Biofuel Feedstocks'!CY9:DT9,'Fuel Vol and Credit Gen'!CY$56:DT$56)+20000</f>
        <v>194898.75443350364</v>
      </c>
      <c r="DV9" s="140">
        <f>FORECAST('Fuel Vol and Credit Gen'!DV$56,'Biofuel Feedstocks'!CZ9:DU9,'Fuel Vol and Credit Gen'!CZ$56:DU$56)+10000</f>
        <v>187750.10524622168</v>
      </c>
      <c r="DW9" s="140">
        <f>FORECAST('Fuel Vol and Credit Gen'!DW$56,'Biofuel Feedstocks'!DA9:DV9,'Fuel Vol and Credit Gen'!DA$56:DV$56)+10000</f>
        <v>188612.62437378592</v>
      </c>
      <c r="DX9" s="140">
        <f>FORECAST('Fuel Vol and Credit Gen'!DX$56,'Biofuel Feedstocks'!DB9:DW9,'Fuel Vol and Credit Gen'!DB$56:DW$56)+10000</f>
        <v>189780.19917633361</v>
      </c>
      <c r="DY9" s="140">
        <f>FORECAST('Fuel Vol and Credit Gen'!DY$56,'Biofuel Feedstocks'!DC9:DX9,'Fuel Vol and Credit Gen'!DC$56:DX$56)+10000</f>
        <v>192017.90920938272</v>
      </c>
      <c r="DZ9" s="140">
        <f>FORECAST('Fuel Vol and Credit Gen'!DZ$56,'Biofuel Feedstocks'!DD9:DY9,'Fuel Vol and Credit Gen'!DD$56:DY$56)+10000</f>
        <v>194424.47810297442</v>
      </c>
    </row>
    <row r="10" spans="1:130" x14ac:dyDescent="0.25">
      <c r="A10" s="39" t="s">
        <v>244</v>
      </c>
      <c r="B10" s="39" t="s">
        <v>87</v>
      </c>
      <c r="C10" s="139">
        <v>10746</v>
      </c>
      <c r="D10" s="139">
        <v>20254</v>
      </c>
      <c r="E10" s="139">
        <v>19854</v>
      </c>
      <c r="F10" s="139">
        <v>22390</v>
      </c>
      <c r="G10" s="139">
        <v>29455</v>
      </c>
      <c r="H10" s="139">
        <v>32230</v>
      </c>
      <c r="I10" s="139">
        <v>32054</v>
      </c>
      <c r="J10" s="139">
        <v>33116</v>
      </c>
      <c r="K10" s="139">
        <v>39361</v>
      </c>
      <c r="L10" s="139">
        <v>80007</v>
      </c>
      <c r="M10" s="139">
        <v>77598</v>
      </c>
      <c r="N10" s="139">
        <v>175642</v>
      </c>
      <c r="O10" s="139">
        <v>75487</v>
      </c>
      <c r="P10" s="139">
        <v>97775</v>
      </c>
      <c r="Q10" s="139">
        <v>109342</v>
      </c>
      <c r="R10" s="139">
        <v>119126</v>
      </c>
      <c r="S10" s="139">
        <v>116356</v>
      </c>
      <c r="T10" s="139">
        <v>193168</v>
      </c>
      <c r="U10" s="139">
        <v>182170</v>
      </c>
      <c r="V10" s="139">
        <v>145267</v>
      </c>
      <c r="W10" s="139">
        <v>99533</v>
      </c>
      <c r="X10" s="139">
        <v>170112</v>
      </c>
      <c r="Y10" s="139">
        <v>153352</v>
      </c>
      <c r="Z10" s="139">
        <v>193339</v>
      </c>
      <c r="AA10" s="139">
        <v>130865</v>
      </c>
      <c r="AB10" s="139">
        <v>166943</v>
      </c>
      <c r="AC10" s="139">
        <v>141850</v>
      </c>
      <c r="AD10" s="139">
        <v>145368</v>
      </c>
      <c r="AE10" s="139">
        <v>110640</v>
      </c>
      <c r="AF10" s="139">
        <v>185263</v>
      </c>
      <c r="AG10" s="139">
        <v>225232</v>
      </c>
      <c r="AH10" s="139">
        <v>252043</v>
      </c>
      <c r="AI10" s="139">
        <v>190266</v>
      </c>
      <c r="AJ10" s="139">
        <v>247517</v>
      </c>
      <c r="AK10" s="139">
        <v>221835</v>
      </c>
      <c r="AL10" s="139">
        <v>240180</v>
      </c>
      <c r="AM10" s="139">
        <v>205621</v>
      </c>
      <c r="AN10" s="139">
        <v>229058</v>
      </c>
      <c r="AO10" s="139">
        <v>246827</v>
      </c>
      <c r="AP10" s="139">
        <v>244785</v>
      </c>
      <c r="AQ10" s="139">
        <v>146159</v>
      </c>
      <c r="AR10" s="139">
        <v>196380</v>
      </c>
      <c r="AS10" s="139">
        <v>226200</v>
      </c>
      <c r="AT10" s="139">
        <v>302191</v>
      </c>
      <c r="AU10" s="139">
        <v>184578</v>
      </c>
      <c r="AV10" s="139">
        <v>224750</v>
      </c>
      <c r="AW10" s="139">
        <v>198114</v>
      </c>
      <c r="AX10" s="139">
        <v>179477</v>
      </c>
      <c r="AY10" s="139">
        <v>131050</v>
      </c>
      <c r="AZ10" s="139">
        <v>177069</v>
      </c>
      <c r="BA10" s="139">
        <v>187874</v>
      </c>
      <c r="BB10" s="139">
        <v>215418</v>
      </c>
      <c r="BC10" s="139">
        <v>198000</v>
      </c>
      <c r="BD10" s="139">
        <v>208990</v>
      </c>
      <c r="BE10" s="139">
        <v>155059</v>
      </c>
      <c r="BF10" s="140">
        <f>FORECAST('Fuel Vol and Credit Gen'!BF$56,'Biofuel Feedstocks'!AJ10:BE10,'Fuel Vol and Credit Gen'!AJ$56:BE$56)</f>
        <v>186209.61685246509</v>
      </c>
      <c r="BG10" s="140">
        <f>FORECAST('Fuel Vol and Credit Gen'!BG$56,'Biofuel Feedstocks'!AK10:BF10,'Fuel Vol and Credit Gen'!AK$56:BF$56)</f>
        <v>230624.97320467327</v>
      </c>
      <c r="BH10" s="140">
        <f>FORECAST('Fuel Vol and Credit Gen'!BH$56,'Biofuel Feedstocks'!AL10:BG10,'Fuel Vol and Credit Gen'!AL$56:BG$56)</f>
        <v>170884.00729152065</v>
      </c>
      <c r="BI10" s="140">
        <f>FORECAST('Fuel Vol and Credit Gen'!BI$56,'Biofuel Feedstocks'!AM10:BH10,'Fuel Vol and Credit Gen'!AM$56:BH$56)</f>
        <v>174715.25107057524</v>
      </c>
      <c r="BJ10" s="140">
        <f>FORECAST('Fuel Vol and Credit Gen'!BJ$56,'Biofuel Feedstocks'!AN10:BI10,'Fuel Vol and Credit Gen'!AN$56:BI$56)</f>
        <v>183302.21514230326</v>
      </c>
      <c r="BK10" s="140">
        <f>FORECAST('Fuel Vol and Credit Gen'!BK$56,'Biofuel Feedstocks'!AO10:BJ10,'Fuel Vol and Credit Gen'!AO$56:BJ$56)</f>
        <v>189735.20642995503</v>
      </c>
      <c r="BL10" s="140">
        <f>FORECAST('Fuel Vol and Credit Gen'!BL$56,'Biofuel Feedstocks'!AP10:BK10,'Fuel Vol and Credit Gen'!AP$56:BK$56)</f>
        <v>170012.32480667171</v>
      </c>
      <c r="BM10" s="140">
        <f>FORECAST('Fuel Vol and Credit Gen'!BM$56,'Biofuel Feedstocks'!AQ10:BL10,'Fuel Vol and Credit Gen'!AQ$56:BL$56)</f>
        <v>180541.739965449</v>
      </c>
      <c r="BN10" s="140">
        <f>FORECAST('Fuel Vol and Credit Gen'!BN$56,'Biofuel Feedstocks'!AR10:BM10,'Fuel Vol and Credit Gen'!AR$56:BM$56)</f>
        <v>204677.81286979339</v>
      </c>
      <c r="BO10" s="140">
        <f>FORECAST('Fuel Vol and Credit Gen'!BO$56,'Biofuel Feedstocks'!AS10:BN10,'Fuel Vol and Credit Gen'!AS$56:BN$56)</f>
        <v>199880.75461389296</v>
      </c>
      <c r="BP10" s="140">
        <f>FORECAST('Fuel Vol and Credit Gen'!BP$56,'Biofuel Feedstocks'!AT10:BO10,'Fuel Vol and Credit Gen'!AT$56:BO$56)</f>
        <v>163763.78118054793</v>
      </c>
      <c r="BQ10" s="140">
        <f>FORECAST('Fuel Vol and Credit Gen'!BQ$56,'Biofuel Feedstocks'!AU10:BP10,'Fuel Vol and Credit Gen'!AU$56:BP$56)</f>
        <v>177602.70020424979</v>
      </c>
      <c r="BR10" s="140">
        <f>FORECAST('Fuel Vol and Credit Gen'!BR$56,'Biofuel Feedstocks'!AV10:BQ10,'Fuel Vol and Credit Gen'!AV$56:BQ$56)</f>
        <v>205720.47681357965</v>
      </c>
      <c r="BS10" s="140">
        <f>FORECAST('Fuel Vol and Credit Gen'!BS$56,'Biofuel Feedstocks'!AW10:BR10,'Fuel Vol and Credit Gen'!AW$56:BR$56)</f>
        <v>199429.68735663092</v>
      </c>
      <c r="BT10" s="140">
        <f>FORECAST('Fuel Vol and Credit Gen'!BT$56,'Biofuel Feedstocks'!AX10:BS10,'Fuel Vol and Credit Gen'!AX$56:BS$56)</f>
        <v>126660.35809976168</v>
      </c>
      <c r="BU10" s="140">
        <f>FORECAST('Fuel Vol and Credit Gen'!BU$56,'Biofuel Feedstocks'!AY10:BT10,'Fuel Vol and Credit Gen'!AY$56:BT$56)</f>
        <v>135038.39743723621</v>
      </c>
      <c r="BV10" s="140">
        <f>FORECAST('Fuel Vol and Credit Gen'!BV$56,'Biofuel Feedstocks'!AZ10:BU10,'Fuel Vol and Credit Gen'!AZ$56:BU$56)</f>
        <v>223873.03578389983</v>
      </c>
      <c r="BW10" s="140">
        <f>FORECAST('Fuel Vol and Credit Gen'!BW$56,'Biofuel Feedstocks'!BA10:BV10,'Fuel Vol and Credit Gen'!BA$56:BV$56)</f>
        <v>197256.04205034013</v>
      </c>
      <c r="BX10" s="140">
        <f>FORECAST('Fuel Vol and Credit Gen'!BX$56,'Biofuel Feedstocks'!BB10:BW10,'Fuel Vol and Credit Gen'!BB$56:BW$56)</f>
        <v>152697.70550196012</v>
      </c>
      <c r="BY10" s="140">
        <f>FORECAST('Fuel Vol and Credit Gen'!BY$56,'Biofuel Feedstocks'!BC10:BX10,'Fuel Vol and Credit Gen'!BC$56:BX$56)</f>
        <v>161858.97450817272</v>
      </c>
      <c r="BZ10" s="140">
        <f>FORECAST('Fuel Vol and Credit Gen'!BZ$56,'Biofuel Feedstocks'!BD10:BY10,'Fuel Vol and Credit Gen'!BD$56:BY$56)</f>
        <v>204994.12756445672</v>
      </c>
      <c r="CA10" s="140">
        <f>FORECAST('Fuel Vol and Credit Gen'!CA$56,'Biofuel Feedstocks'!BE10:BZ10,'Fuel Vol and Credit Gen'!BE$56:BZ$56)</f>
        <v>191705.2093108577</v>
      </c>
      <c r="CB10" s="140">
        <f>FORECAST('Fuel Vol and Credit Gen'!CB$56,'Biofuel Feedstocks'!BF10:CA10,'Fuel Vol and Credit Gen'!BF$56:CA$56)</f>
        <v>155867.33454204517</v>
      </c>
      <c r="CC10" s="140">
        <f>FORECAST('Fuel Vol and Credit Gen'!CC$56,'Biofuel Feedstocks'!BG10:CB10,'Fuel Vol and Credit Gen'!BG$56:CB$56)</f>
        <v>164816.13222302764</v>
      </c>
      <c r="CD10" s="140">
        <f>FORECAST('Fuel Vol and Credit Gen'!CD$56,'Biofuel Feedstocks'!BH10:CC10,'Fuel Vol and Credit Gen'!BH$56:CC$56)</f>
        <v>225576.8606940454</v>
      </c>
      <c r="CE10" s="140">
        <f>FORECAST('Fuel Vol and Credit Gen'!CE$56,'Biofuel Feedstocks'!BI10:CD10,'Fuel Vol and Credit Gen'!BI$56:CD$56)</f>
        <v>187806.31846385376</v>
      </c>
      <c r="CF10" s="140">
        <f>FORECAST('Fuel Vol and Credit Gen'!CF$56,'Biofuel Feedstocks'!BJ10:CE10,'Fuel Vol and Credit Gen'!BJ$56:CE$56)</f>
        <v>162137.68996174744</v>
      </c>
      <c r="CG10" s="140">
        <f>FORECAST('Fuel Vol and Credit Gen'!CG$56,'Biofuel Feedstocks'!BK10:CF10,'Fuel Vol and Credit Gen'!BK$56:CF$56)</f>
        <v>164619.16401227331</v>
      </c>
      <c r="CH10" s="140">
        <f>FORECAST('Fuel Vol and Credit Gen'!CH$56,'Biofuel Feedstocks'!BL10:CG10,'Fuel Vol and Credit Gen'!BL$56:CG$56)</f>
        <v>219413.28753252135</v>
      </c>
      <c r="CI10" s="140">
        <f>FORECAST('Fuel Vol and Credit Gen'!CI$56,'Biofuel Feedstocks'!BM10:CH10,'Fuel Vol and Credit Gen'!BM$56:CH$56)</f>
        <v>190945.71853535937</v>
      </c>
      <c r="CJ10" s="140">
        <f>FORECAST('Fuel Vol and Credit Gen'!CJ$56,'Biofuel Feedstocks'!BN10:CI10,'Fuel Vol and Credit Gen'!BN$56:CI$56)</f>
        <v>165922.08687533808</v>
      </c>
      <c r="CK10" s="140">
        <f>FORECAST('Fuel Vol and Credit Gen'!CK$56,'Biofuel Feedstocks'!BO10:CJ10,'Fuel Vol and Credit Gen'!BO$56:CJ$56)</f>
        <v>174655.37818335998</v>
      </c>
      <c r="CL10" s="140">
        <f>FORECAST('Fuel Vol and Credit Gen'!CL$56,'Biofuel Feedstocks'!BP10:CK10,'Fuel Vol and Credit Gen'!BP$56:CK$56)</f>
        <v>210393.22846209176</v>
      </c>
      <c r="CM10" s="140">
        <f>FORECAST('Fuel Vol and Credit Gen'!CM$56,'Biofuel Feedstocks'!BQ10:CL10,'Fuel Vol and Credit Gen'!BQ$56:CL$56)</f>
        <v>195517.61133911516</v>
      </c>
      <c r="CN10" s="140">
        <f>FORECAST('Fuel Vol and Credit Gen'!CN$56,'Biofuel Feedstocks'!BR10:CM10,'Fuel Vol and Credit Gen'!BR$56:CM$56)</f>
        <v>154163.3723074029</v>
      </c>
      <c r="CO10" s="140">
        <f>FORECAST('Fuel Vol and Credit Gen'!CO$56,'Biofuel Feedstocks'!BS10:CN10,'Fuel Vol and Credit Gen'!BS$56:CN$56)</f>
        <v>171817.40176405798</v>
      </c>
      <c r="CP10" s="140">
        <f>FORECAST('Fuel Vol and Credit Gen'!CP$56,'Biofuel Feedstocks'!BT10:CO10,'Fuel Vol and Credit Gen'!BT$56:CO$56)</f>
        <v>218439.12659163401</v>
      </c>
      <c r="CQ10" s="140">
        <f>FORECAST('Fuel Vol and Credit Gen'!CQ$56,'Biofuel Feedstocks'!BU10:CP10,'Fuel Vol and Credit Gen'!BU$56:CP$56)</f>
        <v>198508.59169622458</v>
      </c>
      <c r="CR10" s="140">
        <f>FORECAST('Fuel Vol and Credit Gen'!CR$56,'Biofuel Feedstocks'!BV10:CQ10,'Fuel Vol and Credit Gen'!BV$56:CQ$56)</f>
        <v>151049.98905281874</v>
      </c>
      <c r="CS10" s="140">
        <f>FORECAST('Fuel Vol and Credit Gen'!CS$56,'Biofuel Feedstocks'!BW10:CR10,'Fuel Vol and Credit Gen'!BW$56:CR$56)</f>
        <v>168417.21181453206</v>
      </c>
      <c r="CT10" s="140">
        <f>FORECAST('Fuel Vol and Credit Gen'!CT$56,'Biofuel Feedstocks'!BX10:CS10,'Fuel Vol and Credit Gen'!BX$56:CS$56)</f>
        <v>219995.64855474498</v>
      </c>
      <c r="CU10" s="140">
        <f>FORECAST('Fuel Vol and Credit Gen'!CU$56,'Biofuel Feedstocks'!BY10:CT10,'Fuel Vol and Credit Gen'!BY$56:CT$56)</f>
        <v>199355.62881504418</v>
      </c>
      <c r="CV10" s="140">
        <f>FORECAST('Fuel Vol and Credit Gen'!CV$56,'Biofuel Feedstocks'!BZ10:CU10,'Fuel Vol and Credit Gen'!BZ$56:CU$56)</f>
        <v>144558.120960247</v>
      </c>
      <c r="CW10" s="140">
        <f>FORECAST('Fuel Vol and Credit Gen'!CW$56,'Biofuel Feedstocks'!CA10:CV10,'Fuel Vol and Credit Gen'!CA$56:CV$56)</f>
        <v>161321.83035497984</v>
      </c>
      <c r="CX10" s="140">
        <f>FORECAST('Fuel Vol and Credit Gen'!CX$56,'Biofuel Feedstocks'!CB10:CW10,'Fuel Vol and Credit Gen'!CB$56:CW$56)</f>
        <v>221931.40596528712</v>
      </c>
      <c r="CY10" s="140">
        <f>FORECAST('Fuel Vol and Credit Gen'!CY$56,'Biofuel Feedstocks'!CC10:CX10,'Fuel Vol and Credit Gen'!CC$56:CX$56)</f>
        <v>209047.12584118108</v>
      </c>
      <c r="CZ10" s="140">
        <f>FORECAST('Fuel Vol and Credit Gen'!CZ$56,'Biofuel Feedstocks'!CD10:CY10,'Fuel Vol and Credit Gen'!CD$56:CY$56)</f>
        <v>118895.32258297675</v>
      </c>
      <c r="DA10" s="140">
        <f>FORECAST('Fuel Vol and Credit Gen'!DA$56,'Biofuel Feedstocks'!CE10:CZ10,'Fuel Vol and Credit Gen'!CE$56:CZ$56)</f>
        <v>154726.92398536828</v>
      </c>
      <c r="DB10" s="140">
        <f>FORECAST('Fuel Vol and Credit Gen'!DB$56,'Biofuel Feedstocks'!CF10:DA10,'Fuel Vol and Credit Gen'!CF$56:DA$56)</f>
        <v>223922.22369461754</v>
      </c>
      <c r="DC10" s="140">
        <f>FORECAST('Fuel Vol and Credit Gen'!DC$56,'Biofuel Feedstocks'!CG10:DB10,'Fuel Vol and Credit Gen'!CG$56:DB$56)</f>
        <v>223672.50537993311</v>
      </c>
      <c r="DD10" s="140">
        <f>FORECAST('Fuel Vol and Credit Gen'!DD$56,'Biofuel Feedstocks'!CH10:DC10,'Fuel Vol and Credit Gen'!CH$56:DC$56)</f>
        <v>91706.594334496272</v>
      </c>
      <c r="DE10" s="140">
        <f>FORECAST('Fuel Vol and Credit Gen'!DE$56,'Biofuel Feedstocks'!CI10:DD10,'Fuel Vol and Credit Gen'!CI$56:DD$56)</f>
        <v>146729.16691698105</v>
      </c>
      <c r="DF10" s="140">
        <f>FORECAST('Fuel Vol and Credit Gen'!DF$56,'Biofuel Feedstocks'!CJ10:DE10,'Fuel Vol and Credit Gen'!CJ$56:DE$56)</f>
        <v>227244.59970988287</v>
      </c>
      <c r="DG10" s="140">
        <f>FORECAST('Fuel Vol and Credit Gen'!DG$56,'Biofuel Feedstocks'!CK10:DF10,'Fuel Vol and Credit Gen'!CK$56:DF$56)</f>
        <v>227732.03886515711</v>
      </c>
      <c r="DH10" s="140">
        <f>FORECAST('Fuel Vol and Credit Gen'!DH$56,'Biofuel Feedstocks'!CL10:DG10,'Fuel Vol and Credit Gen'!CL$56:DG$56)</f>
        <v>88523.996809055476</v>
      </c>
      <c r="DI10" s="140">
        <f>FORECAST('Fuel Vol and Credit Gen'!DI$56,'Biofuel Feedstocks'!CM10:DH10,'Fuel Vol and Credit Gen'!CM$56:DH$56)</f>
        <v>148601.09428893699</v>
      </c>
      <c r="DJ10" s="140">
        <f>FORECAST('Fuel Vol and Credit Gen'!DJ$56,'Biofuel Feedstocks'!CN10:DI10,'Fuel Vol and Credit Gen'!CN$56:DI$56)</f>
        <v>229598.81152485195</v>
      </c>
      <c r="DK10" s="140">
        <f>FORECAST('Fuel Vol and Credit Gen'!DK$56,'Biofuel Feedstocks'!CO10:DJ10,'Fuel Vol and Credit Gen'!CO$56:DJ$56)</f>
        <v>239066.7552610983</v>
      </c>
      <c r="DL10" s="140">
        <f>FORECAST('Fuel Vol and Credit Gen'!DL$56,'Biofuel Feedstocks'!CP10:DK10,'Fuel Vol and Credit Gen'!CP$56:DK$56)</f>
        <v>68654.468840449961</v>
      </c>
      <c r="DM10" s="140">
        <f>FORECAST('Fuel Vol and Credit Gen'!DM$56,'Biofuel Feedstocks'!CQ10:DL10,'Fuel Vol and Credit Gen'!CQ$56:DL$56)</f>
        <v>143032.33564291225</v>
      </c>
      <c r="DN10" s="140">
        <f>FORECAST('Fuel Vol and Credit Gen'!DN$56,'Biofuel Feedstocks'!CR10:DM10,'Fuel Vol and Credit Gen'!CR$56:DM$56)</f>
        <v>233357.00711900915</v>
      </c>
      <c r="DO10" s="140">
        <f>FORECAST('Fuel Vol and Credit Gen'!DO$56,'Biofuel Feedstocks'!CS10:DN10,'Fuel Vol and Credit Gen'!CS$56:DN$56)</f>
        <v>258550.9899551447</v>
      </c>
      <c r="DP10" s="140">
        <f>FORECAST('Fuel Vol and Credit Gen'!DP$56,'Biofuel Feedstocks'!CT10:DO10,'Fuel Vol and Credit Gen'!CT$56:DO$56)</f>
        <v>62424.381268771423</v>
      </c>
      <c r="DQ10" s="140">
        <f>FORECAST('Fuel Vol and Credit Gen'!DQ$56,'Biofuel Feedstocks'!CU10:DP10,'Fuel Vol and Credit Gen'!CU$56:DP$56)</f>
        <v>136210.12413637456</v>
      </c>
      <c r="DR10" s="140">
        <f>FORECAST('Fuel Vol and Credit Gen'!DR$56,'Biofuel Feedstocks'!CV10:DQ10,'Fuel Vol and Credit Gen'!CV$56:DQ$56)</f>
        <v>236298.92762570045</v>
      </c>
      <c r="DS10" s="140">
        <f>FORECAST('Fuel Vol and Credit Gen'!DS$56,'Biofuel Feedstocks'!CW10:DR10,'Fuel Vol and Credit Gen'!CW$56:DR$56)</f>
        <v>236339.52212221359</v>
      </c>
      <c r="DT10" s="140">
        <f>FORECAST('Fuel Vol and Credit Gen'!DT$56,'Biofuel Feedstocks'!CX10:DS10,'Fuel Vol and Credit Gen'!CX$56:DS$56)</f>
        <v>236376.36791538834</v>
      </c>
      <c r="DU10" s="140">
        <f>FORECAST('Fuel Vol and Credit Gen'!DU$56,'Biofuel Feedstocks'!CY10:DT10,'Fuel Vol and Credit Gen'!CY$56:DT$56)</f>
        <v>236303.61959129039</v>
      </c>
      <c r="DV10" s="140">
        <f>FORECAST('Fuel Vol and Credit Gen'!DV$56,'Biofuel Feedstocks'!CZ10:DU10,'Fuel Vol and Credit Gen'!CZ$56:DU$56)</f>
        <v>236297.76689140289</v>
      </c>
      <c r="DW10" s="140">
        <f>FORECAST('Fuel Vol and Credit Gen'!DW$56,'Biofuel Feedstocks'!DA10:DV10,'Fuel Vol and Credit Gen'!DA$56:DV$56)</f>
        <v>236341.85493684927</v>
      </c>
      <c r="DX10" s="140">
        <f>FORECAST('Fuel Vol and Credit Gen'!DX$56,'Biofuel Feedstocks'!DB10:DW10,'Fuel Vol and Credit Gen'!DB$56:DW$56)</f>
        <v>236386.18844856718</v>
      </c>
      <c r="DY10" s="140">
        <f>FORECAST('Fuel Vol and Credit Gen'!DY$56,'Biofuel Feedstocks'!DC10:DX10,'Fuel Vol and Credit Gen'!DC$56:DX$56)</f>
        <v>236328.88106744451</v>
      </c>
      <c r="DZ10" s="140">
        <f>FORECAST('Fuel Vol and Credit Gen'!DZ$56,'Biofuel Feedstocks'!DD10:DY10,'Fuel Vol and Credit Gen'!DD$56:DY$56)</f>
        <v>236329.95718217047</v>
      </c>
    </row>
    <row r="11" spans="1:130" x14ac:dyDescent="0.25">
      <c r="A11" s="39" t="s">
        <v>245</v>
      </c>
      <c r="B11" s="39" t="s">
        <v>87</v>
      </c>
      <c r="C11" s="139">
        <v>0</v>
      </c>
      <c r="D11" s="139">
        <v>0</v>
      </c>
      <c r="E11" s="139">
        <v>0</v>
      </c>
      <c r="F11" s="139">
        <v>0</v>
      </c>
      <c r="G11" s="139">
        <v>0</v>
      </c>
      <c r="H11" s="139">
        <v>0</v>
      </c>
      <c r="I11" s="139">
        <v>0</v>
      </c>
      <c r="J11" s="139">
        <v>0</v>
      </c>
      <c r="K11" s="139">
        <v>14</v>
      </c>
      <c r="L11" s="139">
        <v>70</v>
      </c>
      <c r="M11" s="139">
        <v>0</v>
      </c>
      <c r="N11" s="139">
        <v>0</v>
      </c>
      <c r="O11" s="139">
        <v>0</v>
      </c>
      <c r="P11" s="139">
        <v>0</v>
      </c>
      <c r="Q11" s="139">
        <v>0</v>
      </c>
      <c r="R11" s="139">
        <v>0</v>
      </c>
      <c r="S11" s="139">
        <v>0</v>
      </c>
      <c r="T11" s="139">
        <v>0</v>
      </c>
      <c r="U11" s="139">
        <v>0</v>
      </c>
      <c r="V11" s="139">
        <v>0</v>
      </c>
      <c r="W11" s="139">
        <v>0</v>
      </c>
      <c r="X11" s="139">
        <v>0</v>
      </c>
      <c r="Y11" s="139">
        <v>7187</v>
      </c>
      <c r="Z11" s="139">
        <v>9178</v>
      </c>
      <c r="AA11" s="139">
        <v>1157</v>
      </c>
      <c r="AB11" s="139">
        <v>0</v>
      </c>
      <c r="AC11" s="139">
        <v>983</v>
      </c>
      <c r="AD11" s="139">
        <v>0</v>
      </c>
      <c r="AE11" s="139">
        <v>0</v>
      </c>
      <c r="AF11" s="139">
        <v>0</v>
      </c>
      <c r="AG11" s="139">
        <v>0</v>
      </c>
      <c r="AH11" s="139">
        <v>0</v>
      </c>
      <c r="AI11" s="139">
        <v>0</v>
      </c>
      <c r="AJ11" s="139">
        <v>0</v>
      </c>
      <c r="AK11" s="139">
        <v>0</v>
      </c>
      <c r="AL11" s="139">
        <v>0</v>
      </c>
      <c r="AM11" s="139">
        <v>0</v>
      </c>
      <c r="AN11" s="139">
        <v>0</v>
      </c>
      <c r="AO11" s="139">
        <v>0</v>
      </c>
      <c r="AP11" s="139">
        <v>680</v>
      </c>
      <c r="AQ11" s="139">
        <v>18604</v>
      </c>
      <c r="AR11" s="139">
        <v>8301</v>
      </c>
      <c r="AS11" s="139">
        <v>1903</v>
      </c>
      <c r="AT11" s="139">
        <v>76</v>
      </c>
      <c r="AU11" s="139">
        <v>0</v>
      </c>
      <c r="AV11" s="139">
        <v>2484</v>
      </c>
      <c r="AW11" s="139">
        <v>4722</v>
      </c>
      <c r="AX11" s="139">
        <v>2301</v>
      </c>
      <c r="AY11" s="139">
        <v>49</v>
      </c>
      <c r="AZ11" s="139">
        <v>106</v>
      </c>
      <c r="BA11" s="139">
        <v>23</v>
      </c>
      <c r="BB11" s="139">
        <v>14</v>
      </c>
      <c r="BC11" s="139">
        <v>82</v>
      </c>
      <c r="BD11" s="139">
        <v>0</v>
      </c>
      <c r="BE11" s="139">
        <v>26</v>
      </c>
      <c r="BF11" s="140">
        <f>FORECAST('Fuel Vol and Credit Gen'!BF$56,'Biofuel Feedstocks'!AJ11:BE11,'Fuel Vol and Credit Gen'!AJ$56:BE$56)</f>
        <v>1260.8735056001588</v>
      </c>
      <c r="BG11" s="140">
        <f>FORECAST('Fuel Vol and Credit Gen'!BG$56,'Biofuel Feedstocks'!AK11:BF11,'Fuel Vol and Credit Gen'!AK$56:BF$56)</f>
        <v>2389.8994202604927</v>
      </c>
      <c r="BH11" s="140">
        <f>FORECAST('Fuel Vol and Credit Gen'!BH$56,'Biofuel Feedstocks'!AL11:BG11,'Fuel Vol and Credit Gen'!AL$56:BG$56)</f>
        <v>1291.6334188835813</v>
      </c>
      <c r="BI11" s="140">
        <f>FORECAST('Fuel Vol and Credit Gen'!BI$56,'Biofuel Feedstocks'!AM11:BH11,'Fuel Vol and Credit Gen'!AM$56:BH$56)</f>
        <v>1566.4756747941544</v>
      </c>
      <c r="BJ11" s="140">
        <f>FORECAST('Fuel Vol and Credit Gen'!BJ$56,'Biofuel Feedstocks'!AN11:BI11,'Fuel Vol and Credit Gen'!AN$56:BI$56)</f>
        <v>1846.8549126331834</v>
      </c>
      <c r="BK11" s="140">
        <f>FORECAST('Fuel Vol and Credit Gen'!BK$56,'Biofuel Feedstocks'!AO11:BJ11,'Fuel Vol and Credit Gen'!AO$56:BJ$56)</f>
        <v>2064.5154761945832</v>
      </c>
      <c r="BL11" s="140">
        <f>FORECAST('Fuel Vol and Credit Gen'!BL$56,'Biofuel Feedstocks'!AP11:BK11,'Fuel Vol and Credit Gen'!AP$56:BK$56)</f>
        <v>1785.2003908513416</v>
      </c>
      <c r="BM11" s="140">
        <f>FORECAST('Fuel Vol and Credit Gen'!BM$56,'Biofuel Feedstocks'!AQ11:BL11,'Fuel Vol and Credit Gen'!AQ$56:BL$56)</f>
        <v>1931.6215355349432</v>
      </c>
      <c r="BN11" s="140">
        <f>FORECAST('Fuel Vol and Credit Gen'!BN$56,'Biofuel Feedstocks'!AR11:BM11,'Fuel Vol and Credit Gen'!AR$56:BM$56)</f>
        <v>2065.052255343111</v>
      </c>
      <c r="BO11" s="140">
        <f>FORECAST('Fuel Vol and Credit Gen'!BO$56,'Biofuel Feedstocks'!AS11:BN11,'Fuel Vol and Credit Gen'!AS$56:BN$56)</f>
        <v>1368.5020196493492</v>
      </c>
      <c r="BP11" s="140">
        <f>FORECAST('Fuel Vol and Credit Gen'!BP$56,'Biofuel Feedstocks'!AT11:BO11,'Fuel Vol and Credit Gen'!AT$56:BO$56)</f>
        <v>726.78018845793781</v>
      </c>
      <c r="BQ11" s="140">
        <f>FORECAST('Fuel Vol and Credit Gen'!BQ$56,'Biofuel Feedstocks'!AU11:BP11,'Fuel Vol and Credit Gen'!AU$56:BP$56)</f>
        <v>915.07682317726494</v>
      </c>
      <c r="BR11" s="140">
        <f>FORECAST('Fuel Vol and Credit Gen'!BR$56,'Biofuel Feedstocks'!AV11:BQ11,'Fuel Vol and Credit Gen'!AV$56:BQ$56)</f>
        <v>2172.9690365430561</v>
      </c>
      <c r="BS11" s="140">
        <f>FORECAST('Fuel Vol and Credit Gen'!BS$56,'Biofuel Feedstocks'!AW11:BR11,'Fuel Vol and Credit Gen'!AW$56:BR$56)</f>
        <v>1940.234482218716</v>
      </c>
      <c r="BT11" s="140">
        <f>FORECAST('Fuel Vol and Credit Gen'!BT$56,'Biofuel Feedstocks'!AX11:BS11,'Fuel Vol and Credit Gen'!AX$56:BS$56)</f>
        <v>-638.43329787221342</v>
      </c>
      <c r="BU11" s="140">
        <f>FORECAST('Fuel Vol and Credit Gen'!BU$56,'Biofuel Feedstocks'!AY11:BT11,'Fuel Vol and Credit Gen'!AY$56:BT$56)</f>
        <v>-276.26820906636362</v>
      </c>
      <c r="BV11" s="140">
        <f>FORECAST('Fuel Vol and Credit Gen'!BV$56,'Biofuel Feedstocks'!AZ11:BU11,'Fuel Vol and Credit Gen'!AZ$56:BU$56)</f>
        <v>2109.9535454962447</v>
      </c>
      <c r="BW11" s="140">
        <f>FORECAST('Fuel Vol and Credit Gen'!BW$56,'Biofuel Feedstocks'!BA11:BV11,'Fuel Vol and Credit Gen'!BA$56:BV$56)</f>
        <v>1429.0245471167082</v>
      </c>
      <c r="BX11" s="140">
        <f>FORECAST('Fuel Vol and Credit Gen'!BX$56,'Biofuel Feedstocks'!BB11:BW11,'Fuel Vol and Credit Gen'!BB$56:BW$56)</f>
        <v>255.50942276530759</v>
      </c>
      <c r="BY11" s="140">
        <f>FORECAST('Fuel Vol and Credit Gen'!BY$56,'Biofuel Feedstocks'!BC11:BX11,'Fuel Vol and Credit Gen'!BC$56:BX$56)</f>
        <v>551.3772574214986</v>
      </c>
      <c r="BZ11" s="140">
        <f>FORECAST('Fuel Vol and Credit Gen'!BZ$56,'Biofuel Feedstocks'!BD11:BY11,'Fuel Vol and Credit Gen'!BD$56:BY$56)</f>
        <v>1917.8139161865206</v>
      </c>
      <c r="CA11" s="140">
        <f>FORECAST('Fuel Vol and Credit Gen'!CA$56,'Biofuel Feedstocks'!BE11:BZ11,'Fuel Vol and Credit Gen'!BE$56:BZ$56)</f>
        <v>1602.4716829676122</v>
      </c>
      <c r="CB11" s="140">
        <f>FORECAST('Fuel Vol and Credit Gen'!CB$56,'Biofuel Feedstocks'!BF11:CA11,'Fuel Vol and Credit Gen'!BF$56:CA$56)</f>
        <v>577.13593926169233</v>
      </c>
      <c r="CC11" s="140">
        <f>FORECAST('Fuel Vol and Credit Gen'!CC$56,'Biofuel Feedstocks'!BG11:CB11,'Fuel Vol and Credit Gen'!BG$56:CB$56)</f>
        <v>848.51506329939139</v>
      </c>
      <c r="CD11" s="140">
        <f>FORECAST('Fuel Vol and Credit Gen'!CD$56,'Biofuel Feedstocks'!BH11:CC11,'Fuel Vol and Credit Gen'!BH$56:CC$56)</f>
        <v>2698.1710345168626</v>
      </c>
      <c r="CE11" s="140">
        <f>FORECAST('Fuel Vol and Credit Gen'!CE$56,'Biofuel Feedstocks'!BI11:CD11,'Fuel Vol and Credit Gen'!BI$56:CD$56)</f>
        <v>1537.2115231447974</v>
      </c>
      <c r="CF11" s="140">
        <f>FORECAST('Fuel Vol and Credit Gen'!CF$56,'Biofuel Feedstocks'!BJ11:CE11,'Fuel Vol and Credit Gen'!BJ$56:CE$56)</f>
        <v>725.37110523898991</v>
      </c>
      <c r="CG11" s="140">
        <f>FORECAST('Fuel Vol and Credit Gen'!CG$56,'Biofuel Feedstocks'!BK11:CF11,'Fuel Vol and Credit Gen'!BK$56:CF$56)</f>
        <v>782.09012218525822</v>
      </c>
      <c r="CH11" s="140">
        <f>FORECAST('Fuel Vol and Credit Gen'!CH$56,'Biofuel Feedstocks'!BL11:CG11,'Fuel Vol and Credit Gen'!BL$56:CG$56)</f>
        <v>2434.2219309958359</v>
      </c>
      <c r="CI11" s="140">
        <f>FORECAST('Fuel Vol and Credit Gen'!CI$56,'Biofuel Feedstocks'!BM11:CH11,'Fuel Vol and Credit Gen'!BM$56:CH$56)</f>
        <v>1531.5248531804373</v>
      </c>
      <c r="CJ11" s="140">
        <f>FORECAST('Fuel Vol and Credit Gen'!CJ$56,'Biofuel Feedstocks'!BN11:CI11,'Fuel Vol and Credit Gen'!BN$56:CI$56)</f>
        <v>726.33086843504134</v>
      </c>
      <c r="CK11" s="140">
        <f>FORECAST('Fuel Vol and Credit Gen'!CK$56,'Biofuel Feedstocks'!BO11:CJ11,'Fuel Vol and Credit Gen'!BO$56:CJ$56)</f>
        <v>990.56512757411747</v>
      </c>
      <c r="CL11" s="140">
        <f>FORECAST('Fuel Vol and Credit Gen'!CL$56,'Biofuel Feedstocks'!BP11:CK11,'Fuel Vol and Credit Gen'!BP$56:CK$56)</f>
        <v>2117.4297229474914</v>
      </c>
      <c r="CM11" s="140">
        <f>FORECAST('Fuel Vol and Credit Gen'!CM$56,'Biofuel Feedstocks'!BQ11:CL11,'Fuel Vol and Credit Gen'!BQ$56:CL$56)</f>
        <v>1652.8822434272065</v>
      </c>
      <c r="CN11" s="140">
        <f>FORECAST('Fuel Vol and Credit Gen'!CN$56,'Biofuel Feedstocks'!BR11:CM11,'Fuel Vol and Credit Gen'!BR$56:CM$56)</f>
        <v>374.68460888585241</v>
      </c>
      <c r="CO11" s="140">
        <f>FORECAST('Fuel Vol and Credit Gen'!CO$56,'Biofuel Feedstocks'!BS11:CN11,'Fuel Vol and Credit Gen'!BS$56:CN$56)</f>
        <v>917.47745638373908</v>
      </c>
      <c r="CP11" s="140">
        <f>FORECAST('Fuel Vol and Credit Gen'!CP$56,'Biofuel Feedstocks'!BT11:CO11,'Fuel Vol and Credit Gen'!BT$56:CO$56)</f>
        <v>2333.4918168032209</v>
      </c>
      <c r="CQ11" s="140">
        <f>FORECAST('Fuel Vol and Credit Gen'!CQ$56,'Biofuel Feedstocks'!BU11:CP11,'Fuel Vol and Credit Gen'!BU$56:CP$56)</f>
        <v>1722.7967757532406</v>
      </c>
      <c r="CR11" s="140">
        <f>FORECAST('Fuel Vol and Credit Gen'!CR$56,'Biofuel Feedstocks'!BV11:CQ11,'Fuel Vol and Credit Gen'!BV$56:CQ$56)</f>
        <v>328.57700535688718</v>
      </c>
      <c r="CS11" s="140">
        <f>FORECAST('Fuel Vol and Credit Gen'!CS$56,'Biofuel Feedstocks'!BW11:CR11,'Fuel Vol and Credit Gen'!BW$56:CR$56)</f>
        <v>838.36722407010393</v>
      </c>
      <c r="CT11" s="140">
        <f>FORECAST('Fuel Vol and Credit Gen'!CT$56,'Biofuel Feedstocks'!BX11:CS11,'Fuel Vol and Credit Gen'!BX$56:CS$56)</f>
        <v>2437.829003400594</v>
      </c>
      <c r="CU11" s="140">
        <f>FORECAST('Fuel Vol and Credit Gen'!CU$56,'Biofuel Feedstocks'!BY11:CT11,'Fuel Vol and Credit Gen'!BY$56:CT$56)</f>
        <v>1801.9804698203175</v>
      </c>
      <c r="CV11" s="140">
        <f>FORECAST('Fuel Vol and Credit Gen'!CV$56,'Biofuel Feedstocks'!BZ11:CU11,'Fuel Vol and Credit Gen'!BZ$56:CU$56)</f>
        <v>141.75760557910553</v>
      </c>
      <c r="CW11" s="140">
        <f>FORECAST('Fuel Vol and Credit Gen'!CW$56,'Biofuel Feedstocks'!CA11:CV11,'Fuel Vol and Credit Gen'!CA$56:CV$56)</f>
        <v>650.88606420122778</v>
      </c>
      <c r="CX11" s="140">
        <f>FORECAST('Fuel Vol and Credit Gen'!CX$56,'Biofuel Feedstocks'!CB11:CW11,'Fuel Vol and Credit Gen'!CB$56:CW$56)</f>
        <v>2492.473246699552</v>
      </c>
      <c r="CY11" s="140">
        <f>FORECAST('Fuel Vol and Credit Gen'!CY$56,'Biofuel Feedstocks'!CC11:CX11,'Fuel Vol and Credit Gen'!CC$56:CX$56)</f>
        <v>2101.1312242645572</v>
      </c>
      <c r="CZ11" s="140">
        <f>FORECAST('Fuel Vol and Credit Gen'!CZ$56,'Biofuel Feedstocks'!CD11:CY11,'Fuel Vol and Credit Gen'!CD$56:CY$56)</f>
        <v>-671.41083574090317</v>
      </c>
      <c r="DA11" s="140">
        <f>FORECAST('Fuel Vol and Credit Gen'!DA$56,'Biofuel Feedstocks'!CE11:CZ11,'Fuel Vol and Credit Gen'!CE$56:CZ$56)</f>
        <v>432.34208226297233</v>
      </c>
      <c r="DB11" s="140">
        <f>FORECAST('Fuel Vol and Credit Gen'!DB$56,'Biofuel Feedstocks'!CF11:DA11,'Fuel Vol and Credit Gen'!CF$56:DA$56)</f>
        <v>2537.414071382801</v>
      </c>
      <c r="DC11" s="140">
        <f>FORECAST('Fuel Vol and Credit Gen'!DC$56,'Biofuel Feedstocks'!CG11:DB11,'Fuel Vol and Credit Gen'!CG$56:DB$56)</f>
        <v>2529.7190790851296</v>
      </c>
      <c r="DD11" s="140">
        <f>FORECAST('Fuel Vol and Credit Gen'!DD$56,'Biofuel Feedstocks'!CH11:DC11,'Fuel Vol and Credit Gen'!CH$56:DC$56)</f>
        <v>-1509.673035549833</v>
      </c>
      <c r="DE11" s="140">
        <f>FORECAST('Fuel Vol and Credit Gen'!DE$56,'Biofuel Feedstocks'!CI11:DD11,'Fuel Vol and Credit Gen'!CI$56:DD$56)</f>
        <v>174.5004527437095</v>
      </c>
      <c r="DF11" s="140">
        <f>FORECAST('Fuel Vol and Credit Gen'!DF$56,'Biofuel Feedstocks'!CJ11:DE11,'Fuel Vol and Credit Gen'!CJ$56:DE$56)</f>
        <v>2634.3254760911436</v>
      </c>
      <c r="DG11" s="140">
        <f>FORECAST('Fuel Vol and Credit Gen'!DG$56,'Biofuel Feedstocks'!CK11:DF11,'Fuel Vol and Credit Gen'!CK$56:DF$56)</f>
        <v>2649.9779316593808</v>
      </c>
      <c r="DH11" s="140">
        <f>FORECAST('Fuel Vol and Credit Gen'!DH$56,'Biofuel Feedstocks'!CL11:DG11,'Fuel Vol and Credit Gen'!CL$56:DG$56)</f>
        <v>-1598.1173316353791</v>
      </c>
      <c r="DI11" s="140">
        <f>FORECAST('Fuel Vol and Credit Gen'!DI$56,'Biofuel Feedstocks'!CM11:DH11,'Fuel Vol and Credit Gen'!CM$56:DH$56)</f>
        <v>235.85920148651803</v>
      </c>
      <c r="DJ11" s="140">
        <f>FORECAST('Fuel Vol and Credit Gen'!DJ$56,'Biofuel Feedstocks'!CN11:DI11,'Fuel Vol and Credit Gen'!CN$56:DI$56)</f>
        <v>2709.7513610060296</v>
      </c>
      <c r="DK11" s="140">
        <f>FORECAST('Fuel Vol and Credit Gen'!DK$56,'Biofuel Feedstocks'!CO11:DJ11,'Fuel Vol and Credit Gen'!CO$56:DJ$56)</f>
        <v>2999.1760540859036</v>
      </c>
      <c r="DL11" s="140">
        <f>FORECAST('Fuel Vol and Credit Gen'!DL$56,'Biofuel Feedstocks'!CP11:DK11,'Fuel Vol and Credit Gen'!CP$56:DK$56)</f>
        <v>-2199.3097221682465</v>
      </c>
      <c r="DM11" s="140">
        <f>FORECAST('Fuel Vol and Credit Gen'!DM$56,'Biofuel Feedstocks'!CQ11:DL11,'Fuel Vol and Credit Gen'!CQ$56:DL$56)</f>
        <v>70.80530640268671</v>
      </c>
      <c r="DN11" s="140">
        <f>FORECAST('Fuel Vol and Credit Gen'!DN$56,'Biofuel Feedstocks'!CR11:DM11,'Fuel Vol and Credit Gen'!CR$56:DM$56)</f>
        <v>2832.2632791563647</v>
      </c>
      <c r="DO11" s="140">
        <f>FORECAST('Fuel Vol and Credit Gen'!DO$56,'Biofuel Feedstocks'!CS11:DN11,'Fuel Vol and Credit Gen'!CS$56:DN$56)</f>
        <v>3602.0139290097932</v>
      </c>
      <c r="DP11" s="140">
        <f>FORECAST('Fuel Vol and Credit Gen'!DP$56,'Biofuel Feedstocks'!CT11:DO11,'Fuel Vol and Credit Gen'!CT$56:DO$56)</f>
        <v>-2391.4886186646681</v>
      </c>
      <c r="DQ11" s="140">
        <f>FORECAST('Fuel Vol and Credit Gen'!DQ$56,'Biofuel Feedstocks'!CU11:DP11,'Fuel Vol and Credit Gen'!CU$56:DP$56)</f>
        <v>-136.85896279224335</v>
      </c>
      <c r="DR11" s="140">
        <f>FORECAST('Fuel Vol and Credit Gen'!DR$56,'Biofuel Feedstocks'!CV11:DQ11,'Fuel Vol and Credit Gen'!CV$56:DQ$56)</f>
        <v>2920.4361384332569</v>
      </c>
      <c r="DS11" s="140">
        <f>FORECAST('Fuel Vol and Credit Gen'!DS$56,'Biofuel Feedstocks'!CW11:DR11,'Fuel Vol and Credit Gen'!CW$56:DR$56)</f>
        <v>2921.1390775407435</v>
      </c>
      <c r="DT11" s="140">
        <f>FORECAST('Fuel Vol and Credit Gen'!DT$56,'Biofuel Feedstocks'!CX11:DS11,'Fuel Vol and Credit Gen'!CX$56:DS$56)</f>
        <v>2921.5181626936783</v>
      </c>
      <c r="DU11" s="140">
        <f>FORECAST('Fuel Vol and Credit Gen'!DU$56,'Biofuel Feedstocks'!CY11:DT11,'Fuel Vol and Credit Gen'!CY$56:DT$56)</f>
        <v>2918.3746869545657</v>
      </c>
      <c r="DV11" s="140">
        <f>FORECAST('Fuel Vol and Credit Gen'!DV$56,'Biofuel Feedstocks'!CZ11:DU11,'Fuel Vol and Credit Gen'!CZ$56:DU$56)</f>
        <v>2917.2012136641342</v>
      </c>
      <c r="DW11" s="140">
        <f>FORECAST('Fuel Vol and Credit Gen'!DW$56,'Biofuel Feedstocks'!DA11:DV11,'Fuel Vol and Credit Gen'!DA$56:DV$56)</f>
        <v>2918.5601655848232</v>
      </c>
      <c r="DX11" s="140">
        <f>FORECAST('Fuel Vol and Credit Gen'!DX$56,'Biofuel Feedstocks'!DB11:DW11,'Fuel Vol and Credit Gen'!DB$56:DW$56)</f>
        <v>2919.7229409533561</v>
      </c>
      <c r="DY11" s="140">
        <f>FORECAST('Fuel Vol and Credit Gen'!DY$56,'Biofuel Feedstocks'!DC11:DX11,'Fuel Vol and Credit Gen'!DC$56:DX$56)</f>
        <v>2918.0669867090974</v>
      </c>
      <c r="DZ11" s="140">
        <f>FORECAST('Fuel Vol and Credit Gen'!DZ$56,'Biofuel Feedstocks'!DD11:DY11,'Fuel Vol and Credit Gen'!DD$56:DY$56)</f>
        <v>2918.203082722187</v>
      </c>
    </row>
    <row r="12" spans="1:130" x14ac:dyDescent="0.25">
      <c r="A12" s="39" t="s">
        <v>246</v>
      </c>
      <c r="B12" s="39" t="s">
        <v>87</v>
      </c>
      <c r="C12" s="139">
        <v>0</v>
      </c>
      <c r="D12" s="139">
        <v>0</v>
      </c>
      <c r="E12" s="139">
        <v>0</v>
      </c>
      <c r="F12" s="139">
        <v>0</v>
      </c>
      <c r="G12" s="139">
        <v>0</v>
      </c>
      <c r="H12" s="139">
        <v>0</v>
      </c>
      <c r="I12" s="139">
        <v>0</v>
      </c>
      <c r="J12" s="139">
        <v>0</v>
      </c>
      <c r="K12" s="139">
        <v>0</v>
      </c>
      <c r="L12" s="139">
        <v>0</v>
      </c>
      <c r="M12" s="139">
        <v>0</v>
      </c>
      <c r="N12" s="139">
        <v>0</v>
      </c>
      <c r="O12" s="139">
        <v>0</v>
      </c>
      <c r="P12" s="139">
        <v>0</v>
      </c>
      <c r="Q12" s="139">
        <v>0</v>
      </c>
      <c r="R12" s="139">
        <v>0</v>
      </c>
      <c r="S12" s="139">
        <v>0</v>
      </c>
      <c r="T12" s="139">
        <v>0</v>
      </c>
      <c r="U12" s="139">
        <v>0</v>
      </c>
      <c r="V12" s="139">
        <v>0</v>
      </c>
      <c r="W12" s="139">
        <v>46316</v>
      </c>
      <c r="X12" s="139">
        <v>172936</v>
      </c>
      <c r="Y12" s="139">
        <v>122722</v>
      </c>
      <c r="Z12" s="139">
        <v>210878</v>
      </c>
      <c r="AA12" s="139">
        <v>24125</v>
      </c>
      <c r="AB12" s="139">
        <v>15309</v>
      </c>
      <c r="AC12" s="139">
        <v>18094</v>
      </c>
      <c r="AD12" s="139">
        <v>64779</v>
      </c>
      <c r="AE12" s="139">
        <v>62631</v>
      </c>
      <c r="AF12" s="139">
        <v>175533</v>
      </c>
      <c r="AG12" s="139">
        <v>72768</v>
      </c>
      <c r="AH12" s="139">
        <v>272969</v>
      </c>
      <c r="AI12" s="139">
        <v>399838</v>
      </c>
      <c r="AJ12" s="139">
        <v>165412</v>
      </c>
      <c r="AK12" s="139">
        <v>190687</v>
      </c>
      <c r="AL12" s="139">
        <v>268071</v>
      </c>
      <c r="AM12" s="139">
        <v>165231</v>
      </c>
      <c r="AN12" s="139">
        <v>186081</v>
      </c>
      <c r="AO12" s="139">
        <v>163859</v>
      </c>
      <c r="AP12" s="139">
        <v>242987</v>
      </c>
      <c r="AQ12" s="139">
        <v>188497</v>
      </c>
      <c r="AR12" s="139">
        <v>267658</v>
      </c>
      <c r="AS12" s="139">
        <v>393228</v>
      </c>
      <c r="AT12" s="139">
        <v>333964</v>
      </c>
      <c r="AU12" s="139">
        <v>615584</v>
      </c>
      <c r="AV12" s="139">
        <v>511290</v>
      </c>
      <c r="AW12" s="139">
        <v>689777</v>
      </c>
      <c r="AX12" s="139">
        <v>473636</v>
      </c>
      <c r="AY12" s="139">
        <v>262804</v>
      </c>
      <c r="AZ12" s="139">
        <v>246096</v>
      </c>
      <c r="BA12" s="139">
        <v>637129</v>
      </c>
      <c r="BB12" s="139">
        <v>475307</v>
      </c>
      <c r="BC12" s="139">
        <v>450129</v>
      </c>
      <c r="BD12" s="139">
        <v>818492</v>
      </c>
      <c r="BE12" s="139">
        <v>832856</v>
      </c>
      <c r="BF12" s="140">
        <f>FORECAST('Fuel Vol and Credit Gen'!BF$57,'Biofuel Feedstocks'!AJ12:BE12,'Fuel Vol and Credit Gen'!AJ$57:BE$57)</f>
        <v>650711.32202033396</v>
      </c>
      <c r="BG12" s="140">
        <f>FORECAST('Fuel Vol and Credit Gen'!BG$57,'Biofuel Feedstocks'!AK12:BF12,'Fuel Vol and Credit Gen'!AK$57:BF$57)*1.5</f>
        <v>769327.13876890577</v>
      </c>
      <c r="BH12" s="140">
        <f>FORECAST('Fuel Vol and Credit Gen'!BH$57,'Biofuel Feedstocks'!AL12:BG12,'Fuel Vol and Credit Gen'!AL$57:BG$57)</f>
        <v>534762.56522107543</v>
      </c>
      <c r="BI12" s="140">
        <f>FORECAST('Fuel Vol and Credit Gen'!BI$57,'Biofuel Feedstocks'!AM12:BH12,'Fuel Vol and Credit Gen'!AM$57:BH$57)</f>
        <v>676638.5593250253</v>
      </c>
      <c r="BJ12" s="140">
        <f>FORECAST('Fuel Vol and Credit Gen'!BJ$57,'Biofuel Feedstocks'!AN12:BI12,'Fuel Vol and Credit Gen'!AN$57:BI$57)</f>
        <v>624569.24965800659</v>
      </c>
      <c r="BK12" s="140">
        <f>FORECAST('Fuel Vol and Credit Gen'!BK$57,'Biofuel Feedstocks'!AO12:BJ12,'Fuel Vol and Credit Gen'!AO$57:BJ$57)*1.25</f>
        <v>651891.28561384382</v>
      </c>
      <c r="BL12" s="140">
        <f>FORECAST('Fuel Vol and Credit Gen'!BL$57,'Biofuel Feedstocks'!AP12:BK12,'Fuel Vol and Credit Gen'!AP$57:BK$57)</f>
        <v>576543.2865292381</v>
      </c>
      <c r="BM12" s="140">
        <f>FORECAST('Fuel Vol and Credit Gen'!BM$57,'Biofuel Feedstocks'!AQ12:BL12,'Fuel Vol and Credit Gen'!AQ$57:BL$57)</f>
        <v>596842.81658531376</v>
      </c>
      <c r="BN12" s="140">
        <f>FORECAST('Fuel Vol and Credit Gen'!BN$57,'Biofuel Feedstocks'!AR12:BM12,'Fuel Vol and Credit Gen'!AR$57:BM$57)</f>
        <v>681842.06065928098</v>
      </c>
      <c r="BO12" s="140">
        <f>FORECAST('Fuel Vol and Credit Gen'!BO$57,'Biofuel Feedstocks'!AS12:BN12,'Fuel Vol and Credit Gen'!AS$57:BN$57)</f>
        <v>568698.82522502472</v>
      </c>
      <c r="BP12" s="140">
        <f>FORECAST('Fuel Vol and Credit Gen'!BP$57,'Biofuel Feedstocks'!AT12:BO12,'Fuel Vol and Credit Gen'!AT$57:BO$57)</f>
        <v>613103.66267946991</v>
      </c>
      <c r="BQ12" s="140">
        <f>FORECAST('Fuel Vol and Credit Gen'!BQ$57,'Biofuel Feedstocks'!AU12:BP12,'Fuel Vol and Credit Gen'!AU$57:BP$57)</f>
        <v>628029.70478313323</v>
      </c>
      <c r="BR12" s="140">
        <f>FORECAST('Fuel Vol and Credit Gen'!BR$57,'Biofuel Feedstocks'!AV12:BQ12,'Fuel Vol and Credit Gen'!AV$57:BQ$57)</f>
        <v>730911.65004298254</v>
      </c>
      <c r="BS12" s="140">
        <f>FORECAST('Fuel Vol and Credit Gen'!BS$57,'Biofuel Feedstocks'!AW12:BR12,'Fuel Vol and Credit Gen'!AW$57:BR$57)</f>
        <v>528915.43443160562</v>
      </c>
      <c r="BT12" s="140">
        <f>FORECAST('Fuel Vol and Credit Gen'!BT$57,'Biofuel Feedstocks'!AX12:BS12,'Fuel Vol and Credit Gen'!AX$57:BS$57)</f>
        <v>550903.47824682377</v>
      </c>
      <c r="BU12" s="140">
        <f>FORECAST('Fuel Vol and Credit Gen'!BU$57,'Biofuel Feedstocks'!AY12:BT12,'Fuel Vol and Credit Gen'!AY$57:BT$57)</f>
        <v>598965.62458165188</v>
      </c>
      <c r="BV12" s="140">
        <f>FORECAST('Fuel Vol and Credit Gen'!BV$57,'Biofuel Feedstocks'!AZ12:BU12,'Fuel Vol and Credit Gen'!AZ$57:BU$57)</f>
        <v>700240.00571060856</v>
      </c>
      <c r="BW12" s="140">
        <f>FORECAST('Fuel Vol and Credit Gen'!BW$57,'Biofuel Feedstocks'!BA12:BV12,'Fuel Vol and Credit Gen'!BA$57:BV$57)</f>
        <v>565689.80693892296</v>
      </c>
      <c r="BX12" s="140">
        <f>FORECAST('Fuel Vol and Credit Gen'!BX$57,'Biofuel Feedstocks'!BB12:BW12,'Fuel Vol and Credit Gen'!BB$57:BW$57)</f>
        <v>596565.12597428728</v>
      </c>
      <c r="BY12" s="140">
        <f>FORECAST('Fuel Vol and Credit Gen'!BY$57,'Biofuel Feedstocks'!BC12:BX12,'Fuel Vol and Credit Gen'!BC$57:BX$57)</f>
        <v>633992.70970410283</v>
      </c>
      <c r="BZ12" s="140">
        <f>FORECAST('Fuel Vol and Credit Gen'!BZ$57,'Biofuel Feedstocks'!BD12:BY12,'Fuel Vol and Credit Gen'!BD$57:BY$57)</f>
        <v>714831.14214774733</v>
      </c>
      <c r="CA12" s="140">
        <f>FORECAST('Fuel Vol and Credit Gen'!CA$57,'Biofuel Feedstocks'!BE12:BZ12,'Fuel Vol and Credit Gen'!BE$57:BZ$57)</f>
        <v>588260.39795771055</v>
      </c>
      <c r="CB12" s="140">
        <f>FORECAST('Fuel Vol and Credit Gen'!CB$57,'Biofuel Feedstocks'!BF12:CA12,'Fuel Vol and Credit Gen'!BF$57:CA$57)</f>
        <v>618411.03477220377</v>
      </c>
      <c r="CC12" s="140">
        <f>FORECAST('Fuel Vol and Credit Gen'!CC$57,'Biofuel Feedstocks'!BG12:CB12,'Fuel Vol and Credit Gen'!BG$57:CB$57)</f>
        <v>633308.45709089562</v>
      </c>
      <c r="CD12" s="140">
        <f>FORECAST('Fuel Vol and Credit Gen'!CD$57,'Biofuel Feedstocks'!BH12:CC12,'Fuel Vol and Credit Gen'!BH$57:CC$57)</f>
        <v>722707.12292463123</v>
      </c>
      <c r="CE12" s="140">
        <f>FORECAST('Fuel Vol and Credit Gen'!CE$57,'Biofuel Feedstocks'!BI12:CD12,'Fuel Vol and Credit Gen'!BI$57:CD$57)</f>
        <v>598765.54675654962</v>
      </c>
      <c r="CF12" s="140">
        <f>FORECAST('Fuel Vol and Credit Gen'!CF$57,'Biofuel Feedstocks'!BJ12:CE12,'Fuel Vol and Credit Gen'!BJ$57:CE$57)</f>
        <v>641167.8372041313</v>
      </c>
      <c r="CG12" s="140">
        <f>FORECAST('Fuel Vol and Credit Gen'!CG$57,'Biofuel Feedstocks'!BK12:CF12,'Fuel Vol and Credit Gen'!BK$57:CF$57)</f>
        <v>621834.41047708155</v>
      </c>
      <c r="CH12" s="140">
        <f>FORECAST('Fuel Vol and Credit Gen'!CH$57,'Biofuel Feedstocks'!BL12:CG12,'Fuel Vol and Credit Gen'!BL$57:CG$57)</f>
        <v>776353.00413968007</v>
      </c>
      <c r="CI12" s="140">
        <f>FORECAST('Fuel Vol and Credit Gen'!CI$57,'Biofuel Feedstocks'!BM12:CH12,'Fuel Vol and Credit Gen'!BM$57:CH$57)</f>
        <v>659982.25625172013</v>
      </c>
      <c r="CJ12" s="140">
        <f>FORECAST('Fuel Vol and Credit Gen'!CJ$57,'Biofuel Feedstocks'!BN12:CI12,'Fuel Vol and Credit Gen'!BN$57:CI$57)</f>
        <v>723018.56550315523</v>
      </c>
      <c r="CK12" s="140">
        <f>FORECAST('Fuel Vol and Credit Gen'!CK$57,'Biofuel Feedstocks'!BO12:CJ12,'Fuel Vol and Credit Gen'!BO$57:CJ$57)</f>
        <v>581506.20888559404</v>
      </c>
      <c r="CL12" s="140">
        <f>FORECAST('Fuel Vol and Credit Gen'!CL$57,'Biofuel Feedstocks'!BP12:CK12,'Fuel Vol and Credit Gen'!BP$57:CK$57)</f>
        <v>890806.82540441665</v>
      </c>
      <c r="CM12" s="140">
        <f>FORECAST('Fuel Vol and Credit Gen'!CM$57,'Biofuel Feedstocks'!BQ12:CL12,'Fuel Vol and Credit Gen'!BQ$57:CL$57)</f>
        <v>658752.55338292278</v>
      </c>
      <c r="CN12" s="140">
        <f>FORECAST('Fuel Vol and Credit Gen'!CN$57,'Biofuel Feedstocks'!BR12:CM12,'Fuel Vol and Credit Gen'!BR$57:CM$57)</f>
        <v>720736.16825382633</v>
      </c>
      <c r="CO12" s="140">
        <f>FORECAST('Fuel Vol and Credit Gen'!CO$57,'Biofuel Feedstocks'!BS12:CN12,'Fuel Vol and Credit Gen'!BS$57:CN$57)</f>
        <v>593210.05821593269</v>
      </c>
      <c r="CP12" s="140">
        <f>FORECAST('Fuel Vol and Credit Gen'!CP$57,'Biofuel Feedstocks'!BT12:CO12,'Fuel Vol and Credit Gen'!BT$57:CO$57)</f>
        <v>884885.91328708327</v>
      </c>
      <c r="CQ12" s="140">
        <f>FORECAST('Fuel Vol and Credit Gen'!CQ$57,'Biofuel Feedstocks'!BU12:CP12,'Fuel Vol and Credit Gen'!BU$57:CP$57)</f>
        <v>650665.69251320686</v>
      </c>
      <c r="CR12" s="140">
        <f>FORECAST('Fuel Vol and Credit Gen'!CR$57,'Biofuel Feedstocks'!BV12:CQ12,'Fuel Vol and Credit Gen'!BV$57:CQ$57)</f>
        <v>708449.64775390842</v>
      </c>
      <c r="CS12" s="140">
        <f>FORECAST('Fuel Vol and Credit Gen'!CS$57,'Biofuel Feedstocks'!BW12:CR12,'Fuel Vol and Credit Gen'!BW$57:CR$57)</f>
        <v>601034.08337240003</v>
      </c>
      <c r="CT12" s="140">
        <f>FORECAST('Fuel Vol and Credit Gen'!CT$57,'Biofuel Feedstocks'!BX12:CS12,'Fuel Vol and Credit Gen'!BX$57:CS$57)</f>
        <v>863599.13542233</v>
      </c>
      <c r="CU12" s="140">
        <f>FORECAST('Fuel Vol and Credit Gen'!CU$57,'Biofuel Feedstocks'!BY12:CT12,'Fuel Vol and Credit Gen'!BY$57:CT$57)</f>
        <v>691304.8269523225</v>
      </c>
      <c r="CV12" s="140">
        <f>FORECAST('Fuel Vol and Credit Gen'!CV$57,'Biofuel Feedstocks'!BZ12:CU12,'Fuel Vol and Credit Gen'!BZ$57:CU$57)</f>
        <v>761896.88432608719</v>
      </c>
      <c r="CW12" s="140">
        <f>FORECAST('Fuel Vol and Credit Gen'!CW$57,'Biofuel Feedstocks'!CA12:CV12,'Fuel Vol and Credit Gen'!CA$57:CV$57)</f>
        <v>587757.88928335148</v>
      </c>
      <c r="CX12" s="140">
        <f>FORECAST('Fuel Vol and Credit Gen'!CX$57,'Biofuel Feedstocks'!CB12:CW12,'Fuel Vol and Credit Gen'!CB$57:CW$57)</f>
        <v>927010.53529934306</v>
      </c>
      <c r="CY12" s="140">
        <f>FORECAST('Fuel Vol and Credit Gen'!CY$57,'Biofuel Feedstocks'!CC12:CX12,'Fuel Vol and Credit Gen'!CC$57:CX$57)</f>
        <v>713848.92081509286</v>
      </c>
      <c r="CZ12" s="140">
        <f>FORECAST('Fuel Vol and Credit Gen'!CZ$57,'Biofuel Feedstocks'!CD12:CY12,'Fuel Vol and Credit Gen'!CD$57:CY$57)</f>
        <v>788612.31401515263</v>
      </c>
      <c r="DA12" s="140">
        <f>FORECAST('Fuel Vol and Credit Gen'!DA$57,'Biofuel Feedstocks'!CE12:CZ12,'Fuel Vol and Credit Gen'!CE$57:CZ$57)</f>
        <v>574483.19514723797</v>
      </c>
      <c r="DB12" s="140">
        <f>FORECAST('Fuel Vol and Credit Gen'!DB$57,'Biofuel Feedstocks'!CF12:DA12,'Fuel Vol and Credit Gen'!CF$57:DA$57)</f>
        <v>973495.50287585601</v>
      </c>
      <c r="DC12" s="140">
        <f>FORECAST('Fuel Vol and Credit Gen'!DC$57,'Biofuel Feedstocks'!CG12:DB12,'Fuel Vol and Credit Gen'!CG$57:DB$57)</f>
        <v>775594.85479954246</v>
      </c>
      <c r="DD12" s="140">
        <f>FORECAST('Fuel Vol and Credit Gen'!DD$57,'Biofuel Feedstocks'!CH12:DC12,'Fuel Vol and Credit Gen'!CH$57:DC$57)</f>
        <v>864663.42187631736</v>
      </c>
      <c r="DE12" s="140">
        <f>FORECAST('Fuel Vol and Credit Gen'!DE$57,'Biofuel Feedstocks'!CI12:DD12,'Fuel Vol and Credit Gen'!CI$57:DD$57)</f>
        <v>547719.12778928922</v>
      </c>
      <c r="DF12" s="140">
        <f>FORECAST('Fuel Vol and Credit Gen'!DF$57,'Biofuel Feedstocks'!CJ12:DE12,'Fuel Vol and Credit Gen'!CJ$57:DE$57)</f>
        <v>1078140.9069804801</v>
      </c>
      <c r="DG12" s="140">
        <f>FORECAST('Fuel Vol and Credit Gen'!DG$57,'Biofuel Feedstocks'!CK12:DF12,'Fuel Vol and Credit Gen'!CK$57:DF$57)</f>
        <v>830353.33628664375</v>
      </c>
      <c r="DH12" s="140">
        <f>FORECAST('Fuel Vol and Credit Gen'!DH$57,'Biofuel Feedstocks'!CL12:DG12,'Fuel Vol and Credit Gen'!CL$57:DG$57)</f>
        <v>931509.94930794393</v>
      </c>
      <c r="DI12" s="140">
        <f>FORECAST('Fuel Vol and Credit Gen'!DI$57,'Biofuel Feedstocks'!CM12:DH12,'Fuel Vol and Credit Gen'!CM$57:DH$57)</f>
        <v>526506.253195005</v>
      </c>
      <c r="DJ12" s="140">
        <f>FORECAST('Fuel Vol and Credit Gen'!DJ$57,'Biofuel Feedstocks'!CN12:DI12,'Fuel Vol and Credit Gen'!CN$57:DI$57)</f>
        <v>1169033.4658794559</v>
      </c>
      <c r="DK12" s="140">
        <f>FORECAST('Fuel Vol and Credit Gen'!DK$57,'Biofuel Feedstocks'!CO12:DJ12,'Fuel Vol and Credit Gen'!CO$57:DJ$57)</f>
        <v>832311.41749292985</v>
      </c>
      <c r="DL12" s="140">
        <f>FORECAST('Fuel Vol and Credit Gen'!DL$57,'Biofuel Feedstocks'!CP12:DK12,'Fuel Vol and Credit Gen'!CP$57:DK$57)</f>
        <v>933760.04791156226</v>
      </c>
      <c r="DM12" s="140">
        <f>FORECAST('Fuel Vol and Credit Gen'!DM$57,'Biofuel Feedstocks'!CQ12:DL12,'Fuel Vol and Credit Gen'!CQ$57:DL$57)</f>
        <v>527180.70793769765</v>
      </c>
      <c r="DN12" s="140">
        <f>FORECAST('Fuel Vol and Credit Gen'!DN$57,'Biofuel Feedstocks'!CR12:DM12,'Fuel Vol and Credit Gen'!CR$57:DM$57)</f>
        <v>1171542.2551835666</v>
      </c>
      <c r="DO12" s="140">
        <f>FORECAST('Fuel Vol and Credit Gen'!DO$57,'Biofuel Feedstocks'!CS12:DN12,'Fuel Vol and Credit Gen'!CS$57:DN$57)</f>
        <v>762430.53883674089</v>
      </c>
      <c r="DP12" s="140">
        <f>FORECAST('Fuel Vol and Credit Gen'!DP$57,'Biofuel Feedstocks'!CT12:DO12,'Fuel Vol and Credit Gen'!CT$57:DO$57)</f>
        <v>847124.74335006345</v>
      </c>
      <c r="DQ12" s="140">
        <f>FORECAST('Fuel Vol and Credit Gen'!DQ$57,'Biofuel Feedstocks'!CU12:DP12,'Fuel Vol and Credit Gen'!CU$57:DP$57)</f>
        <v>554700.77013266284</v>
      </c>
      <c r="DR12" s="140">
        <f>FORECAST('Fuel Vol and Credit Gen'!DR$57,'Biofuel Feedstocks'!CV12:DQ12,'Fuel Vol and Credit Gen'!CV$57:DQ$57)</f>
        <v>1052647.6679179622</v>
      </c>
      <c r="DS12" s="140">
        <f>FORECAST('Fuel Vol and Credit Gen'!DS$57,'Biofuel Feedstocks'!CW12:DR12,'Fuel Vol and Credit Gen'!CW$57:DR$57)</f>
        <v>1052635.1402646005</v>
      </c>
      <c r="DT12" s="140">
        <f>FORECAST('Fuel Vol and Credit Gen'!DT$57,'Biofuel Feedstocks'!CX12:DS12,'Fuel Vol and Credit Gen'!CX$57:DS$57)</f>
        <v>1052667.6817398197</v>
      </c>
      <c r="DU12" s="140">
        <f>FORECAST('Fuel Vol and Credit Gen'!DU$57,'Biofuel Feedstocks'!CY12:DT12,'Fuel Vol and Credit Gen'!CY$57:DT$57)</f>
        <v>1052719.3274937477</v>
      </c>
      <c r="DV12" s="140">
        <f>FORECAST('Fuel Vol and Credit Gen'!DV$57,'Biofuel Feedstocks'!CZ12:DU12,'Fuel Vol and Credit Gen'!CZ$57:DU$57)</f>
        <v>1052725.3666474423</v>
      </c>
      <c r="DW12" s="140">
        <f>FORECAST('Fuel Vol and Credit Gen'!DW$57,'Biofuel Feedstocks'!DA12:DV12,'Fuel Vol and Credit Gen'!DA$57:DV$57)</f>
        <v>1052741.2689512079</v>
      </c>
      <c r="DX12" s="140">
        <f>FORECAST('Fuel Vol and Credit Gen'!DX$57,'Biofuel Feedstocks'!DB12:DW12,'Fuel Vol and Credit Gen'!DB$57:DW$57)</f>
        <v>1052735.7639955194</v>
      </c>
      <c r="DY12" s="140">
        <f>FORECAST('Fuel Vol and Credit Gen'!DY$57,'Biofuel Feedstocks'!DC12:DX12,'Fuel Vol and Credit Gen'!DC$57:DX$57)</f>
        <v>1052715.6631346927</v>
      </c>
      <c r="DZ12" s="140">
        <f>FORECAST('Fuel Vol and Credit Gen'!DZ$57,'Biofuel Feedstocks'!DD12:DY12,'Fuel Vol and Credit Gen'!DD$57:DY$57)</f>
        <v>1052721.1411674197</v>
      </c>
    </row>
    <row r="13" spans="1:130" x14ac:dyDescent="0.25">
      <c r="A13" s="39" t="s">
        <v>247</v>
      </c>
      <c r="B13" s="39" t="s">
        <v>87</v>
      </c>
      <c r="C13" s="139">
        <v>0</v>
      </c>
      <c r="D13" s="139">
        <v>0</v>
      </c>
      <c r="E13" s="139">
        <v>0</v>
      </c>
      <c r="F13" s="139">
        <v>0</v>
      </c>
      <c r="G13" s="139">
        <v>0</v>
      </c>
      <c r="H13" s="139">
        <v>0</v>
      </c>
      <c r="I13" s="139">
        <v>0</v>
      </c>
      <c r="J13" s="139">
        <v>0</v>
      </c>
      <c r="K13" s="139">
        <v>0</v>
      </c>
      <c r="L13" s="139">
        <v>0</v>
      </c>
      <c r="M13" s="139">
        <v>0</v>
      </c>
      <c r="N13" s="139">
        <v>0</v>
      </c>
      <c r="O13" s="139">
        <v>0</v>
      </c>
      <c r="P13" s="139">
        <v>0</v>
      </c>
      <c r="Q13" s="139">
        <v>0</v>
      </c>
      <c r="R13" s="139">
        <v>13420</v>
      </c>
      <c r="S13" s="139">
        <v>26293</v>
      </c>
      <c r="T13" s="139">
        <v>15062</v>
      </c>
      <c r="U13" s="139">
        <v>33211</v>
      </c>
      <c r="V13" s="139">
        <v>20741</v>
      </c>
      <c r="W13" s="139">
        <v>22199</v>
      </c>
      <c r="X13" s="139">
        <v>62125</v>
      </c>
      <c r="Y13" s="139">
        <v>21978</v>
      </c>
      <c r="Z13" s="139">
        <v>102036</v>
      </c>
      <c r="AA13" s="139">
        <v>202942</v>
      </c>
      <c r="AB13" s="139">
        <v>288033</v>
      </c>
      <c r="AC13" s="139">
        <v>230879</v>
      </c>
      <c r="AD13" s="139">
        <v>179343</v>
      </c>
      <c r="AE13" s="139">
        <v>237373</v>
      </c>
      <c r="AF13" s="139">
        <v>220505</v>
      </c>
      <c r="AG13" s="139">
        <v>175966</v>
      </c>
      <c r="AH13" s="139">
        <v>199982</v>
      </c>
      <c r="AI13" s="139">
        <v>346380</v>
      </c>
      <c r="AJ13" s="139">
        <v>559189</v>
      </c>
      <c r="AK13" s="139">
        <v>392051</v>
      </c>
      <c r="AL13" s="139">
        <v>411567</v>
      </c>
      <c r="AM13" s="139">
        <v>414494</v>
      </c>
      <c r="AN13" s="139">
        <v>336409</v>
      </c>
      <c r="AO13" s="139">
        <v>468295</v>
      </c>
      <c r="AP13" s="139">
        <v>574305</v>
      </c>
      <c r="AQ13" s="139">
        <v>700368</v>
      </c>
      <c r="AR13" s="139">
        <v>506257</v>
      </c>
      <c r="AS13" s="139">
        <v>498339</v>
      </c>
      <c r="AT13" s="139">
        <v>736108</v>
      </c>
      <c r="AU13" s="139">
        <v>675796</v>
      </c>
      <c r="AV13" s="139">
        <v>810562</v>
      </c>
      <c r="AW13" s="139">
        <v>806369</v>
      </c>
      <c r="AX13" s="139">
        <v>1041919</v>
      </c>
      <c r="AY13" s="139">
        <v>1063577</v>
      </c>
      <c r="AZ13" s="139">
        <v>1196187</v>
      </c>
      <c r="BA13" s="139">
        <v>908876</v>
      </c>
      <c r="BB13" s="139">
        <v>749664</v>
      </c>
      <c r="BC13" s="139">
        <v>650256</v>
      </c>
      <c r="BD13" s="139">
        <v>583050</v>
      </c>
      <c r="BE13" s="139">
        <v>962886</v>
      </c>
      <c r="BF13" s="140">
        <f>FORECAST('Fuel Vol and Credit Gen'!BF$57,'Biofuel Feedstocks'!AJ13:BE13,'Fuel Vol and Credit Gen'!AJ$57:BE$57)</f>
        <v>927713.46725062211</v>
      </c>
      <c r="BG13" s="140">
        <f>FORECAST('Fuel Vol and Credit Gen'!BG$57,'Biofuel Feedstocks'!AK13:BF13,'Fuel Vol and Credit Gen'!AK$57:BF$57)</f>
        <v>797430.83619979268</v>
      </c>
      <c r="BH13" s="140">
        <f>FORECAST('Fuel Vol and Credit Gen'!BH$57,'Biofuel Feedstocks'!AL13:BG13,'Fuel Vol and Credit Gen'!AL$57:BG$57)</f>
        <v>804940.73970423627</v>
      </c>
      <c r="BI13" s="140">
        <f>FORECAST('Fuel Vol and Credit Gen'!BI$57,'Biofuel Feedstocks'!AM13:BH13,'Fuel Vol and Credit Gen'!AM$57:BH$57)</f>
        <v>926253.43189925409</v>
      </c>
      <c r="BJ13" s="140">
        <f>FORECAST('Fuel Vol and Credit Gen'!BJ$57,'Biofuel Feedstocks'!AN13:BI13,'Fuel Vol and Credit Gen'!AN$57:BI$57)</f>
        <v>880409.33733907063</v>
      </c>
      <c r="BK13" s="140">
        <f>FORECAST('Fuel Vol and Credit Gen'!BK$57,'Biofuel Feedstocks'!AO13:BJ13,'Fuel Vol and Credit Gen'!AO$57:BJ$57)</f>
        <v>804306.43962692353</v>
      </c>
      <c r="BL13" s="140">
        <f>FORECAST('Fuel Vol and Credit Gen'!BL$57,'Biofuel Feedstocks'!AP13:BK13,'Fuel Vol and Credit Gen'!AP$57:BK$57)</f>
        <v>838378.95907494822</v>
      </c>
      <c r="BM13" s="140">
        <f>FORECAST('Fuel Vol and Credit Gen'!BM$57,'Biofuel Feedstocks'!AQ13:BL13,'Fuel Vol and Credit Gen'!AQ$57:BL$57)</f>
        <v>850761.31055046688</v>
      </c>
      <c r="BN13" s="140">
        <f>FORECAST('Fuel Vol and Credit Gen'!BN$57,'Biofuel Feedstocks'!AR13:BM13,'Fuel Vol and Credit Gen'!AR$57:BM$57)</f>
        <v>908099.8790986021</v>
      </c>
      <c r="BO13" s="140">
        <f>FORECAST('Fuel Vol and Credit Gen'!BO$57,'Biofuel Feedstocks'!AS13:BN13,'Fuel Vol and Credit Gen'!AS$57:BN$57)</f>
        <v>837543.25970389682</v>
      </c>
      <c r="BP13" s="140">
        <f>FORECAST('Fuel Vol and Credit Gen'!BP$57,'Biofuel Feedstocks'!AT13:BO13,'Fuel Vol and Credit Gen'!AT$57:BO$57)</f>
        <v>858365.30562645744</v>
      </c>
      <c r="BQ13" s="140">
        <f>FORECAST('Fuel Vol and Credit Gen'!BQ$57,'Biofuel Feedstocks'!AU13:BP13,'Fuel Vol and Credit Gen'!AU$57:BP$57)</f>
        <v>858351.2557247614</v>
      </c>
      <c r="BR13" s="140">
        <f>FORECAST('Fuel Vol and Credit Gen'!BR$57,'Biofuel Feedstocks'!AV13:BQ13,'Fuel Vol and Credit Gen'!AV$57:BQ$57)</f>
        <v>831810.66370606062</v>
      </c>
      <c r="BS13" s="140">
        <f>FORECAST('Fuel Vol and Credit Gen'!BS$57,'Biofuel Feedstocks'!AW13:BR13,'Fuel Vol and Credit Gen'!AW$57:BR$57)</f>
        <v>890386.17925295676</v>
      </c>
      <c r="BT13" s="140">
        <f>FORECAST('Fuel Vol and Credit Gen'!BT$57,'Biofuel Feedstocks'!AX13:BS13,'Fuel Vol and Credit Gen'!AX$57:BS$57)</f>
        <v>886054.81878199463</v>
      </c>
      <c r="BU13" s="140">
        <f>FORECAST('Fuel Vol and Credit Gen'!BU$57,'Biofuel Feedstocks'!AY13:BT13,'Fuel Vol and Credit Gen'!AY$57:BT$57)</f>
        <v>863547.59169772733</v>
      </c>
      <c r="BV13" s="140">
        <f>FORECAST('Fuel Vol and Credit Gen'!BV$57,'Biofuel Feedstocks'!AZ13:BU13,'Fuel Vol and Credit Gen'!AZ$57:BU$57)</f>
        <v>848722.77832614817</v>
      </c>
      <c r="BW13" s="140">
        <f>FORECAST('Fuel Vol and Credit Gen'!BW$57,'Biofuel Feedstocks'!BA13:BV13,'Fuel Vol and Credit Gen'!BA$57:BV$57)</f>
        <v>823214.59744179237</v>
      </c>
      <c r="BX13" s="140">
        <f>FORECAST('Fuel Vol and Credit Gen'!BX$57,'Biofuel Feedstocks'!BB13:BW13,'Fuel Vol and Credit Gen'!BB$57:BW$57)</f>
        <v>827578.80624323944</v>
      </c>
      <c r="BY13" s="140">
        <f>FORECAST('Fuel Vol and Credit Gen'!BY$57,'Biofuel Feedstocks'!BC13:BX13,'Fuel Vol and Credit Gen'!BC$57:BX$57)</f>
        <v>839108.71385068633</v>
      </c>
      <c r="BZ13" s="140">
        <f>FORECAST('Fuel Vol and Credit Gen'!BZ$57,'Biofuel Feedstocks'!BD13:BY13,'Fuel Vol and Credit Gen'!BD$57:BY$57)</f>
        <v>866475.78366586624</v>
      </c>
      <c r="CA13" s="140">
        <f>FORECAST('Fuel Vol and Credit Gen'!CA$57,'Biofuel Feedstocks'!BE13:BZ13,'Fuel Vol and Credit Gen'!BE$57:BZ$57)</f>
        <v>836834.23934230173</v>
      </c>
      <c r="CB13" s="140">
        <f>FORECAST('Fuel Vol and Credit Gen'!CB$57,'Biofuel Feedstocks'!BF13:CA13,'Fuel Vol and Credit Gen'!BF$57:CA$57)</f>
        <v>851128.12809363753</v>
      </c>
      <c r="CC13" s="140">
        <f>FORECAST('Fuel Vol and Credit Gen'!CC$57,'Biofuel Feedstocks'!BG13:CB13,'Fuel Vol and Credit Gen'!BG$57:CB$57)</f>
        <v>854543.30232182355</v>
      </c>
      <c r="CD13" s="140">
        <f>FORECAST('Fuel Vol and Credit Gen'!CD$57,'Biofuel Feedstocks'!BH13:CC13,'Fuel Vol and Credit Gen'!BH$57:CC$57)</f>
        <v>880385.05995664222</v>
      </c>
      <c r="CE13" s="140">
        <f>FORECAST('Fuel Vol and Credit Gen'!CE$57,'Biofuel Feedstocks'!BI13:CD13,'Fuel Vol and Credit Gen'!BI$57:CD$57)</f>
        <v>850980.12271625549</v>
      </c>
      <c r="CF13" s="140">
        <f>FORECAST('Fuel Vol and Credit Gen'!CF$57,'Biofuel Feedstocks'!BJ13:CE13,'Fuel Vol and Credit Gen'!BJ$57:CE$57)</f>
        <v>856909.80729455221</v>
      </c>
      <c r="CG13" s="140">
        <f>FORECAST('Fuel Vol and Credit Gen'!CG$57,'Biofuel Feedstocks'!BK13:CF13,'Fuel Vol and Credit Gen'!BK$57:CF$57)</f>
        <v>852432.80359800928</v>
      </c>
      <c r="CH13" s="140">
        <f>FORECAST('Fuel Vol and Credit Gen'!CH$57,'Biofuel Feedstocks'!BL13:CG13,'Fuel Vol and Credit Gen'!BL$57:CG$57)</f>
        <v>869928.73252919514</v>
      </c>
      <c r="CI13" s="140">
        <f>FORECAST('Fuel Vol and Credit Gen'!CI$57,'Biofuel Feedstocks'!BM13:CH13,'Fuel Vol and Credit Gen'!BM$57:CH$57)</f>
        <v>859000.53631438571</v>
      </c>
      <c r="CJ13" s="140">
        <f>FORECAST('Fuel Vol and Credit Gen'!CJ$57,'Biofuel Feedstocks'!BN13:CI13,'Fuel Vol and Credit Gen'!BN$57:CI$57)</f>
        <v>864704.29603637254</v>
      </c>
      <c r="CK13" s="140">
        <f>FORECAST('Fuel Vol and Credit Gen'!CK$57,'Biofuel Feedstocks'!BO13:CJ13,'Fuel Vol and Credit Gen'!BO$57:CJ$57)</f>
        <v>851460.88315061212</v>
      </c>
      <c r="CL13" s="140">
        <f>FORECAST('Fuel Vol and Credit Gen'!CL$57,'Biofuel Feedstocks'!BP13:CK13,'Fuel Vol and Credit Gen'!BP$57:CK$57)</f>
        <v>868805.01792803966</v>
      </c>
      <c r="CM13" s="140">
        <f>FORECAST('Fuel Vol and Credit Gen'!CM$57,'Biofuel Feedstocks'!BQ13:CL13,'Fuel Vol and Credit Gen'!BQ$57:CL$57)</f>
        <v>856469.76569159189</v>
      </c>
      <c r="CN13" s="140">
        <f>FORECAST('Fuel Vol and Credit Gen'!CN$57,'Biofuel Feedstocks'!BR13:CM13,'Fuel Vol and Credit Gen'!BR$57:CM$57)</f>
        <v>859629.56406450458</v>
      </c>
      <c r="CO13" s="140">
        <f>FORECAST('Fuel Vol and Credit Gen'!CO$57,'Biofuel Feedstocks'!BS13:CN13,'Fuel Vol and Credit Gen'!BS$57:CN$57)</f>
        <v>853142.75568915659</v>
      </c>
      <c r="CP13" s="140">
        <f>FORECAST('Fuel Vol and Credit Gen'!CP$57,'Biofuel Feedstocks'!BT13:CO13,'Fuel Vol and Credit Gen'!BT$57:CO$57)</f>
        <v>879163.63524276635</v>
      </c>
      <c r="CQ13" s="140">
        <f>FORECAST('Fuel Vol and Credit Gen'!CQ$57,'Biofuel Feedstocks'!BU13:CP13,'Fuel Vol and Credit Gen'!BU$57:CP$57)</f>
        <v>852931.3960983099</v>
      </c>
      <c r="CR13" s="140">
        <f>FORECAST('Fuel Vol and Credit Gen'!CR$57,'Biofuel Feedstocks'!BV13:CQ13,'Fuel Vol and Credit Gen'!BV$57:CQ$57)</f>
        <v>859346.57974202279</v>
      </c>
      <c r="CS13" s="140">
        <f>FORECAST('Fuel Vol and Credit Gen'!CS$57,'Biofuel Feedstocks'!BW13:CR13,'Fuel Vol and Credit Gen'!BW$57:CR$57)</f>
        <v>846122.63933166245</v>
      </c>
      <c r="CT13" s="140">
        <f>FORECAST('Fuel Vol and Credit Gen'!CT$57,'Biofuel Feedstocks'!BX13:CS13,'Fuel Vol and Credit Gen'!BX$57:CS$57)</f>
        <v>878096.59238885052</v>
      </c>
      <c r="CU13" s="140">
        <f>FORECAST('Fuel Vol and Credit Gen'!CU$57,'Biofuel Feedstocks'!BY13:CT13,'Fuel Vol and Credit Gen'!BY$57:CT$57)</f>
        <v>859115.58277482819</v>
      </c>
      <c r="CV13" s="140">
        <f>FORECAST('Fuel Vol and Credit Gen'!CV$57,'Biofuel Feedstocks'!BZ13:CU13,'Fuel Vol and Credit Gen'!BZ$57:CU$57)</f>
        <v>866879.22314841626</v>
      </c>
      <c r="CW13" s="140">
        <f>FORECAST('Fuel Vol and Credit Gen'!CW$57,'Biofuel Feedstocks'!CA13:CV13,'Fuel Vol and Credit Gen'!CA$57:CV$57)</f>
        <v>849086.66641076829</v>
      </c>
      <c r="CX13" s="140">
        <f>FORECAST('Fuel Vol and Credit Gen'!CX$57,'Biofuel Feedstocks'!CB13:CW13,'Fuel Vol and Credit Gen'!CB$57:CW$57)</f>
        <v>882086.20887357707</v>
      </c>
      <c r="CY13" s="140">
        <f>FORECAST('Fuel Vol and Credit Gen'!CY$57,'Biofuel Feedstocks'!CC13:CX13,'Fuel Vol and Credit Gen'!CC$57:CX$57)</f>
        <v>862284.39970268158</v>
      </c>
      <c r="CZ13" s="140">
        <f>FORECAST('Fuel Vol and Credit Gen'!CZ$57,'Biofuel Feedstocks'!CD13:CY13,'Fuel Vol and Credit Gen'!CD$57:CY$57)</f>
        <v>869200.75768127781</v>
      </c>
      <c r="DA13" s="140">
        <f>FORECAST('Fuel Vol and Credit Gen'!DA$57,'Biofuel Feedstocks'!CE13:CZ13,'Fuel Vol and Credit Gen'!CE$57:CZ$57)</f>
        <v>848840.97786345729</v>
      </c>
      <c r="DB13" s="140">
        <f>FORECAST('Fuel Vol and Credit Gen'!DB$57,'Biofuel Feedstocks'!CF13:DA13,'Fuel Vol and Credit Gen'!CF$57:DA$57)</f>
        <v>885103.15231918031</v>
      </c>
      <c r="DC13" s="140">
        <f>FORECAST('Fuel Vol and Credit Gen'!DC$57,'Biofuel Feedstocks'!CG13:DB13,'Fuel Vol and Credit Gen'!CG$57:DB$57)</f>
        <v>867057.96559128875</v>
      </c>
      <c r="DD13" s="140">
        <f>FORECAST('Fuel Vol and Credit Gen'!DD$57,'Biofuel Feedstocks'!CH13:DC13,'Fuel Vol and Credit Gen'!CH$57:DC$57)</f>
        <v>875196.49885969143</v>
      </c>
      <c r="DE13" s="140">
        <f>FORECAST('Fuel Vol and Credit Gen'!DE$57,'Biofuel Feedstocks'!CI13:DD13,'Fuel Vol and Credit Gen'!CI$57:DD$57)</f>
        <v>846236.40795405814</v>
      </c>
      <c r="DF13" s="140">
        <f>FORECAST('Fuel Vol and Credit Gen'!DF$57,'Biofuel Feedstocks'!CJ13:DE13,'Fuel Vol and Credit Gen'!CJ$57:DE$57)</f>
        <v>894475.52422715083</v>
      </c>
      <c r="DG13" s="140">
        <f>FORECAST('Fuel Vol and Credit Gen'!DG$57,'Biofuel Feedstocks'!CK13:DF13,'Fuel Vol and Credit Gen'!CK$57:DF$57)</f>
        <v>871731.69336413685</v>
      </c>
      <c r="DH13" s="140">
        <f>FORECAST('Fuel Vol and Credit Gen'!DH$57,'Biofuel Feedstocks'!CL13:DG13,'Fuel Vol and Credit Gen'!CL$57:DG$57)</f>
        <v>881044.32059326232</v>
      </c>
      <c r="DI13" s="140">
        <f>FORECAST('Fuel Vol and Credit Gen'!DI$57,'Biofuel Feedstocks'!CM13:DH13,'Fuel Vol and Credit Gen'!CM$57:DH$57)</f>
        <v>843403.92038224021</v>
      </c>
      <c r="DJ13" s="140">
        <f>FORECAST('Fuel Vol and Credit Gen'!DJ$57,'Biofuel Feedstocks'!CN13:DI13,'Fuel Vol and Credit Gen'!CN$57:DI$57)</f>
        <v>904413.92088877235</v>
      </c>
      <c r="DK13" s="140">
        <f>FORECAST('Fuel Vol and Credit Gen'!DK$57,'Biofuel Feedstocks'!CO13:DJ13,'Fuel Vol and Credit Gen'!CO$57:DJ$57)</f>
        <v>872506.22372618143</v>
      </c>
      <c r="DL13" s="140">
        <f>FORECAST('Fuel Vol and Credit Gen'!DL$57,'Biofuel Feedstocks'!CP13:DK13,'Fuel Vol and Credit Gen'!CP$57:DK$57)</f>
        <v>882127.88040347374</v>
      </c>
      <c r="DM13" s="140">
        <f>FORECAST('Fuel Vol and Credit Gen'!DM$57,'Biofuel Feedstocks'!CQ13:DL13,'Fuel Vol and Credit Gen'!CQ$57:DL$57)</f>
        <v>843144.04997433256</v>
      </c>
      <c r="DN13" s="140">
        <f>FORECAST('Fuel Vol and Credit Gen'!DN$57,'Biofuel Feedstocks'!CR13:DM13,'Fuel Vol and Credit Gen'!CR$57:DM$57)</f>
        <v>904680.12567109242</v>
      </c>
      <c r="DO13" s="140">
        <f>FORECAST('Fuel Vol and Credit Gen'!DO$57,'Biofuel Feedstocks'!CS13:DN13,'Fuel Vol and Credit Gen'!CS$57:DN$57)</f>
        <v>865794.84253710171</v>
      </c>
      <c r="DP13" s="140">
        <f>FORECAST('Fuel Vol and Credit Gen'!DP$57,'Biofuel Feedstocks'!CT13:DO13,'Fuel Vol and Credit Gen'!CT$57:DO$57)</f>
        <v>873998.70609377243</v>
      </c>
      <c r="DQ13" s="140">
        <f>FORECAST('Fuel Vol and Credit Gen'!DQ$57,'Biofuel Feedstocks'!CU13:DP13,'Fuel Vol and Credit Gen'!CU$57:DP$57)</f>
        <v>846481.31879456574</v>
      </c>
      <c r="DR13" s="140">
        <f>FORECAST('Fuel Vol and Credit Gen'!DR$57,'Biofuel Feedstocks'!CV13:DQ13,'Fuel Vol and Credit Gen'!CV$57:DQ$57)</f>
        <v>893131.38264494296</v>
      </c>
      <c r="DS13" s="140">
        <f>FORECAST('Fuel Vol and Credit Gen'!DS$57,'Biofuel Feedstocks'!CW13:DR13,'Fuel Vol and Credit Gen'!CW$57:DR$57)</f>
        <v>893100.24562183442</v>
      </c>
      <c r="DT13" s="140">
        <f>FORECAST('Fuel Vol and Credit Gen'!DT$57,'Biofuel Feedstocks'!CX13:DS13,'Fuel Vol and Credit Gen'!CX$57:DS$57)</f>
        <v>893095.82184220129</v>
      </c>
      <c r="DU13" s="140">
        <f>FORECAST('Fuel Vol and Credit Gen'!DU$57,'Biofuel Feedstocks'!CY13:DT13,'Fuel Vol and Credit Gen'!CY$57:DT$57)</f>
        <v>893051.94816729089</v>
      </c>
      <c r="DV13" s="140">
        <f>FORECAST('Fuel Vol and Credit Gen'!DV$57,'Biofuel Feedstocks'!CZ13:DU13,'Fuel Vol and Credit Gen'!CZ$57:DU$57)</f>
        <v>893038.37957070163</v>
      </c>
      <c r="DW13" s="140">
        <f>FORECAST('Fuel Vol and Credit Gen'!DW$57,'Biofuel Feedstocks'!DA13:DV13,'Fuel Vol and Credit Gen'!DA$57:DV$57)</f>
        <v>893012.89420731342</v>
      </c>
      <c r="DX13" s="140">
        <f>FORECAST('Fuel Vol and Credit Gen'!DX$57,'Biofuel Feedstocks'!DB13:DW13,'Fuel Vol and Credit Gen'!DB$57:DW$57)</f>
        <v>893019.90749655408</v>
      </c>
      <c r="DY13" s="140">
        <f>FORECAST('Fuel Vol and Credit Gen'!DY$57,'Biofuel Feedstocks'!DC13:DX13,'Fuel Vol and Credit Gen'!DC$57:DX$57)</f>
        <v>893045.55635389406</v>
      </c>
      <c r="DZ13" s="140">
        <f>FORECAST('Fuel Vol and Credit Gen'!DZ$57,'Biofuel Feedstocks'!DD13:DY13,'Fuel Vol and Credit Gen'!DD$57:DY$57)</f>
        <v>893044.43496641214</v>
      </c>
    </row>
    <row r="14" spans="1:130" x14ac:dyDescent="0.25">
      <c r="A14" s="39" t="s">
        <v>248</v>
      </c>
      <c r="B14" s="39" t="s">
        <v>87</v>
      </c>
      <c r="C14" s="139">
        <v>3070</v>
      </c>
      <c r="D14" s="139">
        <v>3368</v>
      </c>
      <c r="E14" s="139">
        <v>4362</v>
      </c>
      <c r="F14" s="139">
        <v>6220</v>
      </c>
      <c r="G14" s="139">
        <v>6701</v>
      </c>
      <c r="H14" s="139">
        <v>6804</v>
      </c>
      <c r="I14" s="139">
        <v>7938</v>
      </c>
      <c r="J14" s="139">
        <v>51216</v>
      </c>
      <c r="K14" s="139">
        <v>56576</v>
      </c>
      <c r="L14" s="139">
        <v>170461</v>
      </c>
      <c r="M14" s="139">
        <v>273948</v>
      </c>
      <c r="N14" s="139">
        <v>237847</v>
      </c>
      <c r="O14" s="139">
        <v>172114</v>
      </c>
      <c r="P14" s="139">
        <v>192514</v>
      </c>
      <c r="Q14" s="139">
        <v>249633</v>
      </c>
      <c r="R14" s="139">
        <v>165586</v>
      </c>
      <c r="S14" s="139">
        <v>170406</v>
      </c>
      <c r="T14" s="139">
        <v>218751</v>
      </c>
      <c r="U14" s="139">
        <v>257126</v>
      </c>
      <c r="V14" s="139">
        <v>261936</v>
      </c>
      <c r="W14" s="139">
        <v>186718</v>
      </c>
      <c r="X14" s="139">
        <v>396381</v>
      </c>
      <c r="Y14" s="139">
        <v>407945</v>
      </c>
      <c r="Z14" s="139">
        <v>379399</v>
      </c>
      <c r="AA14" s="139">
        <v>375030</v>
      </c>
      <c r="AB14" s="139">
        <v>523745</v>
      </c>
      <c r="AC14" s="139">
        <v>581321</v>
      </c>
      <c r="AD14" s="139">
        <v>407842</v>
      </c>
      <c r="AE14" s="139">
        <v>508221</v>
      </c>
      <c r="AF14" s="139">
        <v>488293</v>
      </c>
      <c r="AG14" s="139">
        <v>408356</v>
      </c>
      <c r="AH14" s="139">
        <v>493781</v>
      </c>
      <c r="AI14" s="139">
        <v>365792</v>
      </c>
      <c r="AJ14" s="139">
        <v>417517</v>
      </c>
      <c r="AK14" s="139">
        <v>332846</v>
      </c>
      <c r="AL14" s="139">
        <v>456454</v>
      </c>
      <c r="AM14" s="139">
        <v>357630</v>
      </c>
      <c r="AN14" s="139">
        <v>493433</v>
      </c>
      <c r="AO14" s="139">
        <v>377830</v>
      </c>
      <c r="AP14" s="139">
        <v>332145</v>
      </c>
      <c r="AQ14" s="139">
        <v>362239</v>
      </c>
      <c r="AR14" s="139">
        <v>533684</v>
      </c>
      <c r="AS14" s="139">
        <v>474384</v>
      </c>
      <c r="AT14" s="139">
        <v>461012</v>
      </c>
      <c r="AU14" s="139">
        <v>656798</v>
      </c>
      <c r="AV14" s="139">
        <v>813604</v>
      </c>
      <c r="AW14" s="139">
        <v>475856</v>
      </c>
      <c r="AX14" s="139">
        <v>668860</v>
      </c>
      <c r="AY14" s="139">
        <v>704410</v>
      </c>
      <c r="AZ14" s="139">
        <v>782035</v>
      </c>
      <c r="BA14" s="139">
        <v>1005003</v>
      </c>
      <c r="BB14" s="139">
        <v>1543151</v>
      </c>
      <c r="BC14" s="139">
        <v>1487636</v>
      </c>
      <c r="BD14" s="139">
        <v>1209942</v>
      </c>
      <c r="BE14" s="139">
        <v>1205000</v>
      </c>
      <c r="BF14" s="140">
        <f>FORECAST('Fuel Vol and Credit Gen'!BF$57,'Biofuel Feedstocks'!AJ14:BE14,'Fuel Vol and Credit Gen'!AJ$57:BE$57)</f>
        <v>1181483.8639871858</v>
      </c>
      <c r="BG14" s="140">
        <f>FORECAST('Fuel Vol and Credit Gen'!BG$57,'Biofuel Feedstocks'!AK14:BF14,'Fuel Vol and Credit Gen'!AK$57:BF$57)</f>
        <v>918449.52861185791</v>
      </c>
      <c r="BH14" s="140">
        <f>FORECAST('Fuel Vol and Credit Gen'!BH$57,'Biofuel Feedstocks'!AL14:BG14,'Fuel Vol and Credit Gen'!AL$57:BG$57)</f>
        <v>931395.494633322</v>
      </c>
      <c r="BI14" s="140">
        <f>FORECAST('Fuel Vol and Credit Gen'!BI$57,'Biofuel Feedstocks'!AM14:BH14,'Fuel Vol and Credit Gen'!AM$57:BH$57)</f>
        <v>1198971.0552389496</v>
      </c>
      <c r="BJ14" s="140">
        <f>FORECAST('Fuel Vol and Credit Gen'!BJ$57,'Biofuel Feedstocks'!AN14:BI14,'Fuel Vol and Credit Gen'!AN$57:BI$57)</f>
        <v>1103997.3152538594</v>
      </c>
      <c r="BK14" s="140">
        <f>FORECAST('Fuel Vol and Credit Gen'!BK$57,'Biofuel Feedstocks'!AO14:BJ14,'Fuel Vol and Credit Gen'!AO$57:BJ$57)</f>
        <v>895658.30886953278</v>
      </c>
      <c r="BL14" s="140">
        <f>FORECAST('Fuel Vol and Credit Gen'!BL$57,'Biofuel Feedstocks'!AP14:BK14,'Fuel Vol and Credit Gen'!AP$57:BK$57)</f>
        <v>996626.38592264522</v>
      </c>
      <c r="BM14" s="140">
        <f>FORECAST('Fuel Vol and Credit Gen'!BM$57,'Biofuel Feedstocks'!AQ14:BL14,'Fuel Vol and Credit Gen'!AQ$57:BL$57)</f>
        <v>1042400.4634567489</v>
      </c>
      <c r="BN14" s="140">
        <f>FORECAST('Fuel Vol and Credit Gen'!BN$57,'Biofuel Feedstocks'!AR14:BM14,'Fuel Vol and Credit Gen'!AR$57:BM$57)</f>
        <v>1259454.1434819265</v>
      </c>
      <c r="BO14" s="140">
        <f>FORECAST('Fuel Vol and Credit Gen'!BO$57,'Biofuel Feedstocks'!AS14:BN14,'Fuel Vol and Credit Gen'!AS$57:BN$57)</f>
        <v>956355.41692713369</v>
      </c>
      <c r="BP14" s="140">
        <f>FORECAST('Fuel Vol and Credit Gen'!BP$57,'Biofuel Feedstocks'!AT14:BO14,'Fuel Vol and Credit Gen'!AT$57:BO$57)</f>
        <v>1088929.2410951429</v>
      </c>
      <c r="BQ14" s="140">
        <f>FORECAST('Fuel Vol and Credit Gen'!BQ$57,'Biofuel Feedstocks'!AU14:BP14,'Fuel Vol and Credit Gen'!AU$57:BP$57)</f>
        <v>1140546.387468935</v>
      </c>
      <c r="BR14" s="140">
        <f>FORECAST('Fuel Vol and Credit Gen'!BR$57,'Biofuel Feedstocks'!AV14:BQ14,'Fuel Vol and Credit Gen'!AV$57:BQ$57)</f>
        <v>1431747.6263329508</v>
      </c>
      <c r="BS14" s="140">
        <f>FORECAST('Fuel Vol and Credit Gen'!BS$57,'Biofuel Feedstocks'!AW14:BR14,'Fuel Vol and Credit Gen'!AW$57:BR$57)</f>
        <v>853217.22338806791</v>
      </c>
      <c r="BT14" s="140">
        <f>FORECAST('Fuel Vol and Credit Gen'!BT$57,'Biofuel Feedstocks'!AX14:BS14,'Fuel Vol and Credit Gen'!AX$57:BS$57)</f>
        <v>988424.85920027038</v>
      </c>
      <c r="BU14" s="140">
        <f>FORECAST('Fuel Vol and Credit Gen'!BU$57,'Biofuel Feedstocks'!AY14:BT14,'Fuel Vol and Credit Gen'!AY$57:BT$57)</f>
        <v>1093623.5479831679</v>
      </c>
      <c r="BV14" s="140">
        <f>FORECAST('Fuel Vol and Credit Gen'!BV$57,'Biofuel Feedstocks'!AZ14:BU14,'Fuel Vol and Credit Gen'!AZ$57:BU$57)</f>
        <v>1307799.8407807702</v>
      </c>
      <c r="BW14" s="140">
        <f>FORECAST('Fuel Vol and Credit Gen'!BW$57,'Biofuel Feedstocks'!BA14:BV14,'Fuel Vol and Credit Gen'!BA$57:BV$57)</f>
        <v>945346.61772310128</v>
      </c>
      <c r="BX14" s="140">
        <f>FORECAST('Fuel Vol and Credit Gen'!BX$57,'Biofuel Feedstocks'!BB14:BW14,'Fuel Vol and Credit Gen'!BB$57:BW$57)</f>
        <v>1037929.8220875568</v>
      </c>
      <c r="BY14" s="140">
        <f>FORECAST('Fuel Vol and Credit Gen'!BY$57,'Biofuel Feedstocks'!BC14:BX14,'Fuel Vol and Credit Gen'!BC$57:BX$57)</f>
        <v>1103537.2348764197</v>
      </c>
      <c r="BZ14" s="140">
        <f>FORECAST('Fuel Vol and Credit Gen'!BZ$57,'Biofuel Feedstocks'!BD14:BY14,'Fuel Vol and Credit Gen'!BD$57:BY$57)</f>
        <v>1264444.6979945693</v>
      </c>
      <c r="CA14" s="140">
        <f>FORECAST('Fuel Vol and Credit Gen'!CA$57,'Biofuel Feedstocks'!BE14:BZ14,'Fuel Vol and Credit Gen'!BE$57:BZ$57)</f>
        <v>956130.23974041338</v>
      </c>
      <c r="CB14" s="140">
        <f>FORECAST('Fuel Vol and Credit Gen'!CB$57,'Biofuel Feedstocks'!BF14:CA14,'Fuel Vol and Credit Gen'!BF$57:CA$57)</f>
        <v>1047194.344240756</v>
      </c>
      <c r="CC14" s="140">
        <f>FORECAST('Fuel Vol and Credit Gen'!CC$57,'Biofuel Feedstocks'!BG14:CB14,'Fuel Vol and Credit Gen'!BG$57:CB$57)</f>
        <v>1101735.678721579</v>
      </c>
      <c r="CD14" s="140">
        <f>FORECAST('Fuel Vol and Credit Gen'!CD$57,'Biofuel Feedstocks'!BH14:CC14,'Fuel Vol and Credit Gen'!BH$57:CC$57)</f>
        <v>1378891.5830728638</v>
      </c>
      <c r="CE14" s="140">
        <f>FORECAST('Fuel Vol and Credit Gen'!CE$57,'Biofuel Feedstocks'!BI14:CD14,'Fuel Vol and Credit Gen'!BI$57:CD$57)</f>
        <v>1014230.9365097373</v>
      </c>
      <c r="CF14" s="140">
        <f>FORECAST('Fuel Vol and Credit Gen'!CF$57,'Biofuel Feedstocks'!BJ14:CE14,'Fuel Vol and Credit Gen'!BJ$57:CE$57)</f>
        <v>1143902.6531860377</v>
      </c>
      <c r="CG14" s="140">
        <f>FORECAST('Fuel Vol and Credit Gen'!CG$57,'Biofuel Feedstocks'!BK14:CF14,'Fuel Vol and Credit Gen'!BK$57:CF$57)</f>
        <v>1084799.0121237452</v>
      </c>
      <c r="CH14" s="140">
        <f>FORECAST('Fuel Vol and Credit Gen'!CH$57,'Biofuel Feedstocks'!BL14:CG14,'Fuel Vol and Credit Gen'!BL$57:CG$57)</f>
        <v>1510534.298051286</v>
      </c>
      <c r="CI14" s="140">
        <f>FORECAST('Fuel Vol and Credit Gen'!CI$57,'Biofuel Feedstocks'!BM14:CH14,'Fuel Vol and Credit Gen'!BM$57:CH$57)</f>
        <v>1199295.0561696666</v>
      </c>
      <c r="CJ14" s="140">
        <f>FORECAST('Fuel Vol and Credit Gen'!CJ$57,'Biofuel Feedstocks'!BN14:CI14,'Fuel Vol and Credit Gen'!BN$57:CI$57)</f>
        <v>1368140.8453357373</v>
      </c>
      <c r="CK14" s="140">
        <f>FORECAST('Fuel Vol and Credit Gen'!CK$57,'Biofuel Feedstocks'!BO14:CJ14,'Fuel Vol and Credit Gen'!BO$57:CJ$57)</f>
        <v>988072.69815932075</v>
      </c>
      <c r="CL14" s="140">
        <f>FORECAST('Fuel Vol and Credit Gen'!CL$57,'Biofuel Feedstocks'!BP14:CK14,'Fuel Vol and Credit Gen'!BP$57:CK$57)</f>
        <v>1818766.4174254064</v>
      </c>
      <c r="CM14" s="140">
        <f>FORECAST('Fuel Vol and Credit Gen'!CM$57,'Biofuel Feedstocks'!BQ14:CL14,'Fuel Vol and Credit Gen'!BQ$57:CL$57)</f>
        <v>1194651.7538455259</v>
      </c>
      <c r="CN14" s="140">
        <f>FORECAST('Fuel Vol and Credit Gen'!CN$57,'Biofuel Feedstocks'!BR14:CM14,'Fuel Vol and Credit Gen'!BR$57:CM$57)</f>
        <v>1360248.7793811515</v>
      </c>
      <c r="CO14" s="140">
        <f>FORECAST('Fuel Vol and Credit Gen'!CO$57,'Biofuel Feedstocks'!BS14:CN14,'Fuel Vol and Credit Gen'!BS$57:CN$57)</f>
        <v>1016389.3832544906</v>
      </c>
      <c r="CP14" s="140">
        <f>FORECAST('Fuel Vol and Credit Gen'!CP$57,'Biofuel Feedstocks'!BT14:CO14,'Fuel Vol and Credit Gen'!BT$57:CO$57)</f>
        <v>1795332.4107913191</v>
      </c>
      <c r="CQ14" s="140">
        <f>FORECAST('Fuel Vol and Credit Gen'!CQ$57,'Biofuel Feedstocks'!BU14:CP14,'Fuel Vol and Credit Gen'!BU$57:CP$57)</f>
        <v>1164573.8559754395</v>
      </c>
      <c r="CR14" s="140">
        <f>FORECAST('Fuel Vol and Credit Gen'!CR$57,'Biofuel Feedstocks'!BV14:CQ14,'Fuel Vol and Credit Gen'!BV$57:CQ$57)</f>
        <v>1318866.2201939726</v>
      </c>
      <c r="CS14" s="140">
        <f>FORECAST('Fuel Vol and Credit Gen'!CS$57,'Biofuel Feedstocks'!BW14:CR14,'Fuel Vol and Credit Gen'!BW$57:CR$57)</f>
        <v>1025088.9243872217</v>
      </c>
      <c r="CT14" s="140">
        <f>FORECAST('Fuel Vol and Credit Gen'!CT$57,'Biofuel Feedstocks'!BX14:CS14,'Fuel Vol and Credit Gen'!BX$57:CS$57)</f>
        <v>1743175.8045890501</v>
      </c>
      <c r="CU14" s="140">
        <f>FORECAST('Fuel Vol and Credit Gen'!CU$57,'Biofuel Feedstocks'!BY14:CT14,'Fuel Vol and Credit Gen'!BY$57:CT$57)</f>
        <v>1269778.2099665047</v>
      </c>
      <c r="CV14" s="140">
        <f>FORECAST('Fuel Vol and Credit Gen'!CV$57,'Biofuel Feedstocks'!BZ14:CU14,'Fuel Vol and Credit Gen'!BZ$57:CU$57)</f>
        <v>1464343.2531542189</v>
      </c>
      <c r="CW14" s="140">
        <f>FORECAST('Fuel Vol and Credit Gen'!CW$57,'Biofuel Feedstocks'!CA14:CV14,'Fuel Vol and Credit Gen'!CA$57:CV$57)</f>
        <v>988084.68410159182</v>
      </c>
      <c r="CX14" s="140">
        <f>FORECAST('Fuel Vol and Credit Gen'!CX$57,'Biofuel Feedstocks'!CB14:CW14,'Fuel Vol and Credit Gen'!CB$57:CW$57)</f>
        <v>1919364.5730125941</v>
      </c>
      <c r="CY14" s="140">
        <f>FORECAST('Fuel Vol and Credit Gen'!CY$57,'Biofuel Feedstocks'!CC14:CX14,'Fuel Vol and Credit Gen'!CC$57:CX$57)</f>
        <v>1337680.3488701663</v>
      </c>
      <c r="CZ14" s="140">
        <f>FORECAST('Fuel Vol and Credit Gen'!CZ$57,'Biofuel Feedstocks'!CD14:CY14,'Fuel Vol and Credit Gen'!CD$57:CY$57)</f>
        <v>1541542.8270675908</v>
      </c>
      <c r="DA14" s="140">
        <f>FORECAST('Fuel Vol and Credit Gen'!DA$57,'Biofuel Feedstocks'!CE14:CZ14,'Fuel Vol and Credit Gen'!CE$57:CZ$57)</f>
        <v>959176.04370588926</v>
      </c>
      <c r="DB14" s="140">
        <f>FORECAST('Fuel Vol and Credit Gen'!DB$57,'Biofuel Feedstocks'!CF14:DA14,'Fuel Vol and Credit Gen'!CF$57:DA$57)</f>
        <v>2041930.9593376354</v>
      </c>
      <c r="DC14" s="140">
        <f>FORECAST('Fuel Vol and Credit Gen'!DC$57,'Biofuel Feedstocks'!CG14:DB14,'Fuel Vol and Credit Gen'!CG$57:DB$57)</f>
        <v>1505410.259248801</v>
      </c>
      <c r="DD14" s="140">
        <f>FORECAST('Fuel Vol and Credit Gen'!DD$57,'Biofuel Feedstocks'!CH14:DC14,'Fuel Vol and Credit Gen'!CH$57:DC$57)</f>
        <v>1746890.8264849996</v>
      </c>
      <c r="DE14" s="140">
        <f>FORECAST('Fuel Vol and Credit Gen'!DE$57,'Biofuel Feedstocks'!CI14:DD14,'Fuel Vol and Credit Gen'!CI$57:DD$57)</f>
        <v>887920.12179037253</v>
      </c>
      <c r="DF14" s="140">
        <f>FORECAST('Fuel Vol and Credit Gen'!DF$57,'Biofuel Feedstocks'!CJ14:DE14,'Fuel Vol and Credit Gen'!CJ$57:DE$57)</f>
        <v>2325316.4342769571</v>
      </c>
      <c r="DG14" s="140">
        <f>FORECAST('Fuel Vol and Credit Gen'!DG$57,'Biofuel Feedstocks'!CK14:DF14,'Fuel Vol and Credit Gen'!CK$57:DF$57)</f>
        <v>1653327.5371941705</v>
      </c>
      <c r="DH14" s="140">
        <f>FORECAST('Fuel Vol and Credit Gen'!DH$57,'Biofuel Feedstocks'!CL14:DG14,'Fuel Vol and Credit Gen'!CL$57:DG$57)</f>
        <v>1927818.2840087232</v>
      </c>
      <c r="DI14" s="140">
        <f>FORECAST('Fuel Vol and Credit Gen'!DI$57,'Biofuel Feedstocks'!CM14:DH14,'Fuel Vol and Credit Gen'!CM$57:DH$57)</f>
        <v>828231.91602304322</v>
      </c>
      <c r="DJ14" s="140">
        <f>FORECAST('Fuel Vol and Credit Gen'!DJ$57,'Biofuel Feedstocks'!CN14:DI14,'Fuel Vol and Credit Gen'!CN$57:DI$57)</f>
        <v>2572726.411084007</v>
      </c>
      <c r="DK14" s="140">
        <f>FORECAST('Fuel Vol and Credit Gen'!DK$57,'Biofuel Feedstocks'!CO14:DJ14,'Fuel Vol and Credit Gen'!CO$57:DJ$57)</f>
        <v>1657953.5611962804</v>
      </c>
      <c r="DL14" s="140">
        <f>FORECAST('Fuel Vol and Credit Gen'!DL$57,'Biofuel Feedstocks'!CP14:DK14,'Fuel Vol and Credit Gen'!CP$57:DK$57)</f>
        <v>1933538.0528301627</v>
      </c>
      <c r="DM14" s="140">
        <f>FORECAST('Fuel Vol and Credit Gen'!DM$57,'Biofuel Feedstocks'!CQ14:DL14,'Fuel Vol and Credit Gen'!CQ$57:DL$57)</f>
        <v>828103.27623140928</v>
      </c>
      <c r="DN14" s="140">
        <f>FORECAST('Fuel Vol and Credit Gen'!DN$57,'Biofuel Feedstocks'!CR14:DM14,'Fuel Vol and Credit Gen'!CR$57:DM$57)</f>
        <v>2580627.9627004592</v>
      </c>
      <c r="DO14" s="140">
        <f>FORECAST('Fuel Vol and Credit Gen'!DO$57,'Biofuel Feedstocks'!CS14:DN14,'Fuel Vol and Credit Gen'!CS$57:DN$57)</f>
        <v>1468005.5110680973</v>
      </c>
      <c r="DP14" s="140">
        <f>FORECAST('Fuel Vol and Credit Gen'!DP$57,'Biofuel Feedstocks'!CT14:DO14,'Fuel Vol and Credit Gen'!CT$57:DO$57)</f>
        <v>1698482.1773761997</v>
      </c>
      <c r="DQ14" s="140">
        <f>FORECAST('Fuel Vol and Credit Gen'!DQ$57,'Biofuel Feedstocks'!CU14:DP14,'Fuel Vol and Credit Gen'!CU$57:DP$57)</f>
        <v>903523.83157733129</v>
      </c>
      <c r="DR14" s="140">
        <f>FORECAST('Fuel Vol and Credit Gen'!DR$57,'Biofuel Feedstocks'!CV14:DQ14,'Fuel Vol and Credit Gen'!CV$57:DQ$57)</f>
        <v>2257262.3903731038</v>
      </c>
      <c r="DS14" s="140">
        <f>FORECAST('Fuel Vol and Credit Gen'!DS$57,'Biofuel Feedstocks'!CW14:DR14,'Fuel Vol and Credit Gen'!CW$57:DR$57)</f>
        <v>2257311.2941126823</v>
      </c>
      <c r="DT14" s="140">
        <f>FORECAST('Fuel Vol and Credit Gen'!DT$57,'Biofuel Feedstocks'!CX14:DS14,'Fuel Vol and Credit Gen'!CX$57:DS$57)</f>
        <v>2257301.4584678789</v>
      </c>
      <c r="DU14" s="140">
        <f>FORECAST('Fuel Vol and Credit Gen'!DU$57,'Biofuel Feedstocks'!CY14:DT14,'Fuel Vol and Credit Gen'!CY$57:DT$57)</f>
        <v>2257224.9186772602</v>
      </c>
      <c r="DV14" s="140">
        <f>FORECAST('Fuel Vol and Credit Gen'!DV$57,'Biofuel Feedstocks'!CZ14:DU14,'Fuel Vol and Credit Gen'!CZ$57:DU$57)</f>
        <v>2257230.5179752768</v>
      </c>
      <c r="DW14" s="140">
        <f>FORECAST('Fuel Vol and Credit Gen'!DW$57,'Biofuel Feedstocks'!DA14:DV14,'Fuel Vol and Credit Gen'!DA$57:DV$57)</f>
        <v>2257226.4450631067</v>
      </c>
      <c r="DX14" s="140">
        <f>FORECAST('Fuel Vol and Credit Gen'!DX$57,'Biofuel Feedstocks'!DB14:DW14,'Fuel Vol and Credit Gen'!DB$57:DW$57)</f>
        <v>2257221.1116201491</v>
      </c>
      <c r="DY14" s="140">
        <f>FORECAST('Fuel Vol and Credit Gen'!DY$57,'Biofuel Feedstocks'!DC14:DX14,'Fuel Vol and Credit Gen'!DC$57:DX$57)</f>
        <v>2257169.9578538388</v>
      </c>
      <c r="DZ14" s="140">
        <f>FORECAST('Fuel Vol and Credit Gen'!DZ$57,'Biofuel Feedstocks'!DD14:DY14,'Fuel Vol and Credit Gen'!DD$57:DY$57)</f>
        <v>2257161.3491761126</v>
      </c>
    </row>
    <row r="15" spans="1:130" x14ac:dyDescent="0.25">
      <c r="A15" s="13" t="s">
        <v>249</v>
      </c>
      <c r="AS15" s="139">
        <v>338780</v>
      </c>
      <c r="AT15" s="139">
        <v>337919</v>
      </c>
      <c r="AU15" s="139">
        <v>312835</v>
      </c>
      <c r="AV15" s="139">
        <v>262394</v>
      </c>
      <c r="AW15" s="139">
        <v>268356</v>
      </c>
      <c r="AX15" s="139">
        <v>235211</v>
      </c>
      <c r="AY15" s="139">
        <v>323806</v>
      </c>
      <c r="AZ15" s="139">
        <v>393074</v>
      </c>
      <c r="BA15" s="139">
        <v>309159</v>
      </c>
      <c r="BB15" s="139">
        <v>368613</v>
      </c>
      <c r="BC15" s="139">
        <v>281650</v>
      </c>
      <c r="BD15" s="139">
        <v>481724</v>
      </c>
      <c r="BE15" s="139">
        <v>428334</v>
      </c>
      <c r="BF15" s="140">
        <f>FORECAST('Fuel Vol and Credit Gen'!BF$57,'Biofuel Feedstocks'!AJ15:BE15,'Fuel Vol and Credit Gen'!AJ$57:BE$57)</f>
        <v>375382.93426327733</v>
      </c>
      <c r="BG15" s="140">
        <f>FORECAST('Fuel Vol and Credit Gen'!BG$57,'Biofuel Feedstocks'!AK15:BF15,'Fuel Vol and Credit Gen'!AK$57:BF$57)</f>
        <v>334671.27434261917</v>
      </c>
      <c r="BH15" s="140">
        <f>FORECAST('Fuel Vol and Credit Gen'!BH$57,'Biofuel Feedstocks'!AL15:BG15,'Fuel Vol and Credit Gen'!AL$57:BG$57)</f>
        <v>336726.15507998172</v>
      </c>
      <c r="BI15" s="140">
        <f>FORECAST('Fuel Vol and Credit Gen'!BI$57,'Biofuel Feedstocks'!AM15:BH15,'Fuel Vol and Credit Gen'!AM$57:BH$57)</f>
        <v>377217.31962310872</v>
      </c>
      <c r="BJ15" s="140">
        <f>FORECAST('Fuel Vol and Credit Gen'!BJ$57,'Biofuel Feedstocks'!AN15:BI15,'Fuel Vol and Credit Gen'!AN$57:BI$57)</f>
        <v>362548.61281268112</v>
      </c>
      <c r="BK15" s="140">
        <f>FORECAST('Fuel Vol and Credit Gen'!BK$57,'Biofuel Feedstocks'!AO15:BJ15,'Fuel Vol and Credit Gen'!AO$57:BJ$57)</f>
        <v>332811.55125300447</v>
      </c>
      <c r="BL15" s="140">
        <f>FORECAST('Fuel Vol and Credit Gen'!BL$57,'Biofuel Feedstocks'!AP15:BK15,'Fuel Vol and Credit Gen'!AP$57:BK$57)</f>
        <v>346947.54398125235</v>
      </c>
      <c r="BM15" s="140">
        <f>FORECAST('Fuel Vol and Credit Gen'!BM$57,'Biofuel Feedstocks'!AQ15:BL15,'Fuel Vol and Credit Gen'!AQ$57:BL$57)</f>
        <v>353002.45120902825</v>
      </c>
      <c r="BN15" s="140">
        <f>FORECAST('Fuel Vol and Credit Gen'!BN$57,'Biofuel Feedstocks'!AR15:BM15,'Fuel Vol and Credit Gen'!AR$57:BM$57)</f>
        <v>381021.14262937708</v>
      </c>
      <c r="BO15" s="140">
        <f>FORECAST('Fuel Vol and Credit Gen'!BO$57,'Biofuel Feedstocks'!AS15:BN15,'Fuel Vol and Credit Gen'!AS$57:BN$57)</f>
        <v>342954.35476214631</v>
      </c>
      <c r="BP15" s="140">
        <f>FORECAST('Fuel Vol and Credit Gen'!BP$57,'Biofuel Feedstocks'!AT15:BO15,'Fuel Vol and Credit Gen'!AT$57:BO$57)</f>
        <v>359090.6502988718</v>
      </c>
      <c r="BQ15" s="140">
        <f>FORECAST('Fuel Vol and Credit Gen'!BQ$57,'Biofuel Feedstocks'!AU15:BP15,'Fuel Vol and Credit Gen'!AU$57:BP$57)</f>
        <v>368491.52377630788</v>
      </c>
      <c r="BR15" s="140">
        <f>FORECAST('Fuel Vol and Credit Gen'!BR$57,'Biofuel Feedstocks'!AV15:BQ15,'Fuel Vol and Credit Gen'!AV$57:BQ$57)</f>
        <v>426142.24974381155</v>
      </c>
      <c r="BS15" s="140">
        <f>FORECAST('Fuel Vol and Credit Gen'!BS$57,'Biofuel Feedstocks'!AW15:BR15,'Fuel Vol and Credit Gen'!AW$57:BR$57)</f>
        <v>317016.6090018308</v>
      </c>
      <c r="BT15" s="140">
        <f>FORECAST('Fuel Vol and Credit Gen'!BT$57,'Biofuel Feedstocks'!AX15:BS15,'Fuel Vol and Credit Gen'!AX$57:BS$57)</f>
        <v>339934.18715826911</v>
      </c>
      <c r="BU15" s="140">
        <f>FORECAST('Fuel Vol and Credit Gen'!BU$57,'Biofuel Feedstocks'!AY15:BT15,'Fuel Vol and Credit Gen'!AY$57:BT$57)</f>
        <v>361980.90064554976</v>
      </c>
      <c r="BV15" s="140">
        <f>FORECAST('Fuel Vol and Credit Gen'!BV$57,'Biofuel Feedstocks'!AZ15:BU15,'Fuel Vol and Credit Gen'!AZ$57:BU$57)</f>
        <v>401339.0026319765</v>
      </c>
      <c r="BW15" s="140">
        <f>FORECAST('Fuel Vol and Credit Gen'!BW$57,'Biofuel Feedstocks'!BA15:BV15,'Fuel Vol and Credit Gen'!BA$57:BV$57)</f>
        <v>321789.20682232676</v>
      </c>
      <c r="BX15" s="140">
        <f>FORECAST('Fuel Vol and Credit Gen'!BX$57,'Biofuel Feedstocks'!BB15:BW15,'Fuel Vol and Credit Gen'!BB$57:BW$57)</f>
        <v>343807.16733792773</v>
      </c>
      <c r="BY15" s="140">
        <f>FORECAST('Fuel Vol and Credit Gen'!BY$57,'Biofuel Feedstocks'!BC15:BX15,'Fuel Vol and Credit Gen'!BC$57:BX$57)</f>
        <v>362512.66601130652</v>
      </c>
      <c r="BZ15" s="140">
        <f>FORECAST('Fuel Vol and Credit Gen'!BZ$57,'Biofuel Feedstocks'!BD15:BY15,'Fuel Vol and Credit Gen'!BD$57:BY$57)</f>
        <v>408007.35337301699</v>
      </c>
      <c r="CA15" s="140">
        <f>FORECAST('Fuel Vol and Credit Gen'!CA$57,'Biofuel Feedstocks'!BE15:BZ15,'Fuel Vol and Credit Gen'!BE$57:BZ$57)</f>
        <v>334838.8725917163</v>
      </c>
      <c r="CB15" s="140">
        <f>FORECAST('Fuel Vol and Credit Gen'!CB$57,'Biofuel Feedstocks'!BF15:CA15,'Fuel Vol and Credit Gen'!BF$57:CA$57)</f>
        <v>353066.29295529058</v>
      </c>
      <c r="CC15" s="140">
        <f>FORECAST('Fuel Vol and Credit Gen'!CC$57,'Biofuel Feedstocks'!BG15:CB15,'Fuel Vol and Credit Gen'!BG$57:CB$57)</f>
        <v>363203.68895492703</v>
      </c>
      <c r="CD15" s="140">
        <f>FORECAST('Fuel Vol and Credit Gen'!CD$57,'Biofuel Feedstocks'!BH15:CC15,'Fuel Vol and Credit Gen'!BH$57:CC$57)</f>
        <v>414681.33260235726</v>
      </c>
      <c r="CE15" s="140">
        <f>FORECAST('Fuel Vol and Credit Gen'!CE$57,'Biofuel Feedstocks'!BI15:CD15,'Fuel Vol and Credit Gen'!BI$57:CD$57)</f>
        <v>346278.16552032507</v>
      </c>
      <c r="CF15" s="140">
        <f>FORECAST('Fuel Vol and Credit Gen'!CF$57,'Biofuel Feedstocks'!BJ15:CE15,'Fuel Vol and Credit Gen'!BJ$57:CE$57)</f>
        <v>370954.50041048788</v>
      </c>
      <c r="CG15" s="140">
        <f>FORECAST('Fuel Vol and Credit Gen'!CG$57,'Biofuel Feedstocks'!BK15:CF15,'Fuel Vol and Credit Gen'!BK$57:CF$57)</f>
        <v>359783.79614971182</v>
      </c>
      <c r="CH15" s="140">
        <f>FORECAST('Fuel Vol and Credit Gen'!CH$57,'Biofuel Feedstocks'!BL15:CG15,'Fuel Vol and Credit Gen'!BL$57:CG$57)</f>
        <v>441895.45544136915</v>
      </c>
      <c r="CI15" s="140">
        <f>FORECAST('Fuel Vol and Credit Gen'!CI$57,'Biofuel Feedstocks'!BM15:CH15,'Fuel Vol and Credit Gen'!BM$57:CH$57)</f>
        <v>381377.24381050374</v>
      </c>
      <c r="CJ15" s="140">
        <f>FORECAST('Fuel Vol and Credit Gen'!CJ$57,'Biofuel Feedstocks'!BN15:CI15,'Fuel Vol and Credit Gen'!BN$57:CI$57)</f>
        <v>414278.13273370737</v>
      </c>
      <c r="CK15" s="140">
        <f>FORECAST('Fuel Vol and Credit Gen'!CK$57,'Biofuel Feedstocks'!BO15:CJ15,'Fuel Vol and Credit Gen'!BO$57:CJ$57)</f>
        <v>340204.89075079007</v>
      </c>
      <c r="CL15" s="140">
        <f>FORECAST('Fuel Vol and Credit Gen'!CL$57,'Biofuel Feedstocks'!BP15:CK15,'Fuel Vol and Credit Gen'!BP$57:CK$57)</f>
        <v>505875.35853455489</v>
      </c>
      <c r="CM15" s="140">
        <f>FORECAST('Fuel Vol and Credit Gen'!CM$57,'Biofuel Feedstocks'!BQ15:CL15,'Fuel Vol and Credit Gen'!BQ$57:CL$57)</f>
        <v>380837.99504091986</v>
      </c>
      <c r="CN15" s="140">
        <f>FORECAST('Fuel Vol and Credit Gen'!CN$57,'Biofuel Feedstocks'!BR15:CM15,'Fuel Vol and Credit Gen'!BR$57:CM$57)</f>
        <v>414073.13021245808</v>
      </c>
      <c r="CO15" s="140">
        <f>FORECAST('Fuel Vol and Credit Gen'!CO$57,'Biofuel Feedstocks'!BS15:CN15,'Fuel Vol and Credit Gen'!BS$57:CN$57)</f>
        <v>345227.93080868892</v>
      </c>
      <c r="CP15" s="140">
        <f>FORECAST('Fuel Vol and Credit Gen'!CP$57,'Biofuel Feedstocks'!BT15:CO15,'Fuel Vol and Credit Gen'!BT$57:CO$57)</f>
        <v>502237.12306407734</v>
      </c>
      <c r="CQ15" s="140">
        <f>FORECAST('Fuel Vol and Credit Gen'!CQ$57,'Biofuel Feedstocks'!BU15:CP15,'Fuel Vol and Credit Gen'!BU$57:CP$57)</f>
        <v>374713.07466297457</v>
      </c>
      <c r="CR15" s="140">
        <f>FORECAST('Fuel Vol and Credit Gen'!CR$57,'Biofuel Feedstocks'!BV15:CQ15,'Fuel Vol and Credit Gen'!BV$57:CQ$57)</f>
        <v>405860.09465479158</v>
      </c>
      <c r="CS15" s="140">
        <f>FORECAST('Fuel Vol and Credit Gen'!CS$57,'Biofuel Feedstocks'!BW15:CR15,'Fuel Vol and Credit Gen'!BW$57:CR$57)</f>
        <v>346472.19393283461</v>
      </c>
      <c r="CT15" s="140">
        <f>FORECAST('Fuel Vol and Credit Gen'!CT$57,'Biofuel Feedstocks'!BX15:CS15,'Fuel Vol and Credit Gen'!BX$57:CS$57)</f>
        <v>491196.39041774638</v>
      </c>
      <c r="CU15" s="140">
        <f>FORECAST('Fuel Vol and Credit Gen'!CU$57,'Biofuel Feedstocks'!BY15:CT15,'Fuel Vol and Credit Gen'!BY$57:CT$57)</f>
        <v>396581.23626909911</v>
      </c>
      <c r="CV15" s="140">
        <f>FORECAST('Fuel Vol and Credit Gen'!CV$57,'Biofuel Feedstocks'!BZ15:CU15,'Fuel Vol and Credit Gen'!BZ$57:CU$57)</f>
        <v>435391.82417729375</v>
      </c>
      <c r="CW15" s="140">
        <f>FORECAST('Fuel Vol and Credit Gen'!CW$57,'Biofuel Feedstocks'!CA15:CV15,'Fuel Vol and Credit Gen'!CA$57:CV$57)</f>
        <v>340000.89521435695</v>
      </c>
      <c r="CX15" s="140">
        <f>FORECAST('Fuel Vol and Credit Gen'!CX$57,'Biofuel Feedstocks'!CB15:CW15,'Fuel Vol and Credit Gen'!CB$57:CW$57)</f>
        <v>525443.31817473006</v>
      </c>
      <c r="CY15" s="140">
        <f>FORECAST('Fuel Vol and Credit Gen'!CY$57,'Biofuel Feedstocks'!CC15:CX15,'Fuel Vol and Credit Gen'!CC$57:CX$57)</f>
        <v>409473.44619455875</v>
      </c>
      <c r="CZ15" s="140">
        <f>FORECAST('Fuel Vol and Credit Gen'!CZ$57,'Biofuel Feedstocks'!CD15:CY15,'Fuel Vol and Credit Gen'!CD$57:CY$57)</f>
        <v>450125.80066507531</v>
      </c>
      <c r="DA15" s="140">
        <f>FORECAST('Fuel Vol and Credit Gen'!DA$57,'Biofuel Feedstocks'!CE15:CZ15,'Fuel Vol and Credit Gen'!CE$57:CZ$57)</f>
        <v>333998.01062002109</v>
      </c>
      <c r="DB15" s="140">
        <f>FORECAST('Fuel Vol and Credit Gen'!DB$57,'Biofuel Feedstocks'!CF15:DA15,'Fuel Vol and Credit Gen'!CF$57:DA$57)</f>
        <v>550295.05195441423</v>
      </c>
      <c r="DC15" s="140">
        <f>FORECAST('Fuel Vol and Credit Gen'!DC$57,'Biofuel Feedstocks'!CG15:DB15,'Fuel Vol and Credit Gen'!CG$57:DB$57)</f>
        <v>443041.65911411209</v>
      </c>
      <c r="DD15" s="140">
        <f>FORECAST('Fuel Vol and Credit Gen'!DD$57,'Biofuel Feedstocks'!CH15:DC15,'Fuel Vol and Credit Gen'!CH$57:DC$57)</f>
        <v>491320.39549637336</v>
      </c>
      <c r="DE15" s="140">
        <f>FORECAST('Fuel Vol and Credit Gen'!DE$57,'Biofuel Feedstocks'!CI15:DD15,'Fuel Vol and Credit Gen'!CI$57:DD$57)</f>
        <v>319547.77677974169</v>
      </c>
      <c r="DF15" s="140">
        <f>FORECAST('Fuel Vol and Credit Gen'!DF$57,'Biofuel Feedstocks'!CJ15:DE15,'Fuel Vol and Credit Gen'!CJ$57:DE$57)</f>
        <v>607202.30359073158</v>
      </c>
      <c r="DG15" s="140">
        <f>FORECAST('Fuel Vol and Credit Gen'!DG$57,'Biofuel Feedstocks'!CK15:DF15,'Fuel Vol and Credit Gen'!CK$57:DF$57)</f>
        <v>472799.05146149429</v>
      </c>
      <c r="DH15" s="140">
        <f>FORECAST('Fuel Vol and Credit Gen'!DH$57,'Biofuel Feedstocks'!CL15:DG15,'Fuel Vol and Credit Gen'!CL$57:DG$57)</f>
        <v>527727.88599372236</v>
      </c>
      <c r="DI15" s="140">
        <f>FORECAST('Fuel Vol and Credit Gen'!DI$57,'Biofuel Feedstocks'!CM15:DH15,'Fuel Vol and Credit Gen'!CM$57:DH$57)</f>
        <v>307653.51135472604</v>
      </c>
      <c r="DJ15" s="140">
        <f>FORECAST('Fuel Vol and Credit Gen'!DJ$57,'Biofuel Feedstocks'!CN15:DI15,'Fuel Vol and Credit Gen'!CN$57:DI$57)</f>
        <v>656800.4959604278</v>
      </c>
      <c r="DK15" s="140">
        <f>FORECAST('Fuel Vol and Credit Gen'!DK$57,'Biofuel Feedstocks'!CO15:DJ15,'Fuel Vol and Credit Gen'!CO$57:DJ$57)</f>
        <v>473725.76479219034</v>
      </c>
      <c r="DL15" s="140">
        <f>FORECAST('Fuel Vol and Credit Gen'!DL$57,'Biofuel Feedstocks'!CP15:DK15,'Fuel Vol and Credit Gen'!CP$57:DK$57)</f>
        <v>528879.14425031946</v>
      </c>
      <c r="DM15" s="140">
        <f>FORECAST('Fuel Vol and Credit Gen'!DM$57,'Biofuel Feedstocks'!CQ15:DL15,'Fuel Vol and Credit Gen'!CQ$57:DL$57)</f>
        <v>307652.98890688119</v>
      </c>
      <c r="DN15" s="140">
        <f>FORECAST('Fuel Vol and Credit Gen'!DN$57,'Biofuel Feedstocks'!CR15:DM15,'Fuel Vol and Credit Gen'!CR$57:DM$57)</f>
        <v>658261.40675130719</v>
      </c>
      <c r="DO15" s="140">
        <f>FORECAST('Fuel Vol and Credit Gen'!DO$57,'Biofuel Feedstocks'!CS15:DN15,'Fuel Vol and Credit Gen'!CS$57:DN$57)</f>
        <v>435686.25425473345</v>
      </c>
      <c r="DP15" s="140">
        <f>FORECAST('Fuel Vol and Credit Gen'!DP$57,'Biofuel Feedstocks'!CT15:DO15,'Fuel Vol and Credit Gen'!CT$57:DO$57)</f>
        <v>481813.69198977511</v>
      </c>
      <c r="DQ15" s="140">
        <f>FORECAST('Fuel Vol and Credit Gen'!DQ$57,'Biofuel Feedstocks'!CU15:DP15,'Fuel Vol and Credit Gen'!CU$57:DP$57)</f>
        <v>322822.82737262268</v>
      </c>
      <c r="DR15" s="140">
        <f>FORECAST('Fuel Vol and Credit Gen'!DR$57,'Biofuel Feedstocks'!CV15:DQ15,'Fuel Vol and Credit Gen'!CV$57:DQ$57)</f>
        <v>593527.06915631844</v>
      </c>
      <c r="DS15" s="140">
        <f>FORECAST('Fuel Vol and Credit Gen'!DS$57,'Biofuel Feedstocks'!CW15:DR15,'Fuel Vol and Credit Gen'!CW$57:DR$57)</f>
        <v>593523.15970031382</v>
      </c>
      <c r="DT15" s="140">
        <f>FORECAST('Fuel Vol and Credit Gen'!DT$57,'Biofuel Feedstocks'!CX15:DS15,'Fuel Vol and Credit Gen'!CX$57:DS$57)</f>
        <v>593526.8049571889</v>
      </c>
      <c r="DU15" s="140">
        <f>FORECAST('Fuel Vol and Credit Gen'!DU$57,'Biofuel Feedstocks'!CY15:DT15,'Fuel Vol and Credit Gen'!CY$57:DT$57)</f>
        <v>593542.70195702009</v>
      </c>
      <c r="DV15" s="140">
        <f>FORECAST('Fuel Vol and Credit Gen'!DV$57,'Biofuel Feedstocks'!CZ15:DU15,'Fuel Vol and Credit Gen'!CZ$57:DU$57)</f>
        <v>593545.41677147534</v>
      </c>
      <c r="DW15" s="140">
        <f>FORECAST('Fuel Vol and Credit Gen'!DW$57,'Biofuel Feedstocks'!DA15:DV15,'Fuel Vol and Credit Gen'!DA$57:DV$57)</f>
        <v>593551.87132564187</v>
      </c>
      <c r="DX15" s="140">
        <f>FORECAST('Fuel Vol and Credit Gen'!DX$57,'Biofuel Feedstocks'!DB15:DW15,'Fuel Vol and Credit Gen'!DB$57:DW$57)</f>
        <v>593552.14500769507</v>
      </c>
      <c r="DY15" s="140">
        <f>FORECAST('Fuel Vol and Credit Gen'!DY$57,'Biofuel Feedstocks'!DC15:DX15,'Fuel Vol and Credit Gen'!DC$57:DX$57)</f>
        <v>593552.78326137015</v>
      </c>
      <c r="DZ15" s="140">
        <f>FORECAST('Fuel Vol and Credit Gen'!DZ$57,'Biofuel Feedstocks'!DD15:DY15,'Fuel Vol and Credit Gen'!DD$57:DY$57)</f>
        <v>593553.71284827869</v>
      </c>
    </row>
    <row r="16" spans="1:130" x14ac:dyDescent="0.25">
      <c r="A16" s="39" t="s">
        <v>250</v>
      </c>
      <c r="B16" s="39" t="s">
        <v>87</v>
      </c>
      <c r="C16" s="139">
        <v>0</v>
      </c>
      <c r="D16" s="139">
        <v>0</v>
      </c>
      <c r="E16" s="139">
        <v>0</v>
      </c>
      <c r="F16" s="139">
        <v>0</v>
      </c>
      <c r="G16" s="139">
        <v>0</v>
      </c>
      <c r="H16" s="139">
        <v>0</v>
      </c>
      <c r="I16" s="139">
        <v>0</v>
      </c>
      <c r="J16" s="139">
        <v>0</v>
      </c>
      <c r="K16" s="139">
        <v>0</v>
      </c>
      <c r="L16" s="139">
        <v>0</v>
      </c>
      <c r="M16" s="139">
        <v>0</v>
      </c>
      <c r="N16" s="139">
        <v>0</v>
      </c>
      <c r="O16" s="139">
        <v>0</v>
      </c>
      <c r="P16" s="139">
        <v>0</v>
      </c>
      <c r="Q16" s="139">
        <v>0</v>
      </c>
      <c r="R16" s="139">
        <v>0</v>
      </c>
      <c r="S16" s="139">
        <v>0</v>
      </c>
      <c r="T16" s="139">
        <v>0</v>
      </c>
      <c r="U16" s="139">
        <v>0</v>
      </c>
      <c r="V16" s="139">
        <v>0</v>
      </c>
      <c r="W16" s="139">
        <v>580</v>
      </c>
      <c r="X16" s="139">
        <v>0</v>
      </c>
      <c r="Y16" s="139">
        <v>1556</v>
      </c>
      <c r="Z16" s="139">
        <v>0</v>
      </c>
      <c r="AA16" s="139">
        <v>0</v>
      </c>
      <c r="AB16" s="139">
        <v>0</v>
      </c>
      <c r="AC16" s="139">
        <v>0</v>
      </c>
      <c r="AD16" s="139">
        <v>0</v>
      </c>
      <c r="AE16" s="139">
        <v>0</v>
      </c>
      <c r="AF16" s="139">
        <v>0</v>
      </c>
      <c r="AG16" s="139">
        <v>17166</v>
      </c>
      <c r="AH16" s="139">
        <v>84163</v>
      </c>
      <c r="AI16" s="139">
        <v>76491</v>
      </c>
      <c r="AJ16" s="139">
        <v>54848</v>
      </c>
      <c r="AK16" s="139">
        <v>101143</v>
      </c>
      <c r="AL16" s="139">
        <v>107951</v>
      </c>
      <c r="AM16" s="139">
        <v>63076</v>
      </c>
      <c r="AN16" s="139">
        <v>114086</v>
      </c>
      <c r="AO16" s="139">
        <v>87095</v>
      </c>
      <c r="AP16" s="139">
        <v>117925</v>
      </c>
      <c r="AQ16" s="139">
        <v>181543</v>
      </c>
      <c r="AR16" s="139">
        <v>196135</v>
      </c>
      <c r="AS16" s="139">
        <v>19505</v>
      </c>
      <c r="AT16" s="139">
        <v>26843</v>
      </c>
      <c r="AU16" s="139">
        <v>15616</v>
      </c>
      <c r="AV16" s="139">
        <v>67834</v>
      </c>
      <c r="AW16" s="139">
        <v>152956</v>
      </c>
      <c r="AX16" s="139">
        <v>143652</v>
      </c>
      <c r="AY16" s="139">
        <v>149481</v>
      </c>
      <c r="AZ16" s="139">
        <v>229769</v>
      </c>
      <c r="BA16" s="139">
        <v>322334</v>
      </c>
      <c r="BB16" s="139">
        <v>258377</v>
      </c>
      <c r="BC16" s="139">
        <v>279869</v>
      </c>
      <c r="BD16" s="139">
        <v>399726</v>
      </c>
      <c r="BE16" s="139">
        <v>446329</v>
      </c>
      <c r="BF16" s="140">
        <f>FORECAST('Fuel Vol and Credit Gen'!BF$57,'Biofuel Feedstocks'!AJ16:BE16,'Fuel Vol and Credit Gen'!AJ$57:BE$57)+150000</f>
        <v>446783.47742892732</v>
      </c>
      <c r="BG16" s="140">
        <f>FORECAST('Fuel Vol and Credit Gen'!BG$57,'Biofuel Feedstocks'!AK16:BF16,'Fuel Vol and Credit Gen'!AK$57:BF$57)+250000</f>
        <v>486952.55018814502</v>
      </c>
      <c r="BH16" s="140">
        <f>FORECAST('Fuel Vol and Credit Gen'!BH$57,'Biofuel Feedstocks'!AL16:BG16,'Fuel Vol and Credit Gen'!AL$57:BG$57)+250000</f>
        <v>505076.78896598885</v>
      </c>
      <c r="BI16" s="140">
        <f>FORECAST('Fuel Vol and Credit Gen'!BI$57,'Biofuel Feedstocks'!AM16:BH16,'Fuel Vol and Credit Gen'!AM$57:BH$57)+200000</f>
        <v>561130.93850158283</v>
      </c>
      <c r="BJ16" s="140">
        <f>FORECAST('Fuel Vol and Credit Gen'!BJ$57,'Biofuel Feedstocks'!AN16:BI16,'Fuel Vol and Credit Gen'!AN$57:BI$57)+150000</f>
        <v>497522.70797187509</v>
      </c>
      <c r="BK16" s="140">
        <f>FORECAST('Fuel Vol and Credit Gen'!BK$57,'Biofuel Feedstocks'!AO16:BJ16,'Fuel Vol and Credit Gen'!AO$57:BJ$57)+250000</f>
        <v>527031.4385392617</v>
      </c>
      <c r="BL16" s="140">
        <f>FORECAST('Fuel Vol and Credit Gen'!BL$57,'Biofuel Feedstocks'!AP16:BK16,'Fuel Vol and Credit Gen'!AP$57:BK$57)+250000</f>
        <v>578555.53663712577</v>
      </c>
      <c r="BM16" s="140">
        <f>FORECAST('Fuel Vol and Credit Gen'!BM$57,'Biofuel Feedstocks'!AQ16:BL16,'Fuel Vol and Credit Gen'!AQ$57:BL$57)+200000</f>
        <v>560830.80063516449</v>
      </c>
      <c r="BN16" s="140">
        <f>FORECAST('Fuel Vol and Credit Gen'!BN$57,'Biofuel Feedstocks'!AR16:BM16,'Fuel Vol and Credit Gen'!AR$57:BM$57)+150000</f>
        <v>629735.34055231989</v>
      </c>
      <c r="BO16" s="140">
        <f>FORECAST('Fuel Vol and Credit Gen'!BO$57,'Biofuel Feedstocks'!AS16:BN16,'Fuel Vol and Credit Gen'!AS$57:BN$57)+250000</f>
        <v>582691.743045307</v>
      </c>
      <c r="BP16" s="140">
        <f>FORECAST('Fuel Vol and Credit Gen'!BP$57,'Biofuel Feedstocks'!AT16:BO16,'Fuel Vol and Credit Gen'!AT$57:BO$57)+250000</f>
        <v>667648.13148027682</v>
      </c>
      <c r="BQ16" s="140">
        <f>FORECAST('Fuel Vol and Credit Gen'!BQ$57,'Biofuel Feedstocks'!AU16:BP16,'Fuel Vol and Credit Gen'!AU$57:BP$57)+200000</f>
        <v>657925.88132137584</v>
      </c>
      <c r="BR16" s="140">
        <f>FORECAST('Fuel Vol and Credit Gen'!BR$57,'Biofuel Feedstocks'!AV16:BQ16,'Fuel Vol and Credit Gen'!AV$57:BQ$57)+150000</f>
        <v>753451.06782017881</v>
      </c>
      <c r="BS16" s="140">
        <f>FORECAST('Fuel Vol and Credit Gen'!BS$57,'Biofuel Feedstocks'!AW16:BR16,'Fuel Vol and Credit Gen'!AW$57:BR$57)+250000</f>
        <v>609483.99136104784</v>
      </c>
      <c r="BT16" s="140">
        <f>FORECAST('Fuel Vol and Credit Gen'!BT$57,'Biofuel Feedstocks'!AX16:BS16,'Fuel Vol and Credit Gen'!AX$57:BS$57)+250000</f>
        <v>688460.17935975781</v>
      </c>
      <c r="BU16" s="140">
        <f>FORECAST('Fuel Vol and Credit Gen'!BU$57,'Biofuel Feedstocks'!AY16:BT16,'Fuel Vol and Credit Gen'!AY$57:BT$57)+200000</f>
        <v>694099.70919072535</v>
      </c>
      <c r="BV16" s="140">
        <f>FORECAST('Fuel Vol and Credit Gen'!BV$57,'Biofuel Feedstocks'!AZ16:BU16,'Fuel Vol and Credit Gen'!AZ$57:BU$57)+150000</f>
        <v>680467.14902398654</v>
      </c>
      <c r="BW16" s="140">
        <f>FORECAST('Fuel Vol and Credit Gen'!BW$57,'Biofuel Feedstocks'!BA16:BV16,'Fuel Vol and Credit Gen'!BA$57:BV$57)+250000</f>
        <v>782710.24187750637</v>
      </c>
      <c r="BX16" s="140">
        <f>FORECAST('Fuel Vol and Credit Gen'!BX$57,'Biofuel Feedstocks'!BB16:BW16,'Fuel Vol and Credit Gen'!BB$57:BW$57)+250000</f>
        <v>815244.87541078951</v>
      </c>
      <c r="BY16" s="140">
        <f>FORECAST('Fuel Vol and Credit Gen'!BY$57,'Biofuel Feedstocks'!BC16:BX16,'Fuel Vol and Credit Gen'!BC$57:BX$57)+200000</f>
        <v>784160.73014338582</v>
      </c>
      <c r="BZ16" s="140">
        <f>FORECAST('Fuel Vol and Credit Gen'!BZ$57,'Biofuel Feedstocks'!BD16:BY16,'Fuel Vol and Credit Gen'!BD$57:BY$57)+150000</f>
        <v>743300.14740577294</v>
      </c>
      <c r="CA16" s="140">
        <f>FORECAST('Fuel Vol and Credit Gen'!CA$57,'Biofuel Feedstocks'!BE16:BZ16,'Fuel Vol and Credit Gen'!BE$57:BZ$57)+250000</f>
        <v>867901.47986472514</v>
      </c>
      <c r="CB16" s="140">
        <f>FORECAST('Fuel Vol and Credit Gen'!CB$57,'Biofuel Feedstocks'!BF16:CA16,'Fuel Vol and Credit Gen'!BF$57:CA$57)+250000</f>
        <v>889156.8250028881</v>
      </c>
      <c r="CC16" s="140">
        <f>FORECAST('Fuel Vol and Credit Gen'!CC$57,'Biofuel Feedstocks'!BG16:CB16,'Fuel Vol and Credit Gen'!BG$57:CB$57)+200000</f>
        <v>866466.69773690263</v>
      </c>
      <c r="CD16" s="140">
        <f>FORECAST('Fuel Vol and Credit Gen'!CD$57,'Biofuel Feedstocks'!BH16:CC16,'Fuel Vol and Credit Gen'!BH$57:CC$57)+150000</f>
        <v>857222.20380621264</v>
      </c>
      <c r="CE16" s="140">
        <f>FORECAST('Fuel Vol and Credit Gen'!CE$57,'Biofuel Feedstocks'!BI16:CD16,'Fuel Vol and Credit Gen'!BI$57:CD$57)+250000</f>
        <v>934999.16423706152</v>
      </c>
      <c r="CF16" s="140">
        <f>FORECAST('Fuel Vol and Credit Gen'!CF$57,'Biofuel Feedstocks'!BJ16:CE16,'Fuel Vol and Credit Gen'!BJ$57:CE$57)+250000</f>
        <v>968798.11661914852</v>
      </c>
      <c r="CG16" s="140">
        <f>FORECAST('Fuel Vol and Credit Gen'!CG$57,'Biofuel Feedstocks'!BK16:CF16,'Fuel Vol and Credit Gen'!BK$57:CF$57)+200000</f>
        <v>932285.69174818625</v>
      </c>
      <c r="CH16" s="140">
        <f>FORECAST('Fuel Vol and Credit Gen'!CH$57,'Biofuel Feedstocks'!BL16:CG16,'Fuel Vol and Credit Gen'!BL$57:CG$57)+150000</f>
        <v>931836.72035550303</v>
      </c>
      <c r="CI16" s="140">
        <f>FORECAST('Fuel Vol and Credit Gen'!CI$57,'Biofuel Feedstocks'!BM16:CH16,'Fuel Vol and Credit Gen'!BM$57:CH$57)+250000</f>
        <v>1028164.2518373092</v>
      </c>
      <c r="CJ16" s="140">
        <f>FORECAST('Fuel Vol and Credit Gen'!CJ$57,'Biofuel Feedstocks'!BN16:CI16,'Fuel Vol and Credit Gen'!BN$57:CI$57)+250000</f>
        <v>1071315.175586018</v>
      </c>
      <c r="CK16" s="140">
        <f>FORECAST('Fuel Vol and Credit Gen'!CK$57,'Biofuel Feedstocks'!BO16:CJ16,'Fuel Vol and Credit Gen'!BO$57:CJ$57)+200000</f>
        <v>969873.72161958367</v>
      </c>
      <c r="CL16" s="140">
        <f>FORECAST('Fuel Vol and Credit Gen'!CL$57,'Biofuel Feedstocks'!BP16:CK16,'Fuel Vol and Credit Gen'!BP$57:CK$57)+150000</f>
        <v>1091118.1069213997</v>
      </c>
      <c r="CM16" s="140">
        <f>FORECAST('Fuel Vol and Credit Gen'!CM$57,'Biofuel Feedstocks'!BQ16:CL16,'Fuel Vol and Credit Gen'!BQ$57:CL$57)+250000</f>
        <v>1101987.3339262558</v>
      </c>
      <c r="CN16" s="140">
        <f>FORECAST('Fuel Vol and Credit Gen'!CN$57,'Biofuel Feedstocks'!BR16:CM16,'Fuel Vol and Credit Gen'!BR$57:CM$57)+250000</f>
        <v>1162514.4317292536</v>
      </c>
      <c r="CO16" s="140">
        <f>FORECAST('Fuel Vol and Credit Gen'!CO$57,'Biofuel Feedstocks'!BS16:CN16,'Fuel Vol and Credit Gen'!BS$57:CN$57)+200000</f>
        <v>1033860.3293544552</v>
      </c>
      <c r="CP16" s="140">
        <f>FORECAST('Fuel Vol and Credit Gen'!CP$57,'Biofuel Feedstocks'!BT16:CO16,'Fuel Vol and Credit Gen'!BT$57:CO$57)+150000</f>
        <v>1207474.085270341</v>
      </c>
      <c r="CQ16" s="140">
        <f>FORECAST('Fuel Vol and Credit Gen'!CQ$57,'Biofuel Feedstocks'!BU16:CP16,'Fuel Vol and Credit Gen'!BU$57:CP$57)+250000</f>
        <v>1163385.3995828915</v>
      </c>
      <c r="CR16" s="140">
        <f>FORECAST('Fuel Vol and Credit Gen'!CR$57,'Biofuel Feedstocks'!BV16:CQ16,'Fuel Vol and Credit Gen'!BV$57:CQ$57)+250000</f>
        <v>1225228.4940103611</v>
      </c>
      <c r="CS16" s="140">
        <f>FORECAST('Fuel Vol and Credit Gen'!CS$57,'Biofuel Feedstocks'!BW16:CR16,'Fuel Vol and Credit Gen'!BW$57:CR$57)+200000</f>
        <v>1116359.3489271991</v>
      </c>
      <c r="CT16" s="140">
        <f>FORECAST('Fuel Vol and Credit Gen'!CT$57,'Biofuel Feedstocks'!BX16:CS16,'Fuel Vol and Credit Gen'!BX$57:CS$57)+150000</f>
        <v>1262771.7686551893</v>
      </c>
      <c r="CU16" s="140">
        <f>FORECAST('Fuel Vol and Credit Gen'!CU$57,'Biofuel Feedstocks'!BY16:CT16,'Fuel Vol and Credit Gen'!BY$57:CT$57)+250000</f>
        <v>1263633.8611360937</v>
      </c>
      <c r="CV16" s="140">
        <f>FORECAST('Fuel Vol and Credit Gen'!CV$57,'Biofuel Feedstocks'!BZ16:CU16,'Fuel Vol and Credit Gen'!BZ$57:CU$57)+250000</f>
        <v>1331069.3267924748</v>
      </c>
      <c r="CW16" s="140">
        <f>FORECAST('Fuel Vol and Credit Gen'!CW$57,'Biofuel Feedstocks'!CA16:CV16,'Fuel Vol and Credit Gen'!CA$57:CV$57)+200000</f>
        <v>1177234.3723455274</v>
      </c>
      <c r="CX16" s="140">
        <f>FORECAST('Fuel Vol and Credit Gen'!CX$57,'Biofuel Feedstocks'!CB16:CW16,'Fuel Vol and Credit Gen'!CB$57:CW$57)+150000</f>
        <v>1366343.5833296606</v>
      </c>
      <c r="CY16" s="140">
        <f>FORECAST('Fuel Vol and Credit Gen'!CY$57,'Biofuel Feedstocks'!CC16:CX16,'Fuel Vol and Credit Gen'!CC$57:CX$57)+250000</f>
        <v>1350312.3654780718</v>
      </c>
      <c r="CZ16" s="140">
        <f>FORECAST('Fuel Vol and Credit Gen'!CZ$57,'Biofuel Feedstocks'!CD16:CY16,'Fuel Vol and Credit Gen'!CD$57:CY$57)+250000</f>
        <v>1417158.463003837</v>
      </c>
      <c r="DA16" s="140">
        <f>FORECAST('Fuel Vol and Credit Gen'!DA$57,'Biofuel Feedstocks'!CE16:CZ16,'Fuel Vol and Credit Gen'!CE$57:CZ$57)+200000</f>
        <v>1239814.4413201306</v>
      </c>
      <c r="DB16" s="140">
        <f>FORECAST('Fuel Vol and Credit Gen'!DB$57,'Biofuel Feedstocks'!CF16:DA16,'Fuel Vol and Credit Gen'!CF$57:DA$57)+150000</f>
        <v>1456206.6155421883</v>
      </c>
      <c r="DC16" s="140">
        <f>FORECAST('Fuel Vol and Credit Gen'!DC$57,'Biofuel Feedstocks'!CG16:DB16,'Fuel Vol and Credit Gen'!CG$57:DB$57)+250000</f>
        <v>1460379.6710636299</v>
      </c>
      <c r="DD16" s="140">
        <f>FORECAST('Fuel Vol and Credit Gen'!DD$57,'Biofuel Feedstocks'!CH16:DC16,'Fuel Vol and Credit Gen'!CH$57:DC$57)+250000</f>
        <v>1534271.0545526419</v>
      </c>
      <c r="DE16" s="140">
        <f>FORECAST('Fuel Vol and Credit Gen'!DE$57,'Biofuel Feedstocks'!CI16:DD16,'Fuel Vol and Credit Gen'!CI$57:DD$57)+200000</f>
        <v>1283879.7587918397</v>
      </c>
      <c r="DF16" s="140">
        <f>FORECAST('Fuel Vol and Credit Gen'!DF$57,'Biofuel Feedstocks'!CJ16:DE16,'Fuel Vol and Credit Gen'!CJ$57:DE$57)+150000</f>
        <v>1609585.6948484518</v>
      </c>
      <c r="DG16" s="140">
        <f>FORECAST('Fuel Vol and Credit Gen'!DG$57,'Biofuel Feedstocks'!CK16:DF16,'Fuel Vol and Credit Gen'!CK$57:DF$57)+250000</f>
        <v>1575710.9598181578</v>
      </c>
      <c r="DH16" s="140">
        <f>FORECAST('Fuel Vol and Credit Gen'!DH$57,'Biofuel Feedstocks'!CL16:DG16,'Fuel Vol and Credit Gen'!CL$57:DG$57)+250000</f>
        <v>1664335.8568253487</v>
      </c>
      <c r="DI16" s="140">
        <f>FORECAST('Fuel Vol and Credit Gen'!DI$57,'Biofuel Feedstocks'!CM16:DH16,'Fuel Vol and Credit Gen'!CM$57:DH$57)+200000</f>
        <v>1310876.3658519613</v>
      </c>
      <c r="DJ16" s="140">
        <f>FORECAST('Fuel Vol and Credit Gen'!DJ$57,'Biofuel Feedstocks'!CN16:DI16,'Fuel Vol and Credit Gen'!CN$57:DI$57)+150000</f>
        <v>1796927.7410296064</v>
      </c>
      <c r="DK16" s="140">
        <f>FORECAST('Fuel Vol and Credit Gen'!DK$57,'Biofuel Feedstocks'!CO16:DJ16,'Fuel Vol and Credit Gen'!CO$57:DJ$57)+250000</f>
        <v>1655588.9702631668</v>
      </c>
      <c r="DL16" s="140">
        <f>FORECAST('Fuel Vol and Credit Gen'!DL$57,'Biofuel Feedstocks'!CP16:DK16,'Fuel Vol and Credit Gen'!CP$57:DK$57)+250000</f>
        <v>1755944.0625314054</v>
      </c>
      <c r="DM16" s="140">
        <f>FORECAST('Fuel Vol and Credit Gen'!DM$57,'Biofuel Feedstocks'!CQ16:DL16,'Fuel Vol and Credit Gen'!CQ$57:DL$57)+200000</f>
        <v>1371486.3739681006</v>
      </c>
      <c r="DN16" s="140">
        <f>FORECAST('Fuel Vol and Credit Gen'!DN$57,'Biofuel Feedstocks'!CR16:DM16,'Fuel Vol and Credit Gen'!CR$57:DM$57)+150000</f>
        <v>1886873.1041228524</v>
      </c>
      <c r="DO16" s="140">
        <f>FORECAST('Fuel Vol and Credit Gen'!DO$57,'Biofuel Feedstocks'!CS16:DN16,'Fuel Vol and Credit Gen'!CS$57:DN$57)+250000</f>
        <v>1663980.8648032299</v>
      </c>
      <c r="DP16" s="140">
        <f>FORECAST('Fuel Vol and Credit Gen'!DP$57,'Biofuel Feedstocks'!CT16:DO16,'Fuel Vol and Credit Gen'!CT$57:DO$57)+250000</f>
        <v>1753847.9043359431</v>
      </c>
      <c r="DQ16" s="140">
        <f>FORECAST('Fuel Vol and Credit Gen'!DQ$57,'Biofuel Feedstocks'!CU16:DP16,'Fuel Vol and Credit Gen'!CU$57:DP$57)+200000</f>
        <v>1482554.8343042736</v>
      </c>
      <c r="DR16" s="140">
        <f>FORECAST('Fuel Vol and Credit Gen'!DR$57,'Biofuel Feedstocks'!CV16:DQ16,'Fuel Vol and Credit Gen'!CV$57:DQ$57)+150000</f>
        <v>1845784.3749262989</v>
      </c>
      <c r="DS16" s="140">
        <f>FORECAST('Fuel Vol and Credit Gen'!DS$57,'Biofuel Feedstocks'!CW16:DR16,'Fuel Vol and Credit Gen'!CW$57:DR$57)+250000</f>
        <v>1966497.9147644402</v>
      </c>
      <c r="DT16" s="140">
        <f>FORECAST('Fuel Vol and Credit Gen'!DT$57,'Biofuel Feedstocks'!CX16:DS16,'Fuel Vol and Credit Gen'!CX$57:DS$57)+250000</f>
        <v>1988242.0162732494</v>
      </c>
      <c r="DU16" s="140">
        <f>FORECAST('Fuel Vol and Credit Gen'!DU$57,'Biofuel Feedstocks'!CY16:DT16,'Fuel Vol and Credit Gen'!CY$57:DT$57)+200000</f>
        <v>1979256.4172187089</v>
      </c>
      <c r="DV16" s="140">
        <f>FORECAST('Fuel Vol and Credit Gen'!DV$57,'Biofuel Feedstocks'!CZ16:DU16,'Fuel Vol and Credit Gen'!CZ$57:DU$57)+150000</f>
        <v>1948387.6295465734</v>
      </c>
      <c r="DW16" s="140">
        <f>FORECAST('Fuel Vol and Credit Gen'!DW$57,'Biofuel Feedstocks'!DA16:DV16,'Fuel Vol and Credit Gen'!DA$57:DV$57)+250000</f>
        <v>2064621.1651684809</v>
      </c>
      <c r="DX16" s="140">
        <f>FORECAST('Fuel Vol and Credit Gen'!DX$57,'Biofuel Feedstocks'!DB16:DW16,'Fuel Vol and Credit Gen'!DB$57:DW$57)+250000</f>
        <v>2081616.1874245042</v>
      </c>
      <c r="DY16" s="140">
        <f>FORECAST('Fuel Vol and Credit Gen'!DY$57,'Biofuel Feedstocks'!DC16:DX16,'Fuel Vol and Credit Gen'!DC$57:DX$57)+200000</f>
        <v>2067373.1269988737</v>
      </c>
      <c r="DZ16" s="140">
        <f>FORECAST('Fuel Vol and Credit Gen'!DZ$57,'Biofuel Feedstocks'!DD16:DY16,'Fuel Vol and Credit Gen'!DD$57:DY$57)+150000</f>
        <v>2034235.0520937401</v>
      </c>
    </row>
    <row r="17" spans="1:130" x14ac:dyDescent="0.25">
      <c r="A17" s="39" t="s">
        <v>251</v>
      </c>
      <c r="B17" s="39" t="s">
        <v>87</v>
      </c>
      <c r="C17" s="139">
        <v>0</v>
      </c>
      <c r="D17" s="139">
        <v>0</v>
      </c>
      <c r="E17" s="139">
        <v>0</v>
      </c>
      <c r="F17" s="139">
        <v>0</v>
      </c>
      <c r="G17" s="139">
        <v>0</v>
      </c>
      <c r="H17" s="139">
        <v>0</v>
      </c>
      <c r="I17" s="139">
        <v>0</v>
      </c>
      <c r="J17" s="139">
        <v>0</v>
      </c>
      <c r="K17" s="139">
        <v>7869</v>
      </c>
      <c r="L17" s="139">
        <v>7832</v>
      </c>
      <c r="M17" s="139">
        <v>15050</v>
      </c>
      <c r="N17" s="139">
        <v>20346</v>
      </c>
      <c r="O17" s="139">
        <v>20293</v>
      </c>
      <c r="P17" s="139">
        <v>18490</v>
      </c>
      <c r="Q17" s="139">
        <v>10889</v>
      </c>
      <c r="R17" s="139">
        <v>2040</v>
      </c>
      <c r="S17" s="139">
        <v>7653</v>
      </c>
      <c r="T17" s="139">
        <v>6354</v>
      </c>
      <c r="U17" s="139">
        <v>8254</v>
      </c>
      <c r="V17" s="139">
        <v>12384</v>
      </c>
      <c r="W17" s="139">
        <v>18755</v>
      </c>
      <c r="X17" s="139">
        <v>39117</v>
      </c>
      <c r="Y17" s="139">
        <v>23385</v>
      </c>
      <c r="Z17" s="139">
        <v>26191</v>
      </c>
      <c r="AA17" s="139">
        <v>8555</v>
      </c>
      <c r="AB17" s="139">
        <v>8538</v>
      </c>
      <c r="AC17" s="139">
        <v>13865</v>
      </c>
      <c r="AD17" s="139">
        <v>24330</v>
      </c>
      <c r="AE17" s="139">
        <v>14486</v>
      </c>
      <c r="AF17" s="139">
        <v>19794</v>
      </c>
      <c r="AG17" s="139">
        <v>10517</v>
      </c>
      <c r="AH17" s="139">
        <v>22887</v>
      </c>
      <c r="AI17" s="139">
        <v>7055</v>
      </c>
      <c r="AJ17" s="139">
        <v>48780</v>
      </c>
      <c r="AK17" s="139">
        <v>39578</v>
      </c>
      <c r="AL17" s="139">
        <v>38877</v>
      </c>
      <c r="AM17" s="139">
        <v>32848</v>
      </c>
      <c r="AN17" s="139">
        <v>11065</v>
      </c>
      <c r="AO17" s="139">
        <v>7891</v>
      </c>
      <c r="AP17" s="139">
        <v>24615</v>
      </c>
      <c r="AQ17" s="139">
        <v>0</v>
      </c>
      <c r="AR17" s="139">
        <v>0</v>
      </c>
      <c r="AS17" s="139">
        <v>0</v>
      </c>
      <c r="AT17" s="139">
        <v>0</v>
      </c>
      <c r="AU17" s="139">
        <v>0</v>
      </c>
      <c r="AV17" s="139">
        <v>0</v>
      </c>
      <c r="AW17" s="139">
        <v>0</v>
      </c>
      <c r="AX17" s="139">
        <v>0</v>
      </c>
      <c r="AY17" s="139">
        <v>0</v>
      </c>
      <c r="AZ17" s="139">
        <v>0</v>
      </c>
      <c r="BA17" s="139">
        <v>0</v>
      </c>
      <c r="BB17" s="139">
        <v>0</v>
      </c>
      <c r="BC17" s="139">
        <v>0</v>
      </c>
      <c r="BD17" s="139">
        <v>0</v>
      </c>
      <c r="BE17" s="139">
        <v>0</v>
      </c>
      <c r="BF17" s="139">
        <v>0</v>
      </c>
      <c r="BG17" s="139">
        <v>0</v>
      </c>
      <c r="BH17" s="139">
        <v>0</v>
      </c>
      <c r="BI17" s="139">
        <v>0</v>
      </c>
      <c r="BJ17" s="139">
        <v>0</v>
      </c>
      <c r="BK17" s="139">
        <v>0</v>
      </c>
      <c r="BL17" s="139">
        <v>0</v>
      </c>
      <c r="BM17" s="139">
        <v>0</v>
      </c>
      <c r="BN17" s="139">
        <v>0</v>
      </c>
      <c r="BO17" s="139">
        <v>0</v>
      </c>
      <c r="BP17" s="139">
        <v>0</v>
      </c>
      <c r="BQ17" s="139">
        <v>0</v>
      </c>
      <c r="BR17" s="139">
        <v>0</v>
      </c>
      <c r="BS17" s="139">
        <v>0</v>
      </c>
      <c r="BT17" s="139">
        <v>0</v>
      </c>
      <c r="BU17" s="139">
        <v>0</v>
      </c>
      <c r="BV17" s="139">
        <v>0</v>
      </c>
      <c r="BW17" s="139">
        <v>0</v>
      </c>
      <c r="BX17" s="139">
        <v>0</v>
      </c>
      <c r="BY17" s="139">
        <v>0</v>
      </c>
      <c r="BZ17" s="139">
        <v>0</v>
      </c>
      <c r="CA17" s="139">
        <v>0</v>
      </c>
      <c r="CB17" s="139">
        <v>0</v>
      </c>
      <c r="CC17" s="139">
        <v>0</v>
      </c>
      <c r="CD17" s="139">
        <v>0</v>
      </c>
      <c r="CE17" s="139">
        <v>0</v>
      </c>
      <c r="CF17" s="139">
        <v>0</v>
      </c>
      <c r="CG17" s="139">
        <v>0</v>
      </c>
      <c r="CH17" s="139">
        <v>0</v>
      </c>
      <c r="CI17" s="139">
        <v>0</v>
      </c>
      <c r="CJ17" s="139">
        <v>0</v>
      </c>
      <c r="CK17" s="139">
        <v>0</v>
      </c>
      <c r="CL17" s="139">
        <v>0</v>
      </c>
      <c r="CM17" s="139">
        <v>0</v>
      </c>
      <c r="CN17" s="139">
        <v>0</v>
      </c>
      <c r="CO17" s="139">
        <v>0</v>
      </c>
      <c r="CP17" s="139">
        <v>0</v>
      </c>
      <c r="CQ17" s="139">
        <v>0</v>
      </c>
      <c r="CR17" s="139">
        <v>0</v>
      </c>
      <c r="CS17" s="139">
        <v>0</v>
      </c>
      <c r="CT17" s="139">
        <v>0</v>
      </c>
      <c r="CU17" s="139">
        <v>0</v>
      </c>
      <c r="CV17" s="139">
        <v>0</v>
      </c>
      <c r="CW17" s="139">
        <v>0</v>
      </c>
      <c r="CX17" s="139">
        <v>0</v>
      </c>
      <c r="CY17" s="139">
        <v>0</v>
      </c>
      <c r="CZ17" s="139">
        <v>0</v>
      </c>
      <c r="DA17" s="139">
        <v>0</v>
      </c>
      <c r="DB17" s="139">
        <v>0</v>
      </c>
      <c r="DC17" s="139">
        <v>0</v>
      </c>
      <c r="DD17" s="139">
        <v>0</v>
      </c>
      <c r="DE17" s="139">
        <v>0</v>
      </c>
      <c r="DF17" s="139">
        <v>0</v>
      </c>
      <c r="DG17" s="139">
        <v>0</v>
      </c>
      <c r="DH17" s="139">
        <v>0</v>
      </c>
      <c r="DI17" s="139">
        <v>0</v>
      </c>
      <c r="DJ17" s="139">
        <v>0</v>
      </c>
      <c r="DK17" s="139">
        <v>0</v>
      </c>
      <c r="DL17" s="139">
        <v>0</v>
      </c>
      <c r="DM17" s="139">
        <v>0</v>
      </c>
      <c r="DN17" s="139">
        <v>0</v>
      </c>
      <c r="DO17" s="139">
        <v>0</v>
      </c>
      <c r="DP17" s="139">
        <v>0</v>
      </c>
      <c r="DQ17" s="139">
        <v>0</v>
      </c>
      <c r="DR17" s="139">
        <v>0</v>
      </c>
      <c r="DS17" s="139">
        <v>0</v>
      </c>
      <c r="DT17" s="139">
        <v>0</v>
      </c>
      <c r="DU17" s="139">
        <v>0</v>
      </c>
      <c r="DV17" s="139">
        <v>0</v>
      </c>
      <c r="DW17" s="139">
        <v>0</v>
      </c>
      <c r="DX17" s="139">
        <v>0</v>
      </c>
      <c r="DY17" s="139">
        <v>0</v>
      </c>
      <c r="DZ17" s="139">
        <v>0</v>
      </c>
    </row>
    <row r="18" spans="1:130" x14ac:dyDescent="0.25">
      <c r="A18" s="39" t="s">
        <v>252</v>
      </c>
      <c r="B18" s="76"/>
      <c r="C18" s="141">
        <f t="shared" ref="C18:AK18" si="0">SUM(C6:C11)</f>
        <v>12300</v>
      </c>
      <c r="D18" s="141">
        <f t="shared" si="0"/>
        <v>21555</v>
      </c>
      <c r="E18" s="141">
        <f t="shared" si="0"/>
        <v>22424</v>
      </c>
      <c r="F18" s="141">
        <f t="shared" si="0"/>
        <v>27988</v>
      </c>
      <c r="G18" s="141">
        <f t="shared" si="0"/>
        <v>35382</v>
      </c>
      <c r="H18" s="141">
        <f t="shared" si="0"/>
        <v>41919</v>
      </c>
      <c r="I18" s="141">
        <f t="shared" si="0"/>
        <v>34052</v>
      </c>
      <c r="J18" s="141">
        <f t="shared" si="0"/>
        <v>37994</v>
      </c>
      <c r="K18" s="141">
        <f t="shared" si="0"/>
        <v>47386</v>
      </c>
      <c r="L18" s="141">
        <f t="shared" si="0"/>
        <v>123072</v>
      </c>
      <c r="M18" s="141">
        <f t="shared" si="0"/>
        <v>130475</v>
      </c>
      <c r="N18" s="141">
        <f t="shared" si="0"/>
        <v>265737</v>
      </c>
      <c r="O18" s="141">
        <f t="shared" si="0"/>
        <v>169218</v>
      </c>
      <c r="P18" s="141">
        <f t="shared" si="0"/>
        <v>183308</v>
      </c>
      <c r="Q18" s="141">
        <f t="shared" si="0"/>
        <v>154934</v>
      </c>
      <c r="R18" s="141">
        <f t="shared" si="0"/>
        <v>210540</v>
      </c>
      <c r="S18" s="141">
        <f t="shared" si="0"/>
        <v>195615</v>
      </c>
      <c r="T18" s="141">
        <f t="shared" si="0"/>
        <v>287973</v>
      </c>
      <c r="U18" s="141">
        <f t="shared" si="0"/>
        <v>364501</v>
      </c>
      <c r="V18" s="141">
        <f t="shared" si="0"/>
        <v>365821</v>
      </c>
      <c r="W18" s="141">
        <f t="shared" si="0"/>
        <v>322607</v>
      </c>
      <c r="X18" s="141">
        <f t="shared" si="0"/>
        <v>392318</v>
      </c>
      <c r="Y18" s="141">
        <f t="shared" si="0"/>
        <v>470922</v>
      </c>
      <c r="Z18" s="141">
        <f t="shared" si="0"/>
        <v>550936</v>
      </c>
      <c r="AA18" s="141">
        <f t="shared" si="0"/>
        <v>306640</v>
      </c>
      <c r="AB18" s="141">
        <f t="shared" si="0"/>
        <v>321909</v>
      </c>
      <c r="AC18" s="141">
        <f t="shared" si="0"/>
        <v>393587</v>
      </c>
      <c r="AD18" s="141">
        <f t="shared" si="0"/>
        <v>359942</v>
      </c>
      <c r="AE18" s="141">
        <f t="shared" si="0"/>
        <v>306337</v>
      </c>
      <c r="AF18" s="141">
        <f t="shared" si="0"/>
        <v>357508</v>
      </c>
      <c r="AG18" s="141">
        <f t="shared" si="0"/>
        <v>442007</v>
      </c>
      <c r="AH18" s="141">
        <f t="shared" si="0"/>
        <v>500702</v>
      </c>
      <c r="AI18" s="141">
        <f t="shared" si="0"/>
        <v>347140</v>
      </c>
      <c r="AJ18" s="141">
        <f t="shared" si="0"/>
        <v>490163</v>
      </c>
      <c r="AK18" s="141">
        <f t="shared" si="0"/>
        <v>506350</v>
      </c>
      <c r="AL18" s="141">
        <f>SUM(AL6:AL11)</f>
        <v>488183</v>
      </c>
      <c r="AM18" s="141">
        <f t="shared" ref="AM18:AT18" si="1">SUM(AM6:AM11)</f>
        <v>477797</v>
      </c>
      <c r="AN18" s="141">
        <f t="shared" si="1"/>
        <v>492495</v>
      </c>
      <c r="AO18" s="141">
        <f t="shared" si="1"/>
        <v>592296</v>
      </c>
      <c r="AP18" s="141">
        <f t="shared" si="1"/>
        <v>650739</v>
      </c>
      <c r="AQ18" s="141">
        <f t="shared" si="1"/>
        <v>479642</v>
      </c>
      <c r="AR18" s="141">
        <f t="shared" si="1"/>
        <v>622767</v>
      </c>
      <c r="AS18" s="141">
        <f t="shared" si="1"/>
        <v>622949</v>
      </c>
      <c r="AT18" s="141">
        <f t="shared" si="1"/>
        <v>585241</v>
      </c>
      <c r="AU18" s="141">
        <f>SUM(AU6:AU11)</f>
        <v>556870</v>
      </c>
      <c r="AV18" s="141">
        <f t="shared" ref="AV18:DG18" si="2">SUM(AV6:AV11)</f>
        <v>542745</v>
      </c>
      <c r="AW18" s="141">
        <f t="shared" si="2"/>
        <v>563846</v>
      </c>
      <c r="AX18" s="141">
        <f t="shared" si="2"/>
        <v>540852</v>
      </c>
      <c r="AY18" s="141">
        <f t="shared" si="2"/>
        <v>493424</v>
      </c>
      <c r="AZ18" s="141">
        <f t="shared" si="2"/>
        <v>468031</v>
      </c>
      <c r="BA18" s="141">
        <f t="shared" si="2"/>
        <v>497047</v>
      </c>
      <c r="BB18" s="141">
        <f t="shared" si="2"/>
        <v>511698</v>
      </c>
      <c r="BC18" s="141">
        <f t="shared" si="2"/>
        <v>460829</v>
      </c>
      <c r="BD18" s="141">
        <f t="shared" si="2"/>
        <v>440431</v>
      </c>
      <c r="BE18" s="141">
        <f t="shared" si="2"/>
        <v>441762</v>
      </c>
      <c r="BF18" s="142">
        <f t="shared" si="2"/>
        <v>444027.40749022854</v>
      </c>
      <c r="BG18" s="142">
        <f t="shared" si="2"/>
        <v>616977.6064501605</v>
      </c>
      <c r="BH18" s="142">
        <f t="shared" si="2"/>
        <v>408381.54838525853</v>
      </c>
      <c r="BI18" s="142">
        <f t="shared" si="2"/>
        <v>433758.45019365835</v>
      </c>
      <c r="BJ18" s="142">
        <f t="shared" si="2"/>
        <v>465700.78094447969</v>
      </c>
      <c r="BK18" s="142">
        <f t="shared" si="2"/>
        <v>492523.15383758803</v>
      </c>
      <c r="BL18" s="142">
        <f t="shared" si="2"/>
        <v>429935.03683219128</v>
      </c>
      <c r="BM18" s="142">
        <f t="shared" si="2"/>
        <v>464129.06620677025</v>
      </c>
      <c r="BN18" s="142">
        <f t="shared" si="2"/>
        <v>542174.17008542188</v>
      </c>
      <c r="BO18" s="142">
        <f t="shared" si="2"/>
        <v>517413.09079795878</v>
      </c>
      <c r="BP18" s="142">
        <f t="shared" si="2"/>
        <v>410229.31329532259</v>
      </c>
      <c r="BQ18" s="142">
        <f t="shared" si="2"/>
        <v>446402.53506377386</v>
      </c>
      <c r="BR18" s="142">
        <f t="shared" si="2"/>
        <v>559437.07663379458</v>
      </c>
      <c r="BS18" s="142">
        <f t="shared" si="2"/>
        <v>557759.19872612844</v>
      </c>
      <c r="BT18" s="142">
        <f t="shared" si="2"/>
        <v>232899.91723326858</v>
      </c>
      <c r="BU18" s="142">
        <f t="shared" si="2"/>
        <v>275097.59931314923</v>
      </c>
      <c r="BV18" s="142">
        <f t="shared" si="2"/>
        <v>612948.92919930641</v>
      </c>
      <c r="BW18" s="142">
        <f t="shared" si="2"/>
        <v>559991.91263436608</v>
      </c>
      <c r="BX18" s="142">
        <f t="shared" si="2"/>
        <v>340505.02429245325</v>
      </c>
      <c r="BY18" s="142">
        <f t="shared" si="2"/>
        <v>377152.78179369197</v>
      </c>
      <c r="BZ18" s="142">
        <f t="shared" si="2"/>
        <v>548932.29752917041</v>
      </c>
      <c r="CA18" s="142">
        <f t="shared" si="2"/>
        <v>501962.48967738077</v>
      </c>
      <c r="CB18" s="142">
        <f t="shared" si="2"/>
        <v>358332.10741436953</v>
      </c>
      <c r="CC18" s="142">
        <f t="shared" si="2"/>
        <v>394980.41595675953</v>
      </c>
      <c r="CD18" s="142">
        <f t="shared" si="2"/>
        <v>639399.35921508796</v>
      </c>
      <c r="CE18" s="142">
        <f t="shared" si="2"/>
        <v>487810.45628108323</v>
      </c>
      <c r="CF18" s="142">
        <f t="shared" si="2"/>
        <v>384836.13022637519</v>
      </c>
      <c r="CG18" s="142">
        <f t="shared" si="2"/>
        <v>394972.26000530733</v>
      </c>
      <c r="CH18" s="142">
        <f t="shared" si="2"/>
        <v>615203.64493957907</v>
      </c>
      <c r="CI18" s="142">
        <f t="shared" si="2"/>
        <v>500301.80365324649</v>
      </c>
      <c r="CJ18" s="142">
        <f t="shared" si="2"/>
        <v>399362.61514068331</v>
      </c>
      <c r="CK18" s="142">
        <f t="shared" si="2"/>
        <v>434980.65795110352</v>
      </c>
      <c r="CL18" s="142">
        <f t="shared" si="2"/>
        <v>580988.42783286469</v>
      </c>
      <c r="CM18" s="142">
        <f t="shared" si="2"/>
        <v>519883.04350248736</v>
      </c>
      <c r="CN18" s="142">
        <f t="shared" si="2"/>
        <v>351263.57526140666</v>
      </c>
      <c r="CO18" s="142">
        <f t="shared" si="2"/>
        <v>423319.54411937238</v>
      </c>
      <c r="CP18" s="142">
        <f t="shared" si="2"/>
        <v>611282.1157012732</v>
      </c>
      <c r="CQ18" s="142">
        <f t="shared" si="2"/>
        <v>530497.48100941896</v>
      </c>
      <c r="CR18" s="142">
        <f t="shared" si="2"/>
        <v>339763.85060311481</v>
      </c>
      <c r="CS18" s="142">
        <f t="shared" si="2"/>
        <v>409550.83127495856</v>
      </c>
      <c r="CT18" s="142">
        <f t="shared" si="2"/>
        <v>617157.10737723473</v>
      </c>
      <c r="CU18" s="142">
        <f t="shared" si="2"/>
        <v>533703.11008609552</v>
      </c>
      <c r="CV18" s="142">
        <f t="shared" si="2"/>
        <v>313431.03537227307</v>
      </c>
      <c r="CW18" s="142">
        <f t="shared" si="2"/>
        <v>380933.91394447198</v>
      </c>
      <c r="CX18" s="142">
        <f t="shared" si="2"/>
        <v>625480.85217473016</v>
      </c>
      <c r="CY18" s="142">
        <f t="shared" si="2"/>
        <v>573503.05679055047</v>
      </c>
      <c r="CZ18" s="142">
        <f t="shared" si="2"/>
        <v>209968.82757693954</v>
      </c>
      <c r="DA18" s="142">
        <f t="shared" si="2"/>
        <v>354440.2625750163</v>
      </c>
      <c r="DB18" s="142">
        <f t="shared" si="2"/>
        <v>633609.99326968391</v>
      </c>
      <c r="DC18" s="142">
        <f t="shared" si="2"/>
        <v>632601.90730653098</v>
      </c>
      <c r="DD18" s="142">
        <f t="shared" si="2"/>
        <v>100022.43029337394</v>
      </c>
      <c r="DE18" s="142">
        <f t="shared" si="2"/>
        <v>322076.66677427565</v>
      </c>
      <c r="DF18" s="142">
        <f t="shared" si="2"/>
        <v>647052.80961124832</v>
      </c>
      <c r="DG18" s="142">
        <f t="shared" si="2"/>
        <v>649024.27382943581</v>
      </c>
      <c r="DH18" s="142">
        <f t="shared" ref="DH18:DZ18" si="3">SUM(DH6:DH11)</f>
        <v>87166.264425869856</v>
      </c>
      <c r="DI18" s="142">
        <f t="shared" si="3"/>
        <v>329599.65339211666</v>
      </c>
      <c r="DJ18" s="142">
        <f t="shared" si="3"/>
        <v>656309.80512376968</v>
      </c>
      <c r="DK18" s="142">
        <f t="shared" si="3"/>
        <v>694510.37442767643</v>
      </c>
      <c r="DL18" s="142">
        <f t="shared" si="3"/>
        <v>7143.9415148294001</v>
      </c>
      <c r="DM18" s="142">
        <f t="shared" si="3"/>
        <v>361556.55438684201</v>
      </c>
      <c r="DN18" s="142">
        <f t="shared" si="3"/>
        <v>747244.73879000579</v>
      </c>
      <c r="DO18" s="142">
        <f t="shared" si="3"/>
        <v>782396.75651848339</v>
      </c>
      <c r="DP18" s="142">
        <f t="shared" si="3"/>
        <v>-2057.2203857933919</v>
      </c>
      <c r="DQ18" s="142">
        <f t="shared" si="3"/>
        <v>299145.30631215085</v>
      </c>
      <c r="DR18" s="142">
        <f t="shared" si="3"/>
        <v>692764.89352712943</v>
      </c>
      <c r="DS18" s="142">
        <f t="shared" si="3"/>
        <v>793093.74264173</v>
      </c>
      <c r="DT18" s="142">
        <f t="shared" si="3"/>
        <v>737037.52211583965</v>
      </c>
      <c r="DU18" s="142">
        <f t="shared" si="3"/>
        <v>725926.84357387724</v>
      </c>
      <c r="DV18" s="142">
        <f t="shared" si="3"/>
        <v>718749.7837281453</v>
      </c>
      <c r="DW18" s="142">
        <f t="shared" si="3"/>
        <v>719743.21113945264</v>
      </c>
      <c r="DX18" s="142">
        <f t="shared" si="3"/>
        <v>721039.16429600946</v>
      </c>
      <c r="DY18" s="142">
        <f t="shared" si="3"/>
        <v>723104.00274867727</v>
      </c>
      <c r="DZ18" s="142">
        <f t="shared" si="3"/>
        <v>725511.88299122383</v>
      </c>
    </row>
    <row r="19" spans="1:130" x14ac:dyDescent="0.25">
      <c r="A19" s="39" t="s">
        <v>253</v>
      </c>
      <c r="B19" s="76"/>
      <c r="C19" s="141">
        <f t="shared" ref="C19:BN19" si="4">SUM(C12:C17)</f>
        <v>3070</v>
      </c>
      <c r="D19" s="141">
        <f t="shared" si="4"/>
        <v>3368</v>
      </c>
      <c r="E19" s="141">
        <f t="shared" si="4"/>
        <v>4362</v>
      </c>
      <c r="F19" s="141">
        <f t="shared" si="4"/>
        <v>6220</v>
      </c>
      <c r="G19" s="141">
        <f t="shared" si="4"/>
        <v>6701</v>
      </c>
      <c r="H19" s="141">
        <f t="shared" si="4"/>
        <v>6804</v>
      </c>
      <c r="I19" s="141">
        <f t="shared" si="4"/>
        <v>7938</v>
      </c>
      <c r="J19" s="141">
        <f t="shared" si="4"/>
        <v>51216</v>
      </c>
      <c r="K19" s="141">
        <f t="shared" si="4"/>
        <v>64445</v>
      </c>
      <c r="L19" s="141">
        <f t="shared" si="4"/>
        <v>178293</v>
      </c>
      <c r="M19" s="141">
        <f t="shared" si="4"/>
        <v>288998</v>
      </c>
      <c r="N19" s="141">
        <f t="shared" si="4"/>
        <v>258193</v>
      </c>
      <c r="O19" s="141">
        <f t="shared" si="4"/>
        <v>192407</v>
      </c>
      <c r="P19" s="141">
        <f t="shared" si="4"/>
        <v>211004</v>
      </c>
      <c r="Q19" s="141">
        <f t="shared" si="4"/>
        <v>260522</v>
      </c>
      <c r="R19" s="141">
        <f t="shared" si="4"/>
        <v>181046</v>
      </c>
      <c r="S19" s="141">
        <f t="shared" si="4"/>
        <v>204352</v>
      </c>
      <c r="T19" s="141">
        <f t="shared" si="4"/>
        <v>240167</v>
      </c>
      <c r="U19" s="141">
        <f t="shared" si="4"/>
        <v>298591</v>
      </c>
      <c r="V19" s="141">
        <f t="shared" si="4"/>
        <v>295061</v>
      </c>
      <c r="W19" s="141">
        <f t="shared" si="4"/>
        <v>274568</v>
      </c>
      <c r="X19" s="141">
        <f t="shared" si="4"/>
        <v>670559</v>
      </c>
      <c r="Y19" s="141">
        <f t="shared" si="4"/>
        <v>577586</v>
      </c>
      <c r="Z19" s="141">
        <f t="shared" si="4"/>
        <v>718504</v>
      </c>
      <c r="AA19" s="141">
        <f t="shared" si="4"/>
        <v>610652</v>
      </c>
      <c r="AB19" s="141">
        <f t="shared" si="4"/>
        <v>835625</v>
      </c>
      <c r="AC19" s="141">
        <f t="shared" si="4"/>
        <v>844159</v>
      </c>
      <c r="AD19" s="141">
        <f t="shared" si="4"/>
        <v>676294</v>
      </c>
      <c r="AE19" s="141">
        <f t="shared" si="4"/>
        <v>822711</v>
      </c>
      <c r="AF19" s="141">
        <f t="shared" si="4"/>
        <v>904125</v>
      </c>
      <c r="AG19" s="141">
        <f t="shared" si="4"/>
        <v>684773</v>
      </c>
      <c r="AH19" s="141">
        <f t="shared" si="4"/>
        <v>1073782</v>
      </c>
      <c r="AI19" s="141">
        <f t="shared" si="4"/>
        <v>1195556</v>
      </c>
      <c r="AJ19" s="141">
        <f t="shared" si="4"/>
        <v>1245746</v>
      </c>
      <c r="AK19" s="141">
        <f t="shared" si="4"/>
        <v>1056305</v>
      </c>
      <c r="AL19" s="141">
        <f t="shared" si="4"/>
        <v>1282920</v>
      </c>
      <c r="AM19" s="141">
        <f t="shared" si="4"/>
        <v>1033279</v>
      </c>
      <c r="AN19" s="141">
        <f t="shared" si="4"/>
        <v>1141074</v>
      </c>
      <c r="AO19" s="141">
        <f t="shared" si="4"/>
        <v>1104970</v>
      </c>
      <c r="AP19" s="141">
        <f t="shared" si="4"/>
        <v>1291977</v>
      </c>
      <c r="AQ19" s="141">
        <f t="shared" si="4"/>
        <v>1432647</v>
      </c>
      <c r="AR19" s="141">
        <f t="shared" si="4"/>
        <v>1503734</v>
      </c>
      <c r="AS19" s="141">
        <f t="shared" si="4"/>
        <v>1724236</v>
      </c>
      <c r="AT19" s="141">
        <f t="shared" si="4"/>
        <v>1895846</v>
      </c>
      <c r="AU19" s="141">
        <f t="shared" si="4"/>
        <v>2276629</v>
      </c>
      <c r="AV19" s="141">
        <f t="shared" si="4"/>
        <v>2465684</v>
      </c>
      <c r="AW19" s="141">
        <f t="shared" si="4"/>
        <v>2393314</v>
      </c>
      <c r="AX19" s="141">
        <f t="shared" si="4"/>
        <v>2563278</v>
      </c>
      <c r="AY19" s="141">
        <f t="shared" si="4"/>
        <v>2504078</v>
      </c>
      <c r="AZ19" s="141">
        <f t="shared" si="4"/>
        <v>2847161</v>
      </c>
      <c r="BA19" s="141">
        <f t="shared" si="4"/>
        <v>3182501</v>
      </c>
      <c r="BB19" s="141">
        <f t="shared" si="4"/>
        <v>3395112</v>
      </c>
      <c r="BC19" s="141">
        <f t="shared" si="4"/>
        <v>3149540</v>
      </c>
      <c r="BD19" s="141">
        <f t="shared" si="4"/>
        <v>3492934</v>
      </c>
      <c r="BE19" s="141">
        <f t="shared" si="4"/>
        <v>3875405</v>
      </c>
      <c r="BF19" s="142">
        <f t="shared" si="4"/>
        <v>3582075.0649503469</v>
      </c>
      <c r="BG19" s="142">
        <f t="shared" si="4"/>
        <v>3306831.3281113207</v>
      </c>
      <c r="BH19" s="142">
        <f t="shared" si="4"/>
        <v>3112901.7436046046</v>
      </c>
      <c r="BI19" s="142">
        <f t="shared" si="4"/>
        <v>3740211.3045879207</v>
      </c>
      <c r="BJ19" s="142">
        <f t="shared" si="4"/>
        <v>3469047.2230354929</v>
      </c>
      <c r="BK19" s="142">
        <f t="shared" si="4"/>
        <v>3211699.0239025662</v>
      </c>
      <c r="BL19" s="142">
        <f t="shared" si="4"/>
        <v>3337051.7121452093</v>
      </c>
      <c r="BM19" s="142">
        <f t="shared" si="4"/>
        <v>3403837.8424367225</v>
      </c>
      <c r="BN19" s="142">
        <f t="shared" si="4"/>
        <v>3860152.5664215065</v>
      </c>
      <c r="BO19" s="142">
        <f t="shared" ref="BO19:DZ19" si="5">SUM(BO12:BO17)</f>
        <v>3288243.5996635081</v>
      </c>
      <c r="BP19" s="142">
        <f t="shared" si="5"/>
        <v>3587136.9911802188</v>
      </c>
      <c r="BQ19" s="142">
        <f t="shared" si="5"/>
        <v>3653344.7530745133</v>
      </c>
      <c r="BR19" s="142">
        <f t="shared" si="5"/>
        <v>4174063.2576459846</v>
      </c>
      <c r="BS19" s="142">
        <f t="shared" si="5"/>
        <v>3199019.4374355087</v>
      </c>
      <c r="BT19" s="142">
        <f t="shared" si="5"/>
        <v>3453777.5227471157</v>
      </c>
      <c r="BU19" s="142">
        <f t="shared" si="5"/>
        <v>3612217.374098822</v>
      </c>
      <c r="BV19" s="142">
        <f t="shared" si="5"/>
        <v>3938568.7764734896</v>
      </c>
      <c r="BW19" s="142">
        <f t="shared" si="5"/>
        <v>3438750.4708036501</v>
      </c>
      <c r="BX19" s="142">
        <f t="shared" si="5"/>
        <v>3621125.7970538009</v>
      </c>
      <c r="BY19" s="142">
        <f t="shared" si="5"/>
        <v>3723312.0545859011</v>
      </c>
      <c r="BZ19" s="142">
        <f t="shared" si="5"/>
        <v>3997059.1245869729</v>
      </c>
      <c r="CA19" s="142">
        <f t="shared" si="5"/>
        <v>3583965.2294968665</v>
      </c>
      <c r="CB19" s="142">
        <f t="shared" si="5"/>
        <v>3758956.6250647763</v>
      </c>
      <c r="CC19" s="142">
        <f t="shared" si="5"/>
        <v>3819257.8248261278</v>
      </c>
      <c r="CD19" s="142">
        <f t="shared" si="5"/>
        <v>4253887.3023627065</v>
      </c>
      <c r="CE19" s="142">
        <f t="shared" si="5"/>
        <v>3745253.9357399289</v>
      </c>
      <c r="CF19" s="142">
        <f t="shared" si="5"/>
        <v>3981732.9147143578</v>
      </c>
      <c r="CG19" s="142">
        <f t="shared" si="5"/>
        <v>3851135.7140967343</v>
      </c>
      <c r="CH19" s="142">
        <f t="shared" si="5"/>
        <v>4530548.210517033</v>
      </c>
      <c r="CI19" s="142">
        <f t="shared" si="5"/>
        <v>4127819.3443835853</v>
      </c>
      <c r="CJ19" s="142">
        <f t="shared" si="5"/>
        <v>4441457.0151949907</v>
      </c>
      <c r="CK19" s="142">
        <f t="shared" si="5"/>
        <v>3731118.4025659007</v>
      </c>
      <c r="CL19" s="142">
        <f t="shared" si="5"/>
        <v>5175371.7262138175</v>
      </c>
      <c r="CM19" s="142">
        <f t="shared" si="5"/>
        <v>4192699.4018872166</v>
      </c>
      <c r="CN19" s="142">
        <f t="shared" si="5"/>
        <v>4517202.073641194</v>
      </c>
      <c r="CO19" s="142">
        <f t="shared" si="5"/>
        <v>3841830.4573227242</v>
      </c>
      <c r="CP19" s="142">
        <f t="shared" si="5"/>
        <v>5269093.1676555872</v>
      </c>
      <c r="CQ19" s="142">
        <f t="shared" si="5"/>
        <v>4206269.4188328218</v>
      </c>
      <c r="CR19" s="142">
        <f t="shared" si="5"/>
        <v>4517751.0363550568</v>
      </c>
      <c r="CS19" s="142">
        <f t="shared" si="5"/>
        <v>3935077.1899513183</v>
      </c>
      <c r="CT19" s="142">
        <f t="shared" si="5"/>
        <v>5238839.6914731665</v>
      </c>
      <c r="CU19" s="142">
        <f t="shared" si="5"/>
        <v>4480413.7170988489</v>
      </c>
      <c r="CV19" s="142">
        <f t="shared" si="5"/>
        <v>4859580.5115984902</v>
      </c>
      <c r="CW19" s="142">
        <f t="shared" si="5"/>
        <v>3942164.5073555959</v>
      </c>
      <c r="CX19" s="142">
        <f t="shared" si="5"/>
        <v>5620248.2186899055</v>
      </c>
      <c r="CY19" s="142">
        <f t="shared" si="5"/>
        <v>4673599.481060572</v>
      </c>
      <c r="CZ19" s="142">
        <f t="shared" si="5"/>
        <v>5066640.1624329332</v>
      </c>
      <c r="DA19" s="142">
        <f t="shared" si="5"/>
        <v>3956312.6686567366</v>
      </c>
      <c r="DB19" s="142">
        <f t="shared" si="5"/>
        <v>5907031.2820292749</v>
      </c>
      <c r="DC19" s="142">
        <f t="shared" si="5"/>
        <v>5051484.4098173743</v>
      </c>
      <c r="DD19" s="142">
        <f t="shared" si="5"/>
        <v>5512342.1972700236</v>
      </c>
      <c r="DE19" s="142">
        <f t="shared" si="5"/>
        <v>3885303.1931053014</v>
      </c>
      <c r="DF19" s="142">
        <f t="shared" si="5"/>
        <v>6514720.8639237713</v>
      </c>
      <c r="DG19" s="142">
        <f t="shared" si="5"/>
        <v>5403922.5781246033</v>
      </c>
      <c r="DH19" s="142">
        <f t="shared" si="5"/>
        <v>5932436.2967290012</v>
      </c>
      <c r="DI19" s="142">
        <f t="shared" si="5"/>
        <v>3816671.9668069752</v>
      </c>
      <c r="DJ19" s="142">
        <f t="shared" si="5"/>
        <v>7099902.0348422686</v>
      </c>
      <c r="DK19" s="142">
        <f t="shared" si="5"/>
        <v>5492085.937470749</v>
      </c>
      <c r="DL19" s="142">
        <f t="shared" si="5"/>
        <v>6034249.1879269229</v>
      </c>
      <c r="DM19" s="142">
        <f t="shared" si="5"/>
        <v>3877567.3970184214</v>
      </c>
      <c r="DN19" s="142">
        <f t="shared" si="5"/>
        <v>7201984.8544292785</v>
      </c>
      <c r="DO19" s="142">
        <f t="shared" si="5"/>
        <v>5195898.0114999041</v>
      </c>
      <c r="DP19" s="142">
        <f t="shared" si="5"/>
        <v>5655267.2231457531</v>
      </c>
      <c r="DQ19" s="142">
        <f t="shared" si="5"/>
        <v>4110083.582181456</v>
      </c>
      <c r="DR19" s="142">
        <f t="shared" si="5"/>
        <v>6642352.8850186262</v>
      </c>
      <c r="DS19" s="142">
        <f t="shared" si="5"/>
        <v>6763067.7544638701</v>
      </c>
      <c r="DT19" s="142">
        <f t="shared" si="5"/>
        <v>6784833.7832803372</v>
      </c>
      <c r="DU19" s="142">
        <f t="shared" si="5"/>
        <v>6775795.3135140277</v>
      </c>
      <c r="DV19" s="142">
        <f t="shared" si="5"/>
        <v>6744927.3105114698</v>
      </c>
      <c r="DW19" s="142">
        <f t="shared" si="5"/>
        <v>6861153.6447157506</v>
      </c>
      <c r="DX19" s="142">
        <f t="shared" si="5"/>
        <v>6878145.1155444216</v>
      </c>
      <c r="DY19" s="142">
        <f t="shared" si="5"/>
        <v>6863857.0876026694</v>
      </c>
      <c r="DZ19" s="142">
        <f t="shared" si="5"/>
        <v>6830715.6902519632</v>
      </c>
    </row>
    <row r="20" spans="1:130" x14ac:dyDescent="0.25">
      <c r="A20" s="39" t="s">
        <v>254</v>
      </c>
      <c r="B20" s="76"/>
      <c r="C20" s="141">
        <f>'Fuel Vol and Credit Gen'!C56</f>
        <v>12300</v>
      </c>
      <c r="D20" s="141">
        <f>'Fuel Vol and Credit Gen'!D56</f>
        <v>21555</v>
      </c>
      <c r="E20" s="141">
        <f>'Fuel Vol and Credit Gen'!E56</f>
        <v>22424</v>
      </c>
      <c r="F20" s="141">
        <f>'Fuel Vol and Credit Gen'!F56</f>
        <v>27988</v>
      </c>
      <c r="G20" s="141">
        <f>'Fuel Vol and Credit Gen'!G56</f>
        <v>35382</v>
      </c>
      <c r="H20" s="141">
        <f>'Fuel Vol and Credit Gen'!H56</f>
        <v>41919</v>
      </c>
      <c r="I20" s="141">
        <f>'Fuel Vol and Credit Gen'!I56</f>
        <v>34052</v>
      </c>
      <c r="J20" s="141">
        <f>'Fuel Vol and Credit Gen'!J56</f>
        <v>37994</v>
      </c>
      <c r="K20" s="141">
        <f>'Fuel Vol and Credit Gen'!K56</f>
        <v>47386</v>
      </c>
      <c r="L20" s="141">
        <f>'Fuel Vol and Credit Gen'!L56</f>
        <v>123072</v>
      </c>
      <c r="M20" s="141">
        <f>'Fuel Vol and Credit Gen'!M56</f>
        <v>130475</v>
      </c>
      <c r="N20" s="141">
        <f>'Fuel Vol and Credit Gen'!N56</f>
        <v>265737</v>
      </c>
      <c r="O20" s="141">
        <f>'Fuel Vol and Credit Gen'!O56</f>
        <v>169218</v>
      </c>
      <c r="P20" s="141">
        <f>'Fuel Vol and Credit Gen'!P56</f>
        <v>183308</v>
      </c>
      <c r="Q20" s="141">
        <f>'Fuel Vol and Credit Gen'!Q56</f>
        <v>154934</v>
      </c>
      <c r="R20" s="141">
        <f>'Fuel Vol and Credit Gen'!R56</f>
        <v>210540</v>
      </c>
      <c r="S20" s="141">
        <f>'Fuel Vol and Credit Gen'!S56</f>
        <v>195615</v>
      </c>
      <c r="T20" s="141">
        <f>'Fuel Vol and Credit Gen'!T56</f>
        <v>287973</v>
      </c>
      <c r="U20" s="141">
        <f>'Fuel Vol and Credit Gen'!U56</f>
        <v>364501</v>
      </c>
      <c r="V20" s="141">
        <f>'Fuel Vol and Credit Gen'!V56</f>
        <v>365821</v>
      </c>
      <c r="W20" s="141">
        <f>'Fuel Vol and Credit Gen'!W56</f>
        <v>322607</v>
      </c>
      <c r="X20" s="141">
        <f>'Fuel Vol and Credit Gen'!X56</f>
        <v>392318</v>
      </c>
      <c r="Y20" s="141">
        <f>'Fuel Vol and Credit Gen'!Y56</f>
        <v>470922</v>
      </c>
      <c r="Z20" s="141">
        <f>'Fuel Vol and Credit Gen'!Z56</f>
        <v>550936</v>
      </c>
      <c r="AA20" s="141">
        <f>'Fuel Vol and Credit Gen'!AA56</f>
        <v>306640</v>
      </c>
      <c r="AB20" s="141">
        <f>'Fuel Vol and Credit Gen'!AB56</f>
        <v>321909</v>
      </c>
      <c r="AC20" s="141">
        <f>'Fuel Vol and Credit Gen'!AC56</f>
        <v>393587</v>
      </c>
      <c r="AD20" s="141">
        <f>'Fuel Vol and Credit Gen'!AD56</f>
        <v>357603</v>
      </c>
      <c r="AE20" s="141">
        <f>'Fuel Vol and Credit Gen'!AE56</f>
        <v>306337</v>
      </c>
      <c r="AF20" s="141">
        <f>'Fuel Vol and Credit Gen'!AF56</f>
        <v>357508</v>
      </c>
      <c r="AG20" s="141">
        <f>'Fuel Vol and Credit Gen'!AG56</f>
        <v>442007</v>
      </c>
      <c r="AH20" s="141">
        <f>'Fuel Vol and Credit Gen'!AH56</f>
        <v>500702</v>
      </c>
      <c r="AI20" s="141">
        <f>'Fuel Vol and Credit Gen'!AI56</f>
        <v>347140</v>
      </c>
      <c r="AJ20" s="141">
        <f>'Fuel Vol and Credit Gen'!AJ56</f>
        <v>490163</v>
      </c>
      <c r="AK20" s="141">
        <f>'Fuel Vol and Credit Gen'!AK56</f>
        <v>506350</v>
      </c>
      <c r="AL20" s="141">
        <f>'Fuel Vol and Credit Gen'!AL56</f>
        <v>487437</v>
      </c>
      <c r="AM20" s="141">
        <f>'Fuel Vol and Credit Gen'!AM56</f>
        <v>477797</v>
      </c>
      <c r="AN20" s="141">
        <f>'Fuel Vol and Credit Gen'!AN56</f>
        <v>492495</v>
      </c>
      <c r="AO20" s="141">
        <f>'Fuel Vol and Credit Gen'!AO56</f>
        <v>592296</v>
      </c>
      <c r="AP20" s="141">
        <f>'Fuel Vol and Credit Gen'!AP56</f>
        <v>650739</v>
      </c>
      <c r="AQ20" s="141">
        <f>'Fuel Vol and Credit Gen'!AQ56</f>
        <v>479642</v>
      </c>
      <c r="AR20" s="141">
        <f>'Fuel Vol and Credit Gen'!AR56</f>
        <v>622767</v>
      </c>
      <c r="AS20" s="141">
        <f>'Fuel Vol and Credit Gen'!AS56</f>
        <v>622949</v>
      </c>
      <c r="AT20" s="141">
        <f>'Fuel Vol and Credit Gen'!AT56</f>
        <v>585241</v>
      </c>
      <c r="AU20" s="141">
        <f>'Fuel Vol and Credit Gen'!AU56</f>
        <v>565021</v>
      </c>
      <c r="AV20" s="141">
        <f>'Fuel Vol and Credit Gen'!AV56</f>
        <v>533220</v>
      </c>
      <c r="AW20" s="141">
        <f>'Fuel Vol and Credit Gen'!AW56</f>
        <v>563916</v>
      </c>
      <c r="AX20" s="141">
        <f>'Fuel Vol and Credit Gen'!AX56</f>
        <v>542391</v>
      </c>
      <c r="AY20" s="141">
        <f>'Fuel Vol and Credit Gen'!AY56</f>
        <v>493424</v>
      </c>
      <c r="AZ20" s="141">
        <f>'Fuel Vol and Credit Gen'!AZ56</f>
        <v>468031</v>
      </c>
      <c r="BA20" s="141">
        <f>'Fuel Vol and Credit Gen'!BA56</f>
        <v>497047</v>
      </c>
      <c r="BB20" s="141">
        <f>'Fuel Vol and Credit Gen'!BB56</f>
        <v>511698</v>
      </c>
      <c r="BC20" s="141">
        <f>'Fuel Vol and Credit Gen'!BC56</f>
        <v>460829</v>
      </c>
      <c r="BD20" s="141">
        <f>'Fuel Vol and Credit Gen'!BD56</f>
        <v>440431</v>
      </c>
      <c r="BE20" s="141">
        <f>'Fuel Vol and Credit Gen'!BE56</f>
        <v>441762</v>
      </c>
      <c r="BF20" s="142">
        <f>'Fuel Vol and Credit Gen'!BF56</f>
        <v>443691.89065316104</v>
      </c>
      <c r="BG20" s="142">
        <f>'Fuel Vol and Credit Gen'!BG56</f>
        <v>612296.88153465348</v>
      </c>
      <c r="BH20" s="142">
        <f>'Fuel Vol and Credit Gen'!BH56</f>
        <v>408217.63764407922</v>
      </c>
      <c r="BI20" s="142">
        <f>'Fuel Vol and Credit Gen'!BI56</f>
        <v>433615.74335353065</v>
      </c>
      <c r="BJ20" s="142">
        <f>'Fuel Vol and Credit Gen'!BJ56</f>
        <v>465516.42175417609</v>
      </c>
      <c r="BK20" s="142">
        <f>'Fuel Vol and Credit Gen'!BK56</f>
        <v>492305.33007494558</v>
      </c>
      <c r="BL20" s="142">
        <f>'Fuel Vol and Credit Gen'!BL56</f>
        <v>429771.8301059872</v>
      </c>
      <c r="BM20" s="142">
        <f>'Fuel Vol and Credit Gen'!BM56</f>
        <v>463938.71811127948</v>
      </c>
      <c r="BN20" s="142">
        <f>'Fuel Vol and Credit Gen'!BN56</f>
        <v>541850.26966672996</v>
      </c>
      <c r="BO20" s="142">
        <f>'Fuel Vol and Credit Gen'!BO56</f>
        <v>517096.27564883977</v>
      </c>
      <c r="BP20" s="142">
        <f>'Fuel Vol and Credit Gen'!BP56</f>
        <v>410217.65285773267</v>
      </c>
      <c r="BQ20" s="142">
        <f>'Fuel Vol and Credit Gen'!BQ56</f>
        <v>446282.43154530844</v>
      </c>
      <c r="BR20" s="142">
        <f>'Fuel Vol and Credit Gen'!BR56</f>
        <v>557535.36443050229</v>
      </c>
      <c r="BS20" s="142">
        <f>'Fuel Vol and Credit Gen'!BS56</f>
        <v>541851.28925182042</v>
      </c>
      <c r="BT20" s="142">
        <f>'Fuel Vol and Credit Gen'!BT56</f>
        <v>238373.14918089932</v>
      </c>
      <c r="BU20" s="142">
        <f>'Fuel Vol and Credit Gen'!BU56</f>
        <v>279798.35308109014</v>
      </c>
      <c r="BV20" s="142">
        <f>'Fuel Vol and Credit Gen'!BV56</f>
        <v>607852.89258380746</v>
      </c>
      <c r="BW20" s="142">
        <f>'Fuel Vol and Credit Gen'!BW56</f>
        <v>507838.73722739721</v>
      </c>
      <c r="BX20" s="142">
        <f>'Fuel Vol and Credit Gen'!BX56</f>
        <v>342529.87073927565</v>
      </c>
      <c r="BY20" s="142">
        <f>'Fuel Vol and Credit Gen'!BY56</f>
        <v>377567.45681102976</v>
      </c>
      <c r="BZ20" s="142">
        <f>'Fuel Vol and Credit Gen'!BZ56</f>
        <v>541898.37603260856</v>
      </c>
      <c r="CA20" s="142">
        <f>'Fuel Vol and Credit Gen'!CA56</f>
        <v>496827.6642972994</v>
      </c>
      <c r="CB20" s="142">
        <f>'Fuel Vol and Credit Gen'!CB56</f>
        <v>359135.28545339656</v>
      </c>
      <c r="CC20" s="142">
        <f>'Fuel Vol and Credit Gen'!CC56</f>
        <v>394117.65570139769</v>
      </c>
      <c r="CD20" s="142">
        <f>'Fuel Vol and Credit Gen'!CD56</f>
        <v>627139.71736826305</v>
      </c>
      <c r="CE20" s="142">
        <f>'Fuel Vol and Credit Gen'!CE56</f>
        <v>482580.08386245655</v>
      </c>
      <c r="CF20" s="142">
        <f>'Fuel Vol and Credit Gen'!CF56</f>
        <v>384243.16989100509</v>
      </c>
      <c r="CG20" s="142">
        <f>'Fuel Vol and Credit Gen'!CG56</f>
        <v>393735.04380821058</v>
      </c>
      <c r="CH20" s="142">
        <f>'Fuel Vol and Credit Gen'!CH56</f>
        <v>603367.96969878138</v>
      </c>
      <c r="CI20" s="142">
        <f>'Fuel Vol and Credit Gen'!CI56</f>
        <v>493775.96481071162</v>
      </c>
      <c r="CJ20" s="142">
        <f>'Fuel Vol and Credit Gen'!CJ56</f>
        <v>397363.83344457281</v>
      </c>
      <c r="CK20" s="142">
        <f>'Fuel Vol and Credit Gen'!CK56</f>
        <v>431002.0106357669</v>
      </c>
      <c r="CL20" s="142">
        <f>'Fuel Vol and Credit Gen'!CL56</f>
        <v>569103.17024760204</v>
      </c>
      <c r="CM20" s="142">
        <f>'Fuel Vol and Credit Gen'!CM56</f>
        <v>511073.01517178671</v>
      </c>
      <c r="CN20" s="142">
        <f>'Fuel Vol and Credit Gen'!CN56</f>
        <v>350878.74015838274</v>
      </c>
      <c r="CO20" s="142">
        <f>'Fuel Vol and Credit Gen'!CO56</f>
        <v>418958.15898775443</v>
      </c>
      <c r="CP20" s="142">
        <f>'Fuel Vol and Credit Gen'!CP56</f>
        <v>597038.04863614577</v>
      </c>
      <c r="CQ20" s="142">
        <f>'Fuel Vol and Credit Gen'!CQ56</f>
        <v>520555.24305875151</v>
      </c>
      <c r="CR20" s="142">
        <f>'Fuel Vol and Credit Gen'!CR56</f>
        <v>339915.33655120071</v>
      </c>
      <c r="CS20" s="142">
        <f>'Fuel Vol and Credit Gen'!CS56</f>
        <v>406015.97751780821</v>
      </c>
      <c r="CT20" s="142">
        <f>'Fuel Vol and Credit Gen'!CT56</f>
        <v>604657.12668207847</v>
      </c>
      <c r="CU20" s="142">
        <f>'Fuel Vol and Credit Gen'!CU56</f>
        <v>525295.60292912531</v>
      </c>
      <c r="CV20" s="142">
        <f>'Fuel Vol and Credit Gen'!CV56</f>
        <v>315539.30066353851</v>
      </c>
      <c r="CW20" s="142">
        <f>'Fuel Vol and Credit Gen'!CW56</f>
        <v>379788.05753203505</v>
      </c>
      <c r="CX20" s="142">
        <f>'Fuel Vol and Credit Gen'!CX56</f>
        <v>612299.22803161282</v>
      </c>
      <c r="CY20" s="142">
        <f>'Fuel Vol and Credit Gen'!CY56</f>
        <v>562870.3616912982</v>
      </c>
      <c r="CZ20" s="142">
        <f>'Fuel Vol and Credit Gen'!CZ56</f>
        <v>216810.78608764851</v>
      </c>
      <c r="DA20" s="142">
        <f>'Fuel Vol and Credit Gen'!DA56</f>
        <v>354371.38109920733</v>
      </c>
      <c r="DB20" s="142">
        <f>'Fuel Vol and Credit Gen'!DB56</f>
        <v>619747.53459814866</v>
      </c>
      <c r="DC20" s="142">
        <f>'Fuel Vol and Credit Gen'!DC56</f>
        <v>618787.83883823571</v>
      </c>
      <c r="DD20" s="142">
        <f>'Fuel Vol and Credit Gen'!DD56</f>
        <v>112146.58125493531</v>
      </c>
      <c r="DE20" s="142">
        <f>'Fuel Vol and Credit Gen'!DE56</f>
        <v>323387.28883720259</v>
      </c>
      <c r="DF20" s="142">
        <f>'Fuel Vol and Credit Gen'!DF56</f>
        <v>632338.5491589813</v>
      </c>
      <c r="DG20" s="142">
        <f>'Fuel Vol and Credit Gen'!DG56</f>
        <v>634201.41126394796</v>
      </c>
      <c r="DH20" s="142">
        <f>'Fuel Vol and Credit Gen'!DH56</f>
        <v>99940.147705614014</v>
      </c>
      <c r="DI20" s="142">
        <f>'Fuel Vol and Credit Gen'!DI56</f>
        <v>330469.69632562716</v>
      </c>
      <c r="DJ20" s="142">
        <f>'Fuel Vol and Credit Gen'!DJ56</f>
        <v>641177.64340263791</v>
      </c>
      <c r="DK20" s="142">
        <f>'Fuel Vol and Credit Gen'!DK56</f>
        <v>677507.83588648774</v>
      </c>
      <c r="DL20" s="142">
        <f>'Fuel Vol and Credit Gen'!DL56</f>
        <v>23900.229357063799</v>
      </c>
      <c r="DM20" s="142">
        <f>'Fuel Vol and Credit Gen'!DM56</f>
        <v>309209.85821149591</v>
      </c>
      <c r="DN20" s="142">
        <f>'Fuel Vol and Credit Gen'!DN56</f>
        <v>655856.5561719602</v>
      </c>
      <c r="DO20" s="142">
        <f>'Fuel Vol and Credit Gen'!DO56</f>
        <v>752533.31751275365</v>
      </c>
      <c r="DP20" s="142">
        <f>'Fuel Vol and Credit Gen'!DP56</f>
        <v>0</v>
      </c>
      <c r="DQ20" s="142">
        <f>'Fuel Vol and Credit Gen'!DQ56</f>
        <v>283120.72981702792</v>
      </c>
      <c r="DR20" s="142">
        <f>'Fuel Vol and Credit Gen'!DR56</f>
        <v>667174.93794898014</v>
      </c>
      <c r="DS20" s="142">
        <f>'Fuel Vol and Credit Gen'!DS56</f>
        <v>667322.10550639988</v>
      </c>
      <c r="DT20" s="142">
        <f>'Fuel Vol and Credit Gen'!DT56</f>
        <v>667452.46394227631</v>
      </c>
      <c r="DU20" s="142">
        <f>'Fuel Vol and Credit Gen'!DU56</f>
        <v>667152.83566134283</v>
      </c>
      <c r="DV20" s="142">
        <f>'Fuel Vol and Credit Gen'!DV56</f>
        <v>667110.92929825431</v>
      </c>
      <c r="DW20" s="142">
        <f>'Fuel Vol and Credit Gen'!DW56</f>
        <v>667278.91516287683</v>
      </c>
      <c r="DX20" s="142">
        <f>'Fuel Vol and Credit Gen'!DX56</f>
        <v>667441.85073455749</v>
      </c>
      <c r="DY20" s="142">
        <f>'Fuel Vol and Credit Gen'!DY56</f>
        <v>667213.49927482009</v>
      </c>
      <c r="DZ20" s="142">
        <f>'Fuel Vol and Credit Gen'!DZ56</f>
        <v>667208.89904350997</v>
      </c>
    </row>
    <row r="21" spans="1:130" x14ac:dyDescent="0.25">
      <c r="A21" s="39" t="s">
        <v>255</v>
      </c>
      <c r="B21" s="76"/>
      <c r="C21" s="141">
        <f>'Fuel Vol and Credit Gen'!C57</f>
        <v>3070</v>
      </c>
      <c r="D21" s="141">
        <f>'Fuel Vol and Credit Gen'!D57</f>
        <v>3368</v>
      </c>
      <c r="E21" s="141">
        <f>'Fuel Vol and Credit Gen'!E57</f>
        <v>4362</v>
      </c>
      <c r="F21" s="141">
        <f>'Fuel Vol and Credit Gen'!F57</f>
        <v>6220</v>
      </c>
      <c r="G21" s="141">
        <f>'Fuel Vol and Credit Gen'!G57</f>
        <v>6701</v>
      </c>
      <c r="H21" s="141">
        <f>'Fuel Vol and Credit Gen'!H57</f>
        <v>6804</v>
      </c>
      <c r="I21" s="141">
        <f>'Fuel Vol and Credit Gen'!I57</f>
        <v>7938</v>
      </c>
      <c r="J21" s="141">
        <f>'Fuel Vol and Credit Gen'!J57</f>
        <v>51216</v>
      </c>
      <c r="K21" s="141">
        <f>'Fuel Vol and Credit Gen'!K57</f>
        <v>64445</v>
      </c>
      <c r="L21" s="141">
        <f>'Fuel Vol and Credit Gen'!L57</f>
        <v>178293</v>
      </c>
      <c r="M21" s="141">
        <f>'Fuel Vol and Credit Gen'!M57</f>
        <v>288998</v>
      </c>
      <c r="N21" s="141">
        <f>'Fuel Vol and Credit Gen'!N57</f>
        <v>258193</v>
      </c>
      <c r="O21" s="141">
        <f>'Fuel Vol and Credit Gen'!O57</f>
        <v>192407</v>
      </c>
      <c r="P21" s="141">
        <f>'Fuel Vol and Credit Gen'!P57</f>
        <v>211004</v>
      </c>
      <c r="Q21" s="141">
        <f>'Fuel Vol and Credit Gen'!Q57</f>
        <v>260522</v>
      </c>
      <c r="R21" s="141">
        <f>'Fuel Vol and Credit Gen'!R57</f>
        <v>181046</v>
      </c>
      <c r="S21" s="141">
        <f>'Fuel Vol and Credit Gen'!S57</f>
        <v>204352</v>
      </c>
      <c r="T21" s="141">
        <f>'Fuel Vol and Credit Gen'!T57</f>
        <v>240167</v>
      </c>
      <c r="U21" s="141">
        <f>'Fuel Vol and Credit Gen'!U57</f>
        <v>298591</v>
      </c>
      <c r="V21" s="141">
        <f>'Fuel Vol and Credit Gen'!V57</f>
        <v>295061</v>
      </c>
      <c r="W21" s="141">
        <f>'Fuel Vol and Credit Gen'!W57</f>
        <v>274568</v>
      </c>
      <c r="X21" s="141">
        <f>'Fuel Vol and Credit Gen'!X57</f>
        <v>670559</v>
      </c>
      <c r="Y21" s="141">
        <f>'Fuel Vol and Credit Gen'!Y57</f>
        <v>577586</v>
      </c>
      <c r="Z21" s="141">
        <f>'Fuel Vol and Credit Gen'!Z57</f>
        <v>718504</v>
      </c>
      <c r="AA21" s="141">
        <f>'Fuel Vol and Credit Gen'!AA57</f>
        <v>610652</v>
      </c>
      <c r="AB21" s="141">
        <f>'Fuel Vol and Credit Gen'!AB57</f>
        <v>835625</v>
      </c>
      <c r="AC21" s="141">
        <f>'Fuel Vol and Credit Gen'!AC57</f>
        <v>844159</v>
      </c>
      <c r="AD21" s="141">
        <f>'Fuel Vol and Credit Gen'!AD57</f>
        <v>676294</v>
      </c>
      <c r="AE21" s="141">
        <f>'Fuel Vol and Credit Gen'!AE57</f>
        <v>822711</v>
      </c>
      <c r="AF21" s="141">
        <f>'Fuel Vol and Credit Gen'!AF57</f>
        <v>904125</v>
      </c>
      <c r="AG21" s="141">
        <f>'Fuel Vol and Credit Gen'!AG57</f>
        <v>684773</v>
      </c>
      <c r="AH21" s="141">
        <f>'Fuel Vol and Credit Gen'!AH57</f>
        <v>1073782</v>
      </c>
      <c r="AI21" s="141">
        <f>'Fuel Vol and Credit Gen'!AI57</f>
        <v>1195556</v>
      </c>
      <c r="AJ21" s="141">
        <f>'Fuel Vol and Credit Gen'!AJ57</f>
        <v>1245746</v>
      </c>
      <c r="AK21" s="141">
        <f>'Fuel Vol and Credit Gen'!AK57</f>
        <v>1056305</v>
      </c>
      <c r="AL21" s="141">
        <f>'Fuel Vol and Credit Gen'!AL57</f>
        <v>1282920</v>
      </c>
      <c r="AM21" s="141">
        <f>'Fuel Vol and Credit Gen'!AM57</f>
        <v>1033279</v>
      </c>
      <c r="AN21" s="141">
        <f>'Fuel Vol and Credit Gen'!AN57</f>
        <v>1141074</v>
      </c>
      <c r="AO21" s="141">
        <f>'Fuel Vol and Credit Gen'!AO57</f>
        <v>1104970</v>
      </c>
      <c r="AP21" s="141">
        <f>'Fuel Vol and Credit Gen'!AP57</f>
        <v>1291977</v>
      </c>
      <c r="AQ21" s="141">
        <f>'Fuel Vol and Credit Gen'!AQ57</f>
        <v>1432647</v>
      </c>
      <c r="AR21" s="141">
        <f>'Fuel Vol and Credit Gen'!AR57</f>
        <v>1503734</v>
      </c>
      <c r="AS21" s="141">
        <f>'Fuel Vol and Credit Gen'!AS57</f>
        <v>1724236</v>
      </c>
      <c r="AT21" s="141">
        <f>'Fuel Vol and Credit Gen'!AT57</f>
        <v>1895846</v>
      </c>
      <c r="AU21" s="141">
        <f>'Fuel Vol and Credit Gen'!AU57</f>
        <v>2222870</v>
      </c>
      <c r="AV21" s="141">
        <f>'Fuel Vol and Credit Gen'!AV57</f>
        <v>2447051</v>
      </c>
      <c r="AW21" s="141">
        <f>'Fuel Vol and Credit Gen'!AW57</f>
        <v>2389803</v>
      </c>
      <c r="AX21" s="141">
        <f>'Fuel Vol and Credit Gen'!AX57</f>
        <v>2557211</v>
      </c>
      <c r="AY21" s="141">
        <f>'Fuel Vol and Credit Gen'!AY57</f>
        <v>2504078</v>
      </c>
      <c r="AZ21" s="141">
        <f>'Fuel Vol and Credit Gen'!AZ57</f>
        <v>2847161</v>
      </c>
      <c r="BA21" s="141">
        <f>'Fuel Vol and Credit Gen'!BA57</f>
        <v>3182501</v>
      </c>
      <c r="BB21" s="141">
        <f>'Fuel Vol and Credit Gen'!BB57</f>
        <v>3395112</v>
      </c>
      <c r="BC21" s="141">
        <f>'Fuel Vol and Credit Gen'!BC57</f>
        <v>3149540</v>
      </c>
      <c r="BD21" s="141">
        <f>'Fuel Vol and Credit Gen'!BD57</f>
        <v>3492934</v>
      </c>
      <c r="BE21" s="141">
        <f>'Fuel Vol and Credit Gen'!BE57</f>
        <v>3875405</v>
      </c>
      <c r="BF21" s="142">
        <f>'Fuel Vol and Credit Gen'!BF57</f>
        <v>3474023.0076604788</v>
      </c>
      <c r="BG21" s="142">
        <f>'Fuel Vol and Credit Gen'!BG57</f>
        <v>2756924.0458533536</v>
      </c>
      <c r="BH21" s="142">
        <f>'Fuel Vol and Credit Gen'!BH57</f>
        <v>2793118.906153128</v>
      </c>
      <c r="BI21" s="142">
        <f>'Fuel Vol and Credit Gen'!BI57</f>
        <v>3506334.0418863702</v>
      </c>
      <c r="BJ21" s="142">
        <f>'Fuel Vol and Credit Gen'!BJ57</f>
        <v>3247958.0767375478</v>
      </c>
      <c r="BK21" s="142">
        <f>'Fuel Vol and Credit Gen'!BK57</f>
        <v>2724166.7105000308</v>
      </c>
      <c r="BL21" s="142">
        <f>'Fuel Vol and Credit Gen'!BL57</f>
        <v>2973159.4002919765</v>
      </c>
      <c r="BM21" s="142">
        <f>'Fuel Vol and Credit Gen'!BM57</f>
        <v>3079811.0989782619</v>
      </c>
      <c r="BN21" s="142">
        <f>'Fuel Vol and Credit Gen'!BN57</f>
        <v>3573334.9338669255</v>
      </c>
      <c r="BO21" s="142">
        <f>'Fuel Vol and Credit Gen'!BO57</f>
        <v>2902822.9942377661</v>
      </c>
      <c r="BP21" s="142">
        <f>'Fuel Vol and Credit Gen'!BP57</f>
        <v>3178674.3539646869</v>
      </c>
      <c r="BQ21" s="142">
        <f>'Fuel Vol and Credit Gen'!BQ57</f>
        <v>3281787.7093463028</v>
      </c>
      <c r="BR21" s="142">
        <f>'Fuel Vol and Credit Gen'!BR57</f>
        <v>3850062.082383228</v>
      </c>
      <c r="BS21" s="142">
        <f>'Fuel Vol and Credit Gen'!BS57</f>
        <v>2742439.2233245946</v>
      </c>
      <c r="BT21" s="142">
        <f>'Fuel Vol and Credit Gen'!BT57</f>
        <v>2966468.0362123</v>
      </c>
      <c r="BU21" s="142">
        <f>'Fuel Vol and Credit Gen'!BU57</f>
        <v>3172288.9803307382</v>
      </c>
      <c r="BV21" s="142">
        <f>'Fuel Vol and Credit Gen'!BV57</f>
        <v>3651527.91623906</v>
      </c>
      <c r="BW21" s="142">
        <f>'Fuel Vol and Credit Gen'!BW57</f>
        <v>2780378.6130446061</v>
      </c>
      <c r="BX21" s="142">
        <f>'Fuel Vol and Credit Gen'!BX57</f>
        <v>2992670.862442804</v>
      </c>
      <c r="BY21" s="142">
        <f>'Fuel Vol and Credit Gen'!BY57</f>
        <v>3189695.8507544422</v>
      </c>
      <c r="BZ21" s="142">
        <f>'Fuel Vol and Credit Gen'!BZ57</f>
        <v>3646801.0229832302</v>
      </c>
      <c r="CA21" s="142">
        <f>'Fuel Vol and Credit Gen'!CA57</f>
        <v>2859970.3291270207</v>
      </c>
      <c r="CB21" s="142">
        <f>'Fuel Vol and Credit Gen'!CB57</f>
        <v>3083278.5949517856</v>
      </c>
      <c r="CC21" s="142">
        <f>'Fuel Vol and Credit Gen'!CC57</f>
        <v>3204022.0391424708</v>
      </c>
      <c r="CD21" s="142">
        <f>'Fuel Vol and Credit Gen'!CD57</f>
        <v>3830872.8829032336</v>
      </c>
      <c r="CE21" s="142">
        <f>'Fuel Vol and Credit Gen'!CE57</f>
        <v>3009710.0970781059</v>
      </c>
      <c r="CF21" s="142">
        <f>'Fuel Vol and Credit Gen'!CF57</f>
        <v>3296134.8833645796</v>
      </c>
      <c r="CG21" s="142">
        <f>'Fuel Vol and Credit Gen'!CG57</f>
        <v>3162944.7399037727</v>
      </c>
      <c r="CH21" s="142">
        <f>'Fuel Vol and Credit Gen'!CH57</f>
        <v>4105295.4952768143</v>
      </c>
      <c r="CI21" s="142">
        <f>'Fuel Vol and Credit Gen'!CI57</f>
        <v>3416993.5707273297</v>
      </c>
      <c r="CJ21" s="142">
        <f>'Fuel Vol and Credit Gen'!CJ57</f>
        <v>3790365.5984110101</v>
      </c>
      <c r="CK21" s="142">
        <f>'Fuel Vol and Credit Gen'!CK57</f>
        <v>2948797.1251852135</v>
      </c>
      <c r="CL21" s="142">
        <f>'Fuel Vol and Credit Gen'!CL57</f>
        <v>4786718.5390379168</v>
      </c>
      <c r="CM21" s="142">
        <f>'Fuel Vol and Credit Gen'!CM57</f>
        <v>3403908.3671925119</v>
      </c>
      <c r="CN21" s="142">
        <f>'Fuel Vol and Credit Gen'!CN57</f>
        <v>3770905.6432463359</v>
      </c>
      <c r="CO21" s="142">
        <f>'Fuel Vol and Credit Gen'!CO57</f>
        <v>3009996.216674584</v>
      </c>
      <c r="CP21" s="142">
        <f>'Fuel Vol and Credit Gen'!CP57</f>
        <v>4762255.0325168464</v>
      </c>
      <c r="CQ21" s="142">
        <f>'Fuel Vol and Credit Gen'!CQ57</f>
        <v>3334524.3998619337</v>
      </c>
      <c r="CR21" s="142">
        <f>'Fuel Vol and Credit Gen'!CR57</f>
        <v>3684187.6006984301</v>
      </c>
      <c r="CS21" s="142">
        <f>'Fuel Vol and Credit Gen'!CS57</f>
        <v>3018804.9537729304</v>
      </c>
      <c r="CT21" s="142">
        <f>'Fuel Vol and Credit Gen'!CT57</f>
        <v>4641242.3595377756</v>
      </c>
      <c r="CU21" s="142">
        <f>'Fuel Vol and Credit Gen'!CU57</f>
        <v>3577864.5050334288</v>
      </c>
      <c r="CV21" s="142">
        <f>'Fuel Vol and Credit Gen'!CV57</f>
        <v>4014285.7718361584</v>
      </c>
      <c r="CW21" s="142">
        <f>'Fuel Vol and Credit Gen'!CW57</f>
        <v>2944544.4037750755</v>
      </c>
      <c r="CX21" s="142">
        <f>'Fuel Vol and Credit Gen'!CX57</f>
        <v>5027233.7822620142</v>
      </c>
      <c r="CY21" s="142">
        <f>'Fuel Vol and Credit Gen'!CY57</f>
        <v>3727050.6606974495</v>
      </c>
      <c r="CZ21" s="142">
        <f>'Fuel Vol and Credit Gen'!CZ57</f>
        <v>4182729.1888334001</v>
      </c>
      <c r="DA21" s="142">
        <f>'Fuel Vol and Credit Gen'!DA57</f>
        <v>2880050.8523975243</v>
      </c>
      <c r="DB21" s="142">
        <f>'Fuel Vol and Credit Gen'!DB57</f>
        <v>5301398.4949455317</v>
      </c>
      <c r="DC21" s="142">
        <f>'Fuel Vol and Credit Gen'!DC57</f>
        <v>4101116.6816452229</v>
      </c>
      <c r="DD21" s="142">
        <f>'Fuel Vol and Credit Gen'!DD57</f>
        <v>4641395.0971551398</v>
      </c>
      <c r="DE21" s="142">
        <f>'Fuel Vol and Credit Gen'!DE57</f>
        <v>2719426.2182672713</v>
      </c>
      <c r="DF21" s="142">
        <f>'Fuel Vol and Credit Gen'!DF57</f>
        <v>5936402.5386884324</v>
      </c>
      <c r="DG21" s="142">
        <f>'Fuel Vol and Credit Gen'!DG57</f>
        <v>4432581.9473261032</v>
      </c>
      <c r="DH21" s="142">
        <f>'Fuel Vol and Credit Gen'!DH57</f>
        <v>5047020.4232511595</v>
      </c>
      <c r="DI21" s="142">
        <f>'Fuel Vol and Credit Gen'!DI57</f>
        <v>2584934.2601429541</v>
      </c>
      <c r="DJ21" s="142">
        <f>'Fuel Vol and Credit Gen'!DJ57</f>
        <v>6493403.7865617275</v>
      </c>
      <c r="DK21" s="142">
        <f>'Fuel Vol and Credit Gen'!DK57</f>
        <v>4444234.0132100843</v>
      </c>
      <c r="DL21" s="142">
        <f>'Fuel Vol and Credit Gen'!DL57</f>
        <v>5061590.9798877472</v>
      </c>
      <c r="DM21" s="142">
        <f>'Fuel Vol and Credit Gen'!DM57</f>
        <v>2584799.6392165148</v>
      </c>
      <c r="DN21" s="142">
        <f>'Fuel Vol and Credit Gen'!DN57</f>
        <v>6510202.4770739339</v>
      </c>
      <c r="DO21" s="142">
        <f>'Fuel Vol and Credit Gen'!DO57</f>
        <v>4018332.9352175673</v>
      </c>
      <c r="DP21" s="142">
        <f>'Fuel Vol and Credit Gen'!DP57</f>
        <v>4534784.3401750829</v>
      </c>
      <c r="DQ21" s="142">
        <f>'Fuel Vol and Credit Gen'!DQ57</f>
        <v>2754800.0549992407</v>
      </c>
      <c r="DR21" s="142">
        <f>'Fuel Vol and Credit Gen'!DR57</f>
        <v>5785386.0996051347</v>
      </c>
      <c r="DS21" s="142">
        <f>'Fuel Vol and Credit Gen'!DS57</f>
        <v>5785368.9716586526</v>
      </c>
      <c r="DT21" s="142">
        <f>'Fuel Vol and Credit Gen'!DT57</f>
        <v>5785362.4416975137</v>
      </c>
      <c r="DU21" s="142">
        <f>'Fuel Vol and Credit Gen'!DU57</f>
        <v>5785286.3188554514</v>
      </c>
      <c r="DV21" s="142">
        <f>'Fuel Vol and Credit Gen'!DV57</f>
        <v>5785287.7782981377</v>
      </c>
      <c r="DW21" s="142">
        <f>'Fuel Vol and Credit Gen'!DW57</f>
        <v>5785279.4523327798</v>
      </c>
      <c r="DX21" s="142">
        <f>'Fuel Vol and Credit Gen'!DX57</f>
        <v>5785282.3137739319</v>
      </c>
      <c r="DY21" s="142">
        <f>'Fuel Vol and Credit Gen'!DY57</f>
        <v>5785272.0896774381</v>
      </c>
      <c r="DZ21" s="142">
        <f>'Fuel Vol and Credit Gen'!DZ57</f>
        <v>5785269.6583159268</v>
      </c>
    </row>
    <row r="22" spans="1:130" x14ac:dyDescent="0.25">
      <c r="A22" s="39" t="s">
        <v>256</v>
      </c>
      <c r="B22" s="76"/>
      <c r="C22" s="119"/>
      <c r="D22" s="119"/>
      <c r="E22" s="119"/>
      <c r="F22" s="119"/>
      <c r="G22" s="119"/>
      <c r="H22" s="119"/>
      <c r="I22" s="119"/>
      <c r="J22" s="119"/>
      <c r="K22" s="119"/>
      <c r="L22" s="119"/>
      <c r="M22" s="119"/>
      <c r="N22" s="119"/>
      <c r="O22" s="119"/>
      <c r="P22" s="119"/>
      <c r="Q22" s="119"/>
      <c r="R22" s="119"/>
      <c r="S22" s="119"/>
      <c r="T22" s="119"/>
      <c r="U22" s="119"/>
      <c r="V22" s="119"/>
      <c r="W22" s="119"/>
      <c r="X22" s="119"/>
      <c r="Y22" s="119"/>
      <c r="Z22" s="119"/>
      <c r="AA22" s="119"/>
      <c r="AB22" s="119"/>
      <c r="AC22" s="119"/>
      <c r="AD22" s="119"/>
      <c r="AE22" s="119"/>
      <c r="AF22" s="119"/>
      <c r="AG22" s="119"/>
      <c r="AH22" s="119"/>
      <c r="AI22" s="119"/>
      <c r="AJ22" s="119"/>
      <c r="AK22" s="143">
        <f t="shared" ref="AK22:AQ22" si="6">(AK6+AK8+AK16)/(AK18+AK19)</f>
        <v>6.8864848607018178E-2</v>
      </c>
      <c r="AL22" s="143">
        <f t="shared" si="6"/>
        <v>6.7157020229766426E-2</v>
      </c>
      <c r="AM22" s="143">
        <f t="shared" si="6"/>
        <v>4.2713933647281807E-2</v>
      </c>
      <c r="AN22" s="143">
        <f t="shared" si="6"/>
        <v>7.262809223240646E-2</v>
      </c>
      <c r="AO22" s="143">
        <f t="shared" si="6"/>
        <v>5.3916710757182434E-2</v>
      </c>
      <c r="AP22" s="143">
        <f t="shared" si="6"/>
        <v>8.9426349502449154E-2</v>
      </c>
      <c r="AQ22" s="143">
        <f t="shared" si="6"/>
        <v>9.5106440501409567E-2</v>
      </c>
      <c r="AR22" s="143">
        <f>(AR6+AR8+AR16)/(AR18+AR19)</f>
        <v>9.2860055085795867E-2</v>
      </c>
      <c r="AS22" s="143">
        <f>(AS6+AS8+AS15)/(AS18+AS19)</f>
        <v>0.14951569646193205</v>
      </c>
      <c r="AT22" s="143">
        <f t="shared" ref="AT22:AU22" si="7">(AT6+AT8+AT15)/(AT18+AT19)</f>
        <v>0.1468179068287408</v>
      </c>
      <c r="AU22" s="143">
        <f t="shared" si="7"/>
        <v>0.12200921899037198</v>
      </c>
      <c r="AV22" s="143">
        <f>(AV6+AV8+AV15)/(AV18+AV19)</f>
        <v>9.6913704794096847E-2</v>
      </c>
      <c r="AW22" s="143">
        <f>(AW6+AW8+AW15)/(AW18+AW19)</f>
        <v>0.10447118180957406</v>
      </c>
      <c r="AX22" s="143">
        <f t="shared" ref="AX22:CD22" si="8">(AX6+AX8+AX15)/(AX18+AX19)</f>
        <v>9.6540415510948316E-2</v>
      </c>
      <c r="AY22" s="143">
        <f t="shared" si="8"/>
        <v>0.14570098702186021</v>
      </c>
      <c r="AZ22" s="143">
        <f t="shared" si="8"/>
        <v>0.12923142912989655</v>
      </c>
      <c r="BA22" s="143">
        <f t="shared" si="8"/>
        <v>9.9314100536261524E-2</v>
      </c>
      <c r="BB22" s="143">
        <f t="shared" si="8"/>
        <v>0.13084485808114549</v>
      </c>
      <c r="BC22" s="143">
        <f t="shared" si="8"/>
        <v>0.10837839567091341</v>
      </c>
      <c r="BD22" s="143">
        <f>(BD6+BD8+BD15)/(BD18+BD19)</f>
        <v>0.12930607762056154</v>
      </c>
      <c r="BE22" s="143">
        <f t="shared" si="8"/>
        <v>0.1134072413691664</v>
      </c>
      <c r="BF22" s="143">
        <f t="shared" si="8"/>
        <v>0.10500988773608148</v>
      </c>
      <c r="BG22" s="143">
        <f t="shared" si="8"/>
        <v>9.382708881986182E-2</v>
      </c>
      <c r="BH22" s="143">
        <f t="shared" si="8"/>
        <v>0.11181588622853635</v>
      </c>
      <c r="BI22" s="143">
        <f t="shared" si="8"/>
        <v>0.10387826115553916</v>
      </c>
      <c r="BJ22" s="143">
        <f t="shared" si="8"/>
        <v>0.10612741528351445</v>
      </c>
      <c r="BK22" s="143">
        <f t="shared" si="8"/>
        <v>0.10417044983597082</v>
      </c>
      <c r="BL22" s="143">
        <f t="shared" si="8"/>
        <v>0.108953006948823</v>
      </c>
      <c r="BM22" s="143">
        <f t="shared" si="8"/>
        <v>0.10645754774375991</v>
      </c>
      <c r="BN22" s="143">
        <f t="shared" si="8"/>
        <v>9.6934369687436434E-2</v>
      </c>
      <c r="BO22" s="143">
        <f t="shared" si="8"/>
        <v>0.10398679688722824</v>
      </c>
      <c r="BP22" s="143">
        <f t="shared" si="8"/>
        <v>0.10678528638927068</v>
      </c>
      <c r="BQ22" s="143">
        <f t="shared" si="8"/>
        <v>0.10525320810762404</v>
      </c>
      <c r="BR22" s="143">
        <f t="shared" si="8"/>
        <v>0.10181352153958084</v>
      </c>
      <c r="BS22" s="143">
        <f t="shared" si="8"/>
        <v>0.1001922208882501</v>
      </c>
      <c r="BT22" s="143">
        <f t="shared" si="8"/>
        <v>0.11032969638795746</v>
      </c>
      <c r="BU22" s="143">
        <f t="shared" si="8"/>
        <v>0.11018316091321266</v>
      </c>
      <c r="BV22" s="143">
        <f t="shared" si="8"/>
        <v>0.10049129237178528</v>
      </c>
      <c r="BW22" s="143">
        <f t="shared" si="8"/>
        <v>9.5550976170107951E-2</v>
      </c>
      <c r="BX22" s="143">
        <f t="shared" si="8"/>
        <v>0.10330298165096105</v>
      </c>
      <c r="BY22" s="143">
        <f t="shared" si="8"/>
        <v>0.10368779191582318</v>
      </c>
      <c r="BZ22" s="143">
        <f t="shared" si="8"/>
        <v>0.10101932198268185</v>
      </c>
      <c r="CA22" s="143">
        <f t="shared" si="8"/>
        <v>9.541250223661174E-2</v>
      </c>
      <c r="CB22" s="143">
        <f t="shared" si="8"/>
        <v>0.10104753450908441</v>
      </c>
      <c r="CC22" s="143">
        <f t="shared" si="8"/>
        <v>0.10076628854949783</v>
      </c>
      <c r="CD22" s="143">
        <f t="shared" si="8"/>
        <v>9.5109438118799489E-2</v>
      </c>
    </row>
    <row r="23" spans="1:130" x14ac:dyDescent="0.25">
      <c r="A23" s="39"/>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K23" s="142">
        <f t="shared" ref="AK23:AU23" si="9">(AK22-0.07)*(AK19+AK18)</f>
        <v>-1773.8500000000192</v>
      </c>
      <c r="AL23" s="142">
        <f t="shared" si="9"/>
        <v>-5035.2100000000055</v>
      </c>
      <c r="AM23" s="142">
        <f t="shared" si="9"/>
        <v>-41231.320000000007</v>
      </c>
      <c r="AN23" s="142">
        <f t="shared" si="9"/>
        <v>4293.1699999999782</v>
      </c>
      <c r="AO23" s="142">
        <f t="shared" si="9"/>
        <v>-27297.62000000001</v>
      </c>
      <c r="AP23" s="142">
        <f t="shared" si="9"/>
        <v>37739.879999999997</v>
      </c>
      <c r="AQ23" s="142">
        <f t="shared" si="9"/>
        <v>48010.76999999999</v>
      </c>
      <c r="AR23" s="142">
        <f t="shared" si="9"/>
        <v>48611.929999999986</v>
      </c>
      <c r="AS23" s="141">
        <f t="shared" si="9"/>
        <v>186638.04999999996</v>
      </c>
      <c r="AT23" s="141">
        <f t="shared" si="9"/>
        <v>190591.91</v>
      </c>
      <c r="AU23" s="141">
        <f t="shared" si="9"/>
        <v>147368.07</v>
      </c>
      <c r="AV23" s="141">
        <f>(AV22-0.07)*(AV19+AV18)</f>
        <v>80967.969999999958</v>
      </c>
      <c r="AW23" s="141">
        <f>(AW22-0.07)*(AW19+AW18)</f>
        <v>101936.8</v>
      </c>
      <c r="AX23" s="141">
        <f t="shared" ref="AX23:CD23" si="10">(AX22-0.07)*(AX19+AX18)</f>
        <v>82384.89999999998</v>
      </c>
      <c r="AY23" s="141">
        <f t="shared" si="10"/>
        <v>226913.86000000002</v>
      </c>
      <c r="AZ23" s="141">
        <f t="shared" si="10"/>
        <v>196363.55999999997</v>
      </c>
      <c r="BA23" s="141">
        <f t="shared" si="10"/>
        <v>107862.64</v>
      </c>
      <c r="BB23" s="141">
        <f t="shared" si="10"/>
        <v>237709.3</v>
      </c>
      <c r="BC23" s="141">
        <f t="shared" si="10"/>
        <v>138560.16999999995</v>
      </c>
      <c r="BD23" s="141">
        <f t="shared" si="10"/>
        <v>233272.45</v>
      </c>
      <c r="BE23" s="141">
        <f t="shared" si="10"/>
        <v>187396.30999999997</v>
      </c>
      <c r="BF23" s="142">
        <f t="shared" si="10"/>
        <v>140953.39557410459</v>
      </c>
      <c r="BG23" s="142">
        <f t="shared" si="10"/>
        <v>93492.943995963768</v>
      </c>
      <c r="BH23" s="142">
        <f t="shared" si="10"/>
        <v>147245.58151629401</v>
      </c>
      <c r="BI23" s="142">
        <f t="shared" si="10"/>
        <v>141406.83740781207</v>
      </c>
      <c r="BJ23" s="142">
        <f t="shared" si="10"/>
        <v>142152.27517576402</v>
      </c>
      <c r="BK23" s="142">
        <f t="shared" si="10"/>
        <v>126574.93810576051</v>
      </c>
      <c r="BL23" s="142">
        <f t="shared" si="10"/>
        <v>146735.4610090408</v>
      </c>
      <c r="BM23" s="142">
        <f t="shared" si="10"/>
        <v>141016.58824315356</v>
      </c>
      <c r="BN23" s="142">
        <f t="shared" si="10"/>
        <v>118573.89580596315</v>
      </c>
      <c r="BO23" s="142">
        <f t="shared" si="10"/>
        <v>129342.0809612351</v>
      </c>
      <c r="BP23" s="142">
        <f t="shared" si="10"/>
        <v>147044.26431295334</v>
      </c>
      <c r="BQ23" s="142">
        <f t="shared" si="10"/>
        <v>144529.2443374063</v>
      </c>
      <c r="BR23" s="142">
        <f t="shared" si="10"/>
        <v>150589.31484222284</v>
      </c>
      <c r="BS23" s="142">
        <f t="shared" si="10"/>
        <v>113425.49041125107</v>
      </c>
      <c r="BT23" s="142">
        <f t="shared" si="10"/>
        <v>148682.58183474114</v>
      </c>
      <c r="BU23" s="142">
        <f t="shared" si="10"/>
        <v>156204.6030969542</v>
      </c>
      <c r="BV23" s="142">
        <f t="shared" si="10"/>
        <v>138781.65709902652</v>
      </c>
      <c r="BW23" s="142">
        <f t="shared" si="10"/>
        <v>102171.7713496254</v>
      </c>
      <c r="BX23" s="142">
        <f t="shared" si="10"/>
        <v>131934.11855117604</v>
      </c>
      <c r="BY23" s="142">
        <f t="shared" si="10"/>
        <v>138135.60616610566</v>
      </c>
      <c r="BZ23" s="142">
        <f t="shared" si="10"/>
        <v>141013.57165313038</v>
      </c>
      <c r="CA23" s="142">
        <f t="shared" si="10"/>
        <v>103833.64730214943</v>
      </c>
      <c r="CB23" s="142">
        <f t="shared" si="10"/>
        <v>127831.66400551065</v>
      </c>
      <c r="CC23" s="142">
        <f t="shared" si="10"/>
        <v>129656.46973225441</v>
      </c>
      <c r="CD23" s="142">
        <f t="shared" si="10"/>
        <v>122867.67862643454</v>
      </c>
    </row>
    <row r="24" spans="1:130" x14ac:dyDescent="0.25">
      <c r="A24" s="76" t="s">
        <v>257</v>
      </c>
      <c r="B24" s="76"/>
      <c r="C24" s="144">
        <f>C6</f>
        <v>43</v>
      </c>
      <c r="D24" s="144">
        <f t="shared" ref="D24:BI24" si="11">D6</f>
        <v>109</v>
      </c>
      <c r="E24" s="144">
        <f t="shared" si="11"/>
        <v>0</v>
      </c>
      <c r="F24" s="144">
        <f t="shared" si="11"/>
        <v>0</v>
      </c>
      <c r="G24" s="144">
        <f t="shared" si="11"/>
        <v>98</v>
      </c>
      <c r="H24" s="144">
        <f t="shared" si="11"/>
        <v>0</v>
      </c>
      <c r="I24" s="144">
        <f t="shared" si="11"/>
        <v>87</v>
      </c>
      <c r="J24" s="144">
        <f t="shared" si="11"/>
        <v>519</v>
      </c>
      <c r="K24" s="144">
        <f t="shared" si="11"/>
        <v>1613</v>
      </c>
      <c r="L24" s="144">
        <f t="shared" si="11"/>
        <v>6070</v>
      </c>
      <c r="M24" s="144">
        <f t="shared" si="11"/>
        <v>5688</v>
      </c>
      <c r="N24" s="144">
        <f t="shared" si="11"/>
        <v>9283</v>
      </c>
      <c r="O24" s="144">
        <f t="shared" si="11"/>
        <v>7085</v>
      </c>
      <c r="P24" s="144">
        <f t="shared" si="11"/>
        <v>8360</v>
      </c>
      <c r="Q24" s="144">
        <f t="shared" si="11"/>
        <v>1942</v>
      </c>
      <c r="R24" s="144">
        <f t="shared" si="11"/>
        <v>9184</v>
      </c>
      <c r="S24" s="144">
        <f t="shared" si="11"/>
        <v>3284</v>
      </c>
      <c r="T24" s="144">
        <f t="shared" si="11"/>
        <v>22026</v>
      </c>
      <c r="U24" s="144">
        <f t="shared" si="11"/>
        <v>48980</v>
      </c>
      <c r="V24" s="144">
        <f t="shared" si="11"/>
        <v>32717</v>
      </c>
      <c r="W24" s="144">
        <f t="shared" si="11"/>
        <v>21609</v>
      </c>
      <c r="X24" s="144">
        <f t="shared" si="11"/>
        <v>9197</v>
      </c>
      <c r="Y24" s="144">
        <f t="shared" si="11"/>
        <v>33396</v>
      </c>
      <c r="Z24" s="144">
        <f t="shared" si="11"/>
        <v>32762</v>
      </c>
      <c r="AA24" s="144">
        <f t="shared" si="11"/>
        <v>46725</v>
      </c>
      <c r="AB24" s="144">
        <f t="shared" si="11"/>
        <v>13305</v>
      </c>
      <c r="AC24" s="144">
        <f t="shared" si="11"/>
        <v>85642</v>
      </c>
      <c r="AD24" s="144">
        <f t="shared" si="11"/>
        <v>43498</v>
      </c>
      <c r="AE24" s="144">
        <f t="shared" si="11"/>
        <v>34370</v>
      </c>
      <c r="AF24" s="144">
        <f t="shared" si="11"/>
        <v>7233</v>
      </c>
      <c r="AG24" s="144">
        <f t="shared" si="11"/>
        <v>7688</v>
      </c>
      <c r="AH24" s="144">
        <f t="shared" si="11"/>
        <v>21583</v>
      </c>
      <c r="AI24" s="144">
        <f t="shared" si="11"/>
        <v>939</v>
      </c>
      <c r="AJ24" s="144">
        <f t="shared" si="11"/>
        <v>3921</v>
      </c>
      <c r="AK24" s="144">
        <f t="shared" si="11"/>
        <v>5858</v>
      </c>
      <c r="AL24" s="144">
        <f t="shared" si="11"/>
        <v>10031</v>
      </c>
      <c r="AM24" s="144">
        <f t="shared" si="11"/>
        <v>1106</v>
      </c>
      <c r="AN24" s="144">
        <f t="shared" si="11"/>
        <v>4033</v>
      </c>
      <c r="AO24" s="144">
        <f t="shared" si="11"/>
        <v>3213</v>
      </c>
      <c r="AP24" s="144">
        <f t="shared" si="11"/>
        <v>41026</v>
      </c>
      <c r="AQ24" s="144">
        <f t="shared" si="11"/>
        <v>160</v>
      </c>
      <c r="AR24" s="144">
        <f t="shared" si="11"/>
        <v>0</v>
      </c>
      <c r="AS24" s="144">
        <f t="shared" si="11"/>
        <v>12161</v>
      </c>
      <c r="AT24" s="144">
        <f t="shared" si="11"/>
        <v>5884</v>
      </c>
      <c r="AU24" s="144">
        <f t="shared" si="11"/>
        <v>17460</v>
      </c>
      <c r="AV24" s="144">
        <f t="shared" si="11"/>
        <v>19551</v>
      </c>
      <c r="AW24" s="144">
        <f t="shared" si="11"/>
        <v>33717</v>
      </c>
      <c r="AX24" s="144">
        <f t="shared" si="11"/>
        <v>55285</v>
      </c>
      <c r="AY24" s="144">
        <f t="shared" si="11"/>
        <v>109914</v>
      </c>
      <c r="AZ24" s="144">
        <f t="shared" si="11"/>
        <v>34240</v>
      </c>
      <c r="BA24" s="144">
        <f t="shared" si="11"/>
        <v>35693</v>
      </c>
      <c r="BB24" s="144">
        <f t="shared" si="11"/>
        <v>110066</v>
      </c>
      <c r="BC24" s="144">
        <f>BC6</f>
        <v>105974</v>
      </c>
      <c r="BD24" s="144">
        <f t="shared" si="11"/>
        <v>26605</v>
      </c>
      <c r="BE24" s="144">
        <f t="shared" si="11"/>
        <v>59259</v>
      </c>
      <c r="BF24" s="144">
        <f t="shared" si="11"/>
        <v>43743.243168382032</v>
      </c>
      <c r="BG24" s="144">
        <f t="shared" si="11"/>
        <v>18577.067675272163</v>
      </c>
      <c r="BH24" s="144">
        <f t="shared" si="11"/>
        <v>54175.42830744214</v>
      </c>
      <c r="BI24" s="144">
        <f t="shared" si="11"/>
        <v>52180.37177662224</v>
      </c>
      <c r="BJ24" s="142"/>
      <c r="BK24" s="142"/>
      <c r="BL24" s="142"/>
      <c r="BM24" s="142"/>
      <c r="BN24" s="142"/>
      <c r="BO24" s="142"/>
      <c r="BP24" s="142"/>
      <c r="BQ24" s="142"/>
      <c r="BR24" s="142"/>
      <c r="BS24" s="142"/>
      <c r="BT24" s="142"/>
      <c r="BU24" s="142"/>
      <c r="BV24" s="142"/>
      <c r="BW24" s="142"/>
      <c r="BX24" s="142"/>
      <c r="BY24" s="142"/>
      <c r="BZ24" s="142"/>
      <c r="CA24" s="142"/>
      <c r="CB24" s="142"/>
      <c r="CC24" s="142"/>
      <c r="CD24" s="142"/>
    </row>
    <row r="25" spans="1:130" x14ac:dyDescent="0.25">
      <c r="A25" s="76" t="s">
        <v>258</v>
      </c>
      <c r="B25" s="76"/>
      <c r="C25" s="144">
        <f>C7+C12</f>
        <v>280</v>
      </c>
      <c r="D25" s="144">
        <f t="shared" ref="D25:BI25" si="12">D7+D12</f>
        <v>0</v>
      </c>
      <c r="E25" s="144">
        <f t="shared" si="12"/>
        <v>0</v>
      </c>
      <c r="F25" s="144">
        <f t="shared" si="12"/>
        <v>1692</v>
      </c>
      <c r="G25" s="144">
        <f t="shared" si="12"/>
        <v>0</v>
      </c>
      <c r="H25" s="144">
        <f t="shared" si="12"/>
        <v>20</v>
      </c>
      <c r="I25" s="144">
        <f t="shared" si="12"/>
        <v>311</v>
      </c>
      <c r="J25" s="144">
        <f t="shared" si="12"/>
        <v>502</v>
      </c>
      <c r="K25" s="144">
        <f t="shared" si="12"/>
        <v>1929</v>
      </c>
      <c r="L25" s="144">
        <f t="shared" si="12"/>
        <v>22328</v>
      </c>
      <c r="M25" s="144">
        <f t="shared" si="12"/>
        <v>33680</v>
      </c>
      <c r="N25" s="144">
        <f t="shared" si="12"/>
        <v>70810</v>
      </c>
      <c r="O25" s="144">
        <f t="shared" si="12"/>
        <v>76718</v>
      </c>
      <c r="P25" s="144">
        <f t="shared" si="12"/>
        <v>67930</v>
      </c>
      <c r="Q25" s="144">
        <f t="shared" si="12"/>
        <v>37354</v>
      </c>
      <c r="R25" s="144">
        <f t="shared" si="12"/>
        <v>74732</v>
      </c>
      <c r="S25" s="144">
        <f t="shared" si="12"/>
        <v>57118</v>
      </c>
      <c r="T25" s="144">
        <f t="shared" si="12"/>
        <v>72012</v>
      </c>
      <c r="U25" s="144">
        <f t="shared" si="12"/>
        <v>131089</v>
      </c>
      <c r="V25" s="144">
        <f t="shared" si="12"/>
        <v>182224</v>
      </c>
      <c r="W25" s="144">
        <f t="shared" si="12"/>
        <v>242009</v>
      </c>
      <c r="X25" s="144">
        <f t="shared" si="12"/>
        <v>378404</v>
      </c>
      <c r="Y25" s="144">
        <f t="shared" si="12"/>
        <v>389025</v>
      </c>
      <c r="Z25" s="144">
        <f t="shared" si="12"/>
        <v>513100</v>
      </c>
      <c r="AA25" s="144">
        <f t="shared" si="12"/>
        <v>82783</v>
      </c>
      <c r="AB25" s="144">
        <f t="shared" si="12"/>
        <v>119067</v>
      </c>
      <c r="AC25" s="144">
        <f t="shared" si="12"/>
        <v>135684</v>
      </c>
      <c r="AD25" s="144">
        <f t="shared" si="12"/>
        <v>208738</v>
      </c>
      <c r="AE25" s="144">
        <f t="shared" si="12"/>
        <v>192011</v>
      </c>
      <c r="AF25" s="144">
        <f t="shared" si="12"/>
        <v>286237</v>
      </c>
      <c r="AG25" s="144">
        <f t="shared" si="12"/>
        <v>259754</v>
      </c>
      <c r="AH25" s="144">
        <f t="shared" si="12"/>
        <v>481393</v>
      </c>
      <c r="AI25" s="144">
        <f t="shared" si="12"/>
        <v>550661</v>
      </c>
      <c r="AJ25" s="144">
        <f t="shared" si="12"/>
        <v>387524</v>
      </c>
      <c r="AK25" s="144">
        <f t="shared" si="12"/>
        <v>453737</v>
      </c>
      <c r="AL25" s="144">
        <f t="shared" si="12"/>
        <v>488794</v>
      </c>
      <c r="AM25" s="144">
        <f>AM7+AM12</f>
        <v>418362</v>
      </c>
      <c r="AN25" s="144">
        <f t="shared" si="12"/>
        <v>334058</v>
      </c>
      <c r="AO25" s="144">
        <f t="shared" si="12"/>
        <v>380820</v>
      </c>
      <c r="AP25" s="144">
        <f t="shared" si="12"/>
        <v>516601</v>
      </c>
      <c r="AQ25" s="144">
        <f t="shared" si="12"/>
        <v>427878</v>
      </c>
      <c r="AR25" s="144">
        <f t="shared" si="12"/>
        <v>527363</v>
      </c>
      <c r="AS25" s="144">
        <f t="shared" si="12"/>
        <v>629828</v>
      </c>
      <c r="AT25" s="144">
        <f t="shared" si="12"/>
        <v>514743</v>
      </c>
      <c r="AU25" s="144">
        <f t="shared" si="12"/>
        <v>894647</v>
      </c>
      <c r="AV25" s="144">
        <f t="shared" si="12"/>
        <v>612838</v>
      </c>
      <c r="AW25" s="144">
        <f t="shared" si="12"/>
        <v>849753</v>
      </c>
      <c r="AX25" s="144">
        <f t="shared" si="12"/>
        <v>641995</v>
      </c>
      <c r="AY25" s="144">
        <f t="shared" si="12"/>
        <v>460942</v>
      </c>
      <c r="AZ25" s="144">
        <f t="shared" si="12"/>
        <v>387697</v>
      </c>
      <c r="BA25" s="144">
        <f t="shared" si="12"/>
        <v>741579</v>
      </c>
      <c r="BB25" s="144">
        <f t="shared" si="12"/>
        <v>594981</v>
      </c>
      <c r="BC25" s="144">
        <f>BC7+BC12</f>
        <v>548463</v>
      </c>
      <c r="BD25" s="144">
        <f t="shared" si="12"/>
        <v>924788</v>
      </c>
      <c r="BE25" s="144">
        <f t="shared" si="12"/>
        <v>936815</v>
      </c>
      <c r="BF25" s="144">
        <f t="shared" si="12"/>
        <v>793012.31675670343</v>
      </c>
      <c r="BG25" s="144">
        <f t="shared" si="12"/>
        <v>1003215.4615229431</v>
      </c>
      <c r="BH25" s="144">
        <f t="shared" si="12"/>
        <v>646442.37699918263</v>
      </c>
      <c r="BI25" s="144">
        <f t="shared" si="12"/>
        <v>798466.03606927104</v>
      </c>
      <c r="BJ25" s="142"/>
      <c r="BK25" s="142"/>
      <c r="BL25" s="142"/>
      <c r="BM25" s="142"/>
      <c r="BN25" s="142"/>
      <c r="BO25" s="142"/>
      <c r="BP25" s="142"/>
      <c r="BQ25" s="142"/>
      <c r="BR25" s="142"/>
      <c r="BS25" s="142"/>
      <c r="BT25" s="142"/>
      <c r="BU25" s="142"/>
      <c r="BV25" s="142"/>
      <c r="BW25" s="142"/>
      <c r="BX25" s="142"/>
      <c r="BY25" s="142"/>
      <c r="BZ25" s="142"/>
      <c r="CA25" s="142"/>
      <c r="CB25" s="142"/>
      <c r="CC25" s="142"/>
      <c r="CD25" s="142"/>
    </row>
    <row r="26" spans="1:130" x14ac:dyDescent="0.25">
      <c r="A26" s="76" t="s">
        <v>259</v>
      </c>
      <c r="B26" s="76"/>
      <c r="C26" s="144">
        <f>C9+C14</f>
        <v>3070</v>
      </c>
      <c r="D26" s="144">
        <f t="shared" ref="D26:BI26" si="13">D9+D14</f>
        <v>3368</v>
      </c>
      <c r="E26" s="144">
        <f t="shared" si="13"/>
        <v>4362</v>
      </c>
      <c r="F26" s="144">
        <f t="shared" si="13"/>
        <v>7010</v>
      </c>
      <c r="G26" s="144">
        <f t="shared" si="13"/>
        <v>10178</v>
      </c>
      <c r="H26" s="144">
        <f t="shared" si="13"/>
        <v>13110</v>
      </c>
      <c r="I26" s="144">
        <f t="shared" si="13"/>
        <v>8076</v>
      </c>
      <c r="J26" s="144">
        <f t="shared" si="13"/>
        <v>54504</v>
      </c>
      <c r="K26" s="144">
        <f t="shared" si="13"/>
        <v>59172</v>
      </c>
      <c r="L26" s="144">
        <f t="shared" si="13"/>
        <v>183139</v>
      </c>
      <c r="M26" s="144">
        <f t="shared" si="13"/>
        <v>284778</v>
      </c>
      <c r="N26" s="144">
        <f t="shared" si="13"/>
        <v>246210</v>
      </c>
      <c r="O26" s="144">
        <f t="shared" si="13"/>
        <v>181379</v>
      </c>
      <c r="P26" s="144">
        <f t="shared" si="13"/>
        <v>201572</v>
      </c>
      <c r="Q26" s="144">
        <f t="shared" si="13"/>
        <v>255899</v>
      </c>
      <c r="R26" s="144">
        <f t="shared" si="13"/>
        <v>172643</v>
      </c>
      <c r="S26" s="144">
        <f t="shared" si="13"/>
        <v>185063</v>
      </c>
      <c r="T26" s="144">
        <f t="shared" si="13"/>
        <v>219510</v>
      </c>
      <c r="U26" s="144">
        <f t="shared" si="13"/>
        <v>259369</v>
      </c>
      <c r="V26" s="144">
        <f t="shared" si="13"/>
        <v>267542</v>
      </c>
      <c r="W26" s="144">
        <f t="shared" si="13"/>
        <v>192490</v>
      </c>
      <c r="X26" s="144">
        <f t="shared" si="13"/>
        <v>403922</v>
      </c>
      <c r="Y26" s="144">
        <f t="shared" si="13"/>
        <v>412769</v>
      </c>
      <c r="Z26" s="144">
        <f t="shared" si="13"/>
        <v>384189</v>
      </c>
      <c r="AA26" s="144">
        <f t="shared" si="13"/>
        <v>440982</v>
      </c>
      <c r="AB26" s="144">
        <f t="shared" si="13"/>
        <v>556481</v>
      </c>
      <c r="AC26" s="144">
        <f t="shared" si="13"/>
        <v>623600</v>
      </c>
      <c r="AD26" s="144">
        <f t="shared" si="13"/>
        <v>431013</v>
      </c>
      <c r="AE26" s="144">
        <f t="shared" si="13"/>
        <v>536120</v>
      </c>
      <c r="AF26" s="144">
        <f t="shared" si="13"/>
        <v>539335</v>
      </c>
      <c r="AG26" s="144">
        <f t="shared" si="13"/>
        <v>427309</v>
      </c>
      <c r="AH26" s="144">
        <f t="shared" si="13"/>
        <v>511470</v>
      </c>
      <c r="AI26" s="144">
        <f t="shared" si="13"/>
        <v>369560</v>
      </c>
      <c r="AJ26" s="144">
        <f t="shared" si="13"/>
        <v>433446</v>
      </c>
      <c r="AK26" s="144">
        <f t="shared" si="13"/>
        <v>347842</v>
      </c>
      <c r="AL26" s="144">
        <f t="shared" si="13"/>
        <v>472743</v>
      </c>
      <c r="AM26" s="144">
        <f>AM9+AM14</f>
        <v>375207</v>
      </c>
      <c r="AN26" s="144">
        <f t="shared" si="13"/>
        <v>604336</v>
      </c>
      <c r="AO26" s="144">
        <f t="shared" si="13"/>
        <v>501922</v>
      </c>
      <c r="AP26" s="144">
        <f t="shared" si="13"/>
        <v>408000</v>
      </c>
      <c r="AQ26" s="144">
        <f t="shared" si="13"/>
        <v>437409</v>
      </c>
      <c r="AR26" s="144">
        <f t="shared" si="13"/>
        <v>690733</v>
      </c>
      <c r="AS26" s="144">
        <f t="shared" si="13"/>
        <v>620469</v>
      </c>
      <c r="AT26" s="144">
        <f t="shared" si="13"/>
        <v>536858</v>
      </c>
      <c r="AU26" s="144">
        <f t="shared" si="13"/>
        <v>717149</v>
      </c>
      <c r="AV26" s="144">
        <f t="shared" si="13"/>
        <v>998403</v>
      </c>
      <c r="AW26" s="144">
        <f t="shared" si="13"/>
        <v>636308</v>
      </c>
      <c r="AX26" s="144">
        <f t="shared" si="13"/>
        <v>795112</v>
      </c>
      <c r="AY26" s="144">
        <f t="shared" si="13"/>
        <v>755664</v>
      </c>
      <c r="AZ26" s="144">
        <f t="shared" si="13"/>
        <v>895937</v>
      </c>
      <c r="BA26" s="144">
        <f t="shared" si="13"/>
        <v>1153431</v>
      </c>
      <c r="BB26" s="144">
        <f t="shared" si="13"/>
        <v>1577170</v>
      </c>
      <c r="BC26" s="144">
        <f>BC9+BC14</f>
        <v>1542413</v>
      </c>
      <c r="BD26" s="144">
        <f t="shared" si="13"/>
        <v>1308203</v>
      </c>
      <c r="BE26" s="144">
        <f t="shared" si="13"/>
        <v>1326454</v>
      </c>
      <c r="BF26" s="144">
        <f t="shared" si="13"/>
        <v>1248342.152001312</v>
      </c>
      <c r="BG26" s="144">
        <f t="shared" si="13"/>
        <v>1035035.644610399</v>
      </c>
      <c r="BH26" s="144">
        <f t="shared" si="13"/>
        <v>998912.33365446643</v>
      </c>
      <c r="BI26" s="144">
        <f t="shared" si="13"/>
        <v>1278252.9013235788</v>
      </c>
      <c r="BJ26" s="142"/>
      <c r="BK26" s="142"/>
      <c r="BL26" s="142"/>
      <c r="BM26" s="142"/>
      <c r="BN26" s="142"/>
      <c r="BO26" s="142"/>
      <c r="BP26" s="142"/>
      <c r="BQ26" s="142"/>
      <c r="BR26" s="142"/>
      <c r="BS26" s="142"/>
      <c r="BT26" s="142"/>
      <c r="BU26" s="142"/>
      <c r="BV26" s="142"/>
      <c r="BW26" s="142"/>
      <c r="BX26" s="142"/>
      <c r="BY26" s="142"/>
      <c r="BZ26" s="142"/>
      <c r="CA26" s="142"/>
      <c r="CB26" s="142"/>
      <c r="CC26" s="142"/>
      <c r="CD26" s="142"/>
    </row>
    <row r="27" spans="1:130" x14ac:dyDescent="0.25">
      <c r="A27" s="76" t="s">
        <v>260</v>
      </c>
      <c r="B27" s="76"/>
      <c r="C27" s="144">
        <f>C10+C13</f>
        <v>10746</v>
      </c>
      <c r="D27" s="144">
        <f t="shared" ref="D27:BI27" si="14">D10+D13</f>
        <v>20254</v>
      </c>
      <c r="E27" s="144">
        <f t="shared" si="14"/>
        <v>19854</v>
      </c>
      <c r="F27" s="144">
        <f t="shared" si="14"/>
        <v>22390</v>
      </c>
      <c r="G27" s="144">
        <f t="shared" si="14"/>
        <v>29455</v>
      </c>
      <c r="H27" s="144">
        <f t="shared" si="14"/>
        <v>32230</v>
      </c>
      <c r="I27" s="144">
        <f t="shared" si="14"/>
        <v>32054</v>
      </c>
      <c r="J27" s="144">
        <f t="shared" si="14"/>
        <v>33116</v>
      </c>
      <c r="K27" s="144">
        <f t="shared" si="14"/>
        <v>39361</v>
      </c>
      <c r="L27" s="144">
        <f t="shared" si="14"/>
        <v>80007</v>
      </c>
      <c r="M27" s="144">
        <f t="shared" si="14"/>
        <v>77598</v>
      </c>
      <c r="N27" s="144">
        <f t="shared" si="14"/>
        <v>175642</v>
      </c>
      <c r="O27" s="144">
        <f t="shared" si="14"/>
        <v>75487</v>
      </c>
      <c r="P27" s="144">
        <f t="shared" si="14"/>
        <v>97775</v>
      </c>
      <c r="Q27" s="144">
        <f t="shared" si="14"/>
        <v>109342</v>
      </c>
      <c r="R27" s="144">
        <f t="shared" si="14"/>
        <v>132546</v>
      </c>
      <c r="S27" s="144">
        <f t="shared" si="14"/>
        <v>142649</v>
      </c>
      <c r="T27" s="144">
        <f t="shared" si="14"/>
        <v>208230</v>
      </c>
      <c r="U27" s="144">
        <f t="shared" si="14"/>
        <v>215381</v>
      </c>
      <c r="V27" s="144">
        <f t="shared" si="14"/>
        <v>166008</v>
      </c>
      <c r="W27" s="144">
        <f t="shared" si="14"/>
        <v>121732</v>
      </c>
      <c r="X27" s="144">
        <f t="shared" si="14"/>
        <v>232237</v>
      </c>
      <c r="Y27" s="144">
        <f t="shared" si="14"/>
        <v>175330</v>
      </c>
      <c r="Z27" s="144">
        <f t="shared" si="14"/>
        <v>295375</v>
      </c>
      <c r="AA27" s="144">
        <f t="shared" si="14"/>
        <v>333807</v>
      </c>
      <c r="AB27" s="144">
        <f t="shared" si="14"/>
        <v>454976</v>
      </c>
      <c r="AC27" s="144">
        <f t="shared" si="14"/>
        <v>372729</v>
      </c>
      <c r="AD27" s="144">
        <f t="shared" si="14"/>
        <v>324711</v>
      </c>
      <c r="AE27" s="144">
        <f t="shared" si="14"/>
        <v>348013</v>
      </c>
      <c r="AF27" s="144">
        <f t="shared" si="14"/>
        <v>405768</v>
      </c>
      <c r="AG27" s="144">
        <f t="shared" si="14"/>
        <v>401198</v>
      </c>
      <c r="AH27" s="144">
        <f t="shared" si="14"/>
        <v>452025</v>
      </c>
      <c r="AI27" s="144">
        <f t="shared" si="14"/>
        <v>536646</v>
      </c>
      <c r="AJ27" s="144">
        <f t="shared" si="14"/>
        <v>806706</v>
      </c>
      <c r="AK27" s="144">
        <f t="shared" si="14"/>
        <v>613886</v>
      </c>
      <c r="AL27" s="144">
        <f t="shared" si="14"/>
        <v>651747</v>
      </c>
      <c r="AM27" s="144">
        <f>AM10+AM13</f>
        <v>620115</v>
      </c>
      <c r="AN27" s="144">
        <f t="shared" si="14"/>
        <v>565467</v>
      </c>
      <c r="AO27" s="144">
        <f t="shared" si="14"/>
        <v>715122</v>
      </c>
      <c r="AP27" s="144">
        <f t="shared" si="14"/>
        <v>819090</v>
      </c>
      <c r="AQ27" s="144">
        <f t="shared" si="14"/>
        <v>846527</v>
      </c>
      <c r="AR27" s="144">
        <f t="shared" si="14"/>
        <v>702637</v>
      </c>
      <c r="AS27" s="144">
        <f t="shared" si="14"/>
        <v>724539</v>
      </c>
      <c r="AT27" s="144">
        <f t="shared" si="14"/>
        <v>1038299</v>
      </c>
      <c r="AU27" s="144">
        <f t="shared" si="14"/>
        <v>860374</v>
      </c>
      <c r="AV27" s="144">
        <f t="shared" si="14"/>
        <v>1035312</v>
      </c>
      <c r="AW27" s="144">
        <f t="shared" si="14"/>
        <v>1004483</v>
      </c>
      <c r="AX27" s="144">
        <f t="shared" si="14"/>
        <v>1221396</v>
      </c>
      <c r="AY27" s="144">
        <f t="shared" si="14"/>
        <v>1194627</v>
      </c>
      <c r="AZ27" s="144">
        <f t="shared" si="14"/>
        <v>1373256</v>
      </c>
      <c r="BA27" s="144">
        <f t="shared" si="14"/>
        <v>1096750</v>
      </c>
      <c r="BB27" s="144">
        <f t="shared" si="14"/>
        <v>965082</v>
      </c>
      <c r="BC27" s="144">
        <f t="shared" si="14"/>
        <v>848256</v>
      </c>
      <c r="BD27" s="144">
        <f t="shared" si="14"/>
        <v>792040</v>
      </c>
      <c r="BE27" s="144">
        <f t="shared" si="14"/>
        <v>1117945</v>
      </c>
      <c r="BF27" s="144">
        <f t="shared" si="14"/>
        <v>1113923.0841030872</v>
      </c>
      <c r="BG27" s="144">
        <f t="shared" si="14"/>
        <v>1028055.809404466</v>
      </c>
      <c r="BH27" s="144">
        <f t="shared" si="14"/>
        <v>975824.74699575687</v>
      </c>
      <c r="BI27" s="144">
        <f t="shared" si="14"/>
        <v>1100968.6829698293</v>
      </c>
      <c r="BJ27" s="142"/>
      <c r="BK27" s="142"/>
      <c r="BL27" s="142"/>
      <c r="BM27" s="142"/>
      <c r="BN27" s="142"/>
      <c r="BO27" s="142"/>
      <c r="BP27" s="142"/>
      <c r="BQ27" s="142"/>
      <c r="BR27" s="142"/>
      <c r="BS27" s="142"/>
      <c r="BT27" s="142"/>
      <c r="BU27" s="142"/>
      <c r="BV27" s="142"/>
      <c r="BW27" s="142"/>
      <c r="BX27" s="142"/>
      <c r="BY27" s="142"/>
      <c r="BZ27" s="142"/>
      <c r="CA27" s="142"/>
      <c r="CB27" s="142"/>
      <c r="CC27" s="142"/>
      <c r="CD27" s="142"/>
    </row>
    <row r="28" spans="1:130" x14ac:dyDescent="0.25">
      <c r="A28" s="76" t="s">
        <v>261</v>
      </c>
      <c r="B28" s="76"/>
      <c r="C28" s="144">
        <f>C8+C15</f>
        <v>1231</v>
      </c>
      <c r="D28" s="144">
        <f t="shared" ref="D28:BI28" si="15">D8+D15</f>
        <v>1192</v>
      </c>
      <c r="E28" s="144">
        <f t="shared" si="15"/>
        <v>2570</v>
      </c>
      <c r="F28" s="144">
        <f t="shared" si="15"/>
        <v>3116</v>
      </c>
      <c r="G28" s="144">
        <f t="shared" si="15"/>
        <v>2352</v>
      </c>
      <c r="H28" s="144">
        <f t="shared" si="15"/>
        <v>3363</v>
      </c>
      <c r="I28" s="144">
        <f t="shared" si="15"/>
        <v>1462</v>
      </c>
      <c r="J28" s="144">
        <f t="shared" si="15"/>
        <v>569</v>
      </c>
      <c r="K28" s="144">
        <f t="shared" si="15"/>
        <v>1873</v>
      </c>
      <c r="L28" s="144">
        <f t="shared" si="15"/>
        <v>1919</v>
      </c>
      <c r="M28" s="144">
        <f t="shared" si="15"/>
        <v>2679</v>
      </c>
      <c r="N28" s="144">
        <f t="shared" si="15"/>
        <v>1639</v>
      </c>
      <c r="O28" s="144">
        <f t="shared" si="15"/>
        <v>663</v>
      </c>
      <c r="P28" s="144">
        <f t="shared" si="15"/>
        <v>185</v>
      </c>
      <c r="Q28" s="144">
        <f t="shared" si="15"/>
        <v>30</v>
      </c>
      <c r="R28" s="144">
        <f t="shared" si="15"/>
        <v>441</v>
      </c>
      <c r="S28" s="144">
        <f t="shared" si="15"/>
        <v>4200</v>
      </c>
      <c r="T28" s="144">
        <f t="shared" si="15"/>
        <v>8</v>
      </c>
      <c r="U28" s="144">
        <f t="shared" si="15"/>
        <v>19</v>
      </c>
      <c r="V28" s="144">
        <f t="shared" si="15"/>
        <v>7</v>
      </c>
      <c r="W28" s="144">
        <f t="shared" si="15"/>
        <v>0</v>
      </c>
      <c r="X28" s="144">
        <f t="shared" si="15"/>
        <v>0</v>
      </c>
      <c r="Y28" s="144">
        <f t="shared" si="15"/>
        <v>5860</v>
      </c>
      <c r="Z28" s="144">
        <f t="shared" si="15"/>
        <v>8645</v>
      </c>
      <c r="AA28" s="144">
        <f t="shared" si="15"/>
        <v>3283</v>
      </c>
      <c r="AB28" s="144">
        <f t="shared" si="15"/>
        <v>5167</v>
      </c>
      <c r="AC28" s="144">
        <f t="shared" si="15"/>
        <v>5243</v>
      </c>
      <c r="AD28" s="144">
        <f t="shared" si="15"/>
        <v>3946</v>
      </c>
      <c r="AE28" s="144">
        <f t="shared" si="15"/>
        <v>4048</v>
      </c>
      <c r="AF28" s="144">
        <f t="shared" si="15"/>
        <v>3266</v>
      </c>
      <c r="AG28" s="144">
        <f t="shared" si="15"/>
        <v>3148</v>
      </c>
      <c r="AH28" s="144">
        <f t="shared" si="15"/>
        <v>963</v>
      </c>
      <c r="AI28" s="144">
        <f t="shared" si="15"/>
        <v>1344</v>
      </c>
      <c r="AJ28" s="144">
        <f t="shared" si="15"/>
        <v>684</v>
      </c>
      <c r="AK28" s="144">
        <f t="shared" si="15"/>
        <v>611</v>
      </c>
      <c r="AL28" s="144">
        <f t="shared" si="15"/>
        <v>960</v>
      </c>
      <c r="AM28" s="144">
        <f>AM8+AM15</f>
        <v>362</v>
      </c>
      <c r="AN28" s="144">
        <f t="shared" si="15"/>
        <v>524</v>
      </c>
      <c r="AO28" s="144">
        <f t="shared" si="15"/>
        <v>1203</v>
      </c>
      <c r="AP28" s="144">
        <f t="shared" si="15"/>
        <v>14779</v>
      </c>
      <c r="AQ28" s="144">
        <f t="shared" si="15"/>
        <v>168</v>
      </c>
      <c r="AR28" s="144">
        <f t="shared" si="15"/>
        <v>1332</v>
      </c>
      <c r="AS28" s="144">
        <f t="shared" si="15"/>
        <v>338780</v>
      </c>
      <c r="AT28" s="144">
        <f t="shared" si="15"/>
        <v>358384</v>
      </c>
      <c r="AU28" s="144">
        <f t="shared" si="15"/>
        <v>328253</v>
      </c>
      <c r="AV28" s="144">
        <f t="shared" si="15"/>
        <v>272007</v>
      </c>
      <c r="AW28" s="144">
        <f t="shared" si="15"/>
        <v>275221</v>
      </c>
      <c r="AX28" s="144">
        <f t="shared" si="15"/>
        <v>244389</v>
      </c>
      <c r="AY28" s="144">
        <f t="shared" si="15"/>
        <v>326825</v>
      </c>
      <c r="AZ28" s="144">
        <f t="shared" si="15"/>
        <v>394187</v>
      </c>
      <c r="BA28" s="144">
        <f t="shared" si="15"/>
        <v>329738</v>
      </c>
      <c r="BB28" s="144">
        <f t="shared" si="15"/>
        <v>401120</v>
      </c>
      <c r="BC28" s="144">
        <f t="shared" si="15"/>
        <v>285312</v>
      </c>
      <c r="BD28" s="144">
        <f t="shared" si="15"/>
        <v>482003</v>
      </c>
      <c r="BE28" s="144">
        <f t="shared" si="15"/>
        <v>430339</v>
      </c>
      <c r="BF28" s="144">
        <f t="shared" si="15"/>
        <v>379037.3254765629</v>
      </c>
      <c r="BG28" s="144">
        <f t="shared" si="15"/>
        <v>349582.50173999532</v>
      </c>
      <c r="BH28" s="144">
        <f t="shared" si="15"/>
        <v>339559.98364814225</v>
      </c>
      <c r="BI28" s="144">
        <f t="shared" si="15"/>
        <v>381404.3484659004</v>
      </c>
      <c r="BJ28" s="142"/>
      <c r="BK28" s="142"/>
      <c r="BL28" s="142"/>
      <c r="BM28" s="142"/>
      <c r="BN28" s="142"/>
      <c r="BO28" s="142"/>
      <c r="BP28" s="142"/>
      <c r="BQ28" s="142"/>
      <c r="BR28" s="142"/>
      <c r="BS28" s="142"/>
      <c r="BT28" s="142"/>
      <c r="BU28" s="142"/>
      <c r="BV28" s="142"/>
      <c r="BW28" s="142"/>
      <c r="BX28" s="142"/>
      <c r="BY28" s="142"/>
      <c r="BZ28" s="142"/>
      <c r="CA28" s="142"/>
      <c r="CB28" s="142"/>
      <c r="CC28" s="142"/>
      <c r="CD28" s="142"/>
    </row>
    <row r="29" spans="1:130" x14ac:dyDescent="0.25">
      <c r="A29" s="76"/>
      <c r="B29" s="76"/>
      <c r="C29" s="144"/>
      <c r="D29" s="144"/>
      <c r="E29" s="144"/>
      <c r="F29" s="144"/>
      <c r="G29" s="144"/>
      <c r="H29" s="144"/>
      <c r="I29" s="144"/>
      <c r="J29" s="144"/>
      <c r="K29" s="144"/>
      <c r="L29" s="144"/>
      <c r="M29" s="144"/>
      <c r="N29" s="144"/>
      <c r="O29" s="144"/>
      <c r="P29" s="144"/>
      <c r="Q29" s="144"/>
      <c r="R29" s="144"/>
      <c r="S29" s="144"/>
      <c r="T29" s="144"/>
      <c r="U29" s="144"/>
      <c r="V29" s="144"/>
      <c r="W29" s="144"/>
      <c r="X29" s="144"/>
      <c r="Y29" s="144"/>
      <c r="Z29" s="144"/>
      <c r="AA29" s="144"/>
      <c r="AB29" s="144"/>
      <c r="AC29" s="144"/>
      <c r="AD29" s="144"/>
      <c r="AE29" s="144"/>
      <c r="AF29" s="144"/>
      <c r="AG29" s="144"/>
      <c r="AH29" s="144"/>
      <c r="AI29" s="144"/>
      <c r="AJ29" s="144"/>
      <c r="AK29" s="144"/>
      <c r="AL29" s="144"/>
      <c r="AM29" s="144"/>
      <c r="AN29" s="144"/>
      <c r="AO29" s="144"/>
      <c r="AP29" s="144"/>
      <c r="AQ29" s="144"/>
      <c r="AR29" s="144"/>
      <c r="AS29" s="144"/>
      <c r="AT29" s="144"/>
      <c r="AU29" s="144"/>
      <c r="AV29" s="144"/>
      <c r="AW29" s="144"/>
      <c r="AX29" s="144"/>
      <c r="AY29" s="144"/>
      <c r="AZ29" s="144">
        <f>SUM(AY25:AZ27)</f>
        <v>5068123</v>
      </c>
      <c r="BA29" s="144"/>
      <c r="BB29" s="144"/>
      <c r="BC29" s="144"/>
      <c r="BD29" s="144">
        <f>SUM(BC25:BD27)</f>
        <v>5964163</v>
      </c>
      <c r="BE29" s="144"/>
      <c r="BF29" s="144"/>
      <c r="BG29" s="145"/>
      <c r="BH29" s="144"/>
      <c r="BJ29" s="144"/>
      <c r="BK29" s="142"/>
      <c r="BL29" s="142"/>
      <c r="BM29" s="142"/>
      <c r="BN29" s="142"/>
      <c r="BO29" s="142"/>
      <c r="BP29" s="142"/>
      <c r="BQ29" s="142"/>
      <c r="BR29" s="142"/>
      <c r="BS29" s="142"/>
      <c r="BT29" s="142"/>
      <c r="BU29" s="142"/>
      <c r="BV29" s="142"/>
      <c r="BW29" s="142"/>
      <c r="BX29" s="142"/>
      <c r="BY29" s="142"/>
      <c r="BZ29" s="142"/>
      <c r="CA29" s="142"/>
      <c r="CB29" s="142"/>
      <c r="CC29" s="142"/>
      <c r="CD29" s="142"/>
    </row>
    <row r="30" spans="1:130" ht="20.25" customHeight="1" x14ac:dyDescent="0.25">
      <c r="A30" s="14" t="s">
        <v>262</v>
      </c>
      <c r="AY30" s="18"/>
      <c r="AZ30" s="20"/>
      <c r="BA30" s="18"/>
      <c r="BB30" s="18"/>
      <c r="BD30" s="20">
        <f>(BD29-AZ29)/AZ29</f>
        <v>0.17679918186673843</v>
      </c>
    </row>
    <row r="31" spans="1:130" x14ac:dyDescent="0.25">
      <c r="A31" s="13" t="s">
        <v>239</v>
      </c>
      <c r="AL31" s="13">
        <v>2011</v>
      </c>
      <c r="AM31" s="13">
        <v>2012</v>
      </c>
      <c r="AN31" s="13">
        <v>2013</v>
      </c>
      <c r="AO31" s="13">
        <v>2014</v>
      </c>
      <c r="AP31" s="13">
        <v>2015</v>
      </c>
      <c r="AQ31" s="13">
        <v>2016</v>
      </c>
      <c r="AR31" s="13">
        <v>2017</v>
      </c>
      <c r="AS31" s="13">
        <v>2018</v>
      </c>
      <c r="AT31" s="13">
        <v>2019</v>
      </c>
      <c r="AU31" s="13">
        <v>2020</v>
      </c>
      <c r="AV31" s="13">
        <v>2021</v>
      </c>
      <c r="AW31" s="13">
        <v>2022</v>
      </c>
      <c r="AX31" s="13">
        <v>2023</v>
      </c>
      <c r="AY31" s="13">
        <v>2024</v>
      </c>
      <c r="AZ31" s="13">
        <v>2025</v>
      </c>
      <c r="BA31" s="13">
        <v>2026</v>
      </c>
      <c r="BB31" s="13">
        <v>2027</v>
      </c>
      <c r="BC31" s="13">
        <v>2028</v>
      </c>
      <c r="BD31" s="13">
        <v>2029</v>
      </c>
      <c r="BE31" s="13">
        <v>2030</v>
      </c>
      <c r="BF31" s="13">
        <v>2031</v>
      </c>
      <c r="BG31" s="13">
        <v>2032</v>
      </c>
      <c r="BH31" s="13">
        <v>2033</v>
      </c>
    </row>
    <row r="32" spans="1:130" x14ac:dyDescent="0.25">
      <c r="A32" s="13" t="s">
        <v>257</v>
      </c>
      <c r="AL32" s="146">
        <f>SUM(C6:F6)/1000000</f>
        <v>1.5200000000000001E-4</v>
      </c>
      <c r="AM32" s="146">
        <f>SUM(G6:J6)/1000000</f>
        <v>7.0399999999999998E-4</v>
      </c>
      <c r="AN32" s="146">
        <f>SUM(K6:N6)/1000000</f>
        <v>2.2654000000000001E-2</v>
      </c>
      <c r="AO32" s="146">
        <f>SUM(O6:R6)/1000000</f>
        <v>2.6571000000000001E-2</v>
      </c>
      <c r="AP32" s="146">
        <f>SUM(S6:V6)/1000000</f>
        <v>0.107007</v>
      </c>
      <c r="AQ32" s="146">
        <f>SUM(W6:Z6)/1000000</f>
        <v>9.6963999999999995E-2</v>
      </c>
      <c r="AR32" s="146">
        <f>SUM(AA6:AD6)/1000000</f>
        <v>0.18917</v>
      </c>
      <c r="AS32" s="146">
        <f>SUM(AE6:AH6)/1000000</f>
        <v>7.0874000000000006E-2</v>
      </c>
      <c r="AT32" s="146">
        <f>SUM(AI6:AL6)/1000000</f>
        <v>2.0749E-2</v>
      </c>
      <c r="AU32" s="146">
        <f>SUM(AM6:AP6)/1000000</f>
        <v>4.9377999999999998E-2</v>
      </c>
      <c r="AV32" s="146">
        <f>SUM(AQ6:AT6)/1000000</f>
        <v>1.8204999999999999E-2</v>
      </c>
      <c r="AW32" s="146">
        <f>SUM(AU6:AX6)/1000000</f>
        <v>0.12601299999999999</v>
      </c>
      <c r="AX32" s="146">
        <f>SUM(AY6:BB6)/1000000</f>
        <v>0.28991299999999998</v>
      </c>
      <c r="AY32" s="146">
        <f>SUM(BC6:BD6)/1000000</f>
        <v>0.132579</v>
      </c>
      <c r="AZ32" s="146">
        <f>SUM(BG6:BJ6)/1000000</f>
        <v>0.17424043149436103</v>
      </c>
      <c r="BA32" s="146">
        <f>SUM(BK6:BN6)/1000000</f>
        <v>0.19384428658734618</v>
      </c>
      <c r="BB32" s="146">
        <f>SUM(BO6:BR6)/1000000</f>
        <v>0.210791514974115</v>
      </c>
      <c r="BC32" s="146">
        <f>SUM(BS6:BV6)/1000000</f>
        <v>0.23903791054387252</v>
      </c>
      <c r="BD32" s="146">
        <f>SUM(BW6:BZ6)/1000000</f>
        <v>0.22234179944255658</v>
      </c>
      <c r="BE32" s="146">
        <f>SUM(CA6:CD6)/1000000</f>
        <v>0.20523539795224596</v>
      </c>
      <c r="BF32" s="146">
        <f>SUM(CE6:CH6)/1000000</f>
        <v>0.21027725525121571</v>
      </c>
      <c r="BG32" s="146">
        <f>SUM(CI6:CL6)/1000000</f>
        <v>0.20862719247295783</v>
      </c>
      <c r="BH32" s="146">
        <f>SUM(CM6:CP6)/1000000</f>
        <v>0.20923982073760788</v>
      </c>
    </row>
    <row r="33" spans="1:60" x14ac:dyDescent="0.25">
      <c r="A33" s="13" t="s">
        <v>263</v>
      </c>
      <c r="AL33" s="146">
        <f>SUM(C7:F7,C12:F12)/1000000</f>
        <v>1.9719999999999998E-3</v>
      </c>
      <c r="AM33" s="146">
        <f>SUM(G7:J7,G12:J12)/1000000</f>
        <v>8.3299999999999997E-4</v>
      </c>
      <c r="AN33" s="146">
        <f>SUM(K7:N7,K12:N12)/1000000</f>
        <v>0.128747</v>
      </c>
      <c r="AO33" s="146">
        <f>SUM(O7:R7,O12:R12)/1000000</f>
        <v>0.25673400000000002</v>
      </c>
      <c r="AP33" s="146">
        <f>SUM(S7:V7,S12:V12)/1000000</f>
        <v>0.44244299999999998</v>
      </c>
      <c r="AQ33" s="146">
        <f>SUM(W7:Z7,W12:Z12)/1000000</f>
        <v>1.5225379999999999</v>
      </c>
      <c r="AR33" s="146">
        <f>SUM(AA7:AD7,AA12:AD12)/1000000</f>
        <v>0.54627199999999998</v>
      </c>
      <c r="AS33" s="146">
        <f>SUM(AE7:AH7,AE12:AH12)/1000000</f>
        <v>1.219395</v>
      </c>
      <c r="AT33" s="146">
        <f>SUM(AI7:AL7,AI12:AL12)/1000000</f>
        <v>1.8807160000000001</v>
      </c>
      <c r="AU33" s="146">
        <f>SUM(AM7:AP7,AM12:AP12)/1000000</f>
        <v>1.6498409999999999</v>
      </c>
      <c r="AV33" s="146">
        <f>SUM(AQ7:AT7,AQ12:AT12)/1000000</f>
        <v>2.099812</v>
      </c>
      <c r="AW33" s="146">
        <f>SUM(AU7:AX7,AU12:AX12)/1000000</f>
        <v>2.9992329999999998</v>
      </c>
      <c r="AX33" s="146">
        <f>SUM(AY7:BB7,AY12:BB12)/1000000</f>
        <v>2.1851989999999999</v>
      </c>
      <c r="AY33" s="146">
        <f>SUM(BC7:BD7,BC12:BD12)/1000000</f>
        <v>1.4732510000000001</v>
      </c>
      <c r="AZ33" s="146">
        <f>SUM(BG7:BJ7:BG12:BJ12)/1000000</f>
        <v>4.3558754674522095</v>
      </c>
      <c r="BA33" s="146">
        <f>SUM(BK7:BN7:BK12:BN12)/1000000</f>
        <v>4.2420365897623018</v>
      </c>
      <c r="BB33" s="146">
        <f>SUM(BO7:BR7:BO12:BR12)/1000000</f>
        <v>4.2634343435473463</v>
      </c>
      <c r="BC33" s="146">
        <f>SUM(BS7:BV7:BS12:BV12)/1000000</f>
        <v>3.8186922768986702</v>
      </c>
      <c r="BD33" s="146">
        <f>SUM(BW7:BZ7:BW12:BZ12)/1000000</f>
        <v>4.1153190015721854</v>
      </c>
      <c r="BE33" s="146">
        <f>SUM(CA7:CD7:CA12:CD12)/1000000</f>
        <v>4.2521259870567931</v>
      </c>
      <c r="BF33" s="146">
        <f>SUM(CE7:CH7:CE12:CH12)/1000000</f>
        <v>4.3106660347785715</v>
      </c>
      <c r="BG33" s="146">
        <f>SUM(CI7:CL7:CI12:CL12)/1000000</f>
        <v>4.5623201681498271</v>
      </c>
      <c r="BH33" s="146">
        <f>SUM(CM7:CP7:CM12:CP12)/1000000</f>
        <v>4.5540931509866969</v>
      </c>
    </row>
    <row r="34" spans="1:60" x14ac:dyDescent="0.25">
      <c r="A34" s="13" t="s">
        <v>264</v>
      </c>
      <c r="AL34" s="146">
        <f>SUM(C17:F17)/1000000</f>
        <v>0</v>
      </c>
      <c r="AM34" s="146">
        <f>SUM(G17:J17)/1000000</f>
        <v>0</v>
      </c>
      <c r="AN34" s="146">
        <f>SUM(K17:N17)/1000000</f>
        <v>5.1096999999999997E-2</v>
      </c>
      <c r="AO34" s="146">
        <f>SUM(O17:R17)/1000000</f>
        <v>5.1712000000000001E-2</v>
      </c>
      <c r="AP34" s="146">
        <f>SUM(S17:V17)/1000000</f>
        <v>3.4645000000000002E-2</v>
      </c>
      <c r="AQ34" s="146">
        <f>SUM(W17:Z17)/1000000</f>
        <v>0.107448</v>
      </c>
      <c r="AR34" s="146">
        <f>SUM(AA17:AD17)/1000000</f>
        <v>5.5287999999999997E-2</v>
      </c>
      <c r="AS34" s="146">
        <f>SUM(AE17:AH17)/1000000</f>
        <v>6.7683999999999994E-2</v>
      </c>
      <c r="AT34" s="146">
        <f>SUM(AI17:AL17)/1000000</f>
        <v>0.13428999999999999</v>
      </c>
      <c r="AU34" s="146">
        <f>SUM(AM17:AP17)/1000000</f>
        <v>7.6419000000000001E-2</v>
      </c>
      <c r="AV34" s="146">
        <f>SUM(AQ17:AT17)/1000000</f>
        <v>0</v>
      </c>
      <c r="AW34" s="146">
        <f>SUM(AU17:AX17)/1000000</f>
        <v>0</v>
      </c>
      <c r="AX34" s="146">
        <f>SUM(AY17:BB17)/1000000</f>
        <v>0</v>
      </c>
      <c r="AY34" s="146">
        <f>SUM(BC17:BD17)/1000000</f>
        <v>0</v>
      </c>
      <c r="AZ34" s="146">
        <f>SUM(BG8:BJ8)/1000000</f>
        <v>2.766054371498497E-2</v>
      </c>
      <c r="BA34" s="146">
        <f>SUM(BK8:BN8)/1000000</f>
        <v>2.7179087534668113E-2</v>
      </c>
      <c r="BB34" s="146">
        <f>SUM(BO8:BR8)/1000000</f>
        <v>2.8573554113420337E-2</v>
      </c>
      <c r="BC34" s="146">
        <f>SUM(BS8:BV8)/1000000</f>
        <v>9.5459353263494494E-3</v>
      </c>
      <c r="BD34" s="146">
        <f>SUM(BW8:BZ8)/1000000</f>
        <v>1.7274937162503508E-2</v>
      </c>
      <c r="BE34" s="146">
        <f>SUM(CA8:CD8)/1000000</f>
        <v>2.4915769390797319E-2</v>
      </c>
      <c r="BF34" s="146">
        <f>SUM(CE8:CH8)/1000000</f>
        <v>2.3879335493499923E-2</v>
      </c>
      <c r="BG34" s="146">
        <f>SUM(CI8:CL8)/1000000</f>
        <v>2.6196442785751894E-2</v>
      </c>
      <c r="BH34" s="146">
        <f>SUM(CM8:CP8)/1000000</f>
        <v>2.5505680423484379E-2</v>
      </c>
    </row>
    <row r="35" spans="1:60" x14ac:dyDescent="0.25">
      <c r="A35" s="13" t="s">
        <v>261</v>
      </c>
      <c r="AL35" s="146">
        <f>SUM(C8:F8,C16:F16)/1000000</f>
        <v>8.1089999999999999E-3</v>
      </c>
      <c r="AM35" s="146">
        <f>SUM(G8:J8,G16:J16)/1000000</f>
        <v>7.7460000000000003E-3</v>
      </c>
      <c r="AN35" s="146">
        <f>SUM(K8:N8,K16:N16)/1000000</f>
        <v>8.1099999999999992E-3</v>
      </c>
      <c r="AO35" s="146">
        <f>SUM(O8:R8,O16:R16)/1000000</f>
        <v>1.3190000000000001E-3</v>
      </c>
      <c r="AP35" s="146">
        <f>SUM(S8:V8,S16:V16)/1000000</f>
        <v>4.2339999999999999E-3</v>
      </c>
      <c r="AQ35" s="146">
        <f>SUM(W8:Z8,W16:Z16)/1000000</f>
        <v>1.6641E-2</v>
      </c>
      <c r="AR35" s="146">
        <f>SUM(AA8:AD8,AA16:AD16)/1000000</f>
        <v>1.7638999999999998E-2</v>
      </c>
      <c r="AS35" s="146">
        <f>SUM(AE8:AH8,AE16:AH16)/1000000</f>
        <v>0.11275399999999999</v>
      </c>
      <c r="AT35" s="146">
        <f>SUM(AI8:AL8,AI16:AL16)/1000000</f>
        <v>0.344032</v>
      </c>
      <c r="AU35" s="146">
        <f>SUM(AM8:AP8,AM16:AP16)/1000000</f>
        <v>0.39905000000000002</v>
      </c>
      <c r="AV35" s="146">
        <f>SUM(AQ8:AT8,AQ16:AT16)/1000000</f>
        <v>0.44599100000000003</v>
      </c>
      <c r="AW35" s="146">
        <f>SUM(AU8:AX8,AU15:AX15)/1000000</f>
        <v>1.1198699999999999</v>
      </c>
      <c r="AX35" s="146">
        <f>SUM(AY8:BB8,AY15:BB15)/1000000</f>
        <v>1.45187</v>
      </c>
      <c r="AY35" s="146">
        <f>SUM(BC8:BD8,BC15:BD15)/1000000</f>
        <v>0.76731499999999997</v>
      </c>
      <c r="AZ35" s="146">
        <f>SUM(BG8,BJ8,BG15:BJ15)/1000000</f>
        <v>1.4318030481624235</v>
      </c>
      <c r="BA35" s="146">
        <f>SUM(BK8,BN8,BK15:BN15)/1000000</f>
        <v>1.4300713865266172</v>
      </c>
      <c r="BB35" s="146">
        <f>SUM(BO8,BR8,BO15:BR15)/1000000</f>
        <v>1.5186246452597485</v>
      </c>
      <c r="BC35" s="146">
        <f>SUM(BS8,BV8,BS15:BV15)/1000000</f>
        <v>1.4509680836309151</v>
      </c>
      <c r="BD35" s="146">
        <f>SUM(BW8,BZ8,BW15:BZ15)/1000000</f>
        <v>1.458250290649526</v>
      </c>
      <c r="BE35" s="146">
        <f>SUM(CA8,CD8,CA15:CD15)/1000000</f>
        <v>1.4925327808346054</v>
      </c>
      <c r="BF35" s="146">
        <f>SUM(CE8,CH8,CE15:CH15)/1000000</f>
        <v>1.5429816773622977</v>
      </c>
      <c r="BG35" s="146">
        <f>SUM(CI8,CL8,CI15:CL15)/1000000</f>
        <v>1.6641874721294243</v>
      </c>
      <c r="BH35" s="146">
        <f>SUM(CM8,CP8,CM15:CP15)/1000000</f>
        <v>1.6687302316576107</v>
      </c>
    </row>
    <row r="36" spans="1:60" x14ac:dyDescent="0.25">
      <c r="A36" s="13" t="s">
        <v>265</v>
      </c>
      <c r="AL36" s="146">
        <f>SUM(C11:F11)/1000000</f>
        <v>0</v>
      </c>
      <c r="AM36" s="146">
        <f>SUM(G11:J11)/1000000</f>
        <v>0</v>
      </c>
      <c r="AN36" s="146">
        <f>SUM(K11:N11)/1000000</f>
        <v>8.3999999999999995E-5</v>
      </c>
      <c r="AO36" s="146">
        <f>SUM(O11:R11)/1000000</f>
        <v>0</v>
      </c>
      <c r="AP36" s="146">
        <f>SUM(S11:V11)/1000000</f>
        <v>0</v>
      </c>
      <c r="AQ36" s="146">
        <f>SUM(W11:Z11)/1000000</f>
        <v>1.6365000000000001E-2</v>
      </c>
      <c r="AR36" s="146">
        <f>SUM(AA11:AD11)/1000000</f>
        <v>2.14E-3</v>
      </c>
      <c r="AS36" s="146">
        <f>SUM(AE11:AH11)/1000000</f>
        <v>0</v>
      </c>
      <c r="AT36" s="146">
        <f>SUM(AI11:AL11)/1000000</f>
        <v>0</v>
      </c>
      <c r="AU36" s="146">
        <f>SUM(AM11:AP11)/1000000</f>
        <v>6.8000000000000005E-4</v>
      </c>
      <c r="AV36" s="146">
        <f>SUM(AQ11:AT11)/1000000</f>
        <v>2.8884E-2</v>
      </c>
      <c r="AW36" s="146">
        <f>SUM(AU11:AX11)/1000000</f>
        <v>9.5069999999999998E-3</v>
      </c>
      <c r="AX36" s="146">
        <f>SUM(AY11:BB11)/1000000</f>
        <v>1.92E-4</v>
      </c>
      <c r="AY36" s="146">
        <f>SUM(BC11:BD11)/1000000</f>
        <v>8.2000000000000001E-5</v>
      </c>
      <c r="AZ36" s="146">
        <f t="shared" ref="AZ36:BH36" si="16">SUM(BA11:BD11)/1000000</f>
        <v>1.1900000000000001E-4</v>
      </c>
      <c r="BA36" s="146">
        <f t="shared" si="16"/>
        <v>1.22E-4</v>
      </c>
      <c r="BB36" s="146">
        <f t="shared" si="16"/>
        <v>1.3688735056001588E-3</v>
      </c>
      <c r="BC36" s="146">
        <f t="shared" si="16"/>
        <v>3.6767729258606516E-3</v>
      </c>
      <c r="BD36" s="146">
        <f t="shared" si="16"/>
        <v>4.968406344744233E-3</v>
      </c>
      <c r="BE36" s="146">
        <f t="shared" si="16"/>
        <v>6.508882019538388E-3</v>
      </c>
      <c r="BF36" s="146">
        <f t="shared" si="16"/>
        <v>7.0948634265714117E-3</v>
      </c>
      <c r="BG36" s="146">
        <f t="shared" si="16"/>
        <v>6.7694794825055027E-3</v>
      </c>
      <c r="BH36" s="146">
        <f t="shared" si="16"/>
        <v>7.2630464544732624E-3</v>
      </c>
    </row>
    <row r="37" spans="1:60" x14ac:dyDescent="0.25">
      <c r="A37" s="13" t="s">
        <v>259</v>
      </c>
      <c r="AL37" s="146">
        <f>SUM(C9:F9,C14:F14)/1100000</f>
        <v>1.6190909090909093E-2</v>
      </c>
      <c r="AM37" s="146">
        <f>SUM(G9:J9,G14:J14)/1100000</f>
        <v>7.8061818181818177E-2</v>
      </c>
      <c r="AN37" s="146">
        <f>SUM(K9:N9,K14:N14)/1100000</f>
        <v>0.70299909090909096</v>
      </c>
      <c r="AO37" s="146">
        <f>SUM(O9:R9,O14:R14)/1100000</f>
        <v>0.73772090909090904</v>
      </c>
      <c r="AP37" s="146">
        <f>SUM(S9:V9,S14:V14)/1100000</f>
        <v>0.84680363636363631</v>
      </c>
      <c r="AQ37" s="146">
        <f>SUM(W9:Z9,W14:Z14)/1100000</f>
        <v>1.2666999999999999</v>
      </c>
      <c r="AR37" s="146">
        <f>SUM(AA9:AD9,AA14:AD14)/1100000</f>
        <v>1.8655236363636363</v>
      </c>
      <c r="AS37" s="146">
        <f>SUM(AE9:AH9,AE14:AH14)/1100000</f>
        <v>1.8311218181818181</v>
      </c>
      <c r="AT37" s="146">
        <f>SUM(AI9:AL9,AI14:AL14)/1100000</f>
        <v>1.4759918181818181</v>
      </c>
      <c r="AU37" s="146">
        <f>SUM(AM9:AP9,AM14:AP14)/1100000</f>
        <v>1.7176954545454546</v>
      </c>
      <c r="AV37" s="146">
        <f>SUM(AQ9:AT9,AQ14:AT14)/1100000</f>
        <v>2.0776990909090909</v>
      </c>
      <c r="AW37" s="146">
        <f>SUM(AU9:AX9,AU14:AX14)/900000</f>
        <v>3.4966355555555557</v>
      </c>
      <c r="AX37" s="146">
        <f>SUM(AY9:BB9,AY14:BB14)/900000</f>
        <v>4.869113333333333</v>
      </c>
      <c r="AY37" s="146">
        <f>SUM(BC9:BD9,BC14:BD14)/900000</f>
        <v>3.167351111111111</v>
      </c>
      <c r="AZ37" s="146">
        <f>SUM(BG9,BJ9,BG14:BJ14)/900000</f>
        <v>4.8452286435220646</v>
      </c>
      <c r="BA37" s="146">
        <f>SUM(BK9,BN9,BK14:BN14)/900000</f>
        <v>4.8900835112434544</v>
      </c>
      <c r="BB37" s="146">
        <f>SUM(BO9,BR9,BO14:BR14)/900000</f>
        <v>5.3819118997719126</v>
      </c>
      <c r="BC37" s="146">
        <f>SUM(BS9,BV9,BS14:BV14)/900000</f>
        <v>4.9937746216503927</v>
      </c>
      <c r="BD37" s="146">
        <f>SUM(BW9,BZ9,BW14:BZ14)/900000</f>
        <v>5.1292037722803485</v>
      </c>
      <c r="BE37" s="146">
        <f>SUM(CA9,CD9,CA14:CD14)/900000</f>
        <v>5.2516069794317515</v>
      </c>
      <c r="BF37" s="146">
        <f>SUM(CE9,CH9,CE14:CH14)/900000</f>
        <v>5.5422777948369397</v>
      </c>
      <c r="BG37" s="146">
        <f>SUM(CI9,CL9,CI14:CL14)/900000</f>
        <v>6.2282073118806496</v>
      </c>
      <c r="BH37" s="146">
        <f>SUM(CM9,CP9,CM14:CP14)/900000</f>
        <v>6.2346270794281251</v>
      </c>
    </row>
    <row r="38" spans="1:60" x14ac:dyDescent="0.25">
      <c r="A38" s="13" t="s">
        <v>260</v>
      </c>
      <c r="AL38" s="146">
        <f>SUM(C10:F10,C13:F13)/1000000</f>
        <v>7.3244000000000004E-2</v>
      </c>
      <c r="AM38" s="146">
        <f>SUM(G10:J10,G13:J13)/1000000</f>
        <v>0.126855</v>
      </c>
      <c r="AN38" s="146">
        <f>SUM(K10:N10,K13:N13)/1000000</f>
        <v>0.37260799999999999</v>
      </c>
      <c r="AO38" s="146">
        <f>SUM(O10:R10,O13:R13)/1000000</f>
        <v>0.41515000000000002</v>
      </c>
      <c r="AP38" s="146">
        <f>SUM(S10:V10,S13:V13)/1000000</f>
        <v>0.73226800000000003</v>
      </c>
      <c r="AQ38" s="146">
        <f>SUM(W10:Z10,W13:Z13)/1000000</f>
        <v>0.82467400000000002</v>
      </c>
      <c r="AR38" s="146">
        <f>SUM(AA10:AD10,AA13:AD13)/1000000</f>
        <v>1.4862230000000001</v>
      </c>
      <c r="AS38" s="146">
        <f>SUM(AE10:AH10,AE13:AH13)/1000000</f>
        <v>1.6070040000000001</v>
      </c>
      <c r="AT38" s="146">
        <f>SUM(AI10:AL10,AI13:AL13)/1000000</f>
        <v>2.6089850000000001</v>
      </c>
      <c r="AU38" s="146">
        <f>SUM(AM10:AP10,AM13:AP13)/1000000</f>
        <v>2.7197939999999998</v>
      </c>
      <c r="AV38" s="146">
        <f>SUM(AQ10:AT10,AQ13:AT13)/1000000</f>
        <v>3.3120020000000001</v>
      </c>
      <c r="AW38" s="146">
        <f>SUM(AU10:AX10,AU13:AX13)/1000000</f>
        <v>4.1215650000000004</v>
      </c>
      <c r="AX38" s="146">
        <f>SUM(AY10:BB10,AY13:BB13)/1000000</f>
        <v>4.629715</v>
      </c>
      <c r="AY38" s="146">
        <f>SUM(BC10:BD10,BC13:BD13)/1000000</f>
        <v>1.640296</v>
      </c>
      <c r="AZ38" s="146">
        <f>SUM(BG10,BJ10,BG13:BJ13)/900000</f>
        <v>4.2477350372103668</v>
      </c>
      <c r="BA38" s="146">
        <f>SUM(BK10,BN10,BK13:BN13)/900000</f>
        <v>4.2177328973896548</v>
      </c>
      <c r="BB38" s="146">
        <f>SUM(BO10,BR10,BO13:BR13)/900000</f>
        <v>4.212968573542943</v>
      </c>
      <c r="BC38" s="146">
        <f>SUM(BS10,BV10,BS13:BV13)/900000</f>
        <v>4.346682323554842</v>
      </c>
      <c r="BD38" s="146">
        <f>SUM(BW10,BZ10,BW13:BZ13)/900000</f>
        <v>4.1762534120182018</v>
      </c>
      <c r="BE38" s="146">
        <f>SUM(CA10,CD10,CA13:CD13)/900000</f>
        <v>4.2668586663547865</v>
      </c>
      <c r="BF38" s="146">
        <f>SUM(CE10,CH10,CE13:CH13)/900000</f>
        <v>4.2638567468159856</v>
      </c>
      <c r="BG38" s="146">
        <f>SUM(CI10,CL10,CI13:CL13)/900000</f>
        <v>4.2725663115854013</v>
      </c>
      <c r="BH38" s="146">
        <f>SUM(CM10,CP10,CM13:CP13)/900000</f>
        <v>4.291513842909743</v>
      </c>
    </row>
    <row r="39" spans="1:60" x14ac:dyDescent="0.25">
      <c r="AV39" s="147">
        <f>SUM(AV32:AV38)</f>
        <v>7.9825930909090914</v>
      </c>
      <c r="AW39" s="147">
        <f t="shared" ref="AW39:BH39" si="17">SUM(AW32:AW38)</f>
        <v>11.872823555555556</v>
      </c>
      <c r="AX39" s="147">
        <f t="shared" si="17"/>
        <v>13.426002333333333</v>
      </c>
      <c r="AY39" s="147">
        <f t="shared" si="17"/>
        <v>7.1808741111111116</v>
      </c>
      <c r="AZ39" s="147">
        <f t="shared" si="17"/>
        <v>15.082662171556411</v>
      </c>
      <c r="BA39" s="147">
        <f t="shared" si="17"/>
        <v>15.001069759044043</v>
      </c>
      <c r="BB39" s="147">
        <f t="shared" si="17"/>
        <v>15.617673404715086</v>
      </c>
      <c r="BC39" s="147">
        <f t="shared" si="17"/>
        <v>14.862377924530904</v>
      </c>
      <c r="BD39" s="147">
        <f t="shared" si="17"/>
        <v>15.123611619470067</v>
      </c>
      <c r="BE39" s="147">
        <f t="shared" si="17"/>
        <v>15.49978446304052</v>
      </c>
      <c r="BF39" s="147">
        <f t="shared" si="17"/>
        <v>15.90103370796508</v>
      </c>
      <c r="BG39" s="147">
        <f t="shared" si="17"/>
        <v>16.968874378486518</v>
      </c>
      <c r="BH39" s="147">
        <f t="shared" si="17"/>
        <v>16.990972852597743</v>
      </c>
    </row>
    <row r="40" spans="1:60" x14ac:dyDescent="0.25">
      <c r="B40" s="148"/>
      <c r="I40" s="149"/>
      <c r="J40" s="149"/>
      <c r="K40" s="149"/>
      <c r="AV40" s="13" t="s">
        <v>257</v>
      </c>
      <c r="AW40" s="20">
        <f t="shared" ref="AW40:AY46" si="18">AW32/AW$39</f>
        <v>1.0613566302098015E-2</v>
      </c>
      <c r="AX40" s="20">
        <f t="shared" si="18"/>
        <v>2.159339711123244E-2</v>
      </c>
      <c r="AY40" s="20">
        <f t="shared" si="18"/>
        <v>1.8462794076121992E-2</v>
      </c>
    </row>
    <row r="41" spans="1:60" x14ac:dyDescent="0.25">
      <c r="AV41" s="13" t="s">
        <v>263</v>
      </c>
      <c r="AW41" s="20">
        <f t="shared" si="18"/>
        <v>0.25261328831898566</v>
      </c>
      <c r="AX41" s="20">
        <f t="shared" si="18"/>
        <v>0.16275872338966524</v>
      </c>
      <c r="AY41" s="20">
        <f t="shared" si="18"/>
        <v>0.20516318448201298</v>
      </c>
    </row>
    <row r="42" spans="1:60" x14ac:dyDescent="0.25">
      <c r="AV42" s="13" t="s">
        <v>264</v>
      </c>
      <c r="AW42" s="20">
        <f t="shared" si="18"/>
        <v>0</v>
      </c>
      <c r="AX42" s="20">
        <f t="shared" si="18"/>
        <v>0</v>
      </c>
      <c r="AY42" s="20">
        <f t="shared" si="18"/>
        <v>0</v>
      </c>
    </row>
    <row r="43" spans="1:60" x14ac:dyDescent="0.25">
      <c r="AV43" s="13" t="s">
        <v>261</v>
      </c>
      <c r="AW43" s="20">
        <f t="shared" si="18"/>
        <v>9.4322129421016115E-2</v>
      </c>
      <c r="AX43" s="20">
        <f t="shared" si="18"/>
        <v>0.10813866733773596</v>
      </c>
      <c r="AY43" s="20">
        <f t="shared" si="18"/>
        <v>0.1068553755611337</v>
      </c>
    </row>
    <row r="44" spans="1:60" x14ac:dyDescent="0.25">
      <c r="AV44" s="13" t="s">
        <v>265</v>
      </c>
      <c r="AW44" s="20">
        <f t="shared" si="18"/>
        <v>8.007362322462432E-4</v>
      </c>
      <c r="AX44" s="20">
        <f t="shared" si="18"/>
        <v>1.4300608269917627E-5</v>
      </c>
      <c r="AY44" s="20">
        <f t="shared" si="18"/>
        <v>1.1419222608723879E-5</v>
      </c>
    </row>
    <row r="45" spans="1:60" x14ac:dyDescent="0.25">
      <c r="AV45" s="13" t="s">
        <v>259</v>
      </c>
      <c r="AW45" s="20">
        <f t="shared" si="18"/>
        <v>0.2945074976642269</v>
      </c>
      <c r="AX45" s="20">
        <f t="shared" si="18"/>
        <v>0.36266292917621268</v>
      </c>
      <c r="AY45" s="20">
        <f t="shared" si="18"/>
        <v>0.44108155387520365</v>
      </c>
    </row>
    <row r="46" spans="1:60" x14ac:dyDescent="0.25">
      <c r="AV46" s="13" t="s">
        <v>260</v>
      </c>
      <c r="AW46" s="20">
        <f t="shared" si="18"/>
        <v>0.34714278206142712</v>
      </c>
      <c r="AX46" s="20">
        <f t="shared" si="18"/>
        <v>0.34483198237688373</v>
      </c>
      <c r="AY46" s="20">
        <f t="shared" si="18"/>
        <v>0.22842567278291884</v>
      </c>
    </row>
    <row r="47" spans="1:60" x14ac:dyDescent="0.25">
      <c r="AX47" s="147"/>
      <c r="AY47" s="147"/>
    </row>
    <row r="48" spans="1:60" x14ac:dyDescent="0.25">
      <c r="AX48" s="20"/>
      <c r="AY48" s="20"/>
    </row>
  </sheetData>
  <mergeCells count="32">
    <mergeCell ref="AU4:AX4"/>
    <mergeCell ref="C4:F4"/>
    <mergeCell ref="G4:J4"/>
    <mergeCell ref="K4:N4"/>
    <mergeCell ref="O4:R4"/>
    <mergeCell ref="S4:V4"/>
    <mergeCell ref="W4:Z4"/>
    <mergeCell ref="AA4:AD4"/>
    <mergeCell ref="AE4:AH4"/>
    <mergeCell ref="AI4:AL4"/>
    <mergeCell ref="AM4:AP4"/>
    <mergeCell ref="AQ4:AT4"/>
    <mergeCell ref="CQ4:CT4"/>
    <mergeCell ref="AY4:BB4"/>
    <mergeCell ref="BC4:BF4"/>
    <mergeCell ref="BG4:BJ4"/>
    <mergeCell ref="BK4:BN4"/>
    <mergeCell ref="BO4:BR4"/>
    <mergeCell ref="BS4:BV4"/>
    <mergeCell ref="BW4:BZ4"/>
    <mergeCell ref="CA4:CD4"/>
    <mergeCell ref="CE4:CH4"/>
    <mergeCell ref="CI4:CL4"/>
    <mergeCell ref="CM4:CP4"/>
    <mergeCell ref="DS4:DV4"/>
    <mergeCell ref="DW4:DZ4"/>
    <mergeCell ref="CU4:CX4"/>
    <mergeCell ref="CY4:DB4"/>
    <mergeCell ref="DC4:DF4"/>
    <mergeCell ref="DG4:DJ4"/>
    <mergeCell ref="DK4:DN4"/>
    <mergeCell ref="DO4:DR4"/>
  </mergeCells>
  <pageMargins left="1" right="1" top="1" bottom="1" header="1" footer="1"/>
  <pageSetup orientation="portrait" horizontalDpi="300" verticalDpi="300"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E1EB8-F643-45CE-AA03-0DB1B40DC845}">
  <dimension ref="A1"/>
  <sheetViews>
    <sheetView topLeftCell="H22" zoomScale="120" zoomScaleNormal="120" workbookViewId="0">
      <selection activeCell="A6" sqref="A6"/>
    </sheetView>
  </sheetViews>
  <sheetFormatPr defaultRowHeight="15" x14ac:dyDescent="0.25"/>
  <cols>
    <col min="1" max="16384" width="9.140625" style="13"/>
  </cols>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970E7B-3580-4AD7-AD0F-D41BC3867AD3}">
  <dimension ref="A1:W10"/>
  <sheetViews>
    <sheetView workbookViewId="0">
      <selection activeCell="A6" sqref="A6"/>
    </sheetView>
  </sheetViews>
  <sheetFormatPr defaultColWidth="9" defaultRowHeight="14.25" x14ac:dyDescent="0.2"/>
  <cols>
    <col min="1" max="2" width="9" style="9"/>
    <col min="3" max="3" width="31.140625" style="9" customWidth="1"/>
    <col min="4" max="4" width="12.140625" style="9" customWidth="1"/>
    <col min="5" max="5" width="11.7109375" style="9" customWidth="1"/>
    <col min="6" max="6" width="11.5703125" style="9" customWidth="1"/>
    <col min="7" max="7" width="12.140625" style="9" customWidth="1"/>
    <col min="8" max="8" width="11.5703125" style="9" bestFit="1" customWidth="1"/>
    <col min="9" max="9" width="12.140625" style="9" customWidth="1"/>
    <col min="10" max="15" width="12.7109375" style="9" bestFit="1" customWidth="1"/>
    <col min="16" max="16" width="12.85546875" style="9" customWidth="1"/>
    <col min="17" max="16384" width="9" style="9"/>
  </cols>
  <sheetData>
    <row r="1" spans="1:23" ht="18" x14ac:dyDescent="0.25">
      <c r="A1" s="30" t="s">
        <v>266</v>
      </c>
    </row>
    <row r="2" spans="1:23" ht="15" x14ac:dyDescent="0.25">
      <c r="A2" s="150" t="s">
        <v>267</v>
      </c>
      <c r="D2" s="8">
        <v>2011</v>
      </c>
      <c r="E2" s="8">
        <v>2012</v>
      </c>
      <c r="F2" s="8">
        <v>2013</v>
      </c>
      <c r="G2" s="8">
        <v>2014</v>
      </c>
      <c r="H2" s="8">
        <v>2015</v>
      </c>
      <c r="I2" s="8">
        <v>2016</v>
      </c>
      <c r="J2" s="8">
        <v>2017</v>
      </c>
      <c r="K2" s="8">
        <v>2018</v>
      </c>
      <c r="L2" s="8">
        <v>2019</v>
      </c>
      <c r="M2" s="8">
        <v>2020</v>
      </c>
      <c r="N2" s="8">
        <v>2021</v>
      </c>
      <c r="O2" s="8">
        <v>2022</v>
      </c>
      <c r="P2" s="8">
        <v>2023</v>
      </c>
      <c r="Q2" s="8">
        <v>2024</v>
      </c>
      <c r="R2" s="8">
        <v>2025</v>
      </c>
      <c r="S2" s="8">
        <v>2026</v>
      </c>
      <c r="T2" s="8">
        <v>2027</v>
      </c>
      <c r="U2" s="8">
        <v>2028</v>
      </c>
      <c r="V2" s="8">
        <v>2029</v>
      </c>
      <c r="W2" s="8">
        <v>2030</v>
      </c>
    </row>
    <row r="3" spans="1:23" x14ac:dyDescent="0.2">
      <c r="A3" s="9" t="s">
        <v>268</v>
      </c>
      <c r="D3" s="9">
        <v>-0.25</v>
      </c>
      <c r="E3" s="9">
        <v>-0.5</v>
      </c>
      <c r="F3" s="9">
        <v>-1</v>
      </c>
      <c r="G3" s="9">
        <v>-1.5</v>
      </c>
      <c r="H3" s="9">
        <v>-2.5</v>
      </c>
      <c r="I3" s="9">
        <v>-3.5</v>
      </c>
      <c r="J3" s="9">
        <v>-5</v>
      </c>
      <c r="K3" s="9">
        <v>-6.5</v>
      </c>
      <c r="L3" s="9">
        <v>-8</v>
      </c>
      <c r="M3" s="9">
        <v>-10</v>
      </c>
    </row>
    <row r="4" spans="1:23" x14ac:dyDescent="0.2">
      <c r="A4" s="9" t="s">
        <v>269</v>
      </c>
      <c r="D4" s="9">
        <v>-0.25</v>
      </c>
      <c r="E4" s="9">
        <v>-0.5</v>
      </c>
      <c r="F4" s="9">
        <v>-1</v>
      </c>
      <c r="G4" s="9">
        <v>-1</v>
      </c>
      <c r="H4" s="9">
        <v>-1</v>
      </c>
      <c r="I4" s="9">
        <v>-2</v>
      </c>
      <c r="J4" s="9">
        <v>-3.5000000000000004</v>
      </c>
      <c r="K4" s="9">
        <v>-5</v>
      </c>
      <c r="L4" s="9">
        <v>-6.25</v>
      </c>
      <c r="M4" s="9">
        <v>-7.5</v>
      </c>
      <c r="N4" s="9">
        <v>-8.75</v>
      </c>
      <c r="O4" s="9">
        <v>-10</v>
      </c>
      <c r="P4" s="9">
        <v>-11.25</v>
      </c>
    </row>
    <row r="5" spans="1:23" x14ac:dyDescent="0.2">
      <c r="A5" s="9" t="s">
        <v>270</v>
      </c>
      <c r="P5" s="9">
        <v>-11.25</v>
      </c>
      <c r="Q5" s="9">
        <v>-12.5</v>
      </c>
      <c r="R5" s="9">
        <v>-13.75</v>
      </c>
      <c r="S5" s="9">
        <v>-15</v>
      </c>
      <c r="T5" s="9">
        <v>-16.25</v>
      </c>
      <c r="U5" s="9">
        <v>-17.5</v>
      </c>
      <c r="V5" s="9">
        <v>-18.75</v>
      </c>
      <c r="W5" s="9">
        <v>-20</v>
      </c>
    </row>
    <row r="6" spans="1:23" x14ac:dyDescent="0.2">
      <c r="A6" s="86" t="s">
        <v>271</v>
      </c>
      <c r="B6" s="86"/>
      <c r="C6" s="86"/>
      <c r="D6" s="86"/>
      <c r="E6" s="86"/>
      <c r="F6" s="86"/>
      <c r="G6" s="86"/>
      <c r="H6" s="86"/>
      <c r="I6" s="86"/>
      <c r="J6" s="86"/>
      <c r="K6" s="86"/>
      <c r="L6" s="86"/>
      <c r="M6" s="86"/>
      <c r="N6" s="86"/>
      <c r="O6" s="86"/>
      <c r="P6" s="86">
        <v>-11.25</v>
      </c>
      <c r="Q6" s="86">
        <v>-12.5</v>
      </c>
      <c r="R6" s="86">
        <f>Q6-$V$8</f>
        <v>-15.5</v>
      </c>
      <c r="S6" s="86">
        <f>R6-$V$8</f>
        <v>-18.5</v>
      </c>
      <c r="T6" s="86">
        <f>S6-$V$8</f>
        <v>-21.5</v>
      </c>
      <c r="U6" s="86">
        <f>T6-$V$8</f>
        <v>-24.5</v>
      </c>
      <c r="V6" s="86">
        <f>U6-$V$8</f>
        <v>-27.5</v>
      </c>
      <c r="W6" s="86">
        <v>-30</v>
      </c>
    </row>
    <row r="7" spans="1:23" x14ac:dyDescent="0.2">
      <c r="A7" s="9" t="s">
        <v>272</v>
      </c>
      <c r="D7" s="151">
        <f t="shared" ref="D7:P7" si="0">D4*(D9/D10)</f>
        <v>-0.5926761569748269</v>
      </c>
      <c r="E7" s="151">
        <f t="shared" si="0"/>
        <v>-0.82977469884955524</v>
      </c>
      <c r="F7" s="151">
        <f t="shared" si="0"/>
        <v>-1.5046146040153547</v>
      </c>
      <c r="G7" s="151">
        <f t="shared" si="0"/>
        <v>-1.6749934173318148</v>
      </c>
      <c r="H7" s="151">
        <f t="shared" si="0"/>
        <v>-2.075918915729368</v>
      </c>
      <c r="I7" s="151">
        <f t="shared" si="0"/>
        <v>-2.7678596420646122</v>
      </c>
      <c r="J7" s="151">
        <f t="shared" si="0"/>
        <v>-3.5016024001160453</v>
      </c>
      <c r="K7" s="151">
        <f t="shared" si="0"/>
        <v>-4.5730043408978691</v>
      </c>
      <c r="L7" s="151">
        <f t="shared" si="0"/>
        <v>-6.0270391314496319</v>
      </c>
      <c r="M7" s="151">
        <f t="shared" si="0"/>
        <v>-7.4464998651879704</v>
      </c>
      <c r="N7" s="151">
        <f t="shared" si="0"/>
        <v>-9.4081494621341388</v>
      </c>
      <c r="O7" s="151">
        <f t="shared" si="0"/>
        <v>-12.655230846300721</v>
      </c>
      <c r="P7" s="151">
        <f t="shared" si="0"/>
        <v>-15.344512187234402</v>
      </c>
      <c r="V7" s="9">
        <v>1.25</v>
      </c>
      <c r="W7" s="9" t="s">
        <v>273</v>
      </c>
    </row>
    <row r="8" spans="1:23" x14ac:dyDescent="0.2">
      <c r="V8" s="9">
        <v>3</v>
      </c>
    </row>
    <row r="9" spans="1:23" x14ac:dyDescent="0.2">
      <c r="B9" s="9" t="s">
        <v>274</v>
      </c>
      <c r="D9" s="50">
        <v>1293978</v>
      </c>
      <c r="E9" s="50">
        <v>1691509</v>
      </c>
      <c r="F9" s="50">
        <v>3754197</v>
      </c>
      <c r="G9" s="50">
        <v>4300291</v>
      </c>
      <c r="H9" s="50">
        <v>5488248</v>
      </c>
      <c r="I9" s="50">
        <v>9384042</v>
      </c>
      <c r="J9" s="50">
        <v>10021435</v>
      </c>
      <c r="K9" s="50">
        <v>11310472</v>
      </c>
      <c r="L9" s="45">
        <v>14934921</v>
      </c>
      <c r="M9" s="45">
        <v>15377749</v>
      </c>
      <c r="N9" s="45">
        <v>20395338</v>
      </c>
      <c r="O9" s="45">
        <v>26871430</v>
      </c>
      <c r="P9" s="45">
        <v>30578252</v>
      </c>
    </row>
    <row r="10" spans="1:23" x14ac:dyDescent="0.2">
      <c r="B10" s="9" t="s">
        <v>275</v>
      </c>
      <c r="D10" s="50">
        <v>545820</v>
      </c>
      <c r="E10" s="50">
        <v>1019258</v>
      </c>
      <c r="F10" s="50">
        <v>2495122</v>
      </c>
      <c r="G10" s="50">
        <v>2567348</v>
      </c>
      <c r="H10" s="50">
        <v>2643768</v>
      </c>
      <c r="I10" s="50">
        <v>6780721</v>
      </c>
      <c r="J10" s="50">
        <v>10016849</v>
      </c>
      <c r="K10" s="50">
        <v>12366566</v>
      </c>
      <c r="L10" s="45">
        <v>15487415</v>
      </c>
      <c r="M10" s="45">
        <v>15488232</v>
      </c>
      <c r="N10" s="45">
        <v>18968577</v>
      </c>
      <c r="O10" s="45">
        <v>21233457</v>
      </c>
      <c r="P10" s="45">
        <v>22418786</v>
      </c>
    </row>
  </sheetData>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105DD9-E61D-45C6-90D4-DBE0E3833F9F}">
  <dimension ref="A1:D28"/>
  <sheetViews>
    <sheetView topLeftCell="A31" workbookViewId="0">
      <selection activeCell="A6" sqref="A6"/>
    </sheetView>
  </sheetViews>
  <sheetFormatPr defaultRowHeight="14.25" x14ac:dyDescent="0.2"/>
  <cols>
    <col min="1" max="1" width="9.140625" style="9"/>
    <col min="2" max="4" width="18" style="159" customWidth="1"/>
    <col min="5" max="16384" width="9.140625" style="9"/>
  </cols>
  <sheetData>
    <row r="1" spans="1:4" ht="15" x14ac:dyDescent="0.25">
      <c r="A1" s="8" t="s">
        <v>276</v>
      </c>
      <c r="B1" s="152"/>
      <c r="C1" s="152"/>
      <c r="D1" s="152"/>
    </row>
    <row r="2" spans="1:4" ht="60" x14ac:dyDescent="0.25">
      <c r="A2" s="153" t="s">
        <v>277</v>
      </c>
      <c r="B2" s="154" t="s">
        <v>278</v>
      </c>
      <c r="C2" s="154" t="s">
        <v>279</v>
      </c>
      <c r="D2" s="154" t="s">
        <v>280</v>
      </c>
    </row>
    <row r="3" spans="1:4" x14ac:dyDescent="0.2">
      <c r="A3" s="155">
        <v>2020</v>
      </c>
      <c r="B3" s="156">
        <v>92.92</v>
      </c>
      <c r="C3" s="156">
        <v>91.98</v>
      </c>
      <c r="D3" s="156">
        <v>89.37</v>
      </c>
    </row>
    <row r="4" spans="1:4" x14ac:dyDescent="0.2">
      <c r="A4" s="155">
        <v>2021</v>
      </c>
      <c r="B4" s="156">
        <v>91.66</v>
      </c>
      <c r="C4" s="156">
        <v>90.74</v>
      </c>
      <c r="D4" s="156">
        <v>89.37</v>
      </c>
    </row>
    <row r="5" spans="1:4" x14ac:dyDescent="0.2">
      <c r="A5" s="155">
        <v>2022</v>
      </c>
      <c r="B5" s="156">
        <v>90.41</v>
      </c>
      <c r="C5" s="156">
        <v>89.5</v>
      </c>
      <c r="D5" s="156">
        <v>89.37</v>
      </c>
    </row>
    <row r="6" spans="1:4" x14ac:dyDescent="0.2">
      <c r="A6" s="155">
        <v>2023</v>
      </c>
      <c r="B6" s="156">
        <v>89.15</v>
      </c>
      <c r="C6" s="156">
        <v>88.25</v>
      </c>
      <c r="D6" s="156">
        <v>89.15</v>
      </c>
    </row>
    <row r="7" spans="1:4" x14ac:dyDescent="0.2">
      <c r="A7" s="155">
        <v>2024</v>
      </c>
      <c r="B7" s="156">
        <v>87.89</v>
      </c>
      <c r="C7" s="156">
        <v>87.01</v>
      </c>
      <c r="D7" s="156">
        <v>87.89</v>
      </c>
    </row>
    <row r="8" spans="1:4" x14ac:dyDescent="0.2">
      <c r="A8" s="157">
        <v>2025</v>
      </c>
      <c r="B8" s="158">
        <v>81.7</v>
      </c>
      <c r="C8" s="158">
        <v>76.599999999999994</v>
      </c>
      <c r="D8" s="158">
        <v>81.7</v>
      </c>
    </row>
    <row r="9" spans="1:4" x14ac:dyDescent="0.2">
      <c r="A9" s="157">
        <v>2026</v>
      </c>
      <c r="B9" s="158">
        <v>80.17</v>
      </c>
      <c r="C9" s="158">
        <v>75.16</v>
      </c>
      <c r="D9" s="158">
        <v>80.17</v>
      </c>
    </row>
    <row r="10" spans="1:4" x14ac:dyDescent="0.2">
      <c r="A10" s="157">
        <v>2027</v>
      </c>
      <c r="B10" s="158">
        <v>78.63</v>
      </c>
      <c r="C10" s="158">
        <v>73.72</v>
      </c>
      <c r="D10" s="158">
        <v>78.63</v>
      </c>
    </row>
    <row r="11" spans="1:4" x14ac:dyDescent="0.2">
      <c r="A11" s="157">
        <v>2028</v>
      </c>
      <c r="B11" s="158">
        <v>77.099999999999994</v>
      </c>
      <c r="C11" s="158">
        <v>72.28</v>
      </c>
      <c r="D11" s="158">
        <v>77.099999999999994</v>
      </c>
    </row>
    <row r="12" spans="1:4" x14ac:dyDescent="0.2">
      <c r="A12" s="157">
        <v>2029</v>
      </c>
      <c r="B12" s="158">
        <v>75.569999999999993</v>
      </c>
      <c r="C12" s="158">
        <v>70.84</v>
      </c>
      <c r="D12" s="158">
        <v>75.569999999999993</v>
      </c>
    </row>
    <row r="13" spans="1:4" x14ac:dyDescent="0.2">
      <c r="A13" s="157">
        <v>2030</v>
      </c>
      <c r="B13" s="158">
        <v>74.03</v>
      </c>
      <c r="C13" s="158">
        <v>69.400000000000006</v>
      </c>
      <c r="D13" s="158">
        <v>74.03</v>
      </c>
    </row>
    <row r="14" spans="1:4" x14ac:dyDescent="0.2">
      <c r="A14" s="9">
        <v>2031</v>
      </c>
      <c r="B14" s="159">
        <v>69.27</v>
      </c>
      <c r="C14" s="159">
        <v>64.94</v>
      </c>
      <c r="D14" s="159">
        <v>69.27</v>
      </c>
    </row>
    <row r="15" spans="1:4" x14ac:dyDescent="0.2">
      <c r="A15" s="9">
        <v>2032</v>
      </c>
      <c r="B15" s="159">
        <v>64.510000000000005</v>
      </c>
      <c r="C15" s="159">
        <v>60.48</v>
      </c>
      <c r="D15" s="159">
        <v>64.510000000000005</v>
      </c>
    </row>
    <row r="16" spans="1:4" x14ac:dyDescent="0.2">
      <c r="A16" s="9">
        <v>2033</v>
      </c>
      <c r="B16" s="159">
        <v>59.75</v>
      </c>
      <c r="C16" s="159">
        <v>56.02</v>
      </c>
      <c r="D16" s="159">
        <v>59.75</v>
      </c>
    </row>
    <row r="17" spans="1:4" x14ac:dyDescent="0.2">
      <c r="A17" s="9">
        <v>2034</v>
      </c>
      <c r="B17" s="159">
        <v>54.99</v>
      </c>
      <c r="C17" s="159">
        <v>51.55</v>
      </c>
      <c r="D17" s="159">
        <v>54.99</v>
      </c>
    </row>
    <row r="18" spans="1:4" x14ac:dyDescent="0.2">
      <c r="A18" s="9">
        <v>2035</v>
      </c>
      <c r="B18" s="159">
        <v>50.23</v>
      </c>
      <c r="C18" s="159">
        <v>47.09</v>
      </c>
      <c r="D18" s="159">
        <v>50.23</v>
      </c>
    </row>
    <row r="19" spans="1:4" x14ac:dyDescent="0.2">
      <c r="A19" s="9">
        <v>2036</v>
      </c>
      <c r="B19" s="159">
        <v>45.47</v>
      </c>
      <c r="C19" s="159">
        <v>42.63</v>
      </c>
      <c r="D19" s="159">
        <v>45.47</v>
      </c>
    </row>
    <row r="20" spans="1:4" x14ac:dyDescent="0.2">
      <c r="A20" s="9">
        <v>2037</v>
      </c>
      <c r="B20" s="159">
        <v>40.71</v>
      </c>
      <c r="C20" s="159">
        <v>38.17</v>
      </c>
      <c r="D20" s="159">
        <v>40.71</v>
      </c>
    </row>
    <row r="21" spans="1:4" x14ac:dyDescent="0.2">
      <c r="A21" s="9">
        <v>2038</v>
      </c>
      <c r="B21" s="159">
        <v>35.950000000000003</v>
      </c>
      <c r="C21" s="159">
        <v>33.71</v>
      </c>
      <c r="D21" s="159">
        <v>35.950000000000003</v>
      </c>
    </row>
    <row r="22" spans="1:4" x14ac:dyDescent="0.2">
      <c r="A22" s="9">
        <v>2039</v>
      </c>
      <c r="B22" s="159">
        <v>31.19</v>
      </c>
      <c r="C22" s="159">
        <v>29.24</v>
      </c>
      <c r="D22" s="159">
        <v>31.19</v>
      </c>
    </row>
    <row r="23" spans="1:4" x14ac:dyDescent="0.2">
      <c r="A23" s="9">
        <v>2040</v>
      </c>
      <c r="B23" s="159">
        <v>26.44</v>
      </c>
      <c r="C23" s="159">
        <v>24.78</v>
      </c>
      <c r="D23" s="159">
        <v>26.44</v>
      </c>
    </row>
    <row r="24" spans="1:4" x14ac:dyDescent="0.2">
      <c r="A24" s="9">
        <v>2041</v>
      </c>
      <c r="B24" s="159">
        <v>23.26</v>
      </c>
      <c r="C24" s="159">
        <v>21.81</v>
      </c>
      <c r="D24" s="159">
        <v>23.26</v>
      </c>
    </row>
    <row r="25" spans="1:4" x14ac:dyDescent="0.2">
      <c r="A25" s="9">
        <v>2042</v>
      </c>
      <c r="B25" s="159">
        <v>20.09</v>
      </c>
      <c r="C25" s="159">
        <v>18.829999999999998</v>
      </c>
      <c r="D25" s="159">
        <v>20.09</v>
      </c>
    </row>
    <row r="26" spans="1:4" x14ac:dyDescent="0.2">
      <c r="A26" s="9">
        <v>2043</v>
      </c>
      <c r="B26" s="159">
        <v>16.920000000000002</v>
      </c>
      <c r="C26" s="159">
        <v>15.86</v>
      </c>
      <c r="D26" s="159">
        <v>16.920000000000002</v>
      </c>
    </row>
    <row r="27" spans="1:4" x14ac:dyDescent="0.2">
      <c r="A27" s="9">
        <v>2044</v>
      </c>
      <c r="B27" s="159">
        <v>13.74</v>
      </c>
      <c r="C27" s="159">
        <v>12.88</v>
      </c>
      <c r="D27" s="159">
        <v>13.74</v>
      </c>
    </row>
    <row r="28" spans="1:4" x14ac:dyDescent="0.2">
      <c r="A28" s="9" t="s">
        <v>281</v>
      </c>
      <c r="B28" s="159">
        <v>10.57</v>
      </c>
      <c r="C28" s="159">
        <v>9.91</v>
      </c>
      <c r="D28" s="159">
        <v>10.57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7B8098-85F6-4B43-9C6A-907E3C96250F}">
  <dimension ref="A2:E87"/>
  <sheetViews>
    <sheetView showGridLines="0" zoomScale="90" zoomScaleNormal="90" workbookViewId="0">
      <pane ySplit="1" topLeftCell="A2" activePane="bottomLeft" state="frozen"/>
      <selection activeCell="A6" sqref="A6"/>
      <selection pane="bottomLeft" activeCell="A6" sqref="A6"/>
    </sheetView>
  </sheetViews>
  <sheetFormatPr defaultColWidth="8.85546875" defaultRowHeight="15" x14ac:dyDescent="0.25"/>
  <cols>
    <col min="1" max="1" width="18.140625" style="13" customWidth="1"/>
    <col min="2" max="2" width="7.42578125" style="13" customWidth="1"/>
    <col min="3" max="3" width="13.85546875" style="13" customWidth="1"/>
    <col min="4" max="4" width="13" style="13" bestFit="1" customWidth="1"/>
    <col min="5" max="5" width="13" style="13" customWidth="1"/>
    <col min="6" max="16384" width="8.85546875" style="13"/>
  </cols>
  <sheetData>
    <row r="2" spans="1:5" x14ac:dyDescent="0.25">
      <c r="A2" s="37" t="s">
        <v>230</v>
      </c>
      <c r="B2" s="37" t="s">
        <v>87</v>
      </c>
      <c r="C2" s="138"/>
      <c r="D2" s="138"/>
      <c r="E2" s="138">
        <v>2021</v>
      </c>
    </row>
    <row r="3" spans="1:5" x14ac:dyDescent="0.25">
      <c r="A3" s="76" t="s">
        <v>282</v>
      </c>
      <c r="B3" s="39" t="s">
        <v>88</v>
      </c>
      <c r="C3" s="39" t="s">
        <v>68</v>
      </c>
      <c r="D3" s="39" t="s">
        <v>69</v>
      </c>
      <c r="E3" s="39" t="s">
        <v>70</v>
      </c>
    </row>
    <row r="4" spans="1:5" x14ac:dyDescent="0.25">
      <c r="A4" s="39" t="s">
        <v>283</v>
      </c>
      <c r="B4" s="39" t="s">
        <v>125</v>
      </c>
      <c r="C4" s="160">
        <v>255070842</v>
      </c>
      <c r="D4" s="160">
        <v>350364644</v>
      </c>
      <c r="E4" s="160">
        <v>301797945</v>
      </c>
    </row>
    <row r="5" spans="1:5" x14ac:dyDescent="0.25">
      <c r="A5" s="39" t="s">
        <v>284</v>
      </c>
      <c r="B5" s="39" t="s">
        <v>125</v>
      </c>
      <c r="C5" s="160">
        <v>25934325</v>
      </c>
      <c r="D5" s="160">
        <v>35362962</v>
      </c>
      <c r="E5" s="160">
        <v>37017616</v>
      </c>
    </row>
    <row r="6" spans="1:5" x14ac:dyDescent="0.25">
      <c r="A6" s="39" t="s">
        <v>285</v>
      </c>
      <c r="B6" s="39" t="s">
        <v>125</v>
      </c>
      <c r="C6" s="160">
        <v>0</v>
      </c>
      <c r="D6" s="160">
        <v>0</v>
      </c>
      <c r="E6" s="160">
        <v>0</v>
      </c>
    </row>
    <row r="7" spans="1:5" ht="38.25" x14ac:dyDescent="0.25">
      <c r="A7" s="39" t="s">
        <v>286</v>
      </c>
      <c r="B7" s="39" t="s">
        <v>125</v>
      </c>
      <c r="C7" s="160">
        <v>0</v>
      </c>
      <c r="D7" s="160">
        <v>12874110</v>
      </c>
      <c r="E7" s="160">
        <v>35892538</v>
      </c>
    </row>
    <row r="8" spans="1:5" x14ac:dyDescent="0.25">
      <c r="A8" s="39" t="s">
        <v>287</v>
      </c>
      <c r="B8" s="39" t="s">
        <v>125</v>
      </c>
      <c r="C8" s="160">
        <v>4924792</v>
      </c>
      <c r="D8" s="160">
        <v>4521495</v>
      </c>
      <c r="E8" s="160">
        <v>4377479</v>
      </c>
    </row>
    <row r="9" spans="1:5" x14ac:dyDescent="0.25">
      <c r="A9" s="39" t="s">
        <v>288</v>
      </c>
      <c r="B9" s="39" t="s">
        <v>125</v>
      </c>
      <c r="C9" s="160">
        <v>-283177</v>
      </c>
      <c r="D9" s="160">
        <v>-3803694</v>
      </c>
      <c r="E9" s="160">
        <v>-3089445</v>
      </c>
    </row>
    <row r="10" spans="1:5" x14ac:dyDescent="0.25">
      <c r="A10" s="39" t="s">
        <v>240</v>
      </c>
      <c r="B10" s="39" t="s">
        <v>125</v>
      </c>
      <c r="C10" s="160">
        <v>31618</v>
      </c>
      <c r="D10" s="160">
        <v>0</v>
      </c>
      <c r="E10" s="160">
        <v>2190767</v>
      </c>
    </row>
    <row r="11" spans="1:5" x14ac:dyDescent="0.25">
      <c r="A11" s="39" t="s">
        <v>241</v>
      </c>
      <c r="B11" s="39" t="s">
        <v>125</v>
      </c>
      <c r="C11" s="160">
        <v>29824980</v>
      </c>
      <c r="D11" s="160">
        <v>32729108</v>
      </c>
      <c r="E11" s="160">
        <v>29030571</v>
      </c>
    </row>
    <row r="12" spans="1:5" x14ac:dyDescent="0.25">
      <c r="A12" s="39" t="s">
        <v>242</v>
      </c>
      <c r="B12" s="39" t="s">
        <v>125</v>
      </c>
      <c r="C12" s="160">
        <v>38694</v>
      </c>
      <c r="D12" s="160">
        <v>294918</v>
      </c>
      <c r="E12" s="160">
        <v>0</v>
      </c>
    </row>
    <row r="13" spans="1:5" x14ac:dyDescent="0.25">
      <c r="A13" s="39" t="s">
        <v>243</v>
      </c>
      <c r="B13" s="39" t="s">
        <v>125</v>
      </c>
      <c r="C13" s="160">
        <v>9748519</v>
      </c>
      <c r="D13" s="160">
        <v>20137331</v>
      </c>
      <c r="E13" s="160">
        <v>18849541</v>
      </c>
    </row>
    <row r="14" spans="1:5" x14ac:dyDescent="0.25">
      <c r="A14" s="39" t="s">
        <v>244</v>
      </c>
      <c r="B14" s="39" t="s">
        <v>125</v>
      </c>
      <c r="C14" s="160">
        <v>17073495</v>
      </c>
      <c r="D14" s="160">
        <v>22664233</v>
      </c>
      <c r="E14" s="160">
        <v>27058573</v>
      </c>
    </row>
    <row r="15" spans="1:5" x14ac:dyDescent="0.25">
      <c r="A15" s="39" t="s">
        <v>245</v>
      </c>
      <c r="B15" s="39" t="s">
        <v>125</v>
      </c>
      <c r="C15" s="160">
        <v>6104080</v>
      </c>
      <c r="D15" s="160">
        <v>2412010</v>
      </c>
      <c r="E15" s="160">
        <v>496153</v>
      </c>
    </row>
    <row r="16" spans="1:5" x14ac:dyDescent="0.25">
      <c r="A16" s="39" t="s">
        <v>246</v>
      </c>
      <c r="B16" s="39" t="s">
        <v>125</v>
      </c>
      <c r="C16" s="160">
        <v>20205861</v>
      </c>
      <c r="D16" s="160">
        <v>33295373</v>
      </c>
      <c r="E16" s="160">
        <v>48004593</v>
      </c>
    </row>
    <row r="17" spans="1:5" x14ac:dyDescent="0.25">
      <c r="A17" s="39" t="s">
        <v>247</v>
      </c>
      <c r="B17" s="39" t="s">
        <v>125</v>
      </c>
      <c r="C17" s="160">
        <v>80824185</v>
      </c>
      <c r="D17" s="69">
        <v>59225747</v>
      </c>
      <c r="E17" s="69">
        <v>60331262</v>
      </c>
    </row>
    <row r="18" spans="1:5" x14ac:dyDescent="0.25">
      <c r="A18" s="39" t="s">
        <v>248</v>
      </c>
      <c r="B18" s="39" t="s">
        <v>125</v>
      </c>
      <c r="C18" s="160">
        <v>48680629</v>
      </c>
      <c r="D18" s="69">
        <v>73709702</v>
      </c>
      <c r="E18" s="69">
        <v>64265797</v>
      </c>
    </row>
    <row r="19" spans="1:5" x14ac:dyDescent="0.25">
      <c r="A19" s="39" t="s">
        <v>250</v>
      </c>
      <c r="B19" s="39" t="s">
        <v>125</v>
      </c>
      <c r="C19" s="160">
        <v>0</v>
      </c>
      <c r="D19" s="160">
        <v>0</v>
      </c>
      <c r="E19" s="69">
        <v>71459045</v>
      </c>
    </row>
    <row r="20" spans="1:5" ht="25.5" x14ac:dyDescent="0.25">
      <c r="A20" s="39" t="s">
        <v>289</v>
      </c>
      <c r="B20" s="39" t="s">
        <v>119</v>
      </c>
      <c r="C20" s="160">
        <v>45498151</v>
      </c>
      <c r="D20" s="69">
        <v>52555692</v>
      </c>
      <c r="E20" s="69">
        <v>5616364</v>
      </c>
    </row>
    <row r="21" spans="1:5" ht="25.5" x14ac:dyDescent="0.25">
      <c r="A21" s="39" t="s">
        <v>290</v>
      </c>
      <c r="B21" s="39" t="s">
        <v>119</v>
      </c>
      <c r="C21" s="160">
        <v>96789</v>
      </c>
      <c r="D21" s="160">
        <v>76800</v>
      </c>
      <c r="E21" s="160">
        <v>189931</v>
      </c>
    </row>
    <row r="22" spans="1:5" ht="38.25" x14ac:dyDescent="0.25">
      <c r="A22" s="39" t="s">
        <v>291</v>
      </c>
      <c r="B22" s="39" t="s">
        <v>119</v>
      </c>
      <c r="C22" s="160">
        <v>7008784</v>
      </c>
      <c r="D22" s="160">
        <v>9829165</v>
      </c>
      <c r="E22" s="160">
        <v>12609558</v>
      </c>
    </row>
    <row r="23" spans="1:5" ht="38.25" x14ac:dyDescent="0.25">
      <c r="A23" s="39" t="s">
        <v>292</v>
      </c>
      <c r="B23" s="39" t="s">
        <v>119</v>
      </c>
      <c r="C23" s="160">
        <v>8690</v>
      </c>
      <c r="D23" s="160">
        <v>9971</v>
      </c>
      <c r="E23" s="160">
        <v>7596</v>
      </c>
    </row>
    <row r="24" spans="1:5" ht="38.25" x14ac:dyDescent="0.25">
      <c r="A24" s="39" t="s">
        <v>293</v>
      </c>
      <c r="B24" s="39" t="s">
        <v>119</v>
      </c>
      <c r="C24" s="160">
        <v>748237</v>
      </c>
      <c r="D24" s="160">
        <v>937198</v>
      </c>
      <c r="E24" s="160">
        <v>896174</v>
      </c>
    </row>
    <row r="25" spans="1:5" x14ac:dyDescent="0.25">
      <c r="A25" s="39" t="s">
        <v>294</v>
      </c>
      <c r="B25" s="39" t="s">
        <v>119</v>
      </c>
      <c r="C25" s="160">
        <v>30381489</v>
      </c>
      <c r="D25" s="160">
        <v>32701006</v>
      </c>
      <c r="E25" s="160">
        <v>32350173</v>
      </c>
    </row>
    <row r="26" spans="1:5" ht="25.5" x14ac:dyDescent="0.25">
      <c r="A26" s="39" t="s">
        <v>295</v>
      </c>
      <c r="B26" s="39" t="s">
        <v>296</v>
      </c>
      <c r="C26" s="160">
        <v>1478690</v>
      </c>
      <c r="D26" s="160">
        <v>1765918</v>
      </c>
      <c r="E26" s="160">
        <v>2095977</v>
      </c>
    </row>
    <row r="27" spans="1:5" x14ac:dyDescent="0.25">
      <c r="A27" s="39" t="s">
        <v>297</v>
      </c>
      <c r="B27" s="39" t="s">
        <v>296</v>
      </c>
      <c r="C27" s="160">
        <v>648291952</v>
      </c>
      <c r="D27" s="160">
        <v>734411369</v>
      </c>
      <c r="E27" s="160">
        <v>787872890</v>
      </c>
    </row>
    <row r="28" spans="1:5" ht="25.5" x14ac:dyDescent="0.25">
      <c r="A28" s="39" t="s">
        <v>298</v>
      </c>
      <c r="B28" s="39" t="s">
        <v>296</v>
      </c>
      <c r="C28" s="160">
        <v>518239872</v>
      </c>
      <c r="D28" s="160">
        <v>626666463</v>
      </c>
      <c r="E28" s="160">
        <v>674610247</v>
      </c>
    </row>
    <row r="29" spans="1:5" x14ac:dyDescent="0.25">
      <c r="C29" s="160">
        <v>15247887</v>
      </c>
      <c r="D29" s="160">
        <v>18007061</v>
      </c>
      <c r="E29" s="160">
        <v>20177735</v>
      </c>
    </row>
    <row r="30" spans="1:5" x14ac:dyDescent="0.25">
      <c r="A30" s="37" t="s">
        <v>158</v>
      </c>
      <c r="B30" s="37" t="s">
        <v>87</v>
      </c>
    </row>
    <row r="31" spans="1:5" x14ac:dyDescent="0.25">
      <c r="A31" s="39" t="s">
        <v>282</v>
      </c>
      <c r="B31" s="39" t="s">
        <v>87</v>
      </c>
      <c r="C31" s="138"/>
      <c r="D31" s="138"/>
      <c r="E31" s="138">
        <v>2021</v>
      </c>
    </row>
    <row r="32" spans="1:5" x14ac:dyDescent="0.25">
      <c r="A32" s="39" t="s">
        <v>283</v>
      </c>
      <c r="B32" s="39" t="s">
        <v>87</v>
      </c>
      <c r="C32" s="39" t="s">
        <v>68</v>
      </c>
      <c r="D32" s="39" t="s">
        <v>69</v>
      </c>
      <c r="E32" s="39" t="s">
        <v>70</v>
      </c>
    </row>
    <row r="33" spans="1:5" x14ac:dyDescent="0.25">
      <c r="A33" s="39" t="s">
        <v>284</v>
      </c>
      <c r="B33" s="39" t="s">
        <v>87</v>
      </c>
      <c r="C33" s="160">
        <v>590204</v>
      </c>
      <c r="D33" s="160">
        <v>765199</v>
      </c>
      <c r="E33" s="160">
        <v>772869</v>
      </c>
    </row>
    <row r="34" spans="1:5" x14ac:dyDescent="0.25">
      <c r="A34" s="39" t="s">
        <v>285</v>
      </c>
      <c r="B34" s="39" t="s">
        <v>87</v>
      </c>
      <c r="C34" s="160">
        <v>139791</v>
      </c>
      <c r="D34" s="160">
        <v>186957</v>
      </c>
      <c r="E34" s="160">
        <v>210743</v>
      </c>
    </row>
    <row r="35" spans="1:5" ht="38.25" x14ac:dyDescent="0.25">
      <c r="A35" s="39" t="s">
        <v>286</v>
      </c>
      <c r="B35" s="39" t="s">
        <v>87</v>
      </c>
      <c r="C35" s="160">
        <v>388</v>
      </c>
      <c r="D35" s="160">
        <v>0</v>
      </c>
      <c r="E35" s="160">
        <v>0</v>
      </c>
    </row>
    <row r="36" spans="1:5" x14ac:dyDescent="0.25">
      <c r="A36" s="39" t="s">
        <v>287</v>
      </c>
      <c r="B36" s="39" t="s">
        <v>87</v>
      </c>
      <c r="C36" s="160">
        <v>141</v>
      </c>
      <c r="D36" s="160">
        <v>38065</v>
      </c>
      <c r="E36" s="160">
        <v>112318</v>
      </c>
    </row>
    <row r="37" spans="1:5" x14ac:dyDescent="0.25">
      <c r="A37" s="39" t="s">
        <v>288</v>
      </c>
      <c r="B37" s="39" t="s">
        <v>87</v>
      </c>
      <c r="C37" s="160">
        <v>16625</v>
      </c>
      <c r="D37" s="160">
        <v>18076</v>
      </c>
      <c r="E37" s="160">
        <v>17347</v>
      </c>
    </row>
    <row r="38" spans="1:5" x14ac:dyDescent="0.25">
      <c r="A38" s="39" t="s">
        <v>240</v>
      </c>
      <c r="B38" s="39" t="s">
        <v>87</v>
      </c>
      <c r="C38" s="160">
        <v>1</v>
      </c>
      <c r="D38" s="160">
        <v>0</v>
      </c>
      <c r="E38" s="160">
        <v>17</v>
      </c>
    </row>
    <row r="39" spans="1:5" x14ac:dyDescent="0.25">
      <c r="A39" s="39" t="s">
        <v>241</v>
      </c>
      <c r="B39" s="39" t="s">
        <v>87</v>
      </c>
      <c r="C39" s="160">
        <v>160</v>
      </c>
      <c r="D39" s="160">
        <v>0</v>
      </c>
      <c r="E39" s="160">
        <v>12161</v>
      </c>
    </row>
    <row r="40" spans="1:5" x14ac:dyDescent="0.25">
      <c r="A40" s="39" t="s">
        <v>242</v>
      </c>
      <c r="B40" s="39" t="s">
        <v>87</v>
      </c>
      <c r="C40" s="160">
        <v>240012</v>
      </c>
      <c r="D40" s="160">
        <v>261690</v>
      </c>
      <c r="E40" s="160">
        <v>234207</v>
      </c>
    </row>
    <row r="41" spans="1:5" x14ac:dyDescent="0.25">
      <c r="A41" s="39" t="s">
        <v>243</v>
      </c>
      <c r="B41" s="39" t="s">
        <v>87</v>
      </c>
      <c r="C41" s="160">
        <v>168</v>
      </c>
      <c r="D41" s="160">
        <v>1332</v>
      </c>
      <c r="E41" s="160">
        <v>0</v>
      </c>
    </row>
    <row r="42" spans="1:5" x14ac:dyDescent="0.25">
      <c r="A42" s="39" t="s">
        <v>244</v>
      </c>
      <c r="B42" s="39" t="s">
        <v>87</v>
      </c>
      <c r="C42" s="160">
        <v>76281</v>
      </c>
      <c r="D42" s="160">
        <v>155271</v>
      </c>
      <c r="E42" s="160">
        <v>145661</v>
      </c>
    </row>
    <row r="43" spans="1:5" x14ac:dyDescent="0.25">
      <c r="A43" s="39" t="s">
        <v>245</v>
      </c>
      <c r="B43" s="39" t="s">
        <v>87</v>
      </c>
      <c r="C43" s="160">
        <v>147018</v>
      </c>
      <c r="D43" s="160">
        <v>197152</v>
      </c>
      <c r="E43" s="160">
        <v>229536</v>
      </c>
    </row>
    <row r="44" spans="1:5" x14ac:dyDescent="0.25">
      <c r="A44" s="39" t="s">
        <v>246</v>
      </c>
      <c r="B44" s="39" t="s">
        <v>87</v>
      </c>
      <c r="C44" s="160">
        <v>27584</v>
      </c>
      <c r="D44" s="160">
        <v>8232</v>
      </c>
      <c r="E44" s="160">
        <v>1844</v>
      </c>
    </row>
    <row r="45" spans="1:5" x14ac:dyDescent="0.25">
      <c r="A45" s="39" t="s">
        <v>247</v>
      </c>
      <c r="B45" s="39" t="s">
        <v>87</v>
      </c>
      <c r="C45" s="160">
        <v>155976</v>
      </c>
      <c r="D45" s="160">
        <v>267658</v>
      </c>
      <c r="E45" s="160">
        <v>393228</v>
      </c>
    </row>
    <row r="46" spans="1:5" x14ac:dyDescent="0.25">
      <c r="A46" s="39" t="s">
        <v>248</v>
      </c>
      <c r="B46" s="39" t="s">
        <v>87</v>
      </c>
      <c r="C46" s="160">
        <v>700588</v>
      </c>
      <c r="D46" s="160">
        <v>506257</v>
      </c>
      <c r="E46" s="69">
        <v>526382</v>
      </c>
    </row>
    <row r="47" spans="1:5" x14ac:dyDescent="0.25">
      <c r="A47" s="39" t="s">
        <v>250</v>
      </c>
      <c r="B47" s="39" t="s">
        <v>87</v>
      </c>
      <c r="C47" s="160">
        <v>362239</v>
      </c>
      <c r="D47" s="160">
        <v>533684</v>
      </c>
      <c r="E47" s="69">
        <v>474309</v>
      </c>
    </row>
    <row r="48" spans="1:5" ht="25.5" x14ac:dyDescent="0.25">
      <c r="A48" s="39" t="s">
        <v>289</v>
      </c>
      <c r="B48" s="39" t="s">
        <v>87</v>
      </c>
      <c r="C48" s="160"/>
      <c r="D48" s="160"/>
      <c r="E48" s="69">
        <v>323623</v>
      </c>
    </row>
    <row r="49" spans="1:5" ht="25.5" x14ac:dyDescent="0.25">
      <c r="A49" s="39" t="s">
        <v>290</v>
      </c>
      <c r="B49" s="39" t="s">
        <v>87</v>
      </c>
      <c r="C49" s="160">
        <v>181543</v>
      </c>
      <c r="D49" s="160">
        <v>196135</v>
      </c>
      <c r="E49" s="69">
        <v>19505</v>
      </c>
    </row>
    <row r="50" spans="1:5" ht="38.25" x14ac:dyDescent="0.25">
      <c r="A50" s="39" t="s">
        <v>291</v>
      </c>
      <c r="B50" s="39" t="s">
        <v>87</v>
      </c>
      <c r="C50" s="160">
        <v>497</v>
      </c>
      <c r="D50" s="160">
        <v>387</v>
      </c>
      <c r="E50" s="160">
        <v>958</v>
      </c>
    </row>
    <row r="51" spans="1:5" ht="38.25" x14ac:dyDescent="0.25">
      <c r="A51" s="39" t="s">
        <v>292</v>
      </c>
      <c r="B51" s="39" t="s">
        <v>87</v>
      </c>
      <c r="C51" s="160">
        <v>314203</v>
      </c>
      <c r="D51" s="160">
        <v>479991</v>
      </c>
      <c r="E51" s="160">
        <v>668058</v>
      </c>
    </row>
    <row r="52" spans="1:5" ht="38.25" x14ac:dyDescent="0.25">
      <c r="A52" s="39" t="s">
        <v>293</v>
      </c>
      <c r="B52" s="39" t="s">
        <v>87</v>
      </c>
      <c r="C52" s="160">
        <v>190</v>
      </c>
      <c r="D52" s="160">
        <v>218</v>
      </c>
      <c r="E52" s="160">
        <v>166</v>
      </c>
    </row>
    <row r="53" spans="1:5" x14ac:dyDescent="0.25">
      <c r="A53" s="39" t="s">
        <v>294</v>
      </c>
      <c r="B53" s="39" t="s">
        <v>87</v>
      </c>
      <c r="C53" s="160">
        <v>481</v>
      </c>
      <c r="D53" s="160">
        <v>587</v>
      </c>
      <c r="E53" s="160">
        <v>570</v>
      </c>
    </row>
    <row r="54" spans="1:5" ht="25.5" x14ac:dyDescent="0.25">
      <c r="A54" s="39" t="s">
        <v>295</v>
      </c>
      <c r="B54" s="39" t="s">
        <v>87</v>
      </c>
      <c r="C54" s="160">
        <v>147461</v>
      </c>
      <c r="D54" s="160">
        <v>154957</v>
      </c>
      <c r="E54" s="160">
        <v>162528</v>
      </c>
    </row>
    <row r="55" spans="1:5" x14ac:dyDescent="0.25">
      <c r="A55" s="39" t="s">
        <v>297</v>
      </c>
      <c r="B55" s="39" t="s">
        <v>87</v>
      </c>
      <c r="C55" s="160">
        <v>10603</v>
      </c>
      <c r="D55" s="160">
        <v>12210</v>
      </c>
      <c r="E55" s="160">
        <v>14350</v>
      </c>
    </row>
    <row r="56" spans="1:5" ht="25.5" x14ac:dyDescent="0.25">
      <c r="A56" s="39" t="s">
        <v>298</v>
      </c>
      <c r="B56" s="39" t="s">
        <v>87</v>
      </c>
      <c r="C56" s="160">
        <v>414700</v>
      </c>
      <c r="D56" s="160">
        <v>526235</v>
      </c>
      <c r="E56" s="160">
        <v>563276</v>
      </c>
    </row>
    <row r="57" spans="1:5" x14ac:dyDescent="0.25">
      <c r="C57" s="160">
        <v>425036</v>
      </c>
      <c r="D57" s="160">
        <v>504973</v>
      </c>
      <c r="E57" s="160">
        <v>562598</v>
      </c>
    </row>
    <row r="58" spans="1:5" x14ac:dyDescent="0.25">
      <c r="A58" s="37" t="s">
        <v>212</v>
      </c>
      <c r="B58" s="39" t="s">
        <v>87</v>
      </c>
      <c r="C58" s="160">
        <v>43886</v>
      </c>
      <c r="D58" s="160">
        <v>49697</v>
      </c>
      <c r="E58" s="160">
        <v>51098</v>
      </c>
    </row>
    <row r="59" spans="1:5" x14ac:dyDescent="0.25">
      <c r="A59" s="39" t="s">
        <v>282</v>
      </c>
      <c r="B59" s="37" t="s">
        <v>87</v>
      </c>
    </row>
    <row r="60" spans="1:5" x14ac:dyDescent="0.25">
      <c r="A60" s="39" t="s">
        <v>283</v>
      </c>
      <c r="B60" s="39" t="s">
        <v>87</v>
      </c>
      <c r="C60" s="138"/>
      <c r="D60" s="138"/>
      <c r="E60" s="138">
        <v>2021</v>
      </c>
    </row>
    <row r="61" spans="1:5" x14ac:dyDescent="0.25">
      <c r="A61" s="39" t="s">
        <v>284</v>
      </c>
      <c r="B61" s="39" t="s">
        <v>87</v>
      </c>
      <c r="C61" s="39" t="s">
        <v>68</v>
      </c>
      <c r="D61" s="39" t="s">
        <v>69</v>
      </c>
      <c r="E61" s="39" t="s">
        <v>70</v>
      </c>
    </row>
    <row r="62" spans="1:5" x14ac:dyDescent="0.25">
      <c r="A62" s="39" t="s">
        <v>285</v>
      </c>
      <c r="B62" s="39" t="s">
        <v>87</v>
      </c>
      <c r="C62" s="160">
        <v>40694</v>
      </c>
      <c r="D62" s="160">
        <v>20774</v>
      </c>
      <c r="E62" s="160">
        <v>115886</v>
      </c>
    </row>
    <row r="63" spans="1:5" ht="38.25" x14ac:dyDescent="0.25">
      <c r="A63" s="39" t="s">
        <v>286</v>
      </c>
      <c r="B63" s="39" t="s">
        <v>87</v>
      </c>
      <c r="C63" s="160">
        <v>3969</v>
      </c>
      <c r="D63" s="160">
        <v>2877</v>
      </c>
      <c r="E63" s="160">
        <v>20486</v>
      </c>
    </row>
    <row r="64" spans="1:5" x14ac:dyDescent="0.25">
      <c r="A64" s="39" t="s">
        <v>287</v>
      </c>
      <c r="B64" s="39" t="s">
        <v>87</v>
      </c>
      <c r="C64" s="160">
        <v>388</v>
      </c>
      <c r="D64" s="160">
        <v>0</v>
      </c>
      <c r="E64" s="160">
        <v>0</v>
      </c>
    </row>
    <row r="65" spans="1:5" x14ac:dyDescent="0.25">
      <c r="A65" s="39" t="s">
        <v>288</v>
      </c>
      <c r="B65" s="39" t="s">
        <v>87</v>
      </c>
      <c r="C65" s="160">
        <v>141</v>
      </c>
      <c r="D65" s="160">
        <v>0</v>
      </c>
      <c r="E65" s="160">
        <v>7094</v>
      </c>
    </row>
    <row r="66" spans="1:5" x14ac:dyDescent="0.25">
      <c r="A66" s="39" t="s">
        <v>240</v>
      </c>
      <c r="B66" s="39" t="s">
        <v>87</v>
      </c>
      <c r="C66" s="160">
        <v>0</v>
      </c>
      <c r="D66" s="160">
        <v>2757</v>
      </c>
      <c r="E66" s="160">
        <v>2578</v>
      </c>
    </row>
    <row r="67" spans="1:5" x14ac:dyDescent="0.25">
      <c r="A67" s="39" t="s">
        <v>241</v>
      </c>
      <c r="B67" s="39" t="s">
        <v>87</v>
      </c>
      <c r="C67" s="160">
        <v>1530</v>
      </c>
      <c r="D67" s="160">
        <v>9590</v>
      </c>
      <c r="E67" s="160">
        <v>7672</v>
      </c>
    </row>
    <row r="68" spans="1:5" x14ac:dyDescent="0.25">
      <c r="A68" s="39" t="s">
        <v>242</v>
      </c>
      <c r="B68" s="39" t="s">
        <v>87</v>
      </c>
      <c r="C68" s="160">
        <v>0</v>
      </c>
      <c r="D68" s="160">
        <v>0</v>
      </c>
      <c r="E68" s="160">
        <v>0</v>
      </c>
    </row>
    <row r="69" spans="1:5" x14ac:dyDescent="0.25">
      <c r="A69" s="39" t="s">
        <v>243</v>
      </c>
      <c r="B69" s="39" t="s">
        <v>87</v>
      </c>
      <c r="C69" s="160">
        <v>0</v>
      </c>
      <c r="D69" s="160">
        <v>0</v>
      </c>
      <c r="E69" s="160">
        <v>0</v>
      </c>
    </row>
    <row r="70" spans="1:5" x14ac:dyDescent="0.25">
      <c r="A70" s="39" t="s">
        <v>244</v>
      </c>
      <c r="B70" s="39" t="s">
        <v>87</v>
      </c>
      <c r="C70" s="160">
        <v>0</v>
      </c>
      <c r="D70" s="160">
        <v>0</v>
      </c>
      <c r="E70" s="160">
        <v>0</v>
      </c>
    </row>
    <row r="71" spans="1:5" x14ac:dyDescent="0.25">
      <c r="A71" s="39" t="s">
        <v>245</v>
      </c>
      <c r="B71" s="39" t="s">
        <v>87</v>
      </c>
      <c r="C71" s="160">
        <v>0</v>
      </c>
      <c r="D71" s="160">
        <v>0</v>
      </c>
      <c r="E71" s="160">
        <v>0</v>
      </c>
    </row>
    <row r="72" spans="1:5" x14ac:dyDescent="0.25">
      <c r="A72" s="39" t="s">
        <v>246</v>
      </c>
      <c r="B72" s="39" t="s">
        <v>87</v>
      </c>
      <c r="C72" s="160">
        <v>32</v>
      </c>
      <c r="D72" s="160">
        <v>0</v>
      </c>
      <c r="E72" s="160">
        <v>0</v>
      </c>
    </row>
    <row r="73" spans="1:5" x14ac:dyDescent="0.25">
      <c r="A73" s="39" t="s">
        <v>247</v>
      </c>
      <c r="B73" s="39" t="s">
        <v>87</v>
      </c>
      <c r="C73" s="160">
        <v>124</v>
      </c>
      <c r="D73" s="160">
        <v>293</v>
      </c>
      <c r="E73" s="160">
        <v>427</v>
      </c>
    </row>
    <row r="74" spans="1:5" x14ac:dyDescent="0.25">
      <c r="A74" s="39" t="s">
        <v>248</v>
      </c>
      <c r="B74" s="39" t="s">
        <v>87</v>
      </c>
      <c r="C74" s="160">
        <v>0</v>
      </c>
      <c r="D74" s="160">
        <v>0</v>
      </c>
      <c r="E74" s="160">
        <v>0</v>
      </c>
    </row>
    <row r="75" spans="1:5" x14ac:dyDescent="0.25">
      <c r="A75" s="39" t="s">
        <v>250</v>
      </c>
      <c r="B75" s="39" t="s">
        <v>87</v>
      </c>
      <c r="C75" s="160">
        <v>0</v>
      </c>
      <c r="D75" s="160">
        <v>0</v>
      </c>
      <c r="E75" s="69">
        <v>0</v>
      </c>
    </row>
    <row r="76" spans="1:5" ht="25.5" x14ac:dyDescent="0.25">
      <c r="A76" s="39" t="s">
        <v>289</v>
      </c>
      <c r="B76" s="39" t="s">
        <v>87</v>
      </c>
      <c r="C76" s="160">
        <v>0</v>
      </c>
      <c r="D76" s="160">
        <v>201</v>
      </c>
      <c r="E76" s="69">
        <v>0</v>
      </c>
    </row>
    <row r="77" spans="1:5" ht="25.5" x14ac:dyDescent="0.25">
      <c r="A77" s="39" t="s">
        <v>290</v>
      </c>
      <c r="B77" s="39" t="s">
        <v>87</v>
      </c>
      <c r="C77" s="160">
        <v>0</v>
      </c>
      <c r="D77" s="160">
        <v>0</v>
      </c>
      <c r="E77" s="69">
        <v>0</v>
      </c>
    </row>
    <row r="78" spans="1:5" ht="38.25" x14ac:dyDescent="0.25">
      <c r="A78" s="39" t="s">
        <v>291</v>
      </c>
      <c r="B78" s="39" t="s">
        <v>87</v>
      </c>
      <c r="C78" s="160">
        <v>47</v>
      </c>
      <c r="D78" s="160">
        <v>231</v>
      </c>
      <c r="E78" s="69">
        <v>177</v>
      </c>
    </row>
    <row r="79" spans="1:5" ht="38.25" x14ac:dyDescent="0.25">
      <c r="A79" s="39" t="s">
        <v>292</v>
      </c>
      <c r="B79" s="39" t="s">
        <v>87</v>
      </c>
      <c r="C79" s="160">
        <v>0</v>
      </c>
      <c r="D79" s="160">
        <v>0</v>
      </c>
      <c r="E79" s="160">
        <v>0</v>
      </c>
    </row>
    <row r="80" spans="1:5" ht="38.25" x14ac:dyDescent="0.25">
      <c r="A80" s="39" t="s">
        <v>293</v>
      </c>
      <c r="B80" s="39" t="s">
        <v>87</v>
      </c>
      <c r="C80" s="160">
        <v>0</v>
      </c>
      <c r="D80" s="160">
        <v>0</v>
      </c>
      <c r="E80" s="160">
        <v>0</v>
      </c>
    </row>
    <row r="81" spans="1:5" x14ac:dyDescent="0.25">
      <c r="A81" s="39" t="s">
        <v>294</v>
      </c>
      <c r="B81" s="39" t="s">
        <v>87</v>
      </c>
      <c r="C81" s="160">
        <v>0</v>
      </c>
      <c r="D81" s="160">
        <v>0</v>
      </c>
      <c r="E81" s="160">
        <v>0</v>
      </c>
    </row>
    <row r="82" spans="1:5" ht="25.5" x14ac:dyDescent="0.25">
      <c r="A82" s="39" t="s">
        <v>295</v>
      </c>
      <c r="B82" s="39" t="s">
        <v>87</v>
      </c>
      <c r="C82" s="160">
        <v>0</v>
      </c>
      <c r="D82" s="160">
        <v>0</v>
      </c>
      <c r="E82" s="160">
        <v>0</v>
      </c>
    </row>
    <row r="83" spans="1:5" x14ac:dyDescent="0.25">
      <c r="A83" s="39" t="s">
        <v>297</v>
      </c>
      <c r="B83" s="39" t="s">
        <v>87</v>
      </c>
      <c r="C83" s="160">
        <v>0</v>
      </c>
      <c r="D83" s="160">
        <v>0</v>
      </c>
      <c r="E83" s="160">
        <v>60</v>
      </c>
    </row>
    <row r="84" spans="1:5" ht="25.5" x14ac:dyDescent="0.25">
      <c r="A84" s="39" t="s">
        <v>298</v>
      </c>
      <c r="B84" s="39" t="s">
        <v>87</v>
      </c>
      <c r="C84" s="160">
        <v>0</v>
      </c>
      <c r="D84" s="160">
        <v>0</v>
      </c>
      <c r="E84" s="160">
        <v>0</v>
      </c>
    </row>
    <row r="85" spans="1:5" x14ac:dyDescent="0.25">
      <c r="C85" s="160">
        <v>0</v>
      </c>
      <c r="D85" s="160"/>
      <c r="E85" s="160"/>
    </row>
    <row r="86" spans="1:5" x14ac:dyDescent="0.25">
      <c r="C86" s="160">
        <v>0</v>
      </c>
      <c r="D86" s="160"/>
      <c r="E86" s="160"/>
    </row>
    <row r="87" spans="1:5" x14ac:dyDescent="0.25">
      <c r="C87" s="160">
        <v>0</v>
      </c>
      <c r="D87" s="160"/>
      <c r="E87" s="160"/>
    </row>
  </sheetData>
  <pageMargins left="1" right="1" top="1" bottom="1" header="1" footer="1"/>
  <pageSetup orientation="portrait" horizontalDpi="300" verticalDpi="300"/>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BB1BF-30CA-4EBA-B2D2-3CCD1E29C8AA}">
  <dimension ref="A1:AR94"/>
  <sheetViews>
    <sheetView showGridLines="0" zoomScale="90" zoomScaleNormal="90" workbookViewId="0">
      <pane xSplit="1" topLeftCell="AQ1" activePane="topRight" state="frozen"/>
      <selection activeCell="A6" sqref="A6"/>
      <selection pane="topRight" activeCell="A6" sqref="A6"/>
    </sheetView>
  </sheetViews>
  <sheetFormatPr defaultColWidth="9.140625" defaultRowHeight="15" x14ac:dyDescent="0.25"/>
  <cols>
    <col min="1" max="1" width="22.85546875" style="13" customWidth="1"/>
    <col min="2" max="2" width="7.42578125" style="13" customWidth="1"/>
    <col min="3" max="35" width="13.85546875" style="13" customWidth="1"/>
    <col min="36" max="42" width="13" style="13" bestFit="1" customWidth="1"/>
    <col min="43" max="44" width="12" style="13" bestFit="1" customWidth="1"/>
    <col min="45" max="16384" width="9.140625" style="13"/>
  </cols>
  <sheetData>
    <row r="1" spans="1:44" ht="15" customHeight="1" x14ac:dyDescent="0.25"/>
    <row r="2" spans="1:44" x14ac:dyDescent="0.25">
      <c r="A2" s="37" t="s">
        <v>230</v>
      </c>
      <c r="B2" s="37" t="s">
        <v>87</v>
      </c>
      <c r="C2" s="138"/>
      <c r="D2" s="138"/>
      <c r="E2" s="138"/>
      <c r="F2" s="138">
        <v>2011</v>
      </c>
      <c r="G2" s="138"/>
      <c r="H2" s="138"/>
      <c r="I2" s="138"/>
      <c r="J2" s="138">
        <v>2012</v>
      </c>
      <c r="K2" s="138"/>
      <c r="L2" s="138"/>
      <c r="M2" s="138"/>
      <c r="N2" s="138">
        <v>2013</v>
      </c>
      <c r="O2" s="138"/>
      <c r="P2" s="138"/>
      <c r="Q2" s="138"/>
      <c r="R2" s="138">
        <v>2014</v>
      </c>
      <c r="S2" s="138"/>
      <c r="T2" s="138"/>
      <c r="U2" s="138"/>
      <c r="V2" s="138">
        <v>2015</v>
      </c>
      <c r="W2" s="138"/>
      <c r="X2" s="138"/>
      <c r="Y2" s="138"/>
      <c r="Z2" s="138">
        <v>2016</v>
      </c>
      <c r="AA2" s="138"/>
      <c r="AB2" s="138"/>
      <c r="AC2" s="138"/>
      <c r="AD2" s="138">
        <v>2017</v>
      </c>
      <c r="AE2" s="161"/>
      <c r="AF2" s="161"/>
      <c r="AG2" s="161"/>
      <c r="AH2" s="162">
        <v>2018</v>
      </c>
      <c r="AI2" s="162"/>
      <c r="AJ2" s="162"/>
      <c r="AK2" s="162"/>
      <c r="AL2" s="162">
        <v>2019</v>
      </c>
      <c r="AM2" s="162"/>
      <c r="AN2" s="162"/>
      <c r="AO2" s="162"/>
      <c r="AP2" s="162">
        <v>2020</v>
      </c>
      <c r="AQ2" s="162"/>
      <c r="AR2" s="162">
        <v>2021</v>
      </c>
    </row>
    <row r="3" spans="1:44" x14ac:dyDescent="0.25">
      <c r="A3" s="76" t="s">
        <v>282</v>
      </c>
      <c r="B3" s="39" t="s">
        <v>88</v>
      </c>
      <c r="C3" s="39" t="s">
        <v>68</v>
      </c>
      <c r="D3" s="39" t="s">
        <v>69</v>
      </c>
      <c r="E3" s="39" t="s">
        <v>70</v>
      </c>
      <c r="F3" s="39" t="s">
        <v>71</v>
      </c>
      <c r="G3" s="39" t="s">
        <v>68</v>
      </c>
      <c r="H3" s="39" t="s">
        <v>69</v>
      </c>
      <c r="I3" s="39" t="s">
        <v>70</v>
      </c>
      <c r="J3" s="39" t="s">
        <v>71</v>
      </c>
      <c r="K3" s="39" t="s">
        <v>68</v>
      </c>
      <c r="L3" s="39" t="s">
        <v>69</v>
      </c>
      <c r="M3" s="39" t="s">
        <v>70</v>
      </c>
      <c r="N3" s="39" t="s">
        <v>71</v>
      </c>
      <c r="O3" s="39" t="s">
        <v>68</v>
      </c>
      <c r="P3" s="39" t="s">
        <v>69</v>
      </c>
      <c r="Q3" s="39" t="s">
        <v>70</v>
      </c>
      <c r="R3" s="39" t="s">
        <v>71</v>
      </c>
      <c r="S3" s="39" t="s">
        <v>68</v>
      </c>
      <c r="T3" s="39" t="s">
        <v>69</v>
      </c>
      <c r="U3" s="39" t="s">
        <v>70</v>
      </c>
      <c r="V3" s="39" t="s">
        <v>71</v>
      </c>
      <c r="W3" s="39" t="s">
        <v>68</v>
      </c>
      <c r="X3" s="39" t="s">
        <v>69</v>
      </c>
      <c r="Y3" s="39" t="s">
        <v>70</v>
      </c>
      <c r="Z3" s="39" t="s">
        <v>71</v>
      </c>
      <c r="AA3" s="39" t="s">
        <v>68</v>
      </c>
      <c r="AB3" s="39" t="s">
        <v>69</v>
      </c>
      <c r="AC3" s="39" t="s">
        <v>70</v>
      </c>
      <c r="AD3" s="39" t="s">
        <v>71</v>
      </c>
      <c r="AE3" s="39" t="s">
        <v>68</v>
      </c>
      <c r="AF3" s="39" t="s">
        <v>69</v>
      </c>
      <c r="AG3" s="39" t="s">
        <v>70</v>
      </c>
      <c r="AH3" s="39" t="s">
        <v>71</v>
      </c>
      <c r="AI3" s="39" t="s">
        <v>68</v>
      </c>
      <c r="AJ3" s="39" t="s">
        <v>69</v>
      </c>
      <c r="AK3" s="39" t="s">
        <v>70</v>
      </c>
      <c r="AL3" s="39" t="s">
        <v>71</v>
      </c>
      <c r="AM3" s="39" t="s">
        <v>68</v>
      </c>
      <c r="AN3" s="39" t="s">
        <v>69</v>
      </c>
      <c r="AO3" s="39" t="s">
        <v>70</v>
      </c>
      <c r="AP3" s="39" t="s">
        <v>71</v>
      </c>
      <c r="AQ3" s="39" t="s">
        <v>68</v>
      </c>
      <c r="AR3" s="39" t="s">
        <v>69</v>
      </c>
    </row>
    <row r="4" spans="1:44" x14ac:dyDescent="0.25">
      <c r="A4" s="39" t="s">
        <v>283</v>
      </c>
      <c r="B4" s="39" t="s">
        <v>125</v>
      </c>
      <c r="C4" s="69">
        <v>310305641</v>
      </c>
      <c r="D4" s="69">
        <v>334049691</v>
      </c>
      <c r="E4" s="69">
        <v>314206106</v>
      </c>
      <c r="F4" s="69">
        <v>294484555</v>
      </c>
      <c r="G4" s="69">
        <v>315427761</v>
      </c>
      <c r="H4" s="69">
        <v>326671738</v>
      </c>
      <c r="I4" s="69">
        <v>264109787</v>
      </c>
      <c r="J4" s="69">
        <v>266068324</v>
      </c>
      <c r="K4" s="69">
        <v>285075362</v>
      </c>
      <c r="L4" s="69">
        <v>292875162</v>
      </c>
      <c r="M4" s="69">
        <v>278256539</v>
      </c>
      <c r="N4" s="69">
        <v>309358891</v>
      </c>
      <c r="O4" s="69">
        <v>303325811</v>
      </c>
      <c r="P4" s="69">
        <v>321338192</v>
      </c>
      <c r="Q4" s="69">
        <v>344948114</v>
      </c>
      <c r="R4" s="69">
        <v>322382689</v>
      </c>
      <c r="S4" s="69">
        <v>325886602</v>
      </c>
      <c r="T4" s="69">
        <v>359588763</v>
      </c>
      <c r="U4" s="69">
        <v>343696659</v>
      </c>
      <c r="V4" s="69">
        <v>276031566</v>
      </c>
      <c r="W4" s="69">
        <v>364893186</v>
      </c>
      <c r="X4" s="69">
        <v>345732270</v>
      </c>
      <c r="Y4" s="69">
        <v>362475304</v>
      </c>
      <c r="Z4" s="69">
        <v>360736669</v>
      </c>
      <c r="AA4" s="69">
        <v>359779000</v>
      </c>
      <c r="AB4" s="69">
        <v>366882047</v>
      </c>
      <c r="AC4" s="69">
        <v>375871451</v>
      </c>
      <c r="AD4" s="69">
        <v>348212435</v>
      </c>
      <c r="AE4" s="69">
        <v>370174986</v>
      </c>
      <c r="AF4" s="69">
        <v>372043986</v>
      </c>
      <c r="AG4" s="69">
        <v>395769381</v>
      </c>
      <c r="AH4" s="69">
        <v>331133994</v>
      </c>
      <c r="AI4" s="69">
        <v>317325340</v>
      </c>
      <c r="AJ4" s="69">
        <v>348584919</v>
      </c>
      <c r="AK4" s="69">
        <v>279471742</v>
      </c>
      <c r="AL4" s="69">
        <v>283367003</v>
      </c>
      <c r="AM4" s="69">
        <v>290777800</v>
      </c>
      <c r="AN4" s="69">
        <v>205931183</v>
      </c>
      <c r="AO4" s="69">
        <v>255573705</v>
      </c>
      <c r="AP4" s="69">
        <v>237752075</v>
      </c>
      <c r="AQ4" s="69">
        <v>256920198</v>
      </c>
      <c r="AR4" s="69">
        <v>346333105</v>
      </c>
    </row>
    <row r="5" spans="1:44" x14ac:dyDescent="0.25">
      <c r="A5" s="39" t="s">
        <v>285</v>
      </c>
      <c r="B5" s="39" t="s">
        <v>125</v>
      </c>
      <c r="C5" s="69">
        <v>14182289</v>
      </c>
      <c r="D5" s="69">
        <v>15223097</v>
      </c>
      <c r="E5" s="69">
        <v>14424608</v>
      </c>
      <c r="F5" s="69">
        <v>8314376</v>
      </c>
      <c r="G5" s="69">
        <v>12739166</v>
      </c>
      <c r="H5" s="69">
        <v>17940320</v>
      </c>
      <c r="I5" s="69">
        <v>15992560</v>
      </c>
      <c r="J5" s="69">
        <v>20265513</v>
      </c>
      <c r="K5" s="69">
        <v>15669866</v>
      </c>
      <c r="L5" s="69">
        <v>25631834</v>
      </c>
      <c r="M5" s="69">
        <v>21234694</v>
      </c>
      <c r="N5" s="69">
        <v>28806111</v>
      </c>
      <c r="O5" s="69">
        <v>24443577</v>
      </c>
      <c r="P5" s="69">
        <v>23508993</v>
      </c>
      <c r="Q5" s="69">
        <v>34915343</v>
      </c>
      <c r="R5" s="69">
        <v>26252052</v>
      </c>
      <c r="S5" s="69">
        <v>14158825</v>
      </c>
      <c r="T5" s="69">
        <v>3237257</v>
      </c>
      <c r="U5" s="69">
        <v>0</v>
      </c>
      <c r="V5" s="69">
        <v>15133054</v>
      </c>
      <c r="W5" s="69">
        <v>32994198</v>
      </c>
      <c r="X5" s="69">
        <v>27988599</v>
      </c>
      <c r="Y5" s="69">
        <v>9098194</v>
      </c>
      <c r="Z5" s="69">
        <v>9512293</v>
      </c>
      <c r="AA5" s="69">
        <v>16778679</v>
      </c>
      <c r="AB5" s="69">
        <v>16418290</v>
      </c>
      <c r="AC5" s="69">
        <v>11935734</v>
      </c>
      <c r="AD5" s="69">
        <v>4761530</v>
      </c>
      <c r="AE5" s="69">
        <v>4193401</v>
      </c>
      <c r="AF5" s="69">
        <v>7031716</v>
      </c>
      <c r="AG5" s="69">
        <v>4948357</v>
      </c>
      <c r="AH5" s="69">
        <v>8670930</v>
      </c>
      <c r="AI5" s="69">
        <v>13421418</v>
      </c>
      <c r="AJ5" s="69">
        <v>15156715</v>
      </c>
      <c r="AK5" s="69">
        <v>7185503</v>
      </c>
      <c r="AL5" s="69">
        <v>11938450</v>
      </c>
      <c r="AM5" s="69">
        <v>13788311</v>
      </c>
      <c r="AN5" s="69">
        <v>4182786</v>
      </c>
      <c r="AO5" s="69">
        <v>2870488</v>
      </c>
      <c r="AP5" s="69">
        <v>-17</v>
      </c>
      <c r="AQ5" s="69">
        <v>0</v>
      </c>
      <c r="AR5" s="69">
        <v>0</v>
      </c>
    </row>
    <row r="6" spans="1:44" x14ac:dyDescent="0.25">
      <c r="A6" s="39" t="s">
        <v>287</v>
      </c>
      <c r="B6" s="39" t="s">
        <v>125</v>
      </c>
      <c r="C6" s="69">
        <v>0</v>
      </c>
      <c r="D6" s="69">
        <v>0</v>
      </c>
      <c r="E6" s="69">
        <v>0</v>
      </c>
      <c r="F6" s="69">
        <v>0</v>
      </c>
      <c r="G6" s="69">
        <v>0</v>
      </c>
      <c r="H6" s="69">
        <v>0</v>
      </c>
      <c r="I6" s="69">
        <v>0</v>
      </c>
      <c r="J6" s="69">
        <v>0</v>
      </c>
      <c r="K6" s="69">
        <v>0</v>
      </c>
      <c r="L6" s="69">
        <v>0</v>
      </c>
      <c r="M6" s="69">
        <v>0</v>
      </c>
      <c r="N6" s="69">
        <v>0</v>
      </c>
      <c r="O6" s="69">
        <v>0</v>
      </c>
      <c r="P6" s="69">
        <v>0</v>
      </c>
      <c r="Q6" s="69">
        <v>0</v>
      </c>
      <c r="R6" s="69">
        <v>0</v>
      </c>
      <c r="S6" s="69">
        <v>0</v>
      </c>
      <c r="T6" s="69">
        <v>0</v>
      </c>
      <c r="U6" s="69">
        <v>0</v>
      </c>
      <c r="V6" s="69">
        <v>0</v>
      </c>
      <c r="W6" s="69">
        <v>0</v>
      </c>
      <c r="X6" s="69">
        <v>0</v>
      </c>
      <c r="Y6" s="69">
        <v>0</v>
      </c>
      <c r="Z6" s="69">
        <v>0</v>
      </c>
      <c r="AA6" s="69">
        <v>0</v>
      </c>
      <c r="AB6" s="69">
        <v>0</v>
      </c>
      <c r="AC6" s="69">
        <v>0</v>
      </c>
      <c r="AD6" s="69">
        <v>0</v>
      </c>
      <c r="AE6" s="69">
        <v>0</v>
      </c>
      <c r="AF6" s="69">
        <v>0</v>
      </c>
      <c r="AG6" s="69">
        <v>0</v>
      </c>
      <c r="AH6" s="69">
        <v>0</v>
      </c>
      <c r="AI6" s="69">
        <v>0</v>
      </c>
      <c r="AJ6" s="69">
        <v>0</v>
      </c>
      <c r="AK6" s="69">
        <v>0</v>
      </c>
      <c r="AL6" s="69">
        <v>0</v>
      </c>
      <c r="AM6" s="69">
        <v>0</v>
      </c>
      <c r="AN6" s="69">
        <v>0</v>
      </c>
      <c r="AO6" s="69">
        <v>0</v>
      </c>
      <c r="AP6" s="69">
        <v>4780829</v>
      </c>
      <c r="AQ6" s="69">
        <v>4924792</v>
      </c>
      <c r="AR6" s="69">
        <v>4521495</v>
      </c>
    </row>
    <row r="7" spans="1:44" x14ac:dyDescent="0.25">
      <c r="A7" s="39" t="s">
        <v>299</v>
      </c>
      <c r="B7" s="39" t="s">
        <v>125</v>
      </c>
      <c r="C7" s="69">
        <v>0</v>
      </c>
      <c r="D7" s="69">
        <v>0</v>
      </c>
      <c r="E7" s="69">
        <v>19658664</v>
      </c>
      <c r="F7" s="69">
        <v>14791452</v>
      </c>
      <c r="G7" s="69">
        <v>0</v>
      </c>
      <c r="H7" s="69">
        <v>0</v>
      </c>
      <c r="I7" s="69">
        <v>33243411</v>
      </c>
      <c r="J7" s="69">
        <v>49602253</v>
      </c>
      <c r="K7" s="69">
        <v>53301702</v>
      </c>
      <c r="L7" s="69">
        <v>13498246</v>
      </c>
      <c r="M7" s="69">
        <v>67903390</v>
      </c>
      <c r="N7" s="69">
        <v>12865730</v>
      </c>
      <c r="O7" s="69">
        <v>2442982</v>
      </c>
      <c r="P7" s="69">
        <v>0</v>
      </c>
      <c r="Q7" s="69">
        <v>0</v>
      </c>
      <c r="R7" s="69">
        <v>0</v>
      </c>
      <c r="S7" s="69">
        <v>0</v>
      </c>
      <c r="T7" s="69">
        <v>0</v>
      </c>
      <c r="U7" s="69">
        <v>10682415</v>
      </c>
      <c r="V7" s="69">
        <v>27594883</v>
      </c>
      <c r="W7" s="69">
        <v>0</v>
      </c>
      <c r="X7" s="69">
        <v>0</v>
      </c>
      <c r="Y7" s="69">
        <v>8191930</v>
      </c>
      <c r="Z7" s="69">
        <v>0</v>
      </c>
      <c r="AA7" s="69">
        <v>0</v>
      </c>
      <c r="AB7" s="69">
        <v>7580181</v>
      </c>
      <c r="AC7" s="69">
        <v>5706581</v>
      </c>
      <c r="AD7" s="69">
        <v>6588216</v>
      </c>
      <c r="AE7" s="69">
        <v>0</v>
      </c>
      <c r="AF7" s="69">
        <v>0</v>
      </c>
      <c r="AG7" s="69">
        <v>18837503</v>
      </c>
      <c r="AH7" s="69">
        <v>25580406</v>
      </c>
      <c r="AI7" s="69">
        <v>2961401</v>
      </c>
      <c r="AJ7" s="69">
        <v>23454811</v>
      </c>
      <c r="AK7" s="69">
        <v>36409240</v>
      </c>
      <c r="AL7" s="69">
        <v>26211599</v>
      </c>
      <c r="AM7" s="69">
        <v>12911458</v>
      </c>
      <c r="AN7" s="69">
        <v>0</v>
      </c>
      <c r="AO7" s="69">
        <v>29121208</v>
      </c>
      <c r="AP7" s="69">
        <v>23599746</v>
      </c>
      <c r="AQ7" s="69">
        <v>0</v>
      </c>
      <c r="AR7" s="69">
        <v>12874110</v>
      </c>
    </row>
    <row r="8" spans="1:44" x14ac:dyDescent="0.25">
      <c r="A8" s="39" t="s">
        <v>300</v>
      </c>
      <c r="B8" s="39" t="s">
        <v>125</v>
      </c>
      <c r="C8" s="69">
        <v>0</v>
      </c>
      <c r="D8" s="69">
        <v>0</v>
      </c>
      <c r="E8" s="69">
        <v>0</v>
      </c>
      <c r="F8" s="69">
        <v>0</v>
      </c>
      <c r="G8" s="69">
        <v>0</v>
      </c>
      <c r="H8" s="69">
        <v>0</v>
      </c>
      <c r="I8" s="69">
        <v>7844136</v>
      </c>
      <c r="J8" s="69">
        <v>0</v>
      </c>
      <c r="K8" s="69">
        <v>0</v>
      </c>
      <c r="L8" s="69">
        <v>0</v>
      </c>
      <c r="M8" s="69">
        <v>0</v>
      </c>
      <c r="N8" s="69">
        <v>0</v>
      </c>
      <c r="O8" s="69">
        <v>0</v>
      </c>
      <c r="P8" s="69">
        <v>5598232</v>
      </c>
      <c r="Q8" s="69">
        <v>0</v>
      </c>
      <c r="R8" s="69">
        <v>0</v>
      </c>
      <c r="S8" s="69">
        <v>0</v>
      </c>
      <c r="T8" s="69">
        <v>0</v>
      </c>
      <c r="U8" s="69">
        <v>0</v>
      </c>
      <c r="V8" s="69">
        <v>2174131</v>
      </c>
      <c r="W8" s="69">
        <v>504758</v>
      </c>
      <c r="X8" s="69">
        <v>10330948</v>
      </c>
      <c r="Y8" s="69">
        <v>11910281</v>
      </c>
      <c r="Z8" s="69">
        <v>0</v>
      </c>
      <c r="AA8" s="69">
        <v>0</v>
      </c>
      <c r="AB8" s="69">
        <v>10170089</v>
      </c>
      <c r="AC8" s="69">
        <v>23036000</v>
      </c>
      <c r="AD8" s="69">
        <v>14669060</v>
      </c>
      <c r="AE8" s="69">
        <v>-111982</v>
      </c>
      <c r="AF8" s="69">
        <v>0</v>
      </c>
      <c r="AG8" s="69">
        <v>5543224</v>
      </c>
      <c r="AH8" s="69">
        <v>27130952</v>
      </c>
      <c r="AI8" s="69">
        <v>4643461</v>
      </c>
      <c r="AJ8" s="69">
        <v>15081565</v>
      </c>
      <c r="AK8" s="69">
        <v>43144370</v>
      </c>
      <c r="AL8" s="69">
        <v>43340903</v>
      </c>
      <c r="AM8" s="69">
        <v>31377524</v>
      </c>
      <c r="AN8" s="69">
        <v>0</v>
      </c>
      <c r="AO8" s="69">
        <v>47926296</v>
      </c>
      <c r="AP8" s="69">
        <v>37879217</v>
      </c>
      <c r="AQ8" s="69">
        <v>0</v>
      </c>
      <c r="AR8" s="69">
        <v>0</v>
      </c>
    </row>
    <row r="9" spans="1:44" x14ac:dyDescent="0.25">
      <c r="A9" s="39" t="s">
        <v>301</v>
      </c>
      <c r="B9" s="39" t="s">
        <v>125</v>
      </c>
      <c r="C9" s="69">
        <v>190904</v>
      </c>
      <c r="D9" s="69">
        <v>142552</v>
      </c>
      <c r="E9" s="69">
        <v>137984</v>
      </c>
      <c r="F9" s="69">
        <v>95746</v>
      </c>
      <c r="G9" s="69">
        <v>94355</v>
      </c>
      <c r="H9" s="69">
        <v>91970</v>
      </c>
      <c r="I9" s="69">
        <v>141216</v>
      </c>
      <c r="J9" s="69">
        <v>0</v>
      </c>
      <c r="K9" s="69">
        <v>92297</v>
      </c>
      <c r="L9" s="69">
        <v>139142</v>
      </c>
      <c r="M9" s="69">
        <v>138641</v>
      </c>
      <c r="N9" s="69">
        <v>186863</v>
      </c>
      <c r="O9" s="69">
        <v>140706</v>
      </c>
      <c r="P9" s="69">
        <v>229750</v>
      </c>
      <c r="Q9" s="69">
        <v>140168</v>
      </c>
      <c r="R9" s="69">
        <v>236880</v>
      </c>
      <c r="S9" s="69">
        <v>136914</v>
      </c>
      <c r="T9" s="69">
        <v>189071</v>
      </c>
      <c r="U9" s="69">
        <v>277913</v>
      </c>
      <c r="V9" s="69">
        <v>329101</v>
      </c>
      <c r="W9" s="69">
        <v>213930</v>
      </c>
      <c r="X9" s="69">
        <v>274172</v>
      </c>
      <c r="Y9" s="69">
        <v>273471</v>
      </c>
      <c r="Z9" s="69">
        <v>210797</v>
      </c>
      <c r="AA9" s="69">
        <v>264859</v>
      </c>
      <c r="AB9" s="69">
        <v>183410</v>
      </c>
      <c r="AC9" s="69">
        <v>226811</v>
      </c>
      <c r="AD9" s="69">
        <v>188233</v>
      </c>
      <c r="AE9" s="69">
        <v>236389</v>
      </c>
      <c r="AF9" s="69">
        <v>283705</v>
      </c>
      <c r="AG9" s="69">
        <v>235339</v>
      </c>
      <c r="AH9" s="69">
        <v>236496</v>
      </c>
      <c r="AI9" s="69">
        <v>238021</v>
      </c>
      <c r="AJ9" s="69">
        <v>284760</v>
      </c>
      <c r="AK9" s="69">
        <v>366150</v>
      </c>
      <c r="AL9" s="69">
        <v>235603</v>
      </c>
      <c r="AM9" s="69">
        <v>188969</v>
      </c>
      <c r="AN9" s="69">
        <v>235294</v>
      </c>
      <c r="AO9" s="69">
        <v>282926</v>
      </c>
      <c r="AP9" s="69">
        <v>327985</v>
      </c>
      <c r="AQ9" s="69">
        <v>0</v>
      </c>
      <c r="AR9" s="69">
        <v>0</v>
      </c>
    </row>
    <row r="10" spans="1:44" x14ac:dyDescent="0.25">
      <c r="A10" s="39" t="s">
        <v>302</v>
      </c>
      <c r="B10" s="39" t="s">
        <v>125</v>
      </c>
      <c r="C10" s="69">
        <v>0</v>
      </c>
      <c r="D10" s="69">
        <v>0</v>
      </c>
      <c r="E10" s="69">
        <v>0</v>
      </c>
      <c r="F10" s="69">
        <v>0</v>
      </c>
      <c r="G10" s="69">
        <v>0</v>
      </c>
      <c r="H10" s="69">
        <v>0</v>
      </c>
      <c r="I10" s="69">
        <v>0</v>
      </c>
      <c r="J10" s="69">
        <v>0</v>
      </c>
      <c r="K10" s="69">
        <v>0</v>
      </c>
      <c r="L10" s="69">
        <v>0</v>
      </c>
      <c r="M10" s="69">
        <v>0</v>
      </c>
      <c r="N10" s="69">
        <v>0</v>
      </c>
      <c r="O10" s="69">
        <v>0</v>
      </c>
      <c r="P10" s="69">
        <v>0</v>
      </c>
      <c r="Q10" s="69">
        <v>0</v>
      </c>
      <c r="R10" s="69">
        <v>0</v>
      </c>
      <c r="S10" s="69">
        <v>0</v>
      </c>
      <c r="T10" s="69">
        <v>0</v>
      </c>
      <c r="U10" s="69">
        <v>0</v>
      </c>
      <c r="V10" s="69">
        <v>0</v>
      </c>
      <c r="W10" s="69">
        <v>0</v>
      </c>
      <c r="X10" s="69">
        <v>0</v>
      </c>
      <c r="Y10" s="69">
        <v>0</v>
      </c>
      <c r="Z10" s="69">
        <v>0</v>
      </c>
      <c r="AA10" s="69">
        <v>0</v>
      </c>
      <c r="AB10" s="69">
        <v>0</v>
      </c>
      <c r="AC10" s="69">
        <v>0</v>
      </c>
      <c r="AD10" s="69">
        <v>0</v>
      </c>
      <c r="AE10" s="69">
        <v>0</v>
      </c>
      <c r="AF10" s="69">
        <v>0</v>
      </c>
      <c r="AG10" s="69">
        <v>0</v>
      </c>
      <c r="AH10" s="69">
        <v>0</v>
      </c>
      <c r="AI10" s="69">
        <v>8682384</v>
      </c>
      <c r="AJ10" s="69">
        <v>5840694</v>
      </c>
      <c r="AK10" s="69">
        <v>19234475</v>
      </c>
      <c r="AL10" s="69">
        <v>20807592</v>
      </c>
      <c r="AM10" s="69">
        <v>19182032</v>
      </c>
      <c r="AN10" s="69">
        <v>13108981</v>
      </c>
      <c r="AO10" s="69">
        <v>24906510</v>
      </c>
      <c r="AP10" s="69">
        <v>25095316</v>
      </c>
      <c r="AQ10" s="69">
        <v>25934325</v>
      </c>
      <c r="AR10" s="69">
        <v>35362962</v>
      </c>
    </row>
    <row r="11" spans="1:44" x14ac:dyDescent="0.25">
      <c r="A11" s="39" t="s">
        <v>303</v>
      </c>
      <c r="B11" s="39" t="s">
        <v>125</v>
      </c>
      <c r="C11" s="69">
        <v>28558972</v>
      </c>
      <c r="D11" s="69">
        <v>35555148</v>
      </c>
      <c r="E11" s="69">
        <v>37087583</v>
      </c>
      <c r="F11" s="69">
        <v>35101806</v>
      </c>
      <c r="G11" s="69">
        <v>34497700</v>
      </c>
      <c r="H11" s="69">
        <v>20918562</v>
      </c>
      <c r="I11" s="69">
        <v>35828958</v>
      </c>
      <c r="J11" s="69">
        <v>17937380</v>
      </c>
      <c r="K11" s="69">
        <v>2840655</v>
      </c>
      <c r="L11" s="69">
        <v>14915252</v>
      </c>
      <c r="M11" s="69">
        <v>9739773</v>
      </c>
      <c r="N11" s="69">
        <v>0</v>
      </c>
      <c r="O11" s="69">
        <v>8179324</v>
      </c>
      <c r="P11" s="69">
        <v>2249521</v>
      </c>
      <c r="Q11" s="69">
        <v>0</v>
      </c>
      <c r="R11" s="69">
        <v>15811633</v>
      </c>
      <c r="S11" s="69">
        <v>22217799</v>
      </c>
      <c r="T11" s="69">
        <v>22270636</v>
      </c>
      <c r="U11" s="69">
        <v>24968425</v>
      </c>
      <c r="V11" s="69">
        <v>24057446</v>
      </c>
      <c r="W11" s="69">
        <v>3999254</v>
      </c>
      <c r="X11" s="69">
        <v>0</v>
      </c>
      <c r="Y11" s="69">
        <v>0</v>
      </c>
      <c r="Z11" s="69">
        <v>0</v>
      </c>
      <c r="AA11" s="69">
        <v>0</v>
      </c>
      <c r="AB11" s="69">
        <v>0</v>
      </c>
      <c r="AC11" s="69">
        <v>0</v>
      </c>
      <c r="AD11" s="69">
        <v>0</v>
      </c>
      <c r="AE11" s="69">
        <v>0</v>
      </c>
      <c r="AF11" s="69">
        <v>0</v>
      </c>
      <c r="AG11" s="69">
        <v>0</v>
      </c>
      <c r="AH11" s="69">
        <v>0</v>
      </c>
      <c r="AI11" s="69">
        <v>0</v>
      </c>
      <c r="AJ11" s="69">
        <v>0</v>
      </c>
      <c r="AK11" s="69">
        <v>0</v>
      </c>
      <c r="AL11" s="69">
        <v>0</v>
      </c>
      <c r="AM11" s="69">
        <v>0</v>
      </c>
      <c r="AN11" s="69">
        <v>0</v>
      </c>
      <c r="AO11" s="69">
        <v>0</v>
      </c>
      <c r="AP11" s="69">
        <v>0</v>
      </c>
      <c r="AQ11" s="69">
        <v>0</v>
      </c>
      <c r="AR11" s="69">
        <v>0</v>
      </c>
    </row>
    <row r="12" spans="1:44" ht="25.5" x14ac:dyDescent="0.25">
      <c r="A12" s="39" t="s">
        <v>304</v>
      </c>
      <c r="B12" s="39" t="s">
        <v>125</v>
      </c>
      <c r="C12" s="69">
        <v>2705490</v>
      </c>
      <c r="D12" s="69">
        <v>2880741</v>
      </c>
      <c r="E12" s="69">
        <v>3357486</v>
      </c>
      <c r="F12" s="69">
        <v>4699117</v>
      </c>
      <c r="G12" s="69">
        <v>7533361</v>
      </c>
      <c r="H12" s="69">
        <v>9294798</v>
      </c>
      <c r="I12" s="69">
        <v>8859056</v>
      </c>
      <c r="J12" s="69">
        <v>9395869</v>
      </c>
      <c r="K12" s="69">
        <v>11827970</v>
      </c>
      <c r="L12" s="69">
        <v>10986565</v>
      </c>
      <c r="M12" s="69">
        <v>12590852</v>
      </c>
      <c r="N12" s="69">
        <v>10943431</v>
      </c>
      <c r="O12" s="69">
        <v>12253719</v>
      </c>
      <c r="P12" s="69">
        <v>11756648</v>
      </c>
      <c r="Q12" s="69">
        <v>12527825</v>
      </c>
      <c r="R12" s="69">
        <v>12171948</v>
      </c>
      <c r="S12" s="69">
        <v>10069145</v>
      </c>
      <c r="T12" s="69">
        <v>5214067</v>
      </c>
      <c r="U12" s="69">
        <v>4347360</v>
      </c>
      <c r="V12" s="69">
        <v>6963758</v>
      </c>
      <c r="W12" s="69">
        <v>11922164</v>
      </c>
      <c r="X12" s="69">
        <v>12901747</v>
      </c>
      <c r="Y12" s="69">
        <v>12122149</v>
      </c>
      <c r="Z12" s="69">
        <v>11288492</v>
      </c>
      <c r="AA12" s="69">
        <v>0</v>
      </c>
      <c r="AB12" s="69">
        <v>0</v>
      </c>
      <c r="AC12" s="69">
        <v>1180503</v>
      </c>
      <c r="AD12" s="69">
        <v>3225578</v>
      </c>
      <c r="AE12" s="69">
        <v>5097509</v>
      </c>
      <c r="AF12" s="69">
        <v>5068691</v>
      </c>
      <c r="AG12" s="69">
        <v>4838259</v>
      </c>
      <c r="AH12" s="69">
        <v>5327089</v>
      </c>
      <c r="AI12" s="69">
        <v>4982474</v>
      </c>
      <c r="AJ12" s="69">
        <v>4809557</v>
      </c>
      <c r="AK12" s="69">
        <v>4924785</v>
      </c>
      <c r="AL12" s="69">
        <v>4521450</v>
      </c>
      <c r="AM12" s="69">
        <v>4924650</v>
      </c>
      <c r="AN12" s="69">
        <v>4348783</v>
      </c>
      <c r="AO12" s="69">
        <v>5039995</v>
      </c>
      <c r="AP12" s="69">
        <v>0</v>
      </c>
      <c r="AQ12" s="69">
        <v>0</v>
      </c>
      <c r="AR12" s="69">
        <v>0</v>
      </c>
    </row>
    <row r="13" spans="1:44" ht="25.5" x14ac:dyDescent="0.25">
      <c r="A13" s="39" t="s">
        <v>305</v>
      </c>
      <c r="B13" s="39" t="s">
        <v>125</v>
      </c>
      <c r="C13" s="69">
        <v>0</v>
      </c>
      <c r="D13" s="69">
        <v>0</v>
      </c>
      <c r="E13" s="69">
        <v>0</v>
      </c>
      <c r="F13" s="69">
        <v>0</v>
      </c>
      <c r="G13" s="69">
        <v>0</v>
      </c>
      <c r="H13" s="69">
        <v>0</v>
      </c>
      <c r="I13" s="69">
        <v>0</v>
      </c>
      <c r="J13" s="69">
        <v>0</v>
      </c>
      <c r="K13" s="69">
        <v>0</v>
      </c>
      <c r="L13" s="69">
        <v>0</v>
      </c>
      <c r="M13" s="69">
        <v>0</v>
      </c>
      <c r="N13" s="69">
        <v>0</v>
      </c>
      <c r="O13" s="69">
        <v>0</v>
      </c>
      <c r="P13" s="69">
        <v>0</v>
      </c>
      <c r="Q13" s="69">
        <v>0</v>
      </c>
      <c r="R13" s="69">
        <v>0</v>
      </c>
      <c r="S13" s="69">
        <v>0</v>
      </c>
      <c r="T13" s="69">
        <v>0</v>
      </c>
      <c r="U13" s="69">
        <v>0</v>
      </c>
      <c r="V13" s="69">
        <v>0</v>
      </c>
      <c r="W13" s="69">
        <v>0</v>
      </c>
      <c r="X13" s="69">
        <v>0</v>
      </c>
      <c r="Y13" s="69">
        <v>0</v>
      </c>
      <c r="Z13" s="69">
        <v>0</v>
      </c>
      <c r="AA13" s="69">
        <v>0</v>
      </c>
      <c r="AB13" s="69">
        <v>591368</v>
      </c>
      <c r="AC13" s="69">
        <v>565516</v>
      </c>
      <c r="AD13" s="69">
        <v>142828</v>
      </c>
      <c r="AE13" s="69">
        <v>1350609</v>
      </c>
      <c r="AF13" s="69">
        <v>1572254</v>
      </c>
      <c r="AG13" s="69">
        <v>2987342</v>
      </c>
      <c r="AH13" s="69">
        <v>2677369</v>
      </c>
      <c r="AI13" s="69">
        <v>2844706</v>
      </c>
      <c r="AJ13" s="69">
        <v>3082581</v>
      </c>
      <c r="AK13" s="69">
        <v>2133586</v>
      </c>
      <c r="AL13" s="69">
        <v>2643729</v>
      </c>
      <c r="AM13" s="69">
        <v>1997847</v>
      </c>
      <c r="AN13" s="69">
        <v>947936</v>
      </c>
      <c r="AO13" s="69">
        <v>0</v>
      </c>
      <c r="AP13" s="69">
        <v>0</v>
      </c>
      <c r="AQ13" s="69">
        <v>0</v>
      </c>
      <c r="AR13" s="69">
        <v>0</v>
      </c>
    </row>
    <row r="14" spans="1:44" x14ac:dyDescent="0.25">
      <c r="A14" s="39" t="s">
        <v>306</v>
      </c>
      <c r="B14" s="39" t="s">
        <v>125</v>
      </c>
      <c r="C14" s="69">
        <v>0</v>
      </c>
      <c r="D14" s="69">
        <v>0</v>
      </c>
      <c r="E14" s="69">
        <v>0</v>
      </c>
      <c r="F14" s="69">
        <v>0</v>
      </c>
      <c r="G14" s="69">
        <v>0</v>
      </c>
      <c r="H14" s="69">
        <v>0</v>
      </c>
      <c r="I14" s="69">
        <v>0</v>
      </c>
      <c r="J14" s="69">
        <v>0</v>
      </c>
      <c r="K14" s="69">
        <v>0</v>
      </c>
      <c r="L14" s="69">
        <v>0</v>
      </c>
      <c r="M14" s="69">
        <v>0</v>
      </c>
      <c r="N14" s="69">
        <v>0</v>
      </c>
      <c r="O14" s="69">
        <v>0</v>
      </c>
      <c r="P14" s="69">
        <v>0</v>
      </c>
      <c r="Q14" s="69">
        <v>0</v>
      </c>
      <c r="R14" s="69">
        <v>0</v>
      </c>
      <c r="S14" s="69">
        <v>0</v>
      </c>
      <c r="T14" s="69">
        <v>0</v>
      </c>
      <c r="U14" s="69">
        <v>0</v>
      </c>
      <c r="V14" s="69">
        <v>0</v>
      </c>
      <c r="W14" s="69">
        <v>0</v>
      </c>
      <c r="X14" s="69">
        <v>0</v>
      </c>
      <c r="Y14" s="69">
        <v>0</v>
      </c>
      <c r="Z14" s="69">
        <v>0</v>
      </c>
      <c r="AA14" s="69">
        <v>0</v>
      </c>
      <c r="AB14" s="69">
        <v>0</v>
      </c>
      <c r="AC14" s="69">
        <v>0</v>
      </c>
      <c r="AD14" s="69">
        <v>0</v>
      </c>
      <c r="AE14" s="69">
        <v>0</v>
      </c>
      <c r="AF14" s="69">
        <v>0</v>
      </c>
      <c r="AG14" s="69">
        <v>0</v>
      </c>
      <c r="AH14" s="69">
        <v>0</v>
      </c>
      <c r="AI14" s="69">
        <v>4909</v>
      </c>
      <c r="AJ14" s="69">
        <v>28338</v>
      </c>
      <c r="AK14" s="69">
        <v>24446</v>
      </c>
      <c r="AL14" s="69">
        <v>10966</v>
      </c>
      <c r="AM14" s="69">
        <v>0</v>
      </c>
      <c r="AN14" s="69">
        <v>0</v>
      </c>
      <c r="AO14" s="69">
        <v>0</v>
      </c>
      <c r="AP14" s="69">
        <v>0</v>
      </c>
      <c r="AQ14" s="69">
        <v>284190</v>
      </c>
      <c r="AR14" s="69">
        <v>227845</v>
      </c>
    </row>
    <row r="15" spans="1:44" x14ac:dyDescent="0.25">
      <c r="A15" s="39" t="s">
        <v>245</v>
      </c>
      <c r="B15" s="39" t="s">
        <v>125</v>
      </c>
      <c r="C15" s="69">
        <v>14611</v>
      </c>
      <c r="D15" s="69">
        <v>0</v>
      </c>
      <c r="E15" s="69">
        <v>0</v>
      </c>
      <c r="F15" s="69">
        <v>0</v>
      </c>
      <c r="G15" s="69">
        <v>0</v>
      </c>
      <c r="H15" s="69">
        <v>0</v>
      </c>
      <c r="I15" s="69">
        <v>0</v>
      </c>
      <c r="J15" s="69">
        <v>0</v>
      </c>
      <c r="K15" s="69">
        <v>48113</v>
      </c>
      <c r="L15" s="69">
        <v>238215</v>
      </c>
      <c r="M15" s="69">
        <v>154147</v>
      </c>
      <c r="N15" s="69">
        <v>718187</v>
      </c>
      <c r="O15" s="69">
        <v>3861</v>
      </c>
      <c r="P15" s="69">
        <v>0</v>
      </c>
      <c r="Q15" s="69">
        <v>592</v>
      </c>
      <c r="R15" s="69">
        <v>0</v>
      </c>
      <c r="S15" s="69">
        <v>0</v>
      </c>
      <c r="T15" s="69">
        <v>0</v>
      </c>
      <c r="U15" s="69">
        <v>4421865</v>
      </c>
      <c r="V15" s="69">
        <v>0</v>
      </c>
      <c r="W15" s="69">
        <v>0</v>
      </c>
      <c r="X15" s="69">
        <v>-4428</v>
      </c>
      <c r="Y15" s="69">
        <v>1310415</v>
      </c>
      <c r="Z15" s="69">
        <v>1689953</v>
      </c>
      <c r="AA15" s="69">
        <v>220201</v>
      </c>
      <c r="AB15" s="69">
        <v>-7988</v>
      </c>
      <c r="AC15" s="69">
        <v>95805</v>
      </c>
      <c r="AD15" s="69">
        <v>0</v>
      </c>
      <c r="AE15" s="69">
        <v>0</v>
      </c>
      <c r="AF15" s="69">
        <v>-2935</v>
      </c>
      <c r="AG15" s="69">
        <v>-712</v>
      </c>
      <c r="AH15" s="69">
        <v>-1939</v>
      </c>
      <c r="AI15" s="69">
        <v>-5306</v>
      </c>
      <c r="AJ15" s="69">
        <v>-3890</v>
      </c>
      <c r="AK15" s="69">
        <v>-1813</v>
      </c>
      <c r="AL15" s="69">
        <v>-17502</v>
      </c>
      <c r="AM15" s="69">
        <v>0</v>
      </c>
      <c r="AN15" s="69">
        <v>-9925</v>
      </c>
      <c r="AO15" s="69">
        <v>-7382</v>
      </c>
      <c r="AP15" s="69">
        <v>151683</v>
      </c>
      <c r="AQ15" s="69">
        <v>5585147</v>
      </c>
      <c r="AR15" s="69">
        <v>2412010</v>
      </c>
    </row>
    <row r="16" spans="1:44" x14ac:dyDescent="0.25">
      <c r="A16" s="39" t="s">
        <v>240</v>
      </c>
      <c r="B16" s="39" t="s">
        <v>125</v>
      </c>
      <c r="C16" s="69">
        <v>10940</v>
      </c>
      <c r="D16" s="69">
        <v>27416</v>
      </c>
      <c r="E16" s="69">
        <v>0</v>
      </c>
      <c r="F16" s="69">
        <v>0</v>
      </c>
      <c r="G16" s="69">
        <v>24565</v>
      </c>
      <c r="H16" s="69">
        <v>0</v>
      </c>
      <c r="I16" s="69">
        <v>22178</v>
      </c>
      <c r="J16" s="69">
        <v>131655</v>
      </c>
      <c r="K16" s="69">
        <v>375643</v>
      </c>
      <c r="L16" s="69">
        <v>1412876</v>
      </c>
      <c r="M16" s="69">
        <v>1324144</v>
      </c>
      <c r="N16" s="69">
        <v>2160645</v>
      </c>
      <c r="O16" s="69">
        <v>1647409</v>
      </c>
      <c r="P16" s="69">
        <v>1945769</v>
      </c>
      <c r="Q16" s="69">
        <v>452204</v>
      </c>
      <c r="R16" s="69">
        <v>2137492</v>
      </c>
      <c r="S16" s="69">
        <v>764448</v>
      </c>
      <c r="T16" s="69">
        <v>5047553</v>
      </c>
      <c r="U16" s="69">
        <v>11134586</v>
      </c>
      <c r="V16" s="69">
        <v>7445903</v>
      </c>
      <c r="W16" s="69">
        <v>4561069</v>
      </c>
      <c r="X16" s="69">
        <v>1654848</v>
      </c>
      <c r="Y16" s="69">
        <v>5433896</v>
      </c>
      <c r="Z16" s="69">
        <v>5361800</v>
      </c>
      <c r="AA16" s="69">
        <v>7976575</v>
      </c>
      <c r="AB16" s="69">
        <v>2280302</v>
      </c>
      <c r="AC16" s="69">
        <v>14419304</v>
      </c>
      <c r="AD16" s="69">
        <v>7339128</v>
      </c>
      <c r="AE16" s="69">
        <v>5825942</v>
      </c>
      <c r="AF16" s="69">
        <v>603433</v>
      </c>
      <c r="AG16" s="69">
        <v>532916</v>
      </c>
      <c r="AH16" s="69">
        <v>3614508</v>
      </c>
      <c r="AI16" s="69">
        <v>180176</v>
      </c>
      <c r="AJ16" s="69">
        <v>731066</v>
      </c>
      <c r="AK16" s="69">
        <v>1070809</v>
      </c>
      <c r="AL16" s="69">
        <v>1864609</v>
      </c>
      <c r="AM16" s="69">
        <v>187901</v>
      </c>
      <c r="AN16" s="69">
        <v>774081</v>
      </c>
      <c r="AO16" s="69">
        <v>612455</v>
      </c>
      <c r="AP16" s="69">
        <v>7851393</v>
      </c>
      <c r="AQ16" s="69">
        <v>31618</v>
      </c>
      <c r="AR16" s="69">
        <v>0</v>
      </c>
    </row>
    <row r="17" spans="1:44" x14ac:dyDescent="0.25">
      <c r="A17" s="39" t="s">
        <v>241</v>
      </c>
      <c r="B17" s="39" t="s">
        <v>125</v>
      </c>
      <c r="C17" s="69">
        <v>25023</v>
      </c>
      <c r="D17" s="69">
        <v>0</v>
      </c>
      <c r="E17" s="69">
        <v>0</v>
      </c>
      <c r="F17" s="69">
        <v>148236</v>
      </c>
      <c r="G17" s="69">
        <v>0</v>
      </c>
      <c r="H17" s="69">
        <v>1814</v>
      </c>
      <c r="I17" s="69">
        <v>27357</v>
      </c>
      <c r="J17" s="69">
        <v>44127</v>
      </c>
      <c r="K17" s="69">
        <v>164403</v>
      </c>
      <c r="L17" s="69">
        <v>1878142</v>
      </c>
      <c r="M17" s="69">
        <v>2835089</v>
      </c>
      <c r="N17" s="69">
        <v>6026311</v>
      </c>
      <c r="O17" s="69">
        <v>6513469</v>
      </c>
      <c r="P17" s="69">
        <v>4310227</v>
      </c>
      <c r="Q17" s="69">
        <v>3039714</v>
      </c>
      <c r="R17" s="69">
        <v>6410694</v>
      </c>
      <c r="S17" s="69">
        <v>4882192</v>
      </c>
      <c r="T17" s="69">
        <v>6250495</v>
      </c>
      <c r="U17" s="69">
        <v>11308176</v>
      </c>
      <c r="V17" s="69">
        <v>15646182</v>
      </c>
      <c r="W17" s="69">
        <v>16297287</v>
      </c>
      <c r="X17" s="69">
        <v>17030456</v>
      </c>
      <c r="Y17" s="69">
        <v>22342695</v>
      </c>
      <c r="Z17" s="69">
        <v>26097544</v>
      </c>
      <c r="AA17" s="69">
        <v>7658599</v>
      </c>
      <c r="AB17" s="69">
        <v>13335684</v>
      </c>
      <c r="AC17" s="69">
        <v>15181792</v>
      </c>
      <c r="AD17" s="69">
        <v>18296707</v>
      </c>
      <c r="AE17" s="69">
        <v>16223044</v>
      </c>
      <c r="AF17" s="69">
        <v>14460121</v>
      </c>
      <c r="AG17" s="69">
        <v>24123820</v>
      </c>
      <c r="AH17" s="69">
        <v>26737829</v>
      </c>
      <c r="AI17" s="69">
        <v>20220303</v>
      </c>
      <c r="AJ17" s="69">
        <v>27898127</v>
      </c>
      <c r="AK17" s="69">
        <v>30031550</v>
      </c>
      <c r="AL17" s="69">
        <v>25643068</v>
      </c>
      <c r="AM17" s="69">
        <v>31207277</v>
      </c>
      <c r="AN17" s="69">
        <v>18400302</v>
      </c>
      <c r="AO17" s="69">
        <v>26944901</v>
      </c>
      <c r="AP17" s="69">
        <v>34040398</v>
      </c>
      <c r="AQ17" s="69">
        <v>30343913</v>
      </c>
      <c r="AR17" s="69">
        <v>32496761</v>
      </c>
    </row>
    <row r="18" spans="1:44" x14ac:dyDescent="0.25">
      <c r="A18" s="39" t="s">
        <v>242</v>
      </c>
      <c r="B18" s="39" t="s">
        <v>125</v>
      </c>
      <c r="C18" s="69">
        <v>870698</v>
      </c>
      <c r="D18" s="69">
        <v>651734</v>
      </c>
      <c r="E18" s="69">
        <v>1563756</v>
      </c>
      <c r="F18" s="69">
        <v>2068926</v>
      </c>
      <c r="G18" s="69">
        <v>1669261</v>
      </c>
      <c r="H18" s="69">
        <v>2410111</v>
      </c>
      <c r="I18" s="69">
        <v>1054670</v>
      </c>
      <c r="J18" s="69">
        <v>340866</v>
      </c>
      <c r="K18" s="69">
        <v>825069</v>
      </c>
      <c r="L18" s="69">
        <v>1102942</v>
      </c>
      <c r="M18" s="69">
        <v>1536385</v>
      </c>
      <c r="N18" s="69">
        <v>935394</v>
      </c>
      <c r="O18" s="69">
        <v>377794</v>
      </c>
      <c r="P18" s="69">
        <v>106591</v>
      </c>
      <c r="Q18" s="69">
        <v>15435</v>
      </c>
      <c r="R18" s="69">
        <v>253773</v>
      </c>
      <c r="S18" s="69">
        <v>2413616</v>
      </c>
      <c r="T18" s="69">
        <v>4235</v>
      </c>
      <c r="U18" s="69">
        <v>11075</v>
      </c>
      <c r="V18" s="69">
        <v>3970</v>
      </c>
      <c r="W18" s="69">
        <v>0</v>
      </c>
      <c r="X18" s="69">
        <v>0</v>
      </c>
      <c r="Y18" s="69">
        <v>977752</v>
      </c>
      <c r="Z18" s="69">
        <v>1442411</v>
      </c>
      <c r="AA18" s="69">
        <v>565964</v>
      </c>
      <c r="AB18" s="69">
        <v>891789</v>
      </c>
      <c r="AC18" s="69">
        <v>903918</v>
      </c>
      <c r="AD18" s="69">
        <v>680297</v>
      </c>
      <c r="AE18" s="69">
        <v>697850</v>
      </c>
      <c r="AF18" s="69">
        <v>563028</v>
      </c>
      <c r="AG18" s="69">
        <v>542828</v>
      </c>
      <c r="AH18" s="69">
        <v>166061</v>
      </c>
      <c r="AI18" s="69">
        <v>255499</v>
      </c>
      <c r="AJ18" s="69">
        <v>129952</v>
      </c>
      <c r="AK18" s="69">
        <v>116126</v>
      </c>
      <c r="AL18" s="69">
        <v>182443</v>
      </c>
      <c r="AM18" s="69">
        <v>70933</v>
      </c>
      <c r="AN18" s="69">
        <v>102497</v>
      </c>
      <c r="AO18" s="69">
        <v>235578</v>
      </c>
      <c r="AP18" s="69">
        <v>2770353</v>
      </c>
      <c r="AQ18" s="69">
        <v>38694</v>
      </c>
      <c r="AR18" s="69">
        <v>294918</v>
      </c>
    </row>
    <row r="19" spans="1:44" x14ac:dyDescent="0.25">
      <c r="A19" s="39" t="s">
        <v>244</v>
      </c>
      <c r="B19" s="39" t="s">
        <v>125</v>
      </c>
      <c r="C19" s="69">
        <v>1033077</v>
      </c>
      <c r="D19" s="69">
        <v>1944037</v>
      </c>
      <c r="E19" s="69">
        <v>1913858</v>
      </c>
      <c r="F19" s="69">
        <v>2149901</v>
      </c>
      <c r="G19" s="69">
        <v>2802400</v>
      </c>
      <c r="H19" s="69">
        <v>3166831</v>
      </c>
      <c r="I19" s="69">
        <v>3118400</v>
      </c>
      <c r="J19" s="69">
        <v>3228284</v>
      </c>
      <c r="K19" s="69">
        <v>3706822</v>
      </c>
      <c r="L19" s="69">
        <v>7575367</v>
      </c>
      <c r="M19" s="69">
        <v>6972497</v>
      </c>
      <c r="N19" s="69">
        <v>15668412</v>
      </c>
      <c r="O19" s="69">
        <v>6203253</v>
      </c>
      <c r="P19" s="69">
        <v>8497133</v>
      </c>
      <c r="Q19" s="69">
        <v>9498914</v>
      </c>
      <c r="R19" s="69">
        <v>10972399</v>
      </c>
      <c r="S19" s="69">
        <v>9529319</v>
      </c>
      <c r="T19" s="69">
        <v>17094428</v>
      </c>
      <c r="U19" s="69">
        <v>15700840</v>
      </c>
      <c r="V19" s="69">
        <v>11548262</v>
      </c>
      <c r="W19" s="69">
        <v>7258481</v>
      </c>
      <c r="X19" s="69">
        <v>16120333</v>
      </c>
      <c r="Y19" s="69">
        <v>14553141</v>
      </c>
      <c r="Z19" s="69">
        <v>18268615</v>
      </c>
      <c r="AA19" s="69">
        <v>13290892</v>
      </c>
      <c r="AB19" s="69">
        <v>16953962</v>
      </c>
      <c r="AC19" s="69">
        <v>14177858</v>
      </c>
      <c r="AD19" s="69">
        <v>14665969</v>
      </c>
      <c r="AE19" s="69">
        <v>11016823</v>
      </c>
      <c r="AF19" s="69">
        <v>18596528</v>
      </c>
      <c r="AG19" s="69">
        <v>22306856</v>
      </c>
      <c r="AH19" s="69">
        <v>25123125</v>
      </c>
      <c r="AI19" s="69">
        <v>20665978</v>
      </c>
      <c r="AJ19" s="69">
        <v>26528931</v>
      </c>
      <c r="AK19" s="69">
        <v>23685947</v>
      </c>
      <c r="AL19" s="69">
        <v>25705894</v>
      </c>
      <c r="AM19" s="69">
        <v>22530507</v>
      </c>
      <c r="AN19" s="69">
        <v>25417124</v>
      </c>
      <c r="AO19" s="69">
        <v>26666857</v>
      </c>
      <c r="AP19" s="69">
        <v>26590353</v>
      </c>
      <c r="AQ19" s="69">
        <v>17073495</v>
      </c>
      <c r="AR19" s="69">
        <v>22007043</v>
      </c>
    </row>
    <row r="20" spans="1:44" x14ac:dyDescent="0.25">
      <c r="A20" s="39" t="s">
        <v>243</v>
      </c>
      <c r="B20" s="39" t="s">
        <v>125</v>
      </c>
      <c r="C20" s="69">
        <v>0</v>
      </c>
      <c r="D20" s="69">
        <v>0</v>
      </c>
      <c r="E20" s="69">
        <v>0</v>
      </c>
      <c r="F20" s="69">
        <v>115379</v>
      </c>
      <c r="G20" s="69">
        <v>509976</v>
      </c>
      <c r="H20" s="69">
        <v>923648</v>
      </c>
      <c r="I20" s="69">
        <v>18090</v>
      </c>
      <c r="J20" s="69">
        <v>481712</v>
      </c>
      <c r="K20" s="69">
        <v>361482</v>
      </c>
      <c r="L20" s="69">
        <v>1767661</v>
      </c>
      <c r="M20" s="69">
        <v>1114087</v>
      </c>
      <c r="N20" s="69">
        <v>999096</v>
      </c>
      <c r="O20" s="69">
        <v>1291630</v>
      </c>
      <c r="P20" s="69">
        <v>1262656</v>
      </c>
      <c r="Q20" s="69">
        <v>873497</v>
      </c>
      <c r="R20" s="69">
        <v>983590</v>
      </c>
      <c r="S20" s="69">
        <v>2043236</v>
      </c>
      <c r="T20" s="69">
        <v>105806</v>
      </c>
      <c r="U20" s="69">
        <v>312610</v>
      </c>
      <c r="V20" s="69">
        <v>781638</v>
      </c>
      <c r="W20" s="69">
        <v>765421</v>
      </c>
      <c r="X20" s="69">
        <v>989317</v>
      </c>
      <c r="Y20" s="69">
        <v>607607</v>
      </c>
      <c r="Z20" s="69">
        <v>590130</v>
      </c>
      <c r="AA20" s="69">
        <v>8465079</v>
      </c>
      <c r="AB20" s="69">
        <v>4121498</v>
      </c>
      <c r="AC20" s="69">
        <v>5478821</v>
      </c>
      <c r="AD20" s="69">
        <v>3013709</v>
      </c>
      <c r="AE20" s="69">
        <v>2832286</v>
      </c>
      <c r="AF20" s="69">
        <v>6473525</v>
      </c>
      <c r="AG20" s="69">
        <v>2398369</v>
      </c>
      <c r="AH20" s="69">
        <v>1591781</v>
      </c>
      <c r="AI20" s="69">
        <v>511226</v>
      </c>
      <c r="AJ20" s="69">
        <v>2128970</v>
      </c>
      <c r="AK20" s="69">
        <v>1977452</v>
      </c>
      <c r="AL20" s="69">
        <v>2145133</v>
      </c>
      <c r="AM20" s="69">
        <v>2353314</v>
      </c>
      <c r="AN20" s="69">
        <v>14593494</v>
      </c>
      <c r="AO20" s="69">
        <v>15257995</v>
      </c>
      <c r="AP20" s="69">
        <v>9708919</v>
      </c>
      <c r="AQ20" s="69">
        <v>9748519</v>
      </c>
      <c r="AR20" s="69">
        <v>19708491</v>
      </c>
    </row>
    <row r="21" spans="1:44" x14ac:dyDescent="0.25">
      <c r="A21" s="39" t="s">
        <v>307</v>
      </c>
      <c r="B21" s="39" t="s">
        <v>125</v>
      </c>
      <c r="C21" s="69">
        <v>0</v>
      </c>
      <c r="D21" s="69">
        <v>0</v>
      </c>
      <c r="E21" s="69">
        <v>0</v>
      </c>
      <c r="F21" s="69">
        <v>0</v>
      </c>
      <c r="G21" s="69">
        <v>0</v>
      </c>
      <c r="H21" s="69">
        <v>0</v>
      </c>
      <c r="I21" s="69">
        <v>0</v>
      </c>
      <c r="J21" s="69">
        <v>0</v>
      </c>
      <c r="K21" s="69">
        <v>390768</v>
      </c>
      <c r="L21" s="69">
        <v>1038114</v>
      </c>
      <c r="M21" s="69">
        <v>4832319</v>
      </c>
      <c r="N21" s="69">
        <v>12775821</v>
      </c>
      <c r="O21" s="69">
        <v>1876827</v>
      </c>
      <c r="P21" s="69">
        <v>0</v>
      </c>
      <c r="Q21" s="69">
        <v>3230032</v>
      </c>
      <c r="R21" s="69">
        <v>1309743</v>
      </c>
      <c r="S21" s="69">
        <v>2414569</v>
      </c>
      <c r="T21" s="69">
        <v>11451775</v>
      </c>
      <c r="U21" s="69">
        <v>14747825</v>
      </c>
      <c r="V21" s="69">
        <v>9341374</v>
      </c>
      <c r="W21" s="69">
        <v>13544464</v>
      </c>
      <c r="X21" s="69">
        <v>4065253</v>
      </c>
      <c r="Y21" s="69">
        <v>256704</v>
      </c>
      <c r="Z21" s="69">
        <v>2574954</v>
      </c>
      <c r="AA21" s="69">
        <v>0</v>
      </c>
      <c r="AB21" s="69">
        <v>-37304</v>
      </c>
      <c r="AC21" s="69">
        <v>-84280</v>
      </c>
      <c r="AD21" s="69">
        <v>-97019</v>
      </c>
      <c r="AE21" s="69">
        <v>0</v>
      </c>
      <c r="AF21" s="69">
        <v>0</v>
      </c>
      <c r="AG21" s="69">
        <v>2927177</v>
      </c>
      <c r="AH21" s="69">
        <v>14000116</v>
      </c>
      <c r="AI21" s="69">
        <v>20225360</v>
      </c>
      <c r="AJ21" s="69">
        <v>14503012</v>
      </c>
      <c r="AK21" s="69">
        <v>19301350</v>
      </c>
      <c r="AL21" s="69">
        <v>23233048</v>
      </c>
      <c r="AM21" s="69">
        <v>13981305</v>
      </c>
      <c r="AN21" s="69">
        <v>25795947</v>
      </c>
      <c r="AO21" s="69">
        <v>19434959</v>
      </c>
      <c r="AP21" s="69">
        <v>27045758</v>
      </c>
      <c r="AQ21" s="69">
        <v>45498151</v>
      </c>
      <c r="AR21" s="69">
        <v>52555692</v>
      </c>
    </row>
    <row r="22" spans="1:44" x14ac:dyDescent="0.25">
      <c r="A22" s="39" t="s">
        <v>308</v>
      </c>
      <c r="B22" s="39" t="s">
        <v>125</v>
      </c>
      <c r="C22" s="69">
        <v>325266</v>
      </c>
      <c r="D22" s="69">
        <v>356935</v>
      </c>
      <c r="E22" s="69">
        <v>462226</v>
      </c>
      <c r="F22" s="69">
        <v>659061</v>
      </c>
      <c r="G22" s="69">
        <v>712233</v>
      </c>
      <c r="H22" s="69">
        <v>723231</v>
      </c>
      <c r="I22" s="69">
        <v>843696</v>
      </c>
      <c r="J22" s="69">
        <v>6535747</v>
      </c>
      <c r="K22" s="69">
        <v>6854255</v>
      </c>
      <c r="L22" s="69">
        <v>21591648</v>
      </c>
      <c r="M22" s="69">
        <v>33784673</v>
      </c>
      <c r="N22" s="69">
        <v>29585820</v>
      </c>
      <c r="O22" s="69">
        <v>21578265</v>
      </c>
      <c r="P22" s="69">
        <v>24466049</v>
      </c>
      <c r="Q22" s="69">
        <v>31960316</v>
      </c>
      <c r="R22" s="69">
        <v>20948584</v>
      </c>
      <c r="S22" s="69">
        <v>21154036</v>
      </c>
      <c r="T22" s="69">
        <v>27090597</v>
      </c>
      <c r="U22" s="69">
        <v>32177422</v>
      </c>
      <c r="V22" s="69">
        <v>33304863</v>
      </c>
      <c r="W22" s="69">
        <v>21894112</v>
      </c>
      <c r="X22" s="69">
        <v>46966499</v>
      </c>
      <c r="Y22" s="69">
        <v>48247259</v>
      </c>
      <c r="Z22" s="69">
        <v>44673065</v>
      </c>
      <c r="AA22" s="69">
        <v>44710629</v>
      </c>
      <c r="AB22" s="69">
        <v>62745294</v>
      </c>
      <c r="AC22" s="69">
        <v>68969486</v>
      </c>
      <c r="AD22" s="69">
        <v>48508756</v>
      </c>
      <c r="AE22" s="69">
        <v>61043577</v>
      </c>
      <c r="AF22" s="69">
        <v>56836208</v>
      </c>
      <c r="AG22" s="69">
        <v>49333160</v>
      </c>
      <c r="AH22" s="69">
        <v>41267492</v>
      </c>
      <c r="AI22" s="69">
        <v>48656164</v>
      </c>
      <c r="AJ22" s="69">
        <v>55039742</v>
      </c>
      <c r="AK22" s="69">
        <v>43910819</v>
      </c>
      <c r="AL22" s="69">
        <v>60355545</v>
      </c>
      <c r="AM22" s="69">
        <v>46730395</v>
      </c>
      <c r="AN22" s="69">
        <v>65028950</v>
      </c>
      <c r="AO22" s="69">
        <v>47581898</v>
      </c>
      <c r="AP22" s="69">
        <v>41819938</v>
      </c>
      <c r="AQ22" s="69">
        <v>48680629</v>
      </c>
      <c r="AR22" s="69">
        <v>73709702</v>
      </c>
    </row>
    <row r="23" spans="1:44" x14ac:dyDescent="0.25">
      <c r="A23" s="39" t="s">
        <v>309</v>
      </c>
      <c r="B23" s="39" t="s">
        <v>125</v>
      </c>
      <c r="C23" s="69">
        <v>0</v>
      </c>
      <c r="D23" s="69">
        <v>0</v>
      </c>
      <c r="E23" s="69">
        <v>0</v>
      </c>
      <c r="F23" s="69">
        <v>0</v>
      </c>
      <c r="G23" s="69">
        <v>0</v>
      </c>
      <c r="H23" s="69">
        <v>0</v>
      </c>
      <c r="I23" s="69">
        <v>0</v>
      </c>
      <c r="J23" s="69">
        <v>0</v>
      </c>
      <c r="K23" s="69">
        <v>937168</v>
      </c>
      <c r="L23" s="69">
        <v>932820</v>
      </c>
      <c r="M23" s="69">
        <v>1792400</v>
      </c>
      <c r="N23" s="69">
        <v>2423216</v>
      </c>
      <c r="O23" s="69">
        <v>2416895</v>
      </c>
      <c r="P23" s="69">
        <v>2202116</v>
      </c>
      <c r="Q23" s="69">
        <v>1296849</v>
      </c>
      <c r="R23" s="69">
        <v>242991</v>
      </c>
      <c r="S23" s="69">
        <v>911479</v>
      </c>
      <c r="T23" s="69">
        <v>756848</v>
      </c>
      <c r="U23" s="69">
        <v>983131</v>
      </c>
      <c r="V23" s="69">
        <v>1474830</v>
      </c>
      <c r="W23" s="69">
        <v>2081812</v>
      </c>
      <c r="X23" s="69">
        <v>4510578</v>
      </c>
      <c r="Y23" s="69">
        <v>2696640</v>
      </c>
      <c r="Z23" s="69">
        <v>3020239</v>
      </c>
      <c r="AA23" s="69">
        <v>1009625</v>
      </c>
      <c r="AB23" s="69">
        <v>1007685</v>
      </c>
      <c r="AC23" s="69">
        <v>1636166</v>
      </c>
      <c r="AD23" s="69">
        <v>2871243</v>
      </c>
      <c r="AE23" s="69">
        <v>1709380</v>
      </c>
      <c r="AF23" s="69">
        <v>2266278</v>
      </c>
      <c r="AG23" s="69">
        <v>1241104</v>
      </c>
      <c r="AH23" s="69">
        <v>2700923</v>
      </c>
      <c r="AI23" s="69">
        <v>890671</v>
      </c>
      <c r="AJ23" s="69">
        <v>6158808</v>
      </c>
      <c r="AK23" s="69">
        <v>4997204</v>
      </c>
      <c r="AL23" s="69">
        <v>4908522</v>
      </c>
      <c r="AM23" s="69">
        <v>4233964</v>
      </c>
      <c r="AN23" s="69">
        <v>1426242</v>
      </c>
      <c r="AO23" s="69">
        <v>1017173</v>
      </c>
      <c r="AP23" s="69">
        <v>3172741</v>
      </c>
      <c r="AQ23" s="69">
        <v>0</v>
      </c>
      <c r="AR23" s="69">
        <v>0</v>
      </c>
    </row>
    <row r="24" spans="1:44" x14ac:dyDescent="0.25">
      <c r="A24" s="39" t="s">
        <v>310</v>
      </c>
      <c r="B24" s="39" t="s">
        <v>125</v>
      </c>
      <c r="C24" s="69">
        <v>0</v>
      </c>
      <c r="D24" s="69">
        <v>0</v>
      </c>
      <c r="E24" s="69">
        <v>0</v>
      </c>
      <c r="F24" s="69">
        <v>0</v>
      </c>
      <c r="G24" s="69">
        <v>0</v>
      </c>
      <c r="H24" s="69">
        <v>0</v>
      </c>
      <c r="I24" s="69">
        <v>0</v>
      </c>
      <c r="J24" s="69">
        <v>0</v>
      </c>
      <c r="K24" s="69">
        <v>0</v>
      </c>
      <c r="L24" s="69">
        <v>0</v>
      </c>
      <c r="M24" s="69">
        <v>0</v>
      </c>
      <c r="N24" s="69">
        <v>0</v>
      </c>
      <c r="O24" s="69">
        <v>0</v>
      </c>
      <c r="P24" s="69">
        <v>0</v>
      </c>
      <c r="Q24" s="69">
        <v>0</v>
      </c>
      <c r="R24" s="69">
        <v>1316202</v>
      </c>
      <c r="S24" s="69">
        <v>2578686</v>
      </c>
      <c r="T24" s="69">
        <v>1477144</v>
      </c>
      <c r="U24" s="69">
        <v>3257191</v>
      </c>
      <c r="V24" s="69">
        <v>2034165</v>
      </c>
      <c r="W24" s="69">
        <v>2214346</v>
      </c>
      <c r="X24" s="69">
        <v>6040001</v>
      </c>
      <c r="Y24" s="69">
        <v>2161823</v>
      </c>
      <c r="Z24" s="69">
        <v>9723179</v>
      </c>
      <c r="AA24" s="69">
        <v>20033893</v>
      </c>
      <c r="AB24" s="69">
        <v>28661428</v>
      </c>
      <c r="AC24" s="69">
        <v>22641556</v>
      </c>
      <c r="AD24" s="69">
        <v>17880799</v>
      </c>
      <c r="AE24" s="69">
        <v>23546647</v>
      </c>
      <c r="AF24" s="69">
        <v>20879769</v>
      </c>
      <c r="AG24" s="69">
        <v>17548069</v>
      </c>
      <c r="AH24" s="69">
        <v>19924444</v>
      </c>
      <c r="AI24" s="69">
        <v>40483164</v>
      </c>
      <c r="AJ24" s="69">
        <v>64202873</v>
      </c>
      <c r="AK24" s="69">
        <v>42091738</v>
      </c>
      <c r="AL24" s="69">
        <v>44612941</v>
      </c>
      <c r="AM24" s="69">
        <v>45856543</v>
      </c>
      <c r="AN24" s="69">
        <v>37327016</v>
      </c>
      <c r="AO24" s="69">
        <v>51907147</v>
      </c>
      <c r="AP24" s="69">
        <v>64069314</v>
      </c>
      <c r="AQ24" s="69">
        <v>80824185</v>
      </c>
      <c r="AR24" s="69">
        <v>59225747</v>
      </c>
    </row>
    <row r="25" spans="1:44" x14ac:dyDescent="0.25">
      <c r="A25" s="39" t="s">
        <v>311</v>
      </c>
      <c r="B25" s="39" t="s">
        <v>125</v>
      </c>
      <c r="C25" s="69">
        <v>0</v>
      </c>
      <c r="D25" s="69">
        <v>0</v>
      </c>
      <c r="E25" s="69">
        <v>0</v>
      </c>
      <c r="F25" s="69">
        <v>0</v>
      </c>
      <c r="G25" s="69">
        <v>0</v>
      </c>
      <c r="H25" s="69">
        <v>0</v>
      </c>
      <c r="I25" s="69">
        <v>0</v>
      </c>
      <c r="J25" s="69">
        <v>0</v>
      </c>
      <c r="K25" s="69">
        <v>0</v>
      </c>
      <c r="L25" s="69">
        <v>0</v>
      </c>
      <c r="M25" s="69">
        <v>0</v>
      </c>
      <c r="N25" s="69">
        <v>0</v>
      </c>
      <c r="O25" s="69">
        <v>0</v>
      </c>
      <c r="P25" s="69">
        <v>0</v>
      </c>
      <c r="Q25" s="69">
        <v>0</v>
      </c>
      <c r="R25" s="69">
        <v>0</v>
      </c>
      <c r="S25" s="69">
        <v>0</v>
      </c>
      <c r="T25" s="69">
        <v>0</v>
      </c>
      <c r="U25" s="69">
        <v>0</v>
      </c>
      <c r="V25" s="69">
        <v>0</v>
      </c>
      <c r="W25" s="69">
        <v>3928674</v>
      </c>
      <c r="X25" s="69">
        <v>14128965</v>
      </c>
      <c r="Y25" s="69">
        <v>10484086</v>
      </c>
      <c r="Z25" s="69">
        <v>12458504</v>
      </c>
      <c r="AA25" s="69">
        <v>2946459</v>
      </c>
      <c r="AB25" s="69">
        <v>1825856</v>
      </c>
      <c r="AC25" s="69">
        <v>2267031</v>
      </c>
      <c r="AD25" s="69">
        <v>7967091</v>
      </c>
      <c r="AE25" s="69">
        <v>7650015</v>
      </c>
      <c r="AF25" s="69">
        <v>20506472</v>
      </c>
      <c r="AG25" s="69">
        <v>8686897</v>
      </c>
      <c r="AH25" s="69">
        <v>31498325</v>
      </c>
      <c r="AI25" s="69">
        <v>49327674</v>
      </c>
      <c r="AJ25" s="69">
        <v>20404342</v>
      </c>
      <c r="AK25" s="69">
        <v>22918783</v>
      </c>
      <c r="AL25" s="69">
        <v>31668430</v>
      </c>
      <c r="AM25" s="69">
        <v>20171269</v>
      </c>
      <c r="AN25" s="69">
        <v>22416384</v>
      </c>
      <c r="AO25" s="69">
        <v>20131541</v>
      </c>
      <c r="AP25" s="69">
        <v>29842747</v>
      </c>
      <c r="AQ25" s="69">
        <v>20205861</v>
      </c>
      <c r="AR25" s="69">
        <v>33295373</v>
      </c>
    </row>
    <row r="26" spans="1:44" ht="25.5" x14ac:dyDescent="0.25">
      <c r="A26" s="39" t="s">
        <v>312</v>
      </c>
      <c r="B26" s="39" t="s">
        <v>119</v>
      </c>
      <c r="C26" s="69">
        <v>236835</v>
      </c>
      <c r="D26" s="69">
        <v>328532</v>
      </c>
      <c r="E26" s="69">
        <v>530962</v>
      </c>
      <c r="F26" s="69">
        <v>478928</v>
      </c>
      <c r="G26" s="69">
        <v>468876</v>
      </c>
      <c r="H26" s="69">
        <v>453202</v>
      </c>
      <c r="I26" s="69">
        <v>384063</v>
      </c>
      <c r="J26" s="69">
        <v>287824</v>
      </c>
      <c r="K26" s="69">
        <v>439275</v>
      </c>
      <c r="L26" s="69">
        <v>619533</v>
      </c>
      <c r="M26" s="69">
        <v>5124962</v>
      </c>
      <c r="N26" s="69">
        <v>4039886</v>
      </c>
      <c r="O26" s="69">
        <v>4357477</v>
      </c>
      <c r="P26" s="69">
        <v>3934885</v>
      </c>
      <c r="Q26" s="69">
        <v>9332355</v>
      </c>
      <c r="R26" s="69">
        <v>11099142</v>
      </c>
      <c r="S26" s="69">
        <v>11997870</v>
      </c>
      <c r="T26" s="69">
        <v>16349340</v>
      </c>
      <c r="U26" s="69">
        <v>18304112</v>
      </c>
      <c r="V26" s="69">
        <v>19729918</v>
      </c>
      <c r="W26" s="69">
        <v>21003360</v>
      </c>
      <c r="X26" s="69">
        <v>22210741</v>
      </c>
      <c r="Y26" s="69">
        <v>23000281</v>
      </c>
      <c r="Z26" s="69">
        <v>22918295</v>
      </c>
      <c r="AA26" s="69">
        <v>23591564</v>
      </c>
      <c r="AB26" s="69">
        <v>27134276</v>
      </c>
      <c r="AC26" s="69">
        <v>27604709</v>
      </c>
      <c r="AD26" s="69">
        <v>27038593</v>
      </c>
      <c r="AE26" s="69">
        <v>26895940</v>
      </c>
      <c r="AF26" s="69">
        <v>27810734</v>
      </c>
      <c r="AG26" s="69">
        <v>30466493</v>
      </c>
      <c r="AH26" s="69">
        <v>31824576</v>
      </c>
      <c r="AI26" s="69">
        <v>30754198</v>
      </c>
      <c r="AJ26" s="69">
        <v>33146497</v>
      </c>
      <c r="AK26" s="69">
        <v>33960409</v>
      </c>
      <c r="AL26" s="69">
        <v>30567380</v>
      </c>
      <c r="AM26" s="69">
        <v>32325189</v>
      </c>
      <c r="AN26" s="69">
        <v>28115169</v>
      </c>
      <c r="AO26" s="69">
        <v>33159812</v>
      </c>
      <c r="AP26" s="69">
        <v>30654087</v>
      </c>
      <c r="AQ26" s="69">
        <v>30381489</v>
      </c>
      <c r="AR26" s="69">
        <v>32701006</v>
      </c>
    </row>
    <row r="27" spans="1:44" ht="25.5" x14ac:dyDescent="0.25">
      <c r="A27" s="39" t="s">
        <v>313</v>
      </c>
      <c r="B27" s="39" t="s">
        <v>119</v>
      </c>
      <c r="C27" s="69">
        <v>17755379</v>
      </c>
      <c r="D27" s="69">
        <v>18565504</v>
      </c>
      <c r="E27" s="69">
        <v>18690881</v>
      </c>
      <c r="F27" s="69">
        <v>18392657</v>
      </c>
      <c r="G27" s="69">
        <v>18498641</v>
      </c>
      <c r="H27" s="69">
        <v>19951818</v>
      </c>
      <c r="I27" s="69">
        <v>22966235</v>
      </c>
      <c r="J27" s="69">
        <v>23146848</v>
      </c>
      <c r="K27" s="69">
        <v>24491760</v>
      </c>
      <c r="L27" s="69">
        <v>22935634</v>
      </c>
      <c r="M27" s="69">
        <v>20013782</v>
      </c>
      <c r="N27" s="69">
        <v>21676838</v>
      </c>
      <c r="O27" s="69">
        <v>23017872</v>
      </c>
      <c r="P27" s="69">
        <v>27560106</v>
      </c>
      <c r="Q27" s="69">
        <v>23904823</v>
      </c>
      <c r="R27" s="69">
        <v>22312477</v>
      </c>
      <c r="S27" s="69">
        <v>21463784</v>
      </c>
      <c r="T27" s="69">
        <v>17572214</v>
      </c>
      <c r="U27" s="69">
        <v>17140715</v>
      </c>
      <c r="V27" s="69">
        <v>15721948</v>
      </c>
      <c r="W27" s="69">
        <v>14080511</v>
      </c>
      <c r="X27" s="69">
        <v>14452819</v>
      </c>
      <c r="Y27" s="69">
        <v>13949063</v>
      </c>
      <c r="Z27" s="69">
        <v>13753392</v>
      </c>
      <c r="AA27" s="69">
        <v>14006287</v>
      </c>
      <c r="AB27" s="69">
        <v>12372350</v>
      </c>
      <c r="AC27" s="69">
        <v>12568549</v>
      </c>
      <c r="AD27" s="69">
        <v>12096478</v>
      </c>
      <c r="AE27" s="69">
        <v>12744853</v>
      </c>
      <c r="AF27" s="69">
        <v>13714400</v>
      </c>
      <c r="AG27" s="69">
        <v>12204768</v>
      </c>
      <c r="AH27" s="69">
        <v>9500310</v>
      </c>
      <c r="AI27" s="69">
        <v>9997027</v>
      </c>
      <c r="AJ27" s="69">
        <v>10094851</v>
      </c>
      <c r="AK27" s="69">
        <v>10937591</v>
      </c>
      <c r="AL27" s="69">
        <v>9639506</v>
      </c>
      <c r="AM27" s="69">
        <v>5880802</v>
      </c>
      <c r="AN27" s="69">
        <v>3868435</v>
      </c>
      <c r="AO27" s="69">
        <v>2117873</v>
      </c>
      <c r="AP27" s="69">
        <v>773375</v>
      </c>
      <c r="AQ27" s="69">
        <v>748237</v>
      </c>
      <c r="AR27" s="69">
        <v>931559</v>
      </c>
    </row>
    <row r="28" spans="1:44" ht="38.25" x14ac:dyDescent="0.25">
      <c r="A28" s="39" t="s">
        <v>314</v>
      </c>
      <c r="B28" s="39" t="s">
        <v>119</v>
      </c>
      <c r="C28" s="69">
        <v>0</v>
      </c>
      <c r="D28" s="69">
        <v>0</v>
      </c>
      <c r="E28" s="69">
        <v>0</v>
      </c>
      <c r="F28" s="69">
        <v>0</v>
      </c>
      <c r="G28" s="69">
        <v>0</v>
      </c>
      <c r="H28" s="69">
        <v>0</v>
      </c>
      <c r="I28" s="69">
        <v>0</v>
      </c>
      <c r="J28" s="69">
        <v>0</v>
      </c>
      <c r="K28" s="69">
        <v>0</v>
      </c>
      <c r="L28" s="69">
        <v>126</v>
      </c>
      <c r="M28" s="69">
        <v>4672</v>
      </c>
      <c r="N28" s="69">
        <v>8141</v>
      </c>
      <c r="O28" s="69">
        <v>7656</v>
      </c>
      <c r="P28" s="69">
        <v>10232</v>
      </c>
      <c r="Q28" s="69">
        <v>0</v>
      </c>
      <c r="R28" s="69">
        <v>0</v>
      </c>
      <c r="S28" s="69">
        <v>0</v>
      </c>
      <c r="T28" s="69">
        <v>0</v>
      </c>
      <c r="U28" s="69">
        <v>4956</v>
      </c>
      <c r="V28" s="69">
        <v>25444</v>
      </c>
      <c r="W28" s="69">
        <v>42772</v>
      </c>
      <c r="X28" s="69">
        <v>26414</v>
      </c>
      <c r="Y28" s="69">
        <v>23158</v>
      </c>
      <c r="Z28" s="69">
        <v>23159</v>
      </c>
      <c r="AA28" s="69">
        <v>20563</v>
      </c>
      <c r="AB28" s="69">
        <v>21932</v>
      </c>
      <c r="AC28" s="69">
        <v>20525</v>
      </c>
      <c r="AD28" s="69">
        <v>24560</v>
      </c>
      <c r="AE28" s="69">
        <v>332012</v>
      </c>
      <c r="AF28" s="69">
        <v>326525</v>
      </c>
      <c r="AG28" s="69">
        <v>396075</v>
      </c>
      <c r="AH28" s="69">
        <v>416774</v>
      </c>
      <c r="AI28" s="69">
        <v>554812</v>
      </c>
      <c r="AJ28" s="69">
        <v>879894</v>
      </c>
      <c r="AK28" s="69">
        <v>562272</v>
      </c>
      <c r="AL28" s="69">
        <v>1664207</v>
      </c>
      <c r="AM28" s="69">
        <v>1815233</v>
      </c>
      <c r="AN28" s="69">
        <v>1550742</v>
      </c>
      <c r="AO28" s="69">
        <v>1508117</v>
      </c>
      <c r="AP28" s="69">
        <v>1700999</v>
      </c>
      <c r="AQ28" s="69">
        <v>1575479</v>
      </c>
      <c r="AR28" s="69">
        <v>1842718</v>
      </c>
    </row>
    <row r="29" spans="1:44" ht="25.5" x14ac:dyDescent="0.25">
      <c r="A29" s="39" t="s">
        <v>315</v>
      </c>
      <c r="B29" s="39" t="s">
        <v>119</v>
      </c>
      <c r="C29" s="69">
        <v>0</v>
      </c>
      <c r="D29" s="69">
        <v>0</v>
      </c>
      <c r="E29" s="69">
        <v>0</v>
      </c>
      <c r="F29" s="69">
        <v>0</v>
      </c>
      <c r="G29" s="69">
        <v>0</v>
      </c>
      <c r="H29" s="69">
        <v>0</v>
      </c>
      <c r="I29" s="69">
        <v>0</v>
      </c>
      <c r="J29" s="69">
        <v>0</v>
      </c>
      <c r="K29" s="69">
        <v>0</v>
      </c>
      <c r="L29" s="69">
        <v>0</v>
      </c>
      <c r="M29" s="69">
        <v>0</v>
      </c>
      <c r="N29" s="69">
        <v>0</v>
      </c>
      <c r="O29" s="69">
        <v>0</v>
      </c>
      <c r="P29" s="69">
        <v>0</v>
      </c>
      <c r="Q29" s="69">
        <v>0</v>
      </c>
      <c r="R29" s="69">
        <v>0</v>
      </c>
      <c r="S29" s="69">
        <v>0</v>
      </c>
      <c r="T29" s="69">
        <v>0</v>
      </c>
      <c r="U29" s="69">
        <v>0</v>
      </c>
      <c r="V29" s="69">
        <v>0</v>
      </c>
      <c r="W29" s="69">
        <v>0</v>
      </c>
      <c r="X29" s="69">
        <v>0</v>
      </c>
      <c r="Y29" s="69">
        <v>0</v>
      </c>
      <c r="Z29" s="69">
        <v>0</v>
      </c>
      <c r="AA29" s="69">
        <v>17551</v>
      </c>
      <c r="AB29" s="69">
        <v>273534</v>
      </c>
      <c r="AC29" s="69">
        <v>503418</v>
      </c>
      <c r="AD29" s="69">
        <v>532250</v>
      </c>
      <c r="AE29" s="69">
        <v>406773</v>
      </c>
      <c r="AF29" s="69">
        <v>188609</v>
      </c>
      <c r="AG29" s="69">
        <v>416794</v>
      </c>
      <c r="AH29" s="69">
        <v>404542</v>
      </c>
      <c r="AI29" s="69">
        <v>863424</v>
      </c>
      <c r="AJ29" s="69">
        <v>932234</v>
      </c>
      <c r="AK29" s="69">
        <v>2093857</v>
      </c>
      <c r="AL29" s="69">
        <v>3303210</v>
      </c>
      <c r="AM29" s="69">
        <v>3196541</v>
      </c>
      <c r="AN29" s="69">
        <v>3545124</v>
      </c>
      <c r="AO29" s="69">
        <v>5637297</v>
      </c>
      <c r="AP29" s="69">
        <v>8374433</v>
      </c>
      <c r="AQ29" s="69">
        <v>7008784</v>
      </c>
      <c r="AR29" s="69">
        <v>9829165</v>
      </c>
    </row>
    <row r="30" spans="1:44" x14ac:dyDescent="0.25">
      <c r="A30" s="39" t="s">
        <v>78</v>
      </c>
      <c r="B30" s="39" t="s">
        <v>125</v>
      </c>
      <c r="C30" s="69">
        <v>0</v>
      </c>
      <c r="D30" s="69">
        <v>0</v>
      </c>
      <c r="E30" s="69">
        <v>0</v>
      </c>
      <c r="F30" s="69">
        <v>0</v>
      </c>
      <c r="G30" s="69">
        <v>0</v>
      </c>
      <c r="H30" s="69">
        <v>0</v>
      </c>
      <c r="I30" s="69">
        <v>0</v>
      </c>
      <c r="J30" s="69">
        <v>0</v>
      </c>
      <c r="K30" s="69">
        <v>0</v>
      </c>
      <c r="L30" s="69">
        <v>0</v>
      </c>
      <c r="M30" s="69">
        <v>0</v>
      </c>
      <c r="N30" s="69">
        <v>0</v>
      </c>
      <c r="O30" s="69">
        <v>0</v>
      </c>
      <c r="P30" s="69">
        <v>0</v>
      </c>
      <c r="Q30" s="69">
        <v>0</v>
      </c>
      <c r="R30" s="69">
        <v>0</v>
      </c>
      <c r="S30" s="69">
        <v>0</v>
      </c>
      <c r="T30" s="69">
        <v>0</v>
      </c>
      <c r="U30" s="69">
        <v>0</v>
      </c>
      <c r="V30" s="69">
        <v>0</v>
      </c>
      <c r="W30" s="69">
        <v>0</v>
      </c>
      <c r="X30" s="69">
        <v>0</v>
      </c>
      <c r="Y30" s="69">
        <v>0</v>
      </c>
      <c r="Z30" s="69">
        <v>0</v>
      </c>
      <c r="AA30" s="69">
        <v>0</v>
      </c>
      <c r="AB30" s="69">
        <v>0</v>
      </c>
      <c r="AC30" s="69">
        <v>0</v>
      </c>
      <c r="AD30" s="69">
        <v>0</v>
      </c>
      <c r="AE30" s="69">
        <v>0</v>
      </c>
      <c r="AF30" s="69">
        <v>0</v>
      </c>
      <c r="AG30" s="69">
        <v>0</v>
      </c>
      <c r="AH30" s="69">
        <v>0</v>
      </c>
      <c r="AI30" s="69">
        <v>0</v>
      </c>
      <c r="AJ30" s="69">
        <v>723542</v>
      </c>
      <c r="AK30" s="69">
        <v>693621</v>
      </c>
      <c r="AL30" s="69">
        <v>445027</v>
      </c>
      <c r="AM30" s="69">
        <v>284190</v>
      </c>
      <c r="AN30" s="69">
        <v>1315875</v>
      </c>
      <c r="AO30" s="69">
        <v>2389098</v>
      </c>
      <c r="AP30" s="69">
        <v>570655</v>
      </c>
      <c r="AQ30" s="69">
        <v>873456</v>
      </c>
      <c r="AR30" s="69">
        <v>2528070</v>
      </c>
    </row>
    <row r="31" spans="1:44" x14ac:dyDescent="0.25">
      <c r="A31" s="39" t="s">
        <v>171</v>
      </c>
      <c r="B31" s="39" t="s">
        <v>125</v>
      </c>
      <c r="C31" s="69">
        <v>0</v>
      </c>
      <c r="D31" s="69">
        <v>0</v>
      </c>
      <c r="E31" s="69">
        <v>0</v>
      </c>
      <c r="F31" s="69">
        <v>0</v>
      </c>
      <c r="G31" s="69">
        <v>0</v>
      </c>
      <c r="H31" s="69">
        <v>0</v>
      </c>
      <c r="I31" s="69">
        <v>0</v>
      </c>
      <c r="J31" s="69">
        <v>0</v>
      </c>
      <c r="K31" s="69">
        <v>0</v>
      </c>
      <c r="L31" s="69">
        <v>0</v>
      </c>
      <c r="M31" s="69">
        <v>0</v>
      </c>
      <c r="N31" s="69">
        <v>0</v>
      </c>
      <c r="O31" s="69">
        <v>0</v>
      </c>
      <c r="P31" s="69">
        <v>0</v>
      </c>
      <c r="Q31" s="69">
        <v>0</v>
      </c>
      <c r="R31" s="69">
        <v>0</v>
      </c>
      <c r="S31" s="69">
        <v>0</v>
      </c>
      <c r="T31" s="69">
        <v>0</v>
      </c>
      <c r="U31" s="69">
        <v>0</v>
      </c>
      <c r="V31" s="69">
        <v>0</v>
      </c>
      <c r="W31" s="69">
        <v>0</v>
      </c>
      <c r="X31" s="69">
        <v>0</v>
      </c>
      <c r="Y31" s="69">
        <v>0</v>
      </c>
      <c r="Z31" s="69">
        <v>0</v>
      </c>
      <c r="AA31" s="69">
        <v>0</v>
      </c>
      <c r="AB31" s="69">
        <v>0</v>
      </c>
      <c r="AC31" s="69">
        <v>0</v>
      </c>
      <c r="AD31" s="69">
        <v>0</v>
      </c>
      <c r="AE31" s="69">
        <v>0</v>
      </c>
      <c r="AF31" s="69">
        <v>0</v>
      </c>
      <c r="AG31" s="69">
        <v>0</v>
      </c>
      <c r="AH31" s="69">
        <v>170876</v>
      </c>
      <c r="AI31" s="69">
        <v>107933</v>
      </c>
      <c r="AJ31" s="69">
        <v>673134</v>
      </c>
      <c r="AK31" s="69">
        <v>175948</v>
      </c>
      <c r="AL31" s="69">
        <v>290046</v>
      </c>
      <c r="AM31" s="69">
        <v>352423</v>
      </c>
      <c r="AN31" s="69">
        <v>447211</v>
      </c>
      <c r="AO31" s="69">
        <v>815855</v>
      </c>
      <c r="AP31" s="69">
        <v>591098</v>
      </c>
      <c r="AQ31" s="69">
        <v>2427368</v>
      </c>
      <c r="AR31" s="69">
        <v>4222140</v>
      </c>
    </row>
    <row r="32" spans="1:44" x14ac:dyDescent="0.25">
      <c r="A32" s="39" t="s">
        <v>87</v>
      </c>
      <c r="B32" s="39" t="s">
        <v>87</v>
      </c>
      <c r="C32" s="39" t="s">
        <v>87</v>
      </c>
      <c r="D32" s="39" t="s">
        <v>87</v>
      </c>
      <c r="E32" s="39" t="s">
        <v>87</v>
      </c>
      <c r="F32" s="39" t="s">
        <v>87</v>
      </c>
      <c r="G32" s="39" t="s">
        <v>87</v>
      </c>
      <c r="H32" s="39" t="s">
        <v>87</v>
      </c>
      <c r="I32" s="39" t="s">
        <v>87</v>
      </c>
      <c r="J32" s="39" t="s">
        <v>87</v>
      </c>
      <c r="K32" s="39" t="s">
        <v>87</v>
      </c>
      <c r="L32" s="39" t="s">
        <v>87</v>
      </c>
      <c r="M32" s="39" t="s">
        <v>87</v>
      </c>
      <c r="N32" s="39" t="s">
        <v>87</v>
      </c>
      <c r="O32" s="39" t="s">
        <v>87</v>
      </c>
      <c r="P32" s="39" t="s">
        <v>87</v>
      </c>
      <c r="Q32" s="39" t="s">
        <v>87</v>
      </c>
      <c r="R32" s="39" t="s">
        <v>87</v>
      </c>
      <c r="S32" s="39" t="s">
        <v>87</v>
      </c>
      <c r="T32" s="39" t="s">
        <v>87</v>
      </c>
      <c r="U32" s="39" t="s">
        <v>87</v>
      </c>
      <c r="V32" s="39" t="s">
        <v>87</v>
      </c>
      <c r="W32" s="39" t="s">
        <v>87</v>
      </c>
      <c r="X32" s="39" t="s">
        <v>87</v>
      </c>
      <c r="Y32" s="39" t="s">
        <v>87</v>
      </c>
      <c r="Z32" s="39" t="s">
        <v>87</v>
      </c>
      <c r="AA32" s="39" t="s">
        <v>87</v>
      </c>
      <c r="AB32" s="39" t="s">
        <v>87</v>
      </c>
      <c r="AC32" s="39" t="s">
        <v>87</v>
      </c>
      <c r="AD32" s="39" t="s">
        <v>87</v>
      </c>
      <c r="AE32" s="39" t="s">
        <v>87</v>
      </c>
      <c r="AF32" s="39" t="s">
        <v>87</v>
      </c>
      <c r="AG32" s="39" t="s">
        <v>87</v>
      </c>
      <c r="AH32" s="39" t="s">
        <v>87</v>
      </c>
      <c r="AI32" s="39" t="s">
        <v>87</v>
      </c>
    </row>
    <row r="33" spans="1:44" x14ac:dyDescent="0.25">
      <c r="A33" s="37" t="s">
        <v>158</v>
      </c>
      <c r="B33" s="37" t="s">
        <v>87</v>
      </c>
      <c r="C33" s="138"/>
      <c r="D33" s="138"/>
      <c r="E33" s="138"/>
      <c r="F33" s="138">
        <v>2011</v>
      </c>
      <c r="G33" s="138"/>
      <c r="H33" s="138"/>
      <c r="I33" s="138"/>
      <c r="J33" s="138">
        <v>2012</v>
      </c>
      <c r="K33" s="138"/>
      <c r="L33" s="138"/>
      <c r="M33" s="138"/>
      <c r="N33" s="138">
        <v>2013</v>
      </c>
      <c r="O33" s="138"/>
      <c r="P33" s="138"/>
      <c r="Q33" s="138"/>
      <c r="R33" s="138">
        <v>2014</v>
      </c>
      <c r="S33" s="138"/>
      <c r="T33" s="138"/>
      <c r="U33" s="138"/>
      <c r="V33" s="138">
        <v>2015</v>
      </c>
      <c r="W33" s="138"/>
      <c r="X33" s="138"/>
      <c r="Y33" s="138"/>
      <c r="Z33" s="138">
        <v>2016</v>
      </c>
      <c r="AA33" s="138"/>
      <c r="AB33" s="138"/>
      <c r="AC33" s="138"/>
      <c r="AD33" s="138">
        <v>2017</v>
      </c>
      <c r="AE33" s="161"/>
      <c r="AF33" s="161"/>
      <c r="AG33" s="161"/>
      <c r="AH33" s="162">
        <v>2018</v>
      </c>
      <c r="AI33" s="162"/>
      <c r="AJ33" s="162"/>
      <c r="AK33" s="162"/>
      <c r="AL33" s="162">
        <v>2019</v>
      </c>
      <c r="AM33" s="162"/>
      <c r="AN33" s="162"/>
      <c r="AO33" s="162"/>
      <c r="AP33" s="162">
        <v>2020</v>
      </c>
      <c r="AQ33" s="162"/>
      <c r="AR33" s="162">
        <v>2021</v>
      </c>
    </row>
    <row r="34" spans="1:44" x14ac:dyDescent="0.25">
      <c r="A34" s="39" t="s">
        <v>282</v>
      </c>
      <c r="B34" s="39" t="s">
        <v>87</v>
      </c>
      <c r="C34" s="39" t="s">
        <v>68</v>
      </c>
      <c r="D34" s="39" t="s">
        <v>69</v>
      </c>
      <c r="E34" s="39" t="s">
        <v>70</v>
      </c>
      <c r="F34" s="39" t="s">
        <v>71</v>
      </c>
      <c r="G34" s="39" t="s">
        <v>68</v>
      </c>
      <c r="H34" s="39" t="s">
        <v>69</v>
      </c>
      <c r="I34" s="39" t="s">
        <v>70</v>
      </c>
      <c r="J34" s="39" t="s">
        <v>71</v>
      </c>
      <c r="K34" s="39" t="s">
        <v>68</v>
      </c>
      <c r="L34" s="39" t="s">
        <v>69</v>
      </c>
      <c r="M34" s="39" t="s">
        <v>70</v>
      </c>
      <c r="N34" s="39" t="s">
        <v>71</v>
      </c>
      <c r="O34" s="39" t="s">
        <v>68</v>
      </c>
      <c r="P34" s="39" t="s">
        <v>69</v>
      </c>
      <c r="Q34" s="39" t="s">
        <v>70</v>
      </c>
      <c r="R34" s="39" t="s">
        <v>71</v>
      </c>
      <c r="S34" s="39" t="s">
        <v>68</v>
      </c>
      <c r="T34" s="39" t="s">
        <v>69</v>
      </c>
      <c r="U34" s="39" t="s">
        <v>70</v>
      </c>
      <c r="V34" s="39" t="s">
        <v>71</v>
      </c>
      <c r="W34" s="39" t="s">
        <v>68</v>
      </c>
      <c r="X34" s="39" t="s">
        <v>69</v>
      </c>
      <c r="Y34" s="39" t="s">
        <v>70</v>
      </c>
      <c r="Z34" s="39" t="s">
        <v>71</v>
      </c>
      <c r="AA34" s="39" t="s">
        <v>68</v>
      </c>
      <c r="AB34" s="39" t="s">
        <v>69</v>
      </c>
      <c r="AC34" s="39" t="s">
        <v>70</v>
      </c>
      <c r="AD34" s="39" t="s">
        <v>71</v>
      </c>
      <c r="AE34" s="39" t="s">
        <v>68</v>
      </c>
      <c r="AF34" s="39" t="s">
        <v>69</v>
      </c>
      <c r="AG34" s="39" t="s">
        <v>70</v>
      </c>
      <c r="AH34" s="39" t="s">
        <v>71</v>
      </c>
      <c r="AI34" s="39" t="s">
        <v>68</v>
      </c>
      <c r="AJ34" s="39" t="s">
        <v>69</v>
      </c>
      <c r="AK34" s="39" t="s">
        <v>70</v>
      </c>
      <c r="AL34" s="39" t="s">
        <v>71</v>
      </c>
      <c r="AM34" s="39" t="s">
        <v>68</v>
      </c>
      <c r="AN34" s="39" t="s">
        <v>69</v>
      </c>
      <c r="AO34" s="39" t="s">
        <v>70</v>
      </c>
      <c r="AP34" s="39" t="s">
        <v>71</v>
      </c>
      <c r="AQ34" s="39" t="s">
        <v>68</v>
      </c>
      <c r="AR34" s="39" t="s">
        <v>69</v>
      </c>
    </row>
    <row r="35" spans="1:44" x14ac:dyDescent="0.25">
      <c r="A35" s="39" t="s">
        <v>283</v>
      </c>
      <c r="B35" s="39" t="s">
        <v>87</v>
      </c>
      <c r="C35" s="69">
        <v>168937</v>
      </c>
      <c r="D35" s="69">
        <v>202550</v>
      </c>
      <c r="E35" s="69">
        <v>196282</v>
      </c>
      <c r="F35" s="69">
        <v>192170</v>
      </c>
      <c r="G35" s="69">
        <v>201932</v>
      </c>
      <c r="H35" s="69">
        <v>204055</v>
      </c>
      <c r="I35" s="69">
        <v>179840</v>
      </c>
      <c r="J35" s="69">
        <v>181981</v>
      </c>
      <c r="K35" s="69">
        <v>279601</v>
      </c>
      <c r="L35" s="69">
        <v>318054</v>
      </c>
      <c r="M35" s="69">
        <v>338315</v>
      </c>
      <c r="N35" s="69">
        <v>379166</v>
      </c>
      <c r="O35" s="69">
        <v>367805</v>
      </c>
      <c r="P35" s="69">
        <v>440394</v>
      </c>
      <c r="Q35" s="69">
        <v>439741</v>
      </c>
      <c r="R35" s="69">
        <v>404362</v>
      </c>
      <c r="S35" s="69">
        <v>404353</v>
      </c>
      <c r="T35" s="69">
        <v>460886</v>
      </c>
      <c r="U35" s="69">
        <v>462361</v>
      </c>
      <c r="V35" s="69">
        <v>428172</v>
      </c>
      <c r="W35" s="69">
        <v>709874</v>
      </c>
      <c r="X35" s="69">
        <v>718065</v>
      </c>
      <c r="Y35" s="69">
        <v>791800</v>
      </c>
      <c r="Z35" s="69">
        <v>827937</v>
      </c>
      <c r="AA35" s="69">
        <v>758624</v>
      </c>
      <c r="AB35" s="69">
        <v>760166</v>
      </c>
      <c r="AC35" s="69">
        <v>756554</v>
      </c>
      <c r="AD35" s="69">
        <v>758374</v>
      </c>
      <c r="AE35" s="69">
        <v>725198</v>
      </c>
      <c r="AF35" s="69">
        <v>728371</v>
      </c>
      <c r="AG35" s="69">
        <v>815329</v>
      </c>
      <c r="AH35" s="69">
        <v>683053</v>
      </c>
      <c r="AI35" s="69">
        <v>788112</v>
      </c>
      <c r="AJ35" s="69">
        <v>835018</v>
      </c>
      <c r="AK35" s="69">
        <v>708410</v>
      </c>
      <c r="AL35" s="69">
        <v>678668</v>
      </c>
      <c r="AM35" s="69">
        <v>675665</v>
      </c>
      <c r="AN35" s="69">
        <v>500621</v>
      </c>
      <c r="AO35" s="69">
        <v>598377</v>
      </c>
      <c r="AP35" s="69">
        <v>572418</v>
      </c>
      <c r="AQ35" s="69">
        <v>595151</v>
      </c>
      <c r="AR35" s="69">
        <v>765199</v>
      </c>
    </row>
    <row r="36" spans="1:44" x14ac:dyDescent="0.25">
      <c r="A36" s="39" t="s">
        <v>285</v>
      </c>
      <c r="B36" s="39" t="s">
        <v>87</v>
      </c>
      <c r="C36" s="69">
        <v>21846</v>
      </c>
      <c r="D36" s="69">
        <v>19179</v>
      </c>
      <c r="E36" s="69">
        <v>18541</v>
      </c>
      <c r="F36" s="69">
        <v>8038</v>
      </c>
      <c r="G36" s="69">
        <v>15161</v>
      </c>
      <c r="H36" s="69">
        <v>20996</v>
      </c>
      <c r="I36" s="69">
        <v>19275</v>
      </c>
      <c r="J36" s="69">
        <v>20592</v>
      </c>
      <c r="K36" s="69">
        <v>20554</v>
      </c>
      <c r="L36" s="69">
        <v>41239</v>
      </c>
      <c r="M36" s="69">
        <v>32575</v>
      </c>
      <c r="N36" s="69">
        <v>48352</v>
      </c>
      <c r="O36" s="69">
        <v>38663</v>
      </c>
      <c r="P36" s="69">
        <v>38437</v>
      </c>
      <c r="Q36" s="69">
        <v>51076</v>
      </c>
      <c r="R36" s="69">
        <v>37207</v>
      </c>
      <c r="S36" s="69">
        <v>16797</v>
      </c>
      <c r="T36" s="69">
        <v>3387</v>
      </c>
      <c r="U36" s="69">
        <v>1148</v>
      </c>
      <c r="V36" s="69">
        <v>23214</v>
      </c>
      <c r="W36" s="69">
        <v>52239</v>
      </c>
      <c r="X36" s="69">
        <v>48526</v>
      </c>
      <c r="Y36" s="69">
        <v>18271</v>
      </c>
      <c r="Z36" s="69">
        <v>16215</v>
      </c>
      <c r="AA36" s="69">
        <v>24232</v>
      </c>
      <c r="AB36" s="69">
        <v>25000</v>
      </c>
      <c r="AC36" s="69">
        <v>18329</v>
      </c>
      <c r="AD36" s="69">
        <v>13897</v>
      </c>
      <c r="AE36" s="69">
        <v>6907</v>
      </c>
      <c r="AF36" s="69">
        <v>10958</v>
      </c>
      <c r="AG36" s="69">
        <v>8761</v>
      </c>
      <c r="AH36" s="69">
        <v>12908</v>
      </c>
      <c r="AI36" s="69">
        <v>22375</v>
      </c>
      <c r="AJ36" s="69">
        <v>31895</v>
      </c>
      <c r="AK36" s="69">
        <v>15352</v>
      </c>
      <c r="AL36" s="69">
        <v>24691</v>
      </c>
      <c r="AM36" s="69">
        <v>27203</v>
      </c>
      <c r="AN36" s="69">
        <v>13358</v>
      </c>
      <c r="AO36" s="69">
        <v>5758</v>
      </c>
      <c r="AP36" s="69">
        <v>1269</v>
      </c>
      <c r="AQ36" s="69">
        <v>388</v>
      </c>
      <c r="AR36" s="69">
        <v>0</v>
      </c>
    </row>
    <row r="37" spans="1:44" x14ac:dyDescent="0.25">
      <c r="A37" s="39" t="s">
        <v>287</v>
      </c>
      <c r="B37" s="39" t="s">
        <v>87</v>
      </c>
      <c r="C37" s="69">
        <v>0</v>
      </c>
      <c r="D37" s="69">
        <v>0</v>
      </c>
      <c r="E37" s="69">
        <v>0</v>
      </c>
      <c r="F37" s="69">
        <v>0</v>
      </c>
      <c r="G37" s="69">
        <v>0</v>
      </c>
      <c r="H37" s="69">
        <v>0</v>
      </c>
      <c r="I37" s="69">
        <v>0</v>
      </c>
      <c r="J37" s="69">
        <v>0</v>
      </c>
      <c r="K37" s="69">
        <v>0</v>
      </c>
      <c r="L37" s="69">
        <v>0</v>
      </c>
      <c r="M37" s="69">
        <v>0</v>
      </c>
      <c r="N37" s="69">
        <v>0</v>
      </c>
      <c r="O37" s="69">
        <v>0</v>
      </c>
      <c r="P37" s="69">
        <v>0</v>
      </c>
      <c r="Q37" s="69">
        <v>0</v>
      </c>
      <c r="R37" s="69">
        <v>0</v>
      </c>
      <c r="S37" s="69">
        <v>0</v>
      </c>
      <c r="T37" s="69">
        <v>0</v>
      </c>
      <c r="U37" s="69">
        <v>0</v>
      </c>
      <c r="V37" s="69">
        <v>0</v>
      </c>
      <c r="W37" s="69">
        <v>0</v>
      </c>
      <c r="X37" s="69">
        <v>0</v>
      </c>
      <c r="Y37" s="69">
        <v>0</v>
      </c>
      <c r="Z37" s="69">
        <v>0</v>
      </c>
      <c r="AA37" s="69">
        <v>0</v>
      </c>
      <c r="AB37" s="69">
        <v>0</v>
      </c>
      <c r="AC37" s="69">
        <v>0</v>
      </c>
      <c r="AD37" s="69">
        <v>0</v>
      </c>
      <c r="AE37" s="69">
        <v>0</v>
      </c>
      <c r="AF37" s="69">
        <v>0</v>
      </c>
      <c r="AG37" s="69">
        <v>0</v>
      </c>
      <c r="AH37" s="69">
        <v>0</v>
      </c>
      <c r="AI37" s="69">
        <v>0</v>
      </c>
      <c r="AJ37" s="69">
        <v>0</v>
      </c>
      <c r="AK37" s="69">
        <v>0</v>
      </c>
      <c r="AL37" s="69">
        <v>0</v>
      </c>
      <c r="AM37" s="69">
        <v>0</v>
      </c>
      <c r="AN37" s="69">
        <v>0</v>
      </c>
      <c r="AO37" s="69">
        <v>0</v>
      </c>
      <c r="AP37" s="69">
        <v>16639</v>
      </c>
      <c r="AQ37" s="69">
        <v>16625</v>
      </c>
      <c r="AR37" s="69">
        <v>18076</v>
      </c>
    </row>
    <row r="38" spans="1:44" x14ac:dyDescent="0.25">
      <c r="A38" s="39" t="s">
        <v>299</v>
      </c>
      <c r="B38" s="39" t="s">
        <v>87</v>
      </c>
      <c r="C38" s="69">
        <v>0</v>
      </c>
      <c r="D38" s="69">
        <v>0</v>
      </c>
      <c r="E38" s="69">
        <v>34252</v>
      </c>
      <c r="F38" s="69">
        <v>32288</v>
      </c>
      <c r="G38" s="69">
        <v>0</v>
      </c>
      <c r="H38" s="69">
        <v>0</v>
      </c>
      <c r="I38" s="69">
        <v>64851</v>
      </c>
      <c r="J38" s="69">
        <v>94171</v>
      </c>
      <c r="K38" s="69">
        <v>106524</v>
      </c>
      <c r="L38" s="69">
        <v>32813</v>
      </c>
      <c r="M38" s="69">
        <v>169471</v>
      </c>
      <c r="N38" s="69">
        <v>50279</v>
      </c>
      <c r="O38" s="69">
        <v>8953</v>
      </c>
      <c r="P38" s="69">
        <v>0</v>
      </c>
      <c r="Q38" s="69">
        <v>0</v>
      </c>
      <c r="R38" s="69">
        <v>0</v>
      </c>
      <c r="S38" s="69">
        <v>0</v>
      </c>
      <c r="T38" s="69">
        <v>0</v>
      </c>
      <c r="U38" s="69">
        <v>34445</v>
      </c>
      <c r="V38" s="69">
        <v>99078</v>
      </c>
      <c r="W38" s="69">
        <v>31430</v>
      </c>
      <c r="X38" s="69">
        <v>3615</v>
      </c>
      <c r="Y38" s="69">
        <v>22070</v>
      </c>
      <c r="Z38" s="69">
        <v>11347</v>
      </c>
      <c r="AA38" s="69">
        <v>0</v>
      </c>
      <c r="AB38" s="69">
        <v>30243</v>
      </c>
      <c r="AC38" s="69">
        <v>40287</v>
      </c>
      <c r="AD38" s="69">
        <v>50703</v>
      </c>
      <c r="AE38" s="69">
        <v>4109</v>
      </c>
      <c r="AF38" s="69">
        <v>0</v>
      </c>
      <c r="AG38" s="69">
        <v>74977</v>
      </c>
      <c r="AH38" s="69">
        <v>113934</v>
      </c>
      <c r="AI38" s="69">
        <v>34434</v>
      </c>
      <c r="AJ38" s="69">
        <v>93853</v>
      </c>
      <c r="AK38" s="69">
        <v>147485</v>
      </c>
      <c r="AL38" s="69">
        <v>131891</v>
      </c>
      <c r="AM38" s="69">
        <v>78271</v>
      </c>
      <c r="AN38" s="69">
        <v>9388</v>
      </c>
      <c r="AO38" s="69">
        <v>107961</v>
      </c>
      <c r="AP38" s="69">
        <v>97339</v>
      </c>
      <c r="AQ38" s="69">
        <v>141</v>
      </c>
      <c r="AR38" s="69">
        <v>38065</v>
      </c>
    </row>
    <row r="39" spans="1:44" x14ac:dyDescent="0.25">
      <c r="A39" s="39" t="s">
        <v>300</v>
      </c>
      <c r="B39" s="39" t="s">
        <v>87</v>
      </c>
      <c r="C39" s="69">
        <v>0</v>
      </c>
      <c r="D39" s="69">
        <v>0</v>
      </c>
      <c r="E39" s="69">
        <v>0</v>
      </c>
      <c r="F39" s="69">
        <v>0</v>
      </c>
      <c r="G39" s="69">
        <v>0</v>
      </c>
      <c r="H39" s="69">
        <v>0</v>
      </c>
      <c r="I39" s="69">
        <v>46720</v>
      </c>
      <c r="J39" s="69">
        <v>0</v>
      </c>
      <c r="K39" s="69">
        <v>0</v>
      </c>
      <c r="L39" s="69">
        <v>0</v>
      </c>
      <c r="M39" s="69">
        <v>0</v>
      </c>
      <c r="N39" s="69">
        <v>0</v>
      </c>
      <c r="O39" s="69">
        <v>0</v>
      </c>
      <c r="P39" s="69">
        <v>34403</v>
      </c>
      <c r="Q39" s="69">
        <v>0</v>
      </c>
      <c r="R39" s="69">
        <v>0</v>
      </c>
      <c r="S39" s="69">
        <v>0</v>
      </c>
      <c r="T39" s="69">
        <v>0</v>
      </c>
      <c r="U39" s="69">
        <v>313</v>
      </c>
      <c r="V39" s="69">
        <v>9131</v>
      </c>
      <c r="W39" s="69">
        <v>2579</v>
      </c>
      <c r="X39" s="69">
        <v>46074</v>
      </c>
      <c r="Y39" s="69">
        <v>49892</v>
      </c>
      <c r="Z39" s="69">
        <v>14305</v>
      </c>
      <c r="AA39" s="69">
        <v>0</v>
      </c>
      <c r="AB39" s="69">
        <v>39442</v>
      </c>
      <c r="AC39" s="69">
        <v>109582</v>
      </c>
      <c r="AD39" s="69">
        <v>80138</v>
      </c>
      <c r="AE39" s="69">
        <v>16666</v>
      </c>
      <c r="AF39" s="69">
        <v>12518</v>
      </c>
      <c r="AG39" s="69">
        <v>22658</v>
      </c>
      <c r="AH39" s="69">
        <v>118548</v>
      </c>
      <c r="AI39" s="69">
        <v>35595</v>
      </c>
      <c r="AJ39" s="69">
        <v>67460</v>
      </c>
      <c r="AK39" s="69">
        <v>169408</v>
      </c>
      <c r="AL39" s="69">
        <v>165902</v>
      </c>
      <c r="AM39" s="69">
        <v>139491</v>
      </c>
      <c r="AN39" s="69">
        <v>35372</v>
      </c>
      <c r="AO39" s="69">
        <v>186669</v>
      </c>
      <c r="AP39" s="69">
        <v>154603</v>
      </c>
      <c r="AQ39" s="69">
        <v>0</v>
      </c>
      <c r="AR39" s="69">
        <v>0</v>
      </c>
    </row>
    <row r="40" spans="1:44" x14ac:dyDescent="0.25">
      <c r="A40" s="39" t="s">
        <v>301</v>
      </c>
      <c r="B40" s="39" t="s">
        <v>87</v>
      </c>
      <c r="C40" s="69">
        <v>377</v>
      </c>
      <c r="D40" s="69">
        <v>281</v>
      </c>
      <c r="E40" s="69">
        <v>272</v>
      </c>
      <c r="F40" s="69">
        <v>189</v>
      </c>
      <c r="G40" s="69">
        <v>184</v>
      </c>
      <c r="H40" s="69">
        <v>180</v>
      </c>
      <c r="I40" s="69">
        <v>276</v>
      </c>
      <c r="J40" s="69">
        <v>0</v>
      </c>
      <c r="K40" s="69">
        <v>200</v>
      </c>
      <c r="L40" s="69">
        <v>301</v>
      </c>
      <c r="M40" s="69">
        <v>300</v>
      </c>
      <c r="N40" s="69">
        <v>405</v>
      </c>
      <c r="O40" s="69">
        <v>305</v>
      </c>
      <c r="P40" s="69">
        <v>497</v>
      </c>
      <c r="Q40" s="69">
        <v>303</v>
      </c>
      <c r="R40" s="69">
        <v>513</v>
      </c>
      <c r="S40" s="69">
        <v>296</v>
      </c>
      <c r="T40" s="69">
        <v>409</v>
      </c>
      <c r="U40" s="69">
        <v>602</v>
      </c>
      <c r="V40" s="69">
        <v>712</v>
      </c>
      <c r="W40" s="69">
        <v>550</v>
      </c>
      <c r="X40" s="69">
        <v>729</v>
      </c>
      <c r="Y40" s="69">
        <v>693</v>
      </c>
      <c r="Z40" s="69">
        <v>865</v>
      </c>
      <c r="AA40" s="69">
        <v>183</v>
      </c>
      <c r="AB40" s="69">
        <v>377</v>
      </c>
      <c r="AC40" s="69">
        <v>668</v>
      </c>
      <c r="AD40" s="69">
        <v>387</v>
      </c>
      <c r="AE40" s="69">
        <v>457</v>
      </c>
      <c r="AF40" s="69">
        <v>549</v>
      </c>
      <c r="AG40" s="69">
        <v>455</v>
      </c>
      <c r="AH40" s="69">
        <v>457</v>
      </c>
      <c r="AI40" s="69">
        <v>454</v>
      </c>
      <c r="AJ40" s="69">
        <v>543</v>
      </c>
      <c r="AK40" s="69">
        <v>699</v>
      </c>
      <c r="AL40" s="69">
        <v>450</v>
      </c>
      <c r="AM40" s="69">
        <v>341</v>
      </c>
      <c r="AN40" s="69">
        <v>425</v>
      </c>
      <c r="AO40" s="69">
        <v>511</v>
      </c>
      <c r="AP40" s="69">
        <v>592</v>
      </c>
      <c r="AQ40" s="69">
        <v>0</v>
      </c>
      <c r="AR40" s="69">
        <v>0</v>
      </c>
    </row>
    <row r="41" spans="1:44" x14ac:dyDescent="0.25">
      <c r="A41" s="39" t="s">
        <v>302</v>
      </c>
      <c r="B41" s="39" t="s">
        <v>87</v>
      </c>
      <c r="C41" s="69">
        <v>0</v>
      </c>
      <c r="D41" s="69">
        <v>0</v>
      </c>
      <c r="E41" s="69">
        <v>0</v>
      </c>
      <c r="F41" s="69">
        <v>0</v>
      </c>
      <c r="G41" s="69">
        <v>0</v>
      </c>
      <c r="H41" s="69">
        <v>0</v>
      </c>
      <c r="I41" s="69">
        <v>0</v>
      </c>
      <c r="J41" s="69">
        <v>0</v>
      </c>
      <c r="K41" s="69">
        <v>0</v>
      </c>
      <c r="L41" s="69">
        <v>0</v>
      </c>
      <c r="M41" s="69">
        <v>0</v>
      </c>
      <c r="N41" s="69">
        <v>0</v>
      </c>
      <c r="O41" s="69">
        <v>0</v>
      </c>
      <c r="P41" s="69">
        <v>0</v>
      </c>
      <c r="Q41" s="69">
        <v>0</v>
      </c>
      <c r="R41" s="69">
        <v>0</v>
      </c>
      <c r="S41" s="69">
        <v>0</v>
      </c>
      <c r="T41" s="69">
        <v>0</v>
      </c>
      <c r="U41" s="69">
        <v>0</v>
      </c>
      <c r="V41" s="69">
        <v>0</v>
      </c>
      <c r="W41" s="69">
        <v>0</v>
      </c>
      <c r="X41" s="69">
        <v>0</v>
      </c>
      <c r="Y41" s="69">
        <v>0</v>
      </c>
      <c r="Z41" s="69">
        <v>0</v>
      </c>
      <c r="AA41" s="69">
        <v>0</v>
      </c>
      <c r="AB41" s="69">
        <v>0</v>
      </c>
      <c r="AC41" s="69">
        <v>0</v>
      </c>
      <c r="AD41" s="69">
        <v>0</v>
      </c>
      <c r="AE41" s="69">
        <v>0</v>
      </c>
      <c r="AF41" s="69">
        <v>0</v>
      </c>
      <c r="AG41" s="69">
        <v>0</v>
      </c>
      <c r="AH41" s="69">
        <v>0</v>
      </c>
      <c r="AI41" s="69">
        <v>38931</v>
      </c>
      <c r="AJ41" s="69">
        <v>31140</v>
      </c>
      <c r="AK41" s="69">
        <v>103750</v>
      </c>
      <c r="AL41" s="69">
        <v>112822</v>
      </c>
      <c r="AM41" s="69">
        <v>101613</v>
      </c>
      <c r="AN41" s="69">
        <v>70574</v>
      </c>
      <c r="AO41" s="69">
        <v>134991</v>
      </c>
      <c r="AP41" s="69">
        <v>146155</v>
      </c>
      <c r="AQ41" s="69">
        <v>139791</v>
      </c>
      <c r="AR41" s="69">
        <v>186957</v>
      </c>
    </row>
    <row r="42" spans="1:44" x14ac:dyDescent="0.25">
      <c r="A42" s="39" t="s">
        <v>303</v>
      </c>
      <c r="B42" s="39" t="s">
        <v>87</v>
      </c>
      <c r="C42" s="69">
        <v>18847</v>
      </c>
      <c r="D42" s="69">
        <v>22122</v>
      </c>
      <c r="E42" s="69">
        <v>23031</v>
      </c>
      <c r="F42" s="69">
        <v>24485</v>
      </c>
      <c r="G42" s="69">
        <v>22126</v>
      </c>
      <c r="H42" s="69">
        <v>12405</v>
      </c>
      <c r="I42" s="69">
        <v>21124</v>
      </c>
      <c r="J42" s="69">
        <v>10735</v>
      </c>
      <c r="K42" s="69">
        <v>2861</v>
      </c>
      <c r="L42" s="69">
        <v>14060</v>
      </c>
      <c r="M42" s="69">
        <v>9090</v>
      </c>
      <c r="N42" s="69">
        <v>0</v>
      </c>
      <c r="O42" s="69">
        <v>6147</v>
      </c>
      <c r="P42" s="69">
        <v>1691</v>
      </c>
      <c r="Q42" s="69">
        <v>0</v>
      </c>
      <c r="R42" s="69">
        <v>14216</v>
      </c>
      <c r="S42" s="69">
        <v>21077</v>
      </c>
      <c r="T42" s="69">
        <v>23130</v>
      </c>
      <c r="U42" s="69">
        <v>26794</v>
      </c>
      <c r="V42" s="69">
        <v>25826</v>
      </c>
      <c r="W42" s="69">
        <v>3817</v>
      </c>
      <c r="X42" s="69">
        <v>0</v>
      </c>
      <c r="Y42" s="69">
        <v>0</v>
      </c>
      <c r="Z42" s="69">
        <v>0</v>
      </c>
      <c r="AA42" s="69">
        <v>0</v>
      </c>
      <c r="AB42" s="69">
        <v>0</v>
      </c>
      <c r="AC42" s="69">
        <v>0</v>
      </c>
      <c r="AD42" s="69">
        <v>0</v>
      </c>
      <c r="AE42" s="69">
        <v>0</v>
      </c>
      <c r="AF42" s="69">
        <v>0</v>
      </c>
      <c r="AG42" s="69">
        <v>0</v>
      </c>
      <c r="AH42" s="69">
        <v>0</v>
      </c>
      <c r="AI42" s="69">
        <v>0</v>
      </c>
      <c r="AJ42" s="69">
        <v>0</v>
      </c>
      <c r="AK42" s="69">
        <v>0</v>
      </c>
      <c r="AL42" s="69">
        <v>0</v>
      </c>
      <c r="AM42" s="69">
        <v>0</v>
      </c>
      <c r="AN42" s="69">
        <v>0</v>
      </c>
      <c r="AO42" s="69">
        <v>0</v>
      </c>
      <c r="AP42" s="69">
        <v>0</v>
      </c>
      <c r="AQ42" s="69">
        <v>0</v>
      </c>
      <c r="AR42" s="69">
        <v>0</v>
      </c>
    </row>
    <row r="43" spans="1:44" ht="25.5" x14ac:dyDescent="0.25">
      <c r="A43" s="39" t="s">
        <v>304</v>
      </c>
      <c r="B43" s="39" t="s">
        <v>87</v>
      </c>
      <c r="C43" s="69">
        <v>7906</v>
      </c>
      <c r="D43" s="69">
        <v>8418</v>
      </c>
      <c r="E43" s="69">
        <v>9811</v>
      </c>
      <c r="F43" s="69">
        <v>13731</v>
      </c>
      <c r="G43" s="69">
        <v>21866</v>
      </c>
      <c r="H43" s="69">
        <v>26979</v>
      </c>
      <c r="I43" s="69">
        <v>26373</v>
      </c>
      <c r="J43" s="69">
        <v>27272</v>
      </c>
      <c r="K43" s="69">
        <v>36604</v>
      </c>
      <c r="L43" s="69">
        <v>33166</v>
      </c>
      <c r="M43" s="69">
        <v>37151</v>
      </c>
      <c r="N43" s="69">
        <v>32797</v>
      </c>
      <c r="O43" s="69">
        <v>37365</v>
      </c>
      <c r="P43" s="69">
        <v>35910</v>
      </c>
      <c r="Q43" s="69">
        <v>37313</v>
      </c>
      <c r="R43" s="69">
        <v>35582</v>
      </c>
      <c r="S43" s="69">
        <v>30686</v>
      </c>
      <c r="T43" s="69">
        <v>16730</v>
      </c>
      <c r="U43" s="69">
        <v>12856</v>
      </c>
      <c r="V43" s="69">
        <v>22351</v>
      </c>
      <c r="W43" s="69">
        <v>36140</v>
      </c>
      <c r="X43" s="69">
        <v>40159</v>
      </c>
      <c r="Y43" s="69">
        <v>37024</v>
      </c>
      <c r="Z43" s="69">
        <v>35170</v>
      </c>
      <c r="AA43" s="69">
        <v>0</v>
      </c>
      <c r="AB43" s="69">
        <v>0</v>
      </c>
      <c r="AC43" s="69">
        <v>4533</v>
      </c>
      <c r="AD43" s="69">
        <v>12719</v>
      </c>
      <c r="AE43" s="69">
        <v>19228</v>
      </c>
      <c r="AF43" s="69">
        <v>19155</v>
      </c>
      <c r="AG43" s="69">
        <v>19420</v>
      </c>
      <c r="AH43" s="69">
        <v>19933</v>
      </c>
      <c r="AI43" s="69">
        <v>18845</v>
      </c>
      <c r="AJ43" s="69">
        <v>18009</v>
      </c>
      <c r="AK43" s="69">
        <v>18319</v>
      </c>
      <c r="AL43" s="69">
        <v>16841</v>
      </c>
      <c r="AM43" s="69">
        <v>17890</v>
      </c>
      <c r="AN43" s="69">
        <v>15747</v>
      </c>
      <c r="AO43" s="69">
        <v>18257</v>
      </c>
      <c r="AP43" s="69">
        <v>0</v>
      </c>
      <c r="AQ43" s="69">
        <v>0</v>
      </c>
      <c r="AR43" s="69">
        <v>0</v>
      </c>
    </row>
    <row r="44" spans="1:44" ht="25.5" x14ac:dyDescent="0.25">
      <c r="A44" s="39" t="s">
        <v>305</v>
      </c>
      <c r="B44" s="39" t="s">
        <v>87</v>
      </c>
      <c r="C44" s="69">
        <v>0</v>
      </c>
      <c r="D44" s="69">
        <v>0</v>
      </c>
      <c r="E44" s="69">
        <v>0</v>
      </c>
      <c r="F44" s="69">
        <v>0</v>
      </c>
      <c r="G44" s="69">
        <v>0</v>
      </c>
      <c r="H44" s="69">
        <v>0</v>
      </c>
      <c r="I44" s="69">
        <v>0</v>
      </c>
      <c r="J44" s="69">
        <v>0</v>
      </c>
      <c r="K44" s="69">
        <v>0</v>
      </c>
      <c r="L44" s="69">
        <v>0</v>
      </c>
      <c r="M44" s="69">
        <v>0</v>
      </c>
      <c r="N44" s="69">
        <v>0</v>
      </c>
      <c r="O44" s="69">
        <v>0</v>
      </c>
      <c r="P44" s="69">
        <v>0</v>
      </c>
      <c r="Q44" s="69">
        <v>0</v>
      </c>
      <c r="R44" s="69">
        <v>0</v>
      </c>
      <c r="S44" s="69">
        <v>0</v>
      </c>
      <c r="T44" s="69">
        <v>0</v>
      </c>
      <c r="U44" s="69">
        <v>0</v>
      </c>
      <c r="V44" s="69">
        <v>0</v>
      </c>
      <c r="W44" s="69">
        <v>0</v>
      </c>
      <c r="X44" s="69">
        <v>0</v>
      </c>
      <c r="Y44" s="69">
        <v>0</v>
      </c>
      <c r="Z44" s="69">
        <v>0</v>
      </c>
      <c r="AA44" s="69">
        <v>0</v>
      </c>
      <c r="AB44" s="69">
        <v>1722</v>
      </c>
      <c r="AC44" s="69">
        <v>1648</v>
      </c>
      <c r="AD44" s="69">
        <v>416</v>
      </c>
      <c r="AE44" s="69">
        <v>3771</v>
      </c>
      <c r="AF44" s="69">
        <v>4391</v>
      </c>
      <c r="AG44" s="69">
        <v>8341</v>
      </c>
      <c r="AH44" s="69">
        <v>7477</v>
      </c>
      <c r="AI44" s="69">
        <v>7870</v>
      </c>
      <c r="AJ44" s="69">
        <v>8527</v>
      </c>
      <c r="AK44" s="69">
        <v>5902</v>
      </c>
      <c r="AL44" s="69">
        <v>8477</v>
      </c>
      <c r="AM44" s="69">
        <v>5323</v>
      </c>
      <c r="AN44" s="69">
        <v>3450</v>
      </c>
      <c r="AO44" s="69">
        <v>384</v>
      </c>
      <c r="AP44" s="69">
        <v>0</v>
      </c>
      <c r="AQ44" s="69">
        <v>0</v>
      </c>
      <c r="AR44" s="69">
        <v>0</v>
      </c>
    </row>
    <row r="45" spans="1:44" x14ac:dyDescent="0.25">
      <c r="A45" s="39" t="s">
        <v>306</v>
      </c>
      <c r="B45" s="39" t="s">
        <v>87</v>
      </c>
      <c r="C45" s="69">
        <v>0</v>
      </c>
      <c r="D45" s="69">
        <v>0</v>
      </c>
      <c r="E45" s="69">
        <v>0</v>
      </c>
      <c r="F45" s="69">
        <v>0</v>
      </c>
      <c r="G45" s="69">
        <v>0</v>
      </c>
      <c r="H45" s="69">
        <v>0</v>
      </c>
      <c r="I45" s="69">
        <v>0</v>
      </c>
      <c r="J45" s="69">
        <v>0</v>
      </c>
      <c r="K45" s="69">
        <v>0</v>
      </c>
      <c r="L45" s="69">
        <v>0</v>
      </c>
      <c r="M45" s="69">
        <v>0</v>
      </c>
      <c r="N45" s="69">
        <v>0</v>
      </c>
      <c r="O45" s="69">
        <v>0</v>
      </c>
      <c r="P45" s="69">
        <v>0</v>
      </c>
      <c r="Q45" s="69">
        <v>0</v>
      </c>
      <c r="R45" s="69">
        <v>0</v>
      </c>
      <c r="S45" s="69">
        <v>0</v>
      </c>
      <c r="T45" s="69">
        <v>0</v>
      </c>
      <c r="U45" s="69">
        <v>0</v>
      </c>
      <c r="V45" s="69">
        <v>0</v>
      </c>
      <c r="W45" s="69">
        <v>0</v>
      </c>
      <c r="X45" s="69">
        <v>0</v>
      </c>
      <c r="Y45" s="69">
        <v>0</v>
      </c>
      <c r="Z45" s="69">
        <v>0</v>
      </c>
      <c r="AA45" s="69">
        <v>0</v>
      </c>
      <c r="AB45" s="69">
        <v>0</v>
      </c>
      <c r="AC45" s="69">
        <v>0</v>
      </c>
      <c r="AD45" s="69">
        <v>0</v>
      </c>
      <c r="AE45" s="69">
        <v>0</v>
      </c>
      <c r="AF45" s="69">
        <v>0</v>
      </c>
      <c r="AG45" s="69">
        <v>0</v>
      </c>
      <c r="AH45" s="69">
        <v>0</v>
      </c>
      <c r="AI45" s="69">
        <v>0</v>
      </c>
      <c r="AJ45" s="69">
        <v>0</v>
      </c>
      <c r="AK45" s="69">
        <v>0</v>
      </c>
      <c r="AL45" s="69">
        <v>4</v>
      </c>
      <c r="AM45" s="69">
        <v>0</v>
      </c>
      <c r="AN45" s="69">
        <v>0</v>
      </c>
      <c r="AO45" s="69">
        <v>0</v>
      </c>
      <c r="AP45" s="69">
        <v>0</v>
      </c>
      <c r="AQ45" s="69">
        <v>0</v>
      </c>
      <c r="AR45" s="69">
        <v>0</v>
      </c>
    </row>
    <row r="46" spans="1:44" x14ac:dyDescent="0.25">
      <c r="A46" s="39" t="s">
        <v>245</v>
      </c>
      <c r="B46" s="39" t="s">
        <v>87</v>
      </c>
      <c r="C46" s="69">
        <v>0</v>
      </c>
      <c r="D46" s="69">
        <v>0</v>
      </c>
      <c r="E46" s="69">
        <v>0</v>
      </c>
      <c r="F46" s="69">
        <v>0</v>
      </c>
      <c r="G46" s="69">
        <v>0</v>
      </c>
      <c r="H46" s="69">
        <v>0</v>
      </c>
      <c r="I46" s="69">
        <v>0</v>
      </c>
      <c r="J46" s="69">
        <v>0</v>
      </c>
      <c r="K46" s="69">
        <v>14</v>
      </c>
      <c r="L46" s="69">
        <v>70</v>
      </c>
      <c r="M46" s="69">
        <v>0</v>
      </c>
      <c r="N46" s="69">
        <v>0</v>
      </c>
      <c r="O46" s="69">
        <v>0</v>
      </c>
      <c r="P46" s="69">
        <v>0</v>
      </c>
      <c r="Q46" s="69">
        <v>0</v>
      </c>
      <c r="R46" s="69">
        <v>0</v>
      </c>
      <c r="S46" s="69">
        <v>0</v>
      </c>
      <c r="T46" s="69">
        <v>0</v>
      </c>
      <c r="U46" s="69">
        <v>0</v>
      </c>
      <c r="V46" s="69">
        <v>0</v>
      </c>
      <c r="W46" s="69">
        <v>0</v>
      </c>
      <c r="X46" s="69">
        <v>0</v>
      </c>
      <c r="Y46" s="69">
        <v>7187</v>
      </c>
      <c r="Z46" s="69">
        <v>9178</v>
      </c>
      <c r="AA46" s="69">
        <v>1157</v>
      </c>
      <c r="AB46" s="69">
        <v>0</v>
      </c>
      <c r="AC46" s="69">
        <v>983</v>
      </c>
      <c r="AD46" s="69">
        <v>0</v>
      </c>
      <c r="AE46" s="69">
        <v>0</v>
      </c>
      <c r="AF46" s="69">
        <v>0</v>
      </c>
      <c r="AG46" s="69">
        <v>0</v>
      </c>
      <c r="AH46" s="69">
        <v>0</v>
      </c>
      <c r="AI46" s="69">
        <v>0</v>
      </c>
      <c r="AJ46" s="69">
        <v>0</v>
      </c>
      <c r="AK46" s="69">
        <v>0</v>
      </c>
      <c r="AL46" s="69">
        <v>0</v>
      </c>
      <c r="AM46" s="69">
        <v>0</v>
      </c>
      <c r="AN46" s="69">
        <v>0</v>
      </c>
      <c r="AO46" s="69">
        <v>0</v>
      </c>
      <c r="AP46" s="69">
        <v>680</v>
      </c>
      <c r="AQ46" s="69">
        <v>24121</v>
      </c>
      <c r="AR46" s="69">
        <v>8232</v>
      </c>
    </row>
    <row r="47" spans="1:44" x14ac:dyDescent="0.25">
      <c r="A47" s="39" t="s">
        <v>240</v>
      </c>
      <c r="B47" s="39" t="s">
        <v>87</v>
      </c>
      <c r="C47" s="69">
        <v>43</v>
      </c>
      <c r="D47" s="69">
        <v>109</v>
      </c>
      <c r="E47" s="69">
        <v>0</v>
      </c>
      <c r="F47" s="69">
        <v>0</v>
      </c>
      <c r="G47" s="69">
        <v>98</v>
      </c>
      <c r="H47" s="69">
        <v>0</v>
      </c>
      <c r="I47" s="69">
        <v>87</v>
      </c>
      <c r="J47" s="69">
        <v>519</v>
      </c>
      <c r="K47" s="69">
        <v>1613</v>
      </c>
      <c r="L47" s="69">
        <v>6070</v>
      </c>
      <c r="M47" s="69">
        <v>5688</v>
      </c>
      <c r="N47" s="69">
        <v>9283</v>
      </c>
      <c r="O47" s="69">
        <v>7085</v>
      </c>
      <c r="P47" s="69">
        <v>8360</v>
      </c>
      <c r="Q47" s="69">
        <v>1942</v>
      </c>
      <c r="R47" s="69">
        <v>9184</v>
      </c>
      <c r="S47" s="69">
        <v>3284</v>
      </c>
      <c r="T47" s="69">
        <v>22026</v>
      </c>
      <c r="U47" s="69">
        <v>48980</v>
      </c>
      <c r="V47" s="69">
        <v>32717</v>
      </c>
      <c r="W47" s="69">
        <v>21609</v>
      </c>
      <c r="X47" s="69">
        <v>9197</v>
      </c>
      <c r="Y47" s="69">
        <v>33396</v>
      </c>
      <c r="Z47" s="69">
        <v>32762</v>
      </c>
      <c r="AA47" s="69">
        <v>46725</v>
      </c>
      <c r="AB47" s="69">
        <v>13305</v>
      </c>
      <c r="AC47" s="69">
        <v>85642</v>
      </c>
      <c r="AD47" s="69">
        <v>43498</v>
      </c>
      <c r="AE47" s="69">
        <v>34370</v>
      </c>
      <c r="AF47" s="69">
        <v>7233</v>
      </c>
      <c r="AG47" s="69">
        <v>7688</v>
      </c>
      <c r="AH47" s="69">
        <v>21583</v>
      </c>
      <c r="AI47" s="69">
        <v>939</v>
      </c>
      <c r="AJ47" s="69">
        <v>3921</v>
      </c>
      <c r="AK47" s="69">
        <v>5858</v>
      </c>
      <c r="AL47" s="69">
        <v>10031</v>
      </c>
      <c r="AM47" s="69">
        <v>1106</v>
      </c>
      <c r="AN47" s="69">
        <v>4033</v>
      </c>
      <c r="AO47" s="69">
        <v>3213</v>
      </c>
      <c r="AP47" s="69">
        <v>41026</v>
      </c>
      <c r="AQ47" s="69">
        <v>160</v>
      </c>
      <c r="AR47" s="69">
        <v>0</v>
      </c>
    </row>
    <row r="48" spans="1:44" x14ac:dyDescent="0.25">
      <c r="A48" s="39" t="s">
        <v>241</v>
      </c>
      <c r="B48" s="39" t="s">
        <v>87</v>
      </c>
      <c r="C48" s="69">
        <v>280</v>
      </c>
      <c r="D48" s="69">
        <v>0</v>
      </c>
      <c r="E48" s="69">
        <v>0</v>
      </c>
      <c r="F48" s="69">
        <v>1692</v>
      </c>
      <c r="G48" s="69">
        <v>0</v>
      </c>
      <c r="H48" s="69">
        <v>20</v>
      </c>
      <c r="I48" s="69">
        <v>311</v>
      </c>
      <c r="J48" s="69">
        <v>502</v>
      </c>
      <c r="K48" s="69">
        <v>1929</v>
      </c>
      <c r="L48" s="69">
        <v>22328</v>
      </c>
      <c r="M48" s="69">
        <v>33680</v>
      </c>
      <c r="N48" s="69">
        <v>70810</v>
      </c>
      <c r="O48" s="69">
        <v>76718</v>
      </c>
      <c r="P48" s="69">
        <v>67930</v>
      </c>
      <c r="Q48" s="69">
        <v>37354</v>
      </c>
      <c r="R48" s="69">
        <v>74732</v>
      </c>
      <c r="S48" s="69">
        <v>57118</v>
      </c>
      <c r="T48" s="69">
        <v>72012</v>
      </c>
      <c r="U48" s="69">
        <v>131089</v>
      </c>
      <c r="V48" s="69">
        <v>182224</v>
      </c>
      <c r="W48" s="69">
        <v>195693</v>
      </c>
      <c r="X48" s="69">
        <v>205468</v>
      </c>
      <c r="Y48" s="69">
        <v>266303</v>
      </c>
      <c r="Z48" s="69">
        <v>302222</v>
      </c>
      <c r="AA48" s="69">
        <v>58658</v>
      </c>
      <c r="AB48" s="69">
        <v>103758</v>
      </c>
      <c r="AC48" s="69">
        <v>117590</v>
      </c>
      <c r="AD48" s="69">
        <v>143959</v>
      </c>
      <c r="AE48" s="69">
        <v>129380</v>
      </c>
      <c r="AF48" s="69">
        <v>110704</v>
      </c>
      <c r="AG48" s="69">
        <v>186986</v>
      </c>
      <c r="AH48" s="69">
        <v>208424</v>
      </c>
      <c r="AI48" s="69">
        <v>150823</v>
      </c>
      <c r="AJ48" s="69">
        <v>222112</v>
      </c>
      <c r="AK48" s="69">
        <v>263050</v>
      </c>
      <c r="AL48" s="69">
        <v>220723</v>
      </c>
      <c r="AM48" s="69">
        <v>253131</v>
      </c>
      <c r="AN48" s="69">
        <v>147977</v>
      </c>
      <c r="AO48" s="69">
        <v>216961</v>
      </c>
      <c r="AP48" s="69">
        <v>273614</v>
      </c>
      <c r="AQ48" s="69">
        <v>243475</v>
      </c>
      <c r="AR48" s="69">
        <v>260071</v>
      </c>
    </row>
    <row r="49" spans="1:44" x14ac:dyDescent="0.25">
      <c r="A49" s="39" t="s">
        <v>242</v>
      </c>
      <c r="B49" s="39" t="s">
        <v>87</v>
      </c>
      <c r="C49" s="69">
        <v>1231</v>
      </c>
      <c r="D49" s="69">
        <v>1192</v>
      </c>
      <c r="E49" s="69">
        <v>2570</v>
      </c>
      <c r="F49" s="69">
        <v>3116</v>
      </c>
      <c r="G49" s="69">
        <v>2352</v>
      </c>
      <c r="H49" s="69">
        <v>3363</v>
      </c>
      <c r="I49" s="69">
        <v>1462</v>
      </c>
      <c r="J49" s="69">
        <v>569</v>
      </c>
      <c r="K49" s="69">
        <v>1873</v>
      </c>
      <c r="L49" s="69">
        <v>1919</v>
      </c>
      <c r="M49" s="69">
        <v>2679</v>
      </c>
      <c r="N49" s="69">
        <v>1639</v>
      </c>
      <c r="O49" s="69">
        <v>663</v>
      </c>
      <c r="P49" s="69">
        <v>185</v>
      </c>
      <c r="Q49" s="69">
        <v>30</v>
      </c>
      <c r="R49" s="69">
        <v>441</v>
      </c>
      <c r="S49" s="69">
        <v>4200</v>
      </c>
      <c r="T49" s="69">
        <v>8</v>
      </c>
      <c r="U49" s="69">
        <v>19</v>
      </c>
      <c r="V49" s="69">
        <v>7</v>
      </c>
      <c r="W49" s="69">
        <v>0</v>
      </c>
      <c r="X49" s="69">
        <v>0</v>
      </c>
      <c r="Y49" s="69">
        <v>5860</v>
      </c>
      <c r="Z49" s="69">
        <v>8645</v>
      </c>
      <c r="AA49" s="69">
        <v>3283</v>
      </c>
      <c r="AB49" s="69">
        <v>5167</v>
      </c>
      <c r="AC49" s="69">
        <v>5243</v>
      </c>
      <c r="AD49" s="69">
        <v>3946</v>
      </c>
      <c r="AE49" s="69">
        <v>4048</v>
      </c>
      <c r="AF49" s="69">
        <v>3266</v>
      </c>
      <c r="AG49" s="69">
        <v>3148</v>
      </c>
      <c r="AH49" s="69">
        <v>963</v>
      </c>
      <c r="AI49" s="69">
        <v>1344</v>
      </c>
      <c r="AJ49" s="69">
        <v>684</v>
      </c>
      <c r="AK49" s="69">
        <v>611</v>
      </c>
      <c r="AL49" s="69">
        <v>960</v>
      </c>
      <c r="AM49" s="69">
        <v>362</v>
      </c>
      <c r="AN49" s="69">
        <v>524</v>
      </c>
      <c r="AO49" s="69">
        <v>1203</v>
      </c>
      <c r="AP49" s="69">
        <v>14779</v>
      </c>
      <c r="AQ49" s="69">
        <v>168</v>
      </c>
      <c r="AR49" s="69">
        <v>1332</v>
      </c>
    </row>
    <row r="50" spans="1:44" x14ac:dyDescent="0.25">
      <c r="A50" s="39" t="s">
        <v>244</v>
      </c>
      <c r="B50" s="39" t="s">
        <v>87</v>
      </c>
      <c r="C50" s="69">
        <v>10746</v>
      </c>
      <c r="D50" s="69">
        <v>20254</v>
      </c>
      <c r="E50" s="69">
        <v>19854</v>
      </c>
      <c r="F50" s="69">
        <v>22390</v>
      </c>
      <c r="G50" s="69">
        <v>29455</v>
      </c>
      <c r="H50" s="69">
        <v>32230</v>
      </c>
      <c r="I50" s="69">
        <v>32054</v>
      </c>
      <c r="J50" s="69">
        <v>33116</v>
      </c>
      <c r="K50" s="69">
        <v>39361</v>
      </c>
      <c r="L50" s="69">
        <v>80007</v>
      </c>
      <c r="M50" s="69">
        <v>77598</v>
      </c>
      <c r="N50" s="69">
        <v>175642</v>
      </c>
      <c r="O50" s="69">
        <v>75487</v>
      </c>
      <c r="P50" s="69">
        <v>97775</v>
      </c>
      <c r="Q50" s="69">
        <v>109342</v>
      </c>
      <c r="R50" s="69">
        <v>119126</v>
      </c>
      <c r="S50" s="69">
        <v>116356</v>
      </c>
      <c r="T50" s="69">
        <v>193168</v>
      </c>
      <c r="U50" s="69">
        <v>182170</v>
      </c>
      <c r="V50" s="69">
        <v>145267</v>
      </c>
      <c r="W50" s="69">
        <v>99533</v>
      </c>
      <c r="X50" s="69">
        <v>170112</v>
      </c>
      <c r="Y50" s="69">
        <v>153352</v>
      </c>
      <c r="Z50" s="69">
        <v>193339</v>
      </c>
      <c r="AA50" s="69">
        <v>130865</v>
      </c>
      <c r="AB50" s="69">
        <v>166943</v>
      </c>
      <c r="AC50" s="69">
        <v>141850</v>
      </c>
      <c r="AD50" s="69">
        <v>145368</v>
      </c>
      <c r="AE50" s="69">
        <v>110640</v>
      </c>
      <c r="AF50" s="69">
        <v>185263</v>
      </c>
      <c r="AG50" s="69">
        <v>225232</v>
      </c>
      <c r="AH50" s="69">
        <v>252043</v>
      </c>
      <c r="AI50" s="69">
        <v>190266</v>
      </c>
      <c r="AJ50" s="69">
        <v>247517</v>
      </c>
      <c r="AK50" s="69">
        <v>221835</v>
      </c>
      <c r="AL50" s="69">
        <v>240180</v>
      </c>
      <c r="AM50" s="69">
        <v>205621</v>
      </c>
      <c r="AN50" s="69">
        <v>229096</v>
      </c>
      <c r="AO50" s="69">
        <v>246828</v>
      </c>
      <c r="AP50" s="69">
        <v>244785</v>
      </c>
      <c r="AQ50" s="69">
        <v>147018</v>
      </c>
      <c r="AR50" s="69">
        <v>191326</v>
      </c>
    </row>
    <row r="51" spans="1:44" x14ac:dyDescent="0.25">
      <c r="A51" s="39" t="s">
        <v>243</v>
      </c>
      <c r="B51" s="39" t="s">
        <v>87</v>
      </c>
      <c r="C51" s="69">
        <v>0</v>
      </c>
      <c r="D51" s="69">
        <v>0</v>
      </c>
      <c r="E51" s="69">
        <v>0</v>
      </c>
      <c r="F51" s="69">
        <v>790</v>
      </c>
      <c r="G51" s="69">
        <v>3477</v>
      </c>
      <c r="H51" s="69">
        <v>6306</v>
      </c>
      <c r="I51" s="69">
        <v>138</v>
      </c>
      <c r="J51" s="69">
        <v>3288</v>
      </c>
      <c r="K51" s="69">
        <v>2596</v>
      </c>
      <c r="L51" s="69">
        <v>12678</v>
      </c>
      <c r="M51" s="69">
        <v>10830</v>
      </c>
      <c r="N51" s="69">
        <v>8363</v>
      </c>
      <c r="O51" s="69">
        <v>9265</v>
      </c>
      <c r="P51" s="69">
        <v>9058</v>
      </c>
      <c r="Q51" s="69">
        <v>6266</v>
      </c>
      <c r="R51" s="69">
        <v>7057</v>
      </c>
      <c r="S51" s="69">
        <v>14657</v>
      </c>
      <c r="T51" s="69">
        <v>759</v>
      </c>
      <c r="U51" s="69">
        <v>2243</v>
      </c>
      <c r="V51" s="69">
        <v>5606</v>
      </c>
      <c r="W51" s="69">
        <v>5772</v>
      </c>
      <c r="X51" s="69">
        <v>7541</v>
      </c>
      <c r="Y51" s="69">
        <v>4824</v>
      </c>
      <c r="Z51" s="69">
        <v>4790</v>
      </c>
      <c r="AA51" s="69">
        <v>65952</v>
      </c>
      <c r="AB51" s="69">
        <v>32736</v>
      </c>
      <c r="AC51" s="69">
        <v>42279</v>
      </c>
      <c r="AD51" s="69">
        <v>23171</v>
      </c>
      <c r="AE51" s="69">
        <v>27899</v>
      </c>
      <c r="AF51" s="69">
        <v>51042</v>
      </c>
      <c r="AG51" s="69">
        <v>18953</v>
      </c>
      <c r="AH51" s="69">
        <v>17689</v>
      </c>
      <c r="AI51" s="69">
        <v>3768</v>
      </c>
      <c r="AJ51" s="69">
        <v>15929</v>
      </c>
      <c r="AK51" s="69">
        <v>14996</v>
      </c>
      <c r="AL51" s="69">
        <v>16289</v>
      </c>
      <c r="AM51" s="69">
        <v>17577</v>
      </c>
      <c r="AN51" s="69">
        <v>110903</v>
      </c>
      <c r="AO51" s="69">
        <v>124092</v>
      </c>
      <c r="AP51" s="69">
        <v>75855</v>
      </c>
      <c r="AQ51" s="69">
        <v>76281</v>
      </c>
      <c r="AR51" s="69">
        <v>151864</v>
      </c>
    </row>
    <row r="52" spans="1:44" x14ac:dyDescent="0.25">
      <c r="A52" s="39" t="s">
        <v>307</v>
      </c>
      <c r="B52" s="39" t="s">
        <v>87</v>
      </c>
      <c r="C52" s="69">
        <v>0</v>
      </c>
      <c r="D52" s="69">
        <v>0</v>
      </c>
      <c r="E52" s="69">
        <v>0</v>
      </c>
      <c r="F52" s="69">
        <v>0</v>
      </c>
      <c r="G52" s="69">
        <v>0</v>
      </c>
      <c r="H52" s="69">
        <v>0</v>
      </c>
      <c r="I52" s="69">
        <v>0</v>
      </c>
      <c r="J52" s="69">
        <v>0</v>
      </c>
      <c r="K52" s="69">
        <v>0</v>
      </c>
      <c r="L52" s="69">
        <v>0</v>
      </c>
      <c r="M52" s="69">
        <v>0</v>
      </c>
      <c r="N52" s="69">
        <v>0</v>
      </c>
      <c r="O52" s="69">
        <v>0</v>
      </c>
      <c r="P52" s="69">
        <v>0</v>
      </c>
      <c r="Q52" s="69">
        <v>0</v>
      </c>
      <c r="R52" s="69">
        <v>0</v>
      </c>
      <c r="S52" s="69">
        <v>0</v>
      </c>
      <c r="T52" s="69">
        <v>0</v>
      </c>
      <c r="U52" s="69">
        <v>0</v>
      </c>
      <c r="V52" s="69">
        <v>0</v>
      </c>
      <c r="W52" s="69">
        <v>580</v>
      </c>
      <c r="X52" s="69">
        <v>0</v>
      </c>
      <c r="Y52" s="69">
        <v>1556</v>
      </c>
      <c r="Z52" s="69">
        <v>0</v>
      </c>
      <c r="AA52" s="69">
        <v>0</v>
      </c>
      <c r="AB52" s="69">
        <v>0</v>
      </c>
      <c r="AC52" s="69">
        <v>0</v>
      </c>
      <c r="AD52" s="69">
        <v>0</v>
      </c>
      <c r="AE52" s="69">
        <v>0</v>
      </c>
      <c r="AF52" s="69">
        <v>0</v>
      </c>
      <c r="AG52" s="69">
        <v>17166</v>
      </c>
      <c r="AH52" s="69">
        <v>84163</v>
      </c>
      <c r="AI52" s="69">
        <v>76491</v>
      </c>
      <c r="AJ52" s="69">
        <v>54848</v>
      </c>
      <c r="AK52" s="69">
        <v>101143</v>
      </c>
      <c r="AL52" s="69">
        <v>107951</v>
      </c>
      <c r="AM52" s="69">
        <v>63076</v>
      </c>
      <c r="AN52" s="69">
        <v>114086</v>
      </c>
      <c r="AO52" s="69">
        <v>87095</v>
      </c>
      <c r="AP52" s="69">
        <v>117925</v>
      </c>
      <c r="AQ52" s="69">
        <v>181543</v>
      </c>
      <c r="AR52" s="69">
        <v>196135</v>
      </c>
    </row>
    <row r="53" spans="1:44" x14ac:dyDescent="0.25">
      <c r="A53" s="39" t="s">
        <v>308</v>
      </c>
      <c r="B53" s="39" t="s">
        <v>87</v>
      </c>
      <c r="C53" s="69">
        <v>3070</v>
      </c>
      <c r="D53" s="69">
        <v>3368</v>
      </c>
      <c r="E53" s="69">
        <v>4362</v>
      </c>
      <c r="F53" s="69">
        <v>6220</v>
      </c>
      <c r="G53" s="69">
        <v>6701</v>
      </c>
      <c r="H53" s="69">
        <v>6804</v>
      </c>
      <c r="I53" s="69">
        <v>7938</v>
      </c>
      <c r="J53" s="69">
        <v>51216</v>
      </c>
      <c r="K53" s="69">
        <v>56576</v>
      </c>
      <c r="L53" s="69">
        <v>170461</v>
      </c>
      <c r="M53" s="69">
        <v>273948</v>
      </c>
      <c r="N53" s="69">
        <v>237847</v>
      </c>
      <c r="O53" s="69">
        <v>172114</v>
      </c>
      <c r="P53" s="69">
        <v>192514</v>
      </c>
      <c r="Q53" s="69">
        <v>249633</v>
      </c>
      <c r="R53" s="69">
        <v>165586</v>
      </c>
      <c r="S53" s="69">
        <v>170406</v>
      </c>
      <c r="T53" s="69">
        <v>218751</v>
      </c>
      <c r="U53" s="69">
        <v>257126</v>
      </c>
      <c r="V53" s="69">
        <v>261936</v>
      </c>
      <c r="W53" s="69">
        <v>186718</v>
      </c>
      <c r="X53" s="69">
        <v>396381</v>
      </c>
      <c r="Y53" s="69">
        <v>407945</v>
      </c>
      <c r="Z53" s="69">
        <v>379399</v>
      </c>
      <c r="AA53" s="69">
        <v>375030</v>
      </c>
      <c r="AB53" s="69">
        <v>523745</v>
      </c>
      <c r="AC53" s="69">
        <v>581321</v>
      </c>
      <c r="AD53" s="69">
        <v>407842</v>
      </c>
      <c r="AE53" s="69">
        <v>508221</v>
      </c>
      <c r="AF53" s="69">
        <v>488293</v>
      </c>
      <c r="AG53" s="69">
        <v>408356</v>
      </c>
      <c r="AH53" s="69">
        <v>493781</v>
      </c>
      <c r="AI53" s="69">
        <v>365792</v>
      </c>
      <c r="AJ53" s="69">
        <v>417517</v>
      </c>
      <c r="AK53" s="69">
        <v>332846</v>
      </c>
      <c r="AL53" s="69">
        <v>456454</v>
      </c>
      <c r="AM53" s="69">
        <v>357630</v>
      </c>
      <c r="AN53" s="69">
        <v>493433</v>
      </c>
      <c r="AO53" s="69">
        <v>377830</v>
      </c>
      <c r="AP53" s="69">
        <v>332145</v>
      </c>
      <c r="AQ53" s="69">
        <v>362239</v>
      </c>
      <c r="AR53" s="69">
        <v>533684</v>
      </c>
    </row>
    <row r="54" spans="1:44" x14ac:dyDescent="0.25">
      <c r="A54" s="39" t="s">
        <v>309</v>
      </c>
      <c r="B54" s="39" t="s">
        <v>87</v>
      </c>
      <c r="C54" s="69">
        <v>0</v>
      </c>
      <c r="D54" s="69">
        <v>0</v>
      </c>
      <c r="E54" s="69">
        <v>0</v>
      </c>
      <c r="F54" s="69">
        <v>0</v>
      </c>
      <c r="G54" s="69">
        <v>0</v>
      </c>
      <c r="H54" s="69">
        <v>0</v>
      </c>
      <c r="I54" s="69">
        <v>0</v>
      </c>
      <c r="J54" s="69">
        <v>0</v>
      </c>
      <c r="K54" s="69">
        <v>7869</v>
      </c>
      <c r="L54" s="69">
        <v>7832</v>
      </c>
      <c r="M54" s="69">
        <v>15050</v>
      </c>
      <c r="N54" s="69">
        <v>20346</v>
      </c>
      <c r="O54" s="69">
        <v>20293</v>
      </c>
      <c r="P54" s="69">
        <v>18490</v>
      </c>
      <c r="Q54" s="69">
        <v>10889</v>
      </c>
      <c r="R54" s="69">
        <v>2040</v>
      </c>
      <c r="S54" s="69">
        <v>7653</v>
      </c>
      <c r="T54" s="69">
        <v>6354</v>
      </c>
      <c r="U54" s="69">
        <v>8254</v>
      </c>
      <c r="V54" s="69">
        <v>12384</v>
      </c>
      <c r="W54" s="69">
        <v>18755</v>
      </c>
      <c r="X54" s="69">
        <v>39117</v>
      </c>
      <c r="Y54" s="69">
        <v>23385</v>
      </c>
      <c r="Z54" s="69">
        <v>26191</v>
      </c>
      <c r="AA54" s="69">
        <v>8555</v>
      </c>
      <c r="AB54" s="69">
        <v>8538</v>
      </c>
      <c r="AC54" s="69">
        <v>13865</v>
      </c>
      <c r="AD54" s="69">
        <v>24330</v>
      </c>
      <c r="AE54" s="69">
        <v>14486</v>
      </c>
      <c r="AF54" s="69">
        <v>19794</v>
      </c>
      <c r="AG54" s="69">
        <v>10517</v>
      </c>
      <c r="AH54" s="69">
        <v>22887</v>
      </c>
      <c r="AI54" s="69">
        <v>7055</v>
      </c>
      <c r="AJ54" s="69">
        <v>48780</v>
      </c>
      <c r="AK54" s="69">
        <v>39578</v>
      </c>
      <c r="AL54" s="69">
        <v>38877</v>
      </c>
      <c r="AM54" s="69">
        <v>32848</v>
      </c>
      <c r="AN54" s="69">
        <v>11065</v>
      </c>
      <c r="AO54" s="69">
        <v>7891</v>
      </c>
      <c r="AP54" s="69">
        <v>24615</v>
      </c>
      <c r="AQ54" s="69">
        <v>0</v>
      </c>
      <c r="AR54" s="69">
        <v>0</v>
      </c>
    </row>
    <row r="55" spans="1:44" x14ac:dyDescent="0.25">
      <c r="A55" s="39" t="s">
        <v>310</v>
      </c>
      <c r="B55" s="39" t="s">
        <v>87</v>
      </c>
      <c r="C55" s="69">
        <v>0</v>
      </c>
      <c r="D55" s="69">
        <v>0</v>
      </c>
      <c r="E55" s="69">
        <v>0</v>
      </c>
      <c r="F55" s="69">
        <v>0</v>
      </c>
      <c r="G55" s="69">
        <v>0</v>
      </c>
      <c r="H55" s="69">
        <v>0</v>
      </c>
      <c r="I55" s="69">
        <v>0</v>
      </c>
      <c r="J55" s="69">
        <v>0</v>
      </c>
      <c r="K55" s="69">
        <v>0</v>
      </c>
      <c r="L55" s="69">
        <v>0</v>
      </c>
      <c r="M55" s="69">
        <v>0</v>
      </c>
      <c r="N55" s="69">
        <v>0</v>
      </c>
      <c r="O55" s="69">
        <v>0</v>
      </c>
      <c r="P55" s="69">
        <v>0</v>
      </c>
      <c r="Q55" s="69">
        <v>0</v>
      </c>
      <c r="R55" s="69">
        <v>13420</v>
      </c>
      <c r="S55" s="69">
        <v>26293</v>
      </c>
      <c r="T55" s="69">
        <v>15062</v>
      </c>
      <c r="U55" s="69">
        <v>33211</v>
      </c>
      <c r="V55" s="69">
        <v>20741</v>
      </c>
      <c r="W55" s="69">
        <v>22199</v>
      </c>
      <c r="X55" s="69">
        <v>62125</v>
      </c>
      <c r="Y55" s="69">
        <v>21978</v>
      </c>
      <c r="Z55" s="69">
        <v>102036</v>
      </c>
      <c r="AA55" s="69">
        <v>202942</v>
      </c>
      <c r="AB55" s="69">
        <v>288033</v>
      </c>
      <c r="AC55" s="69">
        <v>230879</v>
      </c>
      <c r="AD55" s="69">
        <v>179343</v>
      </c>
      <c r="AE55" s="69">
        <v>237373</v>
      </c>
      <c r="AF55" s="69">
        <v>220505</v>
      </c>
      <c r="AG55" s="69">
        <v>175966</v>
      </c>
      <c r="AH55" s="69">
        <v>199982</v>
      </c>
      <c r="AI55" s="69">
        <v>346380</v>
      </c>
      <c r="AJ55" s="69">
        <v>559189</v>
      </c>
      <c r="AK55" s="69">
        <v>392051</v>
      </c>
      <c r="AL55" s="69">
        <v>411567</v>
      </c>
      <c r="AM55" s="69">
        <v>414494</v>
      </c>
      <c r="AN55" s="69">
        <v>336409</v>
      </c>
      <c r="AO55" s="69">
        <v>468295</v>
      </c>
      <c r="AP55" s="69">
        <v>574305</v>
      </c>
      <c r="AQ55" s="69">
        <v>700588</v>
      </c>
      <c r="AR55" s="69">
        <v>506257</v>
      </c>
    </row>
    <row r="56" spans="1:44" x14ac:dyDescent="0.25">
      <c r="A56" s="39" t="s">
        <v>311</v>
      </c>
      <c r="B56" s="39" t="s">
        <v>87</v>
      </c>
      <c r="C56" s="69">
        <v>0</v>
      </c>
      <c r="D56" s="69">
        <v>0</v>
      </c>
      <c r="E56" s="69">
        <v>0</v>
      </c>
      <c r="F56" s="69">
        <v>0</v>
      </c>
      <c r="G56" s="69">
        <v>0</v>
      </c>
      <c r="H56" s="69">
        <v>0</v>
      </c>
      <c r="I56" s="69">
        <v>0</v>
      </c>
      <c r="J56" s="69">
        <v>0</v>
      </c>
      <c r="K56" s="69">
        <v>0</v>
      </c>
      <c r="L56" s="69">
        <v>0</v>
      </c>
      <c r="M56" s="69">
        <v>0</v>
      </c>
      <c r="N56" s="69">
        <v>0</v>
      </c>
      <c r="O56" s="69">
        <v>0</v>
      </c>
      <c r="P56" s="69">
        <v>0</v>
      </c>
      <c r="Q56" s="69">
        <v>0</v>
      </c>
      <c r="R56" s="69">
        <v>0</v>
      </c>
      <c r="S56" s="69">
        <v>0</v>
      </c>
      <c r="T56" s="69">
        <v>0</v>
      </c>
      <c r="U56" s="69">
        <v>0</v>
      </c>
      <c r="V56" s="69">
        <v>0</v>
      </c>
      <c r="W56" s="69">
        <v>46316</v>
      </c>
      <c r="X56" s="69">
        <v>172936</v>
      </c>
      <c r="Y56" s="69">
        <v>122722</v>
      </c>
      <c r="Z56" s="69">
        <v>210878</v>
      </c>
      <c r="AA56" s="69">
        <v>24125</v>
      </c>
      <c r="AB56" s="69">
        <v>15309</v>
      </c>
      <c r="AC56" s="69">
        <v>18094</v>
      </c>
      <c r="AD56" s="69">
        <v>64779</v>
      </c>
      <c r="AE56" s="69">
        <v>62631</v>
      </c>
      <c r="AF56" s="69">
        <v>175533</v>
      </c>
      <c r="AG56" s="69">
        <v>72768</v>
      </c>
      <c r="AH56" s="69">
        <v>272969</v>
      </c>
      <c r="AI56" s="69">
        <v>399838</v>
      </c>
      <c r="AJ56" s="69">
        <v>165412</v>
      </c>
      <c r="AK56" s="69">
        <v>190687</v>
      </c>
      <c r="AL56" s="69">
        <v>268071</v>
      </c>
      <c r="AM56" s="69">
        <v>165231</v>
      </c>
      <c r="AN56" s="69">
        <v>186081</v>
      </c>
      <c r="AO56" s="69">
        <v>163859</v>
      </c>
      <c r="AP56" s="69">
        <v>242987</v>
      </c>
      <c r="AQ56" s="69">
        <v>155976</v>
      </c>
      <c r="AR56" s="69">
        <v>267658</v>
      </c>
    </row>
    <row r="57" spans="1:44" ht="25.5" x14ac:dyDescent="0.25">
      <c r="A57" s="39" t="s">
        <v>312</v>
      </c>
      <c r="B57" s="39" t="s">
        <v>87</v>
      </c>
      <c r="C57" s="69">
        <v>2212</v>
      </c>
      <c r="D57" s="69">
        <v>3069</v>
      </c>
      <c r="E57" s="69">
        <v>4960</v>
      </c>
      <c r="F57" s="69">
        <v>4474</v>
      </c>
      <c r="G57" s="69">
        <v>4367</v>
      </c>
      <c r="H57" s="69">
        <v>4221</v>
      </c>
      <c r="I57" s="69">
        <v>3577</v>
      </c>
      <c r="J57" s="69">
        <v>2680</v>
      </c>
      <c r="K57" s="69">
        <v>4240</v>
      </c>
      <c r="L57" s="69">
        <v>5181</v>
      </c>
      <c r="M57" s="69">
        <v>49069</v>
      </c>
      <c r="N57" s="69">
        <v>39450</v>
      </c>
      <c r="O57" s="69">
        <v>41633</v>
      </c>
      <c r="P57" s="69">
        <v>37753</v>
      </c>
      <c r="Q57" s="69">
        <v>72586</v>
      </c>
      <c r="R57" s="69">
        <v>87339</v>
      </c>
      <c r="S57" s="69">
        <v>96047</v>
      </c>
      <c r="T57" s="69">
        <v>143831</v>
      </c>
      <c r="U57" s="69">
        <v>165320</v>
      </c>
      <c r="V57" s="69">
        <v>170335</v>
      </c>
      <c r="W57" s="69">
        <v>186176</v>
      </c>
      <c r="X57" s="69">
        <v>191223</v>
      </c>
      <c r="Y57" s="69">
        <v>154139</v>
      </c>
      <c r="Z57" s="69">
        <v>149380</v>
      </c>
      <c r="AA57" s="69">
        <v>135602</v>
      </c>
      <c r="AB57" s="69">
        <v>160532</v>
      </c>
      <c r="AC57" s="69">
        <v>161702</v>
      </c>
      <c r="AD57" s="69">
        <v>160415</v>
      </c>
      <c r="AE57" s="69">
        <v>158483</v>
      </c>
      <c r="AF57" s="69">
        <v>159553</v>
      </c>
      <c r="AG57" s="69">
        <v>175278</v>
      </c>
      <c r="AH57" s="69">
        <v>181135</v>
      </c>
      <c r="AI57" s="69">
        <v>139688</v>
      </c>
      <c r="AJ57" s="69">
        <v>155887</v>
      </c>
      <c r="AK57" s="69">
        <v>160783</v>
      </c>
      <c r="AL57" s="69">
        <v>158776</v>
      </c>
      <c r="AM57" s="69">
        <v>166067</v>
      </c>
      <c r="AN57" s="69">
        <v>145105</v>
      </c>
      <c r="AO57" s="69">
        <v>172747</v>
      </c>
      <c r="AP57" s="69">
        <v>161238</v>
      </c>
      <c r="AQ57" s="69">
        <v>147461</v>
      </c>
      <c r="AR57" s="69">
        <v>154957</v>
      </c>
    </row>
    <row r="58" spans="1:44" ht="25.5" x14ac:dyDescent="0.25">
      <c r="A58" s="39" t="s">
        <v>313</v>
      </c>
      <c r="B58" s="39" t="s">
        <v>87</v>
      </c>
      <c r="C58" s="69">
        <v>39934</v>
      </c>
      <c r="D58" s="69">
        <v>42169</v>
      </c>
      <c r="E58" s="69">
        <v>41443</v>
      </c>
      <c r="F58" s="69">
        <v>40844</v>
      </c>
      <c r="G58" s="69">
        <v>40226</v>
      </c>
      <c r="H58" s="69">
        <v>43158</v>
      </c>
      <c r="I58" s="69">
        <v>49942</v>
      </c>
      <c r="J58" s="69">
        <v>49844</v>
      </c>
      <c r="K58" s="69">
        <v>59246</v>
      </c>
      <c r="L58" s="69">
        <v>58045</v>
      </c>
      <c r="M58" s="69">
        <v>50799</v>
      </c>
      <c r="N58" s="69">
        <v>53765</v>
      </c>
      <c r="O58" s="69">
        <v>57641</v>
      </c>
      <c r="P58" s="69">
        <v>70355</v>
      </c>
      <c r="Q58" s="69">
        <v>60793</v>
      </c>
      <c r="R58" s="69">
        <v>58227</v>
      </c>
      <c r="S58" s="69">
        <v>59660</v>
      </c>
      <c r="T58" s="69">
        <v>50678</v>
      </c>
      <c r="U58" s="69">
        <v>49578</v>
      </c>
      <c r="V58" s="69">
        <v>45675</v>
      </c>
      <c r="W58" s="69">
        <v>43627</v>
      </c>
      <c r="X58" s="69">
        <v>46616</v>
      </c>
      <c r="Y58" s="69">
        <v>40957</v>
      </c>
      <c r="Z58" s="69">
        <v>38991</v>
      </c>
      <c r="AA58" s="69">
        <v>16031</v>
      </c>
      <c r="AB58" s="69">
        <v>14323</v>
      </c>
      <c r="AC58" s="69">
        <v>14005</v>
      </c>
      <c r="AD58" s="69">
        <v>14135</v>
      </c>
      <c r="AE58" s="69">
        <v>15292</v>
      </c>
      <c r="AF58" s="69">
        <v>16964</v>
      </c>
      <c r="AG58" s="69">
        <v>14909</v>
      </c>
      <c r="AH58" s="69">
        <v>11610</v>
      </c>
      <c r="AI58" s="69">
        <v>8133</v>
      </c>
      <c r="AJ58" s="69">
        <v>7220</v>
      </c>
      <c r="AK58" s="69">
        <v>8107</v>
      </c>
      <c r="AL58" s="69">
        <v>7391</v>
      </c>
      <c r="AM58" s="69">
        <v>3796</v>
      </c>
      <c r="AN58" s="69">
        <v>2479</v>
      </c>
      <c r="AO58" s="69">
        <v>1467</v>
      </c>
      <c r="AP58" s="69">
        <v>592</v>
      </c>
      <c r="AQ58" s="69">
        <v>481</v>
      </c>
      <c r="AR58" s="69">
        <v>579</v>
      </c>
    </row>
    <row r="59" spans="1:44" ht="38.25" x14ac:dyDescent="0.25">
      <c r="A59" s="39" t="s">
        <v>314</v>
      </c>
      <c r="B59" s="39" t="s">
        <v>87</v>
      </c>
      <c r="C59" s="69">
        <v>0</v>
      </c>
      <c r="D59" s="69">
        <v>0</v>
      </c>
      <c r="E59" s="69">
        <v>0</v>
      </c>
      <c r="F59" s="69">
        <v>0</v>
      </c>
      <c r="G59" s="69">
        <v>0</v>
      </c>
      <c r="H59" s="69">
        <v>0</v>
      </c>
      <c r="I59" s="69">
        <v>0</v>
      </c>
      <c r="J59" s="69">
        <v>0</v>
      </c>
      <c r="K59" s="69">
        <v>0</v>
      </c>
      <c r="L59" s="69">
        <v>2</v>
      </c>
      <c r="M59" s="69">
        <v>64</v>
      </c>
      <c r="N59" s="69">
        <v>112</v>
      </c>
      <c r="O59" s="69">
        <v>106</v>
      </c>
      <c r="P59" s="69">
        <v>141</v>
      </c>
      <c r="Q59" s="69">
        <v>0</v>
      </c>
      <c r="R59" s="69">
        <v>0</v>
      </c>
      <c r="S59" s="69">
        <v>0</v>
      </c>
      <c r="T59" s="69">
        <v>0</v>
      </c>
      <c r="U59" s="69">
        <v>68</v>
      </c>
      <c r="V59" s="69">
        <v>351</v>
      </c>
      <c r="W59" s="69">
        <v>632</v>
      </c>
      <c r="X59" s="69">
        <v>401</v>
      </c>
      <c r="Y59" s="69">
        <v>352</v>
      </c>
      <c r="Z59" s="69">
        <v>352</v>
      </c>
      <c r="AA59" s="69">
        <v>308</v>
      </c>
      <c r="AB59" s="69">
        <v>329</v>
      </c>
      <c r="AC59" s="69">
        <v>308</v>
      </c>
      <c r="AD59" s="69">
        <v>368</v>
      </c>
      <c r="AE59" s="69">
        <v>2182</v>
      </c>
      <c r="AF59" s="69">
        <v>2182</v>
      </c>
      <c r="AG59" s="69">
        <v>3414</v>
      </c>
      <c r="AH59" s="69">
        <v>3447</v>
      </c>
      <c r="AI59" s="69">
        <v>3708</v>
      </c>
      <c r="AJ59" s="69">
        <v>5826</v>
      </c>
      <c r="AK59" s="69">
        <v>4731</v>
      </c>
      <c r="AL59" s="69">
        <v>11939</v>
      </c>
      <c r="AM59" s="69">
        <v>11693</v>
      </c>
      <c r="AN59" s="69">
        <v>10785</v>
      </c>
      <c r="AO59" s="69">
        <v>9804</v>
      </c>
      <c r="AP59" s="69">
        <v>11356</v>
      </c>
      <c r="AQ59" s="69">
        <v>11100</v>
      </c>
      <c r="AR59" s="69">
        <v>12597</v>
      </c>
    </row>
    <row r="60" spans="1:44" ht="25.5" x14ac:dyDescent="0.25">
      <c r="A60" s="39" t="s">
        <v>315</v>
      </c>
      <c r="B60" s="39" t="s">
        <v>87</v>
      </c>
      <c r="C60" s="69">
        <v>0</v>
      </c>
      <c r="D60" s="69">
        <v>0</v>
      </c>
      <c r="E60" s="69">
        <v>0</v>
      </c>
      <c r="F60" s="69">
        <v>0</v>
      </c>
      <c r="G60" s="69">
        <v>0</v>
      </c>
      <c r="H60" s="69">
        <v>0</v>
      </c>
      <c r="I60" s="69">
        <v>0</v>
      </c>
      <c r="J60" s="69">
        <v>0</v>
      </c>
      <c r="K60" s="69">
        <v>0</v>
      </c>
      <c r="L60" s="69">
        <v>0</v>
      </c>
      <c r="M60" s="69">
        <v>0</v>
      </c>
      <c r="N60" s="69">
        <v>0</v>
      </c>
      <c r="O60" s="69">
        <v>0</v>
      </c>
      <c r="P60" s="69">
        <v>0</v>
      </c>
      <c r="Q60" s="69">
        <v>0</v>
      </c>
      <c r="R60" s="69">
        <v>0</v>
      </c>
      <c r="S60" s="69">
        <v>0</v>
      </c>
      <c r="T60" s="69">
        <v>0</v>
      </c>
      <c r="U60" s="69">
        <v>0</v>
      </c>
      <c r="V60" s="69">
        <v>0</v>
      </c>
      <c r="W60" s="69">
        <v>0</v>
      </c>
      <c r="X60" s="69">
        <v>0</v>
      </c>
      <c r="Y60" s="69">
        <v>0</v>
      </c>
      <c r="Z60" s="69">
        <v>0</v>
      </c>
      <c r="AA60" s="69">
        <v>811</v>
      </c>
      <c r="AB60" s="69">
        <v>12636</v>
      </c>
      <c r="AC60" s="69">
        <v>23311</v>
      </c>
      <c r="AD60" s="69">
        <v>24663</v>
      </c>
      <c r="AE60" s="69">
        <v>18842</v>
      </c>
      <c r="AF60" s="69">
        <v>8760</v>
      </c>
      <c r="AG60" s="69">
        <v>19279</v>
      </c>
      <c r="AH60" s="69">
        <v>18733</v>
      </c>
      <c r="AI60" s="69">
        <v>38529</v>
      </c>
      <c r="AJ60" s="69">
        <v>38202</v>
      </c>
      <c r="AK60" s="69">
        <v>85553</v>
      </c>
      <c r="AL60" s="69">
        <v>133170</v>
      </c>
      <c r="AM60" s="69">
        <v>121605</v>
      </c>
      <c r="AN60" s="69">
        <v>166803</v>
      </c>
      <c r="AO60" s="69">
        <v>306648</v>
      </c>
      <c r="AP60" s="69">
        <v>380711</v>
      </c>
      <c r="AQ60" s="69">
        <v>314203</v>
      </c>
      <c r="AR60" s="69">
        <v>479991</v>
      </c>
    </row>
    <row r="61" spans="1:44" x14ac:dyDescent="0.25">
      <c r="A61" s="39" t="s">
        <v>78</v>
      </c>
      <c r="B61" s="39"/>
      <c r="C61" s="69">
        <v>0</v>
      </c>
      <c r="D61" s="69">
        <v>0</v>
      </c>
      <c r="E61" s="69">
        <v>0</v>
      </c>
      <c r="F61" s="69">
        <v>0</v>
      </c>
      <c r="G61" s="69">
        <v>0</v>
      </c>
      <c r="H61" s="69">
        <v>0</v>
      </c>
      <c r="I61" s="69">
        <v>0</v>
      </c>
      <c r="J61" s="69">
        <v>0</v>
      </c>
      <c r="K61" s="69">
        <v>0</v>
      </c>
      <c r="L61" s="69">
        <v>0</v>
      </c>
      <c r="M61" s="69">
        <v>0</v>
      </c>
      <c r="N61" s="69">
        <v>0</v>
      </c>
      <c r="O61" s="69">
        <v>0</v>
      </c>
      <c r="P61" s="69">
        <v>0</v>
      </c>
      <c r="Q61" s="69">
        <v>0</v>
      </c>
      <c r="R61" s="69">
        <v>0</v>
      </c>
      <c r="S61" s="69">
        <v>0</v>
      </c>
      <c r="T61" s="69">
        <v>0</v>
      </c>
      <c r="U61" s="69">
        <v>0</v>
      </c>
      <c r="V61" s="69">
        <v>0</v>
      </c>
      <c r="W61" s="69">
        <v>0</v>
      </c>
      <c r="X61" s="69">
        <v>0</v>
      </c>
      <c r="Y61" s="69">
        <v>0</v>
      </c>
      <c r="Z61" s="69">
        <v>0</v>
      </c>
      <c r="AA61" s="69">
        <v>0</v>
      </c>
      <c r="AB61" s="69">
        <v>0</v>
      </c>
      <c r="AC61" s="69">
        <v>0</v>
      </c>
      <c r="AD61" s="69">
        <v>0</v>
      </c>
      <c r="AE61" s="69">
        <v>0</v>
      </c>
      <c r="AF61" s="69">
        <v>0</v>
      </c>
      <c r="AG61" s="69">
        <v>0</v>
      </c>
      <c r="AH61" s="69">
        <v>0</v>
      </c>
      <c r="AI61" s="69">
        <v>0</v>
      </c>
      <c r="AJ61" s="69">
        <v>3600</v>
      </c>
      <c r="AK61" s="69">
        <v>4579</v>
      </c>
      <c r="AL61" s="69">
        <v>2924</v>
      </c>
      <c r="AM61" s="69">
        <v>2082</v>
      </c>
      <c r="AN61" s="69">
        <v>7042</v>
      </c>
      <c r="AO61" s="69">
        <v>14005</v>
      </c>
      <c r="AP61" s="69">
        <v>4613</v>
      </c>
      <c r="AQ61" s="69">
        <v>7331</v>
      </c>
      <c r="AR61" s="69">
        <v>15656</v>
      </c>
    </row>
    <row r="62" spans="1:44" x14ac:dyDescent="0.25">
      <c r="A62" s="39" t="s">
        <v>171</v>
      </c>
      <c r="B62" s="39" t="s">
        <v>87</v>
      </c>
      <c r="C62" s="69">
        <v>0</v>
      </c>
      <c r="D62" s="69">
        <v>0</v>
      </c>
      <c r="E62" s="69">
        <v>0</v>
      </c>
      <c r="F62" s="69">
        <v>0</v>
      </c>
      <c r="G62" s="69">
        <v>0</v>
      </c>
      <c r="H62" s="69">
        <v>0</v>
      </c>
      <c r="I62" s="69">
        <v>0</v>
      </c>
      <c r="J62" s="69">
        <v>0</v>
      </c>
      <c r="K62" s="69">
        <v>0</v>
      </c>
      <c r="L62" s="69">
        <v>0</v>
      </c>
      <c r="M62" s="69">
        <v>0</v>
      </c>
      <c r="N62" s="69">
        <v>0</v>
      </c>
      <c r="O62" s="69">
        <v>0</v>
      </c>
      <c r="P62" s="69">
        <v>0</v>
      </c>
      <c r="Q62" s="69">
        <v>0</v>
      </c>
      <c r="R62" s="69">
        <v>0</v>
      </c>
      <c r="S62" s="69">
        <v>0</v>
      </c>
      <c r="T62" s="69">
        <v>0</v>
      </c>
      <c r="U62" s="69">
        <v>0</v>
      </c>
      <c r="V62" s="69">
        <v>0</v>
      </c>
      <c r="W62" s="69">
        <v>0</v>
      </c>
      <c r="X62" s="69">
        <v>0</v>
      </c>
      <c r="Y62" s="69">
        <v>0</v>
      </c>
      <c r="Z62" s="69">
        <v>0</v>
      </c>
      <c r="AA62" s="69">
        <v>0</v>
      </c>
      <c r="AB62" s="69">
        <v>0</v>
      </c>
      <c r="AC62" s="69">
        <v>0</v>
      </c>
      <c r="AD62" s="69">
        <v>0</v>
      </c>
      <c r="AE62" s="69">
        <v>0</v>
      </c>
      <c r="AF62" s="69">
        <v>0</v>
      </c>
      <c r="AG62" s="69">
        <v>0</v>
      </c>
      <c r="AH62" s="69">
        <v>1082</v>
      </c>
      <c r="AI62" s="69">
        <v>679</v>
      </c>
      <c r="AJ62" s="69">
        <v>4236</v>
      </c>
      <c r="AK62" s="69">
        <v>1161</v>
      </c>
      <c r="AL62" s="69">
        <v>1942</v>
      </c>
      <c r="AM62" s="69">
        <v>2368</v>
      </c>
      <c r="AN62" s="69">
        <v>2338</v>
      </c>
      <c r="AO62" s="69">
        <v>6472</v>
      </c>
      <c r="AP62" s="69">
        <v>4743</v>
      </c>
      <c r="AQ62" s="69">
        <v>11377</v>
      </c>
      <c r="AR62" s="69">
        <v>15331</v>
      </c>
    </row>
    <row r="63" spans="1:44" x14ac:dyDescent="0.25">
      <c r="A63" s="39" t="s">
        <v>87</v>
      </c>
      <c r="B63" s="39" t="s">
        <v>87</v>
      </c>
      <c r="C63" s="39" t="s">
        <v>87</v>
      </c>
      <c r="D63" s="39" t="s">
        <v>87</v>
      </c>
      <c r="E63" s="39" t="s">
        <v>87</v>
      </c>
      <c r="F63" s="39" t="s">
        <v>87</v>
      </c>
      <c r="G63" s="39" t="s">
        <v>87</v>
      </c>
      <c r="H63" s="39" t="s">
        <v>87</v>
      </c>
      <c r="I63" s="39" t="s">
        <v>87</v>
      </c>
      <c r="J63" s="39" t="s">
        <v>87</v>
      </c>
      <c r="K63" s="39" t="s">
        <v>87</v>
      </c>
      <c r="L63" s="39" t="s">
        <v>87</v>
      </c>
      <c r="M63" s="39" t="s">
        <v>87</v>
      </c>
      <c r="N63" s="39" t="s">
        <v>87</v>
      </c>
      <c r="O63" s="39" t="s">
        <v>87</v>
      </c>
      <c r="P63" s="39" t="s">
        <v>87</v>
      </c>
      <c r="Q63" s="39" t="s">
        <v>87</v>
      </c>
      <c r="R63" s="39" t="s">
        <v>87</v>
      </c>
      <c r="S63" s="39" t="s">
        <v>87</v>
      </c>
      <c r="T63" s="39" t="s">
        <v>87</v>
      </c>
      <c r="U63" s="39" t="s">
        <v>87</v>
      </c>
      <c r="V63" s="39" t="s">
        <v>87</v>
      </c>
      <c r="W63" s="39" t="s">
        <v>87</v>
      </c>
      <c r="X63" s="39" t="s">
        <v>87</v>
      </c>
      <c r="Y63" s="39" t="s">
        <v>87</v>
      </c>
      <c r="Z63" s="39" t="s">
        <v>87</v>
      </c>
      <c r="AA63" s="39" t="s">
        <v>87</v>
      </c>
      <c r="AB63" s="39" t="s">
        <v>87</v>
      </c>
      <c r="AC63" s="39" t="s">
        <v>87</v>
      </c>
      <c r="AD63" s="39" t="s">
        <v>87</v>
      </c>
      <c r="AE63" s="39" t="s">
        <v>87</v>
      </c>
      <c r="AF63" s="39" t="s">
        <v>87</v>
      </c>
      <c r="AG63" s="39" t="s">
        <v>87</v>
      </c>
      <c r="AH63" s="39" t="s">
        <v>87</v>
      </c>
      <c r="AI63" s="39" t="s">
        <v>87</v>
      </c>
    </row>
    <row r="64" spans="1:44" ht="13.5" customHeight="1" x14ac:dyDescent="0.25"/>
    <row r="65" spans="1:44" x14ac:dyDescent="0.25">
      <c r="A65" s="37" t="s">
        <v>212</v>
      </c>
      <c r="B65" s="39" t="s">
        <v>87</v>
      </c>
      <c r="C65" s="138"/>
      <c r="D65" s="138"/>
      <c r="E65" s="138"/>
      <c r="F65" s="138">
        <v>2011</v>
      </c>
      <c r="G65" s="138"/>
      <c r="H65" s="138"/>
      <c r="I65" s="138"/>
      <c r="J65" s="138">
        <v>2012</v>
      </c>
      <c r="K65" s="138"/>
      <c r="L65" s="138"/>
      <c r="M65" s="138"/>
      <c r="N65" s="138">
        <v>2013</v>
      </c>
      <c r="O65" s="138"/>
      <c r="P65" s="138"/>
      <c r="Q65" s="138"/>
      <c r="R65" s="138">
        <v>2014</v>
      </c>
      <c r="S65" s="138"/>
      <c r="T65" s="138"/>
      <c r="U65" s="138"/>
      <c r="V65" s="138">
        <v>2015</v>
      </c>
      <c r="W65" s="138"/>
      <c r="X65" s="138"/>
      <c r="Y65" s="138"/>
      <c r="Z65" s="138">
        <v>2016</v>
      </c>
      <c r="AA65" s="138"/>
      <c r="AB65" s="138"/>
      <c r="AC65" s="138"/>
      <c r="AD65" s="138">
        <v>2017</v>
      </c>
      <c r="AE65" s="161"/>
      <c r="AF65" s="161"/>
      <c r="AG65" s="161"/>
      <c r="AH65" s="162">
        <v>2018</v>
      </c>
      <c r="AI65" s="162"/>
      <c r="AJ65" s="162"/>
      <c r="AK65" s="162"/>
      <c r="AL65" s="162">
        <v>2019</v>
      </c>
      <c r="AM65" s="162"/>
      <c r="AN65" s="162"/>
      <c r="AO65" s="162"/>
      <c r="AP65" s="162">
        <v>2020</v>
      </c>
      <c r="AQ65" s="162"/>
      <c r="AR65" s="162">
        <v>2021</v>
      </c>
    </row>
    <row r="66" spans="1:44" x14ac:dyDescent="0.25">
      <c r="A66" s="39" t="s">
        <v>282</v>
      </c>
      <c r="B66" s="37" t="s">
        <v>87</v>
      </c>
      <c r="C66" s="39" t="s">
        <v>68</v>
      </c>
      <c r="D66" s="39" t="s">
        <v>69</v>
      </c>
      <c r="E66" s="39" t="s">
        <v>70</v>
      </c>
      <c r="F66" s="39" t="s">
        <v>71</v>
      </c>
      <c r="G66" s="39" t="s">
        <v>68</v>
      </c>
      <c r="H66" s="39" t="s">
        <v>69</v>
      </c>
      <c r="I66" s="39" t="s">
        <v>70</v>
      </c>
      <c r="J66" s="39" t="s">
        <v>71</v>
      </c>
      <c r="K66" s="39" t="s">
        <v>68</v>
      </c>
      <c r="L66" s="39" t="s">
        <v>69</v>
      </c>
      <c r="M66" s="39" t="s">
        <v>70</v>
      </c>
      <c r="N66" s="39" t="s">
        <v>71</v>
      </c>
      <c r="O66" s="39" t="s">
        <v>68</v>
      </c>
      <c r="P66" s="39" t="s">
        <v>69</v>
      </c>
      <c r="Q66" s="39" t="s">
        <v>70</v>
      </c>
      <c r="R66" s="39" t="s">
        <v>71</v>
      </c>
      <c r="S66" s="39" t="s">
        <v>68</v>
      </c>
      <c r="T66" s="39" t="s">
        <v>69</v>
      </c>
      <c r="U66" s="39" t="s">
        <v>70</v>
      </c>
      <c r="V66" s="39" t="s">
        <v>71</v>
      </c>
      <c r="W66" s="39" t="s">
        <v>68</v>
      </c>
      <c r="X66" s="39" t="s">
        <v>69</v>
      </c>
      <c r="Y66" s="39" t="s">
        <v>70</v>
      </c>
      <c r="Z66" s="39" t="s">
        <v>71</v>
      </c>
      <c r="AA66" s="39" t="s">
        <v>68</v>
      </c>
      <c r="AB66" s="39" t="s">
        <v>69</v>
      </c>
      <c r="AC66" s="39" t="s">
        <v>70</v>
      </c>
      <c r="AD66" s="39" t="s">
        <v>71</v>
      </c>
      <c r="AE66" s="39" t="s">
        <v>68</v>
      </c>
      <c r="AF66" s="39" t="s">
        <v>69</v>
      </c>
      <c r="AG66" s="39" t="s">
        <v>70</v>
      </c>
      <c r="AH66" s="39" t="s">
        <v>71</v>
      </c>
      <c r="AI66" s="39" t="s">
        <v>68</v>
      </c>
      <c r="AJ66" s="39" t="s">
        <v>69</v>
      </c>
      <c r="AK66" s="39" t="s">
        <v>70</v>
      </c>
      <c r="AL66" s="39" t="s">
        <v>71</v>
      </c>
      <c r="AM66" s="39" t="s">
        <v>68</v>
      </c>
      <c r="AN66" s="39" t="s">
        <v>69</v>
      </c>
      <c r="AO66" s="39" t="s">
        <v>70</v>
      </c>
      <c r="AP66" s="39" t="s">
        <v>71</v>
      </c>
      <c r="AQ66" s="39" t="s">
        <v>68</v>
      </c>
      <c r="AR66" s="39" t="s">
        <v>69</v>
      </c>
    </row>
    <row r="67" spans="1:44" x14ac:dyDescent="0.25">
      <c r="A67" s="39" t="s">
        <v>283</v>
      </c>
      <c r="B67" s="39" t="s">
        <v>87</v>
      </c>
      <c r="C67" s="69">
        <v>10912</v>
      </c>
      <c r="D67" s="69">
        <v>5631</v>
      </c>
      <c r="E67" s="69">
        <v>9159</v>
      </c>
      <c r="F67" s="69">
        <v>8065</v>
      </c>
      <c r="G67" s="69">
        <v>2721</v>
      </c>
      <c r="H67" s="69">
        <v>2069</v>
      </c>
      <c r="I67" s="69">
        <v>3686</v>
      </c>
      <c r="J67" s="69">
        <v>2500</v>
      </c>
      <c r="K67" s="69">
        <v>13770</v>
      </c>
      <c r="L67" s="69">
        <v>21041</v>
      </c>
      <c r="M67" s="69">
        <v>23745</v>
      </c>
      <c r="N67" s="69">
        <v>26142</v>
      </c>
      <c r="O67" s="69">
        <v>24718</v>
      </c>
      <c r="P67" s="69">
        <v>28996</v>
      </c>
      <c r="Q67" s="69">
        <v>18396</v>
      </c>
      <c r="R67" s="69">
        <v>12140</v>
      </c>
      <c r="S67" s="69">
        <v>11730</v>
      </c>
      <c r="T67" s="69">
        <v>19795</v>
      </c>
      <c r="U67" s="69">
        <v>31171</v>
      </c>
      <c r="V67" s="69">
        <v>43387</v>
      </c>
      <c r="W67" s="69">
        <v>6512</v>
      </c>
      <c r="X67" s="69">
        <v>18593</v>
      </c>
      <c r="Y67" s="69">
        <v>42715</v>
      </c>
      <c r="Z67" s="69">
        <v>65234</v>
      </c>
      <c r="AA67" s="69">
        <v>59041</v>
      </c>
      <c r="AB67" s="69">
        <v>44733</v>
      </c>
      <c r="AC67" s="69">
        <v>24064</v>
      </c>
      <c r="AD67" s="69">
        <v>61599</v>
      </c>
      <c r="AE67" s="69">
        <v>25461</v>
      </c>
      <c r="AF67" s="69">
        <v>22497</v>
      </c>
      <c r="AG67" s="69">
        <v>59531</v>
      </c>
      <c r="AH67" s="69">
        <v>30477</v>
      </c>
      <c r="AI67" s="69">
        <v>116426</v>
      </c>
      <c r="AJ67" s="69">
        <v>72527</v>
      </c>
      <c r="AK67" s="69">
        <v>70976</v>
      </c>
      <c r="AL67" s="69">
        <v>23308</v>
      </c>
      <c r="AM67" s="69">
        <v>26474</v>
      </c>
      <c r="AN67" s="69">
        <v>39095</v>
      </c>
      <c r="AO67" s="69">
        <v>28521</v>
      </c>
      <c r="AP67" s="69">
        <v>28358</v>
      </c>
      <c r="AQ67" s="69">
        <v>42022</v>
      </c>
      <c r="AR67" s="69">
        <v>30202</v>
      </c>
    </row>
    <row r="68" spans="1:44" x14ac:dyDescent="0.25">
      <c r="A68" s="39" t="s">
        <v>285</v>
      </c>
      <c r="B68" s="39" t="s">
        <v>87</v>
      </c>
      <c r="C68" s="69">
        <v>0</v>
      </c>
      <c r="D68" s="69">
        <v>0</v>
      </c>
      <c r="E68" s="69">
        <v>0</v>
      </c>
      <c r="F68" s="69">
        <v>0</v>
      </c>
      <c r="G68" s="69">
        <v>0</v>
      </c>
      <c r="H68" s="69">
        <v>0</v>
      </c>
      <c r="I68" s="69">
        <v>0</v>
      </c>
      <c r="J68" s="69">
        <v>0</v>
      </c>
      <c r="K68" s="69">
        <v>0</v>
      </c>
      <c r="L68" s="69">
        <v>0</v>
      </c>
      <c r="M68" s="69">
        <v>0</v>
      </c>
      <c r="N68" s="69">
        <v>0</v>
      </c>
      <c r="O68" s="69">
        <v>868</v>
      </c>
      <c r="P68" s="69">
        <v>93</v>
      </c>
      <c r="Q68" s="69">
        <v>0</v>
      </c>
      <c r="R68" s="69">
        <v>1180</v>
      </c>
      <c r="S68" s="69">
        <v>2485</v>
      </c>
      <c r="T68" s="69">
        <v>69</v>
      </c>
      <c r="U68" s="69">
        <v>1148</v>
      </c>
      <c r="V68" s="69">
        <v>786</v>
      </c>
      <c r="W68" s="69">
        <v>0</v>
      </c>
      <c r="X68" s="69">
        <v>3866</v>
      </c>
      <c r="Y68" s="69">
        <v>2748</v>
      </c>
      <c r="Z68" s="69">
        <v>506</v>
      </c>
      <c r="AA68" s="69">
        <v>1091</v>
      </c>
      <c r="AB68" s="69">
        <v>2358</v>
      </c>
      <c r="AC68" s="69">
        <v>233</v>
      </c>
      <c r="AD68" s="69">
        <v>6448</v>
      </c>
      <c r="AE68" s="69">
        <v>1490</v>
      </c>
      <c r="AF68" s="69">
        <v>487</v>
      </c>
      <c r="AG68" s="69">
        <v>1610</v>
      </c>
      <c r="AH68" s="69">
        <v>497</v>
      </c>
      <c r="AI68" s="69">
        <v>573</v>
      </c>
      <c r="AJ68" s="69">
        <v>779</v>
      </c>
      <c r="AK68" s="69">
        <v>1020</v>
      </c>
      <c r="AL68" s="69">
        <v>0</v>
      </c>
      <c r="AM68" s="69">
        <v>6</v>
      </c>
      <c r="AN68" s="69">
        <v>5188</v>
      </c>
      <c r="AO68" s="69">
        <v>574</v>
      </c>
      <c r="AP68" s="69">
        <v>1189</v>
      </c>
      <c r="AQ68" s="69">
        <v>388</v>
      </c>
      <c r="AR68" s="69">
        <v>0</v>
      </c>
    </row>
    <row r="69" spans="1:44" x14ac:dyDescent="0.25">
      <c r="A69" s="39" t="s">
        <v>287</v>
      </c>
      <c r="B69" s="39" t="s">
        <v>87</v>
      </c>
      <c r="C69" s="69">
        <v>0</v>
      </c>
      <c r="D69" s="69">
        <v>0</v>
      </c>
      <c r="E69" s="69">
        <v>0</v>
      </c>
      <c r="F69" s="69">
        <v>0</v>
      </c>
      <c r="G69" s="69">
        <v>0</v>
      </c>
      <c r="H69" s="69">
        <v>0</v>
      </c>
      <c r="I69" s="69">
        <v>0</v>
      </c>
      <c r="J69" s="69">
        <v>0</v>
      </c>
      <c r="K69" s="69">
        <v>0</v>
      </c>
      <c r="L69" s="69">
        <v>0</v>
      </c>
      <c r="M69" s="69">
        <v>0</v>
      </c>
      <c r="N69" s="69">
        <v>0</v>
      </c>
      <c r="O69" s="69">
        <v>0</v>
      </c>
      <c r="P69" s="69">
        <v>0</v>
      </c>
      <c r="Q69" s="69">
        <v>0</v>
      </c>
      <c r="R69" s="69">
        <v>0</v>
      </c>
      <c r="S69" s="69">
        <v>0</v>
      </c>
      <c r="T69" s="69">
        <v>0</v>
      </c>
      <c r="U69" s="69">
        <v>0</v>
      </c>
      <c r="V69" s="69">
        <v>0</v>
      </c>
      <c r="W69" s="69">
        <v>0</v>
      </c>
      <c r="X69" s="69">
        <v>0</v>
      </c>
      <c r="Y69" s="69">
        <v>0</v>
      </c>
      <c r="Z69" s="69">
        <v>0</v>
      </c>
      <c r="AA69" s="69">
        <v>0</v>
      </c>
      <c r="AB69" s="69">
        <v>0</v>
      </c>
      <c r="AC69" s="69">
        <v>0</v>
      </c>
      <c r="AD69" s="69">
        <v>0</v>
      </c>
      <c r="AE69" s="69">
        <v>0</v>
      </c>
      <c r="AF69" s="69">
        <v>0</v>
      </c>
      <c r="AG69" s="69">
        <v>0</v>
      </c>
      <c r="AH69" s="69">
        <v>0</v>
      </c>
      <c r="AI69" s="69">
        <v>0</v>
      </c>
      <c r="AJ69" s="69">
        <v>0</v>
      </c>
      <c r="AK69" s="69">
        <v>0</v>
      </c>
      <c r="AL69" s="69">
        <v>0</v>
      </c>
      <c r="AM69" s="69">
        <v>0</v>
      </c>
      <c r="AN69" s="69">
        <v>0</v>
      </c>
      <c r="AO69" s="69">
        <v>0</v>
      </c>
      <c r="AP69" s="69">
        <v>0</v>
      </c>
      <c r="AQ69" s="69">
        <v>0</v>
      </c>
      <c r="AR69" s="69">
        <v>2757</v>
      </c>
    </row>
    <row r="70" spans="1:44" x14ac:dyDescent="0.25">
      <c r="A70" s="39" t="s">
        <v>299</v>
      </c>
      <c r="B70" s="39" t="s">
        <v>87</v>
      </c>
      <c r="C70" s="69">
        <v>0</v>
      </c>
      <c r="D70" s="69">
        <v>0</v>
      </c>
      <c r="E70" s="69">
        <v>0</v>
      </c>
      <c r="F70" s="69">
        <v>0</v>
      </c>
      <c r="G70" s="69">
        <v>0</v>
      </c>
      <c r="H70" s="69">
        <v>0</v>
      </c>
      <c r="I70" s="69">
        <v>0</v>
      </c>
      <c r="J70" s="69">
        <v>3688</v>
      </c>
      <c r="K70" s="69">
        <v>0</v>
      </c>
      <c r="L70" s="69">
        <v>5733</v>
      </c>
      <c r="M70" s="69">
        <v>0</v>
      </c>
      <c r="N70" s="69">
        <v>8853</v>
      </c>
      <c r="O70" s="69">
        <v>1064</v>
      </c>
      <c r="P70" s="69">
        <v>0</v>
      </c>
      <c r="Q70" s="69">
        <v>0</v>
      </c>
      <c r="R70" s="69">
        <v>0</v>
      </c>
      <c r="S70" s="69">
        <v>0</v>
      </c>
      <c r="T70" s="69">
        <v>0</v>
      </c>
      <c r="U70" s="69">
        <v>0</v>
      </c>
      <c r="V70" s="69">
        <v>16008</v>
      </c>
      <c r="W70" s="69">
        <v>31445</v>
      </c>
      <c r="X70" s="69">
        <v>3615</v>
      </c>
      <c r="Y70" s="69">
        <v>77</v>
      </c>
      <c r="Z70" s="69">
        <v>11347</v>
      </c>
      <c r="AA70" s="69">
        <v>0</v>
      </c>
      <c r="AB70" s="69">
        <v>0</v>
      </c>
      <c r="AC70" s="69">
        <v>17655</v>
      </c>
      <c r="AD70" s="69">
        <v>24868</v>
      </c>
      <c r="AE70" s="69">
        <v>4109</v>
      </c>
      <c r="AF70" s="69">
        <v>0</v>
      </c>
      <c r="AG70" s="69">
        <v>0</v>
      </c>
      <c r="AH70" s="69">
        <v>10212</v>
      </c>
      <c r="AI70" s="69">
        <v>24013</v>
      </c>
      <c r="AJ70" s="69">
        <v>1981</v>
      </c>
      <c r="AK70" s="69">
        <v>5517</v>
      </c>
      <c r="AL70" s="69">
        <v>30929</v>
      </c>
      <c r="AM70" s="69">
        <v>28257</v>
      </c>
      <c r="AN70" s="69">
        <v>9388</v>
      </c>
      <c r="AO70" s="69">
        <v>1</v>
      </c>
      <c r="AP70" s="69">
        <v>11689</v>
      </c>
      <c r="AQ70" s="69">
        <v>141</v>
      </c>
      <c r="AR70" s="69">
        <v>0</v>
      </c>
    </row>
    <row r="71" spans="1:44" x14ac:dyDescent="0.25">
      <c r="A71" s="39" t="s">
        <v>300</v>
      </c>
      <c r="B71" s="39" t="s">
        <v>87</v>
      </c>
      <c r="C71" s="69">
        <v>0</v>
      </c>
      <c r="D71" s="69">
        <v>0</v>
      </c>
      <c r="E71" s="69">
        <v>0</v>
      </c>
      <c r="F71" s="69">
        <v>0</v>
      </c>
      <c r="G71" s="69">
        <v>0</v>
      </c>
      <c r="H71" s="69">
        <v>0</v>
      </c>
      <c r="I71" s="69">
        <v>0</v>
      </c>
      <c r="J71" s="69">
        <v>0</v>
      </c>
      <c r="K71" s="69">
        <v>0</v>
      </c>
      <c r="L71" s="69">
        <v>0</v>
      </c>
      <c r="M71" s="69">
        <v>0</v>
      </c>
      <c r="N71" s="69">
        <v>0</v>
      </c>
      <c r="O71" s="69">
        <v>0</v>
      </c>
      <c r="P71" s="69">
        <v>0</v>
      </c>
      <c r="Q71" s="69">
        <v>0</v>
      </c>
      <c r="R71" s="69">
        <v>0</v>
      </c>
      <c r="S71" s="69">
        <v>0</v>
      </c>
      <c r="T71" s="69">
        <v>0</v>
      </c>
      <c r="U71" s="69">
        <v>313</v>
      </c>
      <c r="V71" s="69">
        <v>0</v>
      </c>
      <c r="W71" s="69">
        <v>305</v>
      </c>
      <c r="X71" s="69">
        <v>0</v>
      </c>
      <c r="Y71" s="69">
        <v>607</v>
      </c>
      <c r="Z71" s="69">
        <v>14305</v>
      </c>
      <c r="AA71" s="69">
        <v>0</v>
      </c>
      <c r="AB71" s="69">
        <v>0</v>
      </c>
      <c r="AC71" s="69">
        <v>19286</v>
      </c>
      <c r="AD71" s="69">
        <v>21714</v>
      </c>
      <c r="AE71" s="69">
        <v>17115</v>
      </c>
      <c r="AF71" s="69">
        <v>12518</v>
      </c>
      <c r="AG71" s="69">
        <v>0</v>
      </c>
      <c r="AH71" s="69">
        <v>11726</v>
      </c>
      <c r="AI71" s="69">
        <v>17535</v>
      </c>
      <c r="AJ71" s="69">
        <v>8392</v>
      </c>
      <c r="AK71" s="69">
        <v>4777</v>
      </c>
      <c r="AL71" s="69">
        <v>340</v>
      </c>
      <c r="AM71" s="69">
        <v>22662</v>
      </c>
      <c r="AN71" s="69">
        <v>35372</v>
      </c>
      <c r="AO71" s="69">
        <v>1</v>
      </c>
      <c r="AP71" s="69">
        <v>12892</v>
      </c>
      <c r="AQ71" s="69">
        <v>0</v>
      </c>
      <c r="AR71" s="69">
        <v>0</v>
      </c>
    </row>
    <row r="72" spans="1:44" x14ac:dyDescent="0.25">
      <c r="A72" s="39" t="s">
        <v>301</v>
      </c>
      <c r="B72" s="39" t="s">
        <v>87</v>
      </c>
      <c r="C72" s="69">
        <v>0</v>
      </c>
      <c r="D72" s="69">
        <v>0</v>
      </c>
      <c r="E72" s="69">
        <v>0</v>
      </c>
      <c r="F72" s="69">
        <v>0</v>
      </c>
      <c r="G72" s="69">
        <v>0</v>
      </c>
      <c r="H72" s="69">
        <v>0</v>
      </c>
      <c r="I72" s="69">
        <v>0</v>
      </c>
      <c r="J72" s="69">
        <v>0</v>
      </c>
      <c r="K72" s="69">
        <v>0</v>
      </c>
      <c r="L72" s="69">
        <v>0</v>
      </c>
      <c r="M72" s="69">
        <v>0</v>
      </c>
      <c r="N72" s="69">
        <v>0</v>
      </c>
      <c r="O72" s="69">
        <v>0</v>
      </c>
      <c r="P72" s="69">
        <v>0</v>
      </c>
      <c r="Q72" s="69">
        <v>0</v>
      </c>
      <c r="R72" s="69">
        <v>0</v>
      </c>
      <c r="S72" s="69">
        <v>0</v>
      </c>
      <c r="T72" s="69">
        <v>0</v>
      </c>
      <c r="U72" s="69">
        <v>0</v>
      </c>
      <c r="V72" s="69">
        <v>0</v>
      </c>
      <c r="W72" s="69">
        <v>0</v>
      </c>
      <c r="X72" s="69">
        <v>0</v>
      </c>
      <c r="Y72" s="69">
        <v>0</v>
      </c>
      <c r="Z72" s="69">
        <v>333</v>
      </c>
      <c r="AA72" s="69">
        <v>66</v>
      </c>
      <c r="AB72" s="69">
        <v>0</v>
      </c>
      <c r="AC72" s="69">
        <v>202</v>
      </c>
      <c r="AD72" s="69">
        <v>0</v>
      </c>
      <c r="AE72" s="69">
        <v>0</v>
      </c>
      <c r="AF72" s="69">
        <v>0</v>
      </c>
      <c r="AG72" s="69">
        <v>0</v>
      </c>
      <c r="AH72" s="69">
        <v>0</v>
      </c>
      <c r="AI72" s="69">
        <v>0</v>
      </c>
      <c r="AJ72" s="69">
        <v>0</v>
      </c>
      <c r="AK72" s="69">
        <v>0</v>
      </c>
      <c r="AL72" s="69">
        <v>0</v>
      </c>
      <c r="AM72" s="69">
        <v>0</v>
      </c>
      <c r="AN72" s="69">
        <v>0</v>
      </c>
      <c r="AO72" s="69">
        <v>0</v>
      </c>
      <c r="AP72" s="69">
        <v>0</v>
      </c>
      <c r="AQ72" s="69">
        <v>0</v>
      </c>
      <c r="AR72" s="69">
        <v>0</v>
      </c>
    </row>
    <row r="73" spans="1:44" x14ac:dyDescent="0.25">
      <c r="A73" s="39" t="s">
        <v>302</v>
      </c>
      <c r="B73" s="39" t="s">
        <v>87</v>
      </c>
      <c r="C73" s="69">
        <v>0</v>
      </c>
      <c r="D73" s="69">
        <v>0</v>
      </c>
      <c r="E73" s="69">
        <v>0</v>
      </c>
      <c r="F73" s="69">
        <v>0</v>
      </c>
      <c r="G73" s="69">
        <v>0</v>
      </c>
      <c r="H73" s="69">
        <v>0</v>
      </c>
      <c r="I73" s="69">
        <v>0</v>
      </c>
      <c r="J73" s="69">
        <v>0</v>
      </c>
      <c r="K73" s="69">
        <v>0</v>
      </c>
      <c r="L73" s="69">
        <v>0</v>
      </c>
      <c r="M73" s="69">
        <v>0</v>
      </c>
      <c r="N73" s="69">
        <v>0</v>
      </c>
      <c r="O73" s="69">
        <v>0</v>
      </c>
      <c r="P73" s="69">
        <v>0</v>
      </c>
      <c r="Q73" s="69">
        <v>0</v>
      </c>
      <c r="R73" s="69">
        <v>0</v>
      </c>
      <c r="S73" s="69">
        <v>0</v>
      </c>
      <c r="T73" s="69">
        <v>0</v>
      </c>
      <c r="U73" s="69">
        <v>0</v>
      </c>
      <c r="V73" s="69">
        <v>0</v>
      </c>
      <c r="W73" s="69">
        <v>0</v>
      </c>
      <c r="X73" s="69">
        <v>0</v>
      </c>
      <c r="Y73" s="69">
        <v>0</v>
      </c>
      <c r="Z73" s="69">
        <v>0</v>
      </c>
      <c r="AA73" s="69">
        <v>0</v>
      </c>
      <c r="AB73" s="69">
        <v>0</v>
      </c>
      <c r="AC73" s="69">
        <v>0</v>
      </c>
      <c r="AD73" s="69">
        <v>0</v>
      </c>
      <c r="AE73" s="69">
        <v>0</v>
      </c>
      <c r="AF73" s="69">
        <v>0</v>
      </c>
      <c r="AG73" s="69">
        <v>0</v>
      </c>
      <c r="AH73" s="69">
        <v>0</v>
      </c>
      <c r="AI73" s="69">
        <v>0</v>
      </c>
      <c r="AJ73" s="69">
        <v>156</v>
      </c>
      <c r="AK73" s="69">
        <v>1436</v>
      </c>
      <c r="AL73" s="69">
        <v>2019</v>
      </c>
      <c r="AM73" s="69">
        <v>924</v>
      </c>
      <c r="AN73" s="69">
        <v>2351</v>
      </c>
      <c r="AO73" s="69">
        <v>3720</v>
      </c>
      <c r="AP73" s="69">
        <v>14141</v>
      </c>
      <c r="AQ73" s="69">
        <v>3969</v>
      </c>
      <c r="AR73" s="69">
        <v>2877</v>
      </c>
    </row>
    <row r="74" spans="1:44" x14ac:dyDescent="0.25">
      <c r="A74" s="39" t="s">
        <v>303</v>
      </c>
      <c r="B74" s="39" t="s">
        <v>87</v>
      </c>
      <c r="C74" s="69">
        <v>0</v>
      </c>
      <c r="D74" s="69">
        <v>0</v>
      </c>
      <c r="E74" s="69">
        <v>0</v>
      </c>
      <c r="F74" s="69">
        <v>229</v>
      </c>
      <c r="G74" s="69">
        <v>0</v>
      </c>
      <c r="H74" s="69">
        <v>0</v>
      </c>
      <c r="I74" s="69">
        <v>0</v>
      </c>
      <c r="J74" s="69">
        <v>0</v>
      </c>
      <c r="K74" s="69">
        <v>930</v>
      </c>
      <c r="L74" s="69">
        <v>0</v>
      </c>
      <c r="M74" s="69">
        <v>0</v>
      </c>
      <c r="N74" s="69">
        <v>0</v>
      </c>
      <c r="O74" s="69">
        <v>0</v>
      </c>
      <c r="P74" s="69">
        <v>0</v>
      </c>
      <c r="Q74" s="69">
        <v>0</v>
      </c>
      <c r="R74" s="69">
        <v>0</v>
      </c>
      <c r="S74" s="69">
        <v>0</v>
      </c>
      <c r="T74" s="69">
        <v>614</v>
      </c>
      <c r="U74" s="69">
        <v>162</v>
      </c>
      <c r="V74" s="69">
        <v>0</v>
      </c>
      <c r="W74" s="69">
        <v>0</v>
      </c>
      <c r="X74" s="69">
        <v>0</v>
      </c>
      <c r="Y74" s="69">
        <v>0</v>
      </c>
      <c r="Z74" s="69">
        <v>0</v>
      </c>
      <c r="AA74" s="69">
        <v>0</v>
      </c>
      <c r="AB74" s="69">
        <v>0</v>
      </c>
      <c r="AC74" s="69">
        <v>0</v>
      </c>
      <c r="AD74" s="69">
        <v>0</v>
      </c>
      <c r="AE74" s="69">
        <v>0</v>
      </c>
      <c r="AF74" s="69">
        <v>0</v>
      </c>
      <c r="AG74" s="69">
        <v>0</v>
      </c>
      <c r="AH74" s="69">
        <v>0</v>
      </c>
      <c r="AI74" s="69">
        <v>0</v>
      </c>
      <c r="AJ74" s="69">
        <v>0</v>
      </c>
      <c r="AK74" s="69">
        <v>0</v>
      </c>
      <c r="AL74" s="69">
        <v>0</v>
      </c>
      <c r="AM74" s="69">
        <v>0</v>
      </c>
      <c r="AN74" s="69">
        <v>0</v>
      </c>
      <c r="AO74" s="69">
        <v>0</v>
      </c>
      <c r="AP74" s="69">
        <v>0</v>
      </c>
      <c r="AQ74" s="69">
        <v>0</v>
      </c>
      <c r="AR74" s="69">
        <v>0</v>
      </c>
    </row>
    <row r="75" spans="1:44" ht="25.5" x14ac:dyDescent="0.25">
      <c r="A75" s="39" t="s">
        <v>304</v>
      </c>
      <c r="B75" s="39" t="s">
        <v>87</v>
      </c>
      <c r="C75" s="69">
        <v>0</v>
      </c>
      <c r="D75" s="69">
        <v>0</v>
      </c>
      <c r="E75" s="69">
        <v>0</v>
      </c>
      <c r="F75" s="69">
        <v>0</v>
      </c>
      <c r="G75" s="69">
        <v>0</v>
      </c>
      <c r="H75" s="69">
        <v>0</v>
      </c>
      <c r="I75" s="69">
        <v>0</v>
      </c>
      <c r="J75" s="69">
        <v>0</v>
      </c>
      <c r="K75" s="69">
        <v>0</v>
      </c>
      <c r="L75" s="69">
        <v>0</v>
      </c>
      <c r="M75" s="69">
        <v>0</v>
      </c>
      <c r="N75" s="69">
        <v>0</v>
      </c>
      <c r="O75" s="69">
        <v>0</v>
      </c>
      <c r="P75" s="69">
        <v>114</v>
      </c>
      <c r="Q75" s="69">
        <v>366</v>
      </c>
      <c r="R75" s="69">
        <v>51</v>
      </c>
      <c r="S75" s="69">
        <v>643</v>
      </c>
      <c r="T75" s="69">
        <v>64</v>
      </c>
      <c r="U75" s="69">
        <v>0</v>
      </c>
      <c r="V75" s="69">
        <v>0</v>
      </c>
      <c r="W75" s="69">
        <v>0</v>
      </c>
      <c r="X75" s="69">
        <v>85</v>
      </c>
      <c r="Y75" s="69">
        <v>0</v>
      </c>
      <c r="Z75" s="69">
        <v>0</v>
      </c>
      <c r="AA75" s="69">
        <v>0</v>
      </c>
      <c r="AB75" s="69">
        <v>0</v>
      </c>
      <c r="AC75" s="69">
        <v>0</v>
      </c>
      <c r="AD75" s="69">
        <v>0</v>
      </c>
      <c r="AE75" s="69">
        <v>0</v>
      </c>
      <c r="AF75" s="69">
        <v>0</v>
      </c>
      <c r="AG75" s="69">
        <v>1314</v>
      </c>
      <c r="AH75" s="69">
        <v>0</v>
      </c>
      <c r="AI75" s="69">
        <v>0</v>
      </c>
      <c r="AJ75" s="69">
        <v>0</v>
      </c>
      <c r="AK75" s="69">
        <v>0</v>
      </c>
      <c r="AL75" s="69">
        <v>0</v>
      </c>
      <c r="AM75" s="69">
        <v>114</v>
      </c>
      <c r="AN75" s="69">
        <v>46</v>
      </c>
      <c r="AO75" s="69">
        <v>0</v>
      </c>
      <c r="AP75" s="69">
        <v>0</v>
      </c>
      <c r="AQ75" s="69">
        <v>0</v>
      </c>
      <c r="AR75" s="69">
        <v>0</v>
      </c>
    </row>
    <row r="76" spans="1:44" ht="25.5" x14ac:dyDescent="0.25">
      <c r="A76" s="39" t="s">
        <v>305</v>
      </c>
      <c r="B76" s="39" t="s">
        <v>87</v>
      </c>
      <c r="C76" s="69">
        <v>0</v>
      </c>
      <c r="D76" s="69">
        <v>0</v>
      </c>
      <c r="E76" s="69">
        <v>0</v>
      </c>
      <c r="F76" s="69">
        <v>0</v>
      </c>
      <c r="G76" s="69">
        <v>0</v>
      </c>
      <c r="H76" s="69">
        <v>0</v>
      </c>
      <c r="I76" s="69">
        <v>0</v>
      </c>
      <c r="J76" s="69">
        <v>0</v>
      </c>
      <c r="K76" s="69">
        <v>0</v>
      </c>
      <c r="L76" s="69">
        <v>0</v>
      </c>
      <c r="M76" s="69">
        <v>0</v>
      </c>
      <c r="N76" s="69">
        <v>0</v>
      </c>
      <c r="O76" s="69">
        <v>0</v>
      </c>
      <c r="P76" s="69">
        <v>0</v>
      </c>
      <c r="Q76" s="69">
        <v>0</v>
      </c>
      <c r="R76" s="69">
        <v>0</v>
      </c>
      <c r="S76" s="69">
        <v>0</v>
      </c>
      <c r="T76" s="69">
        <v>0</v>
      </c>
      <c r="U76" s="69">
        <v>0</v>
      </c>
      <c r="V76" s="69">
        <v>0</v>
      </c>
      <c r="W76" s="69">
        <v>0</v>
      </c>
      <c r="X76" s="69">
        <v>0</v>
      </c>
      <c r="Y76" s="69">
        <v>0</v>
      </c>
      <c r="Z76" s="69">
        <v>0</v>
      </c>
      <c r="AA76" s="69">
        <v>0</v>
      </c>
      <c r="AB76" s="69">
        <v>0</v>
      </c>
      <c r="AC76" s="69">
        <v>0</v>
      </c>
      <c r="AD76" s="69">
        <v>0</v>
      </c>
      <c r="AE76" s="69">
        <v>0</v>
      </c>
      <c r="AF76" s="69">
        <v>0</v>
      </c>
      <c r="AG76" s="69">
        <v>0</v>
      </c>
      <c r="AH76" s="69">
        <v>0</v>
      </c>
      <c r="AI76" s="69">
        <v>0</v>
      </c>
      <c r="AJ76" s="69">
        <v>0</v>
      </c>
      <c r="AK76" s="69">
        <v>0</v>
      </c>
      <c r="AL76" s="69">
        <v>1162</v>
      </c>
      <c r="AM76" s="69">
        <v>0</v>
      </c>
      <c r="AN76" s="69">
        <v>924</v>
      </c>
      <c r="AO76" s="69">
        <v>384</v>
      </c>
      <c r="AP76" s="69">
        <v>0</v>
      </c>
      <c r="AQ76" s="69">
        <v>0</v>
      </c>
      <c r="AR76" s="69">
        <v>0</v>
      </c>
    </row>
    <row r="77" spans="1:44" x14ac:dyDescent="0.25">
      <c r="A77" s="39" t="s">
        <v>306</v>
      </c>
      <c r="B77" s="39" t="s">
        <v>87</v>
      </c>
      <c r="C77" s="69">
        <v>0</v>
      </c>
      <c r="D77" s="69">
        <v>0</v>
      </c>
      <c r="E77" s="69">
        <v>0</v>
      </c>
      <c r="F77" s="69">
        <v>0</v>
      </c>
      <c r="G77" s="69">
        <v>0</v>
      </c>
      <c r="H77" s="69">
        <v>0</v>
      </c>
      <c r="I77" s="69">
        <v>0</v>
      </c>
      <c r="J77" s="69">
        <v>0</v>
      </c>
      <c r="K77" s="69">
        <v>0</v>
      </c>
      <c r="L77" s="69">
        <v>0</v>
      </c>
      <c r="M77" s="69">
        <v>0</v>
      </c>
      <c r="N77" s="69">
        <v>0</v>
      </c>
      <c r="O77" s="69">
        <v>0</v>
      </c>
      <c r="P77" s="69">
        <v>0</v>
      </c>
      <c r="Q77" s="69">
        <v>0</v>
      </c>
      <c r="R77" s="69">
        <v>0</v>
      </c>
      <c r="S77" s="69">
        <v>0</v>
      </c>
      <c r="T77" s="69">
        <v>0</v>
      </c>
      <c r="U77" s="69">
        <v>0</v>
      </c>
      <c r="V77" s="69">
        <v>0</v>
      </c>
      <c r="W77" s="69">
        <v>0</v>
      </c>
      <c r="X77" s="69">
        <v>0</v>
      </c>
      <c r="Y77" s="69">
        <v>0</v>
      </c>
      <c r="Z77" s="69">
        <v>0</v>
      </c>
      <c r="AA77" s="69">
        <v>0</v>
      </c>
      <c r="AB77" s="69">
        <v>0</v>
      </c>
      <c r="AC77" s="69">
        <v>0</v>
      </c>
      <c r="AD77" s="69">
        <v>0</v>
      </c>
      <c r="AE77" s="69">
        <v>0</v>
      </c>
      <c r="AF77" s="69">
        <v>0</v>
      </c>
      <c r="AG77" s="69">
        <v>0</v>
      </c>
      <c r="AH77" s="69">
        <v>0</v>
      </c>
      <c r="AI77" s="69">
        <v>2</v>
      </c>
      <c r="AJ77" s="69">
        <v>15</v>
      </c>
      <c r="AK77" s="69">
        <v>12</v>
      </c>
      <c r="AL77" s="69">
        <v>9</v>
      </c>
      <c r="AM77" s="69">
        <v>0</v>
      </c>
      <c r="AN77" s="69">
        <v>0</v>
      </c>
      <c r="AO77" s="69">
        <v>0</v>
      </c>
      <c r="AP77" s="69">
        <v>0</v>
      </c>
      <c r="AQ77" s="69">
        <v>202</v>
      </c>
      <c r="AR77" s="69">
        <v>162</v>
      </c>
    </row>
    <row r="78" spans="1:44" x14ac:dyDescent="0.25">
      <c r="A78" s="39" t="s">
        <v>245</v>
      </c>
      <c r="B78" s="39" t="s">
        <v>87</v>
      </c>
      <c r="C78" s="69">
        <v>0</v>
      </c>
      <c r="D78" s="69">
        <v>0</v>
      </c>
      <c r="E78" s="69">
        <v>0</v>
      </c>
      <c r="F78" s="69">
        <v>0</v>
      </c>
      <c r="G78" s="69">
        <v>0</v>
      </c>
      <c r="H78" s="69">
        <v>0</v>
      </c>
      <c r="I78" s="69">
        <v>0</v>
      </c>
      <c r="J78" s="69">
        <v>0</v>
      </c>
      <c r="K78" s="69">
        <v>0</v>
      </c>
      <c r="L78" s="69">
        <v>0</v>
      </c>
      <c r="M78" s="69">
        <v>19</v>
      </c>
      <c r="N78" s="69">
        <v>89</v>
      </c>
      <c r="O78" s="69">
        <v>0</v>
      </c>
      <c r="P78" s="69">
        <v>0</v>
      </c>
      <c r="Q78" s="69">
        <v>0</v>
      </c>
      <c r="R78" s="69">
        <v>0</v>
      </c>
      <c r="S78" s="69">
        <v>0</v>
      </c>
      <c r="T78" s="69">
        <v>0</v>
      </c>
      <c r="U78" s="69">
        <v>547</v>
      </c>
      <c r="V78" s="69">
        <v>0</v>
      </c>
      <c r="W78" s="69">
        <v>0</v>
      </c>
      <c r="X78" s="69">
        <v>47</v>
      </c>
      <c r="Y78" s="69">
        <v>152</v>
      </c>
      <c r="Z78" s="69">
        <v>16</v>
      </c>
      <c r="AA78" s="69">
        <v>8</v>
      </c>
      <c r="AB78" s="69">
        <v>84</v>
      </c>
      <c r="AC78" s="69">
        <v>968</v>
      </c>
      <c r="AD78" s="69">
        <v>0</v>
      </c>
      <c r="AE78" s="69">
        <v>0</v>
      </c>
      <c r="AF78" s="69">
        <v>31</v>
      </c>
      <c r="AG78" s="69">
        <v>8</v>
      </c>
      <c r="AH78" s="69">
        <v>20</v>
      </c>
      <c r="AI78" s="69">
        <v>40</v>
      </c>
      <c r="AJ78" s="69">
        <v>29</v>
      </c>
      <c r="AK78" s="69">
        <v>14</v>
      </c>
      <c r="AL78" s="69">
        <v>132</v>
      </c>
      <c r="AM78" s="69">
        <v>0</v>
      </c>
      <c r="AN78" s="69">
        <v>78</v>
      </c>
      <c r="AO78" s="69">
        <v>57</v>
      </c>
      <c r="AP78" s="69">
        <v>324</v>
      </c>
      <c r="AQ78" s="69">
        <v>124</v>
      </c>
      <c r="AR78" s="69">
        <v>293</v>
      </c>
    </row>
    <row r="79" spans="1:44" x14ac:dyDescent="0.25">
      <c r="A79" s="39" t="s">
        <v>240</v>
      </c>
      <c r="B79" s="39" t="s">
        <v>87</v>
      </c>
      <c r="C79" s="69">
        <v>0</v>
      </c>
      <c r="D79" s="69">
        <v>0</v>
      </c>
      <c r="E79" s="69">
        <v>0</v>
      </c>
      <c r="F79" s="69">
        <v>0</v>
      </c>
      <c r="G79" s="69">
        <v>0</v>
      </c>
      <c r="H79" s="69">
        <v>0</v>
      </c>
      <c r="I79" s="69">
        <v>0</v>
      </c>
      <c r="J79" s="69">
        <v>0</v>
      </c>
      <c r="K79" s="69">
        <v>0</v>
      </c>
      <c r="L79" s="69">
        <v>0</v>
      </c>
      <c r="M79" s="69">
        <v>0</v>
      </c>
      <c r="N79" s="69">
        <v>0</v>
      </c>
      <c r="O79" s="69">
        <v>7</v>
      </c>
      <c r="P79" s="69">
        <v>0</v>
      </c>
      <c r="Q79" s="69">
        <v>0</v>
      </c>
      <c r="R79" s="69">
        <v>0</v>
      </c>
      <c r="S79" s="69">
        <v>0</v>
      </c>
      <c r="T79" s="69">
        <v>0</v>
      </c>
      <c r="U79" s="69">
        <v>0</v>
      </c>
      <c r="V79" s="69">
        <v>0</v>
      </c>
      <c r="W79" s="69">
        <v>0</v>
      </c>
      <c r="X79" s="69">
        <v>0</v>
      </c>
      <c r="Y79" s="69">
        <v>147</v>
      </c>
      <c r="Z79" s="69">
        <v>0</v>
      </c>
      <c r="AA79" s="69">
        <v>0</v>
      </c>
      <c r="AB79" s="69">
        <v>0</v>
      </c>
      <c r="AC79" s="69">
        <v>0</v>
      </c>
      <c r="AD79" s="69">
        <v>0</v>
      </c>
      <c r="AE79" s="69">
        <v>0</v>
      </c>
      <c r="AF79" s="69">
        <v>3694</v>
      </c>
      <c r="AG79" s="69">
        <v>4626</v>
      </c>
      <c r="AH79" s="69">
        <v>110</v>
      </c>
      <c r="AI79" s="69">
        <v>0</v>
      </c>
      <c r="AJ79" s="69">
        <v>0</v>
      </c>
      <c r="AK79" s="69">
        <v>79</v>
      </c>
      <c r="AL79" s="69">
        <v>0</v>
      </c>
      <c r="AM79" s="69">
        <v>175</v>
      </c>
      <c r="AN79" s="69">
        <v>0</v>
      </c>
      <c r="AO79" s="69">
        <v>0</v>
      </c>
      <c r="AP79" s="69">
        <v>34</v>
      </c>
      <c r="AQ79" s="69">
        <v>0</v>
      </c>
      <c r="AR79" s="69">
        <v>0</v>
      </c>
    </row>
    <row r="80" spans="1:44" x14ac:dyDescent="0.25">
      <c r="A80" s="39" t="s">
        <v>241</v>
      </c>
      <c r="B80" s="39" t="s">
        <v>87</v>
      </c>
      <c r="C80" s="69">
        <v>0</v>
      </c>
      <c r="D80" s="69">
        <v>0</v>
      </c>
      <c r="E80" s="69">
        <v>0</v>
      </c>
      <c r="F80" s="69">
        <v>0</v>
      </c>
      <c r="G80" s="69">
        <v>0</v>
      </c>
      <c r="H80" s="69">
        <v>0</v>
      </c>
      <c r="I80" s="69">
        <v>0</v>
      </c>
      <c r="J80" s="69">
        <v>0</v>
      </c>
      <c r="K80" s="69">
        <v>0</v>
      </c>
      <c r="L80" s="69">
        <v>288</v>
      </c>
      <c r="M80" s="69">
        <v>406</v>
      </c>
      <c r="N80" s="69">
        <v>84</v>
      </c>
      <c r="O80" s="69">
        <v>275</v>
      </c>
      <c r="P80" s="69">
        <v>17342</v>
      </c>
      <c r="Q80" s="69">
        <v>1679</v>
      </c>
      <c r="R80" s="69">
        <v>0</v>
      </c>
      <c r="S80" s="69">
        <v>0</v>
      </c>
      <c r="T80" s="69">
        <v>0</v>
      </c>
      <c r="U80" s="69">
        <v>4</v>
      </c>
      <c r="V80" s="69">
        <v>0</v>
      </c>
      <c r="W80" s="69">
        <v>41</v>
      </c>
      <c r="X80" s="69">
        <v>3071</v>
      </c>
      <c r="Y80" s="69">
        <v>0</v>
      </c>
      <c r="Z80" s="69">
        <v>0</v>
      </c>
      <c r="AA80" s="69">
        <v>0</v>
      </c>
      <c r="AB80" s="69">
        <v>905</v>
      </c>
      <c r="AC80" s="69">
        <v>0</v>
      </c>
      <c r="AD80" s="69">
        <v>3028</v>
      </c>
      <c r="AE80" s="69">
        <v>3224</v>
      </c>
      <c r="AF80" s="69">
        <v>598</v>
      </c>
      <c r="AG80" s="69">
        <v>321</v>
      </c>
      <c r="AH80" s="69">
        <v>367</v>
      </c>
      <c r="AI80" s="69">
        <v>433</v>
      </c>
      <c r="AJ80" s="69">
        <v>585</v>
      </c>
      <c r="AK80" s="69">
        <v>16930</v>
      </c>
      <c r="AL80" s="69">
        <v>11194</v>
      </c>
      <c r="AM80" s="69">
        <v>977</v>
      </c>
      <c r="AN80" s="69">
        <v>559</v>
      </c>
      <c r="AO80" s="69">
        <v>1631</v>
      </c>
      <c r="AP80" s="69">
        <v>339</v>
      </c>
      <c r="AQ80" s="69">
        <v>0</v>
      </c>
      <c r="AR80" s="69">
        <v>163</v>
      </c>
    </row>
    <row r="81" spans="1:44" x14ac:dyDescent="0.25">
      <c r="A81" s="39" t="s">
        <v>242</v>
      </c>
      <c r="B81" s="39" t="s">
        <v>87</v>
      </c>
      <c r="C81" s="69">
        <v>0</v>
      </c>
      <c r="D81" s="69">
        <v>271</v>
      </c>
      <c r="E81" s="69">
        <v>359</v>
      </c>
      <c r="F81" s="69">
        <v>189</v>
      </c>
      <c r="G81" s="69">
        <v>37</v>
      </c>
      <c r="H81" s="69">
        <v>24</v>
      </c>
      <c r="I81" s="69">
        <v>1</v>
      </c>
      <c r="J81" s="69">
        <v>96</v>
      </c>
      <c r="K81" s="69">
        <v>437</v>
      </c>
      <c r="L81" s="69">
        <v>0</v>
      </c>
      <c r="M81" s="69">
        <v>2</v>
      </c>
      <c r="N81" s="69">
        <v>12</v>
      </c>
      <c r="O81" s="69">
        <v>5</v>
      </c>
      <c r="P81" s="69">
        <v>0</v>
      </c>
      <c r="Q81" s="69">
        <v>3</v>
      </c>
      <c r="R81" s="69">
        <v>0</v>
      </c>
      <c r="S81" s="69">
        <v>0</v>
      </c>
      <c r="T81" s="69">
        <v>0</v>
      </c>
      <c r="U81" s="69">
        <v>0</v>
      </c>
      <c r="V81" s="69">
        <v>0</v>
      </c>
      <c r="W81" s="69">
        <v>0</v>
      </c>
      <c r="X81" s="69">
        <v>0</v>
      </c>
      <c r="Y81" s="69">
        <v>0</v>
      </c>
      <c r="Z81" s="69">
        <v>0</v>
      </c>
      <c r="AA81" s="69">
        <v>0</v>
      </c>
      <c r="AB81" s="69">
        <v>0</v>
      </c>
      <c r="AC81" s="69">
        <v>0</v>
      </c>
      <c r="AD81" s="69">
        <v>0</v>
      </c>
      <c r="AE81" s="69">
        <v>0</v>
      </c>
      <c r="AF81" s="69">
        <v>0</v>
      </c>
      <c r="AG81" s="69">
        <v>0</v>
      </c>
      <c r="AH81" s="69">
        <v>0</v>
      </c>
      <c r="AI81" s="69">
        <v>0</v>
      </c>
      <c r="AJ81" s="69">
        <v>0</v>
      </c>
      <c r="AK81" s="69">
        <v>0</v>
      </c>
      <c r="AL81" s="69">
        <v>0</v>
      </c>
      <c r="AM81" s="69">
        <v>0</v>
      </c>
      <c r="AN81" s="69">
        <v>0</v>
      </c>
      <c r="AO81" s="69">
        <v>0</v>
      </c>
      <c r="AP81" s="69">
        <v>0</v>
      </c>
      <c r="AQ81" s="69">
        <v>0</v>
      </c>
      <c r="AR81" s="69">
        <v>0</v>
      </c>
    </row>
    <row r="82" spans="1:44" x14ac:dyDescent="0.25">
      <c r="A82" s="39" t="s">
        <v>244</v>
      </c>
      <c r="B82" s="39" t="s">
        <v>87</v>
      </c>
      <c r="C82" s="69">
        <v>0</v>
      </c>
      <c r="D82" s="69">
        <v>0</v>
      </c>
      <c r="E82" s="69">
        <v>0</v>
      </c>
      <c r="F82" s="69">
        <v>87</v>
      </c>
      <c r="G82" s="69">
        <v>887</v>
      </c>
      <c r="H82" s="69">
        <v>0</v>
      </c>
      <c r="I82" s="69">
        <v>0</v>
      </c>
      <c r="J82" s="69">
        <v>0</v>
      </c>
      <c r="K82" s="69">
        <v>0</v>
      </c>
      <c r="L82" s="69">
        <v>682</v>
      </c>
      <c r="M82" s="69">
        <v>4022</v>
      </c>
      <c r="N82" s="69">
        <v>12044</v>
      </c>
      <c r="O82" s="69">
        <v>10086</v>
      </c>
      <c r="P82" s="69">
        <v>9092</v>
      </c>
      <c r="Q82" s="69">
        <v>9876</v>
      </c>
      <c r="R82" s="69">
        <v>6288</v>
      </c>
      <c r="S82" s="69">
        <v>16913</v>
      </c>
      <c r="T82" s="69">
        <v>17806</v>
      </c>
      <c r="U82" s="69">
        <v>20217</v>
      </c>
      <c r="V82" s="69">
        <v>24665</v>
      </c>
      <c r="W82" s="69">
        <v>21214</v>
      </c>
      <c r="X82" s="69">
        <v>339</v>
      </c>
      <c r="Y82" s="69">
        <v>375</v>
      </c>
      <c r="Z82" s="69">
        <v>391</v>
      </c>
      <c r="AA82" s="69">
        <v>0</v>
      </c>
      <c r="AB82" s="69">
        <v>410</v>
      </c>
      <c r="AC82" s="69">
        <v>1986</v>
      </c>
      <c r="AD82" s="69">
        <v>145</v>
      </c>
      <c r="AE82" s="69">
        <v>79</v>
      </c>
      <c r="AF82" s="69">
        <v>1539</v>
      </c>
      <c r="AG82" s="69">
        <v>3839</v>
      </c>
      <c r="AH82" s="69">
        <v>5942</v>
      </c>
      <c r="AI82" s="69">
        <v>0</v>
      </c>
      <c r="AJ82" s="69">
        <v>2966</v>
      </c>
      <c r="AK82" s="69">
        <v>1339</v>
      </c>
      <c r="AL82" s="69">
        <v>1801</v>
      </c>
      <c r="AM82" s="69">
        <v>498</v>
      </c>
      <c r="AN82" s="69">
        <v>761</v>
      </c>
      <c r="AO82" s="69">
        <v>6661</v>
      </c>
      <c r="AP82" s="69">
        <v>5484</v>
      </c>
      <c r="AQ82" s="69">
        <v>32</v>
      </c>
      <c r="AR82" s="69">
        <v>0</v>
      </c>
    </row>
    <row r="83" spans="1:44" x14ac:dyDescent="0.25">
      <c r="A83" s="39" t="s">
        <v>243</v>
      </c>
      <c r="B83" s="39" t="s">
        <v>87</v>
      </c>
      <c r="C83" s="69">
        <v>0</v>
      </c>
      <c r="D83" s="69">
        <v>0</v>
      </c>
      <c r="E83" s="69">
        <v>0</v>
      </c>
      <c r="F83" s="69">
        <v>0</v>
      </c>
      <c r="G83" s="69">
        <v>0</v>
      </c>
      <c r="H83" s="69">
        <v>0</v>
      </c>
      <c r="I83" s="69">
        <v>0</v>
      </c>
      <c r="J83" s="69">
        <v>0</v>
      </c>
      <c r="K83" s="69">
        <v>2</v>
      </c>
      <c r="L83" s="69">
        <v>0</v>
      </c>
      <c r="M83" s="69">
        <v>2840</v>
      </c>
      <c r="N83" s="69">
        <v>1196</v>
      </c>
      <c r="O83" s="69">
        <v>0</v>
      </c>
      <c r="P83" s="69">
        <v>0</v>
      </c>
      <c r="Q83" s="69">
        <v>0</v>
      </c>
      <c r="R83" s="69">
        <v>0</v>
      </c>
      <c r="S83" s="69">
        <v>0</v>
      </c>
      <c r="T83" s="69">
        <v>0</v>
      </c>
      <c r="U83" s="69">
        <v>0</v>
      </c>
      <c r="V83" s="69">
        <v>0</v>
      </c>
      <c r="W83" s="69">
        <v>0</v>
      </c>
      <c r="X83" s="69">
        <v>1</v>
      </c>
      <c r="Y83" s="69">
        <v>0</v>
      </c>
      <c r="Z83" s="69">
        <v>0</v>
      </c>
      <c r="AA83" s="69">
        <v>0</v>
      </c>
      <c r="AB83" s="69">
        <v>107</v>
      </c>
      <c r="AC83" s="69">
        <v>0</v>
      </c>
      <c r="AD83" s="69">
        <v>0</v>
      </c>
      <c r="AE83" s="69">
        <v>5443</v>
      </c>
      <c r="AF83" s="69">
        <v>0</v>
      </c>
      <c r="AG83" s="69">
        <v>0</v>
      </c>
      <c r="AH83" s="69">
        <v>5166</v>
      </c>
      <c r="AI83" s="69">
        <v>0</v>
      </c>
      <c r="AJ83" s="69">
        <v>0</v>
      </c>
      <c r="AK83" s="69">
        <v>0</v>
      </c>
      <c r="AL83" s="69">
        <v>0</v>
      </c>
      <c r="AM83" s="69">
        <v>0</v>
      </c>
      <c r="AN83" s="69">
        <v>158</v>
      </c>
      <c r="AO83" s="69">
        <v>5017</v>
      </c>
      <c r="AP83" s="69">
        <v>0</v>
      </c>
      <c r="AQ83" s="69">
        <v>0</v>
      </c>
      <c r="AR83" s="69">
        <v>0</v>
      </c>
    </row>
    <row r="84" spans="1:44" x14ac:dyDescent="0.25">
      <c r="A84" s="39" t="s">
        <v>307</v>
      </c>
      <c r="B84" s="39" t="s">
        <v>87</v>
      </c>
      <c r="C84" s="69">
        <v>0</v>
      </c>
      <c r="D84" s="69">
        <v>0</v>
      </c>
      <c r="E84" s="69">
        <v>0</v>
      </c>
      <c r="F84" s="69">
        <v>0</v>
      </c>
      <c r="G84" s="69">
        <v>0</v>
      </c>
      <c r="H84" s="69">
        <v>0</v>
      </c>
      <c r="I84" s="69">
        <v>0</v>
      </c>
      <c r="J84" s="69">
        <v>0</v>
      </c>
      <c r="K84" s="69">
        <v>48</v>
      </c>
      <c r="L84" s="69">
        <v>128</v>
      </c>
      <c r="M84" s="69">
        <v>597</v>
      </c>
      <c r="N84" s="69">
        <v>1580</v>
      </c>
      <c r="O84" s="69">
        <v>232</v>
      </c>
      <c r="P84" s="69">
        <v>0</v>
      </c>
      <c r="Q84" s="69">
        <v>399</v>
      </c>
      <c r="R84" s="69">
        <v>162</v>
      </c>
      <c r="S84" s="69">
        <v>298</v>
      </c>
      <c r="T84" s="69">
        <v>1416</v>
      </c>
      <c r="U84" s="69">
        <v>1823</v>
      </c>
      <c r="V84" s="69">
        <v>1155</v>
      </c>
      <c r="W84" s="69">
        <v>3557</v>
      </c>
      <c r="X84" s="69">
        <v>1189</v>
      </c>
      <c r="Y84" s="69">
        <v>0</v>
      </c>
      <c r="Z84" s="69">
        <v>836</v>
      </c>
      <c r="AA84" s="69">
        <v>0</v>
      </c>
      <c r="AB84" s="69">
        <v>331</v>
      </c>
      <c r="AC84" s="69">
        <v>748</v>
      </c>
      <c r="AD84" s="69">
        <v>861</v>
      </c>
      <c r="AE84" s="69">
        <v>0</v>
      </c>
      <c r="AF84" s="69">
        <v>0</v>
      </c>
      <c r="AG84" s="69">
        <v>0</v>
      </c>
      <c r="AH84" s="69">
        <v>2066</v>
      </c>
      <c r="AI84" s="69">
        <v>0</v>
      </c>
      <c r="AJ84" s="69">
        <v>0</v>
      </c>
      <c r="AK84" s="69">
        <v>9631</v>
      </c>
      <c r="AL84" s="69">
        <v>46</v>
      </c>
      <c r="AM84" s="69">
        <v>692</v>
      </c>
      <c r="AN84" s="69">
        <v>43</v>
      </c>
      <c r="AO84" s="69">
        <v>15</v>
      </c>
      <c r="AP84" s="69">
        <v>25</v>
      </c>
      <c r="AQ84" s="69">
        <v>47</v>
      </c>
      <c r="AR84" s="69">
        <v>231</v>
      </c>
    </row>
    <row r="85" spans="1:44" x14ac:dyDescent="0.25">
      <c r="A85" s="39" t="s">
        <v>308</v>
      </c>
      <c r="B85" s="39" t="s">
        <v>87</v>
      </c>
      <c r="C85" s="69">
        <v>0</v>
      </c>
      <c r="D85" s="69">
        <v>0</v>
      </c>
      <c r="E85" s="69">
        <v>0</v>
      </c>
      <c r="F85" s="69">
        <v>0</v>
      </c>
      <c r="G85" s="69">
        <v>0</v>
      </c>
      <c r="H85" s="69">
        <v>0</v>
      </c>
      <c r="I85" s="69">
        <v>0</v>
      </c>
      <c r="J85" s="69">
        <v>0</v>
      </c>
      <c r="K85" s="69">
        <v>0</v>
      </c>
      <c r="L85" s="69">
        <v>0</v>
      </c>
      <c r="M85" s="69">
        <v>7103</v>
      </c>
      <c r="N85" s="69">
        <v>3163</v>
      </c>
      <c r="O85" s="69">
        <v>0</v>
      </c>
      <c r="P85" s="69">
        <v>0</v>
      </c>
      <c r="Q85" s="69">
        <v>0</v>
      </c>
      <c r="R85" s="69">
        <v>0</v>
      </c>
      <c r="S85" s="69">
        <v>0</v>
      </c>
      <c r="T85" s="69">
        <v>0</v>
      </c>
      <c r="U85" s="69">
        <v>0</v>
      </c>
      <c r="V85" s="69">
        <v>0</v>
      </c>
      <c r="W85" s="69">
        <v>4503</v>
      </c>
      <c r="X85" s="69">
        <v>0</v>
      </c>
      <c r="Y85" s="69">
        <v>0</v>
      </c>
      <c r="Z85" s="69">
        <v>0</v>
      </c>
      <c r="AA85" s="69">
        <v>2043</v>
      </c>
      <c r="AB85" s="69">
        <v>2234</v>
      </c>
      <c r="AC85" s="69">
        <v>1470</v>
      </c>
      <c r="AD85" s="69">
        <v>0</v>
      </c>
      <c r="AE85" s="69">
        <v>0</v>
      </c>
      <c r="AF85" s="69">
        <v>22344</v>
      </c>
      <c r="AG85" s="69">
        <v>0</v>
      </c>
      <c r="AH85" s="69">
        <v>157611</v>
      </c>
      <c r="AI85" s="69">
        <v>0</v>
      </c>
      <c r="AJ85" s="69">
        <v>0</v>
      </c>
      <c r="AK85" s="69">
        <v>233</v>
      </c>
      <c r="AL85" s="69">
        <v>0</v>
      </c>
      <c r="AM85" s="69">
        <v>0</v>
      </c>
      <c r="AN85" s="69">
        <v>588</v>
      </c>
      <c r="AO85" s="69">
        <v>402</v>
      </c>
      <c r="AP85" s="69">
        <v>108</v>
      </c>
      <c r="AQ85" s="69">
        <v>0</v>
      </c>
      <c r="AR85" s="69">
        <v>201</v>
      </c>
    </row>
    <row r="86" spans="1:44" x14ac:dyDescent="0.25">
      <c r="A86" s="39" t="s">
        <v>309</v>
      </c>
      <c r="B86" s="39" t="s">
        <v>87</v>
      </c>
      <c r="C86" s="69">
        <v>0</v>
      </c>
      <c r="D86" s="69">
        <v>0</v>
      </c>
      <c r="E86" s="69">
        <v>0</v>
      </c>
      <c r="F86" s="69">
        <v>0</v>
      </c>
      <c r="G86" s="69">
        <v>0</v>
      </c>
      <c r="H86" s="69">
        <v>0</v>
      </c>
      <c r="I86" s="69">
        <v>0</v>
      </c>
      <c r="J86" s="69">
        <v>0</v>
      </c>
      <c r="K86" s="69">
        <v>0</v>
      </c>
      <c r="L86" s="69">
        <v>0</v>
      </c>
      <c r="M86" s="69">
        <v>0</v>
      </c>
      <c r="N86" s="69">
        <v>0</v>
      </c>
      <c r="O86" s="69">
        <v>0</v>
      </c>
      <c r="P86" s="69">
        <v>0</v>
      </c>
      <c r="Q86" s="69">
        <v>0</v>
      </c>
      <c r="R86" s="69">
        <v>0</v>
      </c>
      <c r="S86" s="69">
        <v>0</v>
      </c>
      <c r="T86" s="69">
        <v>0</v>
      </c>
      <c r="U86" s="69">
        <v>0</v>
      </c>
      <c r="V86" s="69">
        <v>0</v>
      </c>
      <c r="W86" s="69">
        <v>0</v>
      </c>
      <c r="X86" s="69">
        <v>0</v>
      </c>
      <c r="Y86" s="69">
        <v>0</v>
      </c>
      <c r="Z86" s="69">
        <v>0</v>
      </c>
      <c r="AA86" s="69">
        <v>0</v>
      </c>
      <c r="AB86" s="69">
        <v>0</v>
      </c>
      <c r="AC86" s="69">
        <v>0</v>
      </c>
      <c r="AD86" s="69">
        <v>0</v>
      </c>
      <c r="AE86" s="69">
        <v>0</v>
      </c>
      <c r="AF86" s="69">
        <v>590</v>
      </c>
      <c r="AG86" s="69">
        <v>0</v>
      </c>
      <c r="AH86" s="69">
        <v>0</v>
      </c>
      <c r="AI86" s="69">
        <v>0</v>
      </c>
      <c r="AJ86" s="69">
        <v>0</v>
      </c>
      <c r="AK86" s="69">
        <v>0</v>
      </c>
      <c r="AL86" s="69">
        <v>0</v>
      </c>
      <c r="AM86" s="69">
        <v>0</v>
      </c>
      <c r="AN86" s="69">
        <v>0</v>
      </c>
      <c r="AO86" s="69">
        <v>0</v>
      </c>
      <c r="AP86" s="69">
        <v>0</v>
      </c>
      <c r="AQ86" s="69">
        <v>0</v>
      </c>
      <c r="AR86" s="69">
        <v>0</v>
      </c>
    </row>
    <row r="87" spans="1:44" x14ac:dyDescent="0.25">
      <c r="A87" s="39" t="s">
        <v>310</v>
      </c>
      <c r="B87" s="39" t="s">
        <v>87</v>
      </c>
      <c r="C87" s="69">
        <v>0</v>
      </c>
      <c r="D87" s="69">
        <v>0</v>
      </c>
      <c r="E87" s="69">
        <v>0</v>
      </c>
      <c r="F87" s="69">
        <v>0</v>
      </c>
      <c r="G87" s="69">
        <v>0</v>
      </c>
      <c r="H87" s="69">
        <v>0</v>
      </c>
      <c r="I87" s="69">
        <v>0</v>
      </c>
      <c r="J87" s="69">
        <v>0</v>
      </c>
      <c r="K87" s="69">
        <v>0</v>
      </c>
      <c r="L87" s="69">
        <v>0</v>
      </c>
      <c r="M87" s="69">
        <v>0</v>
      </c>
      <c r="N87" s="69">
        <v>0</v>
      </c>
      <c r="O87" s="69">
        <v>0</v>
      </c>
      <c r="P87" s="69">
        <v>0</v>
      </c>
      <c r="Q87" s="69">
        <v>0</v>
      </c>
      <c r="R87" s="69">
        <v>0</v>
      </c>
      <c r="S87" s="69">
        <v>0</v>
      </c>
      <c r="T87" s="69">
        <v>0</v>
      </c>
      <c r="U87" s="69">
        <v>0</v>
      </c>
      <c r="V87" s="69">
        <v>0</v>
      </c>
      <c r="W87" s="69">
        <v>0</v>
      </c>
      <c r="X87" s="69">
        <v>0</v>
      </c>
      <c r="Y87" s="69">
        <v>0</v>
      </c>
      <c r="Z87" s="69">
        <v>0</v>
      </c>
      <c r="AA87" s="69">
        <v>0</v>
      </c>
      <c r="AB87" s="69">
        <v>0</v>
      </c>
      <c r="AC87" s="69">
        <v>0</v>
      </c>
      <c r="AD87" s="69">
        <v>0</v>
      </c>
      <c r="AE87" s="69">
        <v>0</v>
      </c>
      <c r="AF87" s="69">
        <v>9521</v>
      </c>
      <c r="AG87" s="69">
        <v>0</v>
      </c>
      <c r="AH87" s="69">
        <v>0</v>
      </c>
      <c r="AI87" s="69">
        <v>0</v>
      </c>
      <c r="AJ87" s="69">
        <v>0</v>
      </c>
      <c r="AK87" s="69">
        <v>0</v>
      </c>
      <c r="AL87" s="69">
        <v>0</v>
      </c>
      <c r="AM87" s="69">
        <v>0</v>
      </c>
      <c r="AN87" s="69">
        <v>0</v>
      </c>
      <c r="AO87" s="69">
        <v>0</v>
      </c>
      <c r="AP87" s="69">
        <v>0</v>
      </c>
      <c r="AQ87" s="69">
        <v>0</v>
      </c>
      <c r="AR87" s="69">
        <v>0</v>
      </c>
    </row>
    <row r="88" spans="1:44" x14ac:dyDescent="0.25">
      <c r="A88" s="39" t="s">
        <v>311</v>
      </c>
      <c r="B88" s="39" t="s">
        <v>87</v>
      </c>
      <c r="C88" s="69">
        <v>0</v>
      </c>
      <c r="D88" s="69">
        <v>0</v>
      </c>
      <c r="E88" s="69">
        <v>0</v>
      </c>
      <c r="F88" s="69">
        <v>0</v>
      </c>
      <c r="G88" s="69">
        <v>0</v>
      </c>
      <c r="H88" s="69">
        <v>0</v>
      </c>
      <c r="I88" s="69">
        <v>0</v>
      </c>
      <c r="J88" s="69">
        <v>0</v>
      </c>
      <c r="K88" s="69">
        <v>0</v>
      </c>
      <c r="L88" s="69">
        <v>0</v>
      </c>
      <c r="M88" s="69">
        <v>0</v>
      </c>
      <c r="N88" s="69">
        <v>0</v>
      </c>
      <c r="O88" s="69">
        <v>0</v>
      </c>
      <c r="P88" s="69">
        <v>0</v>
      </c>
      <c r="Q88" s="69">
        <v>0</v>
      </c>
      <c r="R88" s="69">
        <v>0</v>
      </c>
      <c r="S88" s="69">
        <v>0</v>
      </c>
      <c r="T88" s="69">
        <v>0</v>
      </c>
      <c r="U88" s="69">
        <v>0</v>
      </c>
      <c r="V88" s="69">
        <v>0</v>
      </c>
      <c r="W88" s="69">
        <v>0</v>
      </c>
      <c r="X88" s="69">
        <v>0</v>
      </c>
      <c r="Y88" s="69">
        <v>93</v>
      </c>
      <c r="Z88" s="69">
        <v>67089</v>
      </c>
      <c r="AA88" s="69">
        <v>0</v>
      </c>
      <c r="AB88" s="69">
        <v>0</v>
      </c>
      <c r="AC88" s="69">
        <v>0</v>
      </c>
      <c r="AD88" s="69">
        <v>0</v>
      </c>
      <c r="AE88" s="69">
        <v>0</v>
      </c>
      <c r="AF88" s="69">
        <v>0</v>
      </c>
      <c r="AG88" s="69">
        <v>0</v>
      </c>
      <c r="AH88" s="69">
        <v>842</v>
      </c>
      <c r="AI88" s="69">
        <v>0</v>
      </c>
      <c r="AJ88" s="69">
        <v>277</v>
      </c>
      <c r="AK88" s="69">
        <v>0</v>
      </c>
      <c r="AL88" s="69">
        <v>13</v>
      </c>
      <c r="AM88" s="69">
        <v>0</v>
      </c>
      <c r="AN88" s="69">
        <v>0</v>
      </c>
      <c r="AO88" s="69">
        <v>0</v>
      </c>
      <c r="AP88" s="69">
        <v>0</v>
      </c>
      <c r="AQ88" s="69">
        <v>0</v>
      </c>
      <c r="AR88" s="69">
        <v>0</v>
      </c>
    </row>
    <row r="89" spans="1:44" ht="25.5" x14ac:dyDescent="0.25">
      <c r="A89" s="39" t="s">
        <v>312</v>
      </c>
      <c r="B89" s="39" t="s">
        <v>87</v>
      </c>
      <c r="C89" s="69">
        <v>0</v>
      </c>
      <c r="D89" s="69">
        <v>0</v>
      </c>
      <c r="E89" s="69">
        <v>0</v>
      </c>
      <c r="F89" s="69">
        <v>0</v>
      </c>
      <c r="G89" s="69">
        <v>0</v>
      </c>
      <c r="H89" s="69">
        <v>0</v>
      </c>
      <c r="I89" s="69">
        <v>0</v>
      </c>
      <c r="J89" s="69">
        <v>0</v>
      </c>
      <c r="K89" s="69">
        <v>0</v>
      </c>
      <c r="L89" s="69">
        <v>0</v>
      </c>
      <c r="M89" s="69">
        <v>0</v>
      </c>
      <c r="N89" s="69">
        <v>0</v>
      </c>
      <c r="O89" s="69">
        <v>0</v>
      </c>
      <c r="P89" s="69">
        <v>0</v>
      </c>
      <c r="Q89" s="69">
        <v>0</v>
      </c>
      <c r="R89" s="69">
        <v>0</v>
      </c>
      <c r="S89" s="69">
        <v>0</v>
      </c>
      <c r="T89" s="69">
        <v>0</v>
      </c>
      <c r="U89" s="69">
        <v>0</v>
      </c>
      <c r="V89" s="69">
        <v>0</v>
      </c>
      <c r="W89" s="69">
        <v>0</v>
      </c>
      <c r="X89" s="69">
        <v>0</v>
      </c>
      <c r="Y89" s="69">
        <v>0</v>
      </c>
      <c r="Z89" s="69">
        <v>0</v>
      </c>
      <c r="AA89" s="69">
        <v>0</v>
      </c>
      <c r="AB89" s="69">
        <v>0</v>
      </c>
      <c r="AC89" s="69">
        <v>0</v>
      </c>
      <c r="AD89" s="69">
        <v>0</v>
      </c>
      <c r="AE89" s="69">
        <v>0</v>
      </c>
      <c r="AF89" s="69">
        <v>0</v>
      </c>
      <c r="AG89" s="69">
        <v>0</v>
      </c>
      <c r="AH89" s="69">
        <v>0</v>
      </c>
      <c r="AI89" s="69">
        <v>115</v>
      </c>
      <c r="AJ89" s="69">
        <v>333</v>
      </c>
      <c r="AK89" s="69">
        <v>57</v>
      </c>
      <c r="AL89" s="69">
        <v>294</v>
      </c>
      <c r="AM89" s="69">
        <v>0</v>
      </c>
      <c r="AN89" s="69">
        <v>0</v>
      </c>
      <c r="AO89" s="69">
        <v>0</v>
      </c>
      <c r="AP89" s="69">
        <v>0</v>
      </c>
      <c r="AQ89" s="69">
        <v>0</v>
      </c>
      <c r="AR89" s="69"/>
    </row>
    <row r="90" spans="1:44" ht="25.5" x14ac:dyDescent="0.25">
      <c r="A90" s="39" t="s">
        <v>313</v>
      </c>
      <c r="B90" s="39" t="s">
        <v>87</v>
      </c>
      <c r="C90" s="69">
        <v>0</v>
      </c>
      <c r="D90" s="69">
        <v>0</v>
      </c>
      <c r="E90" s="69">
        <v>0</v>
      </c>
      <c r="F90" s="69">
        <v>0</v>
      </c>
      <c r="G90" s="69">
        <v>0</v>
      </c>
      <c r="H90" s="69">
        <v>0</v>
      </c>
      <c r="I90" s="69">
        <v>0</v>
      </c>
      <c r="J90" s="69">
        <v>0</v>
      </c>
      <c r="K90" s="69">
        <v>0</v>
      </c>
      <c r="L90" s="69">
        <v>0</v>
      </c>
      <c r="M90" s="69">
        <v>0</v>
      </c>
      <c r="N90" s="69">
        <v>0</v>
      </c>
      <c r="O90" s="69">
        <v>0</v>
      </c>
      <c r="P90" s="69">
        <v>0</v>
      </c>
      <c r="Q90" s="69">
        <v>0</v>
      </c>
      <c r="R90" s="69">
        <v>0</v>
      </c>
      <c r="S90" s="69">
        <v>0</v>
      </c>
      <c r="T90" s="69">
        <v>0</v>
      </c>
      <c r="U90" s="69">
        <v>0</v>
      </c>
      <c r="V90" s="69">
        <v>0</v>
      </c>
      <c r="W90" s="69">
        <v>0</v>
      </c>
      <c r="X90" s="69">
        <v>0</v>
      </c>
      <c r="Y90" s="69">
        <v>11</v>
      </c>
      <c r="Z90" s="69">
        <v>32</v>
      </c>
      <c r="AA90" s="69">
        <v>177</v>
      </c>
      <c r="AB90" s="69">
        <v>132</v>
      </c>
      <c r="AC90" s="69">
        <v>146</v>
      </c>
      <c r="AD90" s="69">
        <v>169</v>
      </c>
      <c r="AE90" s="69">
        <v>133</v>
      </c>
      <c r="AF90" s="69">
        <v>57</v>
      </c>
      <c r="AG90" s="69">
        <v>116</v>
      </c>
      <c r="AH90" s="69">
        <v>74</v>
      </c>
      <c r="AI90" s="69">
        <v>453</v>
      </c>
      <c r="AJ90" s="69">
        <v>706</v>
      </c>
      <c r="AK90" s="69">
        <v>680</v>
      </c>
      <c r="AL90" s="69">
        <v>187</v>
      </c>
      <c r="AM90" s="69">
        <v>16</v>
      </c>
      <c r="AN90" s="69">
        <v>0</v>
      </c>
      <c r="AO90" s="69">
        <v>0</v>
      </c>
      <c r="AP90" s="69">
        <v>10</v>
      </c>
      <c r="AQ90" s="69"/>
      <c r="AR90" s="69"/>
    </row>
    <row r="91" spans="1:44" ht="38.25" x14ac:dyDescent="0.25">
      <c r="A91" s="39" t="s">
        <v>314</v>
      </c>
      <c r="B91" s="39" t="s">
        <v>87</v>
      </c>
      <c r="C91" s="69">
        <v>0</v>
      </c>
      <c r="D91" s="69">
        <v>0</v>
      </c>
      <c r="E91" s="69">
        <v>0</v>
      </c>
      <c r="F91" s="69">
        <v>0</v>
      </c>
      <c r="G91" s="69">
        <v>0</v>
      </c>
      <c r="H91" s="69">
        <v>0</v>
      </c>
      <c r="I91" s="69">
        <v>0</v>
      </c>
      <c r="J91" s="69">
        <v>0</v>
      </c>
      <c r="K91" s="69">
        <v>0</v>
      </c>
      <c r="L91" s="69">
        <v>0</v>
      </c>
      <c r="M91" s="69">
        <v>0</v>
      </c>
      <c r="N91" s="69">
        <v>0</v>
      </c>
      <c r="O91" s="69">
        <v>0</v>
      </c>
      <c r="P91" s="69">
        <v>0</v>
      </c>
      <c r="Q91" s="69">
        <v>0</v>
      </c>
      <c r="R91" s="69">
        <v>0</v>
      </c>
      <c r="S91" s="69">
        <v>0</v>
      </c>
      <c r="T91" s="69">
        <v>0</v>
      </c>
      <c r="U91" s="69">
        <v>0</v>
      </c>
      <c r="V91" s="69">
        <v>0</v>
      </c>
      <c r="W91" s="69">
        <v>0</v>
      </c>
      <c r="X91" s="69">
        <v>0</v>
      </c>
      <c r="Y91" s="69">
        <v>0</v>
      </c>
      <c r="Z91" s="69">
        <v>0</v>
      </c>
      <c r="AA91" s="69">
        <v>0</v>
      </c>
      <c r="AB91" s="69">
        <v>0</v>
      </c>
      <c r="AC91" s="69">
        <v>0</v>
      </c>
      <c r="AD91" s="69">
        <v>0</v>
      </c>
      <c r="AE91" s="69">
        <v>0</v>
      </c>
      <c r="AF91" s="69">
        <v>0</v>
      </c>
      <c r="AG91" s="69">
        <v>0</v>
      </c>
      <c r="AH91" s="69">
        <v>0</v>
      </c>
      <c r="AI91" s="69">
        <v>0</v>
      </c>
      <c r="AJ91" s="69">
        <v>0</v>
      </c>
      <c r="AK91" s="69">
        <v>0</v>
      </c>
      <c r="AL91" s="69">
        <v>0</v>
      </c>
      <c r="AM91" s="69">
        <v>0</v>
      </c>
      <c r="AN91" s="69">
        <v>0</v>
      </c>
      <c r="AO91" s="69">
        <v>0</v>
      </c>
      <c r="AP91" s="69"/>
      <c r="AQ91" s="69"/>
      <c r="AR91" s="69"/>
    </row>
    <row r="92" spans="1:44" ht="25.5" x14ac:dyDescent="0.25">
      <c r="A92" s="39" t="s">
        <v>315</v>
      </c>
      <c r="B92" s="39" t="s">
        <v>87</v>
      </c>
      <c r="C92" s="69">
        <v>0</v>
      </c>
      <c r="D92" s="69">
        <v>0</v>
      </c>
      <c r="E92" s="69">
        <v>0</v>
      </c>
      <c r="F92" s="69">
        <v>0</v>
      </c>
      <c r="G92" s="69">
        <v>0</v>
      </c>
      <c r="H92" s="69">
        <v>0</v>
      </c>
      <c r="I92" s="69">
        <v>0</v>
      </c>
      <c r="J92" s="69">
        <v>0</v>
      </c>
      <c r="K92" s="69">
        <v>0</v>
      </c>
      <c r="L92" s="69">
        <v>0</v>
      </c>
      <c r="M92" s="69">
        <v>0</v>
      </c>
      <c r="N92" s="69">
        <v>0</v>
      </c>
      <c r="O92" s="69">
        <v>0</v>
      </c>
      <c r="P92" s="69">
        <v>0</v>
      </c>
      <c r="Q92" s="69">
        <v>0</v>
      </c>
      <c r="R92" s="69">
        <v>0</v>
      </c>
      <c r="S92" s="69">
        <v>0</v>
      </c>
      <c r="T92" s="69">
        <v>0</v>
      </c>
      <c r="U92" s="69">
        <v>0</v>
      </c>
      <c r="V92" s="69">
        <v>0</v>
      </c>
      <c r="W92" s="69">
        <v>0</v>
      </c>
      <c r="X92" s="69">
        <v>0</v>
      </c>
      <c r="Y92" s="69">
        <v>0</v>
      </c>
      <c r="Z92" s="69">
        <v>0</v>
      </c>
      <c r="AA92" s="69">
        <v>0</v>
      </c>
      <c r="AB92" s="69">
        <v>0</v>
      </c>
      <c r="AC92" s="69">
        <v>0</v>
      </c>
      <c r="AD92" s="69">
        <v>0</v>
      </c>
      <c r="AE92" s="69">
        <v>0</v>
      </c>
      <c r="AF92" s="69">
        <v>0</v>
      </c>
      <c r="AG92" s="69">
        <v>0</v>
      </c>
      <c r="AH92" s="69">
        <v>0</v>
      </c>
      <c r="AI92" s="69">
        <v>0</v>
      </c>
      <c r="AJ92" s="69"/>
      <c r="AK92" s="69"/>
      <c r="AL92" s="69"/>
      <c r="AM92" s="69"/>
      <c r="AN92" s="69"/>
      <c r="AO92" s="69"/>
      <c r="AP92" s="69"/>
      <c r="AQ92" s="69"/>
      <c r="AR92" s="69"/>
    </row>
    <row r="93" spans="1:44" x14ac:dyDescent="0.25">
      <c r="A93" s="39" t="s">
        <v>78</v>
      </c>
      <c r="B93" s="39"/>
      <c r="C93" s="69"/>
      <c r="D93" s="69"/>
      <c r="E93" s="69"/>
      <c r="F93" s="69"/>
      <c r="G93" s="69"/>
      <c r="H93" s="69"/>
      <c r="I93" s="69"/>
      <c r="J93" s="69"/>
      <c r="K93" s="69"/>
      <c r="L93" s="69"/>
      <c r="M93" s="69"/>
      <c r="N93" s="69"/>
      <c r="O93" s="69"/>
      <c r="P93" s="69"/>
      <c r="Q93" s="69"/>
      <c r="R93" s="69"/>
      <c r="S93" s="69"/>
      <c r="T93" s="69"/>
      <c r="U93" s="69"/>
      <c r="V93" s="69"/>
      <c r="W93" s="69"/>
      <c r="X93" s="69"/>
      <c r="Y93" s="69"/>
      <c r="Z93" s="69"/>
      <c r="AA93" s="69"/>
      <c r="AB93" s="69"/>
      <c r="AC93" s="69"/>
      <c r="AD93" s="69"/>
      <c r="AE93" s="69"/>
      <c r="AF93" s="69"/>
      <c r="AG93" s="69"/>
      <c r="AH93" s="69">
        <v>0</v>
      </c>
      <c r="AI93" s="69">
        <v>0</v>
      </c>
      <c r="AJ93" s="69"/>
      <c r="AK93" s="69"/>
      <c r="AL93" s="69"/>
      <c r="AM93" s="69"/>
      <c r="AN93" s="69"/>
      <c r="AO93" s="69"/>
      <c r="AP93" s="69"/>
      <c r="AQ93" s="69"/>
      <c r="AR93" s="69"/>
    </row>
    <row r="94" spans="1:44" x14ac:dyDescent="0.25">
      <c r="A94" s="39" t="s">
        <v>171</v>
      </c>
      <c r="B94" s="39" t="s">
        <v>87</v>
      </c>
      <c r="C94" s="69">
        <v>0</v>
      </c>
      <c r="D94" s="69">
        <v>0</v>
      </c>
      <c r="E94" s="69">
        <v>0</v>
      </c>
      <c r="F94" s="69">
        <v>0</v>
      </c>
      <c r="G94" s="69">
        <v>0</v>
      </c>
      <c r="H94" s="69">
        <v>0</v>
      </c>
      <c r="I94" s="69">
        <v>0</v>
      </c>
      <c r="J94" s="69">
        <v>0</v>
      </c>
      <c r="K94" s="69">
        <v>0</v>
      </c>
      <c r="L94" s="69">
        <v>0</v>
      </c>
      <c r="M94" s="69">
        <v>0</v>
      </c>
      <c r="N94" s="69">
        <v>0</v>
      </c>
      <c r="O94" s="69">
        <v>0</v>
      </c>
      <c r="P94" s="69">
        <v>0</v>
      </c>
      <c r="Q94" s="69">
        <v>0</v>
      </c>
      <c r="R94" s="69">
        <v>0</v>
      </c>
      <c r="S94" s="69">
        <v>0</v>
      </c>
      <c r="T94" s="69">
        <v>0</v>
      </c>
      <c r="U94" s="69">
        <v>0</v>
      </c>
      <c r="V94" s="69">
        <v>0</v>
      </c>
      <c r="W94" s="69">
        <v>0</v>
      </c>
      <c r="X94" s="69">
        <v>0</v>
      </c>
      <c r="Y94" s="69">
        <v>0</v>
      </c>
      <c r="Z94" s="69">
        <v>0</v>
      </c>
      <c r="AA94" s="69">
        <v>0</v>
      </c>
      <c r="AB94" s="69">
        <v>0</v>
      </c>
      <c r="AC94" s="69">
        <v>0</v>
      </c>
      <c r="AD94" s="69">
        <v>0</v>
      </c>
      <c r="AE94" s="69">
        <v>0</v>
      </c>
      <c r="AF94" s="69">
        <v>0</v>
      </c>
      <c r="AG94" s="69">
        <v>0</v>
      </c>
      <c r="AH94" s="69">
        <v>0</v>
      </c>
      <c r="AI94" s="69">
        <v>0</v>
      </c>
      <c r="AJ94" s="69"/>
      <c r="AK94" s="69"/>
      <c r="AL94" s="69"/>
      <c r="AM94" s="69"/>
      <c r="AN94" s="69"/>
      <c r="AO94" s="69"/>
      <c r="AP94" s="69"/>
      <c r="AQ94" s="69"/>
      <c r="AR94" s="69"/>
    </row>
  </sheetData>
  <pageMargins left="1" right="1" top="1" bottom="1" header="1" footer="1"/>
  <pageSetup orientation="portrait" horizontalDpi="300" verticalDpi="300"/>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A727C-D9BE-45C1-9E50-259F776BA84F}">
  <dimension ref="A1"/>
  <sheetViews>
    <sheetView zoomScale="90" zoomScaleNormal="90" workbookViewId="0">
      <selection activeCell="A6" sqref="A6"/>
    </sheetView>
  </sheetViews>
  <sheetFormatPr defaultColWidth="9.140625" defaultRowHeight="15" x14ac:dyDescent="0.25"/>
  <cols>
    <col min="1" max="16384" width="9.140625" style="13"/>
  </cols>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D420DC-24F9-4C31-AD0D-D59490F6FB43}">
  <dimension ref="A1:BB59"/>
  <sheetViews>
    <sheetView view="pageBreakPreview" topLeftCell="AH1" zoomScale="60" zoomScaleNormal="90" workbookViewId="0">
      <selection activeCell="A6" sqref="A6"/>
    </sheetView>
  </sheetViews>
  <sheetFormatPr defaultColWidth="9.140625" defaultRowHeight="15" x14ac:dyDescent="0.25"/>
  <cols>
    <col min="1" max="1" width="31.140625" style="13" bestFit="1" customWidth="1"/>
    <col min="2" max="2" width="9.140625" style="13"/>
    <col min="3" max="3" width="10.85546875" style="13" customWidth="1"/>
    <col min="4" max="4" width="9.85546875" style="13" customWidth="1"/>
    <col min="5" max="6" width="11.85546875" style="13" bestFit="1" customWidth="1"/>
    <col min="7" max="7" width="10.140625" style="13" customWidth="1"/>
    <col min="8" max="10" width="11.85546875" style="13" bestFit="1" customWidth="1"/>
    <col min="11" max="11" width="10.42578125" style="13" customWidth="1"/>
    <col min="12" max="14" width="11.85546875" style="13" bestFit="1" customWidth="1"/>
    <col min="15" max="15" width="9.42578125" style="13" customWidth="1"/>
    <col min="16" max="18" width="11.85546875" style="13" bestFit="1" customWidth="1"/>
    <col min="19" max="19" width="9.140625" style="13" customWidth="1"/>
    <col min="20" max="22" width="11.85546875" style="13" bestFit="1" customWidth="1"/>
    <col min="23" max="23" width="9.85546875" style="13" customWidth="1"/>
    <col min="24" max="26" width="11.85546875" style="13" bestFit="1" customWidth="1"/>
    <col min="27" max="27" width="9" style="13" customWidth="1"/>
    <col min="28" max="28" width="11.85546875" style="13" bestFit="1" customWidth="1"/>
    <col min="29" max="31" width="11.42578125" style="13" bestFit="1" customWidth="1"/>
    <col min="32" max="38" width="10.42578125" style="13" bestFit="1" customWidth="1"/>
    <col min="39" max="39" width="11.140625" style="13" bestFit="1" customWidth="1"/>
    <col min="40" max="40" width="10.42578125" style="13" bestFit="1" customWidth="1"/>
    <col min="41" max="16384" width="9.140625" style="13"/>
  </cols>
  <sheetData>
    <row r="1" spans="1:41" x14ac:dyDescent="0.25">
      <c r="A1" s="14" t="s">
        <v>316</v>
      </c>
    </row>
    <row r="2" spans="1:41" x14ac:dyDescent="0.25">
      <c r="A2" s="37" t="s">
        <v>317</v>
      </c>
      <c r="B2" s="13" t="s">
        <v>87</v>
      </c>
    </row>
    <row r="3" spans="1:41" s="165" customFormat="1" ht="30" x14ac:dyDescent="0.25">
      <c r="A3" s="163" t="s">
        <v>159</v>
      </c>
      <c r="B3" s="164" t="s">
        <v>130</v>
      </c>
      <c r="C3" s="164" t="s">
        <v>318</v>
      </c>
      <c r="D3" s="164" t="s">
        <v>319</v>
      </c>
      <c r="E3" s="164" t="s">
        <v>320</v>
      </c>
      <c r="F3" s="164" t="s">
        <v>321</v>
      </c>
      <c r="G3" s="164" t="s">
        <v>322</v>
      </c>
      <c r="H3" s="164" t="s">
        <v>323</v>
      </c>
      <c r="I3" s="164" t="s">
        <v>324</v>
      </c>
      <c r="J3" s="164" t="s">
        <v>325</v>
      </c>
      <c r="K3" s="164" t="s">
        <v>326</v>
      </c>
      <c r="L3" s="164" t="s">
        <v>327</v>
      </c>
      <c r="M3" s="164" t="s">
        <v>328</v>
      </c>
      <c r="N3" s="164" t="s">
        <v>329</v>
      </c>
      <c r="O3" s="164" t="s">
        <v>330</v>
      </c>
      <c r="P3" s="164" t="s">
        <v>331</v>
      </c>
      <c r="Q3" s="164" t="s">
        <v>332</v>
      </c>
      <c r="R3" s="164" t="s">
        <v>333</v>
      </c>
      <c r="S3" s="164" t="s">
        <v>334</v>
      </c>
      <c r="T3" s="164" t="s">
        <v>335</v>
      </c>
      <c r="U3" s="164" t="s">
        <v>336</v>
      </c>
      <c r="V3" s="164" t="s">
        <v>337</v>
      </c>
      <c r="W3" s="164" t="s">
        <v>338</v>
      </c>
      <c r="X3" s="164" t="s">
        <v>339</v>
      </c>
      <c r="Y3" s="164" t="s">
        <v>340</v>
      </c>
      <c r="Z3" s="164" t="s">
        <v>341</v>
      </c>
      <c r="AA3" s="164" t="s">
        <v>342</v>
      </c>
      <c r="AB3" s="164" t="s">
        <v>343</v>
      </c>
      <c r="AC3" s="164" t="s">
        <v>344</v>
      </c>
      <c r="AD3" s="164" t="s">
        <v>345</v>
      </c>
      <c r="AE3" s="164" t="s">
        <v>346</v>
      </c>
      <c r="AF3" s="164" t="s">
        <v>347</v>
      </c>
      <c r="AG3" s="164" t="s">
        <v>348</v>
      </c>
      <c r="AH3" s="164" t="s">
        <v>349</v>
      </c>
      <c r="AI3" s="164" t="s">
        <v>350</v>
      </c>
      <c r="AJ3" s="164" t="s">
        <v>351</v>
      </c>
      <c r="AK3" s="164" t="s">
        <v>352</v>
      </c>
      <c r="AL3" s="164" t="s">
        <v>353</v>
      </c>
      <c r="AM3" s="164" t="s">
        <v>354</v>
      </c>
      <c r="AN3" s="164" t="s">
        <v>355</v>
      </c>
      <c r="AO3" s="164" t="s">
        <v>356</v>
      </c>
    </row>
    <row r="4" spans="1:41" x14ac:dyDescent="0.25">
      <c r="A4" s="39" t="s">
        <v>66</v>
      </c>
      <c r="B4" s="13" t="s">
        <v>170</v>
      </c>
      <c r="C4" s="166">
        <f>AVERAGE('Qrtly Credit-Deficit Generation'!C4:F4)</f>
        <v>0</v>
      </c>
      <c r="D4" s="166">
        <f>AVERAGE('Qrtly Credit-Deficit Generation'!D4:G4)</f>
        <v>0</v>
      </c>
      <c r="E4" s="166">
        <f>AVERAGE('Qrtly Credit-Deficit Generation'!E4:H4)</f>
        <v>0</v>
      </c>
      <c r="F4" s="166">
        <f>AVERAGE('Qrtly Credit-Deficit Generation'!F4:I4)</f>
        <v>0</v>
      </c>
      <c r="G4" s="166">
        <f>AVERAGE('Qrtly Credit-Deficit Generation'!G4:J4)</f>
        <v>0</v>
      </c>
      <c r="H4" s="166">
        <f>AVERAGE('Qrtly Credit-Deficit Generation'!H4:K4)</f>
        <v>0</v>
      </c>
      <c r="I4" s="166">
        <f>AVERAGE('Qrtly Credit-Deficit Generation'!I4:L4)</f>
        <v>14</v>
      </c>
      <c r="J4" s="166">
        <f>AVERAGE('Qrtly Credit-Deficit Generation'!J4:M4)</f>
        <v>6560.25</v>
      </c>
      <c r="K4" s="166">
        <f>AVERAGE('Qrtly Credit-Deficit Generation'!K4:N4)</f>
        <v>14189.75</v>
      </c>
      <c r="L4" s="166">
        <f>AVERAGE('Qrtly Credit-Deficit Generation'!L4:O4)</f>
        <v>21151.25</v>
      </c>
      <c r="M4" s="166">
        <f>AVERAGE('Qrtly Credit-Deficit Generation'!M4:P4)</f>
        <v>28416.5</v>
      </c>
      <c r="N4" s="166">
        <f>AVERAGE('Qrtly Credit-Deficit Generation'!N4:Q4)</f>
        <v>32457.5</v>
      </c>
      <c r="O4" s="166">
        <f>AVERAGE('Qrtly Credit-Deficit Generation'!O4:R4)</f>
        <v>36337.25</v>
      </c>
      <c r="P4" s="166">
        <f>AVERAGE('Qrtly Credit-Deficit Generation'!P4:S4)</f>
        <v>43776.25</v>
      </c>
      <c r="Q4" s="166">
        <f>AVERAGE('Qrtly Credit-Deficit Generation'!Q4:T4)</f>
        <v>59315</v>
      </c>
      <c r="R4" s="166">
        <f>AVERAGE('Qrtly Credit-Deficit Generation'!R4:U4)</f>
        <v>74663.5</v>
      </c>
      <c r="S4" s="166">
        <f>AVERAGE('Qrtly Credit-Deficit Generation'!S4:V4)</f>
        <v>88932.5</v>
      </c>
      <c r="T4" s="166">
        <f>AVERAGE('Qrtly Credit-Deficit Generation'!T4:W4)</f>
        <v>107086.25</v>
      </c>
      <c r="U4" s="166">
        <f>AVERAGE('Qrtly Credit-Deficit Generation'!U4:X4)</f>
        <v>115899.25</v>
      </c>
      <c r="V4" s="166">
        <f>AVERAGE('Qrtly Credit-Deficit Generation'!V4:Y4)</f>
        <v>116426</v>
      </c>
      <c r="W4" s="166">
        <f>AVERAGE('Qrtly Credit-Deficit Generation'!W4:Z4)</f>
        <v>117100</v>
      </c>
      <c r="X4" s="166">
        <f>AVERAGE('Qrtly Credit-Deficit Generation'!X4:AA4)</f>
        <v>109923.25</v>
      </c>
      <c r="Y4" s="166">
        <f>AVERAGE('Qrtly Credit-Deficit Generation'!Y4:AB4)</f>
        <v>113272.5</v>
      </c>
      <c r="Z4" s="166">
        <f>AVERAGE('Qrtly Credit-Deficit Generation'!Z4:AC4)</f>
        <v>128207.25</v>
      </c>
      <c r="AA4" s="166">
        <f>AVERAGE('Qrtly Credit-Deficit Generation'!AA4:AD4)</f>
        <v>143486.25</v>
      </c>
      <c r="AB4" s="166">
        <f>AVERAGE('Qrtly Credit-Deficit Generation'!AB4:AE4)</f>
        <v>158581.75</v>
      </c>
      <c r="AC4" s="166">
        <f>AVERAGE('Qrtly Credit-Deficit Generation'!AC4:AF4)</f>
        <v>161671.75</v>
      </c>
      <c r="AD4" s="166">
        <f>AVERAGE('Qrtly Credit-Deficit Generation'!AD4:AG4)</f>
        <v>165051</v>
      </c>
      <c r="AE4" s="166">
        <f>AVERAGE('Qrtly Credit-Deficit Generation'!AE4:AI4)</f>
        <v>169653.4</v>
      </c>
      <c r="AF4" s="166">
        <f>AVERAGE('Qrtly Credit-Deficit Generation'!AF4:AK4)</f>
        <v>184170.83333333334</v>
      </c>
      <c r="AG4" s="166">
        <f>AVERAGE('Qrtly Credit-Deficit Generation'!AG4:AL4)</f>
        <v>206490.5</v>
      </c>
      <c r="AH4" s="166">
        <f>AVERAGE('Qrtly Credit-Deficit Generation'!AH4:AM4)</f>
        <v>223322.66666666666</v>
      </c>
      <c r="AI4" s="166">
        <f>AVERAGE('Qrtly Credit-Deficit Generation'!AI4:AP4)</f>
        <v>308639.25</v>
      </c>
      <c r="AJ4" s="166">
        <f>AVERAGE('Qrtly Credit-Deficit Generation'!AJ4:AQ4)</f>
        <v>344800.375</v>
      </c>
      <c r="AK4" s="166">
        <f>AVERAGE('Qrtly Credit-Deficit Generation'!AK4:AS4)</f>
        <v>448809.44444444444</v>
      </c>
      <c r="AL4" s="166">
        <f>AVERAGE('Qrtly Credit-Deficit Generation'!AL4:AT4)</f>
        <v>513335.22222222225</v>
      </c>
      <c r="AM4" s="166">
        <f>AVERAGE('Qrtly Credit-Deficit Generation'!AM4:AU4)</f>
        <v>571245.66666666663</v>
      </c>
      <c r="AN4" s="166">
        <f>AVERAGE('Qrtly Credit-Deficit Generation'!AN4:AV4)</f>
        <v>660692.4444444445</v>
      </c>
      <c r="AO4" s="166">
        <f>AVERAGE('Qrtly Credit-Deficit Generation'!AO4:AW4)</f>
        <v>759036.66666666663</v>
      </c>
    </row>
    <row r="5" spans="1:41" x14ac:dyDescent="0.25">
      <c r="A5" s="39" t="s">
        <v>74</v>
      </c>
      <c r="B5" s="13" t="s">
        <v>170</v>
      </c>
      <c r="C5" s="166">
        <f>AVERAGE('Qrtly Credit-Deficit Generation'!C5:F5)</f>
        <v>3678.75</v>
      </c>
      <c r="D5" s="166">
        <f>AVERAGE('Qrtly Credit-Deficit Generation'!D5:G5)</f>
        <v>4217.5</v>
      </c>
      <c r="E5" s="166">
        <f>AVERAGE('Qrtly Credit-Deficit Generation'!E5:H5)</f>
        <v>4505.5</v>
      </c>
      <c r="F5" s="166">
        <f>AVERAGE('Qrtly Credit-Deficit Generation'!F5:I5)</f>
        <v>4159.75</v>
      </c>
      <c r="G5" s="166">
        <f>AVERAGE('Qrtly Credit-Deficit Generation'!G5:J5)</f>
        <v>3711.25</v>
      </c>
      <c r="H5" s="166">
        <f>AVERAGE('Qrtly Credit-Deficit Generation'!H5:K5)</f>
        <v>3679.5</v>
      </c>
      <c r="I5" s="166">
        <f>AVERAGE('Qrtly Credit-Deficit Generation'!I5:L5)</f>
        <v>3906</v>
      </c>
      <c r="J5" s="166">
        <f>AVERAGE('Qrtly Credit-Deficit Generation'!J5:M5)</f>
        <v>8748.75</v>
      </c>
      <c r="K5" s="166">
        <f>AVERAGE('Qrtly Credit-Deficit Generation'!K5:N5)</f>
        <v>10339.75</v>
      </c>
      <c r="L5" s="166">
        <f>AVERAGE('Qrtly Credit-Deficit Generation'!L5:O5)</f>
        <v>12753</v>
      </c>
      <c r="M5" s="166">
        <f>AVERAGE('Qrtly Credit-Deficit Generation'!M5:P5)</f>
        <v>13665.5</v>
      </c>
      <c r="N5" s="166">
        <f>AVERAGE('Qrtly Credit-Deficit Generation'!N5:Q5)</f>
        <v>15487.75</v>
      </c>
      <c r="O5" s="166">
        <f>AVERAGE('Qrtly Credit-Deficit Generation'!O5:R5)</f>
        <v>23552.25</v>
      </c>
      <c r="P5" s="166">
        <f>AVERAGE('Qrtly Credit-Deficit Generation'!P5:S5)</f>
        <v>29690.25</v>
      </c>
      <c r="Q5" s="166">
        <f>AVERAGE('Qrtly Credit-Deficit Generation'!Q5:T5)</f>
        <v>40635.75</v>
      </c>
      <c r="R5" s="166">
        <f>AVERAGE('Qrtly Credit-Deficit Generation'!R5:U5)</f>
        <v>48487.75</v>
      </c>
      <c r="S5" s="166">
        <f>AVERAGE('Qrtly Credit-Deficit Generation'!S5:V5)</f>
        <v>55055.5</v>
      </c>
      <c r="T5" s="166">
        <f>AVERAGE('Qrtly Credit-Deficit Generation'!T5:W5)</f>
        <v>59592</v>
      </c>
      <c r="U5" s="166">
        <f>AVERAGE('Qrtly Credit-Deficit Generation'!U5:X5)</f>
        <v>62727.25</v>
      </c>
      <c r="V5" s="166">
        <f>AVERAGE('Qrtly Credit-Deficit Generation'!V5:Y5)</f>
        <v>59476.25</v>
      </c>
      <c r="W5" s="166">
        <f>AVERAGE('Qrtly Credit-Deficit Generation'!W5:Z5)</f>
        <v>53563.75</v>
      </c>
      <c r="X5" s="166">
        <f>AVERAGE('Qrtly Credit-Deficit Generation'!X5:AA5)</f>
        <v>48218.75</v>
      </c>
      <c r="Y5" s="166">
        <f>AVERAGE('Qrtly Credit-Deficit Generation'!Y5:AB5)</f>
        <v>40337.75</v>
      </c>
      <c r="Z5" s="166">
        <f>AVERAGE('Qrtly Credit-Deficit Generation'!Z5:AC5)</f>
        <v>33110.5</v>
      </c>
      <c r="AA5" s="166">
        <f>AVERAGE('Qrtly Credit-Deficit Generation'!AA5:AD5)</f>
        <v>26760</v>
      </c>
      <c r="AB5" s="166">
        <f>AVERAGE('Qrtly Credit-Deficit Generation'!AB5:AE5)</f>
        <v>22361</v>
      </c>
      <c r="AC5" s="166">
        <f>AVERAGE('Qrtly Credit-Deficit Generation'!AC5:AF5)</f>
        <v>18520.5</v>
      </c>
      <c r="AD5" s="166">
        <f>AVERAGE('Qrtly Credit-Deficit Generation'!AD5:AG5)</f>
        <v>18303.75</v>
      </c>
      <c r="AE5" s="166">
        <f>AVERAGE('Qrtly Credit-Deficit Generation'!AE5:AI5)</f>
        <v>16989.2</v>
      </c>
      <c r="AF5" s="166">
        <f>AVERAGE('Qrtly Credit-Deficit Generation'!AF5:AK5)</f>
        <v>16610.5</v>
      </c>
      <c r="AG5" s="166">
        <f>AVERAGE('Qrtly Credit-Deficit Generation'!AG5:AL5)</f>
        <v>16522.5</v>
      </c>
      <c r="AH5" s="166">
        <f>AVERAGE('Qrtly Credit-Deficit Generation'!AH5:AM5)</f>
        <v>16589.333333333332</v>
      </c>
      <c r="AI5" s="166">
        <f>AVERAGE('Qrtly Credit-Deficit Generation'!AI5:AP5)</f>
        <v>16548.125</v>
      </c>
      <c r="AJ5" s="166">
        <f>AVERAGE('Qrtly Credit-Deficit Generation'!AJ5:AQ5)</f>
        <v>16365.25</v>
      </c>
      <c r="AK5" s="166">
        <f>AVERAGE('Qrtly Credit-Deficit Generation'!AK5:AS5)</f>
        <v>15429.222222222223</v>
      </c>
      <c r="AL5" s="166">
        <f>AVERAGE('Qrtly Credit-Deficit Generation'!AL5:AT5)</f>
        <v>15073.222222222223</v>
      </c>
      <c r="AM5" s="166">
        <f>AVERAGE('Qrtly Credit-Deficit Generation'!AM5:AU5)</f>
        <v>14610.777777777777</v>
      </c>
      <c r="AN5" s="166">
        <f>AVERAGE('Qrtly Credit-Deficit Generation'!AN5:AV5)</f>
        <v>14038.888888888889</v>
      </c>
      <c r="AO5" s="166">
        <f>AVERAGE('Qrtly Credit-Deficit Generation'!AO5:AW5)</f>
        <v>13655.111111111111</v>
      </c>
    </row>
    <row r="6" spans="1:41" x14ac:dyDescent="0.25">
      <c r="A6" s="39" t="s">
        <v>120</v>
      </c>
      <c r="B6" s="13" t="s">
        <v>170</v>
      </c>
      <c r="C6" s="166">
        <f>AVERAGE('Qrtly Credit-Deficit Generation'!C6:F6)</f>
        <v>33244.5</v>
      </c>
      <c r="D6" s="166">
        <f>AVERAGE('Qrtly Credit-Deficit Generation'!D6:G6)</f>
        <v>33143.25</v>
      </c>
      <c r="E6" s="166">
        <f>AVERAGE('Qrtly Credit-Deficit Generation'!E6:H6)</f>
        <v>32914</v>
      </c>
      <c r="F6" s="166">
        <f>AVERAGE('Qrtly Credit-Deficit Generation'!F6:I6)</f>
        <v>34488.5</v>
      </c>
      <c r="G6" s="166">
        <f>AVERAGE('Qrtly Credit-Deficit Generation'!G6:J6)</f>
        <v>35974</v>
      </c>
      <c r="H6" s="166">
        <f>AVERAGE('Qrtly Credit-Deficit Generation'!H6:K6)</f>
        <v>38916</v>
      </c>
      <c r="I6" s="166">
        <f>AVERAGE('Qrtly Credit-Deficit Generation'!I6:L6)</f>
        <v>41827.25</v>
      </c>
      <c r="J6" s="166">
        <f>AVERAGE('Qrtly Credit-Deficit Generation'!J6:M6)</f>
        <v>42156</v>
      </c>
      <c r="K6" s="166">
        <f>AVERAGE('Qrtly Credit-Deficit Generation'!K6:N6)</f>
        <v>42853.5</v>
      </c>
      <c r="L6" s="166">
        <f>AVERAGE('Qrtly Credit-Deficit Generation'!L6:O6)</f>
        <v>43366.25</v>
      </c>
      <c r="M6" s="166">
        <f>AVERAGE('Qrtly Credit-Deficit Generation'!M6:P6)</f>
        <v>46410.5</v>
      </c>
      <c r="N6" s="166">
        <f>AVERAGE('Qrtly Credit-Deficit Generation'!N6:Q6)</f>
        <v>49642.25</v>
      </c>
      <c r="O6" s="166">
        <f>AVERAGE('Qrtly Credit-Deficit Generation'!O6:R6)</f>
        <v>52593.5</v>
      </c>
      <c r="P6" s="166">
        <f>AVERAGE('Qrtly Credit-Deficit Generation'!P6:S6)</f>
        <v>53504</v>
      </c>
      <c r="Q6" s="166">
        <f>AVERAGE('Qrtly Credit-Deficit Generation'!Q6:T6)</f>
        <v>49904.25</v>
      </c>
      <c r="R6" s="166">
        <f>AVERAGE('Qrtly Credit-Deficit Generation'!R6:U6)</f>
        <v>47934</v>
      </c>
      <c r="S6" s="166">
        <f>AVERAGE('Qrtly Credit-Deficit Generation'!S6:V6)</f>
        <v>45835.25</v>
      </c>
      <c r="T6" s="166">
        <f>AVERAGE('Qrtly Credit-Deficit Generation'!T6:W6)</f>
        <v>43800</v>
      </c>
      <c r="U6" s="166">
        <f>AVERAGE('Qrtly Credit-Deficit Generation'!U6:X6)</f>
        <v>44262.25</v>
      </c>
      <c r="V6" s="166">
        <f>AVERAGE('Qrtly Credit-Deficit Generation'!V6:Y6)</f>
        <v>42599</v>
      </c>
      <c r="W6" s="166">
        <f>AVERAGE('Qrtly Credit-Deficit Generation'!W6:Z6)</f>
        <v>40670.5</v>
      </c>
      <c r="X6" s="166">
        <f>AVERAGE('Qrtly Credit-Deficit Generation'!X6:AA6)</f>
        <v>34255.75</v>
      </c>
      <c r="Y6" s="166">
        <f>AVERAGE('Qrtly Credit-Deficit Generation'!Y6:AB6)</f>
        <v>26673.5</v>
      </c>
      <c r="Z6" s="166">
        <f>AVERAGE('Qrtly Credit-Deficit Generation'!Z6:AC6)</f>
        <v>20353.25</v>
      </c>
      <c r="AA6" s="166">
        <f>AVERAGE('Qrtly Credit-Deficit Generation'!AA6:AD6)</f>
        <v>14580.25</v>
      </c>
      <c r="AB6" s="166">
        <f>AVERAGE('Qrtly Credit-Deficit Generation'!AB6:AE6)</f>
        <v>14396</v>
      </c>
      <c r="AC6" s="166">
        <f>AVERAGE('Qrtly Credit-Deficit Generation'!AC6:AF6)</f>
        <v>15047.75</v>
      </c>
      <c r="AD6" s="166">
        <f>AVERAGE('Qrtly Credit-Deficit Generation'!AD6:AG6)</f>
        <v>15277</v>
      </c>
      <c r="AE6" s="166">
        <f>AVERAGE('Qrtly Credit-Deficit Generation'!AE6:AI6)</f>
        <v>13347.8</v>
      </c>
      <c r="AF6" s="166">
        <f>AVERAGE('Qrtly Credit-Deficit Generation'!AF6:AK6)</f>
        <v>11135.833333333334</v>
      </c>
      <c r="AG6" s="166">
        <f>AVERAGE('Qrtly Credit-Deficit Generation'!AG6:AL6)</f>
        <v>9547.5</v>
      </c>
      <c r="AH6" s="166">
        <f>AVERAGE('Qrtly Credit-Deficit Generation'!AH6:AM6)</f>
        <v>7685.333333333333</v>
      </c>
      <c r="AI6" s="166">
        <f>AVERAGE('Qrtly Credit-Deficit Generation'!AI6:AP6)</f>
        <v>4880.5</v>
      </c>
      <c r="AJ6" s="166">
        <f>AVERAGE('Qrtly Credit-Deficit Generation'!AJ6:AQ6)</f>
        <v>3924.75</v>
      </c>
      <c r="AK6" s="166">
        <f>AVERAGE('Qrtly Credit-Deficit Generation'!AK6:AS6)</f>
        <v>2811.3333333333335</v>
      </c>
      <c r="AL6" s="166">
        <f>AVERAGE('Qrtly Credit-Deficit Generation'!AL6:AT6)</f>
        <v>2003.4444444444443</v>
      </c>
      <c r="AM6" s="166">
        <f>AVERAGE('Qrtly Credit-Deficit Generation'!AM6:AU6)</f>
        <v>1238.7777777777778</v>
      </c>
      <c r="AN6" s="166">
        <f>AVERAGE('Qrtly Credit-Deficit Generation'!AN6:AV6)</f>
        <v>898.11111111111109</v>
      </c>
      <c r="AO6" s="166">
        <f>AVERAGE('Qrtly Credit-Deficit Generation'!AO6:AW6)</f>
        <v>698.55555555555554</v>
      </c>
    </row>
    <row r="7" spans="1:41" x14ac:dyDescent="0.25">
      <c r="A7" s="39" t="s">
        <v>121</v>
      </c>
      <c r="B7" s="13" t="s">
        <v>170</v>
      </c>
      <c r="C7" s="166">
        <f>AVERAGE('Qrtly Credit-Deficit Generation'!C7:F7)</f>
        <v>7853</v>
      </c>
      <c r="D7" s="166">
        <f>AVERAGE('Qrtly Credit-Deficit Generation'!D7:G7)</f>
        <v>8027.25</v>
      </c>
      <c r="E7" s="166">
        <f>AVERAGE('Qrtly Credit-Deficit Generation'!E7:H7)</f>
        <v>8503.75</v>
      </c>
      <c r="F7" s="166">
        <f>AVERAGE('Qrtly Credit-Deficit Generation'!F7:I7)</f>
        <v>9054</v>
      </c>
      <c r="G7" s="166">
        <f>AVERAGE('Qrtly Credit-Deficit Generation'!G7:J7)</f>
        <v>9818.5</v>
      </c>
      <c r="H7" s="166">
        <f>AVERAGE('Qrtly Credit-Deficit Generation'!H7:K7)</f>
        <v>11631.5</v>
      </c>
      <c r="I7" s="166">
        <f>AVERAGE('Qrtly Credit-Deficit Generation'!I7:L7)</f>
        <v>12442</v>
      </c>
      <c r="J7" s="166">
        <f>AVERAGE('Qrtly Credit-Deficit Generation'!J7:M7)</f>
        <v>12327.5</v>
      </c>
      <c r="K7" s="166">
        <f>AVERAGE('Qrtly Credit-Deficit Generation'!K7:N7)</f>
        <v>12610.25</v>
      </c>
      <c r="L7" s="166">
        <f>AVERAGE('Qrtly Credit-Deficit Generation'!L7:O7)</f>
        <v>11696.25</v>
      </c>
      <c r="M7" s="166">
        <f>AVERAGE('Qrtly Credit-Deficit Generation'!M7:P7)</f>
        <v>11729.5</v>
      </c>
      <c r="N7" s="166">
        <f>AVERAGE('Qrtly Credit-Deficit Generation'!N7:Q7)</f>
        <v>10996.25</v>
      </c>
      <c r="O7" s="166">
        <f>AVERAGE('Qrtly Credit-Deficit Generation'!O7:R7)</f>
        <v>9160.5</v>
      </c>
      <c r="P7" s="166">
        <f>AVERAGE('Qrtly Credit-Deficit Generation'!P7:S7)</f>
        <v>8754.75</v>
      </c>
      <c r="Q7" s="166">
        <f>AVERAGE('Qrtly Credit-Deficit Generation'!Q7:T7)</f>
        <v>7435.25</v>
      </c>
      <c r="R7" s="166">
        <f>AVERAGE('Qrtly Credit-Deficit Generation'!R7:U7)</f>
        <v>6601.75</v>
      </c>
      <c r="S7" s="166">
        <f>AVERAGE('Qrtly Credit-Deficit Generation'!S7:V7)</f>
        <v>5562.5</v>
      </c>
      <c r="T7" s="166">
        <f>AVERAGE('Qrtly Credit-Deficit Generation'!T7:W7)</f>
        <v>3589.5</v>
      </c>
      <c r="U7" s="166">
        <f>AVERAGE('Qrtly Credit-Deficit Generation'!U7:X7)</f>
        <v>2111.75</v>
      </c>
      <c r="V7" s="166">
        <f>AVERAGE('Qrtly Credit-Deficit Generation'!V7:Y7)</f>
        <v>1619.75</v>
      </c>
      <c r="W7" s="166">
        <f>AVERAGE('Qrtly Credit-Deficit Generation'!W7:Z7)</f>
        <v>1877.25</v>
      </c>
      <c r="X7" s="166">
        <f>AVERAGE('Qrtly Credit-Deficit Generation'!X7:AA7)</f>
        <v>1393</v>
      </c>
      <c r="Y7" s="166">
        <f>AVERAGE('Qrtly Credit-Deficit Generation'!Y7:AB7)</f>
        <v>902</v>
      </c>
      <c r="Z7" s="166">
        <f>AVERAGE('Qrtly Credit-Deficit Generation'!Z7:AC7)</f>
        <v>484.25</v>
      </c>
      <c r="AA7" s="166">
        <f>AVERAGE('Qrtly Credit-Deficit Generation'!AA7:AD7)</f>
        <v>43.25</v>
      </c>
      <c r="AB7" s="166">
        <f>AVERAGE('Qrtly Credit-Deficit Generation'!AB7:AE7)</f>
        <v>42.75</v>
      </c>
      <c r="AC7" s="166">
        <f>AVERAGE('Qrtly Credit-Deficit Generation'!AC7:AF7)</f>
        <v>51.25</v>
      </c>
      <c r="AD7" s="166">
        <f>AVERAGE('Qrtly Credit-Deficit Generation'!AD7:AG7)</f>
        <v>48</v>
      </c>
      <c r="AE7" s="166">
        <f>AVERAGE('Qrtly Credit-Deficit Generation'!AE7:AI7)</f>
        <v>33.799999999999997</v>
      </c>
      <c r="AF7" s="166">
        <f>AVERAGE('Qrtly Credit-Deficit Generation'!AF7:AK7)</f>
        <v>21.333333333333332</v>
      </c>
      <c r="AG7" s="166">
        <f>AVERAGE('Qrtly Credit-Deficit Generation'!AG7:AL7)</f>
        <v>14.166666666666666</v>
      </c>
      <c r="AH7" s="166">
        <f>AVERAGE('Qrtly Credit-Deficit Generation'!AH7:AM7)</f>
        <v>8.1666666666666661</v>
      </c>
      <c r="AI7" s="166">
        <f>AVERAGE('Qrtly Credit-Deficit Generation'!AI7:AP7)</f>
        <v>0</v>
      </c>
      <c r="AJ7" s="166">
        <f>AVERAGE('Qrtly Credit-Deficit Generation'!AJ7:AQ7)</f>
        <v>0</v>
      </c>
      <c r="AK7" s="166">
        <f>AVERAGE('Qrtly Credit-Deficit Generation'!AK7:AS7)</f>
        <v>0</v>
      </c>
      <c r="AL7" s="166">
        <f>AVERAGE('Qrtly Credit-Deficit Generation'!AL7:AT7)</f>
        <v>0</v>
      </c>
      <c r="AM7" s="166">
        <f>AVERAGE('Qrtly Credit-Deficit Generation'!AM7:AU7)</f>
        <v>0</v>
      </c>
      <c r="AN7" s="166">
        <f>AVERAGE('Qrtly Credit-Deficit Generation'!AN7:AV7)</f>
        <v>0</v>
      </c>
      <c r="AO7" s="166">
        <f>AVERAGE('Qrtly Credit-Deficit Generation'!AO7:AW7)</f>
        <v>0</v>
      </c>
    </row>
    <row r="8" spans="1:41" x14ac:dyDescent="0.25">
      <c r="A8" s="39" t="s">
        <v>122</v>
      </c>
      <c r="B8" s="13" t="s">
        <v>170</v>
      </c>
      <c r="C8" s="166">
        <f>AVERAGE('Qrtly Credit-Deficit Generation'!C8:F8)</f>
        <v>0</v>
      </c>
      <c r="D8" s="166">
        <f>AVERAGE('Qrtly Credit-Deficit Generation'!D8:G8)</f>
        <v>0</v>
      </c>
      <c r="E8" s="166">
        <f>AVERAGE('Qrtly Credit-Deficit Generation'!E8:H8)</f>
        <v>0</v>
      </c>
      <c r="F8" s="166">
        <f>AVERAGE('Qrtly Credit-Deficit Generation'!F8:I8)</f>
        <v>0</v>
      </c>
      <c r="G8" s="166">
        <f>AVERAGE('Qrtly Credit-Deficit Generation'!G8:J8)</f>
        <v>0</v>
      </c>
      <c r="H8" s="166">
        <f>AVERAGE('Qrtly Credit-Deficit Generation'!H8:K8)</f>
        <v>0</v>
      </c>
      <c r="I8" s="166">
        <f>AVERAGE('Qrtly Credit-Deficit Generation'!I8:L8)</f>
        <v>0</v>
      </c>
      <c r="J8" s="166">
        <f>AVERAGE('Qrtly Credit-Deficit Generation'!J8:M8)</f>
        <v>0</v>
      </c>
      <c r="K8" s="166">
        <f>AVERAGE('Qrtly Credit-Deficit Generation'!K8:N8)</f>
        <v>0</v>
      </c>
      <c r="L8" s="166">
        <f>AVERAGE('Qrtly Credit-Deficit Generation'!L8:O8)</f>
        <v>0</v>
      </c>
      <c r="M8" s="166">
        <f>AVERAGE('Qrtly Credit-Deficit Generation'!M8:P8)</f>
        <v>0</v>
      </c>
      <c r="N8" s="166">
        <f>AVERAGE('Qrtly Credit-Deficit Generation'!N8:Q8)</f>
        <v>0</v>
      </c>
      <c r="O8" s="166">
        <f>AVERAGE('Qrtly Credit-Deficit Generation'!O8:R8)</f>
        <v>0</v>
      </c>
      <c r="P8" s="166">
        <f>AVERAGE('Qrtly Credit-Deficit Generation'!P8:S8)</f>
        <v>0</v>
      </c>
      <c r="Q8" s="166">
        <f>AVERAGE('Qrtly Credit-Deficit Generation'!Q8:T8)</f>
        <v>0</v>
      </c>
      <c r="R8" s="166">
        <f>AVERAGE('Qrtly Credit-Deficit Generation'!R8:U8)</f>
        <v>12.5</v>
      </c>
      <c r="S8" s="166">
        <f>AVERAGE('Qrtly Credit-Deficit Generation'!S8:V8)</f>
        <v>18.5</v>
      </c>
      <c r="T8" s="166">
        <f>AVERAGE('Qrtly Credit-Deficit Generation'!T8:W8)</f>
        <v>26.75</v>
      </c>
      <c r="U8" s="166">
        <f>AVERAGE('Qrtly Credit-Deficit Generation'!U8:X8)</f>
        <v>33.75</v>
      </c>
      <c r="V8" s="166">
        <f>AVERAGE('Qrtly Credit-Deficit Generation'!V8:Y8)</f>
        <v>21.5</v>
      </c>
      <c r="W8" s="166">
        <f>AVERAGE('Qrtly Credit-Deficit Generation'!W8:Z8)</f>
        <v>16</v>
      </c>
      <c r="X8" s="166">
        <f>AVERAGE('Qrtly Credit-Deficit Generation'!X8:AA8)</f>
        <v>148.25</v>
      </c>
      <c r="Y8" s="166">
        <f>AVERAGE('Qrtly Credit-Deficit Generation'!Y8:AB8)</f>
        <v>346.25</v>
      </c>
      <c r="Z8" s="166">
        <f>AVERAGE('Qrtly Credit-Deficit Generation'!Z8:AC8)</f>
        <v>588.5</v>
      </c>
      <c r="AA8" s="166">
        <f>AVERAGE('Qrtly Credit-Deficit Generation'!AA8:AD8)</f>
        <v>859</v>
      </c>
      <c r="AB8" s="166">
        <f>AVERAGE('Qrtly Credit-Deficit Generation'!AB8:AE8)</f>
        <v>1070.5</v>
      </c>
      <c r="AC8" s="166">
        <f>AVERAGE('Qrtly Credit-Deficit Generation'!AC8:AF8)</f>
        <v>1281.5</v>
      </c>
      <c r="AD8" s="166">
        <f>AVERAGE('Qrtly Credit-Deficit Generation'!AD8:AG8)</f>
        <v>1483.75</v>
      </c>
      <c r="AE8" s="166">
        <f>AVERAGE('Qrtly Credit-Deficit Generation'!AE8:AI8)</f>
        <v>1903.8</v>
      </c>
      <c r="AF8" s="166">
        <f>AVERAGE('Qrtly Credit-Deficit Generation'!AF8:AK8)</f>
        <v>2507.5</v>
      </c>
      <c r="AG8" s="166">
        <f>AVERAGE('Qrtly Credit-Deficit Generation'!AG8:AL8)</f>
        <v>2955.6666666666665</v>
      </c>
      <c r="AH8" s="166">
        <f>AVERAGE('Qrtly Credit-Deficit Generation'!AH8:AM8)</f>
        <v>3309.3333333333335</v>
      </c>
      <c r="AI8" s="166">
        <f>AVERAGE('Qrtly Credit-Deficit Generation'!AI8:AP8)</f>
        <v>3979.5</v>
      </c>
      <c r="AJ8" s="166">
        <f>AVERAGE('Qrtly Credit-Deficit Generation'!AJ8:AQ8)</f>
        <v>4446.125</v>
      </c>
      <c r="AK8" s="166">
        <f>AVERAGE('Qrtly Credit-Deficit Generation'!AK8:AS8)</f>
        <v>5712</v>
      </c>
      <c r="AL8" s="166">
        <f>AVERAGE('Qrtly Credit-Deficit Generation'!AL8:AT8)</f>
        <v>6583.7777777777774</v>
      </c>
      <c r="AM8" s="166">
        <f>AVERAGE('Qrtly Credit-Deficit Generation'!AM8:AU8)</f>
        <v>7506</v>
      </c>
      <c r="AN8" s="166">
        <f>AVERAGE('Qrtly Credit-Deficit Generation'!AN8:AV8)</f>
        <v>8948.4444444444453</v>
      </c>
      <c r="AO8" s="166">
        <f>AVERAGE('Qrtly Credit-Deficit Generation'!AO8:AW8)</f>
        <v>10472.888888888889</v>
      </c>
    </row>
    <row r="9" spans="1:41" x14ac:dyDescent="0.25">
      <c r="A9" s="39" t="s">
        <v>124</v>
      </c>
      <c r="B9" s="13" t="s">
        <v>170</v>
      </c>
      <c r="C9" s="166">
        <f>AVERAGE('Qrtly Credit-Deficit Generation'!C37:F37)</f>
        <v>1935.75</v>
      </c>
      <c r="D9" s="166">
        <f>AVERAGE('Qrtly Credit-Deficit Generation'!D37:G37)</f>
        <v>2950.75</v>
      </c>
      <c r="E9" s="166">
        <f>AVERAGE('Qrtly Credit-Deficit Generation'!E37:H37)</f>
        <v>4017.5</v>
      </c>
      <c r="F9" s="166">
        <f>AVERAGE('Qrtly Credit-Deficit Generation'!F37:I37)</f>
        <v>5227.25</v>
      </c>
      <c r="G9" s="166">
        <f>AVERAGE('Qrtly Credit-Deficit Generation'!G37:J37)</f>
        <v>6746</v>
      </c>
      <c r="H9" s="166">
        <f>AVERAGE('Qrtly Credit-Deficit Generation'!H37:K37)</f>
        <v>9379</v>
      </c>
      <c r="I9" s="166">
        <f>AVERAGE('Qrtly Credit-Deficit Generation'!I37:L37)</f>
        <v>12868</v>
      </c>
      <c r="J9" s="166">
        <f>AVERAGE('Qrtly Credit-Deficit Generation'!J37:M37)</f>
        <v>17304.25</v>
      </c>
      <c r="K9" s="166">
        <f>AVERAGE('Qrtly Credit-Deficit Generation'!K37:N37)</f>
        <v>23488.25</v>
      </c>
      <c r="L9" s="166">
        <f>AVERAGE('Qrtly Credit-Deficit Generation'!L37:O37)</f>
        <v>30163.75</v>
      </c>
      <c r="M9" s="166">
        <f>AVERAGE('Qrtly Credit-Deficit Generation'!M37:P37)</f>
        <v>38057.75</v>
      </c>
      <c r="N9" s="166">
        <f>AVERAGE('Qrtly Credit-Deficit Generation'!N37:Q37)</f>
        <v>46639.5</v>
      </c>
      <c r="O9" s="166">
        <f>AVERAGE('Qrtly Credit-Deficit Generation'!O37:R37)</f>
        <v>55332.5</v>
      </c>
      <c r="P9" s="166">
        <f>AVERAGE('Qrtly Credit-Deficit Generation'!P37:S37)</f>
        <v>63321.25</v>
      </c>
      <c r="Q9" s="166">
        <f>AVERAGE('Qrtly Credit-Deficit Generation'!Q37:T37)</f>
        <v>70066.25</v>
      </c>
      <c r="R9" s="166">
        <f>AVERAGE('Qrtly Credit-Deficit Generation'!R37:U37)</f>
        <v>77983.75</v>
      </c>
      <c r="S9" s="166">
        <f>AVERAGE('Qrtly Credit-Deficit Generation'!S37:V37)</f>
        <v>84435</v>
      </c>
      <c r="T9" s="166">
        <f>AVERAGE('Qrtly Credit-Deficit Generation'!T37:W37)</f>
        <v>117624</v>
      </c>
      <c r="U9" s="166">
        <f>AVERAGE('Qrtly Credit-Deficit Generation'!U37:X37)</f>
        <v>152143.25</v>
      </c>
      <c r="V9" s="166">
        <f>AVERAGE('Qrtly Credit-Deficit Generation'!V37:Y37)</f>
        <v>185794.25</v>
      </c>
      <c r="W9" s="166">
        <f>AVERAGE('Qrtly Credit-Deficit Generation'!W37:Z37)</f>
        <v>226175.75</v>
      </c>
      <c r="X9" s="166">
        <f>AVERAGE('Qrtly Credit-Deficit Generation'!X37:AA37)</f>
        <v>244170.25</v>
      </c>
      <c r="Y9" s="166">
        <f>AVERAGE('Qrtly Credit-Deficit Generation'!Y37:AB37)</f>
        <v>263683.25</v>
      </c>
      <c r="Z9" s="166">
        <f>AVERAGE('Qrtly Credit-Deficit Generation'!Z37:AC37)</f>
        <v>282887.25</v>
      </c>
      <c r="AA9" s="166">
        <f>AVERAGE('Qrtly Credit-Deficit Generation'!AA37:AD37)</f>
        <v>299528</v>
      </c>
      <c r="AB9" s="166">
        <f>AVERAGE('Qrtly Credit-Deficit Generation'!AB37:AE37)</f>
        <v>328548.75</v>
      </c>
      <c r="AC9" s="166">
        <f>AVERAGE('Qrtly Credit-Deficit Generation'!AC37:AF37)</f>
        <v>361007.75</v>
      </c>
      <c r="AD9" s="166">
        <f>AVERAGE('Qrtly Credit-Deficit Generation'!AD37:AG37)</f>
        <v>402847</v>
      </c>
      <c r="AE9" s="166">
        <f>AVERAGE('Qrtly Credit-Deficit Generation'!AE37:AH37)</f>
        <v>447864.25</v>
      </c>
      <c r="AF9" s="166">
        <f>AVERAGE('Qrtly Credit-Deficit Generation'!AF37:AI37)</f>
        <v>506016.75</v>
      </c>
      <c r="AG9" s="166">
        <f>AVERAGE('Qrtly Credit-Deficit Generation'!AG37:AJ37)</f>
        <v>555254.25</v>
      </c>
      <c r="AH9" s="166">
        <f>AVERAGE('Qrtly Credit-Deficit Generation'!AH37:AK37)</f>
        <v>621549</v>
      </c>
      <c r="AI9" s="166">
        <f>AVERAGE('Qrtly Credit-Deficit Generation'!AI37:AL37)</f>
        <v>698205</v>
      </c>
      <c r="AJ9" s="166">
        <f>AVERAGE('Qrtly Credit-Deficit Generation'!AJ37:AM37)</f>
        <v>741600.75</v>
      </c>
      <c r="AK9" s="166">
        <f>AVERAGE('Qrtly Credit-Deficit Generation'!AK37:AN37)</f>
        <v>735755.25</v>
      </c>
      <c r="AL9" s="166">
        <f>AVERAGE('Qrtly Credit-Deficit Generation'!AL37:AO37)</f>
        <v>736741</v>
      </c>
      <c r="AM9" s="166">
        <f>AVERAGE('Qrtly Credit-Deficit Generation'!AM37:AP37)</f>
        <v>735745.75</v>
      </c>
      <c r="AN9" s="166">
        <f>AVERAGE('Qrtly Credit-Deficit Generation'!AN37:AQ37)</f>
        <v>761077</v>
      </c>
      <c r="AO9" s="166">
        <f>AVERAGE('Qrtly Credit-Deficit Generation'!AO37:AR37)</f>
        <v>891410.5</v>
      </c>
    </row>
    <row r="10" spans="1:41" x14ac:dyDescent="0.25">
      <c r="A10" s="39" t="s">
        <v>75</v>
      </c>
      <c r="B10" s="13" t="s">
        <v>170</v>
      </c>
      <c r="C10" s="166">
        <f>AVERAGE('Qrtly Credit-Deficit Generation'!C9:F9)</f>
        <v>255888.25</v>
      </c>
      <c r="D10" s="166">
        <f>AVERAGE('Qrtly Credit-Deficit Generation'!D9:G9)</f>
        <v>266727.25</v>
      </c>
      <c r="E10" s="166">
        <f>AVERAGE('Qrtly Credit-Deficit Generation'!E9:H9)</f>
        <v>269743.5</v>
      </c>
      <c r="F10" s="166">
        <f>AVERAGE('Qrtly Credit-Deficit Generation'!F9:I9)</f>
        <v>288811</v>
      </c>
      <c r="G10" s="166">
        <f>AVERAGE('Qrtly Credit-Deficit Generation'!G9:J9)</f>
        <v>304773.5</v>
      </c>
      <c r="H10" s="166">
        <f>AVERAGE('Qrtly Credit-Deficit Generation'!H9:K9)</f>
        <v>351042.25</v>
      </c>
      <c r="I10" s="166">
        <f>AVERAGE('Qrtly Credit-Deficit Generation'!I9:L9)</f>
        <v>394796.75</v>
      </c>
      <c r="J10" s="166">
        <f>AVERAGE('Qrtly Credit-Deficit Generation'!J9:M9)</f>
        <v>451907.5</v>
      </c>
      <c r="K10" s="166">
        <f>AVERAGE('Qrtly Credit-Deficit Generation'!K9:N9)</f>
        <v>495969.5</v>
      </c>
      <c r="L10" s="166">
        <f>AVERAGE('Qrtly Credit-Deficit Generation'!L9:O9)</f>
        <v>499193</v>
      </c>
      <c r="M10" s="166">
        <f>AVERAGE('Qrtly Credit-Deficit Generation'!M9:P9)</f>
        <v>527117.75</v>
      </c>
      <c r="N10" s="166">
        <f>AVERAGE('Qrtly Credit-Deficit Generation'!N9:Q9)</f>
        <v>512500.5</v>
      </c>
      <c r="O10" s="166">
        <f>AVERAGE('Qrtly Credit-Deficit Generation'!O9:R9)</f>
        <v>507720.75</v>
      </c>
      <c r="P10" s="166">
        <f>AVERAGE('Qrtly Credit-Deficit Generation'!P9:S9)</f>
        <v>511213.5</v>
      </c>
      <c r="Q10" s="166">
        <f>AVERAGE('Qrtly Credit-Deficit Generation'!Q9:T9)</f>
        <v>499516</v>
      </c>
      <c r="R10" s="166">
        <f>AVERAGE('Qrtly Credit-Deficit Generation'!R9:U9)</f>
        <v>502037.5</v>
      </c>
      <c r="S10" s="166">
        <f>AVERAGE('Qrtly Credit-Deficit Generation'!S9:V9)</f>
        <v>531188.5</v>
      </c>
      <c r="T10" s="166">
        <f>AVERAGE('Qrtly Credit-Deficit Generation'!T9:W9)</f>
        <v>622043.5</v>
      </c>
      <c r="U10" s="166">
        <f>AVERAGE('Qrtly Credit-Deficit Generation'!U9:X9)</f>
        <v>710200</v>
      </c>
      <c r="V10" s="166">
        <f>AVERAGE('Qrtly Credit-Deficit Generation'!V9:Y9)</f>
        <v>805507.75</v>
      </c>
      <c r="W10" s="166">
        <f>AVERAGE('Qrtly Credit-Deficit Generation'!W9:Z9)</f>
        <v>879846.5</v>
      </c>
      <c r="X10" s="166">
        <f>AVERAGE('Qrtly Credit-Deficit Generation'!X9:AA9)</f>
        <v>866449</v>
      </c>
      <c r="Y10" s="166">
        <f>AVERAGE('Qrtly Credit-Deficit Generation'!Y9:AB9)</f>
        <v>866394.5</v>
      </c>
      <c r="Z10" s="166">
        <f>AVERAGE('Qrtly Credit-Deficit Generation'!Z9:AC9)</f>
        <v>869357.25</v>
      </c>
      <c r="AA10" s="166">
        <f>AVERAGE('Qrtly Credit-Deficit Generation'!AA9:AD9)</f>
        <v>872056</v>
      </c>
      <c r="AB10" s="166">
        <f>AVERAGE('Qrtly Credit-Deficit Generation'!AB9:AE9)</f>
        <v>870380.25</v>
      </c>
      <c r="AC10" s="166">
        <f>AVERAGE('Qrtly Credit-Deficit Generation'!AC9:AF9)</f>
        <v>850128.25</v>
      </c>
      <c r="AD10" s="166">
        <f>AVERAGE('Qrtly Credit-Deficit Generation'!AD9:AG9)</f>
        <v>854713.25</v>
      </c>
      <c r="AE10" s="166">
        <f>AVERAGE('Qrtly Credit-Deficit Generation'!AE9:AH9)</f>
        <v>864632.25</v>
      </c>
      <c r="AF10" s="166">
        <f>AVERAGE('Qrtly Credit-Deficit Generation'!AF9:AI9)</f>
        <v>907202.25</v>
      </c>
      <c r="AG10" s="166">
        <f>AVERAGE('Qrtly Credit-Deficit Generation'!AG9:AJ9)</f>
        <v>984828</v>
      </c>
      <c r="AH10" s="166">
        <f>AVERAGE('Qrtly Credit-Deficit Generation'!AH9:AK9)</f>
        <v>1039674</v>
      </c>
      <c r="AI10" s="166">
        <f>AVERAGE('Qrtly Credit-Deficit Generation'!AI9:AL9)</f>
        <v>1085533</v>
      </c>
      <c r="AJ10" s="166">
        <f>AVERAGE('Qrtly Credit-Deficit Generation'!AJ9:AM9)</f>
        <v>1110328.25</v>
      </c>
      <c r="AK10" s="166">
        <f>AVERAGE('Qrtly Credit-Deficit Generation'!AK9:AN9)</f>
        <v>1000950.75</v>
      </c>
      <c r="AL10" s="166">
        <f>AVERAGE('Qrtly Credit-Deficit Generation'!AL9:AO9)</f>
        <v>971846.5</v>
      </c>
      <c r="AM10" s="166">
        <f>AVERAGE('Qrtly Credit-Deficit Generation'!AM9:AP9)</f>
        <v>934163.75</v>
      </c>
      <c r="AN10" s="166">
        <f>AVERAGE('Qrtly Credit-Deficit Generation'!AN9:AQ9)</f>
        <v>859502</v>
      </c>
      <c r="AO10" s="166">
        <f>AVERAGE('Qrtly Credit-Deficit Generation'!AO9:AR9)</f>
        <v>948992.75</v>
      </c>
    </row>
    <row r="11" spans="1:41" x14ac:dyDescent="0.25">
      <c r="A11" s="39" t="s">
        <v>76</v>
      </c>
      <c r="B11" s="13" t="s">
        <v>170</v>
      </c>
      <c r="C11" s="166">
        <f>AVERAGE('Qrtly Credit-Deficit Generation'!C10:F10)</f>
        <v>21066.75</v>
      </c>
      <c r="D11" s="166">
        <f>AVERAGE('Qrtly Credit-Deficit Generation'!D10:G10)</f>
        <v>26837.25</v>
      </c>
      <c r="E11" s="166">
        <f>AVERAGE('Qrtly Credit-Deficit Generation'!E10:H10)</f>
        <v>31928.25</v>
      </c>
      <c r="F11" s="166">
        <f>AVERAGE('Qrtly Credit-Deficit Generation'!F10:I10)</f>
        <v>34835.25</v>
      </c>
      <c r="G11" s="166">
        <f>AVERAGE('Qrtly Credit-Deficit Generation'!G10:J10)</f>
        <v>37336.75</v>
      </c>
      <c r="H11" s="166">
        <f>AVERAGE('Qrtly Credit-Deficit Generation'!H10:K10)</f>
        <v>40337.75</v>
      </c>
      <c r="I11" s="166">
        <f>AVERAGE('Qrtly Credit-Deficit Generation'!I10:L10)</f>
        <v>60626</v>
      </c>
      <c r="J11" s="166">
        <f>AVERAGE('Qrtly Credit-Deficit Generation'!J10:M10)</f>
        <v>84731.75</v>
      </c>
      <c r="K11" s="166">
        <f>AVERAGE('Qrtly Credit-Deficit Generation'!K10:N10)</f>
        <v>141667.5</v>
      </c>
      <c r="L11" s="166">
        <f>AVERAGE('Qrtly Credit-Deficit Generation'!L10:O10)</f>
        <v>172125.5</v>
      </c>
      <c r="M11" s="166">
        <f>AVERAGE('Qrtly Credit-Deficit Generation'!M10:P10)</f>
        <v>187184.5</v>
      </c>
      <c r="N11" s="166">
        <f>AVERAGE('Qrtly Credit-Deficit Generation'!N10:Q10)</f>
        <v>193299.25</v>
      </c>
      <c r="O11" s="166">
        <f>AVERAGE('Qrtly Credit-Deficit Generation'!O10:R10)</f>
        <v>179500</v>
      </c>
      <c r="P11" s="166">
        <f>AVERAGE('Qrtly Credit-Deficit Generation'!P10:S10)</f>
        <v>186099.25</v>
      </c>
      <c r="Q11" s="166">
        <f>AVERAGE('Qrtly Credit-Deficit Generation'!Q10:T10)</f>
        <v>212265.5</v>
      </c>
      <c r="R11" s="166">
        <f>AVERAGE('Qrtly Credit-Deficit Generation'!R10:U10)</f>
        <v>264657.25</v>
      </c>
      <c r="S11" s="166">
        <f>AVERAGE('Qrtly Credit-Deficit Generation'!S10:V10)</f>
        <v>303477.5</v>
      </c>
      <c r="T11" s="166">
        <f>AVERAGE('Qrtly Credit-Deficit Generation'!T10:W10)</f>
        <v>335225.5</v>
      </c>
      <c r="U11" s="166">
        <f>AVERAGE('Qrtly Credit-Deficit Generation'!U10:X10)</f>
        <v>361311.75</v>
      </c>
      <c r="V11" s="166">
        <f>AVERAGE('Qrtly Credit-Deficit Generation'!V10:Y10)</f>
        <v>387917</v>
      </c>
      <c r="W11" s="166">
        <f>AVERAGE('Qrtly Credit-Deficit Generation'!W10:Z10)</f>
        <v>434195.75</v>
      </c>
      <c r="X11" s="166">
        <f>AVERAGE('Qrtly Credit-Deficit Generation'!X10:AA10)</f>
        <v>430204</v>
      </c>
      <c r="Y11" s="166">
        <f>AVERAGE('Qrtly Credit-Deficit Generation'!Y10:AB10)</f>
        <v>412601.75</v>
      </c>
      <c r="Z11" s="166">
        <f>AVERAGE('Qrtly Credit-Deficit Generation'!Z10:AC10)</f>
        <v>393268</v>
      </c>
      <c r="AA11" s="166">
        <f>AVERAGE('Qrtly Credit-Deficit Generation'!AA10:AD10)</f>
        <v>344934.75</v>
      </c>
      <c r="AB11" s="166">
        <f>AVERAGE('Qrtly Credit-Deficit Generation'!AB10:AE10)</f>
        <v>344859</v>
      </c>
      <c r="AC11" s="166">
        <f>AVERAGE('Qrtly Credit-Deficit Generation'!AC10:AF10)</f>
        <v>353758.75</v>
      </c>
      <c r="AD11" s="166">
        <f>AVERAGE('Qrtly Credit-Deficit Generation'!AD10:AG10)</f>
        <v>365863.75</v>
      </c>
      <c r="AE11" s="166">
        <f>AVERAGE('Qrtly Credit-Deficit Generation'!AE10:AI10)</f>
        <v>390738.8</v>
      </c>
      <c r="AF11" s="166">
        <f>AVERAGE('Qrtly Credit-Deficit Generation'!AF10:AK10)</f>
        <v>440645</v>
      </c>
      <c r="AG11" s="166">
        <f>AVERAGE('Qrtly Credit-Deficit Generation'!AG10:AL10)</f>
        <v>462299.83333333331</v>
      </c>
      <c r="AH11" s="166">
        <f>AVERAGE('Qrtly Credit-Deficit Generation'!AH10:AM10)</f>
        <v>468264.83333333331</v>
      </c>
      <c r="AI11" s="166">
        <f>AVERAGE('Qrtly Credit-Deficit Generation'!AI10:AP10)</f>
        <v>505552.125</v>
      </c>
      <c r="AJ11" s="166">
        <f>AVERAGE('Qrtly Credit-Deficit Generation'!AJ10:AQ10)</f>
        <v>522114.875</v>
      </c>
      <c r="AK11" s="166">
        <f>AVERAGE('Qrtly Credit-Deficit Generation'!AK10:AS10)</f>
        <v>548052.4444444445</v>
      </c>
      <c r="AL11" s="166">
        <f>AVERAGE('Qrtly Credit-Deficit Generation'!AL10:AT10)</f>
        <v>556818.11111111112</v>
      </c>
      <c r="AM11" s="166">
        <f>AVERAGE('Qrtly Credit-Deficit Generation'!AM10:AU10)</f>
        <v>565438.5555555555</v>
      </c>
      <c r="AN11" s="166">
        <f>AVERAGE('Qrtly Credit-Deficit Generation'!AN10:AV10)</f>
        <v>571596.66666666663</v>
      </c>
      <c r="AO11" s="166">
        <f>AVERAGE('Qrtly Credit-Deficit Generation'!AO10:AW10)</f>
        <v>579532.33333333337</v>
      </c>
    </row>
    <row r="12" spans="1:41" x14ac:dyDescent="0.25">
      <c r="A12" s="39" t="s">
        <v>77</v>
      </c>
      <c r="B12" s="13" t="s">
        <v>170</v>
      </c>
      <c r="C12" s="166">
        <f>AVERAGE('Qrtly Credit-Deficit Generation'!C11:F11)</f>
        <v>4255</v>
      </c>
      <c r="D12" s="166">
        <f>AVERAGE('Qrtly Credit-Deficit Generation'!D11:G11)</f>
        <v>5162.75</v>
      </c>
      <c r="E12" s="166">
        <f>AVERAGE('Qrtly Credit-Deficit Generation'!E11:H11)</f>
        <v>6021.75</v>
      </c>
      <c r="F12" s="166">
        <f>AVERAGE('Qrtly Credit-Deficit Generation'!F11:I11)</f>
        <v>6915.75</v>
      </c>
      <c r="G12" s="166">
        <f>AVERAGE('Qrtly Credit-Deficit Generation'!G11:J11)</f>
        <v>18164.75</v>
      </c>
      <c r="H12" s="166">
        <f>AVERAGE('Qrtly Credit-Deficit Generation'!H11:K11)</f>
        <v>32600.75</v>
      </c>
      <c r="I12" s="166">
        <f>AVERAGE('Qrtly Credit-Deficit Generation'!I11:L11)</f>
        <v>75473</v>
      </c>
      <c r="J12" s="166">
        <f>AVERAGE('Qrtly Credit-Deficit Generation'!J11:M11)</f>
        <v>145738</v>
      </c>
      <c r="K12" s="166">
        <f>AVERAGE('Qrtly Credit-Deficit Generation'!K11:N11)</f>
        <v>197482.25</v>
      </c>
      <c r="L12" s="166">
        <f>AVERAGE('Qrtly Credit-Deficit Generation'!L11:O11)</f>
        <v>229472.75</v>
      </c>
      <c r="M12" s="166">
        <f>AVERAGE('Qrtly Credit-Deficit Generation'!M11:P11)</f>
        <v>237650.5</v>
      </c>
      <c r="N12" s="166">
        <f>AVERAGE('Qrtly Credit-Deficit Generation'!N11:Q11)</f>
        <v>230531.5</v>
      </c>
      <c r="O12" s="166">
        <f>AVERAGE('Qrtly Credit-Deficit Generation'!O11:R11)</f>
        <v>211244.75</v>
      </c>
      <c r="P12" s="166">
        <f>AVERAGE('Qrtly Credit-Deficit Generation'!P11:S11)</f>
        <v>214231</v>
      </c>
      <c r="Q12" s="166">
        <f>AVERAGE('Qrtly Credit-Deficit Generation'!Q11:T11)</f>
        <v>221521.75</v>
      </c>
      <c r="R12" s="166">
        <f>AVERAGE('Qrtly Credit-Deficit Generation'!R11:U11)</f>
        <v>231039</v>
      </c>
      <c r="S12" s="166">
        <f>AVERAGE('Qrtly Credit-Deficit Generation'!S11:V11)</f>
        <v>259542.75</v>
      </c>
      <c r="T12" s="166">
        <f>AVERAGE('Qrtly Credit-Deficit Generation'!T11:W11)</f>
        <v>277096.75</v>
      </c>
      <c r="U12" s="166">
        <f>AVERAGE('Qrtly Credit-Deficit Generation'!U11:X11)</f>
        <v>384694.75</v>
      </c>
      <c r="V12" s="166">
        <f>AVERAGE('Qrtly Credit-Deficit Generation'!V11:Y11)</f>
        <v>454443.5</v>
      </c>
      <c r="W12" s="166">
        <f>AVERAGE('Qrtly Credit-Deficit Generation'!W11:Z11)</f>
        <v>560304.25</v>
      </c>
      <c r="X12" s="166">
        <f>AVERAGE('Qrtly Credit-Deficit Generation'!X11:AA11)</f>
        <v>644325.25</v>
      </c>
      <c r="Y12" s="166">
        <f>AVERAGE('Qrtly Credit-Deficit Generation'!Y11:AB11)</f>
        <v>685591.75</v>
      </c>
      <c r="Z12" s="166">
        <f>AVERAGE('Qrtly Credit-Deficit Generation'!Z11:AC11)</f>
        <v>752235</v>
      </c>
      <c r="AA12" s="166">
        <f>AVERAGE('Qrtly Credit-Deficit Generation'!AA11:AD11)</f>
        <v>741682.5</v>
      </c>
      <c r="AB12" s="166">
        <f>AVERAGE('Qrtly Credit-Deficit Generation'!AB11:AE11)</f>
        <v>794697.25</v>
      </c>
      <c r="AC12" s="166">
        <f>AVERAGE('Qrtly Credit-Deficit Generation'!AC11:AF11)</f>
        <v>811822.25</v>
      </c>
      <c r="AD12" s="166">
        <f>AVERAGE('Qrtly Credit-Deficit Generation'!AD11:AG11)</f>
        <v>771975.75</v>
      </c>
      <c r="AE12" s="166">
        <f>AVERAGE('Qrtly Credit-Deficit Generation'!AE11:AI11)</f>
        <v>936189.4</v>
      </c>
      <c r="AF12" s="166">
        <f>AVERAGE('Qrtly Credit-Deficit Generation'!AF11:AK11)</f>
        <v>1026714.5</v>
      </c>
      <c r="AG12" s="166">
        <f>AVERAGE('Qrtly Credit-Deficit Generation'!AG11:AL11)</f>
        <v>1089847</v>
      </c>
      <c r="AH12" s="166">
        <f>AVERAGE('Qrtly Credit-Deficit Generation'!AH11:AM11)</f>
        <v>1147931.3333333333</v>
      </c>
      <c r="AI12" s="166">
        <f>AVERAGE('Qrtly Credit-Deficit Generation'!AI11:AP11)</f>
        <v>1168978.375</v>
      </c>
      <c r="AJ12" s="166">
        <f>AVERAGE('Qrtly Credit-Deficit Generation'!AJ11:AQ11)</f>
        <v>1198614.75</v>
      </c>
      <c r="AK12" s="166">
        <f>AVERAGE('Qrtly Credit-Deficit Generation'!AK11:AS11)</f>
        <v>1285682.4444444445</v>
      </c>
      <c r="AL12" s="166">
        <f>AVERAGE('Qrtly Credit-Deficit Generation'!AL11:AT11)</f>
        <v>1378964.7777777778</v>
      </c>
      <c r="AM12" s="166">
        <f>AVERAGE('Qrtly Credit-Deficit Generation'!AM11:AU11)</f>
        <v>1483403.6666666667</v>
      </c>
      <c r="AN12" s="166">
        <f>AVERAGE('Qrtly Credit-Deficit Generation'!AN11:AV11)</f>
        <v>1640489.4444444445</v>
      </c>
      <c r="AO12" s="166">
        <f>AVERAGE('Qrtly Credit-Deficit Generation'!AO11:AW11)</f>
        <v>1779237.111111111</v>
      </c>
    </row>
    <row r="13" spans="1:41" x14ac:dyDescent="0.25">
      <c r="A13" s="39" t="s">
        <v>357</v>
      </c>
      <c r="B13" s="13" t="s">
        <v>170</v>
      </c>
      <c r="C13" s="166">
        <f>AVERAGE('Qrtly Credit-Deficit Generation'!C13:F13)</f>
        <v>0</v>
      </c>
      <c r="D13" s="166">
        <f>AVERAGE('Qrtly Credit-Deficit Generation'!D13:G13)</f>
        <v>0</v>
      </c>
      <c r="E13" s="166">
        <f>AVERAGE('Qrtly Credit-Deficit Generation'!E13:H13)</f>
        <v>0</v>
      </c>
      <c r="F13" s="166">
        <f>AVERAGE('Qrtly Credit-Deficit Generation'!F13:I13)</f>
        <v>0</v>
      </c>
      <c r="G13" s="166">
        <f>AVERAGE('Qrtly Credit-Deficit Generation'!G13:J13)</f>
        <v>0</v>
      </c>
      <c r="H13" s="166">
        <f>AVERAGE('Qrtly Credit-Deficit Generation'!H13:K13)</f>
        <v>0</v>
      </c>
      <c r="I13" s="166">
        <f>AVERAGE('Qrtly Credit-Deficit Generation'!I13:L13)</f>
        <v>0</v>
      </c>
      <c r="J13" s="166">
        <f>AVERAGE('Qrtly Credit-Deficit Generation'!J13:M13)</f>
        <v>0</v>
      </c>
      <c r="K13" s="166">
        <f>AVERAGE('Qrtly Credit-Deficit Generation'!K13:N13)</f>
        <v>0</v>
      </c>
      <c r="L13" s="166">
        <f>AVERAGE('Qrtly Credit-Deficit Generation'!L13:O13)</f>
        <v>0</v>
      </c>
      <c r="M13" s="166">
        <f>AVERAGE('Qrtly Credit-Deficit Generation'!M13:P13)</f>
        <v>0</v>
      </c>
      <c r="N13" s="166">
        <f>AVERAGE('Qrtly Credit-Deficit Generation'!N13:Q13)</f>
        <v>0</v>
      </c>
      <c r="O13" s="166">
        <f>AVERAGE('Qrtly Credit-Deficit Generation'!O13:R13)</f>
        <v>0</v>
      </c>
      <c r="P13" s="166">
        <f>AVERAGE('Qrtly Credit-Deficit Generation'!P13:S13)</f>
        <v>0</v>
      </c>
      <c r="Q13" s="166">
        <f>AVERAGE('Qrtly Credit-Deficit Generation'!Q13:T13)</f>
        <v>0</v>
      </c>
      <c r="R13" s="166">
        <f>AVERAGE('Qrtly Credit-Deficit Generation'!R13:U13)</f>
        <v>0</v>
      </c>
      <c r="S13" s="166">
        <f>AVERAGE('Qrtly Credit-Deficit Generation'!S13:V13)</f>
        <v>0</v>
      </c>
      <c r="T13" s="166">
        <f>AVERAGE('Qrtly Credit-Deficit Generation'!T13:W13)</f>
        <v>0</v>
      </c>
      <c r="U13" s="166">
        <f>AVERAGE('Qrtly Credit-Deficit Generation'!U13:X13)</f>
        <v>0</v>
      </c>
      <c r="V13" s="166">
        <f>AVERAGE('Qrtly Credit-Deficit Generation'!V13:Y13)</f>
        <v>0</v>
      </c>
      <c r="W13" s="166">
        <f>AVERAGE('Qrtly Credit-Deficit Generation'!W13:Z13)</f>
        <v>0</v>
      </c>
      <c r="X13" s="166">
        <f>AVERAGE('Qrtly Credit-Deficit Generation'!X13:AA13)</f>
        <v>0</v>
      </c>
      <c r="Y13" s="166">
        <f>AVERAGE('Qrtly Credit-Deficit Generation'!Y13:AB13)</f>
        <v>0</v>
      </c>
      <c r="Z13" s="166">
        <f>AVERAGE('Qrtly Credit-Deficit Generation'!Z13:AC13)</f>
        <v>0</v>
      </c>
      <c r="AA13" s="166">
        <f>AVERAGE('Qrtly Credit-Deficit Generation'!AA13:AD13)</f>
        <v>0</v>
      </c>
      <c r="AB13" s="166">
        <f>AVERAGE('Qrtly Credit-Deficit Generation'!AB13:AE13)</f>
        <v>0</v>
      </c>
      <c r="AC13" s="166">
        <f>AVERAGE('Qrtly Credit-Deficit Generation'!AC13:AF13)</f>
        <v>0</v>
      </c>
      <c r="AD13" s="166">
        <f>AVERAGE('Qrtly Credit-Deficit Generation'!AD13:AG13)</f>
        <v>0</v>
      </c>
      <c r="AE13" s="166">
        <f>AVERAGE('Qrtly Credit-Deficit Generation'!AE13:AH13)</f>
        <v>270.5</v>
      </c>
      <c r="AF13" s="166">
        <f>AVERAGE('Qrtly Credit-Deficit Generation'!AF13:AI13)</f>
        <v>440.25</v>
      </c>
      <c r="AG13" s="166">
        <f>AVERAGE('Qrtly Credit-Deficit Generation'!AG13:AJ13)</f>
        <v>1499.25</v>
      </c>
      <c r="AH13" s="166">
        <f>AVERAGE('Qrtly Credit-Deficit Generation'!AH13:AK13)</f>
        <v>1789.5</v>
      </c>
      <c r="AI13" s="166">
        <f>AVERAGE('Qrtly Credit-Deficit Generation'!AI13:AL13)</f>
        <v>2004.5</v>
      </c>
      <c r="AJ13" s="166">
        <f>AVERAGE('Qrtly Credit-Deficit Generation'!AJ13:AM13)</f>
        <v>2426.75</v>
      </c>
      <c r="AK13" s="166">
        <f>AVERAGE('Qrtly Credit-Deficit Generation'!AK13:AN13)</f>
        <v>1952.25</v>
      </c>
      <c r="AL13" s="166">
        <f>AVERAGE('Qrtly Credit-Deficit Generation'!AL13:AO13)</f>
        <v>3280</v>
      </c>
      <c r="AM13" s="166">
        <f>AVERAGE('Qrtly Credit-Deficit Generation'!AM13:AP13)</f>
        <v>3980.25</v>
      </c>
      <c r="AN13" s="166">
        <f>AVERAGE('Qrtly Credit-Deficit Generation'!AN13:AQ13)</f>
        <v>6232.5</v>
      </c>
      <c r="AO13" s="166">
        <f>AVERAGE('Qrtly Credit-Deficit Generation'!AO13:AR13)</f>
        <v>9480.75</v>
      </c>
    </row>
    <row r="14" spans="1:41" x14ac:dyDescent="0.25">
      <c r="A14" s="39" t="s">
        <v>80</v>
      </c>
      <c r="B14" s="13" t="s">
        <v>170</v>
      </c>
      <c r="C14" s="166">
        <f>AVERAGE('Qrtly Credit-Deficit Generation'!C14:F14)</f>
        <v>0</v>
      </c>
      <c r="D14" s="166">
        <f>AVERAGE('Qrtly Credit-Deficit Generation'!D14:G14)</f>
        <v>0</v>
      </c>
      <c r="E14" s="166">
        <f>AVERAGE('Qrtly Credit-Deficit Generation'!E14:H14)</f>
        <v>0</v>
      </c>
      <c r="F14" s="166">
        <f>AVERAGE('Qrtly Credit-Deficit Generation'!F14:I14)</f>
        <v>0</v>
      </c>
      <c r="G14" s="166">
        <f>AVERAGE('Qrtly Credit-Deficit Generation'!G14:J14)</f>
        <v>0</v>
      </c>
      <c r="H14" s="166">
        <f>AVERAGE('Qrtly Credit-Deficit Generation'!H14:K14)</f>
        <v>0</v>
      </c>
      <c r="I14" s="166">
        <f>AVERAGE('Qrtly Credit-Deficit Generation'!I14:L14)</f>
        <v>0</v>
      </c>
      <c r="J14" s="166">
        <f>AVERAGE('Qrtly Credit-Deficit Generation'!J14:M14)</f>
        <v>0</v>
      </c>
      <c r="K14" s="166">
        <f>AVERAGE('Qrtly Credit-Deficit Generation'!K14:N14)</f>
        <v>0</v>
      </c>
      <c r="L14" s="166">
        <f>AVERAGE('Qrtly Credit-Deficit Generation'!L14:O14)</f>
        <v>0</v>
      </c>
      <c r="M14" s="166">
        <f>AVERAGE('Qrtly Credit-Deficit Generation'!M14:P14)</f>
        <v>0</v>
      </c>
      <c r="N14" s="166">
        <f>AVERAGE('Qrtly Credit-Deficit Generation'!N14:Q14)</f>
        <v>0</v>
      </c>
      <c r="O14" s="166">
        <f>AVERAGE('Qrtly Credit-Deficit Generation'!O14:R14)</f>
        <v>0</v>
      </c>
      <c r="P14" s="166">
        <f>AVERAGE('Qrtly Credit-Deficit Generation'!P14:S14)</f>
        <v>0</v>
      </c>
      <c r="Q14" s="166">
        <f>AVERAGE('Qrtly Credit-Deficit Generation'!Q14:T14)</f>
        <v>0</v>
      </c>
      <c r="R14" s="166">
        <f>AVERAGE('Qrtly Credit-Deficit Generation'!R14:U14)</f>
        <v>0</v>
      </c>
      <c r="S14" s="166">
        <f>AVERAGE('Qrtly Credit-Deficit Generation'!S14:V14)</f>
        <v>0</v>
      </c>
      <c r="T14" s="166">
        <f>AVERAGE('Qrtly Credit-Deficit Generation'!T14:W14)</f>
        <v>0</v>
      </c>
      <c r="U14" s="166">
        <f>AVERAGE('Qrtly Credit-Deficit Generation'!U14:X14)</f>
        <v>0</v>
      </c>
      <c r="V14" s="166">
        <f>AVERAGE('Qrtly Credit-Deficit Generation'!V14:Y14)</f>
        <v>0</v>
      </c>
      <c r="W14" s="166">
        <f>AVERAGE('Qrtly Credit-Deficit Generation'!W14:Z14)</f>
        <v>0</v>
      </c>
      <c r="X14" s="166">
        <f>AVERAGE('Qrtly Credit-Deficit Generation'!X14:AA14)</f>
        <v>0</v>
      </c>
      <c r="Y14" s="166">
        <f>AVERAGE('Qrtly Credit-Deficit Generation'!Y14:AB14)</f>
        <v>0</v>
      </c>
      <c r="Z14" s="166">
        <f>AVERAGE('Qrtly Credit-Deficit Generation'!Z14:AC14)</f>
        <v>0</v>
      </c>
      <c r="AA14" s="166">
        <f>AVERAGE('Qrtly Credit-Deficit Generation'!AA14:AD14)</f>
        <v>0</v>
      </c>
      <c r="AB14" s="166">
        <f>AVERAGE('Qrtly Credit-Deficit Generation'!AB14:AE14)</f>
        <v>0</v>
      </c>
      <c r="AC14" s="166">
        <f>AVERAGE('Qrtly Credit-Deficit Generation'!AC14:AF14)</f>
        <v>0</v>
      </c>
      <c r="AD14" s="166">
        <f>AVERAGE('Qrtly Credit-Deficit Generation'!AD14:AG14)</f>
        <v>0</v>
      </c>
      <c r="AE14" s="166">
        <f>AVERAGE('Qrtly Credit-Deficit Generation'!AE14:AH14)</f>
        <v>0</v>
      </c>
      <c r="AF14" s="166">
        <f>AVERAGE('Qrtly Credit-Deficit Generation'!AF14:AI14)</f>
        <v>16</v>
      </c>
      <c r="AG14" s="166">
        <f>AVERAGE('Qrtly Credit-Deficit Generation'!AG14:AJ14)</f>
        <v>171.75</v>
      </c>
      <c r="AH14" s="166">
        <f>AVERAGE('Qrtly Credit-Deficit Generation'!AH14:AK14)</f>
        <v>540.5</v>
      </c>
      <c r="AI14" s="166">
        <f>AVERAGE('Qrtly Credit-Deficit Generation'!AI14:AL14)</f>
        <v>923.5</v>
      </c>
      <c r="AJ14" s="166">
        <f>AVERAGE('Qrtly Credit-Deficit Generation'!AJ14:AM14)</f>
        <v>1739.5</v>
      </c>
      <c r="AK14" s="166">
        <f>AVERAGE('Qrtly Credit-Deficit Generation'!AK14:AN14)</f>
        <v>3041.75</v>
      </c>
      <c r="AL14" s="166">
        <f>AVERAGE('Qrtly Credit-Deficit Generation'!AL14:AO14)</f>
        <v>4146</v>
      </c>
      <c r="AM14" s="166">
        <f>AVERAGE('Qrtly Credit-Deficit Generation'!AM14:AP14)</f>
        <v>5303</v>
      </c>
      <c r="AN14" s="166">
        <f>AVERAGE('Qrtly Credit-Deficit Generation'!AN14:AQ14)</f>
        <v>6879.25</v>
      </c>
      <c r="AO14" s="166">
        <f>AVERAGE('Qrtly Credit-Deficit Generation'!AO14:AR14)</f>
        <v>7534</v>
      </c>
    </row>
    <row r="15" spans="1:41" x14ac:dyDescent="0.25">
      <c r="A15" s="39" t="s">
        <v>202</v>
      </c>
      <c r="B15" s="13" t="s">
        <v>170</v>
      </c>
      <c r="C15" s="166"/>
      <c r="D15" s="166"/>
      <c r="E15" s="166"/>
      <c r="F15" s="166"/>
      <c r="G15" s="166"/>
      <c r="H15" s="166"/>
      <c r="I15" s="166"/>
      <c r="J15" s="166"/>
      <c r="K15" s="166"/>
      <c r="L15" s="166"/>
      <c r="M15" s="166"/>
      <c r="N15" s="166"/>
      <c r="O15" s="166"/>
      <c r="P15" s="166"/>
      <c r="Q15" s="166"/>
      <c r="R15" s="166"/>
      <c r="S15" s="166"/>
      <c r="T15" s="166"/>
      <c r="U15" s="166"/>
      <c r="V15" s="166">
        <f>AVERAGE('Qrtly Credit-Deficit Generation'!V40:Y40)</f>
        <v>845</v>
      </c>
      <c r="W15" s="166">
        <f>AVERAGE('Qrtly Credit-Deficit Generation'!W40:Z40)</f>
        <v>715.5</v>
      </c>
      <c r="X15" s="166">
        <f>AVERAGE('Qrtly Credit-Deficit Generation'!X40:AA40)</f>
        <v>654.33333333333337</v>
      </c>
      <c r="Y15" s="166">
        <f>AVERAGE('Qrtly Credit-Deficit Generation'!Y40:AB40)</f>
        <v>706.25</v>
      </c>
      <c r="Z15" s="166">
        <f>AVERAGE('Qrtly Credit-Deficit Generation'!Z40:AC40)</f>
        <v>698.25</v>
      </c>
      <c r="AA15" s="166">
        <f>AVERAGE('Qrtly Credit-Deficit Generation'!AA40:AD40)</f>
        <v>707.75</v>
      </c>
      <c r="AB15" s="166">
        <f>AVERAGE('Qrtly Credit-Deficit Generation'!AB40:AE40)</f>
        <v>724.75</v>
      </c>
      <c r="AC15" s="166">
        <f>AVERAGE('Qrtly Credit-Deficit Generation'!AC40:AF40)</f>
        <v>725</v>
      </c>
      <c r="AD15" s="166">
        <f>AVERAGE('Qrtly Credit-Deficit Generation'!AD40:AG40)</f>
        <v>746.75</v>
      </c>
      <c r="AE15" s="166">
        <f>AVERAGE('Qrtly Credit-Deficit Generation'!AE40:AH40)</f>
        <v>746.25</v>
      </c>
      <c r="AF15" s="166">
        <f>AVERAGE('Qrtly Credit-Deficit Generation'!AF40:AI40)</f>
        <v>752.5</v>
      </c>
      <c r="AG15" s="166">
        <f>AVERAGE('Qrtly Credit-Deficit Generation'!AG40:AJ40)</f>
        <v>791.5</v>
      </c>
      <c r="AH15" s="166">
        <f>AVERAGE('Qrtly Credit-Deficit Generation'!AH40:AK40)</f>
        <v>827.25</v>
      </c>
      <c r="AI15" s="166">
        <f>AVERAGE('Qrtly Credit-Deficit Generation'!AI40:AL40)</f>
        <v>838</v>
      </c>
      <c r="AJ15" s="166">
        <f>AVERAGE('Qrtly Credit-Deficit Generation'!AJ40:AM40)</f>
        <v>890.75</v>
      </c>
      <c r="AK15" s="166">
        <f>AVERAGE('Qrtly Credit-Deficit Generation'!AK40:AM40)</f>
        <v>848</v>
      </c>
      <c r="AL15" s="166">
        <f>AVERAGE('Qrtly Credit-Deficit Generation'!AL40:AO40)</f>
        <v>3810.75</v>
      </c>
      <c r="AM15" s="166">
        <f>AVERAGE('Qrtly Credit-Deficit Generation'!AM40:AP40)</f>
        <v>4821.75</v>
      </c>
      <c r="AN15" s="166">
        <f>AVERAGE('Qrtly Credit-Deficit Generation'!AN40:AQ40)</f>
        <v>7312</v>
      </c>
      <c r="AO15" s="166">
        <f>AVERAGE('Qrtly Credit-Deficit Generation'!AO40:AR40)</f>
        <v>9576.5</v>
      </c>
    </row>
    <row r="16" spans="1:41" ht="25.5" x14ac:dyDescent="0.25">
      <c r="A16" s="39" t="s">
        <v>203</v>
      </c>
      <c r="B16" s="13" t="s">
        <v>170</v>
      </c>
      <c r="C16" s="166"/>
      <c r="D16" s="166"/>
      <c r="E16" s="166"/>
      <c r="F16" s="166"/>
      <c r="G16" s="166"/>
      <c r="H16" s="166"/>
      <c r="I16" s="166"/>
      <c r="J16" s="166"/>
      <c r="K16" s="166"/>
      <c r="L16" s="166"/>
      <c r="M16" s="166"/>
      <c r="N16" s="166"/>
      <c r="O16" s="166"/>
      <c r="P16" s="166"/>
      <c r="Q16" s="166"/>
      <c r="R16" s="166"/>
      <c r="S16" s="166"/>
      <c r="T16" s="166">
        <f>AVERAGE('Qrtly Credit-Deficit Generation'!T41:W41)</f>
        <v>37942</v>
      </c>
      <c r="U16" s="166">
        <f>AVERAGE('Qrtly Credit-Deficit Generation'!U41:X41)</f>
        <v>38078.5</v>
      </c>
      <c r="V16" s="166">
        <f>AVERAGE('Qrtly Credit-Deficit Generation'!V41:Y41)</f>
        <v>38384.666666666664</v>
      </c>
      <c r="W16" s="166">
        <f>AVERAGE('Qrtly Credit-Deficit Generation'!W41:Z41)</f>
        <v>38514.75</v>
      </c>
      <c r="X16" s="166">
        <f>AVERAGE('Qrtly Credit-Deficit Generation'!X41:AA41)</f>
        <v>38012.75</v>
      </c>
      <c r="Y16" s="166">
        <f>AVERAGE('Qrtly Credit-Deficit Generation'!Y41:AB41)</f>
        <v>37442.75</v>
      </c>
      <c r="Z16" s="166">
        <f>AVERAGE('Qrtly Credit-Deficit Generation'!Z41:AC41)</f>
        <v>36677</v>
      </c>
      <c r="AA16" s="166">
        <f>AVERAGE('Qrtly Credit-Deficit Generation'!AA41:AD41)</f>
        <v>35934.75</v>
      </c>
      <c r="AB16" s="166">
        <f>AVERAGE('Qrtly Credit-Deficit Generation'!AB41:AE41)</f>
        <v>35341.5</v>
      </c>
      <c r="AC16" s="166">
        <f>AVERAGE('Qrtly Credit-Deficit Generation'!AC41:AF41)</f>
        <v>34748.5</v>
      </c>
      <c r="AD16" s="166">
        <f>AVERAGE('Qrtly Credit-Deficit Generation'!AD41:AG41)</f>
        <v>34155.25</v>
      </c>
      <c r="AE16" s="166"/>
      <c r="AF16" s="166"/>
      <c r="AG16" s="166"/>
      <c r="AH16" s="166"/>
      <c r="AI16" s="166"/>
      <c r="AJ16" s="166"/>
      <c r="AK16" s="166"/>
      <c r="AL16" s="166"/>
      <c r="AM16" s="166"/>
      <c r="AN16" s="166"/>
      <c r="AO16" s="166"/>
    </row>
    <row r="17" spans="1:54" x14ac:dyDescent="0.25">
      <c r="A17" s="39" t="s">
        <v>204</v>
      </c>
      <c r="B17" s="13" t="s">
        <v>170</v>
      </c>
      <c r="C17" s="166"/>
      <c r="D17" s="166"/>
      <c r="E17" s="166"/>
      <c r="F17" s="166"/>
      <c r="G17" s="166"/>
      <c r="H17" s="166"/>
      <c r="I17" s="166"/>
      <c r="J17" s="166"/>
      <c r="K17" s="166"/>
      <c r="L17" s="166"/>
      <c r="M17" s="166"/>
      <c r="N17" s="166"/>
      <c r="O17" s="166"/>
      <c r="P17" s="166"/>
      <c r="Q17" s="166"/>
      <c r="R17" s="166"/>
      <c r="S17" s="166"/>
      <c r="T17" s="166"/>
      <c r="U17" s="166"/>
      <c r="V17" s="166"/>
      <c r="W17" s="166"/>
      <c r="X17" s="166"/>
      <c r="Y17" s="166"/>
      <c r="Z17" s="166"/>
      <c r="AA17" s="166"/>
      <c r="AB17" s="166"/>
      <c r="AC17" s="166"/>
      <c r="AD17" s="166"/>
      <c r="AE17" s="166"/>
      <c r="AF17" s="166"/>
      <c r="AG17" s="166"/>
      <c r="AH17" s="166">
        <f>AVERAGE('Qrtly Credit-Deficit Generation'!AH42:AK42)</f>
        <v>10757</v>
      </c>
      <c r="AI17" s="166">
        <f>AVERAGE('Qrtly Credit-Deficit Generation'!AI42:AL42)</f>
        <v>11186.5</v>
      </c>
      <c r="AJ17" s="166">
        <f>AVERAGE('Qrtly Credit-Deficit Generation'!AJ42:AM42)</f>
        <v>10756.666666666666</v>
      </c>
      <c r="AK17" s="166">
        <f>AVERAGE('Qrtly Credit-Deficit Generation'!AK42:AN42)</f>
        <v>8591.25</v>
      </c>
      <c r="AL17" s="166">
        <f>AVERAGE('Qrtly Credit-Deficit Generation'!AL42:AO42)</f>
        <v>7869.333333333333</v>
      </c>
      <c r="AM17" s="166"/>
      <c r="AN17" s="166"/>
      <c r="AO17" s="166"/>
    </row>
    <row r="18" spans="1:54" ht="25.5" x14ac:dyDescent="0.25">
      <c r="A18" s="39" t="s">
        <v>358</v>
      </c>
      <c r="B18" s="13" t="s">
        <v>170</v>
      </c>
      <c r="C18" s="166"/>
      <c r="D18" s="166"/>
      <c r="E18" s="166"/>
      <c r="F18" s="166"/>
      <c r="G18" s="166"/>
      <c r="H18" s="166"/>
      <c r="I18" s="166"/>
      <c r="J18" s="166"/>
      <c r="K18" s="166"/>
      <c r="L18" s="166"/>
      <c r="M18" s="166"/>
      <c r="N18" s="166"/>
      <c r="O18" s="166"/>
      <c r="P18" s="166"/>
      <c r="Q18" s="166"/>
      <c r="R18" s="166"/>
      <c r="S18" s="166"/>
      <c r="T18" s="166"/>
      <c r="U18" s="166"/>
      <c r="V18" s="166"/>
      <c r="W18" s="166"/>
      <c r="X18" s="166"/>
      <c r="Y18" s="166"/>
      <c r="Z18" s="166"/>
      <c r="AA18" s="166"/>
      <c r="AB18" s="166"/>
      <c r="AC18" s="166"/>
      <c r="AD18" s="166"/>
      <c r="AE18" s="166"/>
      <c r="AF18" s="166"/>
      <c r="AG18" s="166">
        <f>AVERAGE('Qrtly Credit-Deficit Generation'!AG44:AJ44)</f>
        <v>920.5</v>
      </c>
      <c r="AH18" s="166">
        <f>AVERAGE('Qrtly Credit-Deficit Generation'!AH44:AK44)</f>
        <v>1556</v>
      </c>
      <c r="AI18" s="166">
        <f>AVERAGE('Qrtly Credit-Deficit Generation'!AI44:AL44)</f>
        <v>2527.5</v>
      </c>
      <c r="AJ18" s="166">
        <f>AVERAGE('Qrtly Credit-Deficit Generation'!AJ44:AM44)</f>
        <v>3889.5</v>
      </c>
      <c r="AK18" s="166">
        <f>AVERAGE('Qrtly Credit-Deficit Generation'!AK44:AN44)</f>
        <v>4888.75</v>
      </c>
      <c r="AL18" s="166">
        <f>AVERAGE('Qrtly Credit-Deficit Generation'!AL44:AO44)</f>
        <v>6439.5</v>
      </c>
      <c r="AM18" s="166">
        <f>AVERAGE('Qrtly Credit-Deficit Generation'!AM44:AP44)</f>
        <v>8491.75</v>
      </c>
      <c r="AN18" s="166">
        <f>AVERAGE('Qrtly Credit-Deficit Generation'!AN44:AQ44)</f>
        <v>10096.5</v>
      </c>
      <c r="AO18" s="166">
        <f>AVERAGE('Qrtly Credit-Deficit Generation'!AO44:AR44)</f>
        <v>13239.25</v>
      </c>
    </row>
    <row r="19" spans="1:54" x14ac:dyDescent="0.25">
      <c r="A19" s="39" t="s">
        <v>359</v>
      </c>
      <c r="B19" s="13" t="s">
        <v>170</v>
      </c>
      <c r="C19" s="166"/>
      <c r="D19" s="166"/>
      <c r="E19" s="166"/>
      <c r="F19" s="166"/>
      <c r="G19" s="166"/>
      <c r="H19" s="166"/>
      <c r="I19" s="166"/>
      <c r="J19" s="166"/>
      <c r="K19" s="166"/>
      <c r="L19" s="166"/>
      <c r="M19" s="166"/>
      <c r="N19" s="166"/>
      <c r="O19" s="166"/>
      <c r="P19" s="166"/>
      <c r="Q19" s="166"/>
      <c r="R19" s="166"/>
      <c r="S19" s="166"/>
      <c r="T19" s="166"/>
      <c r="U19" s="166"/>
      <c r="V19" s="166"/>
      <c r="W19" s="166"/>
      <c r="X19" s="166"/>
      <c r="Y19" s="166"/>
      <c r="Z19" s="166"/>
      <c r="AA19" s="166"/>
      <c r="AB19" s="166"/>
      <c r="AC19" s="166"/>
      <c r="AD19" s="166"/>
      <c r="AE19" s="166"/>
      <c r="AF19" s="166"/>
      <c r="AG19" s="166">
        <f>AVERAGE('Qrtly Credit-Deficit Generation'!AG45:AJ45)</f>
        <v>177.5</v>
      </c>
      <c r="AH19" s="166">
        <f>AVERAGE('Qrtly Credit-Deficit Generation'!AH45:AK45)</f>
        <v>662</v>
      </c>
      <c r="AI19" s="166">
        <f>AVERAGE('Qrtly Credit-Deficit Generation'!AI45:AL45)</f>
        <v>1321.75</v>
      </c>
      <c r="AJ19" s="166">
        <f>AVERAGE('Qrtly Credit-Deficit Generation'!AJ45:AM45)</f>
        <v>2212.25</v>
      </c>
      <c r="AK19" s="166">
        <f>AVERAGE('Qrtly Credit-Deficit Generation'!AK45:AN45)</f>
        <v>2956.5</v>
      </c>
      <c r="AL19" s="166">
        <f>AVERAGE('Qrtly Credit-Deficit Generation'!AL45:AO45)</f>
        <v>3479.5</v>
      </c>
      <c r="AM19" s="166">
        <f>AVERAGE('Qrtly Credit-Deficit Generation'!AM45:AP45)</f>
        <v>4267</v>
      </c>
      <c r="AN19" s="166">
        <f>AVERAGE('Qrtly Credit-Deficit Generation'!AN45:AQ45)</f>
        <v>6158.5</v>
      </c>
      <c r="AO19" s="166">
        <f>AVERAGE('Qrtly Credit-Deficit Generation'!AO45:AR45)</f>
        <v>7418.25</v>
      </c>
    </row>
    <row r="20" spans="1:54" x14ac:dyDescent="0.25">
      <c r="A20" s="39" t="s">
        <v>87</v>
      </c>
      <c r="B20" s="13" t="s">
        <v>87</v>
      </c>
      <c r="C20" s="166" t="s">
        <v>87</v>
      </c>
      <c r="D20" s="166"/>
      <c r="E20" s="166" t="s">
        <v>87</v>
      </c>
      <c r="F20" s="166" t="s">
        <v>87</v>
      </c>
      <c r="G20" s="166" t="s">
        <v>87</v>
      </c>
      <c r="H20" s="166" t="s">
        <v>87</v>
      </c>
      <c r="I20" s="166" t="s">
        <v>87</v>
      </c>
      <c r="J20" s="166" t="s">
        <v>87</v>
      </c>
      <c r="K20" s="166" t="s">
        <v>87</v>
      </c>
      <c r="L20" s="166" t="s">
        <v>87</v>
      </c>
      <c r="M20" s="166" t="s">
        <v>87</v>
      </c>
      <c r="N20" s="166" t="s">
        <v>87</v>
      </c>
      <c r="O20" s="166" t="s">
        <v>87</v>
      </c>
      <c r="P20" s="166" t="s">
        <v>87</v>
      </c>
      <c r="Q20" s="166" t="s">
        <v>87</v>
      </c>
      <c r="R20" s="166" t="s">
        <v>87</v>
      </c>
      <c r="S20" s="166" t="s">
        <v>87</v>
      </c>
      <c r="T20" s="166" t="s">
        <v>87</v>
      </c>
      <c r="U20" s="166" t="s">
        <v>87</v>
      </c>
      <c r="V20" s="166" t="s">
        <v>87</v>
      </c>
      <c r="W20" s="166" t="s">
        <v>87</v>
      </c>
      <c r="X20" s="166" t="s">
        <v>87</v>
      </c>
      <c r="Y20" s="166" t="s">
        <v>87</v>
      </c>
      <c r="Z20" s="166" t="s">
        <v>87</v>
      </c>
      <c r="AA20" s="166" t="s">
        <v>87</v>
      </c>
      <c r="AB20" s="166" t="s">
        <v>87</v>
      </c>
      <c r="AC20" s="13" t="s">
        <v>87</v>
      </c>
      <c r="AD20" s="13" t="s">
        <v>87</v>
      </c>
      <c r="AE20" s="13" t="s">
        <v>87</v>
      </c>
    </row>
    <row r="21" spans="1:54" x14ac:dyDescent="0.25">
      <c r="A21" s="79" t="s">
        <v>360</v>
      </c>
      <c r="B21" s="13" t="s">
        <v>87</v>
      </c>
      <c r="C21" s="166" t="s">
        <v>87</v>
      </c>
      <c r="D21" s="166" t="s">
        <v>87</v>
      </c>
      <c r="E21" s="166" t="s">
        <v>87</v>
      </c>
      <c r="F21" s="166" t="s">
        <v>87</v>
      </c>
      <c r="G21" s="166" t="s">
        <v>87</v>
      </c>
      <c r="H21" s="166" t="s">
        <v>87</v>
      </c>
      <c r="I21" s="166" t="s">
        <v>87</v>
      </c>
      <c r="J21" s="166" t="s">
        <v>87</v>
      </c>
      <c r="K21" s="166" t="s">
        <v>87</v>
      </c>
      <c r="L21" s="166" t="s">
        <v>87</v>
      </c>
      <c r="M21" s="166" t="s">
        <v>87</v>
      </c>
      <c r="N21" s="166" t="s">
        <v>87</v>
      </c>
      <c r="O21" s="166" t="s">
        <v>87</v>
      </c>
      <c r="P21" s="166" t="s">
        <v>87</v>
      </c>
      <c r="Q21" s="166" t="s">
        <v>87</v>
      </c>
      <c r="R21" s="166" t="s">
        <v>87</v>
      </c>
      <c r="S21" s="166" t="s">
        <v>87</v>
      </c>
      <c r="T21" s="166" t="s">
        <v>87</v>
      </c>
      <c r="U21" s="166" t="s">
        <v>87</v>
      </c>
      <c r="V21" s="166" t="s">
        <v>87</v>
      </c>
      <c r="W21" s="166" t="s">
        <v>87</v>
      </c>
      <c r="X21" s="166" t="s">
        <v>87</v>
      </c>
      <c r="Y21" s="166" t="s">
        <v>87</v>
      </c>
      <c r="Z21" s="166" t="s">
        <v>87</v>
      </c>
      <c r="AA21" s="166" t="s">
        <v>87</v>
      </c>
      <c r="AB21" s="166" t="s">
        <v>87</v>
      </c>
      <c r="AC21" s="13" t="s">
        <v>87</v>
      </c>
      <c r="AD21" s="13" t="s">
        <v>87</v>
      </c>
      <c r="AE21" s="13" t="s">
        <v>87</v>
      </c>
    </row>
    <row r="22" spans="1:54" x14ac:dyDescent="0.25">
      <c r="A22" s="38" t="s">
        <v>75</v>
      </c>
      <c r="B22" s="13" t="s">
        <v>170</v>
      </c>
      <c r="C22" s="166">
        <f>C10</f>
        <v>255888.25</v>
      </c>
      <c r="D22" s="166">
        <f t="shared" ref="D22:AO22" si="0">D10</f>
        <v>266727.25</v>
      </c>
      <c r="E22" s="166">
        <f t="shared" si="0"/>
        <v>269743.5</v>
      </c>
      <c r="F22" s="166">
        <f t="shared" si="0"/>
        <v>288811</v>
      </c>
      <c r="G22" s="166">
        <f t="shared" si="0"/>
        <v>304773.5</v>
      </c>
      <c r="H22" s="166">
        <f t="shared" si="0"/>
        <v>351042.25</v>
      </c>
      <c r="I22" s="166">
        <f t="shared" si="0"/>
        <v>394796.75</v>
      </c>
      <c r="J22" s="166">
        <f t="shared" si="0"/>
        <v>451907.5</v>
      </c>
      <c r="K22" s="166">
        <f t="shared" si="0"/>
        <v>495969.5</v>
      </c>
      <c r="L22" s="166">
        <f t="shared" si="0"/>
        <v>499193</v>
      </c>
      <c r="M22" s="166">
        <f t="shared" si="0"/>
        <v>527117.75</v>
      </c>
      <c r="N22" s="166">
        <f t="shared" si="0"/>
        <v>512500.5</v>
      </c>
      <c r="O22" s="166">
        <f t="shared" si="0"/>
        <v>507720.75</v>
      </c>
      <c r="P22" s="166">
        <f t="shared" si="0"/>
        <v>511213.5</v>
      </c>
      <c r="Q22" s="166">
        <f t="shared" si="0"/>
        <v>499516</v>
      </c>
      <c r="R22" s="166">
        <f t="shared" si="0"/>
        <v>502037.5</v>
      </c>
      <c r="S22" s="166">
        <f t="shared" si="0"/>
        <v>531188.5</v>
      </c>
      <c r="T22" s="166">
        <f t="shared" si="0"/>
        <v>622043.5</v>
      </c>
      <c r="U22" s="166">
        <f t="shared" si="0"/>
        <v>710200</v>
      </c>
      <c r="V22" s="166">
        <f t="shared" si="0"/>
        <v>805507.75</v>
      </c>
      <c r="W22" s="166">
        <f t="shared" si="0"/>
        <v>879846.5</v>
      </c>
      <c r="X22" s="166">
        <f t="shared" si="0"/>
        <v>866449</v>
      </c>
      <c r="Y22" s="166">
        <f t="shared" si="0"/>
        <v>866394.5</v>
      </c>
      <c r="Z22" s="166">
        <f t="shared" si="0"/>
        <v>869357.25</v>
      </c>
      <c r="AA22" s="166">
        <f t="shared" si="0"/>
        <v>872056</v>
      </c>
      <c r="AB22" s="166">
        <f t="shared" si="0"/>
        <v>870380.25</v>
      </c>
      <c r="AC22" s="166">
        <f t="shared" si="0"/>
        <v>850128.25</v>
      </c>
      <c r="AD22" s="166">
        <f t="shared" si="0"/>
        <v>854713.25</v>
      </c>
      <c r="AE22" s="166">
        <f t="shared" si="0"/>
        <v>864632.25</v>
      </c>
      <c r="AF22" s="166">
        <f t="shared" si="0"/>
        <v>907202.25</v>
      </c>
      <c r="AG22" s="166">
        <f t="shared" si="0"/>
        <v>984828</v>
      </c>
      <c r="AH22" s="166">
        <f t="shared" si="0"/>
        <v>1039674</v>
      </c>
      <c r="AI22" s="166">
        <f t="shared" si="0"/>
        <v>1085533</v>
      </c>
      <c r="AJ22" s="166">
        <f t="shared" si="0"/>
        <v>1110328.25</v>
      </c>
      <c r="AK22" s="166">
        <f t="shared" si="0"/>
        <v>1000950.75</v>
      </c>
      <c r="AL22" s="166">
        <f t="shared" si="0"/>
        <v>971846.5</v>
      </c>
      <c r="AM22" s="166">
        <f t="shared" si="0"/>
        <v>934163.75</v>
      </c>
      <c r="AN22" s="166">
        <f t="shared" si="0"/>
        <v>859502</v>
      </c>
      <c r="AO22" s="166">
        <f t="shared" si="0"/>
        <v>948992.75</v>
      </c>
    </row>
    <row r="23" spans="1:54" x14ac:dyDescent="0.25">
      <c r="A23" s="38" t="s">
        <v>124</v>
      </c>
      <c r="B23" s="13" t="s">
        <v>170</v>
      </c>
      <c r="C23" s="166">
        <f t="shared" ref="C23:AJ23" si="1">SUM(C9:C9)</f>
        <v>1935.75</v>
      </c>
      <c r="D23" s="166">
        <f t="shared" si="1"/>
        <v>2950.75</v>
      </c>
      <c r="E23" s="166">
        <f t="shared" si="1"/>
        <v>4017.5</v>
      </c>
      <c r="F23" s="166">
        <f t="shared" si="1"/>
        <v>5227.25</v>
      </c>
      <c r="G23" s="166">
        <f t="shared" si="1"/>
        <v>6746</v>
      </c>
      <c r="H23" s="166">
        <f t="shared" si="1"/>
        <v>9379</v>
      </c>
      <c r="I23" s="166">
        <f t="shared" si="1"/>
        <v>12868</v>
      </c>
      <c r="J23" s="166">
        <f t="shared" si="1"/>
        <v>17304.25</v>
      </c>
      <c r="K23" s="166">
        <f t="shared" si="1"/>
        <v>23488.25</v>
      </c>
      <c r="L23" s="166">
        <f t="shared" si="1"/>
        <v>30163.75</v>
      </c>
      <c r="M23" s="166">
        <f t="shared" si="1"/>
        <v>38057.75</v>
      </c>
      <c r="N23" s="166">
        <f t="shared" si="1"/>
        <v>46639.5</v>
      </c>
      <c r="O23" s="166">
        <f t="shared" si="1"/>
        <v>55332.5</v>
      </c>
      <c r="P23" s="166">
        <f t="shared" si="1"/>
        <v>63321.25</v>
      </c>
      <c r="Q23" s="166">
        <f t="shared" si="1"/>
        <v>70066.25</v>
      </c>
      <c r="R23" s="166">
        <f t="shared" si="1"/>
        <v>77983.75</v>
      </c>
      <c r="S23" s="166">
        <f t="shared" si="1"/>
        <v>84435</v>
      </c>
      <c r="T23" s="166">
        <f t="shared" si="1"/>
        <v>117624</v>
      </c>
      <c r="U23" s="166">
        <f t="shared" si="1"/>
        <v>152143.25</v>
      </c>
      <c r="V23" s="166">
        <f t="shared" si="1"/>
        <v>185794.25</v>
      </c>
      <c r="W23" s="166">
        <f t="shared" si="1"/>
        <v>226175.75</v>
      </c>
      <c r="X23" s="166">
        <f t="shared" si="1"/>
        <v>244170.25</v>
      </c>
      <c r="Y23" s="166">
        <f t="shared" si="1"/>
        <v>263683.25</v>
      </c>
      <c r="Z23" s="166">
        <f t="shared" si="1"/>
        <v>282887.25</v>
      </c>
      <c r="AA23" s="166">
        <f t="shared" si="1"/>
        <v>299528</v>
      </c>
      <c r="AB23" s="166">
        <f t="shared" si="1"/>
        <v>328548.75</v>
      </c>
      <c r="AC23" s="166">
        <f t="shared" si="1"/>
        <v>361007.75</v>
      </c>
      <c r="AD23" s="166">
        <f t="shared" si="1"/>
        <v>402847</v>
      </c>
      <c r="AE23" s="166">
        <f t="shared" si="1"/>
        <v>447864.25</v>
      </c>
      <c r="AF23" s="166">
        <f t="shared" si="1"/>
        <v>506016.75</v>
      </c>
      <c r="AG23" s="166">
        <f t="shared" si="1"/>
        <v>555254.25</v>
      </c>
      <c r="AH23" s="166">
        <f t="shared" si="1"/>
        <v>621549</v>
      </c>
      <c r="AI23" s="166">
        <f t="shared" si="1"/>
        <v>698205</v>
      </c>
      <c r="AJ23" s="166">
        <f t="shared" si="1"/>
        <v>741600.75</v>
      </c>
      <c r="AK23" s="166">
        <f t="shared" ref="AK23:AO23" si="2">SUM(AK9:AK9)</f>
        <v>735755.25</v>
      </c>
      <c r="AL23" s="166">
        <f t="shared" si="2"/>
        <v>736741</v>
      </c>
      <c r="AM23" s="166">
        <f t="shared" si="2"/>
        <v>735745.75</v>
      </c>
      <c r="AN23" s="166">
        <f t="shared" si="2"/>
        <v>761077</v>
      </c>
      <c r="AO23" s="166">
        <f t="shared" si="2"/>
        <v>891410.5</v>
      </c>
    </row>
    <row r="24" spans="1:54" x14ac:dyDescent="0.25">
      <c r="A24" s="39" t="s">
        <v>148</v>
      </c>
      <c r="B24" s="13" t="s">
        <v>170</v>
      </c>
      <c r="C24" s="166">
        <f t="shared" ref="C24:AO24" si="3">SUM(C6:C7)</f>
        <v>41097.5</v>
      </c>
      <c r="D24" s="166">
        <f t="shared" si="3"/>
        <v>41170.5</v>
      </c>
      <c r="E24" s="166">
        <f t="shared" si="3"/>
        <v>41417.75</v>
      </c>
      <c r="F24" s="166">
        <f t="shared" si="3"/>
        <v>43542.5</v>
      </c>
      <c r="G24" s="166">
        <f t="shared" si="3"/>
        <v>45792.5</v>
      </c>
      <c r="H24" s="166">
        <f t="shared" si="3"/>
        <v>50547.5</v>
      </c>
      <c r="I24" s="166">
        <f t="shared" si="3"/>
        <v>54269.25</v>
      </c>
      <c r="J24" s="166">
        <f t="shared" si="3"/>
        <v>54483.5</v>
      </c>
      <c r="K24" s="166">
        <f t="shared" si="3"/>
        <v>55463.75</v>
      </c>
      <c r="L24" s="166">
        <f t="shared" si="3"/>
        <v>55062.5</v>
      </c>
      <c r="M24" s="166">
        <f t="shared" si="3"/>
        <v>58140</v>
      </c>
      <c r="N24" s="166">
        <f t="shared" si="3"/>
        <v>60638.5</v>
      </c>
      <c r="O24" s="166">
        <f t="shared" si="3"/>
        <v>61754</v>
      </c>
      <c r="P24" s="166">
        <f t="shared" si="3"/>
        <v>62258.75</v>
      </c>
      <c r="Q24" s="166">
        <f t="shared" si="3"/>
        <v>57339.5</v>
      </c>
      <c r="R24" s="166">
        <f t="shared" si="3"/>
        <v>54535.75</v>
      </c>
      <c r="S24" s="166">
        <f t="shared" si="3"/>
        <v>51397.75</v>
      </c>
      <c r="T24" s="166">
        <f t="shared" si="3"/>
        <v>47389.5</v>
      </c>
      <c r="U24" s="166">
        <f t="shared" si="3"/>
        <v>46374</v>
      </c>
      <c r="V24" s="166">
        <f t="shared" si="3"/>
        <v>44218.75</v>
      </c>
      <c r="W24" s="166">
        <f t="shared" si="3"/>
        <v>42547.75</v>
      </c>
      <c r="X24" s="166">
        <f t="shared" si="3"/>
        <v>35648.75</v>
      </c>
      <c r="Y24" s="166">
        <f t="shared" si="3"/>
        <v>27575.5</v>
      </c>
      <c r="Z24" s="166">
        <f t="shared" si="3"/>
        <v>20837.5</v>
      </c>
      <c r="AA24" s="166">
        <f t="shared" si="3"/>
        <v>14623.5</v>
      </c>
      <c r="AB24" s="166">
        <f t="shared" si="3"/>
        <v>14438.75</v>
      </c>
      <c r="AC24" s="166">
        <f t="shared" si="3"/>
        <v>15099</v>
      </c>
      <c r="AD24" s="166">
        <f t="shared" si="3"/>
        <v>15325</v>
      </c>
      <c r="AE24" s="166">
        <f t="shared" si="3"/>
        <v>13381.599999999999</v>
      </c>
      <c r="AF24" s="166">
        <f t="shared" si="3"/>
        <v>11157.166666666668</v>
      </c>
      <c r="AG24" s="166">
        <f t="shared" si="3"/>
        <v>9561.6666666666661</v>
      </c>
      <c r="AH24" s="166">
        <f t="shared" si="3"/>
        <v>7693.5</v>
      </c>
      <c r="AI24" s="166">
        <f t="shared" si="3"/>
        <v>4880.5</v>
      </c>
      <c r="AJ24" s="166">
        <f t="shared" si="3"/>
        <v>3924.75</v>
      </c>
      <c r="AK24" s="166">
        <f t="shared" si="3"/>
        <v>2811.3333333333335</v>
      </c>
      <c r="AL24" s="166">
        <f t="shared" si="3"/>
        <v>2003.4444444444443</v>
      </c>
      <c r="AM24" s="166">
        <f t="shared" si="3"/>
        <v>1238.7777777777778</v>
      </c>
      <c r="AN24" s="166">
        <f t="shared" si="3"/>
        <v>898.11111111111109</v>
      </c>
      <c r="AO24" s="166">
        <f t="shared" si="3"/>
        <v>698.55555555555554</v>
      </c>
    </row>
    <row r="25" spans="1:54" x14ac:dyDescent="0.25">
      <c r="A25" s="38" t="s">
        <v>147</v>
      </c>
      <c r="B25" s="13" t="s">
        <v>170</v>
      </c>
      <c r="C25" s="166">
        <f t="shared" ref="C25:AO25" si="4">SUM(C4:C5)</f>
        <v>3678.75</v>
      </c>
      <c r="D25" s="166">
        <f t="shared" si="4"/>
        <v>4217.5</v>
      </c>
      <c r="E25" s="166">
        <f t="shared" si="4"/>
        <v>4505.5</v>
      </c>
      <c r="F25" s="166">
        <f t="shared" si="4"/>
        <v>4159.75</v>
      </c>
      <c r="G25" s="166">
        <f t="shared" si="4"/>
        <v>3711.25</v>
      </c>
      <c r="H25" s="166">
        <f t="shared" si="4"/>
        <v>3679.5</v>
      </c>
      <c r="I25" s="166">
        <f t="shared" si="4"/>
        <v>3920</v>
      </c>
      <c r="J25" s="166">
        <f t="shared" si="4"/>
        <v>15309</v>
      </c>
      <c r="K25" s="166">
        <f t="shared" si="4"/>
        <v>24529.5</v>
      </c>
      <c r="L25" s="166">
        <f t="shared" si="4"/>
        <v>33904.25</v>
      </c>
      <c r="M25" s="166">
        <f t="shared" si="4"/>
        <v>42082</v>
      </c>
      <c r="N25" s="166">
        <f t="shared" si="4"/>
        <v>47945.25</v>
      </c>
      <c r="O25" s="166">
        <f t="shared" si="4"/>
        <v>59889.5</v>
      </c>
      <c r="P25" s="166">
        <f t="shared" si="4"/>
        <v>73466.5</v>
      </c>
      <c r="Q25" s="166">
        <f t="shared" si="4"/>
        <v>99950.75</v>
      </c>
      <c r="R25" s="166">
        <f t="shared" si="4"/>
        <v>123151.25</v>
      </c>
      <c r="S25" s="166">
        <f t="shared" si="4"/>
        <v>143988</v>
      </c>
      <c r="T25" s="166">
        <f t="shared" si="4"/>
        <v>166678.25</v>
      </c>
      <c r="U25" s="166">
        <f t="shared" si="4"/>
        <v>178626.5</v>
      </c>
      <c r="V25" s="166">
        <f t="shared" si="4"/>
        <v>175902.25</v>
      </c>
      <c r="W25" s="166">
        <f t="shared" si="4"/>
        <v>170663.75</v>
      </c>
      <c r="X25" s="166">
        <f t="shared" si="4"/>
        <v>158142</v>
      </c>
      <c r="Y25" s="166">
        <f t="shared" si="4"/>
        <v>153610.25</v>
      </c>
      <c r="Z25" s="166">
        <f t="shared" si="4"/>
        <v>161317.75</v>
      </c>
      <c r="AA25" s="166">
        <f t="shared" si="4"/>
        <v>170246.25</v>
      </c>
      <c r="AB25" s="166">
        <f t="shared" si="4"/>
        <v>180942.75</v>
      </c>
      <c r="AC25" s="166">
        <f t="shared" si="4"/>
        <v>180192.25</v>
      </c>
      <c r="AD25" s="166">
        <f t="shared" si="4"/>
        <v>183354.75</v>
      </c>
      <c r="AE25" s="166">
        <f t="shared" si="4"/>
        <v>186642.6</v>
      </c>
      <c r="AF25" s="166">
        <f t="shared" si="4"/>
        <v>200781.33333333334</v>
      </c>
      <c r="AG25" s="166">
        <f t="shared" si="4"/>
        <v>223013</v>
      </c>
      <c r="AH25" s="166">
        <f t="shared" si="4"/>
        <v>239912</v>
      </c>
      <c r="AI25" s="166">
        <f t="shared" si="4"/>
        <v>325187.375</v>
      </c>
      <c r="AJ25" s="166">
        <f t="shared" si="4"/>
        <v>361165.625</v>
      </c>
      <c r="AK25" s="166">
        <f t="shared" si="4"/>
        <v>464238.66666666669</v>
      </c>
      <c r="AL25" s="166">
        <f t="shared" si="4"/>
        <v>528408.4444444445</v>
      </c>
      <c r="AM25" s="166">
        <f t="shared" si="4"/>
        <v>585856.44444444438</v>
      </c>
      <c r="AN25" s="166">
        <f t="shared" si="4"/>
        <v>674731.33333333337</v>
      </c>
      <c r="AO25" s="166">
        <f t="shared" si="4"/>
        <v>772691.77777777775</v>
      </c>
    </row>
    <row r="26" spans="1:54" x14ac:dyDescent="0.25">
      <c r="A26" s="38" t="s">
        <v>76</v>
      </c>
      <c r="B26" s="13" t="s">
        <v>170</v>
      </c>
      <c r="C26" s="166">
        <f t="shared" ref="C26:AO27" si="5">C11</f>
        <v>21066.75</v>
      </c>
      <c r="D26" s="166">
        <f t="shared" si="5"/>
        <v>26837.25</v>
      </c>
      <c r="E26" s="166">
        <f t="shared" si="5"/>
        <v>31928.25</v>
      </c>
      <c r="F26" s="166">
        <f t="shared" si="5"/>
        <v>34835.25</v>
      </c>
      <c r="G26" s="166">
        <f t="shared" si="5"/>
        <v>37336.75</v>
      </c>
      <c r="H26" s="166">
        <f t="shared" si="5"/>
        <v>40337.75</v>
      </c>
      <c r="I26" s="166">
        <f t="shared" si="5"/>
        <v>60626</v>
      </c>
      <c r="J26" s="166">
        <f t="shared" si="5"/>
        <v>84731.75</v>
      </c>
      <c r="K26" s="166">
        <f t="shared" si="5"/>
        <v>141667.5</v>
      </c>
      <c r="L26" s="166">
        <f t="shared" si="5"/>
        <v>172125.5</v>
      </c>
      <c r="M26" s="166">
        <f t="shared" si="5"/>
        <v>187184.5</v>
      </c>
      <c r="N26" s="166">
        <f t="shared" si="5"/>
        <v>193299.25</v>
      </c>
      <c r="O26" s="166">
        <f t="shared" si="5"/>
        <v>179500</v>
      </c>
      <c r="P26" s="166">
        <f t="shared" si="5"/>
        <v>186099.25</v>
      </c>
      <c r="Q26" s="166">
        <f t="shared" si="5"/>
        <v>212265.5</v>
      </c>
      <c r="R26" s="166">
        <f t="shared" si="5"/>
        <v>264657.25</v>
      </c>
      <c r="S26" s="166">
        <f t="shared" si="5"/>
        <v>303477.5</v>
      </c>
      <c r="T26" s="166">
        <f t="shared" si="5"/>
        <v>335225.5</v>
      </c>
      <c r="U26" s="166">
        <f t="shared" si="5"/>
        <v>361311.75</v>
      </c>
      <c r="V26" s="166">
        <f t="shared" si="5"/>
        <v>387917</v>
      </c>
      <c r="W26" s="166">
        <f t="shared" si="5"/>
        <v>434195.75</v>
      </c>
      <c r="X26" s="166">
        <f t="shared" si="5"/>
        <v>430204</v>
      </c>
      <c r="Y26" s="166">
        <f t="shared" si="5"/>
        <v>412601.75</v>
      </c>
      <c r="Z26" s="166">
        <f t="shared" si="5"/>
        <v>393268</v>
      </c>
      <c r="AA26" s="166">
        <f t="shared" si="5"/>
        <v>344934.75</v>
      </c>
      <c r="AB26" s="166">
        <f t="shared" si="5"/>
        <v>344859</v>
      </c>
      <c r="AC26" s="166">
        <f t="shared" si="5"/>
        <v>353758.75</v>
      </c>
      <c r="AD26" s="166">
        <f t="shared" si="5"/>
        <v>365863.75</v>
      </c>
      <c r="AE26" s="166">
        <f t="shared" si="5"/>
        <v>390738.8</v>
      </c>
      <c r="AF26" s="166">
        <f t="shared" si="5"/>
        <v>440645</v>
      </c>
      <c r="AG26" s="166">
        <f t="shared" si="5"/>
        <v>462299.83333333331</v>
      </c>
      <c r="AH26" s="166">
        <f t="shared" si="5"/>
        <v>468264.83333333331</v>
      </c>
      <c r="AI26" s="166">
        <f t="shared" si="5"/>
        <v>505552.125</v>
      </c>
      <c r="AJ26" s="166">
        <f t="shared" si="5"/>
        <v>522114.875</v>
      </c>
      <c r="AK26" s="166">
        <f t="shared" si="5"/>
        <v>548052.4444444445</v>
      </c>
      <c r="AL26" s="166">
        <f t="shared" si="5"/>
        <v>556818.11111111112</v>
      </c>
      <c r="AM26" s="166">
        <f t="shared" si="5"/>
        <v>565438.5555555555</v>
      </c>
      <c r="AN26" s="166">
        <f t="shared" si="5"/>
        <v>571596.66666666663</v>
      </c>
      <c r="AO26" s="166">
        <f t="shared" si="5"/>
        <v>579532.33333333337</v>
      </c>
    </row>
    <row r="27" spans="1:54" x14ac:dyDescent="0.25">
      <c r="A27" s="38" t="s">
        <v>77</v>
      </c>
      <c r="B27" s="13" t="s">
        <v>170</v>
      </c>
      <c r="C27" s="166">
        <f t="shared" si="5"/>
        <v>4255</v>
      </c>
      <c r="D27" s="166">
        <f t="shared" si="5"/>
        <v>5162.75</v>
      </c>
      <c r="E27" s="166">
        <f t="shared" si="5"/>
        <v>6021.75</v>
      </c>
      <c r="F27" s="166">
        <f t="shared" si="5"/>
        <v>6915.75</v>
      </c>
      <c r="G27" s="166">
        <f t="shared" si="5"/>
        <v>18164.75</v>
      </c>
      <c r="H27" s="166">
        <f t="shared" si="5"/>
        <v>32600.75</v>
      </c>
      <c r="I27" s="166">
        <f t="shared" si="5"/>
        <v>75473</v>
      </c>
      <c r="J27" s="166">
        <f t="shared" si="5"/>
        <v>145738</v>
      </c>
      <c r="K27" s="166">
        <f t="shared" si="5"/>
        <v>197482.25</v>
      </c>
      <c r="L27" s="166">
        <f t="shared" si="5"/>
        <v>229472.75</v>
      </c>
      <c r="M27" s="166">
        <f t="shared" si="5"/>
        <v>237650.5</v>
      </c>
      <c r="N27" s="166">
        <f t="shared" si="5"/>
        <v>230531.5</v>
      </c>
      <c r="O27" s="166">
        <f t="shared" si="5"/>
        <v>211244.75</v>
      </c>
      <c r="P27" s="166">
        <f t="shared" si="5"/>
        <v>214231</v>
      </c>
      <c r="Q27" s="166">
        <f t="shared" si="5"/>
        <v>221521.75</v>
      </c>
      <c r="R27" s="166">
        <f t="shared" si="5"/>
        <v>231039</v>
      </c>
      <c r="S27" s="166">
        <f t="shared" si="5"/>
        <v>259542.75</v>
      </c>
      <c r="T27" s="166">
        <f t="shared" si="5"/>
        <v>277096.75</v>
      </c>
      <c r="U27" s="166">
        <f t="shared" si="5"/>
        <v>384694.75</v>
      </c>
      <c r="V27" s="166">
        <f t="shared" si="5"/>
        <v>454443.5</v>
      </c>
      <c r="W27" s="166">
        <f t="shared" si="5"/>
        <v>560304.25</v>
      </c>
      <c r="X27" s="166">
        <f t="shared" si="5"/>
        <v>644325.25</v>
      </c>
      <c r="Y27" s="166">
        <f t="shared" si="5"/>
        <v>685591.75</v>
      </c>
      <c r="Z27" s="166">
        <f t="shared" si="5"/>
        <v>752235</v>
      </c>
      <c r="AA27" s="166">
        <f t="shared" si="5"/>
        <v>741682.5</v>
      </c>
      <c r="AB27" s="166">
        <f t="shared" si="5"/>
        <v>794697.25</v>
      </c>
      <c r="AC27" s="166">
        <f t="shared" si="5"/>
        <v>811822.25</v>
      </c>
      <c r="AD27" s="166">
        <f t="shared" si="5"/>
        <v>771975.75</v>
      </c>
      <c r="AE27" s="166">
        <f t="shared" si="5"/>
        <v>936189.4</v>
      </c>
      <c r="AF27" s="166">
        <f t="shared" si="5"/>
        <v>1026714.5</v>
      </c>
      <c r="AG27" s="166">
        <f t="shared" si="5"/>
        <v>1089847</v>
      </c>
      <c r="AH27" s="166">
        <f t="shared" si="5"/>
        <v>1147931.3333333333</v>
      </c>
      <c r="AI27" s="166">
        <f t="shared" si="5"/>
        <v>1168978.375</v>
      </c>
      <c r="AJ27" s="166">
        <f t="shared" si="5"/>
        <v>1198614.75</v>
      </c>
      <c r="AK27" s="166">
        <f t="shared" si="5"/>
        <v>1285682.4444444445</v>
      </c>
      <c r="AL27" s="166">
        <f t="shared" si="5"/>
        <v>1378964.7777777778</v>
      </c>
      <c r="AM27" s="166">
        <f t="shared" si="5"/>
        <v>1483403.6666666667</v>
      </c>
      <c r="AN27" s="166">
        <f t="shared" si="5"/>
        <v>1640489.4444444445</v>
      </c>
      <c r="AO27" s="166">
        <f t="shared" si="5"/>
        <v>1779237.111111111</v>
      </c>
    </row>
    <row r="28" spans="1:54" ht="60" x14ac:dyDescent="0.25">
      <c r="A28" s="38" t="s">
        <v>361</v>
      </c>
      <c r="B28" s="13" t="s">
        <v>170</v>
      </c>
      <c r="C28" s="166">
        <f>SUM(C8,C13:C19)</f>
        <v>0</v>
      </c>
      <c r="D28" s="166">
        <f t="shared" ref="D28:AO28" si="6">SUM(D8,D13:D19)</f>
        <v>0</v>
      </c>
      <c r="E28" s="166">
        <f t="shared" si="6"/>
        <v>0</v>
      </c>
      <c r="F28" s="166">
        <f t="shared" si="6"/>
        <v>0</v>
      </c>
      <c r="G28" s="166">
        <f t="shared" si="6"/>
        <v>0</v>
      </c>
      <c r="H28" s="166">
        <f t="shared" si="6"/>
        <v>0</v>
      </c>
      <c r="I28" s="166">
        <f t="shared" si="6"/>
        <v>0</v>
      </c>
      <c r="J28" s="166">
        <f t="shared" si="6"/>
        <v>0</v>
      </c>
      <c r="K28" s="166">
        <f t="shared" si="6"/>
        <v>0</v>
      </c>
      <c r="L28" s="166">
        <f t="shared" si="6"/>
        <v>0</v>
      </c>
      <c r="M28" s="166">
        <f t="shared" si="6"/>
        <v>0</v>
      </c>
      <c r="N28" s="166">
        <f t="shared" si="6"/>
        <v>0</v>
      </c>
      <c r="O28" s="166">
        <f t="shared" si="6"/>
        <v>0</v>
      </c>
      <c r="P28" s="166">
        <f t="shared" si="6"/>
        <v>0</v>
      </c>
      <c r="Q28" s="166">
        <f t="shared" si="6"/>
        <v>0</v>
      </c>
      <c r="R28" s="166">
        <f t="shared" si="6"/>
        <v>12.5</v>
      </c>
      <c r="S28" s="166">
        <f t="shared" si="6"/>
        <v>18.5</v>
      </c>
      <c r="T28" s="166">
        <f t="shared" si="6"/>
        <v>37968.75</v>
      </c>
      <c r="U28" s="166">
        <f t="shared" si="6"/>
        <v>38112.25</v>
      </c>
      <c r="V28" s="166">
        <f t="shared" si="6"/>
        <v>39251.166666666664</v>
      </c>
      <c r="W28" s="166">
        <f t="shared" si="6"/>
        <v>39246.25</v>
      </c>
      <c r="X28" s="166">
        <f t="shared" si="6"/>
        <v>38815.333333333336</v>
      </c>
      <c r="Y28" s="166">
        <f t="shared" si="6"/>
        <v>38495.25</v>
      </c>
      <c r="Z28" s="166">
        <f t="shared" si="6"/>
        <v>37963.75</v>
      </c>
      <c r="AA28" s="166">
        <f t="shared" si="6"/>
        <v>37501.5</v>
      </c>
      <c r="AB28" s="166">
        <f t="shared" si="6"/>
        <v>37136.75</v>
      </c>
      <c r="AC28" s="166">
        <f t="shared" si="6"/>
        <v>36755</v>
      </c>
      <c r="AD28" s="166">
        <f t="shared" si="6"/>
        <v>36385.75</v>
      </c>
      <c r="AE28" s="166">
        <f t="shared" si="6"/>
        <v>2920.55</v>
      </c>
      <c r="AF28" s="166">
        <f t="shared" si="6"/>
        <v>3716.25</v>
      </c>
      <c r="AG28" s="166">
        <f t="shared" si="6"/>
        <v>6516.1666666666661</v>
      </c>
      <c r="AH28" s="166">
        <f t="shared" si="6"/>
        <v>19441.583333333336</v>
      </c>
      <c r="AI28" s="166">
        <f t="shared" si="6"/>
        <v>22781.25</v>
      </c>
      <c r="AJ28" s="166">
        <f t="shared" si="6"/>
        <v>26361.541666666664</v>
      </c>
      <c r="AK28" s="166">
        <f t="shared" si="6"/>
        <v>27990.5</v>
      </c>
      <c r="AL28" s="166">
        <f t="shared" si="6"/>
        <v>35608.861111111109</v>
      </c>
      <c r="AM28" s="166">
        <f t="shared" si="6"/>
        <v>34369.75</v>
      </c>
      <c r="AN28" s="166">
        <f t="shared" si="6"/>
        <v>45627.194444444445</v>
      </c>
      <c r="AO28" s="166">
        <f t="shared" si="6"/>
        <v>57721.638888888891</v>
      </c>
    </row>
    <row r="30" spans="1:54" ht="18.75" x14ac:dyDescent="0.25">
      <c r="A30" s="167" t="s">
        <v>362</v>
      </c>
    </row>
    <row r="31" spans="1:54" x14ac:dyDescent="0.25">
      <c r="A31" s="168" t="s">
        <v>363</v>
      </c>
    </row>
    <row r="32" spans="1:54" x14ac:dyDescent="0.25">
      <c r="A32" s="38" t="s">
        <v>159</v>
      </c>
      <c r="C32" s="13" t="s">
        <v>160</v>
      </c>
      <c r="D32" s="13" t="s">
        <v>69</v>
      </c>
      <c r="E32" s="13" t="s">
        <v>70</v>
      </c>
      <c r="F32" s="13" t="s">
        <v>71</v>
      </c>
      <c r="G32" s="13" t="s">
        <v>161</v>
      </c>
      <c r="H32" s="13" t="s">
        <v>69</v>
      </c>
      <c r="I32" s="13" t="s">
        <v>70</v>
      </c>
      <c r="J32" s="13" t="s">
        <v>71</v>
      </c>
      <c r="K32" s="13" t="s">
        <v>162</v>
      </c>
      <c r="L32" s="13" t="s">
        <v>69</v>
      </c>
      <c r="M32" s="13" t="s">
        <v>70</v>
      </c>
      <c r="N32" s="13" t="s">
        <v>71</v>
      </c>
      <c r="O32" s="13" t="s">
        <v>163</v>
      </c>
      <c r="P32" s="13" t="s">
        <v>69</v>
      </c>
      <c r="Q32" s="13" t="s">
        <v>70</v>
      </c>
      <c r="R32" s="13" t="s">
        <v>71</v>
      </c>
      <c r="S32" s="13" t="s">
        <v>164</v>
      </c>
      <c r="T32" s="13" t="s">
        <v>69</v>
      </c>
      <c r="U32" s="13" t="s">
        <v>70</v>
      </c>
      <c r="V32" s="13" t="s">
        <v>71</v>
      </c>
      <c r="W32" s="13" t="s">
        <v>165</v>
      </c>
      <c r="X32" s="13" t="s">
        <v>69</v>
      </c>
      <c r="Y32" s="13" t="s">
        <v>70</v>
      </c>
      <c r="Z32" s="13" t="s">
        <v>71</v>
      </c>
      <c r="AA32" s="13" t="s">
        <v>166</v>
      </c>
      <c r="AB32" s="13" t="s">
        <v>69</v>
      </c>
      <c r="AC32" s="13" t="s">
        <v>70</v>
      </c>
      <c r="AD32" s="13" t="s">
        <v>71</v>
      </c>
      <c r="AE32" s="13" t="s">
        <v>167</v>
      </c>
      <c r="AF32" s="13" t="s">
        <v>69</v>
      </c>
      <c r="AG32" s="13" t="s">
        <v>70</v>
      </c>
      <c r="AH32" s="13" t="s">
        <v>71</v>
      </c>
      <c r="AI32" s="13" t="s">
        <v>168</v>
      </c>
      <c r="AJ32" s="13" t="s">
        <v>69</v>
      </c>
      <c r="AK32" s="13" t="s">
        <v>70</v>
      </c>
      <c r="AL32" s="13" t="s">
        <v>71</v>
      </c>
      <c r="AM32" s="13" t="s">
        <v>169</v>
      </c>
      <c r="AN32" s="13" t="s">
        <v>69</v>
      </c>
      <c r="AO32" s="13" t="s">
        <v>70</v>
      </c>
      <c r="AP32" s="13" t="s">
        <v>71</v>
      </c>
      <c r="AQ32" s="13" t="s">
        <v>175</v>
      </c>
      <c r="AR32" s="13" t="s">
        <v>69</v>
      </c>
      <c r="AS32" s="13" t="s">
        <v>70</v>
      </c>
      <c r="AT32" s="13" t="s">
        <v>71</v>
      </c>
      <c r="AU32" s="13" t="s">
        <v>176</v>
      </c>
      <c r="AV32" s="13" t="s">
        <v>69</v>
      </c>
      <c r="AW32" s="13" t="s">
        <v>70</v>
      </c>
      <c r="AX32" s="13" t="s">
        <v>71</v>
      </c>
      <c r="AY32" s="13" t="s">
        <v>177</v>
      </c>
      <c r="AZ32" s="13" t="s">
        <v>69</v>
      </c>
      <c r="BA32" s="13" t="s">
        <v>70</v>
      </c>
      <c r="BB32" s="13" t="s">
        <v>71</v>
      </c>
    </row>
    <row r="33" spans="1:54" x14ac:dyDescent="0.25">
      <c r="A33" s="39" t="s">
        <v>66</v>
      </c>
      <c r="C33" s="166">
        <f>'Qrtly Credit-Deficit Generation'!C4</f>
        <v>0</v>
      </c>
      <c r="D33" s="166">
        <f>'Qrtly Credit-Deficit Generation'!D4</f>
        <v>0</v>
      </c>
      <c r="E33" s="166">
        <f>'Qrtly Credit-Deficit Generation'!E4</f>
        <v>0</v>
      </c>
      <c r="F33" s="166">
        <f>'Qrtly Credit-Deficit Generation'!F4</f>
        <v>0</v>
      </c>
      <c r="G33" s="166">
        <f>'Qrtly Credit-Deficit Generation'!G4</f>
        <v>0</v>
      </c>
      <c r="H33" s="166">
        <f>'Qrtly Credit-Deficit Generation'!H4</f>
        <v>0</v>
      </c>
      <c r="I33" s="166">
        <f>'Qrtly Credit-Deficit Generation'!I4</f>
        <v>0</v>
      </c>
      <c r="J33" s="166">
        <f>'Qrtly Credit-Deficit Generation'!J4</f>
        <v>0</v>
      </c>
      <c r="K33" s="166">
        <f>'Qrtly Credit-Deficit Generation'!K4</f>
        <v>0</v>
      </c>
      <c r="L33" s="166">
        <f>'Qrtly Credit-Deficit Generation'!L4</f>
        <v>56</v>
      </c>
      <c r="M33" s="166">
        <f>'Qrtly Credit-Deficit Generation'!M4</f>
        <v>26185</v>
      </c>
      <c r="N33" s="166">
        <f>'Qrtly Credit-Deficit Generation'!N4</f>
        <v>30518</v>
      </c>
      <c r="O33" s="166">
        <f>'Qrtly Credit-Deficit Generation'!O4</f>
        <v>27846</v>
      </c>
      <c r="P33" s="166">
        <f>'Qrtly Credit-Deficit Generation'!P4</f>
        <v>29117</v>
      </c>
      <c r="Q33" s="166">
        <f>'Qrtly Credit-Deficit Generation'!Q4</f>
        <v>42349</v>
      </c>
      <c r="R33" s="166">
        <f>'Qrtly Credit-Deficit Generation'!R4</f>
        <v>46037</v>
      </c>
      <c r="S33" s="166">
        <f>'Qrtly Credit-Deficit Generation'!S4</f>
        <v>57602</v>
      </c>
      <c r="T33" s="166">
        <f>'Qrtly Credit-Deficit Generation'!T4</f>
        <v>91272</v>
      </c>
      <c r="U33" s="166">
        <f>'Qrtly Credit-Deficit Generation'!U4</f>
        <v>103743</v>
      </c>
      <c r="V33" s="166">
        <f>'Qrtly Credit-Deficit Generation'!V4</f>
        <v>103113</v>
      </c>
      <c r="W33" s="166">
        <f>'Qrtly Credit-Deficit Generation'!W4</f>
        <v>130217</v>
      </c>
      <c r="X33" s="166">
        <f>'Qrtly Credit-Deficit Generation'!X4</f>
        <v>126524</v>
      </c>
      <c r="Y33" s="166">
        <f>'Qrtly Credit-Deficit Generation'!Y4</f>
        <v>105850</v>
      </c>
      <c r="Z33" s="166">
        <f>'Qrtly Credit-Deficit Generation'!Z4</f>
        <v>105809</v>
      </c>
      <c r="AA33" s="166">
        <f>'Qrtly Credit-Deficit Generation'!AA4</f>
        <v>101510</v>
      </c>
      <c r="AB33" s="166">
        <f>'Qrtly Credit-Deficit Generation'!AB4</f>
        <v>139921</v>
      </c>
      <c r="AC33" s="166">
        <f>'Qrtly Credit-Deficit Generation'!AC4</f>
        <v>165589</v>
      </c>
      <c r="AD33" s="166">
        <f>'Qrtly Credit-Deficit Generation'!AD4</f>
        <v>166925</v>
      </c>
      <c r="AE33" s="166">
        <f>'Qrtly Credit-Deficit Generation'!AE4</f>
        <v>161892</v>
      </c>
      <c r="AF33" s="166">
        <f>'Qrtly Credit-Deficit Generation'!AF4</f>
        <v>152281</v>
      </c>
      <c r="AG33" s="166">
        <f>'Qrtly Credit-Deficit Generation'!AG4</f>
        <v>179106</v>
      </c>
      <c r="AH33" s="166">
        <f>'Qrtly Credit-Deficit Generation'!AH4</f>
        <v>186051</v>
      </c>
      <c r="AI33" s="166">
        <f>'Qrtly Credit-Deficit Generation'!AI4</f>
        <v>168937</v>
      </c>
      <c r="AJ33" s="166">
        <f>'Qrtly Credit-Deficit Generation'!AJ4</f>
        <v>184279</v>
      </c>
      <c r="AK33" s="166">
        <f>'Qrtly Credit-Deficit Generation'!AK4</f>
        <v>234371</v>
      </c>
      <c r="AL33" s="166">
        <f>'Qrtly Credit-Deficit Generation'!AL4</f>
        <v>286199</v>
      </c>
      <c r="AM33" s="166">
        <f>'Qrtly Credit-Deficit Generation'!AM4</f>
        <v>280099</v>
      </c>
      <c r="AN33" s="166">
        <f>'Qrtly Credit-Deficit Generation'!AN4</f>
        <v>305217</v>
      </c>
      <c r="AO33" s="166">
        <f>'Qrtly Credit-Deficit Generation'!AO4</f>
        <v>473106</v>
      </c>
      <c r="AP33" s="166">
        <f>'Qrtly Credit-Deficit Generation'!AP4</f>
        <v>536906</v>
      </c>
      <c r="AQ33" s="166">
        <f>'Qrtly Credit-Deficit Generation'!AQ4</f>
        <v>458226</v>
      </c>
      <c r="AR33" s="166">
        <f>'Qrtly Credit-Deficit Generation'!AR4</f>
        <v>633488</v>
      </c>
      <c r="AS33" s="166">
        <f>'Qrtly Credit-Deficit Generation'!AS4</f>
        <v>831673</v>
      </c>
      <c r="AT33" s="166">
        <f>'Qrtly Credit-Deficit Generation'!AT4</f>
        <v>815103</v>
      </c>
      <c r="AU33" s="166">
        <f>'Qrtly Credit-Deficit Generation'!AU4</f>
        <v>807393</v>
      </c>
      <c r="AV33" s="166">
        <f>'Qrtly Credit-Deficit Generation'!AV4</f>
        <v>1085120</v>
      </c>
      <c r="AW33" s="166">
        <f>'Qrtly Credit-Deficit Generation'!AW4</f>
        <v>1190315</v>
      </c>
      <c r="AX33" s="166">
        <f>'Qrtly Credit-Deficit Generation'!AX4</f>
        <v>1208871</v>
      </c>
      <c r="AY33" s="166">
        <f>'Qrtly Credit-Deficit Generation'!AY4</f>
        <v>1052639</v>
      </c>
      <c r="AZ33" s="166">
        <f>'Qrtly Credit-Deficit Generation'!AZ4</f>
        <v>1341628</v>
      </c>
      <c r="BA33" s="166">
        <f>'Qrtly Credit-Deficit Generation'!BA4</f>
        <v>1394087</v>
      </c>
      <c r="BB33" s="166">
        <f>'Qrtly Credit-Deficit Generation'!BB4</f>
        <v>1478363</v>
      </c>
    </row>
    <row r="34" spans="1:54" x14ac:dyDescent="0.25">
      <c r="A34" s="39" t="s">
        <v>74</v>
      </c>
      <c r="C34" s="166">
        <f>'Qrtly Credit-Deficit Generation'!C5</f>
        <v>2212</v>
      </c>
      <c r="D34" s="166">
        <f>'Qrtly Credit-Deficit Generation'!D5</f>
        <v>3069</v>
      </c>
      <c r="E34" s="166">
        <f>'Qrtly Credit-Deficit Generation'!E5</f>
        <v>4960</v>
      </c>
      <c r="F34" s="166">
        <f>'Qrtly Credit-Deficit Generation'!F5</f>
        <v>4474</v>
      </c>
      <c r="G34" s="166">
        <f>'Qrtly Credit-Deficit Generation'!G5</f>
        <v>4367</v>
      </c>
      <c r="H34" s="166">
        <f>'Qrtly Credit-Deficit Generation'!H5</f>
        <v>4221</v>
      </c>
      <c r="I34" s="166">
        <f>'Qrtly Credit-Deficit Generation'!I5</f>
        <v>3577</v>
      </c>
      <c r="J34" s="166">
        <f>'Qrtly Credit-Deficit Generation'!J5</f>
        <v>2680</v>
      </c>
      <c r="K34" s="166">
        <f>'Qrtly Credit-Deficit Generation'!K5</f>
        <v>4240</v>
      </c>
      <c r="L34" s="166">
        <f>'Qrtly Credit-Deficit Generation'!L5</f>
        <v>5127</v>
      </c>
      <c r="M34" s="166">
        <f>'Qrtly Credit-Deficit Generation'!M5</f>
        <v>22948</v>
      </c>
      <c r="N34" s="166">
        <f>'Qrtly Credit-Deficit Generation'!N5</f>
        <v>9044</v>
      </c>
      <c r="O34" s="166">
        <f>'Qrtly Credit-Deficit Generation'!O5</f>
        <v>13893</v>
      </c>
      <c r="P34" s="166">
        <f>'Qrtly Credit-Deficit Generation'!P5</f>
        <v>8777</v>
      </c>
      <c r="Q34" s="166">
        <f>'Qrtly Credit-Deficit Generation'!Q5</f>
        <v>30237</v>
      </c>
      <c r="R34" s="166">
        <f>'Qrtly Credit-Deficit Generation'!R5</f>
        <v>41302</v>
      </c>
      <c r="S34" s="166">
        <f>'Qrtly Credit-Deficit Generation'!S5</f>
        <v>38445</v>
      </c>
      <c r="T34" s="166">
        <f>'Qrtly Credit-Deficit Generation'!T5</f>
        <v>52559</v>
      </c>
      <c r="U34" s="166">
        <f>'Qrtly Credit-Deficit Generation'!U5</f>
        <v>61645</v>
      </c>
      <c r="V34" s="166">
        <f>'Qrtly Credit-Deficit Generation'!V5</f>
        <v>67573</v>
      </c>
      <c r="W34" s="166">
        <f>'Qrtly Credit-Deficit Generation'!W5</f>
        <v>56591</v>
      </c>
      <c r="X34" s="166">
        <f>'Qrtly Credit-Deficit Generation'!X5</f>
        <v>65100</v>
      </c>
      <c r="Y34" s="166">
        <f>'Qrtly Credit-Deficit Generation'!Y5</f>
        <v>48641</v>
      </c>
      <c r="Z34" s="166">
        <f>'Qrtly Credit-Deficit Generation'!Z5</f>
        <v>43923</v>
      </c>
      <c r="AA34" s="166">
        <f>'Qrtly Credit-Deficit Generation'!AA5</f>
        <v>35211</v>
      </c>
      <c r="AB34" s="166">
        <f>'Qrtly Credit-Deficit Generation'!AB5</f>
        <v>33576</v>
      </c>
      <c r="AC34" s="166">
        <f>'Qrtly Credit-Deficit Generation'!AC5</f>
        <v>19732</v>
      </c>
      <c r="AD34" s="166">
        <f>'Qrtly Credit-Deficit Generation'!AD5</f>
        <v>18521</v>
      </c>
      <c r="AE34" s="166">
        <f>'Qrtly Credit-Deficit Generation'!AE5</f>
        <v>17615</v>
      </c>
      <c r="AF34" s="166">
        <f>'Qrtly Credit-Deficit Generation'!AF5</f>
        <v>18214</v>
      </c>
      <c r="AG34" s="166">
        <f>'Qrtly Credit-Deficit Generation'!AG5</f>
        <v>18865</v>
      </c>
      <c r="AH34" s="166">
        <f>'Qrtly Credit-Deficit Generation'!AH5</f>
        <v>17264</v>
      </c>
      <c r="AI34" s="166">
        <f>'Qrtly Credit-Deficit Generation'!AI5</f>
        <v>12988</v>
      </c>
      <c r="AJ34" s="166">
        <f>'Qrtly Credit-Deficit Generation'!AJ5</f>
        <v>15636</v>
      </c>
      <c r="AK34" s="166">
        <f>'Qrtly Credit-Deficit Generation'!AK5</f>
        <v>16696</v>
      </c>
      <c r="AL34" s="166">
        <f>'Qrtly Credit-Deficit Generation'!AL5</f>
        <v>17686</v>
      </c>
      <c r="AM34" s="166">
        <f>'Qrtly Credit-Deficit Generation'!AM5</f>
        <v>19266</v>
      </c>
      <c r="AN34" s="166">
        <f>'Qrtly Credit-Deficit Generation'!AN5</f>
        <v>17476</v>
      </c>
      <c r="AO34" s="166">
        <f>'Qrtly Credit-Deficit Generation'!AO5</f>
        <v>16093</v>
      </c>
      <c r="AP34" s="166">
        <f>'Qrtly Credit-Deficit Generation'!AP5</f>
        <v>16544</v>
      </c>
      <c r="AQ34" s="166">
        <f>'Qrtly Credit-Deficit Generation'!AQ5</f>
        <v>11525</v>
      </c>
      <c r="AR34" s="166">
        <f>'Qrtly Credit-Deficit Generation'!AR5</f>
        <v>12071</v>
      </c>
      <c r="AS34" s="166">
        <f>'Qrtly Credit-Deficit Generation'!AS5</f>
        <v>11506</v>
      </c>
      <c r="AT34" s="166">
        <f>'Qrtly Credit-Deficit Generation'!AT5</f>
        <v>13492</v>
      </c>
      <c r="AU34" s="166">
        <f>'Qrtly Credit-Deficit Generation'!AU5</f>
        <v>13524</v>
      </c>
      <c r="AV34" s="166">
        <f>'Qrtly Credit-Deficit Generation'!AV5</f>
        <v>14119</v>
      </c>
      <c r="AW34" s="166">
        <f>'Qrtly Credit-Deficit Generation'!AW5</f>
        <v>14022</v>
      </c>
      <c r="AX34" s="166">
        <f>'Qrtly Credit-Deficit Generation'!AX5</f>
        <v>11715</v>
      </c>
      <c r="AY34" s="166">
        <f>'Qrtly Credit-Deficit Generation'!AY5</f>
        <v>14272</v>
      </c>
      <c r="AZ34" s="166">
        <f>'Qrtly Credit-Deficit Generation'!AZ5</f>
        <v>15147</v>
      </c>
      <c r="BA34" s="166">
        <f>'Qrtly Credit-Deficit Generation'!BA5</f>
        <v>14739</v>
      </c>
      <c r="BB34" s="166">
        <f>'Qrtly Credit-Deficit Generation'!BB5</f>
        <v>14647</v>
      </c>
    </row>
    <row r="35" spans="1:54" x14ac:dyDescent="0.25">
      <c r="A35" s="39" t="s">
        <v>120</v>
      </c>
      <c r="C35" s="166">
        <f>'Qrtly Credit-Deficit Generation'!C6</f>
        <v>32732</v>
      </c>
      <c r="D35" s="166">
        <f>'Qrtly Credit-Deficit Generation'!D6</f>
        <v>34288</v>
      </c>
      <c r="E35" s="166">
        <f>'Qrtly Credit-Deficit Generation'!E6</f>
        <v>33231</v>
      </c>
      <c r="F35" s="166">
        <f>'Qrtly Credit-Deficit Generation'!F6</f>
        <v>32727</v>
      </c>
      <c r="G35" s="166">
        <f>'Qrtly Credit-Deficit Generation'!G6</f>
        <v>32327</v>
      </c>
      <c r="H35" s="166">
        <f>'Qrtly Credit-Deficit Generation'!H6</f>
        <v>33371</v>
      </c>
      <c r="I35" s="166">
        <f>'Qrtly Credit-Deficit Generation'!I6</f>
        <v>39529</v>
      </c>
      <c r="J35" s="166">
        <f>'Qrtly Credit-Deficit Generation'!J6</f>
        <v>38669</v>
      </c>
      <c r="K35" s="166">
        <f>'Qrtly Credit-Deficit Generation'!K6</f>
        <v>44095</v>
      </c>
      <c r="L35" s="166">
        <f>'Qrtly Credit-Deficit Generation'!L6</f>
        <v>45016</v>
      </c>
      <c r="M35" s="166">
        <f>'Qrtly Credit-Deficit Generation'!M6</f>
        <v>40844</v>
      </c>
      <c r="N35" s="166">
        <f>'Qrtly Credit-Deficit Generation'!N6</f>
        <v>41459</v>
      </c>
      <c r="O35" s="166">
        <f>'Qrtly Credit-Deficit Generation'!O6</f>
        <v>46146</v>
      </c>
      <c r="P35" s="166">
        <f>'Qrtly Credit-Deficit Generation'!P6</f>
        <v>57193</v>
      </c>
      <c r="Q35" s="166">
        <f>'Qrtly Credit-Deficit Generation'!Q6</f>
        <v>53771</v>
      </c>
      <c r="R35" s="166">
        <f>'Qrtly Credit-Deficit Generation'!R6</f>
        <v>53264</v>
      </c>
      <c r="S35" s="166">
        <f>'Qrtly Credit-Deficit Generation'!S6</f>
        <v>49788</v>
      </c>
      <c r="T35" s="166">
        <f>'Qrtly Credit-Deficit Generation'!T6</f>
        <v>42794</v>
      </c>
      <c r="U35" s="166">
        <f>'Qrtly Credit-Deficit Generation'!U6</f>
        <v>45890</v>
      </c>
      <c r="V35" s="166">
        <f>'Qrtly Credit-Deficit Generation'!V6</f>
        <v>44869</v>
      </c>
      <c r="W35" s="166">
        <f>'Qrtly Credit-Deficit Generation'!W6</f>
        <v>41647</v>
      </c>
      <c r="X35" s="166">
        <f>'Qrtly Credit-Deficit Generation'!X6</f>
        <v>44643</v>
      </c>
      <c r="Y35" s="166">
        <f>'Qrtly Credit-Deficit Generation'!Y6</f>
        <v>39237</v>
      </c>
      <c r="Z35" s="166">
        <f>'Qrtly Credit-Deficit Generation'!Z6</f>
        <v>37155</v>
      </c>
      <c r="AA35" s="166">
        <f>'Qrtly Credit-Deficit Generation'!AA6</f>
        <v>15988</v>
      </c>
      <c r="AB35" s="166">
        <f>'Qrtly Credit-Deficit Generation'!AB6</f>
        <v>14314</v>
      </c>
      <c r="AC35" s="166">
        <f>'Qrtly Credit-Deficit Generation'!AC6</f>
        <v>13956</v>
      </c>
      <c r="AD35" s="166">
        <f>'Qrtly Credit-Deficit Generation'!AD6</f>
        <v>14063</v>
      </c>
      <c r="AE35" s="166">
        <f>'Qrtly Credit-Deficit Generation'!AE6</f>
        <v>15251</v>
      </c>
      <c r="AF35" s="166">
        <f>'Qrtly Credit-Deficit Generation'!AF6</f>
        <v>16921</v>
      </c>
      <c r="AG35" s="166">
        <f>'Qrtly Credit-Deficit Generation'!AG6</f>
        <v>14873</v>
      </c>
      <c r="AH35" s="166">
        <f>'Qrtly Credit-Deficit Generation'!AH6</f>
        <v>11561</v>
      </c>
      <c r="AI35" s="166">
        <f>'Qrtly Credit-Deficit Generation'!AI6</f>
        <v>8133</v>
      </c>
      <c r="AJ35" s="166">
        <f>'Qrtly Credit-Deficit Generation'!AJ6</f>
        <v>7220</v>
      </c>
      <c r="AK35" s="166">
        <f>'Qrtly Credit-Deficit Generation'!AK6</f>
        <v>8107</v>
      </c>
      <c r="AL35" s="166">
        <f>'Qrtly Credit-Deficit Generation'!AL6</f>
        <v>7391</v>
      </c>
      <c r="AM35" s="166">
        <f>'Qrtly Credit-Deficit Generation'!AM6</f>
        <v>3700</v>
      </c>
      <c r="AN35" s="166">
        <f>'Qrtly Credit-Deficit Generation'!AN6</f>
        <v>2451</v>
      </c>
      <c r="AO35" s="166">
        <f>'Qrtly Credit-Deficit Generation'!AO6</f>
        <v>1457</v>
      </c>
      <c r="AP35" s="166">
        <f>'Qrtly Credit-Deficit Generation'!AP6</f>
        <v>585</v>
      </c>
      <c r="AQ35" s="166">
        <f>'Qrtly Credit-Deficit Generation'!AQ6</f>
        <v>487</v>
      </c>
      <c r="AR35" s="166">
        <f>'Qrtly Credit-Deficit Generation'!AR6</f>
        <v>579</v>
      </c>
      <c r="AS35" s="166">
        <f>'Qrtly Credit-Deficit Generation'!AS6</f>
        <v>545</v>
      </c>
      <c r="AT35" s="166">
        <f>'Qrtly Credit-Deficit Generation'!AT6</f>
        <v>836</v>
      </c>
      <c r="AU35" s="166">
        <f>'Qrtly Credit-Deficit Generation'!AU6</f>
        <v>509</v>
      </c>
      <c r="AV35" s="166">
        <f>'Qrtly Credit-Deficit Generation'!AV6</f>
        <v>634</v>
      </c>
      <c r="AW35" s="166">
        <f>'Qrtly Credit-Deficit Generation'!AW6</f>
        <v>655</v>
      </c>
      <c r="AX35" s="166">
        <f>'Qrtly Credit-Deficit Generation'!AX6</f>
        <v>744</v>
      </c>
      <c r="AY35" s="166">
        <f>'Qrtly Credit-Deficit Generation'!AY6</f>
        <v>382</v>
      </c>
      <c r="AZ35" s="166">
        <f>'Qrtly Credit-Deficit Generation'!AZ6</f>
        <v>405</v>
      </c>
      <c r="BA35" s="166">
        <f>'Qrtly Credit-Deficit Generation'!BA6</f>
        <v>520</v>
      </c>
      <c r="BB35" s="166">
        <f>'Qrtly Credit-Deficit Generation'!BB6</f>
        <v>329</v>
      </c>
    </row>
    <row r="36" spans="1:54" x14ac:dyDescent="0.25">
      <c r="A36" s="39" t="s">
        <v>121</v>
      </c>
      <c r="C36" s="166">
        <f>'Qrtly Credit-Deficit Generation'!C7</f>
        <v>7202</v>
      </c>
      <c r="D36" s="166">
        <f>'Qrtly Credit-Deficit Generation'!D7</f>
        <v>7881</v>
      </c>
      <c r="E36" s="166">
        <f>'Qrtly Credit-Deficit Generation'!E7</f>
        <v>8212</v>
      </c>
      <c r="F36" s="166">
        <f>'Qrtly Credit-Deficit Generation'!F7</f>
        <v>8117</v>
      </c>
      <c r="G36" s="166">
        <f>'Qrtly Credit-Deficit Generation'!G7</f>
        <v>7899</v>
      </c>
      <c r="H36" s="166">
        <f>'Qrtly Credit-Deficit Generation'!H7</f>
        <v>9787</v>
      </c>
      <c r="I36" s="166">
        <f>'Qrtly Credit-Deficit Generation'!I7</f>
        <v>10413</v>
      </c>
      <c r="J36" s="166">
        <f>'Qrtly Credit-Deficit Generation'!J7</f>
        <v>11175</v>
      </c>
      <c r="K36" s="166">
        <f>'Qrtly Credit-Deficit Generation'!K7</f>
        <v>15151</v>
      </c>
      <c r="L36" s="166">
        <f>'Qrtly Credit-Deficit Generation'!L7</f>
        <v>13029</v>
      </c>
      <c r="M36" s="166">
        <f>'Qrtly Credit-Deficit Generation'!M7</f>
        <v>9955</v>
      </c>
      <c r="N36" s="166">
        <f>'Qrtly Credit-Deficit Generation'!N7</f>
        <v>12306</v>
      </c>
      <c r="O36" s="166">
        <f>'Qrtly Credit-Deficit Generation'!O7</f>
        <v>11495</v>
      </c>
      <c r="P36" s="166">
        <f>'Qrtly Credit-Deficit Generation'!P7</f>
        <v>13162</v>
      </c>
      <c r="Q36" s="166">
        <f>'Qrtly Credit-Deficit Generation'!Q7</f>
        <v>7022</v>
      </c>
      <c r="R36" s="166">
        <f>'Qrtly Credit-Deficit Generation'!R7</f>
        <v>4963</v>
      </c>
      <c r="S36" s="166">
        <f>'Qrtly Credit-Deficit Generation'!S7</f>
        <v>9872</v>
      </c>
      <c r="T36" s="166">
        <f>'Qrtly Credit-Deficit Generation'!T7</f>
        <v>7884</v>
      </c>
      <c r="U36" s="166">
        <f>'Qrtly Credit-Deficit Generation'!U7</f>
        <v>3688</v>
      </c>
      <c r="V36" s="166">
        <f>'Qrtly Credit-Deficit Generation'!V7</f>
        <v>806</v>
      </c>
      <c r="W36" s="166">
        <f>'Qrtly Credit-Deficit Generation'!W7</f>
        <v>1980</v>
      </c>
      <c r="X36" s="166">
        <f>'Qrtly Credit-Deficit Generation'!X7</f>
        <v>1973</v>
      </c>
      <c r="Y36" s="166">
        <f>'Qrtly Credit-Deficit Generation'!Y7</f>
        <v>1720</v>
      </c>
      <c r="Z36" s="166">
        <f>'Qrtly Credit-Deficit Generation'!Z7</f>
        <v>1836</v>
      </c>
      <c r="AA36" s="166">
        <f>'Qrtly Credit-Deficit Generation'!AA7</f>
        <v>43</v>
      </c>
      <c r="AB36" s="166">
        <f>'Qrtly Credit-Deficit Generation'!AB7</f>
        <v>9</v>
      </c>
      <c r="AC36" s="166">
        <f>'Qrtly Credit-Deficit Generation'!AC7</f>
        <v>49</v>
      </c>
      <c r="AD36" s="166">
        <f>'Qrtly Credit-Deficit Generation'!AD7</f>
        <v>72</v>
      </c>
      <c r="AE36" s="166">
        <f>'Qrtly Credit-Deficit Generation'!AE7</f>
        <v>41</v>
      </c>
      <c r="AF36" s="166">
        <f>'Qrtly Credit-Deficit Generation'!AF7</f>
        <v>43</v>
      </c>
      <c r="AG36" s="166">
        <f>'Qrtly Credit-Deficit Generation'!AG7</f>
        <v>36</v>
      </c>
      <c r="AH36" s="166">
        <f>'Qrtly Credit-Deficit Generation'!AH7</f>
        <v>49</v>
      </c>
      <c r="AI36" s="166">
        <f>'Qrtly Credit-Deficit Generation'!AI7</f>
        <v>0</v>
      </c>
      <c r="AJ36" s="166">
        <f>'Qrtly Credit-Deficit Generation'!AJ7</f>
        <v>0</v>
      </c>
      <c r="AK36" s="166">
        <f>'Qrtly Credit-Deficit Generation'!AK7</f>
        <v>0</v>
      </c>
      <c r="AL36" s="166">
        <f>'Qrtly Credit-Deficit Generation'!AL7</f>
        <v>0</v>
      </c>
      <c r="AM36" s="166">
        <f>'Qrtly Credit-Deficit Generation'!AM7</f>
        <v>0</v>
      </c>
      <c r="AN36" s="166">
        <f>'Qrtly Credit-Deficit Generation'!AN7</f>
        <v>0</v>
      </c>
      <c r="AO36" s="166">
        <f>'Qrtly Credit-Deficit Generation'!AO7</f>
        <v>0</v>
      </c>
      <c r="AP36" s="166">
        <f>'Qrtly Credit-Deficit Generation'!AP7</f>
        <v>0</v>
      </c>
      <c r="AQ36" s="166">
        <f>'Qrtly Credit-Deficit Generation'!AQ7</f>
        <v>0</v>
      </c>
      <c r="AR36" s="166">
        <f>'Qrtly Credit-Deficit Generation'!AR7</f>
        <v>0</v>
      </c>
      <c r="AS36" s="166">
        <f>'Qrtly Credit-Deficit Generation'!AS7</f>
        <v>0</v>
      </c>
      <c r="AT36" s="166">
        <f>'Qrtly Credit-Deficit Generation'!AT7</f>
        <v>0</v>
      </c>
      <c r="AU36" s="166">
        <f>'Qrtly Credit-Deficit Generation'!AU7</f>
        <v>0</v>
      </c>
      <c r="AV36" s="166">
        <f>'Qrtly Credit-Deficit Generation'!AV7</f>
        <v>0</v>
      </c>
      <c r="AW36" s="166">
        <f>'Qrtly Credit-Deficit Generation'!AW7</f>
        <v>0</v>
      </c>
      <c r="AX36" s="166">
        <f>'Qrtly Credit-Deficit Generation'!AX7</f>
        <v>0</v>
      </c>
      <c r="AY36" s="166">
        <f>'Qrtly Credit-Deficit Generation'!AY7</f>
        <v>0</v>
      </c>
      <c r="AZ36" s="166">
        <f>'Qrtly Credit-Deficit Generation'!AZ7</f>
        <v>0</v>
      </c>
      <c r="BA36" s="166">
        <f>'Qrtly Credit-Deficit Generation'!BA7</f>
        <v>0</v>
      </c>
      <c r="BB36" s="166">
        <f>'Qrtly Credit-Deficit Generation'!BB7</f>
        <v>0</v>
      </c>
    </row>
    <row r="37" spans="1:54" x14ac:dyDescent="0.25">
      <c r="A37" s="39" t="s">
        <v>122</v>
      </c>
      <c r="C37" s="166">
        <f>'Qrtly Credit-Deficit Generation'!C8</f>
        <v>0</v>
      </c>
      <c r="D37" s="166">
        <f>'Qrtly Credit-Deficit Generation'!D8</f>
        <v>0</v>
      </c>
      <c r="E37" s="166">
        <f>'Qrtly Credit-Deficit Generation'!E8</f>
        <v>0</v>
      </c>
      <c r="F37" s="166">
        <f>'Qrtly Credit-Deficit Generation'!F8</f>
        <v>0</v>
      </c>
      <c r="G37" s="166">
        <f>'Qrtly Credit-Deficit Generation'!G8</f>
        <v>0</v>
      </c>
      <c r="H37" s="166">
        <f>'Qrtly Credit-Deficit Generation'!H8</f>
        <v>0</v>
      </c>
      <c r="I37" s="166">
        <f>'Qrtly Credit-Deficit Generation'!I8</f>
        <v>0</v>
      </c>
      <c r="J37" s="166">
        <f>'Qrtly Credit-Deficit Generation'!J8</f>
        <v>0</v>
      </c>
      <c r="K37" s="166">
        <f>'Qrtly Credit-Deficit Generation'!K8</f>
        <v>0</v>
      </c>
      <c r="L37" s="166">
        <f>'Qrtly Credit-Deficit Generation'!L8</f>
        <v>0</v>
      </c>
      <c r="M37" s="166">
        <f>'Qrtly Credit-Deficit Generation'!M8</f>
        <v>0</v>
      </c>
      <c r="N37" s="166">
        <f>'Qrtly Credit-Deficit Generation'!N8</f>
        <v>0</v>
      </c>
      <c r="O37" s="166">
        <f>'Qrtly Credit-Deficit Generation'!O8</f>
        <v>0</v>
      </c>
      <c r="P37" s="166">
        <f>'Qrtly Credit-Deficit Generation'!P8</f>
        <v>0</v>
      </c>
      <c r="Q37" s="166">
        <f>'Qrtly Credit-Deficit Generation'!Q8</f>
        <v>0</v>
      </c>
      <c r="R37" s="166">
        <f>'Qrtly Credit-Deficit Generation'!R8</f>
        <v>0</v>
      </c>
      <c r="S37" s="166">
        <f>'Qrtly Credit-Deficit Generation'!S8</f>
        <v>0</v>
      </c>
      <c r="T37" s="166">
        <f>'Qrtly Credit-Deficit Generation'!T8</f>
        <v>0</v>
      </c>
      <c r="U37" s="166">
        <f>'Qrtly Credit-Deficit Generation'!U8</f>
        <v>50</v>
      </c>
      <c r="V37" s="166">
        <f>'Qrtly Credit-Deficit Generation'!V8</f>
        <v>24</v>
      </c>
      <c r="W37" s="166">
        <f>'Qrtly Credit-Deficit Generation'!W8</f>
        <v>33</v>
      </c>
      <c r="X37" s="166">
        <f>'Qrtly Credit-Deficit Generation'!X8</f>
        <v>28</v>
      </c>
      <c r="Y37" s="166">
        <f>'Qrtly Credit-Deficit Generation'!Y8</f>
        <v>1</v>
      </c>
      <c r="Z37" s="166">
        <f>'Qrtly Credit-Deficit Generation'!Z8</f>
        <v>2</v>
      </c>
      <c r="AA37" s="166">
        <f>'Qrtly Credit-Deficit Generation'!AA8</f>
        <v>562</v>
      </c>
      <c r="AB37" s="166">
        <f>'Qrtly Credit-Deficit Generation'!AB8</f>
        <v>820</v>
      </c>
      <c r="AC37" s="166">
        <f>'Qrtly Credit-Deficit Generation'!AC8</f>
        <v>970</v>
      </c>
      <c r="AD37" s="166">
        <f>'Qrtly Credit-Deficit Generation'!AD8</f>
        <v>1084</v>
      </c>
      <c r="AE37" s="166">
        <f>'Qrtly Credit-Deficit Generation'!AE8</f>
        <v>1408</v>
      </c>
      <c r="AF37" s="166">
        <f>'Qrtly Credit-Deficit Generation'!AF8</f>
        <v>1664</v>
      </c>
      <c r="AG37" s="166">
        <f>'Qrtly Credit-Deficit Generation'!AG8</f>
        <v>1779</v>
      </c>
      <c r="AH37" s="166">
        <f>'Qrtly Credit-Deficit Generation'!AH8</f>
        <v>2133</v>
      </c>
      <c r="AI37" s="166">
        <f>'Qrtly Credit-Deficit Generation'!AI8</f>
        <v>2535</v>
      </c>
      <c r="AJ37" s="166">
        <f>'Qrtly Credit-Deficit Generation'!AJ8</f>
        <v>3048</v>
      </c>
      <c r="AK37" s="166">
        <f>'Qrtly Credit-Deficit Generation'!AK8</f>
        <v>3886</v>
      </c>
      <c r="AL37" s="166">
        <f>'Qrtly Credit-Deficit Generation'!AL8</f>
        <v>4353</v>
      </c>
      <c r="AM37" s="166">
        <f>'Qrtly Credit-Deficit Generation'!AM8</f>
        <v>3901</v>
      </c>
      <c r="AN37" s="166">
        <f>'Qrtly Credit-Deficit Generation'!AN8</f>
        <v>3026</v>
      </c>
      <c r="AO37" s="166">
        <f>'Qrtly Credit-Deficit Generation'!AO8</f>
        <v>4220</v>
      </c>
      <c r="AP37" s="166">
        <f>'Qrtly Credit-Deficit Generation'!AP8</f>
        <v>6867</v>
      </c>
      <c r="AQ37" s="166">
        <f>'Qrtly Credit-Deficit Generation'!AQ8</f>
        <v>6268</v>
      </c>
      <c r="AR37" s="166">
        <f>'Qrtly Credit-Deficit Generation'!AR8</f>
        <v>9267</v>
      </c>
      <c r="AS37" s="166">
        <f>'Qrtly Credit-Deficit Generation'!AS8</f>
        <v>9620</v>
      </c>
      <c r="AT37" s="166">
        <f>'Qrtly Credit-Deficit Generation'!AT8</f>
        <v>11732</v>
      </c>
      <c r="AU37" s="166">
        <f>'Qrtly Credit-Deficit Generation'!AU8</f>
        <v>12653</v>
      </c>
      <c r="AV37" s="166">
        <f>'Qrtly Credit-Deficit Generation'!AV8</f>
        <v>16883</v>
      </c>
      <c r="AW37" s="166">
        <f>'Qrtly Credit-Deficit Generation'!AW8</f>
        <v>16746</v>
      </c>
      <c r="AX37" s="166">
        <f>'Qrtly Credit-Deficit Generation'!AX8</f>
        <v>16067</v>
      </c>
      <c r="AY37" s="166">
        <f>'Qrtly Credit-Deficit Generation'!AY8</f>
        <v>15098</v>
      </c>
      <c r="AZ37" s="166">
        <f>'Qrtly Credit-Deficit Generation'!AZ8</f>
        <v>15828</v>
      </c>
      <c r="BA37" s="166">
        <f>'Qrtly Credit-Deficit Generation'!BA8</f>
        <v>15556</v>
      </c>
      <c r="BB37" s="166">
        <f>'Qrtly Credit-Deficit Generation'!BB8</f>
        <v>14298</v>
      </c>
    </row>
    <row r="38" spans="1:54" x14ac:dyDescent="0.25">
      <c r="A38" s="39" t="s">
        <v>364</v>
      </c>
      <c r="C38" s="166">
        <f>'Qrtly Credit-Deficit Generation'!C37</f>
        <v>459</v>
      </c>
      <c r="D38" s="166">
        <f>'Qrtly Credit-Deficit Generation'!D37</f>
        <v>1293</v>
      </c>
      <c r="E38" s="166">
        <f>'Qrtly Credit-Deficit Generation'!E37</f>
        <v>2455</v>
      </c>
      <c r="F38" s="166">
        <f>'Qrtly Credit-Deficit Generation'!F37</f>
        <v>3536</v>
      </c>
      <c r="G38" s="166">
        <f>'Qrtly Credit-Deficit Generation'!G37</f>
        <v>4519</v>
      </c>
      <c r="H38" s="166">
        <f>'Qrtly Credit-Deficit Generation'!H37</f>
        <v>5560</v>
      </c>
      <c r="I38" s="166">
        <f>'Qrtly Credit-Deficit Generation'!I37</f>
        <v>7294</v>
      </c>
      <c r="J38" s="166">
        <f>'Qrtly Credit-Deficit Generation'!J37</f>
        <v>9611</v>
      </c>
      <c r="K38" s="166">
        <f>'Qrtly Credit-Deficit Generation'!K37</f>
        <v>15051</v>
      </c>
      <c r="L38" s="166">
        <f>'Qrtly Credit-Deficit Generation'!L37</f>
        <v>19516</v>
      </c>
      <c r="M38" s="166">
        <f>'Qrtly Credit-Deficit Generation'!M37</f>
        <v>25039</v>
      </c>
      <c r="N38" s="166">
        <f>'Qrtly Credit-Deficit Generation'!N37</f>
        <v>34347</v>
      </c>
      <c r="O38" s="166">
        <f>'Qrtly Credit-Deficit Generation'!O37</f>
        <v>41753</v>
      </c>
      <c r="P38" s="166">
        <f>'Qrtly Credit-Deficit Generation'!P37</f>
        <v>51092</v>
      </c>
      <c r="Q38" s="166">
        <f>'Qrtly Credit-Deficit Generation'!Q37</f>
        <v>59366</v>
      </c>
      <c r="R38" s="166">
        <f>'Qrtly Credit-Deficit Generation'!R37</f>
        <v>69119</v>
      </c>
      <c r="S38" s="166">
        <f>'Qrtly Credit-Deficit Generation'!S37</f>
        <v>73708</v>
      </c>
      <c r="T38" s="166">
        <f>'Qrtly Credit-Deficit Generation'!T37</f>
        <v>78072</v>
      </c>
      <c r="U38" s="166">
        <f>'Qrtly Credit-Deficit Generation'!U37</f>
        <v>91036</v>
      </c>
      <c r="V38" s="166">
        <f>'Qrtly Credit-Deficit Generation'!V37</f>
        <v>94924</v>
      </c>
      <c r="W38" s="166">
        <f>'Qrtly Credit-Deficit Generation'!W37</f>
        <v>206464</v>
      </c>
      <c r="X38" s="166">
        <f>'Qrtly Credit-Deficit Generation'!X37</f>
        <v>216149</v>
      </c>
      <c r="Y38" s="166">
        <f>'Qrtly Credit-Deficit Generation'!Y37</f>
        <v>225640</v>
      </c>
      <c r="Z38" s="166">
        <f>'Qrtly Credit-Deficit Generation'!Z37</f>
        <v>256450</v>
      </c>
      <c r="AA38" s="166">
        <f>'Qrtly Credit-Deficit Generation'!AA37</f>
        <v>278442</v>
      </c>
      <c r="AB38" s="166">
        <f>'Qrtly Credit-Deficit Generation'!AB37</f>
        <v>294201</v>
      </c>
      <c r="AC38" s="166">
        <f>'Qrtly Credit-Deficit Generation'!AC37</f>
        <v>302456</v>
      </c>
      <c r="AD38" s="166">
        <f>'Qrtly Credit-Deficit Generation'!AD37</f>
        <v>323013</v>
      </c>
      <c r="AE38" s="166">
        <f>'Qrtly Credit-Deficit Generation'!AE37</f>
        <v>394525</v>
      </c>
      <c r="AF38" s="166">
        <f>'Qrtly Credit-Deficit Generation'!AF37</f>
        <v>424037</v>
      </c>
      <c r="AG38" s="166">
        <f>'Qrtly Credit-Deficit Generation'!AG37</f>
        <v>469813</v>
      </c>
      <c r="AH38" s="166">
        <f>'Qrtly Credit-Deficit Generation'!AH37</f>
        <v>503082</v>
      </c>
      <c r="AI38" s="166">
        <f>'Qrtly Credit-Deficit Generation'!AI37</f>
        <v>627135</v>
      </c>
      <c r="AJ38" s="166">
        <f>'Qrtly Credit-Deficit Generation'!AJ37</f>
        <v>620987</v>
      </c>
      <c r="AK38" s="166">
        <f>'Qrtly Credit-Deficit Generation'!AK37</f>
        <v>734992</v>
      </c>
      <c r="AL38" s="166">
        <f>'Qrtly Credit-Deficit Generation'!AL37</f>
        <v>809706</v>
      </c>
      <c r="AM38" s="166">
        <f>'Qrtly Credit-Deficit Generation'!AM37</f>
        <v>800718</v>
      </c>
      <c r="AN38" s="166">
        <f>'Qrtly Credit-Deficit Generation'!AN37</f>
        <v>597605</v>
      </c>
      <c r="AO38" s="166">
        <f>'Qrtly Credit-Deficit Generation'!AO37</f>
        <v>738935</v>
      </c>
      <c r="AP38" s="166">
        <f>'Qrtly Credit-Deficit Generation'!AP37</f>
        <v>805725</v>
      </c>
      <c r="AQ38" s="166">
        <f>'Qrtly Credit-Deficit Generation'!AQ37</f>
        <v>902043</v>
      </c>
      <c r="AR38" s="166">
        <f>'Qrtly Credit-Deficit Generation'!AR37</f>
        <v>1118939</v>
      </c>
      <c r="AS38" s="166">
        <f>'Qrtly Credit-Deficit Generation'!AS37</f>
        <v>1192806</v>
      </c>
      <c r="AT38" s="166">
        <f>'Qrtly Credit-Deficit Generation'!AT37</f>
        <v>1253460</v>
      </c>
      <c r="AU38" s="166">
        <f>'Qrtly Credit-Deficit Generation'!AU37</f>
        <v>1396820</v>
      </c>
      <c r="AV38" s="166">
        <f>'Qrtly Credit-Deficit Generation'!AV37</f>
        <v>1578935</v>
      </c>
      <c r="AW38" s="166">
        <f>'Qrtly Credit-Deficit Generation'!AW37</f>
        <v>1671348</v>
      </c>
      <c r="AX38" s="166">
        <f>'Qrtly Credit-Deficit Generation'!AX37</f>
        <v>1762547</v>
      </c>
      <c r="AY38" s="166">
        <f>'Qrtly Credit-Deficit Generation'!AY37</f>
        <v>1644097</v>
      </c>
      <c r="AZ38" s="166">
        <f>'Qrtly Credit-Deficit Generation'!AZ37</f>
        <v>1753282</v>
      </c>
      <c r="BA38" s="166">
        <f>'Qrtly Credit-Deficit Generation'!BA37</f>
        <v>1920920</v>
      </c>
      <c r="BB38" s="166" t="e">
        <f>'Qrtly Credit-Deficit Generation'!#REF!</f>
        <v>#REF!</v>
      </c>
    </row>
    <row r="39" spans="1:54" x14ac:dyDescent="0.25">
      <c r="A39" s="39" t="s">
        <v>365</v>
      </c>
      <c r="C39" s="166">
        <f>'Qrtly Credit-Deficit Generation'!C9</f>
        <v>217913</v>
      </c>
      <c r="D39" s="166">
        <f>'Qrtly Credit-Deficit Generation'!D9</f>
        <v>252550</v>
      </c>
      <c r="E39" s="166">
        <f>'Qrtly Credit-Deficit Generation'!E9</f>
        <v>282189</v>
      </c>
      <c r="F39" s="166">
        <f>'Qrtly Credit-Deficit Generation'!F9</f>
        <v>270901</v>
      </c>
      <c r="G39" s="166">
        <f>'Qrtly Credit-Deficit Generation'!G9</f>
        <v>261269</v>
      </c>
      <c r="H39" s="166">
        <f>'Qrtly Credit-Deficit Generation'!H9</f>
        <v>264615</v>
      </c>
      <c r="I39" s="166">
        <f>'Qrtly Credit-Deficit Generation'!I9</f>
        <v>358459</v>
      </c>
      <c r="J39" s="166">
        <f>'Qrtly Credit-Deficit Generation'!J9</f>
        <v>334751</v>
      </c>
      <c r="K39" s="166">
        <f>'Qrtly Credit-Deficit Generation'!K9</f>
        <v>446344</v>
      </c>
      <c r="L39" s="166">
        <f>'Qrtly Credit-Deficit Generation'!L9</f>
        <v>439633</v>
      </c>
      <c r="M39" s="166">
        <f>'Qrtly Credit-Deficit Generation'!M9</f>
        <v>586902</v>
      </c>
      <c r="N39" s="166">
        <f>'Qrtly Credit-Deficit Generation'!N9</f>
        <v>510999</v>
      </c>
      <c r="O39" s="166">
        <f>'Qrtly Credit-Deficit Generation'!O9</f>
        <v>459238</v>
      </c>
      <c r="P39" s="166">
        <f>'Qrtly Credit-Deficit Generation'!P9</f>
        <v>551332</v>
      </c>
      <c r="Q39" s="166">
        <f>'Qrtly Credit-Deficit Generation'!Q9</f>
        <v>528433</v>
      </c>
      <c r="R39" s="166">
        <f>'Qrtly Credit-Deficit Generation'!R9</f>
        <v>491880</v>
      </c>
      <c r="S39" s="166">
        <f>'Qrtly Credit-Deficit Generation'!S9</f>
        <v>473209</v>
      </c>
      <c r="T39" s="166">
        <f>'Qrtly Credit-Deficit Generation'!T9</f>
        <v>504542</v>
      </c>
      <c r="U39" s="166">
        <f>'Qrtly Credit-Deficit Generation'!U9</f>
        <v>538519</v>
      </c>
      <c r="V39" s="166">
        <f>'Qrtly Credit-Deficit Generation'!V9</f>
        <v>608484</v>
      </c>
      <c r="W39" s="166">
        <f>'Qrtly Credit-Deficit Generation'!W9</f>
        <v>836629</v>
      </c>
      <c r="X39" s="166">
        <f>'Qrtly Credit-Deficit Generation'!X9</f>
        <v>857168</v>
      </c>
      <c r="Y39" s="166">
        <f>'Qrtly Credit-Deficit Generation'!Y9</f>
        <v>919750</v>
      </c>
      <c r="Z39" s="166">
        <f>'Qrtly Credit-Deficit Generation'!Z9</f>
        <v>905839</v>
      </c>
      <c r="AA39" s="166">
        <f>'Qrtly Credit-Deficit Generation'!AA9</f>
        <v>783039</v>
      </c>
      <c r="AB39" s="166">
        <f>'Qrtly Credit-Deficit Generation'!AB9</f>
        <v>856950</v>
      </c>
      <c r="AC39" s="166">
        <f>'Qrtly Credit-Deficit Generation'!AC9</f>
        <v>931601</v>
      </c>
      <c r="AD39" s="166">
        <f>'Qrtly Credit-Deficit Generation'!AD9</f>
        <v>916634</v>
      </c>
      <c r="AE39" s="166">
        <f>'Qrtly Credit-Deficit Generation'!AE9</f>
        <v>776336</v>
      </c>
      <c r="AF39" s="166">
        <f>'Qrtly Credit-Deficit Generation'!AF9</f>
        <v>775942</v>
      </c>
      <c r="AG39" s="166">
        <f>'Qrtly Credit-Deficit Generation'!AG9</f>
        <v>949941</v>
      </c>
      <c r="AH39" s="166">
        <f>'Qrtly Credit-Deficit Generation'!AH9</f>
        <v>956310</v>
      </c>
      <c r="AI39" s="166">
        <f>'Qrtly Credit-Deficit Generation'!AI9</f>
        <v>946616</v>
      </c>
      <c r="AJ39" s="166">
        <f>'Qrtly Credit-Deficit Generation'!AJ9</f>
        <v>1086445</v>
      </c>
      <c r="AK39" s="166">
        <f>'Qrtly Credit-Deficit Generation'!AK9</f>
        <v>1169325</v>
      </c>
      <c r="AL39" s="166">
        <f>'Qrtly Credit-Deficit Generation'!AL9</f>
        <v>1139746</v>
      </c>
      <c r="AM39" s="166">
        <f>'Qrtly Credit-Deficit Generation'!AM9</f>
        <v>1045797</v>
      </c>
      <c r="AN39" s="166">
        <f>'Qrtly Credit-Deficit Generation'!AN9</f>
        <v>648935</v>
      </c>
      <c r="AO39" s="166">
        <f>'Qrtly Credit-Deficit Generation'!AO9</f>
        <v>1052908</v>
      </c>
      <c r="AP39" s="166">
        <f>'Qrtly Credit-Deficit Generation'!AP9</f>
        <v>989015</v>
      </c>
      <c r="AQ39" s="166">
        <f>'Qrtly Credit-Deficit Generation'!AQ9</f>
        <v>747150</v>
      </c>
      <c r="AR39" s="166">
        <f>'Qrtly Credit-Deficit Generation'!AR9</f>
        <v>1006898</v>
      </c>
      <c r="AS39" s="166">
        <f>'Qrtly Credit-Deficit Generation'!AS9</f>
        <v>1113796</v>
      </c>
      <c r="AT39" s="166">
        <f>'Qrtly Credit-Deficit Generation'!AT9</f>
        <v>957708</v>
      </c>
      <c r="AU39" s="166">
        <f>'Qrtly Credit-Deficit Generation'!AU9</f>
        <v>917950</v>
      </c>
      <c r="AV39" s="166">
        <f>'Qrtly Credit-Deficit Generation'!AV9</f>
        <v>919767</v>
      </c>
      <c r="AW39" s="166">
        <f>'Qrtly Credit-Deficit Generation'!AW9</f>
        <v>975746</v>
      </c>
      <c r="AX39" s="166">
        <f>'Qrtly Credit-Deficit Generation'!AX9</f>
        <v>927177</v>
      </c>
      <c r="AY39" s="166">
        <f>'Qrtly Credit-Deficit Generation'!AY9</f>
        <v>827472</v>
      </c>
      <c r="AZ39" s="166">
        <f>'Qrtly Credit-Deficit Generation'!AZ9</f>
        <v>736436</v>
      </c>
      <c r="BA39" s="166">
        <f>'Qrtly Credit-Deficit Generation'!BA9</f>
        <v>882062</v>
      </c>
      <c r="BB39" s="166">
        <f>'Qrtly Credit-Deficit Generation'!BB9</f>
        <v>916926</v>
      </c>
    </row>
    <row r="40" spans="1:54" x14ac:dyDescent="0.25">
      <c r="A40" s="39" t="s">
        <v>76</v>
      </c>
      <c r="C40" s="166">
        <f>'Qrtly Credit-Deficit Generation'!C10</f>
        <v>12300</v>
      </c>
      <c r="D40" s="166">
        <f>'Qrtly Credit-Deficit Generation'!D10</f>
        <v>21555</v>
      </c>
      <c r="E40" s="166">
        <f>'Qrtly Credit-Deficit Generation'!E10</f>
        <v>22424</v>
      </c>
      <c r="F40" s="166">
        <f>'Qrtly Credit-Deficit Generation'!F10</f>
        <v>27988</v>
      </c>
      <c r="G40" s="166">
        <f>'Qrtly Credit-Deficit Generation'!G10</f>
        <v>35382</v>
      </c>
      <c r="H40" s="166">
        <f>'Qrtly Credit-Deficit Generation'!H10</f>
        <v>41919</v>
      </c>
      <c r="I40" s="166">
        <f>'Qrtly Credit-Deficit Generation'!I10</f>
        <v>34052</v>
      </c>
      <c r="J40" s="166">
        <f>'Qrtly Credit-Deficit Generation'!J10</f>
        <v>37994</v>
      </c>
      <c r="K40" s="166">
        <f>'Qrtly Credit-Deficit Generation'!K10</f>
        <v>47386</v>
      </c>
      <c r="L40" s="166">
        <f>'Qrtly Credit-Deficit Generation'!L10</f>
        <v>123072</v>
      </c>
      <c r="M40" s="166">
        <f>'Qrtly Credit-Deficit Generation'!M10</f>
        <v>130475</v>
      </c>
      <c r="N40" s="166">
        <f>'Qrtly Credit-Deficit Generation'!N10</f>
        <v>265737</v>
      </c>
      <c r="O40" s="166">
        <f>'Qrtly Credit-Deficit Generation'!O10</f>
        <v>169218</v>
      </c>
      <c r="P40" s="166">
        <f>'Qrtly Credit-Deficit Generation'!P10</f>
        <v>183308</v>
      </c>
      <c r="Q40" s="166">
        <f>'Qrtly Credit-Deficit Generation'!Q10</f>
        <v>154934</v>
      </c>
      <c r="R40" s="166">
        <f>'Qrtly Credit-Deficit Generation'!R10</f>
        <v>210540</v>
      </c>
      <c r="S40" s="166">
        <f>'Qrtly Credit-Deficit Generation'!S10</f>
        <v>195615</v>
      </c>
      <c r="T40" s="166">
        <f>'Qrtly Credit-Deficit Generation'!T10</f>
        <v>287973</v>
      </c>
      <c r="U40" s="166">
        <f>'Qrtly Credit-Deficit Generation'!U10</f>
        <v>364501</v>
      </c>
      <c r="V40" s="166">
        <f>'Qrtly Credit-Deficit Generation'!V10</f>
        <v>365821</v>
      </c>
      <c r="W40" s="166">
        <f>'Qrtly Credit-Deficit Generation'!W10</f>
        <v>322607</v>
      </c>
      <c r="X40" s="166">
        <f>'Qrtly Credit-Deficit Generation'!X10</f>
        <v>392318</v>
      </c>
      <c r="Y40" s="166">
        <f>'Qrtly Credit-Deficit Generation'!Y10</f>
        <v>470922</v>
      </c>
      <c r="Z40" s="166">
        <f>'Qrtly Credit-Deficit Generation'!Z10</f>
        <v>550936</v>
      </c>
      <c r="AA40" s="166">
        <f>'Qrtly Credit-Deficit Generation'!AA10</f>
        <v>306640</v>
      </c>
      <c r="AB40" s="166">
        <f>'Qrtly Credit-Deficit Generation'!AB10</f>
        <v>321909</v>
      </c>
      <c r="AC40" s="166">
        <f>'Qrtly Credit-Deficit Generation'!AC10</f>
        <v>393587</v>
      </c>
      <c r="AD40" s="166">
        <f>'Qrtly Credit-Deficit Generation'!AD10</f>
        <v>357603</v>
      </c>
      <c r="AE40" s="166">
        <f>'Qrtly Credit-Deficit Generation'!AE10</f>
        <v>306337</v>
      </c>
      <c r="AF40" s="166">
        <f>'Qrtly Credit-Deficit Generation'!AF10</f>
        <v>357508</v>
      </c>
      <c r="AG40" s="166">
        <f>'Qrtly Credit-Deficit Generation'!AG10</f>
        <v>442007</v>
      </c>
      <c r="AH40" s="166">
        <f>'Qrtly Credit-Deficit Generation'!AH10</f>
        <v>500702</v>
      </c>
      <c r="AI40" s="166">
        <f>'Qrtly Credit-Deficit Generation'!AI10</f>
        <v>347140</v>
      </c>
      <c r="AJ40" s="166">
        <f>'Qrtly Credit-Deficit Generation'!AJ10</f>
        <v>490163</v>
      </c>
      <c r="AK40" s="166">
        <f>'Qrtly Credit-Deficit Generation'!AK10</f>
        <v>506350</v>
      </c>
      <c r="AL40" s="166">
        <f>'Qrtly Credit-Deficit Generation'!AL10</f>
        <v>487437</v>
      </c>
      <c r="AM40" s="166">
        <f>'Qrtly Credit-Deficit Generation'!AM10</f>
        <v>477797</v>
      </c>
      <c r="AN40" s="166">
        <f>'Qrtly Credit-Deficit Generation'!AN10</f>
        <v>492495</v>
      </c>
      <c r="AO40" s="166">
        <f>'Qrtly Credit-Deficit Generation'!AO10</f>
        <v>592296</v>
      </c>
      <c r="AP40" s="166">
        <f>'Qrtly Credit-Deficit Generation'!AP10</f>
        <v>650739</v>
      </c>
      <c r="AQ40" s="166">
        <f>'Qrtly Credit-Deficit Generation'!AQ10</f>
        <v>479642</v>
      </c>
      <c r="AR40" s="166">
        <f>'Qrtly Credit-Deficit Generation'!AR10</f>
        <v>622767</v>
      </c>
      <c r="AS40" s="166">
        <f>'Qrtly Credit-Deficit Generation'!AS10</f>
        <v>622949</v>
      </c>
      <c r="AT40" s="166">
        <f>'Qrtly Credit-Deficit Generation'!AT10</f>
        <v>585241</v>
      </c>
      <c r="AU40" s="166">
        <f>'Qrtly Credit-Deficit Generation'!AU10</f>
        <v>565021</v>
      </c>
      <c r="AV40" s="166">
        <f>'Qrtly Credit-Deficit Generation'!AV10</f>
        <v>533220</v>
      </c>
      <c r="AW40" s="166">
        <f>'Qrtly Credit-Deficit Generation'!AW10</f>
        <v>563916</v>
      </c>
      <c r="AX40" s="166">
        <f>'Qrtly Credit-Deficit Generation'!AX10</f>
        <v>542391</v>
      </c>
      <c r="AY40" s="166">
        <f>'Qrtly Credit-Deficit Generation'!AY10</f>
        <v>493424</v>
      </c>
      <c r="AZ40" s="166">
        <f>'Qrtly Credit-Deficit Generation'!AZ10</f>
        <v>468031</v>
      </c>
      <c r="BA40" s="166">
        <f>'Qrtly Credit-Deficit Generation'!BA10</f>
        <v>497047</v>
      </c>
      <c r="BB40" s="166">
        <f>'Qrtly Credit-Deficit Generation'!BB10</f>
        <v>511698</v>
      </c>
    </row>
    <row r="41" spans="1:54" x14ac:dyDescent="0.25">
      <c r="A41" s="39" t="s">
        <v>77</v>
      </c>
      <c r="C41" s="166">
        <f>'Qrtly Credit-Deficit Generation'!C11</f>
        <v>3070</v>
      </c>
      <c r="D41" s="166">
        <f>'Qrtly Credit-Deficit Generation'!D11</f>
        <v>3368</v>
      </c>
      <c r="E41" s="166">
        <f>'Qrtly Credit-Deficit Generation'!E11</f>
        <v>4362</v>
      </c>
      <c r="F41" s="166">
        <f>'Qrtly Credit-Deficit Generation'!F11</f>
        <v>6220</v>
      </c>
      <c r="G41" s="166">
        <f>'Qrtly Credit-Deficit Generation'!G11</f>
        <v>6701</v>
      </c>
      <c r="H41" s="166">
        <f>'Qrtly Credit-Deficit Generation'!H11</f>
        <v>6804</v>
      </c>
      <c r="I41" s="166">
        <f>'Qrtly Credit-Deficit Generation'!I11</f>
        <v>7938</v>
      </c>
      <c r="J41" s="166">
        <f>'Qrtly Credit-Deficit Generation'!J11</f>
        <v>51216</v>
      </c>
      <c r="K41" s="166">
        <f>'Qrtly Credit-Deficit Generation'!K11</f>
        <v>64445</v>
      </c>
      <c r="L41" s="166">
        <f>'Qrtly Credit-Deficit Generation'!L11</f>
        <v>178293</v>
      </c>
      <c r="M41" s="166">
        <f>'Qrtly Credit-Deficit Generation'!M11</f>
        <v>288998</v>
      </c>
      <c r="N41" s="166">
        <f>'Qrtly Credit-Deficit Generation'!N11</f>
        <v>258193</v>
      </c>
      <c r="O41" s="166">
        <f>'Qrtly Credit-Deficit Generation'!O11</f>
        <v>192407</v>
      </c>
      <c r="P41" s="166">
        <f>'Qrtly Credit-Deficit Generation'!P11</f>
        <v>211004</v>
      </c>
      <c r="Q41" s="166">
        <f>'Qrtly Credit-Deficit Generation'!Q11</f>
        <v>260522</v>
      </c>
      <c r="R41" s="166">
        <f>'Qrtly Credit-Deficit Generation'!R11</f>
        <v>181046</v>
      </c>
      <c r="S41" s="166">
        <f>'Qrtly Credit-Deficit Generation'!S11</f>
        <v>204352</v>
      </c>
      <c r="T41" s="166">
        <f>'Qrtly Credit-Deficit Generation'!T11</f>
        <v>240167</v>
      </c>
      <c r="U41" s="166">
        <f>'Qrtly Credit-Deficit Generation'!U11</f>
        <v>298591</v>
      </c>
      <c r="V41" s="166">
        <f>'Qrtly Credit-Deficit Generation'!V11</f>
        <v>295061</v>
      </c>
      <c r="W41" s="166">
        <f>'Qrtly Credit-Deficit Generation'!W11</f>
        <v>274568</v>
      </c>
      <c r="X41" s="166">
        <f>'Qrtly Credit-Deficit Generation'!X11</f>
        <v>670559</v>
      </c>
      <c r="Y41" s="166">
        <f>'Qrtly Credit-Deficit Generation'!Y11</f>
        <v>577586</v>
      </c>
      <c r="Z41" s="166">
        <f>'Qrtly Credit-Deficit Generation'!Z11</f>
        <v>718504</v>
      </c>
      <c r="AA41" s="166">
        <f>'Qrtly Credit-Deficit Generation'!AA11</f>
        <v>610652</v>
      </c>
      <c r="AB41" s="166">
        <f>'Qrtly Credit-Deficit Generation'!AB11</f>
        <v>835625</v>
      </c>
      <c r="AC41" s="166">
        <f>'Qrtly Credit-Deficit Generation'!AC11</f>
        <v>844159</v>
      </c>
      <c r="AD41" s="166">
        <f>'Qrtly Credit-Deficit Generation'!AD11</f>
        <v>676294</v>
      </c>
      <c r="AE41" s="166">
        <f>'Qrtly Credit-Deficit Generation'!AE11</f>
        <v>822711</v>
      </c>
      <c r="AF41" s="166">
        <f>'Qrtly Credit-Deficit Generation'!AF11</f>
        <v>904125</v>
      </c>
      <c r="AG41" s="166">
        <f>'Qrtly Credit-Deficit Generation'!AG11</f>
        <v>684773</v>
      </c>
      <c r="AH41" s="166">
        <f>'Qrtly Credit-Deficit Generation'!AH11</f>
        <v>1073782</v>
      </c>
      <c r="AI41" s="166">
        <f>'Qrtly Credit-Deficit Generation'!AI11</f>
        <v>1195556</v>
      </c>
      <c r="AJ41" s="166">
        <f>'Qrtly Credit-Deficit Generation'!AJ11</f>
        <v>1245746</v>
      </c>
      <c r="AK41" s="166">
        <f>'Qrtly Credit-Deficit Generation'!AK11</f>
        <v>1056305</v>
      </c>
      <c r="AL41" s="166">
        <f>'Qrtly Credit-Deficit Generation'!AL11</f>
        <v>1282920</v>
      </c>
      <c r="AM41" s="166">
        <f>'Qrtly Credit-Deficit Generation'!AM11</f>
        <v>1033279</v>
      </c>
      <c r="AN41" s="166">
        <f>'Qrtly Credit-Deficit Generation'!AN11</f>
        <v>1141074</v>
      </c>
      <c r="AO41" s="166">
        <f>'Qrtly Credit-Deficit Generation'!AO11</f>
        <v>1104970</v>
      </c>
      <c r="AP41" s="166">
        <f>'Qrtly Credit-Deficit Generation'!AP11</f>
        <v>1291977</v>
      </c>
      <c r="AQ41" s="166">
        <f>'Qrtly Credit-Deficit Generation'!AQ11</f>
        <v>1432647</v>
      </c>
      <c r="AR41" s="166">
        <f>'Qrtly Credit-Deficit Generation'!AR11</f>
        <v>1503734</v>
      </c>
      <c r="AS41" s="166">
        <f>'Qrtly Credit-Deficit Generation'!AS11</f>
        <v>1724236</v>
      </c>
      <c r="AT41" s="166">
        <f>'Qrtly Credit-Deficit Generation'!AT11</f>
        <v>1895846</v>
      </c>
      <c r="AU41" s="166">
        <f>'Qrtly Credit-Deficit Generation'!AU11</f>
        <v>2222870</v>
      </c>
      <c r="AV41" s="166">
        <f>'Qrtly Credit-Deficit Generation'!AV11</f>
        <v>2447051</v>
      </c>
      <c r="AW41" s="166">
        <f>'Qrtly Credit-Deficit Generation'!AW11</f>
        <v>2389803</v>
      </c>
      <c r="AX41" s="166">
        <f>'Qrtly Credit-Deficit Generation'!AX11</f>
        <v>2557211</v>
      </c>
      <c r="AY41" s="166">
        <f>'Qrtly Credit-Deficit Generation'!AY11</f>
        <v>2504078</v>
      </c>
      <c r="AZ41" s="166">
        <f>'Qrtly Credit-Deficit Generation'!AZ11</f>
        <v>2847161</v>
      </c>
      <c r="BA41" s="166">
        <f>'Qrtly Credit-Deficit Generation'!BA11</f>
        <v>3182501</v>
      </c>
      <c r="BB41" s="166">
        <f>'Qrtly Credit-Deficit Generation'!BB11</f>
        <v>3395112</v>
      </c>
    </row>
    <row r="42" spans="1:54" x14ac:dyDescent="0.25">
      <c r="A42" s="39" t="s">
        <v>171</v>
      </c>
      <c r="C42" s="166">
        <f>'Qrtly Credit-Deficit Generation'!C13</f>
        <v>0</v>
      </c>
      <c r="D42" s="166">
        <f>'Qrtly Credit-Deficit Generation'!D13</f>
        <v>0</v>
      </c>
      <c r="E42" s="166">
        <f>'Qrtly Credit-Deficit Generation'!E13</f>
        <v>0</v>
      </c>
      <c r="F42" s="166">
        <f>'Qrtly Credit-Deficit Generation'!F13</f>
        <v>0</v>
      </c>
      <c r="G42" s="166">
        <f>'Qrtly Credit-Deficit Generation'!G13</f>
        <v>0</v>
      </c>
      <c r="H42" s="166">
        <f>'Qrtly Credit-Deficit Generation'!H13</f>
        <v>0</v>
      </c>
      <c r="I42" s="166">
        <f>'Qrtly Credit-Deficit Generation'!I13</f>
        <v>0</v>
      </c>
      <c r="J42" s="166">
        <f>'Qrtly Credit-Deficit Generation'!J13</f>
        <v>0</v>
      </c>
      <c r="K42" s="166">
        <f>'Qrtly Credit-Deficit Generation'!K13</f>
        <v>0</v>
      </c>
      <c r="L42" s="166">
        <f>'Qrtly Credit-Deficit Generation'!L13</f>
        <v>0</v>
      </c>
      <c r="M42" s="166">
        <f>'Qrtly Credit-Deficit Generation'!M13</f>
        <v>0</v>
      </c>
      <c r="N42" s="166">
        <f>'Qrtly Credit-Deficit Generation'!N13</f>
        <v>0</v>
      </c>
      <c r="O42" s="166">
        <f>'Qrtly Credit-Deficit Generation'!O13</f>
        <v>0</v>
      </c>
      <c r="P42" s="166">
        <f>'Qrtly Credit-Deficit Generation'!P13</f>
        <v>0</v>
      </c>
      <c r="Q42" s="166">
        <f>'Qrtly Credit-Deficit Generation'!Q13</f>
        <v>0</v>
      </c>
      <c r="R42" s="166">
        <f>'Qrtly Credit-Deficit Generation'!R13</f>
        <v>0</v>
      </c>
      <c r="S42" s="166">
        <f>'Qrtly Credit-Deficit Generation'!S13</f>
        <v>0</v>
      </c>
      <c r="T42" s="166">
        <f>'Qrtly Credit-Deficit Generation'!T13</f>
        <v>0</v>
      </c>
      <c r="U42" s="166">
        <f>'Qrtly Credit-Deficit Generation'!U13</f>
        <v>0</v>
      </c>
      <c r="V42" s="166">
        <f>'Qrtly Credit-Deficit Generation'!V13</f>
        <v>0</v>
      </c>
      <c r="W42" s="166">
        <f>'Qrtly Credit-Deficit Generation'!W13</f>
        <v>0</v>
      </c>
      <c r="X42" s="166">
        <f>'Qrtly Credit-Deficit Generation'!X13</f>
        <v>0</v>
      </c>
      <c r="Y42" s="166">
        <f>'Qrtly Credit-Deficit Generation'!Y13</f>
        <v>0</v>
      </c>
      <c r="Z42" s="166">
        <f>'Qrtly Credit-Deficit Generation'!Z13</f>
        <v>0</v>
      </c>
      <c r="AA42" s="166">
        <f>'Qrtly Credit-Deficit Generation'!AA13</f>
        <v>0</v>
      </c>
      <c r="AB42" s="166">
        <f>'Qrtly Credit-Deficit Generation'!AB13</f>
        <v>0</v>
      </c>
      <c r="AC42" s="166">
        <f>'Qrtly Credit-Deficit Generation'!AC13</f>
        <v>0</v>
      </c>
      <c r="AD42" s="166">
        <f>'Qrtly Credit-Deficit Generation'!AD13</f>
        <v>0</v>
      </c>
      <c r="AE42" s="166">
        <f>'Qrtly Credit-Deficit Generation'!AE13</f>
        <v>0</v>
      </c>
      <c r="AF42" s="166">
        <f>'Qrtly Credit-Deficit Generation'!AF13</f>
        <v>0</v>
      </c>
      <c r="AG42" s="166">
        <f>'Qrtly Credit-Deficit Generation'!AG13</f>
        <v>0</v>
      </c>
      <c r="AH42" s="166">
        <f>'Qrtly Credit-Deficit Generation'!AH13</f>
        <v>1082</v>
      </c>
      <c r="AI42" s="166">
        <f>'Qrtly Credit-Deficit Generation'!AI13</f>
        <v>679</v>
      </c>
      <c r="AJ42" s="166">
        <f>'Qrtly Credit-Deficit Generation'!AJ13</f>
        <v>4236</v>
      </c>
      <c r="AK42" s="166">
        <f>'Qrtly Credit-Deficit Generation'!AK13</f>
        <v>1161</v>
      </c>
      <c r="AL42" s="166">
        <f>'Qrtly Credit-Deficit Generation'!AL13</f>
        <v>1942</v>
      </c>
      <c r="AM42" s="166">
        <f>'Qrtly Credit-Deficit Generation'!AM13</f>
        <v>2368</v>
      </c>
      <c r="AN42" s="166">
        <f>'Qrtly Credit-Deficit Generation'!AN13</f>
        <v>2338</v>
      </c>
      <c r="AO42" s="166">
        <f>'Qrtly Credit-Deficit Generation'!AO13</f>
        <v>6472</v>
      </c>
      <c r="AP42" s="166">
        <f>'Qrtly Credit-Deficit Generation'!AP13</f>
        <v>4743</v>
      </c>
      <c r="AQ42" s="166">
        <f>'Qrtly Credit-Deficit Generation'!AQ13</f>
        <v>11377</v>
      </c>
      <c r="AR42" s="166">
        <f>'Qrtly Credit-Deficit Generation'!AR13</f>
        <v>15331</v>
      </c>
      <c r="AS42" s="166">
        <f>'Qrtly Credit-Deficit Generation'!AS13</f>
        <v>10413</v>
      </c>
      <c r="AT42" s="166">
        <f>'Qrtly Credit-Deficit Generation'!AT13</f>
        <v>12304</v>
      </c>
      <c r="AU42" s="166">
        <f>'Qrtly Credit-Deficit Generation'!AU13</f>
        <v>18282</v>
      </c>
      <c r="AV42" s="166">
        <f>'Qrtly Credit-Deficit Generation'!AV13</f>
        <v>28225</v>
      </c>
      <c r="AW42" s="166">
        <f>'Qrtly Credit-Deficit Generation'!AW13</f>
        <v>11198</v>
      </c>
      <c r="AX42" s="166">
        <f>'Qrtly Credit-Deficit Generation'!AX13</f>
        <v>13683</v>
      </c>
      <c r="AY42" s="166">
        <f>'Qrtly Credit-Deficit Generation'!AY13</f>
        <v>20275</v>
      </c>
      <c r="AZ42" s="166">
        <f>'Qrtly Credit-Deficit Generation'!AZ13</f>
        <v>27898</v>
      </c>
      <c r="BA42" s="166">
        <f>'Qrtly Credit-Deficit Generation'!BA13</f>
        <v>41231</v>
      </c>
      <c r="BB42" s="166">
        <f>'Qrtly Credit-Deficit Generation'!BB13</f>
        <v>24252</v>
      </c>
    </row>
    <row r="43" spans="1:54" x14ac:dyDescent="0.25">
      <c r="A43" s="39" t="s">
        <v>80</v>
      </c>
      <c r="C43" s="166">
        <f>'Qrtly Credit-Deficit Generation'!C14</f>
        <v>0</v>
      </c>
      <c r="D43" s="166">
        <f>'Qrtly Credit-Deficit Generation'!D14</f>
        <v>0</v>
      </c>
      <c r="E43" s="166">
        <f>'Qrtly Credit-Deficit Generation'!E14</f>
        <v>0</v>
      </c>
      <c r="F43" s="166">
        <f>'Qrtly Credit-Deficit Generation'!F14</f>
        <v>0</v>
      </c>
      <c r="G43" s="166">
        <f>'Qrtly Credit-Deficit Generation'!G14</f>
        <v>0</v>
      </c>
      <c r="H43" s="166">
        <f>'Qrtly Credit-Deficit Generation'!H14</f>
        <v>0</v>
      </c>
      <c r="I43" s="166">
        <f>'Qrtly Credit-Deficit Generation'!I14</f>
        <v>0</v>
      </c>
      <c r="J43" s="166">
        <f>'Qrtly Credit-Deficit Generation'!J14</f>
        <v>0</v>
      </c>
      <c r="K43" s="166">
        <f>'Qrtly Credit-Deficit Generation'!K14</f>
        <v>0</v>
      </c>
      <c r="L43" s="166">
        <f>'Qrtly Credit-Deficit Generation'!L14</f>
        <v>0</v>
      </c>
      <c r="M43" s="166">
        <f>'Qrtly Credit-Deficit Generation'!M14</f>
        <v>0</v>
      </c>
      <c r="N43" s="166">
        <f>'Qrtly Credit-Deficit Generation'!N14</f>
        <v>0</v>
      </c>
      <c r="O43" s="166">
        <f>'Qrtly Credit-Deficit Generation'!O14</f>
        <v>0</v>
      </c>
      <c r="P43" s="166">
        <f>'Qrtly Credit-Deficit Generation'!P14</f>
        <v>0</v>
      </c>
      <c r="Q43" s="166">
        <f>'Qrtly Credit-Deficit Generation'!Q14</f>
        <v>0</v>
      </c>
      <c r="R43" s="166">
        <f>'Qrtly Credit-Deficit Generation'!R14</f>
        <v>0</v>
      </c>
      <c r="S43" s="166">
        <f>'Qrtly Credit-Deficit Generation'!S14</f>
        <v>0</v>
      </c>
      <c r="T43" s="166">
        <f>'Qrtly Credit-Deficit Generation'!T14</f>
        <v>0</v>
      </c>
      <c r="U43" s="166">
        <f>'Qrtly Credit-Deficit Generation'!U14</f>
        <v>0</v>
      </c>
      <c r="V43" s="166">
        <f>'Qrtly Credit-Deficit Generation'!V14</f>
        <v>0</v>
      </c>
      <c r="W43" s="166">
        <f>'Qrtly Credit-Deficit Generation'!W14</f>
        <v>0</v>
      </c>
      <c r="X43" s="166">
        <f>'Qrtly Credit-Deficit Generation'!X14</f>
        <v>0</v>
      </c>
      <c r="Y43" s="166">
        <f>'Qrtly Credit-Deficit Generation'!Y14</f>
        <v>0</v>
      </c>
      <c r="Z43" s="166">
        <f>'Qrtly Credit-Deficit Generation'!Z14</f>
        <v>0</v>
      </c>
      <c r="AA43" s="166">
        <f>'Qrtly Credit-Deficit Generation'!AA14</f>
        <v>0</v>
      </c>
      <c r="AB43" s="166">
        <f>'Qrtly Credit-Deficit Generation'!AB14</f>
        <v>0</v>
      </c>
      <c r="AC43" s="166">
        <f>'Qrtly Credit-Deficit Generation'!AC14</f>
        <v>0</v>
      </c>
      <c r="AD43" s="166">
        <f>'Qrtly Credit-Deficit Generation'!AD14</f>
        <v>0</v>
      </c>
      <c r="AE43" s="166">
        <f>'Qrtly Credit-Deficit Generation'!AE14</f>
        <v>0</v>
      </c>
      <c r="AF43" s="166">
        <f>'Qrtly Credit-Deficit Generation'!AF14</f>
        <v>0</v>
      </c>
      <c r="AG43" s="166">
        <f>'Qrtly Credit-Deficit Generation'!AG14</f>
        <v>0</v>
      </c>
      <c r="AH43" s="166">
        <f>'Qrtly Credit-Deficit Generation'!AH14</f>
        <v>0</v>
      </c>
      <c r="AI43" s="166">
        <f>'Qrtly Credit-Deficit Generation'!AI14</f>
        <v>64</v>
      </c>
      <c r="AJ43" s="166">
        <f>'Qrtly Credit-Deficit Generation'!AJ14</f>
        <v>623</v>
      </c>
      <c r="AK43" s="166">
        <f>'Qrtly Credit-Deficit Generation'!AK14</f>
        <v>1475</v>
      </c>
      <c r="AL43" s="166">
        <f>'Qrtly Credit-Deficit Generation'!AL14</f>
        <v>1532</v>
      </c>
      <c r="AM43" s="166">
        <f>'Qrtly Credit-Deficit Generation'!AM14</f>
        <v>3328</v>
      </c>
      <c r="AN43" s="166">
        <f>'Qrtly Credit-Deficit Generation'!AN14</f>
        <v>5832</v>
      </c>
      <c r="AO43" s="166">
        <f>'Qrtly Credit-Deficit Generation'!AO14</f>
        <v>5892</v>
      </c>
      <c r="AP43" s="166">
        <f>'Qrtly Credit-Deficit Generation'!AP14</f>
        <v>6160</v>
      </c>
      <c r="AQ43" s="166">
        <f>'Qrtly Credit-Deficit Generation'!AQ14</f>
        <v>9633</v>
      </c>
      <c r="AR43" s="166">
        <f>'Qrtly Credit-Deficit Generation'!AR14</f>
        <v>8451</v>
      </c>
      <c r="AS43" s="166">
        <f>'Qrtly Credit-Deficit Generation'!AS14</f>
        <v>10269</v>
      </c>
      <c r="AT43" s="166">
        <f>'Qrtly Credit-Deficit Generation'!AT14</f>
        <v>11095</v>
      </c>
      <c r="AU43" s="166">
        <f>'Qrtly Credit-Deficit Generation'!AU14</f>
        <v>10004</v>
      </c>
      <c r="AV43" s="166">
        <f>'Qrtly Credit-Deficit Generation'!AV14</f>
        <v>9632</v>
      </c>
      <c r="AW43" s="166">
        <f>'Qrtly Credit-Deficit Generation'!AW14</f>
        <v>8976</v>
      </c>
      <c r="AX43" s="166">
        <f>'Qrtly Credit-Deficit Generation'!AX14</f>
        <v>9585</v>
      </c>
      <c r="AY43" s="166">
        <f>'Qrtly Credit-Deficit Generation'!AY14</f>
        <v>7599</v>
      </c>
      <c r="AZ43" s="166">
        <f>'Qrtly Credit-Deficit Generation'!AZ14</f>
        <v>6241</v>
      </c>
      <c r="BA43" s="166">
        <f>'Qrtly Credit-Deficit Generation'!BA14</f>
        <v>8067</v>
      </c>
      <c r="BB43" s="166">
        <f>'Qrtly Credit-Deficit Generation'!BB14</f>
        <v>7101</v>
      </c>
    </row>
    <row r="44" spans="1:54" x14ac:dyDescent="0.25">
      <c r="A44" s="39" t="s">
        <v>202</v>
      </c>
      <c r="C44" s="166">
        <f>'Qrtly Credit-Deficit Generation'!C40</f>
        <v>0</v>
      </c>
      <c r="D44" s="166">
        <f>'Qrtly Credit-Deficit Generation'!D40</f>
        <v>0</v>
      </c>
      <c r="E44" s="166">
        <f>'Qrtly Credit-Deficit Generation'!E40</f>
        <v>0</v>
      </c>
      <c r="F44" s="166">
        <f>'Qrtly Credit-Deficit Generation'!F40</f>
        <v>0</v>
      </c>
      <c r="G44" s="166">
        <f>'Qrtly Credit-Deficit Generation'!G40</f>
        <v>0</v>
      </c>
      <c r="H44" s="166">
        <f>'Qrtly Credit-Deficit Generation'!H40</f>
        <v>0</v>
      </c>
      <c r="I44" s="166">
        <f>'Qrtly Credit-Deficit Generation'!I40</f>
        <v>0</v>
      </c>
      <c r="J44" s="166">
        <f>'Qrtly Credit-Deficit Generation'!J40</f>
        <v>0</v>
      </c>
      <c r="K44" s="166">
        <f>'Qrtly Credit-Deficit Generation'!K40</f>
        <v>0</v>
      </c>
      <c r="L44" s="166">
        <f>'Qrtly Credit-Deficit Generation'!L40</f>
        <v>0</v>
      </c>
      <c r="M44" s="166">
        <f>'Qrtly Credit-Deficit Generation'!M40</f>
        <v>0</v>
      </c>
      <c r="N44" s="166">
        <f>'Qrtly Credit-Deficit Generation'!N40</f>
        <v>0</v>
      </c>
      <c r="O44" s="166">
        <f>'Qrtly Credit-Deficit Generation'!O40</f>
        <v>0</v>
      </c>
      <c r="P44" s="166">
        <f>'Qrtly Credit-Deficit Generation'!P40</f>
        <v>0</v>
      </c>
      <c r="Q44" s="166">
        <f>'Qrtly Credit-Deficit Generation'!Q40</f>
        <v>0</v>
      </c>
      <c r="R44" s="166">
        <f>'Qrtly Credit-Deficit Generation'!R40</f>
        <v>0</v>
      </c>
      <c r="S44" s="166">
        <f>'Qrtly Credit-Deficit Generation'!S40</f>
        <v>0</v>
      </c>
      <c r="T44" s="166">
        <f>'Qrtly Credit-Deficit Generation'!T40</f>
        <v>0</v>
      </c>
      <c r="U44" s="166">
        <f>'Qrtly Credit-Deficit Generation'!U40</f>
        <v>0</v>
      </c>
      <c r="V44" s="166">
        <f>'Qrtly Credit-Deficit Generation'!V40</f>
        <v>0</v>
      </c>
      <c r="W44" s="166">
        <f>'Qrtly Credit-Deficit Generation'!W40</f>
        <v>0</v>
      </c>
      <c r="X44" s="166">
        <f>'Qrtly Credit-Deficit Generation'!X40</f>
        <v>0</v>
      </c>
      <c r="Y44" s="166">
        <f>'Qrtly Credit-Deficit Generation'!Y40</f>
        <v>845</v>
      </c>
      <c r="Z44" s="166">
        <f>'Qrtly Credit-Deficit Generation'!Z40</f>
        <v>586</v>
      </c>
      <c r="AA44" s="166">
        <f>'Qrtly Credit-Deficit Generation'!AA40</f>
        <v>532</v>
      </c>
      <c r="AB44" s="166">
        <f>'Qrtly Credit-Deficit Generation'!AB40</f>
        <v>862</v>
      </c>
      <c r="AC44" s="166">
        <f>'Qrtly Credit-Deficit Generation'!AC40</f>
        <v>813</v>
      </c>
      <c r="AD44" s="166">
        <f>'Qrtly Credit-Deficit Generation'!AD40</f>
        <v>624</v>
      </c>
      <c r="AE44" s="166">
        <f>'Qrtly Credit-Deficit Generation'!AE40</f>
        <v>600</v>
      </c>
      <c r="AF44" s="166">
        <f>'Qrtly Credit-Deficit Generation'!AF40</f>
        <v>863</v>
      </c>
      <c r="AG44" s="166">
        <f>'Qrtly Credit-Deficit Generation'!AG40</f>
        <v>900</v>
      </c>
      <c r="AH44" s="166">
        <f>'Qrtly Credit-Deficit Generation'!AH40</f>
        <v>622</v>
      </c>
      <c r="AI44" s="166">
        <f>'Qrtly Credit-Deficit Generation'!AI40</f>
        <v>625</v>
      </c>
      <c r="AJ44" s="166">
        <f>'Qrtly Credit-Deficit Generation'!AJ40</f>
        <v>1019</v>
      </c>
      <c r="AK44" s="166">
        <f>'Qrtly Credit-Deficit Generation'!AK40</f>
        <v>1043</v>
      </c>
      <c r="AL44" s="166">
        <f>'Qrtly Credit-Deficit Generation'!AL40</f>
        <v>665</v>
      </c>
      <c r="AM44" s="166">
        <f>'Qrtly Credit-Deficit Generation'!AM40</f>
        <v>836</v>
      </c>
      <c r="AN44" s="166">
        <f>'Qrtly Credit-Deficit Generation'!AN40</f>
        <v>6851</v>
      </c>
      <c r="AO44" s="166">
        <f>'Qrtly Credit-Deficit Generation'!AO40</f>
        <v>6891</v>
      </c>
      <c r="AP44" s="166">
        <f>'Qrtly Credit-Deficit Generation'!AP40</f>
        <v>4709</v>
      </c>
      <c r="AQ44" s="166">
        <f>'Qrtly Credit-Deficit Generation'!AQ40</f>
        <v>10797</v>
      </c>
      <c r="AR44" s="166">
        <f>'Qrtly Credit-Deficit Generation'!AR40</f>
        <v>15909</v>
      </c>
      <c r="AS44" s="166">
        <f>'Qrtly Credit-Deficit Generation'!AS40</f>
        <v>14967</v>
      </c>
      <c r="AT44" s="166">
        <f>'Qrtly Credit-Deficit Generation'!AT40</f>
        <v>8583</v>
      </c>
      <c r="AU44" s="166">
        <f>'Qrtly Credit-Deficit Generation'!AU40</f>
        <v>9778</v>
      </c>
      <c r="AV44" s="166">
        <f>'Qrtly Credit-Deficit Generation'!AV40</f>
        <v>15076</v>
      </c>
      <c r="AW44" s="166">
        <f>'Qrtly Credit-Deficit Generation'!AW40</f>
        <v>13663</v>
      </c>
      <c r="AX44" s="166">
        <f>'Qrtly Credit-Deficit Generation'!AX40</f>
        <v>8029</v>
      </c>
      <c r="AY44" s="166">
        <f>'Qrtly Credit-Deficit Generation'!AY40</f>
        <v>4366</v>
      </c>
      <c r="AZ44" s="166">
        <f>'Qrtly Credit-Deficit Generation'!AZ40</f>
        <v>9216</v>
      </c>
      <c r="BA44" s="166">
        <f>'Qrtly Credit-Deficit Generation'!BA40</f>
        <v>8704</v>
      </c>
      <c r="BB44" s="166">
        <f>'Qrtly Credit-Deficit Generation'!BB40</f>
        <v>6874.1906351701264</v>
      </c>
    </row>
    <row r="45" spans="1:54" ht="25.5" x14ac:dyDescent="0.25">
      <c r="A45" s="39" t="s">
        <v>203</v>
      </c>
      <c r="C45" s="166">
        <f>'Qrtly Credit-Deficit Generation'!C41</f>
        <v>0</v>
      </c>
      <c r="D45" s="166">
        <f>'Qrtly Credit-Deficit Generation'!D41</f>
        <v>0</v>
      </c>
      <c r="E45" s="166">
        <f>'Qrtly Credit-Deficit Generation'!E41</f>
        <v>0</v>
      </c>
      <c r="F45" s="166">
        <f>'Qrtly Credit-Deficit Generation'!F41</f>
        <v>0</v>
      </c>
      <c r="G45" s="166">
        <f>'Qrtly Credit-Deficit Generation'!G41</f>
        <v>0</v>
      </c>
      <c r="H45" s="166">
        <f>'Qrtly Credit-Deficit Generation'!H41</f>
        <v>0</v>
      </c>
      <c r="I45" s="166">
        <f>'Qrtly Credit-Deficit Generation'!I41</f>
        <v>0</v>
      </c>
      <c r="J45" s="166">
        <f>'Qrtly Credit-Deficit Generation'!J41</f>
        <v>0</v>
      </c>
      <c r="K45" s="166">
        <f>'Qrtly Credit-Deficit Generation'!K41</f>
        <v>0</v>
      </c>
      <c r="L45" s="166">
        <f>'Qrtly Credit-Deficit Generation'!L41</f>
        <v>0</v>
      </c>
      <c r="M45" s="166">
        <f>'Qrtly Credit-Deficit Generation'!M41</f>
        <v>0</v>
      </c>
      <c r="N45" s="166">
        <f>'Qrtly Credit-Deficit Generation'!N41</f>
        <v>0</v>
      </c>
      <c r="O45" s="166">
        <f>'Qrtly Credit-Deficit Generation'!O41</f>
        <v>0</v>
      </c>
      <c r="P45" s="166">
        <f>'Qrtly Credit-Deficit Generation'!P41</f>
        <v>0</v>
      </c>
      <c r="Q45" s="166">
        <f>'Qrtly Credit-Deficit Generation'!Q41</f>
        <v>0</v>
      </c>
      <c r="R45" s="166">
        <f>'Qrtly Credit-Deficit Generation'!R41</f>
        <v>0</v>
      </c>
      <c r="S45" s="166">
        <f>'Qrtly Credit-Deficit Generation'!S41</f>
        <v>0</v>
      </c>
      <c r="T45" s="166">
        <f>'Qrtly Credit-Deficit Generation'!T41</f>
        <v>0</v>
      </c>
      <c r="U45" s="166">
        <f>'Qrtly Credit-Deficit Generation'!U41</f>
        <v>0</v>
      </c>
      <c r="V45" s="166">
        <f>'Qrtly Credit-Deficit Generation'!V41</f>
        <v>0</v>
      </c>
      <c r="W45" s="166">
        <f>'Qrtly Credit-Deficit Generation'!W41</f>
        <v>37942</v>
      </c>
      <c r="X45" s="166">
        <f>'Qrtly Credit-Deficit Generation'!X41</f>
        <v>38215</v>
      </c>
      <c r="Y45" s="166">
        <f>'Qrtly Credit-Deficit Generation'!Y41</f>
        <v>38997</v>
      </c>
      <c r="Z45" s="166">
        <f>'Qrtly Credit-Deficit Generation'!Z41</f>
        <v>38905</v>
      </c>
      <c r="AA45" s="166">
        <f>'Qrtly Credit-Deficit Generation'!AA41</f>
        <v>35934</v>
      </c>
      <c r="AB45" s="166">
        <f>'Qrtly Credit-Deficit Generation'!AB41</f>
        <v>35935</v>
      </c>
      <c r="AC45" s="166">
        <f>'Qrtly Credit-Deficit Generation'!AC41</f>
        <v>35934</v>
      </c>
      <c r="AD45" s="166">
        <f>'Qrtly Credit-Deficit Generation'!AD41</f>
        <v>35936</v>
      </c>
      <c r="AE45" s="166">
        <f>'Qrtly Credit-Deficit Generation'!AE41</f>
        <v>33561</v>
      </c>
      <c r="AF45" s="166">
        <f>'Qrtly Credit-Deficit Generation'!AF41</f>
        <v>33563</v>
      </c>
      <c r="AG45" s="166">
        <f>'Qrtly Credit-Deficit Generation'!AG41</f>
        <v>33561</v>
      </c>
      <c r="AH45" s="166">
        <f>'Qrtly Credit-Deficit Generation'!AH41</f>
        <v>33563</v>
      </c>
      <c r="AI45" s="166">
        <f>'Qrtly Credit-Deficit Generation'!AI41</f>
        <v>38213</v>
      </c>
      <c r="AJ45" s="166">
        <f>'Qrtly Credit-Deficit Generation'!AJ41</f>
        <v>38213</v>
      </c>
      <c r="AK45" s="166">
        <f>'Qrtly Credit-Deficit Generation'!AK41</f>
        <v>38213</v>
      </c>
      <c r="AL45" s="166">
        <f>'Qrtly Credit-Deficit Generation'!AL41</f>
        <v>38213</v>
      </c>
      <c r="AM45" s="166">
        <f>'Qrtly Credit-Deficit Generation'!AN40</f>
        <v>6851</v>
      </c>
      <c r="AN45" s="166">
        <f>'Qrtly Credit-Deficit Generation'!AO40</f>
        <v>6891</v>
      </c>
      <c r="AO45" s="166">
        <f>'Qrtly Credit-Deficit Generation'!AP40</f>
        <v>4709</v>
      </c>
      <c r="AP45" s="166">
        <f>'Qrtly Credit-Deficit Generation'!AQ40</f>
        <v>10797</v>
      </c>
      <c r="AQ45" s="166">
        <f>'Qrtly Credit-Deficit Generation'!AS40</f>
        <v>14967</v>
      </c>
      <c r="AR45" s="166">
        <f>'Qrtly Credit-Deficit Generation'!AT40</f>
        <v>8583</v>
      </c>
      <c r="AS45" s="166">
        <f>'Qrtly Credit-Deficit Generation'!AU40</f>
        <v>9778</v>
      </c>
      <c r="AT45" s="166">
        <f>'Qrtly Credit-Deficit Generation'!AV40</f>
        <v>15076</v>
      </c>
      <c r="AU45" s="166">
        <f>'Qrtly Credit-Deficit Generation'!AW40</f>
        <v>13663</v>
      </c>
      <c r="AV45" s="166">
        <f>'Qrtly Credit-Deficit Generation'!AX40</f>
        <v>8029</v>
      </c>
      <c r="AW45" s="166">
        <f>'Qrtly Credit-Deficit Generation'!AY40</f>
        <v>4366</v>
      </c>
      <c r="AX45" s="166">
        <f>'Qrtly Credit-Deficit Generation'!AZ40</f>
        <v>9216</v>
      </c>
      <c r="AY45" s="166">
        <f>'Qrtly Credit-Deficit Generation'!BA40</f>
        <v>8704</v>
      </c>
      <c r="AZ45" s="166">
        <f>'Qrtly Credit-Deficit Generation'!BB40</f>
        <v>6874.1906351701264</v>
      </c>
      <c r="BA45" s="166">
        <f>'Qrtly Credit-Deficit Generation'!BC40</f>
        <v>5337</v>
      </c>
      <c r="BB45" s="166">
        <f>'Qrtly Credit-Deficit Generation'!BD40</f>
        <v>0</v>
      </c>
    </row>
    <row r="46" spans="1:54" x14ac:dyDescent="0.25">
      <c r="A46" s="39" t="s">
        <v>204</v>
      </c>
      <c r="C46" s="166">
        <f>'Qrtly Credit-Deficit Generation'!C42</f>
        <v>0</v>
      </c>
      <c r="D46" s="166">
        <f>'Qrtly Credit-Deficit Generation'!D42</f>
        <v>0</v>
      </c>
      <c r="E46" s="166">
        <f>'Qrtly Credit-Deficit Generation'!E42</f>
        <v>0</v>
      </c>
      <c r="F46" s="166">
        <f>'Qrtly Credit-Deficit Generation'!F42</f>
        <v>0</v>
      </c>
      <c r="G46" s="166">
        <f>'Qrtly Credit-Deficit Generation'!G42</f>
        <v>0</v>
      </c>
      <c r="H46" s="166">
        <f>'Qrtly Credit-Deficit Generation'!H42</f>
        <v>0</v>
      </c>
      <c r="I46" s="166">
        <f>'Qrtly Credit-Deficit Generation'!I42</f>
        <v>0</v>
      </c>
      <c r="J46" s="166">
        <f>'Qrtly Credit-Deficit Generation'!J42</f>
        <v>0</v>
      </c>
      <c r="K46" s="166">
        <f>'Qrtly Credit-Deficit Generation'!K42</f>
        <v>0</v>
      </c>
      <c r="L46" s="166">
        <f>'Qrtly Credit-Deficit Generation'!L42</f>
        <v>0</v>
      </c>
      <c r="M46" s="166">
        <f>'Qrtly Credit-Deficit Generation'!M42</f>
        <v>0</v>
      </c>
      <c r="N46" s="166">
        <f>'Qrtly Credit-Deficit Generation'!N42</f>
        <v>0</v>
      </c>
      <c r="O46" s="166">
        <f>'Qrtly Credit-Deficit Generation'!O42</f>
        <v>0</v>
      </c>
      <c r="P46" s="166">
        <f>'Qrtly Credit-Deficit Generation'!P42</f>
        <v>0</v>
      </c>
      <c r="Q46" s="166">
        <f>'Qrtly Credit-Deficit Generation'!Q42</f>
        <v>0</v>
      </c>
      <c r="R46" s="166">
        <f>'Qrtly Credit-Deficit Generation'!R42</f>
        <v>0</v>
      </c>
      <c r="S46" s="166">
        <f>'Qrtly Credit-Deficit Generation'!S42</f>
        <v>0</v>
      </c>
      <c r="T46" s="166">
        <f>'Qrtly Credit-Deficit Generation'!T42</f>
        <v>0</v>
      </c>
      <c r="U46" s="166">
        <f>'Qrtly Credit-Deficit Generation'!U42</f>
        <v>0</v>
      </c>
      <c r="V46" s="166">
        <f>'Qrtly Credit-Deficit Generation'!V42</f>
        <v>0</v>
      </c>
      <c r="W46" s="166">
        <f>'Qrtly Credit-Deficit Generation'!W42</f>
        <v>0</v>
      </c>
      <c r="X46" s="166">
        <f>'Qrtly Credit-Deficit Generation'!X42</f>
        <v>0</v>
      </c>
      <c r="Y46" s="166">
        <f>'Qrtly Credit-Deficit Generation'!Y42</f>
        <v>0</v>
      </c>
      <c r="Z46" s="166">
        <f>'Qrtly Credit-Deficit Generation'!Z42</f>
        <v>0</v>
      </c>
      <c r="AA46" s="166">
        <f>'Qrtly Credit-Deficit Generation'!AA42</f>
        <v>0</v>
      </c>
      <c r="AB46" s="166">
        <f>'Qrtly Credit-Deficit Generation'!AB42</f>
        <v>0</v>
      </c>
      <c r="AC46" s="166">
        <f>'Qrtly Credit-Deficit Generation'!AC42</f>
        <v>0</v>
      </c>
      <c r="AD46" s="166">
        <f>'Qrtly Credit-Deficit Generation'!AD42</f>
        <v>0</v>
      </c>
      <c r="AE46" s="166">
        <f>'Qrtly Credit-Deficit Generation'!AE42</f>
        <v>0</v>
      </c>
      <c r="AF46" s="166">
        <f>'Qrtly Credit-Deficit Generation'!AF42</f>
        <v>0</v>
      </c>
      <c r="AG46" s="166">
        <f>'Qrtly Credit-Deficit Generation'!AG42</f>
        <v>0</v>
      </c>
      <c r="AH46" s="166">
        <f>'Qrtly Credit-Deficit Generation'!AH42</f>
        <v>0</v>
      </c>
      <c r="AI46" s="166">
        <f>'Qrtly Credit-Deficit Generation'!AI42</f>
        <v>0</v>
      </c>
      <c r="AJ46" s="166">
        <f>'Qrtly Credit-Deficit Generation'!AJ42</f>
        <v>0</v>
      </c>
      <c r="AK46" s="166">
        <f>'Qrtly Credit-Deficit Generation'!AK42</f>
        <v>10757</v>
      </c>
      <c r="AL46" s="166">
        <f>'Qrtly Credit-Deficit Generation'!AL42</f>
        <v>11616</v>
      </c>
      <c r="AM46" s="166">
        <f>'Qrtly Credit-Deficit Generation'!AM42</f>
        <v>9897</v>
      </c>
      <c r="AN46" s="166">
        <f>'Qrtly Credit-Deficit Generation'!AN42</f>
        <v>2095</v>
      </c>
      <c r="AO46" s="166">
        <f>'Qrtly Credit-Deficit Generation'!AO42</f>
        <v>0</v>
      </c>
      <c r="AP46" s="166">
        <f>'Qrtly Credit-Deficit Generation'!AP42</f>
        <v>0</v>
      </c>
      <c r="AQ46" s="166">
        <f>'Qrtly Credit-Deficit Generation'!AQ42</f>
        <v>0</v>
      </c>
      <c r="AR46" s="166">
        <f>'Qrtly Credit-Deficit Generation'!AR42</f>
        <v>0</v>
      </c>
      <c r="AS46" s="166">
        <f>'Qrtly Credit-Deficit Generation'!AS42</f>
        <v>0</v>
      </c>
      <c r="AT46" s="166">
        <f>'Qrtly Credit-Deficit Generation'!AT42</f>
        <v>0</v>
      </c>
      <c r="AU46" s="166">
        <f>'Qrtly Credit-Deficit Generation'!AU42</f>
        <v>0</v>
      </c>
      <c r="AV46" s="166">
        <f>'Qrtly Credit-Deficit Generation'!AV42</f>
        <v>0</v>
      </c>
      <c r="AW46" s="166">
        <f>'Qrtly Credit-Deficit Generation'!AW42</f>
        <v>0</v>
      </c>
      <c r="AX46" s="166">
        <f>'Qrtly Credit-Deficit Generation'!AX42</f>
        <v>0</v>
      </c>
      <c r="AY46" s="166">
        <f>'Qrtly Credit-Deficit Generation'!AY42</f>
        <v>0</v>
      </c>
      <c r="AZ46" s="166">
        <f>'Qrtly Credit-Deficit Generation'!AZ42</f>
        <v>0</v>
      </c>
      <c r="BA46" s="166">
        <f>'Qrtly Credit-Deficit Generation'!BA42</f>
        <v>0</v>
      </c>
      <c r="BB46" s="166">
        <f>'Qrtly Credit-Deficit Generation'!BB42</f>
        <v>0</v>
      </c>
    </row>
    <row r="47" spans="1:54" ht="25.5" x14ac:dyDescent="0.25">
      <c r="A47" s="39" t="s">
        <v>358</v>
      </c>
      <c r="C47" s="166">
        <f>'Qrtly Credit-Deficit Generation'!C44</f>
        <v>0</v>
      </c>
      <c r="D47" s="166">
        <f>'Qrtly Credit-Deficit Generation'!D44</f>
        <v>0</v>
      </c>
      <c r="E47" s="166">
        <f>'Qrtly Credit-Deficit Generation'!E44</f>
        <v>0</v>
      </c>
      <c r="F47" s="166">
        <f>'Qrtly Credit-Deficit Generation'!F44</f>
        <v>0</v>
      </c>
      <c r="G47" s="166">
        <f>'Qrtly Credit-Deficit Generation'!G44</f>
        <v>0</v>
      </c>
      <c r="H47" s="166">
        <f>'Qrtly Credit-Deficit Generation'!H44</f>
        <v>0</v>
      </c>
      <c r="I47" s="166">
        <f>'Qrtly Credit-Deficit Generation'!I44</f>
        <v>0</v>
      </c>
      <c r="J47" s="166">
        <f>'Qrtly Credit-Deficit Generation'!J44</f>
        <v>0</v>
      </c>
      <c r="K47" s="166">
        <f>'Qrtly Credit-Deficit Generation'!K44</f>
        <v>0</v>
      </c>
      <c r="L47" s="166">
        <f>'Qrtly Credit-Deficit Generation'!L44</f>
        <v>0</v>
      </c>
      <c r="M47" s="166">
        <f>'Qrtly Credit-Deficit Generation'!M44</f>
        <v>0</v>
      </c>
      <c r="N47" s="166">
        <f>'Qrtly Credit-Deficit Generation'!N44</f>
        <v>0</v>
      </c>
      <c r="O47" s="166">
        <f>'Qrtly Credit-Deficit Generation'!O44</f>
        <v>0</v>
      </c>
      <c r="P47" s="166">
        <f>'Qrtly Credit-Deficit Generation'!P44</f>
        <v>0</v>
      </c>
      <c r="Q47" s="166">
        <f>'Qrtly Credit-Deficit Generation'!Q44</f>
        <v>0</v>
      </c>
      <c r="R47" s="166">
        <f>'Qrtly Credit-Deficit Generation'!R44</f>
        <v>0</v>
      </c>
      <c r="S47" s="166">
        <f>'Qrtly Credit-Deficit Generation'!S44</f>
        <v>0</v>
      </c>
      <c r="T47" s="166">
        <f>'Qrtly Credit-Deficit Generation'!T44</f>
        <v>0</v>
      </c>
      <c r="U47" s="166">
        <f>'Qrtly Credit-Deficit Generation'!U44</f>
        <v>0</v>
      </c>
      <c r="V47" s="166">
        <f>'Qrtly Credit-Deficit Generation'!V44</f>
        <v>0</v>
      </c>
      <c r="W47" s="166">
        <f>'Qrtly Credit-Deficit Generation'!W44</f>
        <v>0</v>
      </c>
      <c r="X47" s="166">
        <f>'Qrtly Credit-Deficit Generation'!X44</f>
        <v>0</v>
      </c>
      <c r="Y47" s="166">
        <f>'Qrtly Credit-Deficit Generation'!Y44</f>
        <v>0</v>
      </c>
      <c r="Z47" s="166">
        <f>'Qrtly Credit-Deficit Generation'!Z44</f>
        <v>0</v>
      </c>
      <c r="AA47" s="166">
        <f>'Qrtly Credit-Deficit Generation'!AA44</f>
        <v>0</v>
      </c>
      <c r="AB47" s="166">
        <f>'Qrtly Credit-Deficit Generation'!AB44</f>
        <v>0</v>
      </c>
      <c r="AC47" s="166">
        <f>'Qrtly Credit-Deficit Generation'!AC44</f>
        <v>0</v>
      </c>
      <c r="AD47" s="166">
        <f>'Qrtly Credit-Deficit Generation'!AD44</f>
        <v>0</v>
      </c>
      <c r="AE47" s="166">
        <f>'Qrtly Credit-Deficit Generation'!AE44</f>
        <v>0</v>
      </c>
      <c r="AF47" s="166">
        <f>'Qrtly Credit-Deficit Generation'!AF44</f>
        <v>0</v>
      </c>
      <c r="AG47" s="166">
        <f>'Qrtly Credit-Deficit Generation'!AG44</f>
        <v>0</v>
      </c>
      <c r="AH47" s="166">
        <f>'Qrtly Credit-Deficit Generation'!AH44</f>
        <v>0</v>
      </c>
      <c r="AI47" s="166">
        <f>'Qrtly Credit-Deficit Generation'!AI44</f>
        <v>0</v>
      </c>
      <c r="AJ47" s="166">
        <f>'Qrtly Credit-Deficit Generation'!AJ44</f>
        <v>3682</v>
      </c>
      <c r="AK47" s="166">
        <f>'Qrtly Credit-Deficit Generation'!AK44</f>
        <v>2542</v>
      </c>
      <c r="AL47" s="166">
        <f>'Qrtly Credit-Deficit Generation'!AL44</f>
        <v>3886</v>
      </c>
      <c r="AM47" s="166">
        <f>'Qrtly Credit-Deficit Generation'!AM44</f>
        <v>5448</v>
      </c>
      <c r="AN47" s="166">
        <f>'Qrtly Credit-Deficit Generation'!AN44</f>
        <v>7679</v>
      </c>
      <c r="AO47" s="166">
        <f>'Qrtly Credit-Deficit Generation'!AO44</f>
        <v>8745</v>
      </c>
      <c r="AP47" s="166">
        <f>'Qrtly Credit-Deficit Generation'!AP44</f>
        <v>12095</v>
      </c>
      <c r="AQ47" s="166">
        <f>'Qrtly Credit-Deficit Generation'!AQ44</f>
        <v>11867</v>
      </c>
      <c r="AR47" s="166">
        <f>'Qrtly Credit-Deficit Generation'!AR44</f>
        <v>20250</v>
      </c>
      <c r="AS47" s="166">
        <f>'Qrtly Credit-Deficit Generation'!AS44</f>
        <v>14191</v>
      </c>
      <c r="AT47" s="166">
        <f>'Qrtly Credit-Deficit Generation'!AT44</f>
        <v>20929</v>
      </c>
      <c r="AU47" s="166">
        <f>'Qrtly Credit-Deficit Generation'!AU44</f>
        <v>25348</v>
      </c>
      <c r="AV47" s="166">
        <f>'Qrtly Credit-Deficit Generation'!AV44</f>
        <v>31850</v>
      </c>
      <c r="AW47" s="166">
        <f>'Qrtly Credit-Deficit Generation'!AW44</f>
        <v>35073</v>
      </c>
      <c r="AX47" s="166">
        <f>'Qrtly Credit-Deficit Generation'!AX44</f>
        <v>35326</v>
      </c>
      <c r="AY47" s="166">
        <f>'Qrtly Credit-Deficit Generation'!AY44</f>
        <v>35837</v>
      </c>
      <c r="AZ47" s="166">
        <f>'Qrtly Credit-Deficit Generation'!AZ44</f>
        <v>41120</v>
      </c>
      <c r="BA47" s="166">
        <f>'Qrtly Credit-Deficit Generation'!BA44</f>
        <v>38623</v>
      </c>
      <c r="BB47" s="166">
        <f>'Qrtly Credit-Deficit Generation'!BB44</f>
        <v>43454</v>
      </c>
    </row>
    <row r="48" spans="1:54" x14ac:dyDescent="0.25">
      <c r="A48" s="39" t="s">
        <v>359</v>
      </c>
      <c r="C48" s="166">
        <f>'Qrtly Credit-Deficit Generation'!C45</f>
        <v>0</v>
      </c>
      <c r="D48" s="166">
        <f>'Qrtly Credit-Deficit Generation'!D45</f>
        <v>0</v>
      </c>
      <c r="E48" s="166">
        <f>'Qrtly Credit-Deficit Generation'!E45</f>
        <v>0</v>
      </c>
      <c r="F48" s="166">
        <f>'Qrtly Credit-Deficit Generation'!F45</f>
        <v>0</v>
      </c>
      <c r="G48" s="166">
        <f>'Qrtly Credit-Deficit Generation'!G45</f>
        <v>0</v>
      </c>
      <c r="H48" s="166">
        <f>'Qrtly Credit-Deficit Generation'!H45</f>
        <v>0</v>
      </c>
      <c r="I48" s="166">
        <f>'Qrtly Credit-Deficit Generation'!I45</f>
        <v>0</v>
      </c>
      <c r="J48" s="166">
        <f>'Qrtly Credit-Deficit Generation'!J45</f>
        <v>0</v>
      </c>
      <c r="K48" s="166">
        <f>'Qrtly Credit-Deficit Generation'!K45</f>
        <v>0</v>
      </c>
      <c r="L48" s="166">
        <f>'Qrtly Credit-Deficit Generation'!L45</f>
        <v>0</v>
      </c>
      <c r="M48" s="166">
        <f>'Qrtly Credit-Deficit Generation'!M45</f>
        <v>0</v>
      </c>
      <c r="N48" s="166">
        <f>'Qrtly Credit-Deficit Generation'!N45</f>
        <v>0</v>
      </c>
      <c r="O48" s="166">
        <f>'Qrtly Credit-Deficit Generation'!O45</f>
        <v>0</v>
      </c>
      <c r="P48" s="166">
        <f>'Qrtly Credit-Deficit Generation'!P45</f>
        <v>0</v>
      </c>
      <c r="Q48" s="166">
        <f>'Qrtly Credit-Deficit Generation'!Q45</f>
        <v>0</v>
      </c>
      <c r="R48" s="166">
        <f>'Qrtly Credit-Deficit Generation'!R45</f>
        <v>0</v>
      </c>
      <c r="S48" s="166">
        <f>'Qrtly Credit-Deficit Generation'!S45</f>
        <v>0</v>
      </c>
      <c r="T48" s="166">
        <f>'Qrtly Credit-Deficit Generation'!T45</f>
        <v>0</v>
      </c>
      <c r="U48" s="166">
        <f>'Qrtly Credit-Deficit Generation'!U45</f>
        <v>0</v>
      </c>
      <c r="V48" s="166">
        <f>'Qrtly Credit-Deficit Generation'!V45</f>
        <v>0</v>
      </c>
      <c r="W48" s="166">
        <f>'Qrtly Credit-Deficit Generation'!W45</f>
        <v>0</v>
      </c>
      <c r="X48" s="166">
        <f>'Qrtly Credit-Deficit Generation'!X45</f>
        <v>0</v>
      </c>
      <c r="Y48" s="166">
        <f>'Qrtly Credit-Deficit Generation'!Y45</f>
        <v>0</v>
      </c>
      <c r="Z48" s="166">
        <f>'Qrtly Credit-Deficit Generation'!Z45</f>
        <v>0</v>
      </c>
      <c r="AA48" s="166">
        <f>'Qrtly Credit-Deficit Generation'!AA45</f>
        <v>0</v>
      </c>
      <c r="AB48" s="166">
        <f>'Qrtly Credit-Deficit Generation'!AB45</f>
        <v>0</v>
      </c>
      <c r="AC48" s="166">
        <f>'Qrtly Credit-Deficit Generation'!AC45</f>
        <v>0</v>
      </c>
      <c r="AD48" s="166">
        <f>'Qrtly Credit-Deficit Generation'!AD45</f>
        <v>0</v>
      </c>
      <c r="AE48" s="166">
        <f>'Qrtly Credit-Deficit Generation'!AE45</f>
        <v>0</v>
      </c>
      <c r="AF48" s="166">
        <f>'Qrtly Credit-Deficit Generation'!AF45</f>
        <v>0</v>
      </c>
      <c r="AG48" s="166">
        <f>'Qrtly Credit-Deficit Generation'!AG45</f>
        <v>0</v>
      </c>
      <c r="AH48" s="166">
        <f>'Qrtly Credit-Deficit Generation'!AH45</f>
        <v>0</v>
      </c>
      <c r="AI48" s="166">
        <f>'Qrtly Credit-Deficit Generation'!AI45</f>
        <v>0</v>
      </c>
      <c r="AJ48" s="166">
        <f>'Qrtly Credit-Deficit Generation'!AJ45</f>
        <v>710</v>
      </c>
      <c r="AK48" s="166">
        <f>'Qrtly Credit-Deficit Generation'!AK45</f>
        <v>1938</v>
      </c>
      <c r="AL48" s="166">
        <f>'Qrtly Credit-Deficit Generation'!AL45</f>
        <v>2639</v>
      </c>
      <c r="AM48" s="166">
        <f>'Qrtly Credit-Deficit Generation'!AM45</f>
        <v>3562</v>
      </c>
      <c r="AN48" s="166">
        <f>'Qrtly Credit-Deficit Generation'!AN45</f>
        <v>3687</v>
      </c>
      <c r="AO48" s="166">
        <f>'Qrtly Credit-Deficit Generation'!AO45</f>
        <v>4030</v>
      </c>
      <c r="AP48" s="166">
        <f>'Qrtly Credit-Deficit Generation'!AP45</f>
        <v>5789</v>
      </c>
      <c r="AQ48" s="166">
        <f>'Qrtly Credit-Deficit Generation'!AQ45</f>
        <v>11128</v>
      </c>
      <c r="AR48" s="166">
        <f>'Qrtly Credit-Deficit Generation'!AR45</f>
        <v>8726</v>
      </c>
      <c r="AS48" s="166">
        <f>'Qrtly Credit-Deficit Generation'!AS45</f>
        <v>11430</v>
      </c>
      <c r="AT48" s="166">
        <f>'Qrtly Credit-Deficit Generation'!AT45</f>
        <v>12555</v>
      </c>
      <c r="AU48" s="166">
        <f>'Qrtly Credit-Deficit Generation'!AU45</f>
        <v>17092</v>
      </c>
      <c r="AV48" s="166">
        <f>'Qrtly Credit-Deficit Generation'!AV45</f>
        <v>21204</v>
      </c>
      <c r="AW48" s="166">
        <f>'Qrtly Credit-Deficit Generation'!AW45</f>
        <v>24495</v>
      </c>
      <c r="AX48" s="166">
        <f>'Qrtly Credit-Deficit Generation'!AX45</f>
        <v>26576</v>
      </c>
      <c r="AY48" s="166">
        <f>'Qrtly Credit-Deficit Generation'!AY45</f>
        <v>24741</v>
      </c>
      <c r="AZ48" s="166">
        <f>'Qrtly Credit-Deficit Generation'!AZ45</f>
        <v>27675</v>
      </c>
      <c r="BA48" s="166">
        <f>'Qrtly Credit-Deficit Generation'!BA45</f>
        <v>26464</v>
      </c>
      <c r="BB48" s="166">
        <f>'Qrtly Credit-Deficit Generation'!BB45</f>
        <v>27558</v>
      </c>
    </row>
    <row r="49" spans="1:45" x14ac:dyDescent="0.25">
      <c r="A49" s="39"/>
      <c r="C49" s="166"/>
      <c r="D49" s="166"/>
      <c r="E49" s="166"/>
      <c r="F49" s="166"/>
      <c r="G49" s="166"/>
      <c r="H49" s="166"/>
      <c r="I49" s="166"/>
      <c r="J49" s="166"/>
      <c r="K49" s="166"/>
      <c r="L49" s="166"/>
      <c r="M49" s="166"/>
      <c r="N49" s="166"/>
      <c r="O49" s="166"/>
      <c r="P49" s="166"/>
      <c r="Q49" s="166"/>
      <c r="R49" s="166"/>
      <c r="S49" s="166"/>
      <c r="T49" s="166"/>
      <c r="U49" s="166"/>
      <c r="V49" s="166"/>
      <c r="W49" s="166"/>
      <c r="X49" s="166"/>
      <c r="Y49" s="166"/>
      <c r="Z49" s="166"/>
      <c r="AA49" s="166"/>
      <c r="AB49" s="166"/>
      <c r="AC49" s="166"/>
      <c r="AD49" s="166"/>
      <c r="AE49" s="166"/>
      <c r="AF49" s="166"/>
      <c r="AG49" s="166"/>
      <c r="AH49" s="166"/>
      <c r="AI49" s="166"/>
      <c r="AJ49" s="166"/>
      <c r="AK49" s="166"/>
      <c r="AL49" s="166"/>
      <c r="AM49" s="166"/>
      <c r="AN49" s="166"/>
      <c r="AO49" s="166"/>
      <c r="AP49" s="166"/>
      <c r="AQ49" s="166"/>
      <c r="AR49" s="166"/>
      <c r="AS49" s="166"/>
    </row>
    <row r="50" spans="1:45" x14ac:dyDescent="0.25">
      <c r="A50" s="39"/>
    </row>
    <row r="51" spans="1:45" x14ac:dyDescent="0.25">
      <c r="A51" s="79" t="s">
        <v>366</v>
      </c>
    </row>
    <row r="52" spans="1:45" x14ac:dyDescent="0.25">
      <c r="A52" s="38" t="s">
        <v>159</v>
      </c>
      <c r="C52" s="13" t="s">
        <v>160</v>
      </c>
      <c r="D52" s="13" t="s">
        <v>69</v>
      </c>
      <c r="E52" s="13" t="s">
        <v>70</v>
      </c>
      <c r="F52" s="13" t="s">
        <v>71</v>
      </c>
      <c r="G52" s="13" t="s">
        <v>161</v>
      </c>
      <c r="H52" s="13" t="s">
        <v>69</v>
      </c>
      <c r="I52" s="13" t="s">
        <v>70</v>
      </c>
      <c r="J52" s="13" t="s">
        <v>71</v>
      </c>
      <c r="K52" s="13" t="s">
        <v>162</v>
      </c>
      <c r="L52" s="13" t="s">
        <v>69</v>
      </c>
      <c r="M52" s="13" t="s">
        <v>70</v>
      </c>
      <c r="N52" s="13" t="s">
        <v>71</v>
      </c>
      <c r="O52" s="13" t="s">
        <v>163</v>
      </c>
      <c r="P52" s="13" t="s">
        <v>69</v>
      </c>
      <c r="Q52" s="13" t="s">
        <v>70</v>
      </c>
      <c r="R52" s="13" t="s">
        <v>71</v>
      </c>
      <c r="S52" s="13" t="s">
        <v>164</v>
      </c>
      <c r="T52" s="13" t="s">
        <v>69</v>
      </c>
      <c r="U52" s="13" t="s">
        <v>70</v>
      </c>
      <c r="V52" s="13" t="s">
        <v>71</v>
      </c>
      <c r="W52" s="13" t="s">
        <v>165</v>
      </c>
      <c r="X52" s="13" t="s">
        <v>69</v>
      </c>
      <c r="Y52" s="13" t="s">
        <v>70</v>
      </c>
      <c r="Z52" s="13" t="s">
        <v>71</v>
      </c>
      <c r="AA52" s="13" t="s">
        <v>166</v>
      </c>
      <c r="AB52" s="13" t="s">
        <v>69</v>
      </c>
      <c r="AC52" s="13" t="s">
        <v>70</v>
      </c>
      <c r="AD52" s="13" t="s">
        <v>71</v>
      </c>
      <c r="AE52" s="13" t="s">
        <v>167</v>
      </c>
      <c r="AF52" s="13" t="s">
        <v>69</v>
      </c>
      <c r="AG52" s="13" t="s">
        <v>70</v>
      </c>
      <c r="AH52" s="13" t="s">
        <v>71</v>
      </c>
      <c r="AI52" s="13" t="s">
        <v>168</v>
      </c>
      <c r="AJ52" s="13" t="s">
        <v>69</v>
      </c>
      <c r="AK52" s="13" t="s">
        <v>70</v>
      </c>
      <c r="AL52" s="13" t="s">
        <v>71</v>
      </c>
      <c r="AM52" s="13" t="s">
        <v>169</v>
      </c>
      <c r="AN52" s="13" t="s">
        <v>69</v>
      </c>
      <c r="AO52" s="13" t="s">
        <v>70</v>
      </c>
      <c r="AP52" s="13" t="s">
        <v>71</v>
      </c>
      <c r="AQ52" s="13" t="s">
        <v>175</v>
      </c>
      <c r="AR52" s="13" t="s">
        <v>69</v>
      </c>
      <c r="AS52" s="13" t="s">
        <v>367</v>
      </c>
    </row>
    <row r="53" spans="1:45" x14ac:dyDescent="0.25">
      <c r="A53" s="38" t="s">
        <v>75</v>
      </c>
      <c r="C53" s="166">
        <f t="shared" ref="C53:AM53" si="7">SUM(C39:C39)</f>
        <v>217913</v>
      </c>
      <c r="D53" s="166">
        <f t="shared" si="7"/>
        <v>252550</v>
      </c>
      <c r="E53" s="166">
        <f t="shared" si="7"/>
        <v>282189</v>
      </c>
      <c r="F53" s="166">
        <f t="shared" si="7"/>
        <v>270901</v>
      </c>
      <c r="G53" s="166">
        <f t="shared" si="7"/>
        <v>261269</v>
      </c>
      <c r="H53" s="166">
        <f t="shared" si="7"/>
        <v>264615</v>
      </c>
      <c r="I53" s="166">
        <f t="shared" si="7"/>
        <v>358459</v>
      </c>
      <c r="J53" s="166">
        <f t="shared" si="7"/>
        <v>334751</v>
      </c>
      <c r="K53" s="166">
        <f t="shared" si="7"/>
        <v>446344</v>
      </c>
      <c r="L53" s="166">
        <f t="shared" si="7"/>
        <v>439633</v>
      </c>
      <c r="M53" s="166">
        <f t="shared" si="7"/>
        <v>586902</v>
      </c>
      <c r="N53" s="166">
        <f t="shared" si="7"/>
        <v>510999</v>
      </c>
      <c r="O53" s="166">
        <f t="shared" si="7"/>
        <v>459238</v>
      </c>
      <c r="P53" s="166">
        <f t="shared" si="7"/>
        <v>551332</v>
      </c>
      <c r="Q53" s="166">
        <f t="shared" si="7"/>
        <v>528433</v>
      </c>
      <c r="R53" s="166">
        <f t="shared" si="7"/>
        <v>491880</v>
      </c>
      <c r="S53" s="166">
        <f t="shared" si="7"/>
        <v>473209</v>
      </c>
      <c r="T53" s="166">
        <f t="shared" si="7"/>
        <v>504542</v>
      </c>
      <c r="U53" s="166">
        <f t="shared" si="7"/>
        <v>538519</v>
      </c>
      <c r="V53" s="166">
        <f t="shared" si="7"/>
        <v>608484</v>
      </c>
      <c r="W53" s="166">
        <f t="shared" si="7"/>
        <v>836629</v>
      </c>
      <c r="X53" s="166">
        <f t="shared" si="7"/>
        <v>857168</v>
      </c>
      <c r="Y53" s="166">
        <f t="shared" si="7"/>
        <v>919750</v>
      </c>
      <c r="Z53" s="166">
        <f t="shared" si="7"/>
        <v>905839</v>
      </c>
      <c r="AA53" s="166">
        <f t="shared" si="7"/>
        <v>783039</v>
      </c>
      <c r="AB53" s="166">
        <f t="shared" si="7"/>
        <v>856950</v>
      </c>
      <c r="AC53" s="166">
        <f t="shared" si="7"/>
        <v>931601</v>
      </c>
      <c r="AD53" s="166">
        <f t="shared" si="7"/>
        <v>916634</v>
      </c>
      <c r="AE53" s="166">
        <f t="shared" si="7"/>
        <v>776336</v>
      </c>
      <c r="AF53" s="166">
        <f t="shared" si="7"/>
        <v>775942</v>
      </c>
      <c r="AG53" s="166">
        <f t="shared" si="7"/>
        <v>949941</v>
      </c>
      <c r="AH53" s="166">
        <f t="shared" si="7"/>
        <v>956310</v>
      </c>
      <c r="AI53" s="166">
        <f t="shared" si="7"/>
        <v>946616</v>
      </c>
      <c r="AJ53" s="166">
        <f t="shared" si="7"/>
        <v>1086445</v>
      </c>
      <c r="AK53" s="166">
        <f t="shared" si="7"/>
        <v>1169325</v>
      </c>
      <c r="AL53" s="166">
        <f t="shared" si="7"/>
        <v>1139746</v>
      </c>
      <c r="AM53" s="166">
        <f t="shared" si="7"/>
        <v>1045797</v>
      </c>
      <c r="AN53" s="166">
        <f t="shared" ref="AN53:AS53" si="8">SUM(AN39:AN39)</f>
        <v>648935</v>
      </c>
      <c r="AO53" s="166">
        <f t="shared" si="8"/>
        <v>1052908</v>
      </c>
      <c r="AP53" s="166">
        <f t="shared" si="8"/>
        <v>989015</v>
      </c>
      <c r="AQ53" s="166">
        <f t="shared" si="8"/>
        <v>747150</v>
      </c>
      <c r="AR53" s="166">
        <f t="shared" si="8"/>
        <v>1006898</v>
      </c>
      <c r="AS53" s="166">
        <f t="shared" si="8"/>
        <v>1113796</v>
      </c>
    </row>
    <row r="54" spans="1:45" x14ac:dyDescent="0.25">
      <c r="A54" s="38" t="s">
        <v>124</v>
      </c>
      <c r="C54" s="166">
        <f t="shared" ref="C54:AS54" si="9">SUM(C38:C38)</f>
        <v>459</v>
      </c>
      <c r="D54" s="166">
        <f t="shared" si="9"/>
        <v>1293</v>
      </c>
      <c r="E54" s="166">
        <f t="shared" si="9"/>
        <v>2455</v>
      </c>
      <c r="F54" s="166">
        <f t="shared" si="9"/>
        <v>3536</v>
      </c>
      <c r="G54" s="166">
        <f t="shared" si="9"/>
        <v>4519</v>
      </c>
      <c r="H54" s="166">
        <f t="shared" si="9"/>
        <v>5560</v>
      </c>
      <c r="I54" s="166">
        <f t="shared" si="9"/>
        <v>7294</v>
      </c>
      <c r="J54" s="166">
        <f t="shared" si="9"/>
        <v>9611</v>
      </c>
      <c r="K54" s="166">
        <f t="shared" si="9"/>
        <v>15051</v>
      </c>
      <c r="L54" s="166">
        <f t="shared" si="9"/>
        <v>19516</v>
      </c>
      <c r="M54" s="166">
        <f t="shared" si="9"/>
        <v>25039</v>
      </c>
      <c r="N54" s="166">
        <f t="shared" si="9"/>
        <v>34347</v>
      </c>
      <c r="O54" s="166">
        <f t="shared" si="9"/>
        <v>41753</v>
      </c>
      <c r="P54" s="166">
        <f t="shared" si="9"/>
        <v>51092</v>
      </c>
      <c r="Q54" s="166">
        <f t="shared" si="9"/>
        <v>59366</v>
      </c>
      <c r="R54" s="166">
        <f t="shared" si="9"/>
        <v>69119</v>
      </c>
      <c r="S54" s="166">
        <f t="shared" si="9"/>
        <v>73708</v>
      </c>
      <c r="T54" s="166">
        <f t="shared" si="9"/>
        <v>78072</v>
      </c>
      <c r="U54" s="166">
        <f t="shared" si="9"/>
        <v>91036</v>
      </c>
      <c r="V54" s="166">
        <f t="shared" si="9"/>
        <v>94924</v>
      </c>
      <c r="W54" s="166">
        <f t="shared" si="9"/>
        <v>206464</v>
      </c>
      <c r="X54" s="166">
        <f t="shared" si="9"/>
        <v>216149</v>
      </c>
      <c r="Y54" s="166">
        <f t="shared" si="9"/>
        <v>225640</v>
      </c>
      <c r="Z54" s="166">
        <f t="shared" si="9"/>
        <v>256450</v>
      </c>
      <c r="AA54" s="166">
        <f t="shared" si="9"/>
        <v>278442</v>
      </c>
      <c r="AB54" s="166">
        <f t="shared" si="9"/>
        <v>294201</v>
      </c>
      <c r="AC54" s="166">
        <f t="shared" si="9"/>
        <v>302456</v>
      </c>
      <c r="AD54" s="166">
        <f t="shared" si="9"/>
        <v>323013</v>
      </c>
      <c r="AE54" s="166">
        <f t="shared" si="9"/>
        <v>394525</v>
      </c>
      <c r="AF54" s="166">
        <f t="shared" si="9"/>
        <v>424037</v>
      </c>
      <c r="AG54" s="166">
        <f t="shared" si="9"/>
        <v>469813</v>
      </c>
      <c r="AH54" s="166">
        <f t="shared" si="9"/>
        <v>503082</v>
      </c>
      <c r="AI54" s="166">
        <f t="shared" si="9"/>
        <v>627135</v>
      </c>
      <c r="AJ54" s="166">
        <f t="shared" si="9"/>
        <v>620987</v>
      </c>
      <c r="AK54" s="166">
        <f t="shared" si="9"/>
        <v>734992</v>
      </c>
      <c r="AL54" s="166">
        <f t="shared" si="9"/>
        <v>809706</v>
      </c>
      <c r="AM54" s="166">
        <f t="shared" si="9"/>
        <v>800718</v>
      </c>
      <c r="AN54" s="166">
        <f t="shared" si="9"/>
        <v>597605</v>
      </c>
      <c r="AO54" s="166">
        <f t="shared" si="9"/>
        <v>738935</v>
      </c>
      <c r="AP54" s="166">
        <f t="shared" si="9"/>
        <v>805725</v>
      </c>
      <c r="AQ54" s="166">
        <f t="shared" si="9"/>
        <v>902043</v>
      </c>
      <c r="AR54" s="166">
        <f t="shared" si="9"/>
        <v>1118939</v>
      </c>
      <c r="AS54" s="166">
        <f t="shared" si="9"/>
        <v>1192806</v>
      </c>
    </row>
    <row r="55" spans="1:45" x14ac:dyDescent="0.25">
      <c r="A55" s="38" t="s">
        <v>148</v>
      </c>
      <c r="C55" s="166">
        <f t="shared" ref="C55:AS55" si="10">SUM(C35:C36)</f>
        <v>39934</v>
      </c>
      <c r="D55" s="166">
        <f t="shared" si="10"/>
        <v>42169</v>
      </c>
      <c r="E55" s="166">
        <f t="shared" si="10"/>
        <v>41443</v>
      </c>
      <c r="F55" s="166">
        <f t="shared" si="10"/>
        <v>40844</v>
      </c>
      <c r="G55" s="166">
        <f t="shared" si="10"/>
        <v>40226</v>
      </c>
      <c r="H55" s="166">
        <f t="shared" si="10"/>
        <v>43158</v>
      </c>
      <c r="I55" s="166">
        <f t="shared" si="10"/>
        <v>49942</v>
      </c>
      <c r="J55" s="166">
        <f t="shared" si="10"/>
        <v>49844</v>
      </c>
      <c r="K55" s="166">
        <f t="shared" si="10"/>
        <v>59246</v>
      </c>
      <c r="L55" s="166">
        <f t="shared" si="10"/>
        <v>58045</v>
      </c>
      <c r="M55" s="166">
        <f t="shared" si="10"/>
        <v>50799</v>
      </c>
      <c r="N55" s="166">
        <f t="shared" si="10"/>
        <v>53765</v>
      </c>
      <c r="O55" s="166">
        <f t="shared" si="10"/>
        <v>57641</v>
      </c>
      <c r="P55" s="166">
        <f t="shared" si="10"/>
        <v>70355</v>
      </c>
      <c r="Q55" s="166">
        <f t="shared" si="10"/>
        <v>60793</v>
      </c>
      <c r="R55" s="166">
        <f t="shared" si="10"/>
        <v>58227</v>
      </c>
      <c r="S55" s="166">
        <f t="shared" si="10"/>
        <v>59660</v>
      </c>
      <c r="T55" s="166">
        <f t="shared" si="10"/>
        <v>50678</v>
      </c>
      <c r="U55" s="166">
        <f t="shared" si="10"/>
        <v>49578</v>
      </c>
      <c r="V55" s="166">
        <f t="shared" si="10"/>
        <v>45675</v>
      </c>
      <c r="W55" s="166">
        <f t="shared" si="10"/>
        <v>43627</v>
      </c>
      <c r="X55" s="166">
        <f t="shared" si="10"/>
        <v>46616</v>
      </c>
      <c r="Y55" s="166">
        <f t="shared" si="10"/>
        <v>40957</v>
      </c>
      <c r="Z55" s="166">
        <f t="shared" si="10"/>
        <v>38991</v>
      </c>
      <c r="AA55" s="166">
        <f t="shared" si="10"/>
        <v>16031</v>
      </c>
      <c r="AB55" s="166">
        <f t="shared" si="10"/>
        <v>14323</v>
      </c>
      <c r="AC55" s="166">
        <f t="shared" si="10"/>
        <v>14005</v>
      </c>
      <c r="AD55" s="166">
        <f t="shared" si="10"/>
        <v>14135</v>
      </c>
      <c r="AE55" s="166">
        <f t="shared" si="10"/>
        <v>15292</v>
      </c>
      <c r="AF55" s="166">
        <f t="shared" si="10"/>
        <v>16964</v>
      </c>
      <c r="AG55" s="166">
        <f t="shared" si="10"/>
        <v>14909</v>
      </c>
      <c r="AH55" s="166">
        <f t="shared" si="10"/>
        <v>11610</v>
      </c>
      <c r="AI55" s="166">
        <f t="shared" si="10"/>
        <v>8133</v>
      </c>
      <c r="AJ55" s="166">
        <f t="shared" si="10"/>
        <v>7220</v>
      </c>
      <c r="AK55" s="166">
        <f t="shared" si="10"/>
        <v>8107</v>
      </c>
      <c r="AL55" s="166">
        <f t="shared" si="10"/>
        <v>7391</v>
      </c>
      <c r="AM55" s="166">
        <f t="shared" si="10"/>
        <v>3700</v>
      </c>
      <c r="AN55" s="166">
        <f t="shared" si="10"/>
        <v>2451</v>
      </c>
      <c r="AO55" s="166">
        <f t="shared" si="10"/>
        <v>1457</v>
      </c>
      <c r="AP55" s="166">
        <f t="shared" si="10"/>
        <v>585</v>
      </c>
      <c r="AQ55" s="166">
        <f t="shared" si="10"/>
        <v>487</v>
      </c>
      <c r="AR55" s="166">
        <f t="shared" si="10"/>
        <v>579</v>
      </c>
      <c r="AS55" s="166">
        <f t="shared" si="10"/>
        <v>545</v>
      </c>
    </row>
    <row r="56" spans="1:45" x14ac:dyDescent="0.25">
      <c r="A56" s="38" t="s">
        <v>147</v>
      </c>
      <c r="C56" s="166">
        <f t="shared" ref="C56:AS56" si="11">SUM(C33:C34)</f>
        <v>2212</v>
      </c>
      <c r="D56" s="166">
        <f t="shared" si="11"/>
        <v>3069</v>
      </c>
      <c r="E56" s="166">
        <f t="shared" si="11"/>
        <v>4960</v>
      </c>
      <c r="F56" s="166">
        <f t="shared" si="11"/>
        <v>4474</v>
      </c>
      <c r="G56" s="166">
        <f t="shared" si="11"/>
        <v>4367</v>
      </c>
      <c r="H56" s="166">
        <f t="shared" si="11"/>
        <v>4221</v>
      </c>
      <c r="I56" s="166">
        <f t="shared" si="11"/>
        <v>3577</v>
      </c>
      <c r="J56" s="166">
        <f t="shared" si="11"/>
        <v>2680</v>
      </c>
      <c r="K56" s="166">
        <f t="shared" si="11"/>
        <v>4240</v>
      </c>
      <c r="L56" s="166">
        <f t="shared" si="11"/>
        <v>5183</v>
      </c>
      <c r="M56" s="166">
        <f t="shared" si="11"/>
        <v>49133</v>
      </c>
      <c r="N56" s="166">
        <f t="shared" si="11"/>
        <v>39562</v>
      </c>
      <c r="O56" s="166">
        <f t="shared" si="11"/>
        <v>41739</v>
      </c>
      <c r="P56" s="166">
        <f t="shared" si="11"/>
        <v>37894</v>
      </c>
      <c r="Q56" s="166">
        <f t="shared" si="11"/>
        <v>72586</v>
      </c>
      <c r="R56" s="166">
        <f t="shared" si="11"/>
        <v>87339</v>
      </c>
      <c r="S56" s="166">
        <f t="shared" si="11"/>
        <v>96047</v>
      </c>
      <c r="T56" s="166">
        <f t="shared" si="11"/>
        <v>143831</v>
      </c>
      <c r="U56" s="166">
        <f t="shared" si="11"/>
        <v>165388</v>
      </c>
      <c r="V56" s="166">
        <f t="shared" si="11"/>
        <v>170686</v>
      </c>
      <c r="W56" s="166">
        <f t="shared" si="11"/>
        <v>186808</v>
      </c>
      <c r="X56" s="166">
        <f t="shared" si="11"/>
        <v>191624</v>
      </c>
      <c r="Y56" s="166">
        <f t="shared" si="11"/>
        <v>154491</v>
      </c>
      <c r="Z56" s="166">
        <f t="shared" si="11"/>
        <v>149732</v>
      </c>
      <c r="AA56" s="166">
        <f t="shared" si="11"/>
        <v>136721</v>
      </c>
      <c r="AB56" s="166">
        <f t="shared" si="11"/>
        <v>173497</v>
      </c>
      <c r="AC56" s="166">
        <f t="shared" si="11"/>
        <v>185321</v>
      </c>
      <c r="AD56" s="166">
        <f t="shared" si="11"/>
        <v>185446</v>
      </c>
      <c r="AE56" s="166">
        <f t="shared" si="11"/>
        <v>179507</v>
      </c>
      <c r="AF56" s="166">
        <f t="shared" si="11"/>
        <v>170495</v>
      </c>
      <c r="AG56" s="166">
        <f t="shared" si="11"/>
        <v>197971</v>
      </c>
      <c r="AH56" s="166">
        <f t="shared" si="11"/>
        <v>203315</v>
      </c>
      <c r="AI56" s="166">
        <f t="shared" si="11"/>
        <v>181925</v>
      </c>
      <c r="AJ56" s="166">
        <f t="shared" si="11"/>
        <v>199915</v>
      </c>
      <c r="AK56" s="166">
        <f t="shared" si="11"/>
        <v>251067</v>
      </c>
      <c r="AL56" s="166">
        <f t="shared" si="11"/>
        <v>303885</v>
      </c>
      <c r="AM56" s="166">
        <f t="shared" si="11"/>
        <v>299365</v>
      </c>
      <c r="AN56" s="166">
        <f t="shared" si="11"/>
        <v>322693</v>
      </c>
      <c r="AO56" s="166">
        <f t="shared" si="11"/>
        <v>489199</v>
      </c>
      <c r="AP56" s="166">
        <f t="shared" si="11"/>
        <v>553450</v>
      </c>
      <c r="AQ56" s="166">
        <f t="shared" si="11"/>
        <v>469751</v>
      </c>
      <c r="AR56" s="166">
        <f t="shared" si="11"/>
        <v>645559</v>
      </c>
      <c r="AS56" s="166">
        <f t="shared" si="11"/>
        <v>843179</v>
      </c>
    </row>
    <row r="57" spans="1:45" x14ac:dyDescent="0.25">
      <c r="A57" s="38" t="s">
        <v>76</v>
      </c>
      <c r="C57" s="166">
        <f t="shared" ref="C57:AS58" si="12">C40</f>
        <v>12300</v>
      </c>
      <c r="D57" s="166">
        <f t="shared" si="12"/>
        <v>21555</v>
      </c>
      <c r="E57" s="166">
        <f t="shared" si="12"/>
        <v>22424</v>
      </c>
      <c r="F57" s="166">
        <f t="shared" si="12"/>
        <v>27988</v>
      </c>
      <c r="G57" s="166">
        <f t="shared" si="12"/>
        <v>35382</v>
      </c>
      <c r="H57" s="166">
        <f t="shared" si="12"/>
        <v>41919</v>
      </c>
      <c r="I57" s="166">
        <f t="shared" si="12"/>
        <v>34052</v>
      </c>
      <c r="J57" s="166">
        <f t="shared" si="12"/>
        <v>37994</v>
      </c>
      <c r="K57" s="166">
        <f t="shared" si="12"/>
        <v>47386</v>
      </c>
      <c r="L57" s="166">
        <f t="shared" si="12"/>
        <v>123072</v>
      </c>
      <c r="M57" s="166">
        <f t="shared" si="12"/>
        <v>130475</v>
      </c>
      <c r="N57" s="166">
        <f t="shared" si="12"/>
        <v>265737</v>
      </c>
      <c r="O57" s="166">
        <f t="shared" si="12"/>
        <v>169218</v>
      </c>
      <c r="P57" s="166">
        <f t="shared" si="12"/>
        <v>183308</v>
      </c>
      <c r="Q57" s="166">
        <f t="shared" si="12"/>
        <v>154934</v>
      </c>
      <c r="R57" s="166">
        <f t="shared" si="12"/>
        <v>210540</v>
      </c>
      <c r="S57" s="166">
        <f t="shared" si="12"/>
        <v>195615</v>
      </c>
      <c r="T57" s="166">
        <f t="shared" si="12"/>
        <v>287973</v>
      </c>
      <c r="U57" s="166">
        <f t="shared" si="12"/>
        <v>364501</v>
      </c>
      <c r="V57" s="166">
        <f t="shared" si="12"/>
        <v>365821</v>
      </c>
      <c r="W57" s="166">
        <f t="shared" si="12"/>
        <v>322607</v>
      </c>
      <c r="X57" s="166">
        <f t="shared" si="12"/>
        <v>392318</v>
      </c>
      <c r="Y57" s="166">
        <f t="shared" si="12"/>
        <v>470922</v>
      </c>
      <c r="Z57" s="166">
        <f t="shared" si="12"/>
        <v>550936</v>
      </c>
      <c r="AA57" s="166">
        <f t="shared" si="12"/>
        <v>306640</v>
      </c>
      <c r="AB57" s="166">
        <f t="shared" si="12"/>
        <v>321909</v>
      </c>
      <c r="AC57" s="166">
        <f t="shared" si="12"/>
        <v>393587</v>
      </c>
      <c r="AD57" s="166">
        <f t="shared" si="12"/>
        <v>357603</v>
      </c>
      <c r="AE57" s="166">
        <f t="shared" si="12"/>
        <v>306337</v>
      </c>
      <c r="AF57" s="166">
        <f t="shared" si="12"/>
        <v>357508</v>
      </c>
      <c r="AG57" s="166">
        <f t="shared" si="12"/>
        <v>442007</v>
      </c>
      <c r="AH57" s="166">
        <f t="shared" si="12"/>
        <v>500702</v>
      </c>
      <c r="AI57" s="166">
        <f t="shared" si="12"/>
        <v>347140</v>
      </c>
      <c r="AJ57" s="166">
        <f t="shared" si="12"/>
        <v>490163</v>
      </c>
      <c r="AK57" s="166">
        <f t="shared" si="12"/>
        <v>506350</v>
      </c>
      <c r="AL57" s="166">
        <f t="shared" si="12"/>
        <v>487437</v>
      </c>
      <c r="AM57" s="166">
        <f t="shared" si="12"/>
        <v>477797</v>
      </c>
      <c r="AN57" s="166">
        <f t="shared" si="12"/>
        <v>492495</v>
      </c>
      <c r="AO57" s="166">
        <f t="shared" si="12"/>
        <v>592296</v>
      </c>
      <c r="AP57" s="166">
        <f t="shared" si="12"/>
        <v>650739</v>
      </c>
      <c r="AQ57" s="166">
        <f t="shared" si="12"/>
        <v>479642</v>
      </c>
      <c r="AR57" s="166">
        <f t="shared" si="12"/>
        <v>622767</v>
      </c>
      <c r="AS57" s="166">
        <f t="shared" si="12"/>
        <v>622949</v>
      </c>
    </row>
    <row r="58" spans="1:45" x14ac:dyDescent="0.25">
      <c r="A58" s="38" t="s">
        <v>368</v>
      </c>
      <c r="C58" s="166">
        <f t="shared" si="12"/>
        <v>3070</v>
      </c>
      <c r="D58" s="166">
        <f t="shared" si="12"/>
        <v>3368</v>
      </c>
      <c r="E58" s="166">
        <f t="shared" si="12"/>
        <v>4362</v>
      </c>
      <c r="F58" s="166">
        <f t="shared" si="12"/>
        <v>6220</v>
      </c>
      <c r="G58" s="166">
        <f t="shared" si="12"/>
        <v>6701</v>
      </c>
      <c r="H58" s="166">
        <f t="shared" si="12"/>
        <v>6804</v>
      </c>
      <c r="I58" s="166">
        <f t="shared" si="12"/>
        <v>7938</v>
      </c>
      <c r="J58" s="166">
        <f t="shared" si="12"/>
        <v>51216</v>
      </c>
      <c r="K58" s="166">
        <f t="shared" si="12"/>
        <v>64445</v>
      </c>
      <c r="L58" s="166">
        <f t="shared" si="12"/>
        <v>178293</v>
      </c>
      <c r="M58" s="166">
        <f t="shared" si="12"/>
        <v>288998</v>
      </c>
      <c r="N58" s="166">
        <f t="shared" si="12"/>
        <v>258193</v>
      </c>
      <c r="O58" s="166">
        <f t="shared" si="12"/>
        <v>192407</v>
      </c>
      <c r="P58" s="166">
        <f t="shared" si="12"/>
        <v>211004</v>
      </c>
      <c r="Q58" s="166">
        <f t="shared" si="12"/>
        <v>260522</v>
      </c>
      <c r="R58" s="166">
        <f t="shared" si="12"/>
        <v>181046</v>
      </c>
      <c r="S58" s="166">
        <f t="shared" si="12"/>
        <v>204352</v>
      </c>
      <c r="T58" s="166">
        <f t="shared" si="12"/>
        <v>240167</v>
      </c>
      <c r="U58" s="166">
        <f t="shared" si="12"/>
        <v>298591</v>
      </c>
      <c r="V58" s="166">
        <f t="shared" si="12"/>
        <v>295061</v>
      </c>
      <c r="W58" s="166">
        <f t="shared" si="12"/>
        <v>274568</v>
      </c>
      <c r="X58" s="166">
        <f t="shared" si="12"/>
        <v>670559</v>
      </c>
      <c r="Y58" s="166">
        <f t="shared" si="12"/>
        <v>577586</v>
      </c>
      <c r="Z58" s="166">
        <f t="shared" si="12"/>
        <v>718504</v>
      </c>
      <c r="AA58" s="166">
        <f t="shared" si="12"/>
        <v>610652</v>
      </c>
      <c r="AB58" s="166">
        <f t="shared" si="12"/>
        <v>835625</v>
      </c>
      <c r="AC58" s="166">
        <f t="shared" si="12"/>
        <v>844159</v>
      </c>
      <c r="AD58" s="166">
        <f t="shared" si="12"/>
        <v>676294</v>
      </c>
      <c r="AE58" s="166">
        <f t="shared" si="12"/>
        <v>822711</v>
      </c>
      <c r="AF58" s="166">
        <f t="shared" si="12"/>
        <v>904125</v>
      </c>
      <c r="AG58" s="166">
        <f t="shared" si="12"/>
        <v>684773</v>
      </c>
      <c r="AH58" s="166">
        <f t="shared" si="12"/>
        <v>1073782</v>
      </c>
      <c r="AI58" s="166">
        <f t="shared" si="12"/>
        <v>1195556</v>
      </c>
      <c r="AJ58" s="166">
        <f t="shared" si="12"/>
        <v>1245746</v>
      </c>
      <c r="AK58" s="166">
        <f t="shared" si="12"/>
        <v>1056305</v>
      </c>
      <c r="AL58" s="166">
        <f t="shared" si="12"/>
        <v>1282920</v>
      </c>
      <c r="AM58" s="166">
        <f t="shared" si="12"/>
        <v>1033279</v>
      </c>
      <c r="AN58" s="166">
        <f t="shared" si="12"/>
        <v>1141074</v>
      </c>
      <c r="AO58" s="166">
        <f t="shared" si="12"/>
        <v>1104970</v>
      </c>
      <c r="AP58" s="166">
        <f t="shared" si="12"/>
        <v>1291977</v>
      </c>
      <c r="AQ58" s="166">
        <f t="shared" si="12"/>
        <v>1432647</v>
      </c>
      <c r="AR58" s="166">
        <f t="shared" si="12"/>
        <v>1503734</v>
      </c>
      <c r="AS58" s="166">
        <f t="shared" si="12"/>
        <v>1724236</v>
      </c>
    </row>
    <row r="59" spans="1:45" ht="60" x14ac:dyDescent="0.25">
      <c r="A59" s="38" t="s">
        <v>361</v>
      </c>
      <c r="C59" s="166">
        <f>SUM(C37,C42:C48)</f>
        <v>0</v>
      </c>
      <c r="D59" s="166">
        <f t="shared" ref="D59:AS59" si="13">SUM(D37,D42:D48)</f>
        <v>0</v>
      </c>
      <c r="E59" s="166">
        <f t="shared" si="13"/>
        <v>0</v>
      </c>
      <c r="F59" s="166">
        <f t="shared" si="13"/>
        <v>0</v>
      </c>
      <c r="G59" s="166">
        <f t="shared" si="13"/>
        <v>0</v>
      </c>
      <c r="H59" s="166">
        <f t="shared" si="13"/>
        <v>0</v>
      </c>
      <c r="I59" s="166">
        <f t="shared" si="13"/>
        <v>0</v>
      </c>
      <c r="J59" s="166">
        <f t="shared" si="13"/>
        <v>0</v>
      </c>
      <c r="K59" s="166">
        <f t="shared" si="13"/>
        <v>0</v>
      </c>
      <c r="L59" s="166">
        <f t="shared" si="13"/>
        <v>0</v>
      </c>
      <c r="M59" s="166">
        <f t="shared" si="13"/>
        <v>0</v>
      </c>
      <c r="N59" s="166">
        <f t="shared" si="13"/>
        <v>0</v>
      </c>
      <c r="O59" s="166">
        <f t="shared" si="13"/>
        <v>0</v>
      </c>
      <c r="P59" s="166">
        <f t="shared" si="13"/>
        <v>0</v>
      </c>
      <c r="Q59" s="166">
        <f t="shared" si="13"/>
        <v>0</v>
      </c>
      <c r="R59" s="166">
        <f t="shared" si="13"/>
        <v>0</v>
      </c>
      <c r="S59" s="166">
        <f t="shared" si="13"/>
        <v>0</v>
      </c>
      <c r="T59" s="166">
        <f t="shared" si="13"/>
        <v>0</v>
      </c>
      <c r="U59" s="166">
        <f t="shared" si="13"/>
        <v>50</v>
      </c>
      <c r="V59" s="166">
        <f t="shared" si="13"/>
        <v>24</v>
      </c>
      <c r="W59" s="166">
        <f t="shared" si="13"/>
        <v>37975</v>
      </c>
      <c r="X59" s="166">
        <f t="shared" si="13"/>
        <v>38243</v>
      </c>
      <c r="Y59" s="166">
        <f t="shared" si="13"/>
        <v>39843</v>
      </c>
      <c r="Z59" s="166">
        <f t="shared" si="13"/>
        <v>39493</v>
      </c>
      <c r="AA59" s="166">
        <f t="shared" si="13"/>
        <v>37028</v>
      </c>
      <c r="AB59" s="166">
        <f t="shared" si="13"/>
        <v>37617</v>
      </c>
      <c r="AC59" s="166">
        <f t="shared" si="13"/>
        <v>37717</v>
      </c>
      <c r="AD59" s="166">
        <f t="shared" si="13"/>
        <v>37644</v>
      </c>
      <c r="AE59" s="166">
        <f t="shared" si="13"/>
        <v>35569</v>
      </c>
      <c r="AF59" s="166">
        <f t="shared" si="13"/>
        <v>36090</v>
      </c>
      <c r="AG59" s="166">
        <f t="shared" si="13"/>
        <v>36240</v>
      </c>
      <c r="AH59" s="166">
        <f t="shared" si="13"/>
        <v>37400</v>
      </c>
      <c r="AI59" s="166">
        <f t="shared" si="13"/>
        <v>42116</v>
      </c>
      <c r="AJ59" s="166">
        <f t="shared" si="13"/>
        <v>51531</v>
      </c>
      <c r="AK59" s="166">
        <f t="shared" si="13"/>
        <v>61015</v>
      </c>
      <c r="AL59" s="166">
        <f t="shared" si="13"/>
        <v>64846</v>
      </c>
      <c r="AM59" s="166">
        <f t="shared" si="13"/>
        <v>36191</v>
      </c>
      <c r="AN59" s="166">
        <f t="shared" si="13"/>
        <v>38399</v>
      </c>
      <c r="AO59" s="166">
        <f t="shared" si="13"/>
        <v>40959</v>
      </c>
      <c r="AP59" s="166">
        <f t="shared" si="13"/>
        <v>51160</v>
      </c>
      <c r="AQ59" s="166">
        <f t="shared" si="13"/>
        <v>76037</v>
      </c>
      <c r="AR59" s="166">
        <f t="shared" si="13"/>
        <v>86517</v>
      </c>
      <c r="AS59" s="166">
        <f t="shared" si="13"/>
        <v>80668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09D953-8F95-4626-A891-F512D534DF41}">
  <dimension ref="A1:N38"/>
  <sheetViews>
    <sheetView showGridLines="0" workbookViewId="0">
      <pane xSplit="1" ySplit="5" topLeftCell="B6" activePane="bottomRight" state="frozen"/>
      <selection activeCell="A6" sqref="A6"/>
      <selection pane="topRight" activeCell="A6" sqref="A6"/>
      <selection pane="bottomLeft" activeCell="A6" sqref="A6"/>
      <selection pane="bottomRight" activeCell="A6" sqref="A6"/>
    </sheetView>
  </sheetViews>
  <sheetFormatPr defaultColWidth="8.85546875" defaultRowHeight="15" x14ac:dyDescent="0.25"/>
  <cols>
    <col min="1" max="1" width="19.28515625" style="13" customWidth="1"/>
    <col min="2" max="2" width="7.42578125" style="13" customWidth="1"/>
    <col min="3" max="11" width="19.42578125" style="13" customWidth="1"/>
    <col min="12" max="12" width="11.140625" style="13" bestFit="1" customWidth="1"/>
    <col min="13" max="13" width="42.85546875" style="13" customWidth="1"/>
    <col min="14" max="16384" width="8.85546875" style="13"/>
  </cols>
  <sheetData>
    <row r="1" spans="1:14" ht="10.7" customHeight="1" x14ac:dyDescent="0.25"/>
    <row r="2" spans="1:14" ht="33.950000000000003" customHeight="1" x14ac:dyDescent="0.25">
      <c r="A2" s="198" t="s">
        <v>369</v>
      </c>
      <c r="B2" s="199"/>
      <c r="C2" s="199"/>
    </row>
    <row r="3" spans="1:14" ht="12.6" customHeight="1" x14ac:dyDescent="0.25"/>
    <row r="4" spans="1:14" ht="8.25" customHeight="1" x14ac:dyDescent="0.25"/>
    <row r="5" spans="1:14" x14ac:dyDescent="0.25">
      <c r="A5" s="169" t="s">
        <v>159</v>
      </c>
      <c r="B5" s="170" t="s">
        <v>88</v>
      </c>
      <c r="C5" s="170">
        <v>2011</v>
      </c>
      <c r="D5" s="170">
        <v>2012</v>
      </c>
      <c r="E5" s="170">
        <v>2013</v>
      </c>
      <c r="F5" s="170">
        <v>2014</v>
      </c>
      <c r="G5" s="170">
        <v>2015</v>
      </c>
      <c r="H5" s="170">
        <v>2016</v>
      </c>
      <c r="I5" s="170">
        <v>2017</v>
      </c>
      <c r="J5" s="170">
        <v>2018</v>
      </c>
      <c r="K5" s="170">
        <v>2019</v>
      </c>
      <c r="L5" s="170" t="s">
        <v>370</v>
      </c>
      <c r="M5" s="170">
        <v>2021</v>
      </c>
      <c r="N5" s="170">
        <v>2022</v>
      </c>
    </row>
    <row r="6" spans="1:14" x14ac:dyDescent="0.25">
      <c r="A6" s="39" t="s">
        <v>371</v>
      </c>
      <c r="B6" s="39" t="s">
        <v>372</v>
      </c>
      <c r="C6" s="171">
        <v>511840</v>
      </c>
      <c r="D6" s="171">
        <v>1955647</v>
      </c>
      <c r="E6" s="171">
        <v>29687238</v>
      </c>
      <c r="F6" s="171">
        <v>29816319</v>
      </c>
      <c r="G6" s="171">
        <v>66056177</v>
      </c>
      <c r="H6" s="171">
        <v>105849665</v>
      </c>
      <c r="I6" s="171">
        <v>98910075</v>
      </c>
      <c r="J6" s="171">
        <v>133878529</v>
      </c>
      <c r="K6" s="171">
        <v>100688806</v>
      </c>
      <c r="L6" s="171">
        <f>SUM('FeedStock 2011 - 2021'!$AI$20:$AL$20,'FeedStock 2011 - 2021'!$AI$19:$AL$19,'FeedStock 2011 - 2021'!$AI$17:$AL$17,'FeedStock 2011 - 2021'!$AI$15:$AL$15)</f>
        <v>207114068</v>
      </c>
      <c r="M6" s="13">
        <f>SUM('FeedStock 2011 - 2021'!$AA$17:$AD$17,'FeedStock 2011 - 2021'!$AA$19:$AD$20)</f>
        <v>134640570</v>
      </c>
    </row>
    <row r="7" spans="1:14" x14ac:dyDescent="0.25">
      <c r="A7" s="39" t="s">
        <v>373</v>
      </c>
      <c r="B7" s="39" t="s">
        <v>372</v>
      </c>
      <c r="C7" s="171">
        <v>2250612</v>
      </c>
      <c r="D7" s="171">
        <v>3722208</v>
      </c>
      <c r="E7" s="171">
        <v>2178652</v>
      </c>
      <c r="F7" s="171">
        <v>4073779</v>
      </c>
      <c r="G7" s="171">
        <v>27401293</v>
      </c>
      <c r="H7" s="171">
        <v>21379836</v>
      </c>
      <c r="I7" s="171">
        <v>33296484</v>
      </c>
      <c r="J7" s="171">
        <v>10513100</v>
      </c>
      <c r="K7" s="171">
        <v>4293192</v>
      </c>
      <c r="L7" s="171">
        <f>SUM('FeedStock 2011 - 2021'!$AI$16:$AL$16,'FeedStock 2011 - 2021'!$AI$18:$AL$18)</f>
        <v>4530680</v>
      </c>
      <c r="M7" s="13">
        <f>SUM('FeedStock 2011 - 2021'!$AA$16:$AD$16,'FeedStock 2011 - 2021'!$AA$18:$AD$18)</f>
        <v>35057277</v>
      </c>
    </row>
    <row r="8" spans="1:14" x14ac:dyDescent="0.25">
      <c r="A8" s="39" t="s">
        <v>374</v>
      </c>
      <c r="B8" s="39" t="s">
        <v>372</v>
      </c>
      <c r="C8" s="171">
        <v>1343075076</v>
      </c>
      <c r="D8" s="171">
        <v>1274561860</v>
      </c>
      <c r="E8" s="171">
        <v>1139494307</v>
      </c>
      <c r="F8" s="171">
        <v>1229164417</v>
      </c>
      <c r="G8" s="171">
        <v>1257829168</v>
      </c>
      <c r="H8" s="171">
        <v>1393309348</v>
      </c>
      <c r="I8" s="171">
        <v>1304775248</v>
      </c>
      <c r="J8" s="171">
        <v>1271407774</v>
      </c>
      <c r="K8" s="171">
        <v>1132597256</v>
      </c>
      <c r="L8" s="171"/>
    </row>
    <row r="9" spans="1:14" x14ac:dyDescent="0.25">
      <c r="A9" s="39" t="s">
        <v>375</v>
      </c>
      <c r="B9" s="39" t="s">
        <v>372</v>
      </c>
      <c r="C9" s="171">
        <v>0</v>
      </c>
      <c r="D9" s="171">
        <v>7844136</v>
      </c>
      <c r="E9" s="171">
        <v>0</v>
      </c>
      <c r="F9" s="171">
        <v>5598232</v>
      </c>
      <c r="G9" s="171">
        <v>2678889</v>
      </c>
      <c r="H9" s="171">
        <v>22241229</v>
      </c>
      <c r="I9" s="171">
        <v>54532996</v>
      </c>
      <c r="J9" s="171">
        <v>54146187</v>
      </c>
      <c r="K9" s="171">
        <v>127883417</v>
      </c>
      <c r="L9" s="171"/>
    </row>
    <row r="10" spans="1:14" x14ac:dyDescent="0.25">
      <c r="A10" s="39" t="s">
        <v>376</v>
      </c>
      <c r="B10" s="39" t="s">
        <v>372</v>
      </c>
      <c r="C10" s="171">
        <v>35496520</v>
      </c>
      <c r="D10" s="171">
        <v>76643488</v>
      </c>
      <c r="E10" s="171">
        <v>134020035</v>
      </c>
      <c r="F10" s="171">
        <v>2458998</v>
      </c>
      <c r="G10" s="171">
        <v>38277298</v>
      </c>
      <c r="H10" s="171">
        <v>8394176</v>
      </c>
      <c r="I10" s="171">
        <v>22577917</v>
      </c>
      <c r="J10" s="171">
        <v>44441884</v>
      </c>
      <c r="K10" s="171">
        <v>87552223</v>
      </c>
      <c r="L10" s="171"/>
    </row>
    <row r="11" spans="1:14" ht="25.5" x14ac:dyDescent="0.25">
      <c r="A11" s="39" t="s">
        <v>377</v>
      </c>
      <c r="B11" s="39" t="s">
        <v>372</v>
      </c>
      <c r="C11" s="171">
        <v>0</v>
      </c>
      <c r="D11" s="171">
        <v>5897579</v>
      </c>
      <c r="E11" s="171">
        <v>98516218</v>
      </c>
      <c r="F11" s="171">
        <v>102089840</v>
      </c>
      <c r="G11" s="171">
        <v>123278619</v>
      </c>
      <c r="H11" s="171">
        <v>204003550</v>
      </c>
      <c r="I11" s="171">
        <v>303749629</v>
      </c>
      <c r="J11" s="171">
        <v>334482511</v>
      </c>
      <c r="K11" s="171">
        <v>425036239</v>
      </c>
      <c r="L11" s="171"/>
    </row>
    <row r="12" spans="1:14" ht="25.5" x14ac:dyDescent="0.25">
      <c r="A12" s="39" t="s">
        <v>378</v>
      </c>
      <c r="B12" s="39" t="s">
        <v>372</v>
      </c>
      <c r="C12" s="171">
        <v>0</v>
      </c>
      <c r="D12" s="171">
        <v>0</v>
      </c>
      <c r="E12" s="171">
        <v>15345507</v>
      </c>
      <c r="F12" s="171">
        <v>6416602</v>
      </c>
      <c r="G12" s="171">
        <v>37955543</v>
      </c>
      <c r="H12" s="171">
        <v>20127311</v>
      </c>
      <c r="I12" s="171">
        <v>0</v>
      </c>
      <c r="J12" s="171">
        <v>16927293</v>
      </c>
      <c r="K12" s="171">
        <v>0</v>
      </c>
      <c r="L12" s="171"/>
    </row>
    <row r="13" spans="1:14" x14ac:dyDescent="0.25">
      <c r="A13" s="39" t="s">
        <v>379</v>
      </c>
      <c r="B13" s="39" t="s">
        <v>372</v>
      </c>
      <c r="C13" s="171">
        <v>8390517</v>
      </c>
      <c r="D13" s="171">
        <v>13602277</v>
      </c>
      <c r="E13" s="171">
        <v>19391148</v>
      </c>
      <c r="F13" s="171">
        <v>26496762</v>
      </c>
      <c r="G13" s="171">
        <v>28591714</v>
      </c>
      <c r="H13" s="171">
        <v>33523404</v>
      </c>
      <c r="I13" s="171">
        <v>35168640</v>
      </c>
      <c r="J13" s="171">
        <v>38223336</v>
      </c>
      <c r="K13" s="171">
        <v>39611099</v>
      </c>
      <c r="L13" s="171"/>
    </row>
    <row r="14" spans="1:14" x14ac:dyDescent="0.25">
      <c r="A14" s="39" t="s">
        <v>380</v>
      </c>
      <c r="B14" s="39" t="s">
        <v>372</v>
      </c>
      <c r="C14" s="171">
        <v>3898423</v>
      </c>
      <c r="D14" s="171">
        <v>2932149</v>
      </c>
      <c r="E14" s="171">
        <v>8439327</v>
      </c>
      <c r="F14" s="171">
        <v>3751833</v>
      </c>
      <c r="G14" s="171">
        <v>4969070</v>
      </c>
      <c r="H14" s="171">
        <v>7332603</v>
      </c>
      <c r="I14" s="171">
        <v>6015940</v>
      </c>
      <c r="J14" s="171">
        <v>3671409</v>
      </c>
      <c r="K14" s="171">
        <v>1694794</v>
      </c>
      <c r="L14" s="171"/>
    </row>
    <row r="15" spans="1:14" x14ac:dyDescent="0.25">
      <c r="A15" s="39" t="s">
        <v>381</v>
      </c>
      <c r="B15" s="39" t="s">
        <v>372</v>
      </c>
      <c r="C15" s="171">
        <v>148437435</v>
      </c>
      <c r="D15" s="171">
        <v>160505415</v>
      </c>
      <c r="E15" s="171">
        <v>152365420</v>
      </c>
      <c r="F15" s="171">
        <v>195799292</v>
      </c>
      <c r="G15" s="171">
        <v>197426974</v>
      </c>
      <c r="H15" s="171">
        <v>184644224</v>
      </c>
      <c r="I15" s="171">
        <v>208675919</v>
      </c>
      <c r="J15" s="171">
        <v>218002176</v>
      </c>
      <c r="K15" s="171">
        <v>208814136</v>
      </c>
      <c r="L15" s="171"/>
    </row>
    <row r="16" spans="1:14" x14ac:dyDescent="0.25">
      <c r="A16" s="39" t="s">
        <v>382</v>
      </c>
      <c r="B16" s="39" t="s">
        <v>372</v>
      </c>
      <c r="C16" s="171">
        <v>567192</v>
      </c>
      <c r="D16" s="171">
        <v>327541</v>
      </c>
      <c r="E16" s="171">
        <v>556943</v>
      </c>
      <c r="F16" s="171">
        <v>747504</v>
      </c>
      <c r="G16" s="171">
        <v>932979</v>
      </c>
      <c r="H16" s="171">
        <v>972370</v>
      </c>
      <c r="I16" s="171">
        <v>629295</v>
      </c>
      <c r="J16" s="171">
        <v>1439578</v>
      </c>
      <c r="K16" s="171">
        <v>1124534</v>
      </c>
      <c r="L16" s="171"/>
    </row>
    <row r="17" spans="1:12" ht="25.5" x14ac:dyDescent="0.25">
      <c r="A17" s="39" t="s">
        <v>383</v>
      </c>
      <c r="B17" s="39" t="s">
        <v>372</v>
      </c>
      <c r="C17" s="171">
        <v>0</v>
      </c>
      <c r="D17" s="171">
        <v>4931730</v>
      </c>
      <c r="E17" s="171">
        <v>0</v>
      </c>
      <c r="F17" s="171">
        <v>0</v>
      </c>
      <c r="G17" s="171">
        <v>0</v>
      </c>
      <c r="H17" s="171">
        <v>0</v>
      </c>
      <c r="I17" s="171">
        <v>0</v>
      </c>
      <c r="J17" s="171">
        <v>0</v>
      </c>
      <c r="K17" s="171">
        <v>0</v>
      </c>
      <c r="L17" s="171"/>
    </row>
    <row r="18" spans="1:12" ht="25.5" x14ac:dyDescent="0.25">
      <c r="A18" s="39" t="s">
        <v>384</v>
      </c>
      <c r="B18" s="39" t="s">
        <v>372</v>
      </c>
      <c r="C18" s="171">
        <v>1803488</v>
      </c>
      <c r="D18" s="171">
        <v>2917328</v>
      </c>
      <c r="E18" s="171">
        <v>3450194</v>
      </c>
      <c r="F18" s="171">
        <v>4338427</v>
      </c>
      <c r="G18" s="171">
        <v>3921776</v>
      </c>
      <c r="H18" s="171">
        <v>31356925</v>
      </c>
      <c r="I18" s="171">
        <v>32966368</v>
      </c>
      <c r="J18" s="171">
        <v>32391148</v>
      </c>
      <c r="K18" s="171">
        <v>14971757</v>
      </c>
      <c r="L18" s="171"/>
    </row>
    <row r="19" spans="1:12" ht="25.5" x14ac:dyDescent="0.25">
      <c r="A19" s="39" t="s">
        <v>385</v>
      </c>
      <c r="B19" s="39" t="s">
        <v>372</v>
      </c>
      <c r="C19" s="171">
        <v>0</v>
      </c>
      <c r="D19" s="171">
        <v>0</v>
      </c>
      <c r="E19" s="171">
        <v>0</v>
      </c>
      <c r="F19" s="171">
        <v>0</v>
      </c>
      <c r="G19" s="171">
        <v>0</v>
      </c>
      <c r="H19" s="171">
        <v>352369</v>
      </c>
      <c r="I19" s="171">
        <v>0</v>
      </c>
      <c r="J19" s="171">
        <v>0</v>
      </c>
      <c r="K19" s="171">
        <v>0</v>
      </c>
      <c r="L19" s="171"/>
    </row>
    <row r="20" spans="1:12" x14ac:dyDescent="0.25">
      <c r="A20" s="39" t="s">
        <v>87</v>
      </c>
      <c r="B20" s="39" t="s">
        <v>87</v>
      </c>
      <c r="C20" s="39" t="s">
        <v>87</v>
      </c>
      <c r="D20" s="39" t="s">
        <v>87</v>
      </c>
      <c r="E20" s="39" t="s">
        <v>87</v>
      </c>
      <c r="F20" s="39" t="s">
        <v>87</v>
      </c>
      <c r="G20" s="39" t="s">
        <v>87</v>
      </c>
      <c r="H20" s="39" t="s">
        <v>87</v>
      </c>
      <c r="I20" s="39" t="s">
        <v>87</v>
      </c>
      <c r="J20" s="39" t="s">
        <v>87</v>
      </c>
      <c r="K20" s="39" t="s">
        <v>87</v>
      </c>
      <c r="L20" s="39"/>
    </row>
    <row r="21" spans="1:12" ht="9.75" customHeight="1" x14ac:dyDescent="0.25"/>
    <row r="22" spans="1:12" x14ac:dyDescent="0.25">
      <c r="A22" s="169" t="s">
        <v>159</v>
      </c>
      <c r="B22" s="170" t="s">
        <v>88</v>
      </c>
      <c r="C22" s="170">
        <v>2011</v>
      </c>
      <c r="D22" s="170">
        <v>2012</v>
      </c>
      <c r="E22" s="170">
        <v>2013</v>
      </c>
      <c r="F22" s="170">
        <v>2014</v>
      </c>
      <c r="G22" s="170">
        <v>2015</v>
      </c>
      <c r="H22" s="170">
        <v>2016</v>
      </c>
      <c r="I22" s="170">
        <v>2017</v>
      </c>
      <c r="J22" s="170">
        <v>2018</v>
      </c>
      <c r="K22" s="170">
        <v>2019</v>
      </c>
    </row>
    <row r="23" spans="1:12" x14ac:dyDescent="0.25">
      <c r="A23" s="39" t="s">
        <v>371</v>
      </c>
      <c r="B23" s="39" t="s">
        <v>123</v>
      </c>
      <c r="C23" s="39">
        <v>557355</v>
      </c>
      <c r="D23" s="39">
        <v>2129550</v>
      </c>
      <c r="E23" s="39">
        <v>32327129</v>
      </c>
      <c r="F23" s="39">
        <v>32467688</v>
      </c>
      <c r="G23" s="39">
        <v>71930118</v>
      </c>
      <c r="H23" s="39">
        <v>115262179</v>
      </c>
      <c r="I23" s="39">
        <v>107705497</v>
      </c>
      <c r="J23" s="39">
        <v>145783466</v>
      </c>
      <c r="K23" s="39">
        <v>109642399</v>
      </c>
    </row>
    <row r="24" spans="1:12" x14ac:dyDescent="0.25">
      <c r="A24" s="39" t="s">
        <v>373</v>
      </c>
      <c r="B24" s="39" t="s">
        <v>123</v>
      </c>
      <c r="C24" s="39">
        <v>2450744</v>
      </c>
      <c r="D24" s="39">
        <v>4053199</v>
      </c>
      <c r="E24" s="39">
        <v>2372385</v>
      </c>
      <c r="F24" s="39">
        <v>4436033</v>
      </c>
      <c r="G24" s="39">
        <v>29837910</v>
      </c>
      <c r="H24" s="39">
        <v>23281004</v>
      </c>
      <c r="I24" s="39">
        <v>36257321</v>
      </c>
      <c r="J24" s="39">
        <v>11447961</v>
      </c>
      <c r="K24" s="39">
        <v>4674957</v>
      </c>
    </row>
    <row r="25" spans="1:12" x14ac:dyDescent="0.25">
      <c r="A25" s="39" t="s">
        <v>374</v>
      </c>
      <c r="B25" s="39" t="s">
        <v>123</v>
      </c>
      <c r="C25" s="39">
        <v>945126900</v>
      </c>
      <c r="D25" s="39">
        <v>896913896</v>
      </c>
      <c r="E25" s="39">
        <v>801866360</v>
      </c>
      <c r="F25" s="39">
        <v>864967548</v>
      </c>
      <c r="G25" s="39">
        <v>885139039</v>
      </c>
      <c r="H25" s="39">
        <v>980476943</v>
      </c>
      <c r="I25" s="39">
        <v>918175170</v>
      </c>
      <c r="J25" s="39">
        <v>894694355</v>
      </c>
      <c r="K25" s="39">
        <v>797012880</v>
      </c>
    </row>
    <row r="26" spans="1:12" x14ac:dyDescent="0.25">
      <c r="A26" s="39" t="s">
        <v>375</v>
      </c>
      <c r="B26" s="39" t="s">
        <v>123</v>
      </c>
      <c r="C26" s="39">
        <v>0</v>
      </c>
      <c r="D26" s="39">
        <v>5519948</v>
      </c>
      <c r="E26" s="39">
        <v>0</v>
      </c>
      <c r="F26" s="39">
        <v>3939497</v>
      </c>
      <c r="G26" s="39">
        <v>1885144</v>
      </c>
      <c r="H26" s="39">
        <v>15651235</v>
      </c>
      <c r="I26" s="39">
        <v>38375071</v>
      </c>
      <c r="J26" s="39">
        <v>38102872</v>
      </c>
      <c r="K26" s="39">
        <v>89992034</v>
      </c>
    </row>
    <row r="27" spans="1:12" x14ac:dyDescent="0.25">
      <c r="A27" s="39" t="s">
        <v>376</v>
      </c>
      <c r="B27" s="39" t="s">
        <v>123</v>
      </c>
      <c r="C27" s="39">
        <v>24979032</v>
      </c>
      <c r="D27" s="39">
        <v>53934306</v>
      </c>
      <c r="E27" s="39">
        <v>94310395</v>
      </c>
      <c r="F27" s="39">
        <v>1730406</v>
      </c>
      <c r="G27" s="39">
        <v>26935876</v>
      </c>
      <c r="H27" s="39">
        <v>5907013</v>
      </c>
      <c r="I27" s="39">
        <v>15888164</v>
      </c>
      <c r="J27" s="39">
        <v>31273918</v>
      </c>
      <c r="K27" s="39">
        <v>61610823</v>
      </c>
    </row>
    <row r="28" spans="1:12" ht="25.5" x14ac:dyDescent="0.25">
      <c r="A28" s="39" t="s">
        <v>377</v>
      </c>
      <c r="B28" s="39" t="s">
        <v>123</v>
      </c>
      <c r="C28" s="39">
        <v>0</v>
      </c>
      <c r="D28" s="39">
        <v>6601236</v>
      </c>
      <c r="E28" s="39">
        <v>110270461</v>
      </c>
      <c r="F28" s="39">
        <v>114270463</v>
      </c>
      <c r="G28" s="39">
        <v>137987334</v>
      </c>
      <c r="H28" s="39">
        <v>228343781</v>
      </c>
      <c r="I28" s="39">
        <v>339990842</v>
      </c>
      <c r="J28" s="39">
        <v>374390550</v>
      </c>
      <c r="K28" s="39">
        <v>475748494</v>
      </c>
    </row>
    <row r="29" spans="1:12" ht="25.5" x14ac:dyDescent="0.25">
      <c r="A29" s="39" t="s">
        <v>378</v>
      </c>
      <c r="B29" s="39" t="s">
        <v>123</v>
      </c>
      <c r="C29" s="39">
        <v>0</v>
      </c>
      <c r="D29" s="39">
        <v>0</v>
      </c>
      <c r="E29" s="39">
        <v>17176422</v>
      </c>
      <c r="F29" s="39">
        <v>7182185</v>
      </c>
      <c r="G29" s="39">
        <v>42484124</v>
      </c>
      <c r="H29" s="39">
        <v>22528756</v>
      </c>
      <c r="I29" s="39">
        <v>0</v>
      </c>
      <c r="J29" s="39">
        <v>18946935</v>
      </c>
      <c r="K29" s="39">
        <v>0</v>
      </c>
    </row>
    <row r="30" spans="1:12" x14ac:dyDescent="0.25">
      <c r="A30" s="39" t="s">
        <v>379</v>
      </c>
      <c r="B30" s="39" t="s">
        <v>123</v>
      </c>
      <c r="C30" s="39">
        <v>9136630</v>
      </c>
      <c r="D30" s="39">
        <v>14811838</v>
      </c>
      <c r="E30" s="39">
        <v>21115475</v>
      </c>
      <c r="F30" s="39">
        <v>28852945</v>
      </c>
      <c r="G30" s="39">
        <v>31134187</v>
      </c>
      <c r="H30" s="39">
        <v>36504420</v>
      </c>
      <c r="I30" s="39">
        <v>38295956</v>
      </c>
      <c r="J30" s="39">
        <v>41622286</v>
      </c>
      <c r="K30" s="39">
        <v>43133453</v>
      </c>
    </row>
    <row r="31" spans="1:12" x14ac:dyDescent="0.25">
      <c r="A31" s="39" t="s">
        <v>380</v>
      </c>
      <c r="B31" s="39" t="s">
        <v>123</v>
      </c>
      <c r="C31" s="39">
        <v>4245084</v>
      </c>
      <c r="D31" s="39">
        <v>3192886</v>
      </c>
      <c r="E31" s="39">
        <v>9189781</v>
      </c>
      <c r="F31" s="39">
        <v>4085459</v>
      </c>
      <c r="G31" s="39">
        <v>5410937</v>
      </c>
      <c r="H31" s="39">
        <v>7984643</v>
      </c>
      <c r="I31" s="39">
        <v>6550898</v>
      </c>
      <c r="J31" s="39">
        <v>3997883</v>
      </c>
      <c r="K31" s="39">
        <v>1845501</v>
      </c>
    </row>
    <row r="32" spans="1:12" x14ac:dyDescent="0.25">
      <c r="A32" s="39" t="s">
        <v>381</v>
      </c>
      <c r="B32" s="39" t="s">
        <v>123</v>
      </c>
      <c r="C32" s="39">
        <v>104455972</v>
      </c>
      <c r="D32" s="39">
        <v>112948254</v>
      </c>
      <c r="E32" s="39">
        <v>107220110</v>
      </c>
      <c r="F32" s="39">
        <v>137784686</v>
      </c>
      <c r="G32" s="39">
        <v>138930092</v>
      </c>
      <c r="H32" s="39">
        <v>129934824</v>
      </c>
      <c r="I32" s="39">
        <v>146846016</v>
      </c>
      <c r="J32" s="39">
        <v>153408938</v>
      </c>
      <c r="K32" s="39">
        <v>146943280</v>
      </c>
    </row>
    <row r="33" spans="1:11" x14ac:dyDescent="0.25">
      <c r="A33" s="39" t="s">
        <v>382</v>
      </c>
      <c r="B33" s="39" t="s">
        <v>123</v>
      </c>
      <c r="C33" s="39">
        <v>399135</v>
      </c>
      <c r="D33" s="39">
        <v>230492</v>
      </c>
      <c r="E33" s="39">
        <v>391923</v>
      </c>
      <c r="F33" s="39">
        <v>526021</v>
      </c>
      <c r="G33" s="39">
        <v>656541</v>
      </c>
      <c r="H33" s="39">
        <v>684260</v>
      </c>
      <c r="I33" s="39">
        <v>442837</v>
      </c>
      <c r="J33" s="39">
        <v>1013036</v>
      </c>
      <c r="K33" s="39">
        <v>791339</v>
      </c>
    </row>
    <row r="34" spans="1:11" ht="25.5" x14ac:dyDescent="0.25">
      <c r="A34" s="39" t="s">
        <v>383</v>
      </c>
      <c r="B34" s="39" t="s">
        <v>123</v>
      </c>
      <c r="C34" s="39">
        <v>0</v>
      </c>
      <c r="D34" s="39">
        <v>3470477</v>
      </c>
      <c r="E34" s="39">
        <v>0</v>
      </c>
      <c r="F34" s="39">
        <v>0</v>
      </c>
      <c r="G34" s="39">
        <v>0</v>
      </c>
      <c r="H34" s="39">
        <v>0</v>
      </c>
      <c r="I34" s="39">
        <v>0</v>
      </c>
      <c r="J34" s="39">
        <v>0</v>
      </c>
      <c r="K34" s="39">
        <v>0</v>
      </c>
    </row>
    <row r="35" spans="1:11" ht="25.5" x14ac:dyDescent="0.25">
      <c r="A35" s="39" t="s">
        <v>384</v>
      </c>
      <c r="B35" s="39" t="s">
        <v>123</v>
      </c>
      <c r="C35" s="39">
        <v>2018667</v>
      </c>
      <c r="D35" s="39">
        <v>3265403</v>
      </c>
      <c r="E35" s="39">
        <v>3861846</v>
      </c>
      <c r="F35" s="39">
        <v>4856057</v>
      </c>
      <c r="G35" s="39">
        <v>4389694</v>
      </c>
      <c r="H35" s="39">
        <v>35098207</v>
      </c>
      <c r="I35" s="39">
        <v>36899677</v>
      </c>
      <c r="J35" s="39">
        <v>36255826</v>
      </c>
      <c r="K35" s="39">
        <v>16758079</v>
      </c>
    </row>
    <row r="36" spans="1:11" ht="25.5" x14ac:dyDescent="0.25">
      <c r="A36" s="39" t="s">
        <v>385</v>
      </c>
      <c r="B36" s="39" t="s">
        <v>123</v>
      </c>
      <c r="C36" s="39">
        <v>0</v>
      </c>
      <c r="D36" s="39">
        <v>0</v>
      </c>
      <c r="E36" s="39">
        <v>0</v>
      </c>
      <c r="F36" s="39">
        <v>0</v>
      </c>
      <c r="G36" s="39">
        <v>0</v>
      </c>
      <c r="H36" s="39">
        <v>394411</v>
      </c>
      <c r="I36" s="39">
        <v>0</v>
      </c>
      <c r="J36" s="39">
        <v>0</v>
      </c>
      <c r="K36" s="39">
        <v>0</v>
      </c>
    </row>
    <row r="37" spans="1:11" x14ac:dyDescent="0.25">
      <c r="A37" s="39" t="s">
        <v>87</v>
      </c>
      <c r="B37" s="39" t="s">
        <v>87</v>
      </c>
      <c r="C37" s="39" t="s">
        <v>87</v>
      </c>
      <c r="D37" s="39" t="s">
        <v>87</v>
      </c>
      <c r="E37" s="39" t="s">
        <v>87</v>
      </c>
      <c r="F37" s="39" t="s">
        <v>87</v>
      </c>
      <c r="G37" s="39" t="s">
        <v>87</v>
      </c>
      <c r="H37" s="39" t="s">
        <v>87</v>
      </c>
      <c r="I37" s="39" t="s">
        <v>87</v>
      </c>
      <c r="J37" s="39" t="s">
        <v>87</v>
      </c>
      <c r="K37" s="39" t="s">
        <v>87</v>
      </c>
    </row>
    <row r="38" spans="1:11" ht="18" customHeight="1" x14ac:dyDescent="0.25"/>
  </sheetData>
  <mergeCells count="1">
    <mergeCell ref="A2:C2"/>
  </mergeCells>
  <pageMargins left="1" right="1" top="1" bottom="1" header="1" footer="1"/>
  <pageSetup orientation="portrait" horizontalDpi="300" verticalDpi="300"/>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6B370A-B831-4E5A-A456-8B61DF17C835}">
  <dimension ref="A1:I110"/>
  <sheetViews>
    <sheetView workbookViewId="0">
      <pane xSplit="1" ySplit="2" topLeftCell="B3" activePane="bottomRight" state="frozen"/>
      <selection activeCell="A6" sqref="A6"/>
      <selection pane="topRight" activeCell="A6" sqref="A6"/>
      <selection pane="bottomLeft" activeCell="A6" sqref="A6"/>
      <selection pane="bottomRight" activeCell="A6" sqref="A6"/>
    </sheetView>
  </sheetViews>
  <sheetFormatPr defaultColWidth="10.28515625" defaultRowHeight="15" x14ac:dyDescent="0.25"/>
  <cols>
    <col min="1" max="2" width="10.28515625" style="172"/>
    <col min="3" max="3" width="11.85546875" style="172" bestFit="1" customWidth="1"/>
    <col min="4" max="4" width="10.28515625" style="185"/>
    <col min="5" max="5" width="12.7109375" style="186" bestFit="1" customWidth="1"/>
    <col min="6" max="16384" width="10.28515625" style="172"/>
  </cols>
  <sheetData>
    <row r="1" spans="1:9" ht="17.25" customHeight="1" x14ac:dyDescent="0.25">
      <c r="D1" s="172"/>
      <c r="E1" s="172"/>
    </row>
    <row r="2" spans="1:9" ht="72" x14ac:dyDescent="0.25">
      <c r="C2" s="173" t="s">
        <v>386</v>
      </c>
      <c r="D2" s="174" t="s">
        <v>387</v>
      </c>
      <c r="E2" s="175" t="s">
        <v>388</v>
      </c>
      <c r="F2" s="176" t="s">
        <v>389</v>
      </c>
      <c r="I2" s="177" t="s">
        <v>390</v>
      </c>
    </row>
    <row r="3" spans="1:9" ht="15.75" hidden="1" x14ac:dyDescent="0.25">
      <c r="A3" s="200">
        <v>2013</v>
      </c>
      <c r="B3" s="178" t="s">
        <v>391</v>
      </c>
      <c r="C3" s="179">
        <v>41275</v>
      </c>
      <c r="D3" s="180">
        <v>22</v>
      </c>
      <c r="E3" s="181">
        <v>24000</v>
      </c>
    </row>
    <row r="4" spans="1:9" ht="15.75" hidden="1" x14ac:dyDescent="0.25">
      <c r="A4" s="200"/>
      <c r="B4" s="178" t="s">
        <v>392</v>
      </c>
      <c r="C4" s="179">
        <v>41306</v>
      </c>
      <c r="D4" s="180">
        <v>27</v>
      </c>
      <c r="E4" s="181">
        <v>36000</v>
      </c>
    </row>
    <row r="5" spans="1:9" ht="15.75" hidden="1" x14ac:dyDescent="0.25">
      <c r="A5" s="200"/>
      <c r="B5" s="178" t="s">
        <v>393</v>
      </c>
      <c r="C5" s="179">
        <v>41334</v>
      </c>
      <c r="D5" s="180">
        <v>34</v>
      </c>
      <c r="E5" s="181">
        <v>48000</v>
      </c>
    </row>
    <row r="6" spans="1:9" ht="15.75" hidden="1" x14ac:dyDescent="0.25">
      <c r="A6" s="200"/>
      <c r="B6" s="178" t="s">
        <v>394</v>
      </c>
      <c r="C6" s="179">
        <v>41365</v>
      </c>
      <c r="D6" s="180">
        <v>35</v>
      </c>
      <c r="E6" s="181">
        <v>42000</v>
      </c>
    </row>
    <row r="7" spans="1:9" ht="15.75" hidden="1" x14ac:dyDescent="0.25">
      <c r="A7" s="200"/>
      <c r="B7" s="178" t="s">
        <v>393</v>
      </c>
      <c r="C7" s="179">
        <v>41395</v>
      </c>
      <c r="D7" s="180">
        <v>45</v>
      </c>
      <c r="E7" s="181">
        <v>7000</v>
      </c>
    </row>
    <row r="8" spans="1:9" ht="15.75" hidden="1" x14ac:dyDescent="0.25">
      <c r="A8" s="200"/>
      <c r="B8" s="178" t="s">
        <v>391</v>
      </c>
      <c r="C8" s="179">
        <v>41426</v>
      </c>
      <c r="D8" s="180">
        <v>51</v>
      </c>
      <c r="E8" s="181">
        <v>52000</v>
      </c>
    </row>
    <row r="9" spans="1:9" ht="15.75" hidden="1" x14ac:dyDescent="0.25">
      <c r="A9" s="200"/>
      <c r="B9" s="178" t="s">
        <v>391</v>
      </c>
      <c r="C9" s="179">
        <v>41456</v>
      </c>
      <c r="D9" s="180">
        <v>66.888900000000007</v>
      </c>
      <c r="E9" s="181">
        <v>82000</v>
      </c>
    </row>
    <row r="10" spans="1:9" ht="15.75" hidden="1" x14ac:dyDescent="0.25">
      <c r="A10" s="200"/>
      <c r="B10" s="178" t="s">
        <v>394</v>
      </c>
      <c r="C10" s="179">
        <v>41487</v>
      </c>
      <c r="D10" s="180">
        <v>62.590899999999998</v>
      </c>
      <c r="E10" s="181">
        <v>66000</v>
      </c>
    </row>
    <row r="11" spans="1:9" ht="15.75" hidden="1" x14ac:dyDescent="0.25">
      <c r="A11" s="200"/>
      <c r="B11" s="178" t="s">
        <v>395</v>
      </c>
      <c r="C11" s="179">
        <v>41518</v>
      </c>
      <c r="D11" s="180">
        <v>72.650000000000006</v>
      </c>
      <c r="E11" s="181">
        <v>243000</v>
      </c>
    </row>
    <row r="12" spans="1:9" ht="15.75" hidden="1" x14ac:dyDescent="0.25">
      <c r="A12" s="200"/>
      <c r="B12" s="178" t="s">
        <v>396</v>
      </c>
      <c r="C12" s="179">
        <v>41548</v>
      </c>
      <c r="D12" s="180">
        <v>81.282600000000002</v>
      </c>
      <c r="E12" s="181">
        <v>60000</v>
      </c>
    </row>
    <row r="13" spans="1:9" ht="15.75" hidden="1" x14ac:dyDescent="0.25">
      <c r="A13" s="200"/>
      <c r="B13" s="178" t="s">
        <v>397</v>
      </c>
      <c r="C13" s="179">
        <v>41579</v>
      </c>
      <c r="D13" s="180">
        <v>82.875</v>
      </c>
      <c r="E13" s="181">
        <v>210000</v>
      </c>
    </row>
    <row r="14" spans="1:9" ht="15.75" hidden="1" x14ac:dyDescent="0.25">
      <c r="A14" s="200"/>
      <c r="B14" s="178" t="s">
        <v>398</v>
      </c>
      <c r="C14" s="179">
        <v>41609</v>
      </c>
      <c r="D14" s="180">
        <v>62.575000000000003</v>
      </c>
      <c r="E14" s="181">
        <v>18000</v>
      </c>
    </row>
    <row r="15" spans="1:9" ht="15.75" x14ac:dyDescent="0.25">
      <c r="A15" s="200">
        <v>2014</v>
      </c>
      <c r="B15" s="178" t="s">
        <v>391</v>
      </c>
      <c r="C15" s="179">
        <v>41640</v>
      </c>
      <c r="D15" s="180">
        <v>45.428600000000003</v>
      </c>
      <c r="E15" s="181">
        <v>43000</v>
      </c>
    </row>
    <row r="16" spans="1:9" ht="15.75" x14ac:dyDescent="0.25">
      <c r="A16" s="200"/>
      <c r="B16" s="178" t="s">
        <v>392</v>
      </c>
      <c r="C16" s="179">
        <v>41671</v>
      </c>
      <c r="D16" s="180">
        <v>45.842100000000002</v>
      </c>
      <c r="E16" s="181">
        <v>53000</v>
      </c>
    </row>
    <row r="17" spans="1:5" ht="15.75" x14ac:dyDescent="0.25">
      <c r="A17" s="200"/>
      <c r="B17" s="178" t="s">
        <v>393</v>
      </c>
      <c r="C17" s="179">
        <v>41699</v>
      </c>
      <c r="D17" s="180">
        <v>35.8095</v>
      </c>
      <c r="E17" s="181">
        <v>72000</v>
      </c>
    </row>
    <row r="18" spans="1:5" ht="15.75" x14ac:dyDescent="0.25">
      <c r="A18" s="200"/>
      <c r="B18" s="178" t="s">
        <v>394</v>
      </c>
      <c r="C18" s="179">
        <v>41730</v>
      </c>
      <c r="D18" s="180">
        <v>20.5</v>
      </c>
      <c r="E18" s="181">
        <v>120000</v>
      </c>
    </row>
    <row r="19" spans="1:5" ht="15.75" x14ac:dyDescent="0.25">
      <c r="A19" s="200"/>
      <c r="B19" s="178" t="s">
        <v>393</v>
      </c>
      <c r="C19" s="179">
        <v>41760</v>
      </c>
      <c r="D19" s="180">
        <v>25.3095</v>
      </c>
      <c r="E19" s="181">
        <v>54000</v>
      </c>
    </row>
    <row r="20" spans="1:5" ht="15.75" x14ac:dyDescent="0.25">
      <c r="A20" s="200"/>
      <c r="B20" s="178" t="s">
        <v>391</v>
      </c>
      <c r="C20" s="179">
        <v>41791</v>
      </c>
      <c r="D20" s="180">
        <v>27.595199999999998</v>
      </c>
      <c r="E20" s="181">
        <v>82000</v>
      </c>
    </row>
    <row r="21" spans="1:5" ht="15.75" x14ac:dyDescent="0.25">
      <c r="A21" s="200"/>
      <c r="B21" s="178" t="s">
        <v>391</v>
      </c>
      <c r="C21" s="179">
        <v>41821</v>
      </c>
      <c r="D21" s="180">
        <v>29.5</v>
      </c>
      <c r="E21" s="181">
        <v>107000</v>
      </c>
    </row>
    <row r="22" spans="1:5" ht="15.75" x14ac:dyDescent="0.25">
      <c r="A22" s="200"/>
      <c r="B22" s="178" t="s">
        <v>394</v>
      </c>
      <c r="C22" s="179">
        <v>41852</v>
      </c>
      <c r="D22" s="180">
        <v>28.119</v>
      </c>
      <c r="E22" s="181">
        <v>285000</v>
      </c>
    </row>
    <row r="23" spans="1:5" ht="15.75" x14ac:dyDescent="0.25">
      <c r="A23" s="200"/>
      <c r="B23" s="178" t="s">
        <v>395</v>
      </c>
      <c r="C23" s="179">
        <v>41883</v>
      </c>
      <c r="D23" s="180">
        <v>26.928599999999999</v>
      </c>
      <c r="E23" s="181">
        <v>301000</v>
      </c>
    </row>
    <row r="24" spans="1:5" ht="15.75" x14ac:dyDescent="0.25">
      <c r="A24" s="200"/>
      <c r="B24" s="178" t="s">
        <v>396</v>
      </c>
      <c r="C24" s="179">
        <v>41913</v>
      </c>
      <c r="D24" s="180">
        <v>27.5</v>
      </c>
      <c r="E24" s="181">
        <v>207000</v>
      </c>
    </row>
    <row r="25" spans="1:5" ht="15.75" x14ac:dyDescent="0.25">
      <c r="A25" s="200"/>
      <c r="B25" s="178" t="s">
        <v>397</v>
      </c>
      <c r="C25" s="179">
        <v>41944</v>
      </c>
      <c r="D25" s="180">
        <v>25.5</v>
      </c>
      <c r="E25" s="181">
        <v>61000</v>
      </c>
    </row>
    <row r="26" spans="1:5" ht="15.75" x14ac:dyDescent="0.25">
      <c r="A26" s="200"/>
      <c r="B26" s="178" t="s">
        <v>398</v>
      </c>
      <c r="C26" s="179">
        <v>41974</v>
      </c>
      <c r="D26" s="180">
        <v>26.095199999999998</v>
      </c>
      <c r="E26" s="181">
        <v>296000</v>
      </c>
    </row>
    <row r="27" spans="1:5" ht="15.75" x14ac:dyDescent="0.25">
      <c r="A27" s="200">
        <v>2015</v>
      </c>
      <c r="B27" s="178" t="s">
        <v>391</v>
      </c>
      <c r="C27" s="179">
        <v>42005</v>
      </c>
      <c r="D27" s="180">
        <v>24.3</v>
      </c>
      <c r="E27" s="181">
        <v>126000</v>
      </c>
    </row>
    <row r="28" spans="1:5" ht="15.75" x14ac:dyDescent="0.25">
      <c r="A28" s="200"/>
      <c r="B28" s="178" t="s">
        <v>392</v>
      </c>
      <c r="C28" s="179">
        <v>42036</v>
      </c>
      <c r="D28" s="180">
        <v>22.328900000000001</v>
      </c>
      <c r="E28" s="181">
        <v>148000</v>
      </c>
    </row>
    <row r="29" spans="1:5" ht="15.75" x14ac:dyDescent="0.25">
      <c r="A29" s="200"/>
      <c r="B29" s="178" t="s">
        <v>393</v>
      </c>
      <c r="C29" s="179">
        <v>42064</v>
      </c>
      <c r="D29" s="180">
        <v>21.8977</v>
      </c>
      <c r="E29" s="181">
        <v>69000</v>
      </c>
    </row>
    <row r="30" spans="1:5" ht="15.75" x14ac:dyDescent="0.25">
      <c r="A30" s="200"/>
      <c r="B30" s="178" t="s">
        <v>394</v>
      </c>
      <c r="C30" s="179">
        <v>42095</v>
      </c>
      <c r="D30" s="180">
        <v>21.595199999999998</v>
      </c>
      <c r="E30" s="181">
        <v>164000</v>
      </c>
    </row>
    <row r="31" spans="1:5" ht="15.75" x14ac:dyDescent="0.25">
      <c r="A31" s="200"/>
      <c r="B31" s="178" t="s">
        <v>393</v>
      </c>
      <c r="C31" s="179">
        <v>42125</v>
      </c>
      <c r="D31" s="180">
        <v>21.375</v>
      </c>
      <c r="E31" s="181">
        <v>160000</v>
      </c>
    </row>
    <row r="32" spans="1:5" ht="15.75" x14ac:dyDescent="0.25">
      <c r="A32" s="200"/>
      <c r="B32" s="178" t="s">
        <v>391</v>
      </c>
      <c r="C32" s="179">
        <v>42169</v>
      </c>
      <c r="D32" s="180">
        <v>33.681800000000003</v>
      </c>
      <c r="E32" s="181">
        <v>151000</v>
      </c>
    </row>
    <row r="33" spans="1:5" ht="15.75" x14ac:dyDescent="0.25">
      <c r="A33" s="200"/>
      <c r="B33" s="178" t="s">
        <v>391</v>
      </c>
      <c r="C33" s="179">
        <v>42199</v>
      </c>
      <c r="D33" s="180">
        <v>52.363599999999998</v>
      </c>
      <c r="E33" s="181">
        <v>322000</v>
      </c>
    </row>
    <row r="34" spans="1:5" ht="15.75" x14ac:dyDescent="0.25">
      <c r="A34" s="200"/>
      <c r="B34" s="178" t="s">
        <v>394</v>
      </c>
      <c r="C34" s="179">
        <v>42230</v>
      </c>
      <c r="D34" s="180">
        <v>59.261899999999997</v>
      </c>
      <c r="E34" s="181">
        <v>200000</v>
      </c>
    </row>
    <row r="35" spans="1:5" ht="15.75" x14ac:dyDescent="0.25">
      <c r="A35" s="200"/>
      <c r="B35" s="178" t="s">
        <v>395</v>
      </c>
      <c r="C35" s="179">
        <v>42261</v>
      </c>
      <c r="D35" s="180">
        <v>67.904799999999994</v>
      </c>
      <c r="E35" s="181">
        <v>224000</v>
      </c>
    </row>
    <row r="36" spans="1:5" ht="15.75" x14ac:dyDescent="0.25">
      <c r="A36" s="200"/>
      <c r="B36" s="178" t="s">
        <v>396</v>
      </c>
      <c r="C36" s="179">
        <v>42291</v>
      </c>
      <c r="D36" s="180">
        <v>81.0227</v>
      </c>
      <c r="E36" s="181">
        <v>129000</v>
      </c>
    </row>
    <row r="37" spans="1:5" ht="15.75" x14ac:dyDescent="0.25">
      <c r="A37" s="200"/>
      <c r="B37" s="178" t="s">
        <v>397</v>
      </c>
      <c r="C37" s="179">
        <v>42322</v>
      </c>
      <c r="D37" s="180">
        <v>99.973699999999994</v>
      </c>
      <c r="E37" s="181">
        <v>435000</v>
      </c>
    </row>
    <row r="38" spans="1:5" ht="15.75" x14ac:dyDescent="0.25">
      <c r="A38" s="200"/>
      <c r="B38" s="178" t="s">
        <v>398</v>
      </c>
      <c r="C38" s="179">
        <v>42352</v>
      </c>
      <c r="D38" s="180">
        <v>116.36360000000001</v>
      </c>
      <c r="E38" s="182">
        <v>723000</v>
      </c>
    </row>
    <row r="39" spans="1:5" ht="15.75" x14ac:dyDescent="0.25">
      <c r="A39" s="200">
        <v>2016</v>
      </c>
      <c r="B39" s="178" t="s">
        <v>391</v>
      </c>
      <c r="C39" s="179">
        <v>42383</v>
      </c>
      <c r="D39" s="180">
        <v>119.8421</v>
      </c>
      <c r="E39" s="183">
        <v>206000</v>
      </c>
    </row>
    <row r="40" spans="1:5" ht="15.75" x14ac:dyDescent="0.25">
      <c r="A40" s="200"/>
      <c r="B40" s="178" t="s">
        <v>392</v>
      </c>
      <c r="C40" s="179">
        <v>42414</v>
      </c>
      <c r="D40" s="184">
        <v>126.175</v>
      </c>
      <c r="E40" s="181">
        <v>139000</v>
      </c>
    </row>
    <row r="41" spans="1:5" ht="15.75" x14ac:dyDescent="0.25">
      <c r="A41" s="200"/>
      <c r="B41" s="178" t="s">
        <v>393</v>
      </c>
      <c r="C41" s="179">
        <v>42443</v>
      </c>
      <c r="D41" s="184">
        <v>125.6591</v>
      </c>
      <c r="E41" s="181">
        <v>679000</v>
      </c>
    </row>
    <row r="42" spans="1:5" ht="15.75" x14ac:dyDescent="0.25">
      <c r="A42" s="200"/>
      <c r="B42" s="178" t="s">
        <v>394</v>
      </c>
      <c r="C42" s="179">
        <v>42474</v>
      </c>
      <c r="D42" s="184">
        <v>120.52379999999999</v>
      </c>
      <c r="E42" s="181">
        <v>283000</v>
      </c>
    </row>
    <row r="43" spans="1:5" ht="15.75" x14ac:dyDescent="0.25">
      <c r="A43" s="200"/>
      <c r="B43" s="178" t="s">
        <v>393</v>
      </c>
      <c r="C43" s="179">
        <v>42504</v>
      </c>
      <c r="D43" s="184">
        <v>114.5714</v>
      </c>
      <c r="E43" s="181">
        <v>229000</v>
      </c>
    </row>
    <row r="44" spans="1:5" ht="15.75" x14ac:dyDescent="0.25">
      <c r="A44" s="200"/>
      <c r="B44" s="178" t="s">
        <v>391</v>
      </c>
      <c r="C44" s="179">
        <v>42537</v>
      </c>
      <c r="D44" s="184">
        <v>101.11360000000001</v>
      </c>
      <c r="E44" s="181">
        <v>429000</v>
      </c>
    </row>
    <row r="45" spans="1:5" ht="15.75" x14ac:dyDescent="0.25">
      <c r="A45" s="200"/>
      <c r="B45" s="178" t="s">
        <v>391</v>
      </c>
      <c r="C45" s="179">
        <v>42567</v>
      </c>
      <c r="D45" s="184">
        <v>64.825000000000003</v>
      </c>
      <c r="E45" s="181">
        <v>452000</v>
      </c>
    </row>
    <row r="46" spans="1:5" ht="15.75" x14ac:dyDescent="0.25">
      <c r="A46" s="200"/>
      <c r="B46" s="178" t="s">
        <v>394</v>
      </c>
      <c r="C46" s="179">
        <v>42598</v>
      </c>
      <c r="D46" s="184">
        <v>72.456500000000005</v>
      </c>
      <c r="E46" s="181">
        <v>145000</v>
      </c>
    </row>
    <row r="47" spans="1:5" ht="15.75" x14ac:dyDescent="0.25">
      <c r="A47" s="200"/>
      <c r="B47" s="178" t="s">
        <v>395</v>
      </c>
      <c r="C47" s="179">
        <v>42629</v>
      </c>
      <c r="D47" s="184">
        <v>93.428600000000003</v>
      </c>
      <c r="E47" s="181">
        <v>599000</v>
      </c>
    </row>
    <row r="48" spans="1:5" ht="15.75" x14ac:dyDescent="0.25">
      <c r="A48" s="200"/>
      <c r="B48" s="178" t="s">
        <v>396</v>
      </c>
      <c r="C48" s="179">
        <v>42659</v>
      </c>
      <c r="D48" s="184">
        <v>85.357100000000003</v>
      </c>
      <c r="E48" s="181">
        <v>347000</v>
      </c>
    </row>
    <row r="49" spans="1:5" ht="15.75" x14ac:dyDescent="0.25">
      <c r="A49" s="200"/>
      <c r="B49" s="178" t="s">
        <v>397</v>
      </c>
      <c r="C49" s="179">
        <v>42690</v>
      </c>
      <c r="D49" s="184">
        <v>92.075000000000003</v>
      </c>
      <c r="E49" s="181">
        <v>794000</v>
      </c>
    </row>
    <row r="50" spans="1:5" ht="15.75" x14ac:dyDescent="0.25">
      <c r="A50" s="200"/>
      <c r="B50" s="178" t="s">
        <v>398</v>
      </c>
      <c r="C50" s="179">
        <v>42720</v>
      </c>
      <c r="D50" s="184">
        <v>90.3095</v>
      </c>
      <c r="E50" s="181">
        <v>1060000</v>
      </c>
    </row>
    <row r="51" spans="1:5" ht="15.75" x14ac:dyDescent="0.25">
      <c r="A51" s="200">
        <v>2017</v>
      </c>
      <c r="B51" s="178" t="s">
        <v>391</v>
      </c>
      <c r="C51" s="179">
        <v>42752</v>
      </c>
      <c r="D51" s="184">
        <v>97.674999999999997</v>
      </c>
      <c r="E51" s="181">
        <v>390000</v>
      </c>
    </row>
    <row r="52" spans="1:5" ht="15.75" x14ac:dyDescent="0.25">
      <c r="A52" s="200"/>
      <c r="B52" s="178" t="s">
        <v>392</v>
      </c>
      <c r="C52" s="179">
        <v>42783</v>
      </c>
      <c r="D52" s="184">
        <v>95.578900000000004</v>
      </c>
      <c r="E52" s="181">
        <v>323000</v>
      </c>
    </row>
    <row r="53" spans="1:5" ht="15.75" x14ac:dyDescent="0.25">
      <c r="A53" s="200"/>
      <c r="B53" s="178" t="s">
        <v>393</v>
      </c>
      <c r="C53" s="179">
        <v>42795</v>
      </c>
      <c r="D53" s="184">
        <v>83.826099999999997</v>
      </c>
      <c r="E53" s="181">
        <v>591000</v>
      </c>
    </row>
    <row r="54" spans="1:5" ht="15.75" x14ac:dyDescent="0.25">
      <c r="A54" s="200"/>
      <c r="B54" s="178" t="s">
        <v>394</v>
      </c>
      <c r="C54" s="179">
        <v>42826</v>
      </c>
      <c r="D54" s="184">
        <v>78.631600000000006</v>
      </c>
      <c r="E54" s="181">
        <v>616000</v>
      </c>
    </row>
    <row r="55" spans="1:5" ht="15.75" x14ac:dyDescent="0.25">
      <c r="A55" s="200"/>
      <c r="B55" s="178" t="s">
        <v>393</v>
      </c>
      <c r="C55" s="179">
        <v>42856</v>
      </c>
      <c r="D55" s="184">
        <v>72.568200000000004</v>
      </c>
      <c r="E55" s="181">
        <v>366000</v>
      </c>
    </row>
    <row r="56" spans="1:5" ht="15.75" x14ac:dyDescent="0.25">
      <c r="A56" s="200"/>
      <c r="B56" s="178" t="s">
        <v>391</v>
      </c>
      <c r="C56" s="179">
        <v>42887</v>
      </c>
      <c r="D56" s="184">
        <v>74.545500000000004</v>
      </c>
      <c r="E56" s="181">
        <v>765000</v>
      </c>
    </row>
    <row r="57" spans="1:5" ht="15.75" x14ac:dyDescent="0.25">
      <c r="A57" s="200"/>
      <c r="B57" s="178" t="s">
        <v>391</v>
      </c>
      <c r="C57" s="179">
        <v>42917</v>
      </c>
      <c r="D57" s="184">
        <v>75.337500000000006</v>
      </c>
      <c r="E57" s="181">
        <v>565000</v>
      </c>
    </row>
    <row r="58" spans="1:5" ht="15.75" x14ac:dyDescent="0.25">
      <c r="A58" s="200"/>
      <c r="B58" s="178" t="s">
        <v>394</v>
      </c>
      <c r="C58" s="179">
        <v>42948</v>
      </c>
      <c r="D58" s="184">
        <v>91.472800000000007</v>
      </c>
      <c r="E58" s="181">
        <v>595000</v>
      </c>
    </row>
    <row r="59" spans="1:5" ht="15.75" x14ac:dyDescent="0.25">
      <c r="A59" s="200"/>
      <c r="B59" s="178" t="s">
        <v>395</v>
      </c>
      <c r="C59" s="179">
        <v>42979</v>
      </c>
      <c r="D59" s="184">
        <v>93.15</v>
      </c>
      <c r="E59" s="181">
        <v>1326000</v>
      </c>
    </row>
    <row r="60" spans="1:5" ht="15.75" x14ac:dyDescent="0.25">
      <c r="A60" s="200"/>
      <c r="B60" s="178" t="s">
        <v>396</v>
      </c>
      <c r="C60" s="179">
        <v>43009</v>
      </c>
      <c r="D60" s="184">
        <v>94.806799999999996</v>
      </c>
      <c r="E60" s="181">
        <v>745000</v>
      </c>
    </row>
    <row r="61" spans="1:5" ht="15.75" x14ac:dyDescent="0.25">
      <c r="A61" s="200"/>
      <c r="B61" s="178" t="s">
        <v>397</v>
      </c>
      <c r="C61" s="179">
        <v>43040</v>
      </c>
      <c r="D61" s="184">
        <v>102.8875</v>
      </c>
      <c r="E61" s="181">
        <v>1143000</v>
      </c>
    </row>
    <row r="62" spans="1:5" ht="15.75" x14ac:dyDescent="0.25">
      <c r="A62" s="200"/>
      <c r="B62" s="178" t="s">
        <v>398</v>
      </c>
      <c r="C62" s="179">
        <v>43070</v>
      </c>
      <c r="D62" s="184">
        <v>109.4</v>
      </c>
      <c r="E62" s="181">
        <v>1451000</v>
      </c>
    </row>
    <row r="63" spans="1:5" ht="15.75" x14ac:dyDescent="0.25">
      <c r="A63" s="200">
        <v>2018</v>
      </c>
      <c r="B63" s="178" t="s">
        <v>391</v>
      </c>
      <c r="C63" s="179">
        <v>43101</v>
      </c>
      <c r="D63" s="184">
        <v>134.52379999999999</v>
      </c>
      <c r="E63" s="181">
        <v>543000</v>
      </c>
    </row>
    <row r="64" spans="1:5" ht="15.75" x14ac:dyDescent="0.25">
      <c r="A64" s="200"/>
      <c r="B64" s="178" t="s">
        <v>392</v>
      </c>
      <c r="C64" s="179">
        <v>43132</v>
      </c>
      <c r="D64" s="184">
        <v>139.6447</v>
      </c>
      <c r="E64" s="181">
        <v>574000</v>
      </c>
    </row>
    <row r="65" spans="1:5" ht="15.75" x14ac:dyDescent="0.25">
      <c r="A65" s="200"/>
      <c r="B65" s="178" t="s">
        <v>393</v>
      </c>
      <c r="C65" s="179">
        <v>43160</v>
      </c>
      <c r="D65" s="184">
        <v>130.1429</v>
      </c>
      <c r="E65" s="181">
        <v>1181000</v>
      </c>
    </row>
    <row r="66" spans="1:5" ht="15.75" x14ac:dyDescent="0.25">
      <c r="A66" s="200"/>
      <c r="B66" s="178" t="s">
        <v>394</v>
      </c>
      <c r="C66" s="179">
        <v>43191</v>
      </c>
      <c r="D66" s="184">
        <v>149.119</v>
      </c>
      <c r="E66" s="181">
        <v>927000</v>
      </c>
    </row>
    <row r="67" spans="1:5" ht="15.75" x14ac:dyDescent="0.25">
      <c r="A67" s="200"/>
      <c r="B67" s="178" t="s">
        <v>393</v>
      </c>
      <c r="C67" s="179">
        <v>43221</v>
      </c>
      <c r="D67" s="184">
        <v>157.125</v>
      </c>
      <c r="E67" s="181">
        <v>847000</v>
      </c>
    </row>
    <row r="68" spans="1:5" ht="15.75" x14ac:dyDescent="0.25">
      <c r="A68" s="200"/>
      <c r="B68" s="178" t="s">
        <v>391</v>
      </c>
      <c r="C68" s="179">
        <v>43252</v>
      </c>
      <c r="D68" s="184">
        <v>179</v>
      </c>
      <c r="E68" s="181">
        <v>1093000</v>
      </c>
    </row>
    <row r="69" spans="1:5" ht="15.75" x14ac:dyDescent="0.25">
      <c r="A69" s="200"/>
      <c r="B69" s="178" t="s">
        <v>391</v>
      </c>
      <c r="C69" s="179">
        <v>43282</v>
      </c>
      <c r="D69" s="184">
        <v>186.2619</v>
      </c>
      <c r="E69" s="181">
        <v>1056000</v>
      </c>
    </row>
    <row r="70" spans="1:5" ht="15.75" x14ac:dyDescent="0.25">
      <c r="A70" s="200"/>
      <c r="B70" s="178" t="s">
        <v>394</v>
      </c>
      <c r="C70" s="179">
        <v>43313</v>
      </c>
      <c r="D70" s="184">
        <v>184.13040000000001</v>
      </c>
      <c r="E70" s="181">
        <v>722000</v>
      </c>
    </row>
    <row r="71" spans="1:5" ht="15.75" x14ac:dyDescent="0.25">
      <c r="A71" s="200"/>
      <c r="B71" s="178" t="s">
        <v>395</v>
      </c>
      <c r="C71" s="179">
        <v>43344</v>
      </c>
      <c r="D71" s="184">
        <v>183.2895</v>
      </c>
      <c r="E71" s="181">
        <v>1668000</v>
      </c>
    </row>
    <row r="72" spans="1:5" ht="15.75" x14ac:dyDescent="0.25">
      <c r="A72" s="200"/>
      <c r="B72" s="178" t="s">
        <v>396</v>
      </c>
      <c r="C72" s="179">
        <v>43374</v>
      </c>
      <c r="D72" s="184">
        <v>189.1848</v>
      </c>
      <c r="E72" s="181">
        <v>1172000</v>
      </c>
    </row>
    <row r="73" spans="1:5" ht="15.75" x14ac:dyDescent="0.25">
      <c r="A73" s="200"/>
      <c r="B73" s="178" t="s">
        <v>397</v>
      </c>
      <c r="C73" s="179">
        <v>43405</v>
      </c>
      <c r="D73" s="184">
        <v>188.36250000000001</v>
      </c>
      <c r="E73" s="181">
        <v>1345000</v>
      </c>
    </row>
    <row r="74" spans="1:5" ht="15.75" x14ac:dyDescent="0.25">
      <c r="A74" s="200"/>
      <c r="B74" s="178" t="s">
        <v>398</v>
      </c>
      <c r="C74" s="179">
        <v>43435</v>
      </c>
      <c r="D74" s="184">
        <v>196.66249999999999</v>
      </c>
      <c r="E74" s="181">
        <v>2205000</v>
      </c>
    </row>
    <row r="75" spans="1:5" ht="15.75" x14ac:dyDescent="0.25">
      <c r="A75" s="200">
        <v>2019</v>
      </c>
      <c r="B75" s="178" t="s">
        <v>391</v>
      </c>
      <c r="C75" s="179">
        <v>43466</v>
      </c>
      <c r="D75" s="184">
        <v>191.17259999999999</v>
      </c>
      <c r="E75" s="181">
        <v>548000</v>
      </c>
    </row>
    <row r="76" spans="1:5" ht="15.75" x14ac:dyDescent="0.25">
      <c r="A76" s="200"/>
      <c r="B76" s="178" t="s">
        <v>392</v>
      </c>
      <c r="C76" s="179">
        <v>43497</v>
      </c>
      <c r="D76" s="184">
        <v>195.55260000000001</v>
      </c>
      <c r="E76" s="181">
        <v>747000</v>
      </c>
    </row>
    <row r="77" spans="1:5" ht="15.75" x14ac:dyDescent="0.25">
      <c r="A77" s="200"/>
      <c r="B77" s="178" t="s">
        <v>393</v>
      </c>
      <c r="C77" s="179">
        <v>43525</v>
      </c>
      <c r="D77" s="184">
        <v>194.97620000000001</v>
      </c>
      <c r="E77" s="181">
        <v>1677000</v>
      </c>
    </row>
    <row r="78" spans="1:5" ht="15.75" x14ac:dyDescent="0.25">
      <c r="A78" s="200"/>
      <c r="B78" s="178" t="s">
        <v>394</v>
      </c>
      <c r="C78" s="179">
        <v>43556</v>
      </c>
      <c r="D78" s="184">
        <v>185.82140000000001</v>
      </c>
      <c r="E78" s="181">
        <v>1299000</v>
      </c>
    </row>
    <row r="79" spans="1:5" ht="15.75" x14ac:dyDescent="0.25">
      <c r="A79" s="200"/>
      <c r="B79" s="178" t="s">
        <v>393</v>
      </c>
      <c r="C79" s="179">
        <v>43586</v>
      </c>
      <c r="D79" s="184">
        <v>187.4091</v>
      </c>
      <c r="E79" s="181">
        <v>408000</v>
      </c>
    </row>
    <row r="80" spans="1:5" ht="15.75" x14ac:dyDescent="0.25">
      <c r="A80" s="200"/>
      <c r="B80" s="178" t="s">
        <v>391</v>
      </c>
      <c r="C80" s="179">
        <v>43617</v>
      </c>
      <c r="D80" s="184">
        <v>191.7</v>
      </c>
      <c r="E80" s="181">
        <v>875000</v>
      </c>
    </row>
    <row r="81" spans="1:5" ht="15.75" x14ac:dyDescent="0.25">
      <c r="A81" s="200"/>
      <c r="B81" s="178" t="s">
        <v>391</v>
      </c>
      <c r="C81" s="179">
        <v>43647</v>
      </c>
      <c r="D81" s="184">
        <v>196.75</v>
      </c>
      <c r="E81" s="181">
        <v>1574000</v>
      </c>
    </row>
    <row r="82" spans="1:5" ht="15.75" x14ac:dyDescent="0.25">
      <c r="A82" s="200"/>
      <c r="B82" s="178" t="s">
        <v>394</v>
      </c>
      <c r="C82" s="179">
        <v>43678</v>
      </c>
      <c r="D82" s="184">
        <v>196.875</v>
      </c>
      <c r="E82" s="181">
        <v>929000</v>
      </c>
    </row>
    <row r="83" spans="1:5" ht="15.75" x14ac:dyDescent="0.25">
      <c r="A83" s="200"/>
      <c r="B83" s="178" t="s">
        <v>395</v>
      </c>
      <c r="C83" s="179">
        <v>43709</v>
      </c>
      <c r="D83" s="184">
        <v>199.6063</v>
      </c>
      <c r="E83" s="181">
        <v>1176000</v>
      </c>
    </row>
    <row r="84" spans="1:5" ht="15.75" x14ac:dyDescent="0.25">
      <c r="A84" s="200"/>
      <c r="B84" s="178" t="s">
        <v>396</v>
      </c>
      <c r="C84" s="179">
        <v>43739</v>
      </c>
      <c r="D84" s="184">
        <v>202.9239</v>
      </c>
      <c r="E84" s="181">
        <v>1990000</v>
      </c>
    </row>
    <row r="85" spans="1:5" ht="15.75" x14ac:dyDescent="0.25">
      <c r="A85" s="200"/>
      <c r="B85" s="178" t="s">
        <v>397</v>
      </c>
      <c r="C85" s="179">
        <v>43770</v>
      </c>
      <c r="D85" s="184">
        <v>207.88159999999999</v>
      </c>
      <c r="E85" s="181">
        <v>705000</v>
      </c>
    </row>
    <row r="86" spans="1:5" ht="15.75" x14ac:dyDescent="0.25">
      <c r="A86" s="200"/>
      <c r="B86" s="178" t="s">
        <v>398</v>
      </c>
      <c r="C86" s="179">
        <v>43800</v>
      </c>
      <c r="D86" s="184">
        <v>206.46430000000001</v>
      </c>
      <c r="E86" s="181">
        <v>2216000</v>
      </c>
    </row>
    <row r="87" spans="1:5" ht="15.75" x14ac:dyDescent="0.25">
      <c r="A87" s="200">
        <v>2020</v>
      </c>
      <c r="B87" s="178" t="s">
        <v>391</v>
      </c>
      <c r="C87" s="179">
        <v>43831</v>
      </c>
      <c r="D87" s="184">
        <v>209.13300000000001</v>
      </c>
      <c r="E87" s="181">
        <v>1895000</v>
      </c>
    </row>
    <row r="88" spans="1:5" ht="15.75" x14ac:dyDescent="0.25">
      <c r="A88" s="200"/>
      <c r="B88" s="178" t="s">
        <v>392</v>
      </c>
      <c r="C88" s="179">
        <v>43862</v>
      </c>
      <c r="D88" s="184">
        <v>210.36840000000001</v>
      </c>
      <c r="E88" s="181">
        <v>581000</v>
      </c>
    </row>
    <row r="89" spans="1:5" ht="15.75" x14ac:dyDescent="0.25">
      <c r="A89" s="200"/>
      <c r="B89" s="178" t="s">
        <v>393</v>
      </c>
      <c r="C89" s="179">
        <v>43891</v>
      </c>
      <c r="D89" s="184">
        <v>199.5</v>
      </c>
      <c r="E89" s="181">
        <v>2312000</v>
      </c>
    </row>
    <row r="90" spans="1:5" ht="15.75" x14ac:dyDescent="0.25">
      <c r="A90" s="200"/>
      <c r="B90" s="178" t="s">
        <v>394</v>
      </c>
      <c r="C90" s="179">
        <v>43922</v>
      </c>
      <c r="D90" s="184">
        <v>193.21430000000001</v>
      </c>
      <c r="E90" s="181">
        <v>4098000</v>
      </c>
    </row>
    <row r="91" spans="1:5" ht="15.75" x14ac:dyDescent="0.25">
      <c r="A91" s="200"/>
      <c r="B91" s="178" t="s">
        <v>393</v>
      </c>
      <c r="C91" s="179">
        <v>43952</v>
      </c>
      <c r="D91" s="184">
        <v>201.95</v>
      </c>
      <c r="E91" s="181">
        <v>470000</v>
      </c>
    </row>
    <row r="92" spans="1:5" ht="15.75" x14ac:dyDescent="0.25">
      <c r="A92" s="200"/>
      <c r="B92" s="178" t="s">
        <v>391</v>
      </c>
      <c r="C92" s="179">
        <v>43983</v>
      </c>
      <c r="D92" s="184">
        <v>208.7955</v>
      </c>
      <c r="E92" s="181">
        <v>1059000</v>
      </c>
    </row>
    <row r="93" spans="1:5" ht="15.75" x14ac:dyDescent="0.25">
      <c r="A93" s="200"/>
      <c r="B93" s="178" t="s">
        <v>391</v>
      </c>
      <c r="C93" s="179">
        <v>44013</v>
      </c>
      <c r="D93" s="184">
        <v>197.6591</v>
      </c>
      <c r="E93" s="181">
        <v>2509000</v>
      </c>
    </row>
    <row r="94" spans="1:5" ht="15.75" x14ac:dyDescent="0.25">
      <c r="A94" s="200"/>
      <c r="B94" s="178" t="s">
        <v>394</v>
      </c>
      <c r="C94" s="179">
        <v>44044</v>
      </c>
      <c r="D94" s="184">
        <v>192.42859999999999</v>
      </c>
      <c r="E94" s="181">
        <v>857000</v>
      </c>
    </row>
    <row r="95" spans="1:5" ht="15.75" x14ac:dyDescent="0.25">
      <c r="A95" s="200"/>
      <c r="B95" s="178" t="s">
        <v>395</v>
      </c>
      <c r="C95" s="179">
        <v>44075</v>
      </c>
      <c r="D95" s="184">
        <v>197.2619</v>
      </c>
      <c r="E95" s="181">
        <v>1553000</v>
      </c>
    </row>
    <row r="96" spans="1:5" ht="15.75" x14ac:dyDescent="0.25">
      <c r="A96" s="200"/>
      <c r="B96" s="178" t="s">
        <v>396</v>
      </c>
      <c r="C96" s="179">
        <v>44105</v>
      </c>
      <c r="D96" s="184">
        <v>195.77269999999999</v>
      </c>
      <c r="E96" s="181">
        <v>2237000</v>
      </c>
    </row>
    <row r="97" spans="1:5" ht="15.75" x14ac:dyDescent="0.25">
      <c r="A97" s="200"/>
      <c r="B97" s="178" t="s">
        <v>397</v>
      </c>
      <c r="C97" s="179">
        <v>44136</v>
      </c>
      <c r="D97" s="184">
        <v>198.72370000000001</v>
      </c>
      <c r="E97" s="181">
        <v>1207000</v>
      </c>
    </row>
    <row r="98" spans="1:5" ht="15.75" x14ac:dyDescent="0.25">
      <c r="A98" s="200"/>
      <c r="B98" s="178" t="s">
        <v>398</v>
      </c>
      <c r="C98" s="179">
        <v>44166</v>
      </c>
      <c r="D98" s="184">
        <v>198.97730000000001</v>
      </c>
      <c r="E98" s="181">
        <v>2997000</v>
      </c>
    </row>
    <row r="99" spans="1:5" ht="15.75" x14ac:dyDescent="0.25">
      <c r="A99" s="200">
        <v>2021</v>
      </c>
      <c r="B99" s="178" t="s">
        <v>391</v>
      </c>
      <c r="C99" s="179">
        <v>44197</v>
      </c>
      <c r="D99" s="184">
        <v>199.8355</v>
      </c>
      <c r="E99" s="181">
        <v>2176000</v>
      </c>
    </row>
    <row r="100" spans="1:5" ht="15.75" x14ac:dyDescent="0.25">
      <c r="A100" s="200"/>
      <c r="B100" s="178" t="s">
        <v>392</v>
      </c>
      <c r="C100" s="179">
        <v>44228</v>
      </c>
      <c r="D100" s="184">
        <v>192.9605</v>
      </c>
      <c r="E100" s="181">
        <v>1019000</v>
      </c>
    </row>
    <row r="101" spans="1:5" ht="15.75" x14ac:dyDescent="0.25">
      <c r="A101" s="200"/>
      <c r="B101" s="178" t="s">
        <v>393</v>
      </c>
      <c r="C101" s="179">
        <v>44256</v>
      </c>
      <c r="D101" s="184">
        <v>192.99459999999999</v>
      </c>
      <c r="E101" s="181">
        <v>3490000</v>
      </c>
    </row>
    <row r="102" spans="1:5" ht="15.75" x14ac:dyDescent="0.25">
      <c r="A102" s="200"/>
      <c r="B102" s="178" t="s">
        <v>394</v>
      </c>
      <c r="C102" s="179">
        <v>44287</v>
      </c>
      <c r="D102" s="184">
        <v>177.96430000000001</v>
      </c>
      <c r="E102" s="181">
        <v>3445000</v>
      </c>
    </row>
    <row r="103" spans="1:5" ht="15.75" x14ac:dyDescent="0.25">
      <c r="A103" s="200"/>
      <c r="B103" s="178" t="s">
        <v>393</v>
      </c>
      <c r="C103" s="179">
        <v>44317</v>
      </c>
      <c r="D103" s="184">
        <v>187.78749999999999</v>
      </c>
      <c r="E103" s="181">
        <v>791000</v>
      </c>
    </row>
    <row r="104" spans="1:5" ht="15.75" x14ac:dyDescent="0.25">
      <c r="A104" s="200"/>
      <c r="B104" s="178" t="s">
        <v>391</v>
      </c>
      <c r="C104" s="179">
        <v>44348</v>
      </c>
      <c r="D104" s="184">
        <v>189.01140000000001</v>
      </c>
      <c r="E104" s="181">
        <v>1873000</v>
      </c>
    </row>
    <row r="105" spans="1:5" ht="15.75" x14ac:dyDescent="0.25">
      <c r="A105" s="200"/>
      <c r="B105" s="178" t="s">
        <v>391</v>
      </c>
      <c r="C105" s="179">
        <v>44378</v>
      </c>
      <c r="D105" s="184">
        <v>179.2619</v>
      </c>
      <c r="E105" s="181">
        <v>2125000</v>
      </c>
    </row>
    <row r="106" spans="1:5" ht="15.75" x14ac:dyDescent="0.25">
      <c r="A106" s="200"/>
      <c r="B106" s="178" t="s">
        <v>394</v>
      </c>
      <c r="C106" s="179">
        <v>44409</v>
      </c>
      <c r="D106" s="184">
        <v>180.51140000000001</v>
      </c>
      <c r="E106" s="181">
        <v>709000</v>
      </c>
    </row>
    <row r="107" spans="1:5" ht="15.75" x14ac:dyDescent="0.25">
      <c r="A107" s="200"/>
      <c r="B107" s="178" t="s">
        <v>395</v>
      </c>
      <c r="C107" s="179">
        <v>44440</v>
      </c>
      <c r="D107" s="184">
        <v>166.91669999999999</v>
      </c>
      <c r="E107" s="181">
        <v>1518000</v>
      </c>
    </row>
    <row r="108" spans="1:5" ht="15.75" x14ac:dyDescent="0.25">
      <c r="A108" s="200"/>
      <c r="B108" s="178" t="s">
        <v>396</v>
      </c>
      <c r="C108" s="179">
        <v>44470</v>
      </c>
      <c r="D108" s="184">
        <v>167.67859999999999</v>
      </c>
      <c r="E108" s="181"/>
    </row>
    <row r="109" spans="1:5" ht="15.75" x14ac:dyDescent="0.25">
      <c r="A109" s="200"/>
      <c r="B109" s="178" t="s">
        <v>397</v>
      </c>
      <c r="C109" s="179">
        <v>44501</v>
      </c>
      <c r="D109" s="184"/>
      <c r="E109" s="181"/>
    </row>
    <row r="110" spans="1:5" ht="15.75" x14ac:dyDescent="0.25">
      <c r="A110" s="200"/>
      <c r="B110" s="178" t="s">
        <v>398</v>
      </c>
      <c r="C110" s="179">
        <v>44531</v>
      </c>
      <c r="D110" s="184"/>
      <c r="E110" s="181"/>
    </row>
  </sheetData>
  <mergeCells count="9">
    <mergeCell ref="A75:A86"/>
    <mergeCell ref="A87:A98"/>
    <mergeCell ref="A99:A110"/>
    <mergeCell ref="A3:A14"/>
    <mergeCell ref="A15:A26"/>
    <mergeCell ref="A27:A38"/>
    <mergeCell ref="A39:A50"/>
    <mergeCell ref="A51:A62"/>
    <mergeCell ref="A63:A74"/>
  </mergeCells>
  <hyperlinks>
    <hyperlink ref="I2" r:id="rId1" xr:uid="{CD4CAD59-DC89-4689-A1FA-099EA46024B9}"/>
  </hyperlinks>
  <pageMargins left="0.7" right="0.7" top="0.75" bottom="0.75" header="0.3" footer="0.3"/>
  <pageSetup orientation="portrait" r:id="rId2"/>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5E71F-9702-4BA1-A313-F7973908BEE2}">
  <dimension ref="A2:R32"/>
  <sheetViews>
    <sheetView zoomScale="70" zoomScaleNormal="70" workbookViewId="0">
      <selection activeCell="A6" sqref="A6"/>
    </sheetView>
  </sheetViews>
  <sheetFormatPr defaultColWidth="9.140625" defaultRowHeight="15" x14ac:dyDescent="0.25"/>
  <cols>
    <col min="1" max="1" width="28.42578125" style="172" bestFit="1" customWidth="1"/>
    <col min="2" max="7" width="16.85546875" style="172" bestFit="1" customWidth="1"/>
    <col min="8" max="11" width="16.85546875" style="172" customWidth="1"/>
    <col min="12" max="12" width="9.140625" style="172"/>
    <col min="13" max="13" width="35.42578125" style="172" bestFit="1" customWidth="1"/>
    <col min="14" max="14" width="14.42578125" style="172" bestFit="1" customWidth="1"/>
    <col min="15" max="16" width="14.85546875" style="172" bestFit="1" customWidth="1"/>
    <col min="17" max="19" width="14.42578125" style="172" bestFit="1" customWidth="1"/>
    <col min="20" max="21" width="14.85546875" style="172" bestFit="1" customWidth="1"/>
    <col min="22" max="23" width="14.42578125" style="172" bestFit="1" customWidth="1"/>
    <col min="24" max="16384" width="9.140625" style="172"/>
  </cols>
  <sheetData>
    <row r="2" spans="1:15" x14ac:dyDescent="0.25">
      <c r="B2" s="187">
        <v>2011</v>
      </c>
      <c r="C2" s="187">
        <v>2012</v>
      </c>
      <c r="D2" s="187">
        <v>2013</v>
      </c>
      <c r="E2" s="187">
        <v>2014</v>
      </c>
      <c r="F2" s="187">
        <v>2015</v>
      </c>
      <c r="G2" s="187">
        <v>2016</v>
      </c>
      <c r="H2" s="187">
        <v>2017</v>
      </c>
      <c r="I2" s="187">
        <v>2018</v>
      </c>
      <c r="J2" s="187">
        <v>2019</v>
      </c>
      <c r="K2" s="187">
        <v>2020</v>
      </c>
      <c r="M2" s="188"/>
      <c r="O2" s="188"/>
    </row>
    <row r="3" spans="1:15" x14ac:dyDescent="0.25">
      <c r="A3" s="172" t="s">
        <v>371</v>
      </c>
      <c r="B3" s="189">
        <v>511840</v>
      </c>
      <c r="C3" s="189">
        <v>1955647</v>
      </c>
      <c r="D3" s="189">
        <v>29687238</v>
      </c>
      <c r="E3" s="189">
        <v>29816319</v>
      </c>
      <c r="F3" s="189">
        <v>66056177</v>
      </c>
      <c r="G3" s="189">
        <v>105849665</v>
      </c>
      <c r="H3" s="189">
        <v>98910075</v>
      </c>
      <c r="I3" s="189">
        <v>133878529</v>
      </c>
      <c r="J3" s="189">
        <v>100688806</v>
      </c>
      <c r="K3" s="189">
        <v>96173200</v>
      </c>
    </row>
    <row r="4" spans="1:15" x14ac:dyDescent="0.25">
      <c r="A4" s="172" t="s">
        <v>373</v>
      </c>
      <c r="B4" s="189">
        <v>2250612</v>
      </c>
      <c r="C4" s="189">
        <v>3722208</v>
      </c>
      <c r="D4" s="189">
        <v>2178652</v>
      </c>
      <c r="E4" s="189">
        <v>4073779</v>
      </c>
      <c r="F4" s="189">
        <v>27401293</v>
      </c>
      <c r="G4" s="189">
        <v>21379836</v>
      </c>
      <c r="H4" s="189">
        <v>33296484</v>
      </c>
      <c r="I4" s="189">
        <v>10513100</v>
      </c>
      <c r="J4" s="189">
        <v>4293192</v>
      </c>
      <c r="K4" s="189">
        <v>11921211</v>
      </c>
      <c r="N4" s="190"/>
      <c r="O4" s="188"/>
    </row>
    <row r="5" spans="1:15" x14ac:dyDescent="0.25">
      <c r="A5" s="172" t="s">
        <v>374</v>
      </c>
      <c r="B5" s="189">
        <v>1343075076</v>
      </c>
      <c r="C5" s="189">
        <v>1274561860</v>
      </c>
      <c r="D5" s="189">
        <v>1139494307</v>
      </c>
      <c r="E5" s="189">
        <v>1229164417</v>
      </c>
      <c r="F5" s="189">
        <v>1257829168</v>
      </c>
      <c r="G5" s="189">
        <v>1393309348</v>
      </c>
      <c r="H5" s="189">
        <v>1304775248</v>
      </c>
      <c r="I5" s="189">
        <v>1271407774</v>
      </c>
      <c r="J5" s="189">
        <v>1132597256</v>
      </c>
      <c r="K5" s="189">
        <v>991066490</v>
      </c>
      <c r="M5" s="188"/>
    </row>
    <row r="6" spans="1:15" x14ac:dyDescent="0.25">
      <c r="A6" s="172" t="s">
        <v>375</v>
      </c>
      <c r="B6" s="189">
        <v>0</v>
      </c>
      <c r="C6" s="189">
        <v>7844136</v>
      </c>
      <c r="D6" s="189">
        <v>0</v>
      </c>
      <c r="E6" s="189">
        <v>5598232</v>
      </c>
      <c r="F6" s="189">
        <v>2678889</v>
      </c>
      <c r="G6" s="189">
        <v>22241229</v>
      </c>
      <c r="H6" s="189">
        <v>54532996</v>
      </c>
      <c r="I6" s="189">
        <v>54136863</v>
      </c>
      <c r="J6" s="189">
        <v>127883417</v>
      </c>
      <c r="K6" s="189">
        <v>132608942</v>
      </c>
    </row>
    <row r="7" spans="1:15" x14ac:dyDescent="0.25">
      <c r="A7" s="172" t="s">
        <v>376</v>
      </c>
      <c r="B7" s="189">
        <v>35496520</v>
      </c>
      <c r="C7" s="189">
        <v>76643488</v>
      </c>
      <c r="D7" s="189">
        <v>134020035</v>
      </c>
      <c r="E7" s="189">
        <v>2458998</v>
      </c>
      <c r="F7" s="189">
        <v>38277298</v>
      </c>
      <c r="G7" s="189">
        <v>8394176</v>
      </c>
      <c r="H7" s="189">
        <v>22577917</v>
      </c>
      <c r="I7" s="189">
        <v>44366825</v>
      </c>
      <c r="J7" s="189">
        <v>87552223</v>
      </c>
      <c r="K7" s="189">
        <v>56669143</v>
      </c>
    </row>
    <row r="8" spans="1:15" x14ac:dyDescent="0.25">
      <c r="A8" s="172" t="s">
        <v>377</v>
      </c>
      <c r="B8" s="189">
        <v>0</v>
      </c>
      <c r="C8" s="189">
        <v>5897579</v>
      </c>
      <c r="D8" s="189">
        <v>98516218</v>
      </c>
      <c r="E8" s="189">
        <v>102089840</v>
      </c>
      <c r="F8" s="189">
        <v>123278619</v>
      </c>
      <c r="G8" s="189">
        <v>204003550</v>
      </c>
      <c r="H8" s="189">
        <v>303749629</v>
      </c>
      <c r="I8" s="189">
        <v>334482511</v>
      </c>
      <c r="J8" s="189">
        <v>425036239</v>
      </c>
      <c r="K8" s="189">
        <v>292272375</v>
      </c>
      <c r="M8" s="188"/>
    </row>
    <row r="9" spans="1:15" x14ac:dyDescent="0.25">
      <c r="A9" s="172" t="s">
        <v>378</v>
      </c>
      <c r="B9" s="189">
        <v>0</v>
      </c>
      <c r="C9" s="189">
        <v>0</v>
      </c>
      <c r="D9" s="189">
        <v>15345507</v>
      </c>
      <c r="E9" s="189">
        <v>6416602</v>
      </c>
      <c r="F9" s="189">
        <v>37955543</v>
      </c>
      <c r="G9" s="189">
        <v>20127311</v>
      </c>
      <c r="H9" s="189">
        <v>0</v>
      </c>
      <c r="I9" s="189">
        <v>16927293</v>
      </c>
      <c r="J9" s="189">
        <v>0</v>
      </c>
      <c r="K9" s="189">
        <v>0</v>
      </c>
    </row>
    <row r="10" spans="1:15" x14ac:dyDescent="0.25">
      <c r="A10" s="172" t="s">
        <v>379</v>
      </c>
      <c r="B10" s="189">
        <v>8390517</v>
      </c>
      <c r="C10" s="189">
        <v>13602277</v>
      </c>
      <c r="D10" s="189">
        <v>19391148</v>
      </c>
      <c r="E10" s="189">
        <v>26496762</v>
      </c>
      <c r="F10" s="189">
        <v>28591714</v>
      </c>
      <c r="G10" s="189">
        <v>33523404</v>
      </c>
      <c r="H10" s="189">
        <v>35168640</v>
      </c>
      <c r="I10" s="189">
        <v>38223336</v>
      </c>
      <c r="J10" s="189">
        <v>39611099</v>
      </c>
      <c r="K10" s="189">
        <v>34601970</v>
      </c>
    </row>
    <row r="11" spans="1:15" x14ac:dyDescent="0.25">
      <c r="A11" s="172" t="s">
        <v>380</v>
      </c>
      <c r="B11" s="189">
        <v>3898423</v>
      </c>
      <c r="C11" s="189">
        <v>2932149</v>
      </c>
      <c r="D11" s="189">
        <v>8439327</v>
      </c>
      <c r="E11" s="189">
        <v>3751833</v>
      </c>
      <c r="F11" s="189">
        <v>4969070</v>
      </c>
      <c r="G11" s="189">
        <v>7332603</v>
      </c>
      <c r="H11" s="189">
        <v>6015940</v>
      </c>
      <c r="I11" s="189">
        <v>3671409</v>
      </c>
      <c r="J11" s="189">
        <v>1694794</v>
      </c>
      <c r="K11" s="189">
        <v>894756</v>
      </c>
    </row>
    <row r="12" spans="1:15" x14ac:dyDescent="0.25">
      <c r="A12" s="172" t="s">
        <v>381</v>
      </c>
      <c r="B12" s="189">
        <v>148437435</v>
      </c>
      <c r="C12" s="189">
        <v>160505415</v>
      </c>
      <c r="D12" s="189">
        <v>152365420</v>
      </c>
      <c r="E12" s="189">
        <v>195799292</v>
      </c>
      <c r="F12" s="189">
        <v>197426974</v>
      </c>
      <c r="G12" s="189">
        <v>184644224</v>
      </c>
      <c r="H12" s="189">
        <v>208675919</v>
      </c>
      <c r="I12" s="189">
        <v>218002176</v>
      </c>
      <c r="J12" s="189">
        <v>208814136</v>
      </c>
      <c r="K12" s="189">
        <v>118863820</v>
      </c>
    </row>
    <row r="13" spans="1:15" x14ac:dyDescent="0.25">
      <c r="A13" s="172" t="s">
        <v>382</v>
      </c>
      <c r="B13" s="189">
        <v>567192</v>
      </c>
      <c r="C13" s="189">
        <v>327541</v>
      </c>
      <c r="D13" s="189">
        <v>556943</v>
      </c>
      <c r="E13" s="189">
        <v>747504</v>
      </c>
      <c r="F13" s="189">
        <v>932979</v>
      </c>
      <c r="G13" s="189">
        <v>972370</v>
      </c>
      <c r="H13" s="189">
        <v>629295</v>
      </c>
      <c r="I13" s="189">
        <v>1439578</v>
      </c>
      <c r="J13" s="189">
        <v>1124534</v>
      </c>
      <c r="K13" s="189">
        <v>1035703</v>
      </c>
    </row>
    <row r="14" spans="1:15" x14ac:dyDescent="0.25">
      <c r="A14" s="172" t="s">
        <v>383</v>
      </c>
      <c r="B14" s="189">
        <v>0</v>
      </c>
      <c r="C14" s="189">
        <v>4931730</v>
      </c>
      <c r="D14" s="189">
        <v>0</v>
      </c>
      <c r="E14" s="189">
        <v>0</v>
      </c>
      <c r="F14" s="189">
        <v>0</v>
      </c>
      <c r="G14" s="189">
        <v>0</v>
      </c>
      <c r="H14" s="189">
        <v>0</v>
      </c>
      <c r="I14" s="189">
        <v>0</v>
      </c>
      <c r="J14" s="189">
        <v>0</v>
      </c>
      <c r="K14" s="189">
        <v>0</v>
      </c>
    </row>
    <row r="15" spans="1:15" x14ac:dyDescent="0.25">
      <c r="A15" s="172" t="s">
        <v>384</v>
      </c>
      <c r="B15" s="189">
        <v>1803488</v>
      </c>
      <c r="C15" s="189">
        <v>2917328</v>
      </c>
      <c r="D15" s="189">
        <v>3450194</v>
      </c>
      <c r="E15" s="189">
        <v>4338427</v>
      </c>
      <c r="F15" s="189">
        <v>3921776</v>
      </c>
      <c r="G15" s="189">
        <v>31356925</v>
      </c>
      <c r="H15" s="189">
        <v>32966368</v>
      </c>
      <c r="I15" s="189">
        <v>32391148</v>
      </c>
      <c r="J15" s="189">
        <v>14971757</v>
      </c>
      <c r="K15" s="189">
        <v>0</v>
      </c>
    </row>
    <row r="16" spans="1:15" x14ac:dyDescent="0.25">
      <c r="A16" s="172" t="s">
        <v>385</v>
      </c>
      <c r="B16" s="189">
        <v>0</v>
      </c>
      <c r="C16" s="189">
        <v>0</v>
      </c>
      <c r="D16" s="189">
        <v>0</v>
      </c>
      <c r="E16" s="189">
        <v>0</v>
      </c>
      <c r="F16" s="189">
        <v>0</v>
      </c>
      <c r="G16" s="189">
        <v>352369</v>
      </c>
      <c r="H16" s="189">
        <v>0</v>
      </c>
      <c r="I16" s="189">
        <v>0</v>
      </c>
      <c r="J16" s="189">
        <v>0</v>
      </c>
      <c r="K16" s="189">
        <v>0</v>
      </c>
    </row>
    <row r="17" spans="1:18" x14ac:dyDescent="0.25">
      <c r="B17" s="189"/>
      <c r="C17" s="189"/>
      <c r="D17" s="189"/>
      <c r="E17" s="189"/>
      <c r="F17" s="189"/>
      <c r="G17" s="189"/>
      <c r="H17" s="189"/>
      <c r="I17" s="189"/>
      <c r="J17" s="189"/>
      <c r="K17" s="189"/>
    </row>
    <row r="18" spans="1:18" x14ac:dyDescent="0.25">
      <c r="A18" s="172" t="s">
        <v>399</v>
      </c>
      <c r="B18" s="189"/>
      <c r="C18" s="189"/>
      <c r="D18" s="189"/>
      <c r="E18" s="189"/>
      <c r="F18" s="189"/>
      <c r="G18" s="189"/>
      <c r="H18" s="189"/>
      <c r="I18" s="189"/>
      <c r="J18" s="189"/>
      <c r="K18" s="189"/>
    </row>
    <row r="19" spans="1:18" x14ac:dyDescent="0.25">
      <c r="A19" s="172" t="s">
        <v>400</v>
      </c>
      <c r="B19" s="189">
        <v>557355</v>
      </c>
      <c r="C19" s="189">
        <v>2129550</v>
      </c>
      <c r="D19" s="189">
        <v>32327129</v>
      </c>
      <c r="E19" s="189">
        <v>32467688</v>
      </c>
      <c r="F19" s="189">
        <v>71930118</v>
      </c>
      <c r="G19" s="189">
        <v>115262179</v>
      </c>
      <c r="H19" s="189">
        <v>107705497</v>
      </c>
      <c r="I19" s="189">
        <v>145783466</v>
      </c>
      <c r="J19" s="189">
        <v>109642399</v>
      </c>
      <c r="K19" s="189">
        <v>104725250</v>
      </c>
    </row>
    <row r="20" spans="1:18" x14ac:dyDescent="0.25">
      <c r="A20" s="172" t="s">
        <v>401</v>
      </c>
      <c r="B20" s="189">
        <v>2450744</v>
      </c>
      <c r="C20" s="189">
        <v>4053199</v>
      </c>
      <c r="D20" s="189">
        <v>2372385</v>
      </c>
      <c r="E20" s="189">
        <v>4436033</v>
      </c>
      <c r="F20" s="189">
        <v>29837910</v>
      </c>
      <c r="G20" s="189">
        <v>23281004</v>
      </c>
      <c r="H20" s="189">
        <v>36257321</v>
      </c>
      <c r="I20" s="189">
        <v>11447961</v>
      </c>
      <c r="J20" s="189">
        <v>4674957</v>
      </c>
      <c r="K20" s="189">
        <v>12981286</v>
      </c>
    </row>
    <row r="21" spans="1:18" x14ac:dyDescent="0.25">
      <c r="A21" s="172" t="s">
        <v>402</v>
      </c>
      <c r="B21" s="189">
        <v>945126900</v>
      </c>
      <c r="C21" s="189">
        <v>896913896</v>
      </c>
      <c r="D21" s="189">
        <v>801866360</v>
      </c>
      <c r="E21" s="189">
        <v>864967548</v>
      </c>
      <c r="F21" s="189">
        <v>885139039</v>
      </c>
      <c r="G21" s="189">
        <v>980476943</v>
      </c>
      <c r="H21" s="189">
        <v>918175170</v>
      </c>
      <c r="I21" s="189">
        <v>894694355</v>
      </c>
      <c r="J21" s="189">
        <v>797012880</v>
      </c>
      <c r="K21" s="189">
        <v>697417156</v>
      </c>
    </row>
    <row r="22" spans="1:18" x14ac:dyDescent="0.25">
      <c r="A22" s="172" t="s">
        <v>403</v>
      </c>
      <c r="B22" s="189">
        <v>0</v>
      </c>
      <c r="C22" s="189">
        <v>5519948</v>
      </c>
      <c r="D22" s="189">
        <v>0</v>
      </c>
      <c r="E22" s="189">
        <v>3939497</v>
      </c>
      <c r="F22" s="189">
        <v>1885144</v>
      </c>
      <c r="G22" s="189">
        <v>15651235</v>
      </c>
      <c r="H22" s="189">
        <v>38375071</v>
      </c>
      <c r="I22" s="189">
        <v>38096311</v>
      </c>
      <c r="J22" s="189">
        <v>89992034</v>
      </c>
      <c r="K22" s="189">
        <v>93317403</v>
      </c>
    </row>
    <row r="23" spans="1:18" x14ac:dyDescent="0.25">
      <c r="A23" s="172" t="s">
        <v>404</v>
      </c>
      <c r="B23" s="189">
        <v>24979032</v>
      </c>
      <c r="C23" s="189">
        <v>53934306</v>
      </c>
      <c r="D23" s="189">
        <v>94310395</v>
      </c>
      <c r="E23" s="189">
        <v>1730406</v>
      </c>
      <c r="F23" s="189">
        <v>26935876</v>
      </c>
      <c r="G23" s="189">
        <v>5907013</v>
      </c>
      <c r="H23" s="189">
        <v>15888164</v>
      </c>
      <c r="I23" s="189">
        <v>31221099</v>
      </c>
      <c r="J23" s="189">
        <v>61610823</v>
      </c>
      <c r="K23" s="189">
        <v>39878286</v>
      </c>
    </row>
    <row r="24" spans="1:18" x14ac:dyDescent="0.25">
      <c r="A24" s="172" t="s">
        <v>405</v>
      </c>
      <c r="B24" s="189">
        <v>0</v>
      </c>
      <c r="C24" s="189">
        <v>6601236</v>
      </c>
      <c r="D24" s="189">
        <v>110270461</v>
      </c>
      <c r="E24" s="189">
        <v>114270463</v>
      </c>
      <c r="F24" s="189">
        <v>137987334</v>
      </c>
      <c r="G24" s="189">
        <v>228343781</v>
      </c>
      <c r="H24" s="189">
        <v>339990842</v>
      </c>
      <c r="I24" s="189">
        <v>374390550</v>
      </c>
      <c r="J24" s="189">
        <v>475748494</v>
      </c>
      <c r="K24" s="189">
        <v>327144204</v>
      </c>
    </row>
    <row r="25" spans="1:18" x14ac:dyDescent="0.25">
      <c r="A25" s="172" t="s">
        <v>406</v>
      </c>
      <c r="B25" s="189">
        <v>0</v>
      </c>
      <c r="C25" s="189">
        <v>0</v>
      </c>
      <c r="D25" s="189">
        <v>17176422</v>
      </c>
      <c r="E25" s="189">
        <v>7182185</v>
      </c>
      <c r="F25" s="189">
        <v>42484124</v>
      </c>
      <c r="G25" s="189">
        <v>22528756</v>
      </c>
      <c r="H25" s="189">
        <v>0</v>
      </c>
      <c r="I25" s="189">
        <v>18946935</v>
      </c>
      <c r="J25" s="189">
        <v>0</v>
      </c>
      <c r="K25" s="189">
        <v>0</v>
      </c>
    </row>
    <row r="26" spans="1:18" x14ac:dyDescent="0.25">
      <c r="A26" s="172" t="s">
        <v>379</v>
      </c>
      <c r="B26" s="189">
        <v>9136630</v>
      </c>
      <c r="C26" s="189">
        <v>14811838</v>
      </c>
      <c r="D26" s="189">
        <v>21115475</v>
      </c>
      <c r="E26" s="189">
        <v>28852945</v>
      </c>
      <c r="F26" s="189">
        <v>31134187</v>
      </c>
      <c r="G26" s="189">
        <v>36504420</v>
      </c>
      <c r="H26" s="189">
        <v>38295956</v>
      </c>
      <c r="I26" s="189">
        <v>41622286</v>
      </c>
      <c r="J26" s="189">
        <v>43133453</v>
      </c>
      <c r="K26" s="189">
        <v>37678896</v>
      </c>
      <c r="M26" s="191" t="s">
        <v>277</v>
      </c>
      <c r="N26" s="192">
        <v>2011</v>
      </c>
      <c r="O26" s="192">
        <v>2012</v>
      </c>
      <c r="P26" s="192">
        <v>2013</v>
      </c>
      <c r="Q26" s="192">
        <v>2014</v>
      </c>
      <c r="R26" s="192">
        <v>2015</v>
      </c>
    </row>
    <row r="27" spans="1:18" ht="30" customHeight="1" x14ac:dyDescent="0.25">
      <c r="A27" s="172" t="s">
        <v>380</v>
      </c>
      <c r="B27" s="189">
        <v>4245084</v>
      </c>
      <c r="C27" s="189">
        <v>3192886</v>
      </c>
      <c r="D27" s="189">
        <v>9189781</v>
      </c>
      <c r="E27" s="189">
        <v>4085459</v>
      </c>
      <c r="F27" s="189">
        <v>5410937</v>
      </c>
      <c r="G27" s="189">
        <v>7984643</v>
      </c>
      <c r="H27" s="189">
        <v>6550898</v>
      </c>
      <c r="I27" s="189">
        <v>3997883</v>
      </c>
      <c r="J27" s="189">
        <v>1845501</v>
      </c>
      <c r="K27" s="189">
        <v>974321</v>
      </c>
      <c r="M27" s="193" t="s">
        <v>407</v>
      </c>
      <c r="N27" s="194">
        <f>SUM(B26:B32)/SUM(B19:B32)</f>
        <v>0.10998613543752905</v>
      </c>
      <c r="O27" s="194">
        <f>SUM(C26:C32)/SUM(C19:C32)</f>
        <v>0.12458034722120948</v>
      </c>
      <c r="P27" s="194">
        <f>SUM(D26:D32)/SUM(D19:D32)</f>
        <v>0.11813920907893412</v>
      </c>
      <c r="Q27" s="194">
        <f>SUM(E26:E32)/SUM(E19:E32)</f>
        <v>0.14613336311257444</v>
      </c>
      <c r="R27" s="194">
        <f>SUM(F26:F32)/SUM(F19:F32)</f>
        <v>0.13112420855387319</v>
      </c>
    </row>
    <row r="28" spans="1:18" x14ac:dyDescent="0.25">
      <c r="A28" s="172" t="s">
        <v>381</v>
      </c>
      <c r="B28" s="189">
        <v>104455972</v>
      </c>
      <c r="C28" s="189">
        <v>112948254</v>
      </c>
      <c r="D28" s="189">
        <v>107220110</v>
      </c>
      <c r="E28" s="189">
        <v>137784686</v>
      </c>
      <c r="F28" s="189">
        <v>138930092</v>
      </c>
      <c r="G28" s="189">
        <v>129934824</v>
      </c>
      <c r="H28" s="189">
        <v>146846016</v>
      </c>
      <c r="I28" s="189">
        <v>153408938</v>
      </c>
      <c r="J28" s="189">
        <v>146943280</v>
      </c>
      <c r="K28" s="189">
        <v>83644910</v>
      </c>
      <c r="M28" s="172" t="s">
        <v>408</v>
      </c>
      <c r="N28" s="189">
        <f>SUM(B26:B32)</f>
        <v>120255488</v>
      </c>
      <c r="O28" s="189">
        <f>SUM(C26:C32)</f>
        <v>137919350</v>
      </c>
      <c r="P28" s="189">
        <f>SUM(D26:D32)</f>
        <v>141779135</v>
      </c>
      <c r="Q28" s="189">
        <f>SUM(E26:E32)</f>
        <v>176105168</v>
      </c>
      <c r="R28" s="189">
        <f>SUM(F26:F32)</f>
        <v>180521451</v>
      </c>
    </row>
    <row r="29" spans="1:18" x14ac:dyDescent="0.25">
      <c r="A29" s="172" t="s">
        <v>382</v>
      </c>
      <c r="B29" s="189">
        <v>399135</v>
      </c>
      <c r="C29" s="189">
        <v>230492</v>
      </c>
      <c r="D29" s="189">
        <v>391923</v>
      </c>
      <c r="E29" s="189">
        <v>526021</v>
      </c>
      <c r="F29" s="189">
        <v>656541</v>
      </c>
      <c r="G29" s="189">
        <v>684260</v>
      </c>
      <c r="H29" s="189">
        <v>442837</v>
      </c>
      <c r="I29" s="189">
        <v>1013036</v>
      </c>
      <c r="J29" s="189">
        <v>791339</v>
      </c>
      <c r="K29" s="189">
        <v>728828</v>
      </c>
      <c r="N29" s="192">
        <v>2016</v>
      </c>
      <c r="O29" s="192">
        <v>2017</v>
      </c>
      <c r="P29" s="192">
        <v>2018</v>
      </c>
      <c r="Q29" s="192">
        <v>2019</v>
      </c>
      <c r="R29" s="192">
        <v>2020</v>
      </c>
    </row>
    <row r="30" spans="1:18" x14ac:dyDescent="0.25">
      <c r="A30" s="172" t="s">
        <v>383</v>
      </c>
      <c r="B30" s="189">
        <v>0</v>
      </c>
      <c r="C30" s="189">
        <v>3470477</v>
      </c>
      <c r="D30" s="189">
        <v>0</v>
      </c>
      <c r="E30" s="189">
        <v>0</v>
      </c>
      <c r="F30" s="189">
        <v>0</v>
      </c>
      <c r="G30" s="189">
        <v>0</v>
      </c>
      <c r="H30" s="189">
        <v>0</v>
      </c>
      <c r="I30" s="189">
        <v>0</v>
      </c>
      <c r="J30" s="189">
        <v>0</v>
      </c>
      <c r="K30" s="189">
        <v>0</v>
      </c>
      <c r="N30" s="194">
        <f>SUM(G26:G32)/SUM(G19:G32)</f>
        <v>0.13145691125633827</v>
      </c>
      <c r="O30" s="194">
        <f>SUM(H26:H32)/SUM(H19:H32)</f>
        <v>0.13589157108832634</v>
      </c>
      <c r="P30" s="194">
        <f>SUM(I26:I32)/SUM(I19:I32)</f>
        <v>0.13495964985342565</v>
      </c>
      <c r="Q30" s="194">
        <f>SUM(J26:J32)/SUM(J19:J32)</f>
        <v>0.11982453673216001</v>
      </c>
      <c r="R30" s="194">
        <f>SUM(K26:K32)/SUM(K19:K32)</f>
        <v>8.7971245769027512E-2</v>
      </c>
    </row>
    <row r="31" spans="1:18" x14ac:dyDescent="0.25">
      <c r="A31" s="172" t="s">
        <v>384</v>
      </c>
      <c r="B31" s="189">
        <v>2018667</v>
      </c>
      <c r="C31" s="189">
        <v>3265403</v>
      </c>
      <c r="D31" s="189">
        <v>3861846</v>
      </c>
      <c r="E31" s="189">
        <v>4856057</v>
      </c>
      <c r="F31" s="189">
        <v>4389694</v>
      </c>
      <c r="G31" s="189">
        <v>35098207</v>
      </c>
      <c r="H31" s="189">
        <v>36899677</v>
      </c>
      <c r="I31" s="189">
        <v>36255826</v>
      </c>
      <c r="J31" s="189">
        <v>16758079</v>
      </c>
      <c r="K31" s="189">
        <v>0</v>
      </c>
      <c r="N31" s="189">
        <f>SUM(G26:G32)</f>
        <v>210600765</v>
      </c>
      <c r="O31" s="189">
        <f>SUM(H26:H32)</f>
        <v>229035384</v>
      </c>
      <c r="P31" s="189">
        <f>SUM(I26:I32)</f>
        <v>236297969</v>
      </c>
      <c r="Q31" s="189">
        <f>SUM(J26:J32)</f>
        <v>209471652</v>
      </c>
      <c r="R31" s="189">
        <f>SUM(K26:K32)</f>
        <v>123026955</v>
      </c>
    </row>
    <row r="32" spans="1:18" x14ac:dyDescent="0.25">
      <c r="A32" s="172" t="s">
        <v>385</v>
      </c>
      <c r="B32" s="189">
        <v>0</v>
      </c>
      <c r="C32" s="189">
        <v>0</v>
      </c>
      <c r="D32" s="189">
        <v>0</v>
      </c>
      <c r="E32" s="189">
        <v>0</v>
      </c>
      <c r="F32" s="189">
        <v>0</v>
      </c>
      <c r="G32" s="189">
        <v>394411</v>
      </c>
      <c r="H32" s="189">
        <v>0</v>
      </c>
      <c r="I32" s="189">
        <v>0</v>
      </c>
      <c r="J32" s="189">
        <v>0</v>
      </c>
      <c r="K32" s="189">
        <v>0</v>
      </c>
      <c r="L32" s="194"/>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Worksheets</vt:lpstr>
      </vt:variant>
      <vt:variant>
        <vt:i4>16</vt:i4>
      </vt:variant>
      <vt:variant>
        <vt:lpstr>Charts</vt:lpstr>
      </vt:variant>
      <vt:variant>
        <vt:i4>24</vt:i4>
      </vt:variant>
      <vt:variant>
        <vt:lpstr>Named Ranges</vt:lpstr>
      </vt:variant>
      <vt:variant>
        <vt:i4>2</vt:i4>
      </vt:variant>
    </vt:vector>
  </HeadingPairs>
  <TitlesOfParts>
    <vt:vector size="42" baseType="lpstr">
      <vt:lpstr>Notes</vt:lpstr>
      <vt:lpstr>EMTS-CARB Forecast</vt:lpstr>
      <vt:lpstr>Fuel Vol and Credit Gen</vt:lpstr>
      <vt:lpstr>Qrtly Credit-Deficit Generation</vt:lpstr>
      <vt:lpstr>Annual Credit-Deficit Gen</vt:lpstr>
      <vt:lpstr>Biofuel Feedstocks</vt:lpstr>
      <vt:lpstr>Graph Testing</vt:lpstr>
      <vt:lpstr>CA LCFS Performance</vt:lpstr>
      <vt:lpstr>Table 1</vt:lpstr>
      <vt:lpstr>FeedStock</vt:lpstr>
      <vt:lpstr>FeedStock 2011 - 2021</vt:lpstr>
      <vt:lpstr>Graphs</vt:lpstr>
      <vt:lpstr>Graph Data</vt:lpstr>
      <vt:lpstr>DMAggregatedFuelVolumes</vt:lpstr>
      <vt:lpstr>Fig E w ARGUS</vt:lpstr>
      <vt:lpstr>Fig10</vt:lpstr>
      <vt:lpstr>Chart1</vt:lpstr>
      <vt:lpstr>Chart2</vt:lpstr>
      <vt:lpstr>Chart3</vt:lpstr>
      <vt:lpstr>Chart23</vt:lpstr>
      <vt:lpstr>Chart24</vt:lpstr>
      <vt:lpstr>Chart25</vt:lpstr>
      <vt:lpstr>Chart26</vt:lpstr>
      <vt:lpstr>Chart27</vt:lpstr>
      <vt:lpstr>Chart28</vt:lpstr>
      <vt:lpstr>Chart29</vt:lpstr>
      <vt:lpstr>Chart30</vt:lpstr>
      <vt:lpstr>Chart31</vt:lpstr>
      <vt:lpstr>Chart32</vt:lpstr>
      <vt:lpstr>Chart33</vt:lpstr>
      <vt:lpstr>Chart34</vt:lpstr>
      <vt:lpstr>Chart35</vt:lpstr>
      <vt:lpstr>Chart36</vt:lpstr>
      <vt:lpstr>Chart37</vt:lpstr>
      <vt:lpstr>Chart39</vt:lpstr>
      <vt:lpstr>Chart40</vt:lpstr>
      <vt:lpstr>Chart41</vt:lpstr>
      <vt:lpstr>Chart42</vt:lpstr>
      <vt:lpstr>Chart43</vt:lpstr>
      <vt:lpstr>Chart44</vt:lpstr>
      <vt:lpstr>DMAggregatedFuelVolumes!Print_Titles</vt:lpstr>
      <vt:lpstr>'Qrtly Credit-Deficit Generation'!Print_Titles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Tore Alden</dc:creator>
  <cp:lastModifiedBy>Tore Alden</cp:lastModifiedBy>
  <dcterms:created xsi:type="dcterms:W3CDTF">2025-07-09T11:26:48Z</dcterms:created>
  <dcterms:modified xsi:type="dcterms:W3CDTF">2025-09-18T09:39:22Z</dcterms:modified>
</cp:coreProperties>
</file>