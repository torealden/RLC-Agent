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3BCEC75F-5266-49DA-83E6-88455B0ADB8B}" xr6:coauthVersionLast="47" xr6:coauthVersionMax="47" xr10:uidLastSave="{00000000-0000-0000-0000-000000000000}"/>
  <bookViews>
    <workbookView xWindow="1560" yWindow="1650" windowWidth="27240" windowHeight="14550" xr2:uid="{37C6AA04-FC5F-4250-B7E2-82461A2F7F59}"/>
  </bookViews>
  <sheets>
    <sheet name="BD" sheetId="1" r:id="rId1"/>
    <sheet name="RD" sheetId="2" r:id="rId2"/>
    <sheet name="SAF" sheetId="3" r:id="rId3"/>
    <sheet name="Jet Fuel" sheetId="4" r:id="rId4"/>
    <sheet name="Diesel" sheetId="5" r:id="rId5"/>
  </sheets>
  <externalReferences>
    <externalReference r:id="rId6"/>
    <externalReference r:id="rId7"/>
    <externalReference r:id="rId8"/>
    <externalReference r:id="rId9"/>
  </externalReferences>
  <definedNames>
    <definedName name="_xlnm.Print_Area" localSheetId="0">BD!$A$2:$I$10</definedName>
    <definedName name="_xlnm.Print_Area" localSheetId="1">RD!$A$2:$I$10</definedName>
    <definedName name="Z_11027877_8754_42DF_AEF4_DF91AFC7E3D7_.wvu.PrintArea" localSheetId="0" hidden="1">BD!$A$1:$F$10</definedName>
    <definedName name="Z_11027877_8754_42DF_AEF4_DF91AFC7E3D7_.wvu.PrintArea" localSheetId="1" hidden="1">RD!$A$1:$F$10</definedName>
    <definedName name="Z_2C7BB91D_B6C7_4C7E_824A_AD371B7FEFAE_.wvu.Cols" localSheetId="0" hidden="1">BD!#REF!</definedName>
    <definedName name="Z_2C7BB91D_B6C7_4C7E_824A_AD371B7FEFAE_.wvu.Cols" localSheetId="1" hidden="1">RD!#REF!</definedName>
    <definedName name="Z_2C7BB91D_B6C7_4C7E_824A_AD371B7FEFAE_.wvu.PrintArea" localSheetId="0" hidden="1">BD!$A$1:$F$10</definedName>
    <definedName name="Z_2C7BB91D_B6C7_4C7E_824A_AD371B7FEFAE_.wvu.PrintArea" localSheetId="1" hidden="1">RD!$A$1:$F$10</definedName>
    <definedName name="Z_3389ABBF_4A47_4E3C_9E30_013DEA936013_.wvu.PrintArea" localSheetId="0" hidden="1">BD!$A$1:$F$10</definedName>
    <definedName name="Z_3389ABBF_4A47_4E3C_9E30_013DEA936013_.wvu.PrintArea" localSheetId="1" hidden="1">RD!$A$1:$F$10</definedName>
    <definedName name="Z_63FD8648_A18A_466A_B152_26B7B5EB5F8A_.wvu.PrintArea" localSheetId="0" hidden="1">BD!$A$1:$F$10</definedName>
    <definedName name="Z_63FD8648_A18A_466A_B152_26B7B5EB5F8A_.wvu.PrintArea" localSheetId="1" hidden="1">RD!$A$1:$F$10</definedName>
    <definedName name="Z_896AD9BE_343E_4241_9567_E97EA3C7D73E_.wvu.PrintArea" localSheetId="0" hidden="1">BD!$A$1:$F$10</definedName>
    <definedName name="Z_896AD9BE_343E_4241_9567_E97EA3C7D73E_.wvu.PrintArea" localSheetId="1" hidden="1">RD!$A$1:$F$10</definedName>
    <definedName name="Z_8F904101_0CD0_4EB8_918C_6C9451EECAE3_.wvu.PrintArea" localSheetId="0" hidden="1">BD!$A$1:$F$10</definedName>
    <definedName name="Z_8F904101_0CD0_4EB8_918C_6C9451EECAE3_.wvu.PrintArea" localSheetId="1" hidden="1">RD!$A$1:$F$10</definedName>
    <definedName name="Z_A9F82761_E541_4BC7_AF39_E754A8EE4364_.wvu.PrintArea" localSheetId="0" hidden="1">BD!$A$1:$F$10</definedName>
    <definedName name="Z_A9F82761_E541_4BC7_AF39_E754A8EE4364_.wvu.PrintArea" localSheetId="1" hidden="1">RD!$A$1:$F$10</definedName>
    <definedName name="Z_BDBF5671_C3A9_474A_BD59_73FB0F340729_.wvu.PrintArea" localSheetId="0" hidden="1">BD!$A$1:$F$10</definedName>
    <definedName name="Z_BDBF5671_C3A9_474A_BD59_73FB0F340729_.wvu.PrintArea" localSheetId="1" hidden="1">RD!$A$1:$F$10</definedName>
    <definedName name="Z_BE7D4983_2668_442B_8E12_AE767275E8F1_.wvu.PrintArea" localSheetId="0" hidden="1">BD!$A$1:$F$10</definedName>
    <definedName name="Z_BE7D4983_2668_442B_8E12_AE767275E8F1_.wvu.PrintArea" localSheetId="1" hidden="1">RD!$A$1:$F$10</definedName>
    <definedName name="Z_F5DE2E4F_A48B_4F36_85E7_0AB7ADB29149_.wvu.PrintArea" localSheetId="0" hidden="1">BD!$A$1:$F$10</definedName>
    <definedName name="Z_F5DE2E4F_A48B_4F36_85E7_0AB7ADB29149_.wvu.PrintArea" localSheetId="1" hidden="1">RD!$A$1:$F$10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5" l="1"/>
  <c r="L14" i="5"/>
  <c r="V13" i="5"/>
  <c r="U13" i="5"/>
  <c r="T13" i="5"/>
  <c r="S13" i="5"/>
  <c r="R13" i="5"/>
  <c r="Q13" i="5"/>
  <c r="P13" i="5"/>
  <c r="V11" i="5"/>
  <c r="U11" i="5"/>
  <c r="T11" i="5"/>
  <c r="S11" i="5"/>
  <c r="R11" i="5"/>
  <c r="N11" i="5"/>
  <c r="M11" i="5"/>
  <c r="L11" i="5"/>
  <c r="K11" i="5"/>
  <c r="J11" i="5"/>
  <c r="B11" i="5"/>
  <c r="V10" i="5"/>
  <c r="V9" i="5"/>
  <c r="U9" i="5"/>
  <c r="T9" i="5"/>
  <c r="T10" i="5" s="1"/>
  <c r="S9" i="5"/>
  <c r="S10" i="5" s="1"/>
  <c r="R9" i="5"/>
  <c r="R10" i="5" s="1"/>
  <c r="Q9" i="5"/>
  <c r="P9" i="5"/>
  <c r="M9" i="5"/>
  <c r="L9" i="5"/>
  <c r="C9" i="5"/>
  <c r="V8" i="5"/>
  <c r="U8" i="5"/>
  <c r="T8" i="5"/>
  <c r="S8" i="5"/>
  <c r="R8" i="5"/>
  <c r="Q8" i="5"/>
  <c r="Q11" i="5" s="1"/>
  <c r="P8" i="5"/>
  <c r="P11" i="5" s="1"/>
  <c r="O8" i="5"/>
  <c r="O11" i="5" s="1"/>
  <c r="N8" i="5"/>
  <c r="M8" i="5"/>
  <c r="L8" i="5"/>
  <c r="K8" i="5"/>
  <c r="K9" i="5" s="1"/>
  <c r="J8" i="5"/>
  <c r="I8" i="5"/>
  <c r="I11" i="5" s="1"/>
  <c r="H8" i="5"/>
  <c r="H11" i="5" s="1"/>
  <c r="G8" i="5"/>
  <c r="F8" i="5"/>
  <c r="E8" i="5"/>
  <c r="D8" i="5"/>
  <c r="C8" i="5"/>
  <c r="B8" i="5"/>
  <c r="B9" i="5" s="1"/>
  <c r="V7" i="5"/>
  <c r="V14" i="5" s="1"/>
  <c r="U7" i="5"/>
  <c r="U14" i="5" s="1"/>
  <c r="T7" i="5"/>
  <c r="T14" i="5" s="1"/>
  <c r="S7" i="5"/>
  <c r="R7" i="5"/>
  <c r="R13" i="1" s="1"/>
  <c r="Q7" i="5"/>
  <c r="P7" i="5"/>
  <c r="O7" i="5"/>
  <c r="N7" i="5"/>
  <c r="N9" i="5" s="1"/>
  <c r="M7" i="5"/>
  <c r="L7" i="5"/>
  <c r="K7" i="5"/>
  <c r="J7" i="5"/>
  <c r="J9" i="5" s="1"/>
  <c r="J10" i="5" s="1"/>
  <c r="I7" i="5"/>
  <c r="I9" i="5" s="1"/>
  <c r="H7" i="5"/>
  <c r="H9" i="5" s="1"/>
  <c r="G7" i="5"/>
  <c r="G9" i="5" s="1"/>
  <c r="F7" i="5"/>
  <c r="E7" i="5"/>
  <c r="E9" i="5" s="1"/>
  <c r="D7" i="5"/>
  <c r="D9" i="5" s="1"/>
  <c r="C7" i="5"/>
  <c r="B7" i="5"/>
  <c r="V6" i="5"/>
  <c r="T6" i="5"/>
  <c r="S6" i="5"/>
  <c r="R6" i="5"/>
  <c r="Q6" i="5"/>
  <c r="Q10" i="5" s="1"/>
  <c r="P6" i="5"/>
  <c r="O6" i="5"/>
  <c r="N6" i="5"/>
  <c r="M6" i="5"/>
  <c r="M10" i="5" s="1"/>
  <c r="I6" i="5"/>
  <c r="H6" i="5"/>
  <c r="H10" i="5" s="1"/>
  <c r="G6" i="5"/>
  <c r="E6" i="5"/>
  <c r="E10" i="5" s="1"/>
  <c r="D6" i="5"/>
  <c r="D10" i="5" s="1"/>
  <c r="V5" i="5"/>
  <c r="U5" i="5"/>
  <c r="U6" i="5" s="1"/>
  <c r="U10" i="5" s="1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F6" i="5" s="1"/>
  <c r="E5" i="5"/>
  <c r="E11" i="5" s="1"/>
  <c r="D5" i="5"/>
  <c r="D11" i="5" s="1"/>
  <c r="C5" i="5"/>
  <c r="C11" i="5" s="1"/>
  <c r="B5" i="5"/>
  <c r="V4" i="5"/>
  <c r="U4" i="5"/>
  <c r="T4" i="5"/>
  <c r="S4" i="5"/>
  <c r="R4" i="5"/>
  <c r="Q4" i="5"/>
  <c r="P4" i="5"/>
  <c r="O4" i="5"/>
  <c r="O13" i="5" s="1"/>
  <c r="N4" i="5"/>
  <c r="M4" i="5"/>
  <c r="L4" i="5"/>
  <c r="K4" i="5"/>
  <c r="K13" i="5" s="1"/>
  <c r="J4" i="5"/>
  <c r="I4" i="5"/>
  <c r="J13" i="5" s="1"/>
  <c r="H4" i="5"/>
  <c r="I13" i="5" s="1"/>
  <c r="G4" i="5"/>
  <c r="H13" i="5" s="1"/>
  <c r="F4" i="5"/>
  <c r="E4" i="5"/>
  <c r="D4" i="5"/>
  <c r="C4" i="5"/>
  <c r="B4" i="5"/>
  <c r="V3" i="5"/>
  <c r="U3" i="5"/>
  <c r="T3" i="5"/>
  <c r="S3" i="5"/>
  <c r="R3" i="5"/>
  <c r="Q3" i="5"/>
  <c r="P3" i="5"/>
  <c r="O3" i="5"/>
  <c r="N3" i="5"/>
  <c r="M3" i="5"/>
  <c r="L3" i="5"/>
  <c r="K3" i="5"/>
  <c r="J3" i="5"/>
  <c r="J6" i="5" s="1"/>
  <c r="I3" i="5"/>
  <c r="H3" i="5"/>
  <c r="G3" i="5"/>
  <c r="F3" i="5"/>
  <c r="E3" i="5"/>
  <c r="D3" i="5"/>
  <c r="C3" i="5"/>
  <c r="B3" i="5"/>
  <c r="S31" i="4"/>
  <c r="J31" i="4"/>
  <c r="I31" i="4"/>
  <c r="H31" i="4"/>
  <c r="G31" i="4"/>
  <c r="F31" i="4"/>
  <c r="S30" i="4"/>
  <c r="R30" i="4"/>
  <c r="Q30" i="4"/>
  <c r="P30" i="4"/>
  <c r="O30" i="4"/>
  <c r="N30" i="4"/>
  <c r="M30" i="4"/>
  <c r="L30" i="4"/>
  <c r="R28" i="4"/>
  <c r="Q28" i="4"/>
  <c r="P28" i="4"/>
  <c r="O28" i="4"/>
  <c r="N28" i="4"/>
  <c r="K28" i="4"/>
  <c r="J28" i="4"/>
  <c r="I28" i="4"/>
  <c r="H28" i="4"/>
  <c r="G28" i="4"/>
  <c r="F28" i="4"/>
  <c r="E28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S26" i="4"/>
  <c r="J26" i="4"/>
  <c r="I26" i="4"/>
  <c r="H26" i="4"/>
  <c r="G26" i="4"/>
  <c r="S25" i="4"/>
  <c r="S28" i="4" s="1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F26" i="4" s="1"/>
  <c r="E25" i="4"/>
  <c r="D25" i="4"/>
  <c r="C25" i="4"/>
  <c r="B25" i="4"/>
  <c r="B28" i="4" s="1"/>
  <c r="S24" i="4"/>
  <c r="R24" i="4"/>
  <c r="R31" i="4" s="1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E31" i="4" s="1"/>
  <c r="D24" i="4"/>
  <c r="C24" i="4"/>
  <c r="B24" i="4"/>
  <c r="B26" i="4" s="1"/>
  <c r="P23" i="4"/>
  <c r="L23" i="4"/>
  <c r="K23" i="4"/>
  <c r="S22" i="4"/>
  <c r="R22" i="4"/>
  <c r="Q22" i="4"/>
  <c r="P22" i="4"/>
  <c r="O22" i="4"/>
  <c r="N22" i="4"/>
  <c r="M22" i="4"/>
  <c r="M28" i="4" s="1"/>
  <c r="L22" i="4"/>
  <c r="L28" i="4" s="1"/>
  <c r="K22" i="4"/>
  <c r="J22" i="4"/>
  <c r="I22" i="4"/>
  <c r="H22" i="4"/>
  <c r="G22" i="4"/>
  <c r="F22" i="4"/>
  <c r="E22" i="4"/>
  <c r="D22" i="4"/>
  <c r="C22" i="4"/>
  <c r="B22" i="4"/>
  <c r="S21" i="4"/>
  <c r="R21" i="4"/>
  <c r="Q21" i="4"/>
  <c r="P21" i="4"/>
  <c r="O21" i="4"/>
  <c r="N21" i="4"/>
  <c r="M21" i="4"/>
  <c r="L21" i="4"/>
  <c r="K21" i="4"/>
  <c r="J21" i="4"/>
  <c r="I21" i="4"/>
  <c r="H21" i="4"/>
  <c r="H30" i="4" s="1"/>
  <c r="G21" i="4"/>
  <c r="G30" i="4" s="1"/>
  <c r="F21" i="4"/>
  <c r="F30" i="4" s="1"/>
  <c r="E21" i="4"/>
  <c r="D21" i="4"/>
  <c r="C21" i="4"/>
  <c r="B21" i="4"/>
  <c r="S20" i="4"/>
  <c r="S23" i="4" s="1"/>
  <c r="R20" i="4"/>
  <c r="R23" i="4" s="1"/>
  <c r="Q20" i="4"/>
  <c r="Q23" i="4" s="1"/>
  <c r="P20" i="4"/>
  <c r="O20" i="4"/>
  <c r="N20" i="4"/>
  <c r="M20" i="4"/>
  <c r="L20" i="4"/>
  <c r="K20" i="4"/>
  <c r="J20" i="4"/>
  <c r="I20" i="4"/>
  <c r="H20" i="4"/>
  <c r="H23" i="4" s="1"/>
  <c r="G20" i="4"/>
  <c r="G23" i="4" s="1"/>
  <c r="F20" i="4"/>
  <c r="E20" i="4"/>
  <c r="D20" i="4"/>
  <c r="C20" i="4"/>
  <c r="B20" i="4"/>
  <c r="M16" i="4"/>
  <c r="S15" i="4"/>
  <c r="R15" i="4"/>
  <c r="M15" i="4"/>
  <c r="L15" i="4"/>
  <c r="K15" i="4"/>
  <c r="J15" i="4"/>
  <c r="I15" i="4"/>
  <c r="H15" i="4"/>
  <c r="G15" i="4"/>
  <c r="F15" i="4"/>
  <c r="Q13" i="4"/>
  <c r="L13" i="4"/>
  <c r="K13" i="4"/>
  <c r="J13" i="4"/>
  <c r="I13" i="4"/>
  <c r="H13" i="4"/>
  <c r="E13" i="4"/>
  <c r="D13" i="4"/>
  <c r="C13" i="4"/>
  <c r="B13" i="4"/>
  <c r="M11" i="4"/>
  <c r="E11" i="4"/>
  <c r="D11" i="4"/>
  <c r="C11" i="4"/>
  <c r="B11" i="4"/>
  <c r="S10" i="4"/>
  <c r="R10" i="4"/>
  <c r="R13" i="4" s="1"/>
  <c r="Q10" i="4"/>
  <c r="P10" i="4"/>
  <c r="P13" i="4" s="1"/>
  <c r="O10" i="4"/>
  <c r="O13" i="4" s="1"/>
  <c r="N10" i="4"/>
  <c r="N13" i="4" s="1"/>
  <c r="M10" i="4"/>
  <c r="M13" i="4" s="1"/>
  <c r="L10" i="4"/>
  <c r="K10" i="4"/>
  <c r="J10" i="4"/>
  <c r="I10" i="4"/>
  <c r="H10" i="4"/>
  <c r="G10" i="4"/>
  <c r="F10" i="4"/>
  <c r="E10" i="4"/>
  <c r="D10" i="4"/>
  <c r="C10" i="4"/>
  <c r="B10" i="4"/>
  <c r="S9" i="4"/>
  <c r="R9" i="4"/>
  <c r="R11" i="4" s="1"/>
  <c r="Q9" i="4"/>
  <c r="Q11" i="4" s="1"/>
  <c r="P9" i="4"/>
  <c r="Q16" i="4" s="1"/>
  <c r="O9" i="4"/>
  <c r="O15" i="3" s="1"/>
  <c r="N9" i="4"/>
  <c r="N11" i="4" s="1"/>
  <c r="M9" i="4"/>
  <c r="L9" i="4"/>
  <c r="L16" i="4" s="1"/>
  <c r="K9" i="4"/>
  <c r="K16" i="4" s="1"/>
  <c r="J9" i="4"/>
  <c r="I9" i="4"/>
  <c r="H9" i="4"/>
  <c r="G9" i="4"/>
  <c r="F9" i="4"/>
  <c r="E9" i="4"/>
  <c r="E16" i="4" s="1"/>
  <c r="D9" i="4"/>
  <c r="C9" i="4"/>
  <c r="B9" i="4"/>
  <c r="J8" i="4"/>
  <c r="F8" i="4"/>
  <c r="E8" i="4"/>
  <c r="E12" i="4" s="1"/>
  <c r="D8" i="4"/>
  <c r="D12" i="4" s="1"/>
  <c r="C8" i="4"/>
  <c r="C12" i="4" s="1"/>
  <c r="B8" i="4"/>
  <c r="B12" i="4" s="1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F13" i="4" s="1"/>
  <c r="E7" i="4"/>
  <c r="D7" i="4"/>
  <c r="C7" i="4"/>
  <c r="B7" i="4"/>
  <c r="S6" i="4"/>
  <c r="R6" i="4"/>
  <c r="Q6" i="4"/>
  <c r="Q15" i="4" s="1"/>
  <c r="P6" i="4"/>
  <c r="P15" i="4" s="1"/>
  <c r="O6" i="4"/>
  <c r="O15" i="4" s="1"/>
  <c r="N6" i="4"/>
  <c r="N15" i="4" s="1"/>
  <c r="M6" i="4"/>
  <c r="L6" i="4"/>
  <c r="K6" i="4"/>
  <c r="J6" i="4"/>
  <c r="I6" i="4"/>
  <c r="H6" i="4"/>
  <c r="G6" i="4"/>
  <c r="F6" i="4"/>
  <c r="E6" i="4"/>
  <c r="D6" i="4"/>
  <c r="C6" i="4"/>
  <c r="B6" i="4"/>
  <c r="S5" i="4"/>
  <c r="R5" i="4"/>
  <c r="Q5" i="4"/>
  <c r="P5" i="4"/>
  <c r="O5" i="4"/>
  <c r="N5" i="4"/>
  <c r="N8" i="4" s="1"/>
  <c r="M5" i="4"/>
  <c r="M8" i="4" s="1"/>
  <c r="M12" i="4" s="1"/>
  <c r="L5" i="4"/>
  <c r="L8" i="4" s="1"/>
  <c r="K5" i="4"/>
  <c r="K8" i="4" s="1"/>
  <c r="J5" i="4"/>
  <c r="I5" i="4"/>
  <c r="I8" i="4" s="1"/>
  <c r="H5" i="4"/>
  <c r="G5" i="4"/>
  <c r="F5" i="4"/>
  <c r="E5" i="4"/>
  <c r="D5" i="4"/>
  <c r="C5" i="4"/>
  <c r="B5" i="4"/>
  <c r="P19" i="3"/>
  <c r="M19" i="3"/>
  <c r="L19" i="3"/>
  <c r="K19" i="3"/>
  <c r="J19" i="3"/>
  <c r="I19" i="3"/>
  <c r="H19" i="3"/>
  <c r="G19" i="3"/>
  <c r="N18" i="3"/>
  <c r="M18" i="3"/>
  <c r="L18" i="3"/>
  <c r="K18" i="3"/>
  <c r="J18" i="3"/>
  <c r="I18" i="3"/>
  <c r="O17" i="3"/>
  <c r="S16" i="3"/>
  <c r="S17" i="3" s="1"/>
  <c r="R16" i="3"/>
  <c r="R17" i="3" s="1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J15" i="3"/>
  <c r="I15" i="3"/>
  <c r="H15" i="3"/>
  <c r="G15" i="3"/>
  <c r="F15" i="3"/>
  <c r="E15" i="3"/>
  <c r="Q13" i="3"/>
  <c r="L13" i="3"/>
  <c r="K13" i="3"/>
  <c r="J13" i="3"/>
  <c r="E13" i="3"/>
  <c r="D13" i="3"/>
  <c r="B13" i="3"/>
  <c r="P11" i="3"/>
  <c r="O11" i="3"/>
  <c r="N11" i="3"/>
  <c r="M11" i="3"/>
  <c r="D11" i="3"/>
  <c r="C11" i="3"/>
  <c r="B11" i="3"/>
  <c r="S10" i="3"/>
  <c r="R10" i="3"/>
  <c r="R13" i="3" s="1"/>
  <c r="Q10" i="3"/>
  <c r="P10" i="3"/>
  <c r="P13" i="3" s="1"/>
  <c r="O10" i="3"/>
  <c r="O13" i="3" s="1"/>
  <c r="N10" i="3"/>
  <c r="N13" i="3" s="1"/>
  <c r="M10" i="3"/>
  <c r="M13" i="3" s="1"/>
  <c r="L10" i="3"/>
  <c r="K10" i="3"/>
  <c r="J10" i="3"/>
  <c r="I10" i="3"/>
  <c r="I13" i="3" s="1"/>
  <c r="H10" i="3"/>
  <c r="G10" i="3"/>
  <c r="F10" i="3"/>
  <c r="E10" i="3"/>
  <c r="D10" i="3"/>
  <c r="C10" i="3"/>
  <c r="B10" i="3"/>
  <c r="S9" i="3"/>
  <c r="S15" i="3" s="1"/>
  <c r="R9" i="3"/>
  <c r="R19" i="3" s="1"/>
  <c r="Q9" i="3"/>
  <c r="Q15" i="3" s="1"/>
  <c r="P9" i="3"/>
  <c r="O9" i="3"/>
  <c r="N9" i="3"/>
  <c r="N19" i="3" s="1"/>
  <c r="M9" i="3"/>
  <c r="M15" i="3" s="1"/>
  <c r="L9" i="3"/>
  <c r="K9" i="3"/>
  <c r="J9" i="3"/>
  <c r="I9" i="3"/>
  <c r="H9" i="3"/>
  <c r="H11" i="3" s="1"/>
  <c r="G9" i="3"/>
  <c r="G11" i="3" s="1"/>
  <c r="F9" i="3"/>
  <c r="E9" i="3"/>
  <c r="D9" i="3"/>
  <c r="D15" i="3" s="1"/>
  <c r="C9" i="3"/>
  <c r="B9" i="3"/>
  <c r="S7" i="3"/>
  <c r="R7" i="3"/>
  <c r="Q7" i="3"/>
  <c r="P7" i="3"/>
  <c r="O7" i="3"/>
  <c r="N7" i="3"/>
  <c r="M7" i="3"/>
  <c r="L7" i="3"/>
  <c r="K7" i="3"/>
  <c r="J7" i="3"/>
  <c r="I7" i="3"/>
  <c r="H7" i="3"/>
  <c r="H13" i="3" s="1"/>
  <c r="G7" i="3"/>
  <c r="F7" i="3"/>
  <c r="F13" i="3" s="1"/>
  <c r="E7" i="3"/>
  <c r="D7" i="3"/>
  <c r="C7" i="3"/>
  <c r="C13" i="3" s="1"/>
  <c r="B7" i="3"/>
  <c r="S6" i="3"/>
  <c r="R6" i="3"/>
  <c r="Q6" i="3"/>
  <c r="Q17" i="3" s="1"/>
  <c r="P6" i="3"/>
  <c r="P18" i="3" s="1"/>
  <c r="O6" i="3"/>
  <c r="O18" i="3" s="1"/>
  <c r="N6" i="3"/>
  <c r="M6" i="3"/>
  <c r="L6" i="3"/>
  <c r="K6" i="3"/>
  <c r="J6" i="3"/>
  <c r="I6" i="3"/>
  <c r="H6" i="3"/>
  <c r="H17" i="3" s="1"/>
  <c r="G6" i="3"/>
  <c r="F6" i="3"/>
  <c r="E6" i="3"/>
  <c r="E17" i="3" s="1"/>
  <c r="D6" i="3"/>
  <c r="D17" i="3" s="1"/>
  <c r="C6" i="3"/>
  <c r="B6" i="3"/>
  <c r="B8" i="3" s="1"/>
  <c r="B12" i="3" s="1"/>
  <c r="C5" i="3" s="1"/>
  <c r="C8" i="3" s="1"/>
  <c r="C12" i="3" s="1"/>
  <c r="D5" i="3" s="1"/>
  <c r="D8" i="3" s="1"/>
  <c r="D12" i="3" s="1"/>
  <c r="E5" i="3" s="1"/>
  <c r="E8" i="3" s="1"/>
  <c r="B5" i="3"/>
  <c r="P17" i="2"/>
  <c r="O17" i="2"/>
  <c r="N17" i="2"/>
  <c r="M17" i="2"/>
  <c r="L17" i="2"/>
  <c r="K17" i="2"/>
  <c r="J17" i="2"/>
  <c r="T16" i="2"/>
  <c r="S16" i="2"/>
  <c r="R16" i="2"/>
  <c r="Q16" i="2"/>
  <c r="P16" i="2"/>
  <c r="M16" i="2"/>
  <c r="L16" i="2"/>
  <c r="K16" i="2"/>
  <c r="J16" i="2"/>
  <c r="I16" i="2"/>
  <c r="H16" i="2"/>
  <c r="M15" i="2"/>
  <c r="L15" i="2"/>
  <c r="K15" i="2"/>
  <c r="I15" i="2"/>
  <c r="H15" i="2"/>
  <c r="G15" i="2"/>
  <c r="E15" i="2"/>
  <c r="D15" i="2"/>
  <c r="C15" i="2"/>
  <c r="V14" i="2"/>
  <c r="U14" i="2"/>
  <c r="T14" i="2"/>
  <c r="S14" i="2"/>
  <c r="R14" i="2"/>
  <c r="Q14" i="2"/>
  <c r="P14" i="2"/>
  <c r="O14" i="2"/>
  <c r="O24" i="1" s="1"/>
  <c r="N14" i="2"/>
  <c r="N24" i="1" s="1"/>
  <c r="M14" i="2"/>
  <c r="L14" i="2"/>
  <c r="K14" i="2"/>
  <c r="J14" i="2"/>
  <c r="I14" i="2"/>
  <c r="H14" i="2"/>
  <c r="G14" i="2"/>
  <c r="F14" i="2"/>
  <c r="F24" i="1" s="1"/>
  <c r="E14" i="2"/>
  <c r="E24" i="1" s="1"/>
  <c r="D14" i="2"/>
  <c r="C14" i="2"/>
  <c r="B14" i="2"/>
  <c r="B24" i="1" s="1"/>
  <c r="M13" i="2"/>
  <c r="L13" i="2"/>
  <c r="K13" i="2"/>
  <c r="C13" i="2"/>
  <c r="B13" i="2"/>
  <c r="N11" i="2"/>
  <c r="M11" i="2"/>
  <c r="L11" i="2"/>
  <c r="K11" i="2"/>
  <c r="J11" i="2"/>
  <c r="I11" i="2"/>
  <c r="H11" i="2"/>
  <c r="E11" i="2"/>
  <c r="V10" i="2"/>
  <c r="U10" i="2"/>
  <c r="V3" i="2" s="1"/>
  <c r="V6" i="2" s="1"/>
  <c r="T10" i="2"/>
  <c r="U3" i="2" s="1"/>
  <c r="S10" i="2"/>
  <c r="R10" i="2"/>
  <c r="Q10" i="2"/>
  <c r="P10" i="2"/>
  <c r="O10" i="2"/>
  <c r="N10" i="2"/>
  <c r="M10" i="2"/>
  <c r="L10" i="2"/>
  <c r="M3" i="2" s="1"/>
  <c r="M6" i="2" s="1"/>
  <c r="K10" i="2"/>
  <c r="L3" i="2" s="1"/>
  <c r="L6" i="2" s="1"/>
  <c r="J10" i="2"/>
  <c r="K3" i="2" s="1"/>
  <c r="K6" i="2" s="1"/>
  <c r="I10" i="2"/>
  <c r="J3" i="2" s="1"/>
  <c r="J6" i="2" s="1"/>
  <c r="H10" i="2"/>
  <c r="I3" i="2" s="1"/>
  <c r="I6" i="2" s="1"/>
  <c r="G10" i="2"/>
  <c r="H3" i="2" s="1"/>
  <c r="H6" i="2" s="1"/>
  <c r="F10" i="2"/>
  <c r="E10" i="2"/>
  <c r="D10" i="2"/>
  <c r="E3" i="2" s="1"/>
  <c r="E6" i="2" s="1"/>
  <c r="C10" i="2"/>
  <c r="B10" i="2"/>
  <c r="P9" i="2"/>
  <c r="M9" i="2"/>
  <c r="L9" i="2"/>
  <c r="K9" i="2"/>
  <c r="J9" i="2"/>
  <c r="I9" i="2"/>
  <c r="H9" i="2"/>
  <c r="G9" i="2"/>
  <c r="F9" i="2"/>
  <c r="C9" i="2"/>
  <c r="B9" i="2"/>
  <c r="V8" i="2"/>
  <c r="V11" i="2" s="1"/>
  <c r="U8" i="2"/>
  <c r="U11" i="2" s="1"/>
  <c r="T8" i="2"/>
  <c r="T11" i="2" s="1"/>
  <c r="S8" i="2"/>
  <c r="S11" i="2" s="1"/>
  <c r="R8" i="2"/>
  <c r="R11" i="2" s="1"/>
  <c r="Q8" i="2"/>
  <c r="P8" i="2"/>
  <c r="O8" i="2"/>
  <c r="O9" i="2" s="1"/>
  <c r="N8" i="2"/>
  <c r="M8" i="2"/>
  <c r="L8" i="2"/>
  <c r="K8" i="2"/>
  <c r="J8" i="2"/>
  <c r="I8" i="2"/>
  <c r="H8" i="2"/>
  <c r="G8" i="2"/>
  <c r="F8" i="2"/>
  <c r="F11" i="2" s="1"/>
  <c r="E8" i="2"/>
  <c r="D8" i="2"/>
  <c r="C8" i="2"/>
  <c r="B8" i="2"/>
  <c r="B11" i="2" s="1"/>
  <c r="V7" i="2"/>
  <c r="V13" i="2" s="1"/>
  <c r="U7" i="2"/>
  <c r="U13" i="2" s="1"/>
  <c r="T7" i="2"/>
  <c r="T13" i="2" s="1"/>
  <c r="S7" i="2"/>
  <c r="R7" i="2"/>
  <c r="Q7" i="2"/>
  <c r="P7" i="2"/>
  <c r="O7" i="2"/>
  <c r="N7" i="2"/>
  <c r="N9" i="2" s="1"/>
  <c r="M7" i="2"/>
  <c r="L7" i="2"/>
  <c r="K7" i="2"/>
  <c r="J7" i="2"/>
  <c r="I7" i="2"/>
  <c r="I13" i="2" s="1"/>
  <c r="H7" i="2"/>
  <c r="G7" i="2"/>
  <c r="F7" i="2"/>
  <c r="F13" i="2" s="1"/>
  <c r="E7" i="2"/>
  <c r="E13" i="2" s="1"/>
  <c r="D7" i="2"/>
  <c r="D9" i="2" s="1"/>
  <c r="C7" i="2"/>
  <c r="B7" i="2"/>
  <c r="U6" i="2"/>
  <c r="T6" i="2"/>
  <c r="S6" i="2"/>
  <c r="R6" i="2"/>
  <c r="Q6" i="2"/>
  <c r="P6" i="2"/>
  <c r="V5" i="2"/>
  <c r="U5" i="2"/>
  <c r="T5" i="2"/>
  <c r="S5" i="2"/>
  <c r="R5" i="2"/>
  <c r="Q5" i="2"/>
  <c r="Q11" i="2" s="1"/>
  <c r="P5" i="2"/>
  <c r="O5" i="2"/>
  <c r="O11" i="2" s="1"/>
  <c r="N5" i="2"/>
  <c r="M5" i="2"/>
  <c r="L5" i="2"/>
  <c r="K5" i="2"/>
  <c r="J5" i="2"/>
  <c r="I5" i="2"/>
  <c r="H5" i="2"/>
  <c r="G5" i="2"/>
  <c r="G6" i="2" s="1"/>
  <c r="F5" i="2"/>
  <c r="E5" i="2"/>
  <c r="D5" i="2"/>
  <c r="D11" i="2" s="1"/>
  <c r="C5" i="2"/>
  <c r="C11" i="2" s="1"/>
  <c r="B5" i="2"/>
  <c r="V4" i="2"/>
  <c r="V15" i="2" s="1"/>
  <c r="U4" i="2"/>
  <c r="U15" i="2" s="1"/>
  <c r="T4" i="2"/>
  <c r="S4" i="2"/>
  <c r="S15" i="2" s="1"/>
  <c r="R4" i="2"/>
  <c r="R15" i="2" s="1"/>
  <c r="Q4" i="2"/>
  <c r="Q15" i="2" s="1"/>
  <c r="P4" i="2"/>
  <c r="P15" i="2" s="1"/>
  <c r="O4" i="2"/>
  <c r="O16" i="2" s="1"/>
  <c r="N4" i="2"/>
  <c r="N16" i="2" s="1"/>
  <c r="M4" i="2"/>
  <c r="L4" i="2"/>
  <c r="K4" i="2"/>
  <c r="J4" i="2"/>
  <c r="J15" i="2" s="1"/>
  <c r="I4" i="2"/>
  <c r="H4" i="2"/>
  <c r="G4" i="2"/>
  <c r="F4" i="2"/>
  <c r="G16" i="2" s="1"/>
  <c r="E4" i="2"/>
  <c r="D4" i="2"/>
  <c r="C4" i="2"/>
  <c r="B4" i="2"/>
  <c r="B15" i="2" s="1"/>
  <c r="T3" i="2"/>
  <c r="S3" i="2"/>
  <c r="R3" i="2"/>
  <c r="Q3" i="2"/>
  <c r="P3" i="2"/>
  <c r="O3" i="2"/>
  <c r="N3" i="2"/>
  <c r="G3" i="2"/>
  <c r="F3" i="2"/>
  <c r="D3" i="2"/>
  <c r="D6" i="2" s="1"/>
  <c r="C3" i="2"/>
  <c r="C6" i="2" s="1"/>
  <c r="B3" i="2"/>
  <c r="B6" i="2" s="1"/>
  <c r="V26" i="1"/>
  <c r="U26" i="1"/>
  <c r="R26" i="1"/>
  <c r="S24" i="1"/>
  <c r="R24" i="1"/>
  <c r="Q24" i="1"/>
  <c r="J23" i="1"/>
  <c r="I23" i="1"/>
  <c r="H23" i="1"/>
  <c r="G23" i="1"/>
  <c r="F23" i="1"/>
  <c r="J21" i="1"/>
  <c r="I21" i="1"/>
  <c r="H21" i="1"/>
  <c r="G21" i="1"/>
  <c r="F21" i="1"/>
  <c r="E21" i="1"/>
  <c r="V20" i="1"/>
  <c r="V25" i="1" s="1"/>
  <c r="I20" i="1"/>
  <c r="H20" i="1"/>
  <c r="G20" i="1"/>
  <c r="E20" i="1"/>
  <c r="E22" i="1" s="1"/>
  <c r="D20" i="1"/>
  <c r="V17" i="1"/>
  <c r="U17" i="1"/>
  <c r="T17" i="1"/>
  <c r="S17" i="1"/>
  <c r="R17" i="1"/>
  <c r="Q17" i="1"/>
  <c r="P17" i="1"/>
  <c r="I17" i="1"/>
  <c r="H17" i="1"/>
  <c r="G17" i="1"/>
  <c r="F17" i="1"/>
  <c r="S16" i="1"/>
  <c r="R16" i="1"/>
  <c r="Q16" i="1"/>
  <c r="P16" i="1"/>
  <c r="O16" i="1"/>
  <c r="N16" i="1"/>
  <c r="S15" i="1"/>
  <c r="R15" i="1"/>
  <c r="Q15" i="1"/>
  <c r="O15" i="1"/>
  <c r="N15" i="1"/>
  <c r="M15" i="1"/>
  <c r="K15" i="1"/>
  <c r="V14" i="1"/>
  <c r="V24" i="1" s="1"/>
  <c r="U14" i="1"/>
  <c r="U24" i="1" s="1"/>
  <c r="T14" i="1"/>
  <c r="T24" i="1" s="1"/>
  <c r="S14" i="1"/>
  <c r="R14" i="1"/>
  <c r="Q14" i="1"/>
  <c r="P14" i="1"/>
  <c r="P24" i="1" s="1"/>
  <c r="O14" i="1"/>
  <c r="N14" i="1"/>
  <c r="M14" i="1"/>
  <c r="M24" i="1" s="1"/>
  <c r="L14" i="1"/>
  <c r="L24" i="1" s="1"/>
  <c r="K14" i="1"/>
  <c r="K24" i="1" s="1"/>
  <c r="J14" i="1"/>
  <c r="J24" i="1" s="1"/>
  <c r="I14" i="1"/>
  <c r="I24" i="1" s="1"/>
  <c r="I25" i="1" s="1"/>
  <c r="H14" i="1"/>
  <c r="H24" i="1" s="1"/>
  <c r="H25" i="1" s="1"/>
  <c r="G14" i="1"/>
  <c r="G24" i="1" s="1"/>
  <c r="G25" i="1" s="1"/>
  <c r="F14" i="1"/>
  <c r="E14" i="1"/>
  <c r="D14" i="1"/>
  <c r="D24" i="1" s="1"/>
  <c r="C14" i="1"/>
  <c r="B14" i="1"/>
  <c r="V13" i="1"/>
  <c r="U13" i="1"/>
  <c r="T13" i="1"/>
  <c r="S13" i="1"/>
  <c r="T11" i="1"/>
  <c r="S11" i="1"/>
  <c r="R11" i="1"/>
  <c r="Q11" i="1"/>
  <c r="P11" i="1"/>
  <c r="J11" i="1"/>
  <c r="I11" i="1"/>
  <c r="V10" i="1"/>
  <c r="U10" i="1"/>
  <c r="T10" i="1"/>
  <c r="S10" i="1"/>
  <c r="R10" i="1"/>
  <c r="Q10" i="1"/>
  <c r="R3" i="1" s="1"/>
  <c r="R6" i="1" s="1"/>
  <c r="P10" i="1"/>
  <c r="Q3" i="1" s="1"/>
  <c r="Q6" i="1" s="1"/>
  <c r="O10" i="1"/>
  <c r="P3" i="1" s="1"/>
  <c r="P6" i="1" s="1"/>
  <c r="N10" i="1"/>
  <c r="O3" i="1" s="1"/>
  <c r="O6" i="1" s="1"/>
  <c r="M10" i="1"/>
  <c r="N3" i="1" s="1"/>
  <c r="N6" i="1" s="1"/>
  <c r="L10" i="1"/>
  <c r="K10" i="1"/>
  <c r="J10" i="1"/>
  <c r="K3" i="1" s="1"/>
  <c r="K6" i="1" s="1"/>
  <c r="I10" i="1"/>
  <c r="H10" i="1"/>
  <c r="G10" i="1"/>
  <c r="F10" i="1"/>
  <c r="E10" i="1"/>
  <c r="D10" i="1"/>
  <c r="C10" i="1"/>
  <c r="B10" i="1"/>
  <c r="V9" i="1"/>
  <c r="S9" i="1"/>
  <c r="R9" i="1"/>
  <c r="Q9" i="1"/>
  <c r="P9" i="1"/>
  <c r="O9" i="1"/>
  <c r="N9" i="1"/>
  <c r="M9" i="1"/>
  <c r="L9" i="1"/>
  <c r="I9" i="1"/>
  <c r="H9" i="1"/>
  <c r="G9" i="1"/>
  <c r="F9" i="1"/>
  <c r="E9" i="1"/>
  <c r="V8" i="1"/>
  <c r="U8" i="1"/>
  <c r="T8" i="1"/>
  <c r="S8" i="1"/>
  <c r="R8" i="1"/>
  <c r="Q8" i="1"/>
  <c r="P8" i="1"/>
  <c r="O8" i="1"/>
  <c r="O11" i="1" s="1"/>
  <c r="N8" i="1"/>
  <c r="N11" i="1" s="1"/>
  <c r="M8" i="1"/>
  <c r="L8" i="1"/>
  <c r="L11" i="1" s="1"/>
  <c r="K8" i="1"/>
  <c r="K11" i="1" s="1"/>
  <c r="J8" i="1"/>
  <c r="I8" i="1"/>
  <c r="H8" i="1"/>
  <c r="H11" i="1" s="1"/>
  <c r="G8" i="1"/>
  <c r="G11" i="1" s="1"/>
  <c r="F8" i="1"/>
  <c r="F11" i="1" s="1"/>
  <c r="E8" i="1"/>
  <c r="E11" i="1" s="1"/>
  <c r="D8" i="1"/>
  <c r="D11" i="1" s="1"/>
  <c r="C8" i="1"/>
  <c r="C11" i="1" s="1"/>
  <c r="B8" i="1"/>
  <c r="V7" i="1"/>
  <c r="U7" i="1"/>
  <c r="U9" i="1" s="1"/>
  <c r="T7" i="1"/>
  <c r="T9" i="1" s="1"/>
  <c r="S7" i="1"/>
  <c r="R7" i="1"/>
  <c r="Q7" i="1"/>
  <c r="P7" i="1"/>
  <c r="P21" i="1" s="1"/>
  <c r="O7" i="1"/>
  <c r="N7" i="1"/>
  <c r="N26" i="1" s="1"/>
  <c r="M7" i="1"/>
  <c r="M26" i="1" s="1"/>
  <c r="L7" i="1"/>
  <c r="L13" i="1" s="1"/>
  <c r="K7" i="1"/>
  <c r="J7" i="1"/>
  <c r="J13" i="1" s="1"/>
  <c r="I7" i="1"/>
  <c r="H7" i="1"/>
  <c r="G7" i="1"/>
  <c r="G13" i="1" s="1"/>
  <c r="F7" i="1"/>
  <c r="F13" i="1" s="1"/>
  <c r="E7" i="1"/>
  <c r="E13" i="1" s="1"/>
  <c r="D7" i="1"/>
  <c r="C7" i="1"/>
  <c r="B7" i="1"/>
  <c r="J6" i="1"/>
  <c r="I6" i="1"/>
  <c r="F6" i="1"/>
  <c r="E6" i="1"/>
  <c r="D6" i="1"/>
  <c r="V5" i="1"/>
  <c r="U5" i="1"/>
  <c r="U11" i="1" s="1"/>
  <c r="T5" i="1"/>
  <c r="S5" i="1"/>
  <c r="R5" i="1"/>
  <c r="Q5" i="1"/>
  <c r="P5" i="1"/>
  <c r="O5" i="1"/>
  <c r="N5" i="1"/>
  <c r="M5" i="1"/>
  <c r="M6" i="1" s="1"/>
  <c r="L5" i="1"/>
  <c r="K5" i="1"/>
  <c r="J5" i="1"/>
  <c r="I5" i="1"/>
  <c r="H5" i="1"/>
  <c r="G5" i="1"/>
  <c r="F5" i="1"/>
  <c r="E5" i="1"/>
  <c r="D5" i="1"/>
  <c r="C5" i="1"/>
  <c r="B5" i="1"/>
  <c r="V4" i="1"/>
  <c r="V16" i="1" s="1"/>
  <c r="U4" i="1"/>
  <c r="U20" i="1" s="1"/>
  <c r="T4" i="1"/>
  <c r="T16" i="1" s="1"/>
  <c r="S4" i="1"/>
  <c r="R4" i="1"/>
  <c r="Q4" i="1"/>
  <c r="P4" i="1"/>
  <c r="P20" i="1" s="1"/>
  <c r="P25" i="1" s="1"/>
  <c r="O4" i="1"/>
  <c r="O20" i="1" s="1"/>
  <c r="N4" i="1"/>
  <c r="N20" i="1" s="1"/>
  <c r="M4" i="1"/>
  <c r="M20" i="1" s="1"/>
  <c r="M25" i="1" s="1"/>
  <c r="L4" i="1"/>
  <c r="L20" i="1" s="1"/>
  <c r="K4" i="1"/>
  <c r="J4" i="1"/>
  <c r="I4" i="1"/>
  <c r="I15" i="1" s="1"/>
  <c r="H4" i="1"/>
  <c r="G4" i="1"/>
  <c r="F4" i="1"/>
  <c r="F15" i="1" s="1"/>
  <c r="E4" i="1"/>
  <c r="E15" i="1" s="1"/>
  <c r="D4" i="1"/>
  <c r="C4" i="1"/>
  <c r="B4" i="1"/>
  <c r="V3" i="1"/>
  <c r="V6" i="1" s="1"/>
  <c r="U3" i="1"/>
  <c r="T3" i="1"/>
  <c r="S3" i="1"/>
  <c r="S6" i="1" s="1"/>
  <c r="M3" i="1"/>
  <c r="L3" i="1"/>
  <c r="C3" i="1"/>
  <c r="C6" i="1" s="1"/>
  <c r="B3" i="1"/>
  <c r="B6" i="1" s="1"/>
  <c r="U25" i="1" l="1"/>
  <c r="I10" i="5"/>
  <c r="N12" i="4"/>
  <c r="Q9" i="2"/>
  <c r="Q13" i="2"/>
  <c r="Q17" i="2"/>
  <c r="S13" i="2"/>
  <c r="S26" i="1"/>
  <c r="S13" i="4"/>
  <c r="O16" i="4"/>
  <c r="H26" i="1"/>
  <c r="C6" i="5"/>
  <c r="C10" i="5" s="1"/>
  <c r="R9" i="2"/>
  <c r="R13" i="2"/>
  <c r="R17" i="2"/>
  <c r="N25" i="1"/>
  <c r="D13" i="1"/>
  <c r="D21" i="1"/>
  <c r="E23" i="1" s="1"/>
  <c r="O22" i="1"/>
  <c r="D28" i="4"/>
  <c r="O8" i="4"/>
  <c r="O12" i="4" s="1"/>
  <c r="S8" i="4"/>
  <c r="S12" i="4" s="1"/>
  <c r="F18" i="3"/>
  <c r="E30" i="4"/>
  <c r="C26" i="4"/>
  <c r="T6" i="1"/>
  <c r="K26" i="1"/>
  <c r="K17" i="1"/>
  <c r="K21" i="1"/>
  <c r="K23" i="1" s="1"/>
  <c r="K9" i="1"/>
  <c r="P13" i="2"/>
  <c r="P14" i="5"/>
  <c r="T21" i="1"/>
  <c r="T23" i="1" s="1"/>
  <c r="N6" i="2"/>
  <c r="N15" i="3"/>
  <c r="Q14" i="5"/>
  <c r="G11" i="2"/>
  <c r="J17" i="3"/>
  <c r="I30" i="4"/>
  <c r="P10" i="5"/>
  <c r="K17" i="3"/>
  <c r="P15" i="3"/>
  <c r="S14" i="5"/>
  <c r="C15" i="1"/>
  <c r="C20" i="1"/>
  <c r="P13" i="1"/>
  <c r="F20" i="1"/>
  <c r="H17" i="2"/>
  <c r="H13" i="2"/>
  <c r="T17" i="2"/>
  <c r="U16" i="2"/>
  <c r="T15" i="2"/>
  <c r="M17" i="3"/>
  <c r="J11" i="3"/>
  <c r="M23" i="4"/>
  <c r="K31" i="4"/>
  <c r="K26" i="4"/>
  <c r="L6" i="5"/>
  <c r="L10" i="5" s="1"/>
  <c r="M13" i="5"/>
  <c r="D26" i="4"/>
  <c r="O13" i="2"/>
  <c r="O14" i="5"/>
  <c r="O9" i="5"/>
  <c r="V15" i="1"/>
  <c r="D23" i="4"/>
  <c r="O10" i="5"/>
  <c r="O15" i="2"/>
  <c r="F19" i="3"/>
  <c r="F11" i="3"/>
  <c r="F23" i="4"/>
  <c r="F17" i="3"/>
  <c r="G22" i="1"/>
  <c r="K6" i="5"/>
  <c r="K10" i="5" s="1"/>
  <c r="Q21" i="1"/>
  <c r="Q23" i="1" s="1"/>
  <c r="H22" i="1"/>
  <c r="I22" i="1"/>
  <c r="V17" i="2"/>
  <c r="N17" i="3"/>
  <c r="P17" i="3"/>
  <c r="L26" i="1"/>
  <c r="S9" i="2"/>
  <c r="J13" i="2"/>
  <c r="K11" i="3"/>
  <c r="K15" i="3"/>
  <c r="G8" i="4"/>
  <c r="N23" i="4"/>
  <c r="L31" i="4"/>
  <c r="L26" i="4"/>
  <c r="N13" i="5"/>
  <c r="F15" i="2"/>
  <c r="N16" i="4"/>
  <c r="G10" i="5"/>
  <c r="Q11" i="3"/>
  <c r="P8" i="4"/>
  <c r="R16" i="4"/>
  <c r="G17" i="3"/>
  <c r="G18" i="3"/>
  <c r="G13" i="3"/>
  <c r="Q8" i="4"/>
  <c r="Q12" i="4" s="1"/>
  <c r="B23" i="4"/>
  <c r="U15" i="1"/>
  <c r="M11" i="1"/>
  <c r="O25" i="1"/>
  <c r="O13" i="1"/>
  <c r="M16" i="1"/>
  <c r="V21" i="1"/>
  <c r="D13" i="2"/>
  <c r="J30" i="4"/>
  <c r="D15" i="1"/>
  <c r="E16" i="1"/>
  <c r="U17" i="2"/>
  <c r="I11" i="3"/>
  <c r="R15" i="3"/>
  <c r="S19" i="3"/>
  <c r="G15" i="1"/>
  <c r="G16" i="1"/>
  <c r="G6" i="1"/>
  <c r="H8" i="4"/>
  <c r="O23" i="4"/>
  <c r="M31" i="4"/>
  <c r="M26" i="4"/>
  <c r="J14" i="5"/>
  <c r="C23" i="4"/>
  <c r="H13" i="1"/>
  <c r="I13" i="1"/>
  <c r="L25" i="1"/>
  <c r="N10" i="5"/>
  <c r="N15" i="2"/>
  <c r="I17" i="3"/>
  <c r="R14" i="5"/>
  <c r="B15" i="1"/>
  <c r="B20" i="1"/>
  <c r="B25" i="1" s="1"/>
  <c r="Q19" i="3"/>
  <c r="Q20" i="1"/>
  <c r="L11" i="3"/>
  <c r="F16" i="4"/>
  <c r="F11" i="4"/>
  <c r="F12" i="4" s="1"/>
  <c r="H16" i="1"/>
  <c r="H6" i="1"/>
  <c r="L6" i="1"/>
  <c r="U9" i="2"/>
  <c r="Q18" i="3"/>
  <c r="G16" i="4"/>
  <c r="G11" i="4"/>
  <c r="N31" i="4"/>
  <c r="N26" i="4"/>
  <c r="K14" i="5"/>
  <c r="B9" i="1"/>
  <c r="B13" i="1"/>
  <c r="C13" i="1"/>
  <c r="C21" i="1"/>
  <c r="B21" i="1"/>
  <c r="P16" i="4"/>
  <c r="B6" i="5"/>
  <c r="B10" i="5" s="1"/>
  <c r="R11" i="3"/>
  <c r="T15" i="1"/>
  <c r="D25" i="1"/>
  <c r="O6" i="2"/>
  <c r="E25" i="1"/>
  <c r="P11" i="4"/>
  <c r="T9" i="2"/>
  <c r="S20" i="1"/>
  <c r="E18" i="3"/>
  <c r="H16" i="4"/>
  <c r="H11" i="4"/>
  <c r="L15" i="1"/>
  <c r="G26" i="1"/>
  <c r="S21" i="1"/>
  <c r="R8" i="4"/>
  <c r="R12" i="4" s="1"/>
  <c r="L16" i="1"/>
  <c r="F17" i="2"/>
  <c r="O11" i="4"/>
  <c r="N17" i="1"/>
  <c r="N21" i="1"/>
  <c r="N13" i="1"/>
  <c r="G17" i="2"/>
  <c r="G13" i="2"/>
  <c r="O17" i="1"/>
  <c r="O21" i="1"/>
  <c r="F16" i="2"/>
  <c r="L17" i="3"/>
  <c r="K30" i="4"/>
  <c r="L13" i="5"/>
  <c r="R20" i="1"/>
  <c r="V11" i="1"/>
  <c r="H15" i="1"/>
  <c r="U16" i="1"/>
  <c r="M22" i="1"/>
  <c r="O26" i="1"/>
  <c r="F6" i="2"/>
  <c r="V9" i="2"/>
  <c r="O31" i="4"/>
  <c r="O26" i="4"/>
  <c r="J16" i="1"/>
  <c r="J20" i="1"/>
  <c r="T20" i="1"/>
  <c r="P26" i="1"/>
  <c r="P11" i="2"/>
  <c r="N13" i="2"/>
  <c r="S18" i="3"/>
  <c r="O19" i="3"/>
  <c r="S13" i="3"/>
  <c r="I16" i="4"/>
  <c r="I11" i="4"/>
  <c r="I12" i="4" s="1"/>
  <c r="I23" i="4"/>
  <c r="P31" i="4"/>
  <c r="P26" i="4"/>
  <c r="F11" i="5"/>
  <c r="H14" i="5"/>
  <c r="I14" i="5"/>
  <c r="C28" i="4"/>
  <c r="P22" i="1"/>
  <c r="J26" i="1"/>
  <c r="J17" i="1"/>
  <c r="J9" i="1"/>
  <c r="R21" i="1"/>
  <c r="S16" i="4"/>
  <c r="U6" i="1"/>
  <c r="L17" i="1"/>
  <c r="L21" i="1"/>
  <c r="K13" i="1"/>
  <c r="E17" i="2"/>
  <c r="E9" i="2"/>
  <c r="E19" i="3"/>
  <c r="E11" i="3"/>
  <c r="E12" i="3" s="1"/>
  <c r="F5" i="3" s="1"/>
  <c r="F8" i="3" s="1"/>
  <c r="F12" i="3" s="1"/>
  <c r="G5" i="3" s="1"/>
  <c r="G8" i="3" s="1"/>
  <c r="G12" i="3" s="1"/>
  <c r="H5" i="3" s="1"/>
  <c r="H8" i="3" s="1"/>
  <c r="H12" i="3" s="1"/>
  <c r="I5" i="3" s="1"/>
  <c r="I8" i="3" s="1"/>
  <c r="I12" i="3" s="1"/>
  <c r="J5" i="3" s="1"/>
  <c r="J8" i="3" s="1"/>
  <c r="J12" i="3" s="1"/>
  <c r="K5" i="3" s="1"/>
  <c r="K8" i="3" s="1"/>
  <c r="K12" i="3" s="1"/>
  <c r="L5" i="3" s="1"/>
  <c r="L8" i="3" s="1"/>
  <c r="L12" i="3" s="1"/>
  <c r="M5" i="3" s="1"/>
  <c r="M8" i="3" s="1"/>
  <c r="M12" i="3" s="1"/>
  <c r="N5" i="3" s="1"/>
  <c r="N8" i="3" s="1"/>
  <c r="N12" i="3" s="1"/>
  <c r="O5" i="3" s="1"/>
  <c r="O8" i="3" s="1"/>
  <c r="O12" i="3" s="1"/>
  <c r="P5" i="3" s="1"/>
  <c r="P8" i="3" s="1"/>
  <c r="P12" i="3" s="1"/>
  <c r="Q5" i="3" s="1"/>
  <c r="Q8" i="3" s="1"/>
  <c r="Q12" i="3" s="1"/>
  <c r="R5" i="3" s="1"/>
  <c r="R8" i="3" s="1"/>
  <c r="R12" i="3" s="1"/>
  <c r="S5" i="3" s="1"/>
  <c r="S8" i="3" s="1"/>
  <c r="S12" i="3" s="1"/>
  <c r="M17" i="1"/>
  <c r="M21" i="1"/>
  <c r="M23" i="1" s="1"/>
  <c r="M13" i="1"/>
  <c r="U21" i="1"/>
  <c r="E23" i="4"/>
  <c r="S17" i="2"/>
  <c r="Q13" i="1"/>
  <c r="I17" i="2"/>
  <c r="I26" i="1"/>
  <c r="E15" i="4"/>
  <c r="G13" i="4"/>
  <c r="I16" i="1"/>
  <c r="R18" i="3"/>
  <c r="C9" i="1"/>
  <c r="N22" i="1"/>
  <c r="K16" i="1"/>
  <c r="K20" i="1"/>
  <c r="L22" i="1" s="1"/>
  <c r="B11" i="1"/>
  <c r="D9" i="1"/>
  <c r="C24" i="1"/>
  <c r="J15" i="1"/>
  <c r="E17" i="1"/>
  <c r="V22" i="1"/>
  <c r="Q26" i="1"/>
  <c r="E16" i="2"/>
  <c r="J16" i="4"/>
  <c r="J11" i="4"/>
  <c r="J12" i="4" s="1"/>
  <c r="J23" i="4"/>
  <c r="Q31" i="4"/>
  <c r="F9" i="5"/>
  <c r="F10" i="5" s="1"/>
  <c r="G11" i="5"/>
  <c r="N14" i="5"/>
  <c r="S11" i="3"/>
  <c r="S11" i="4"/>
  <c r="L15" i="3"/>
  <c r="P15" i="1"/>
  <c r="T26" i="1"/>
  <c r="H18" i="3"/>
  <c r="E26" i="4"/>
  <c r="F16" i="1"/>
  <c r="V16" i="2"/>
  <c r="K11" i="4"/>
  <c r="K12" i="4" s="1"/>
  <c r="Q26" i="4"/>
  <c r="L11" i="4"/>
  <c r="L12" i="4" s="1"/>
  <c r="R26" i="4"/>
  <c r="L23" i="1" l="1"/>
  <c r="P12" i="4"/>
  <c r="Q22" i="1"/>
  <c r="Q25" i="1"/>
  <c r="C25" i="1"/>
  <c r="R23" i="1"/>
  <c r="G12" i="4"/>
  <c r="U23" i="1"/>
  <c r="R22" i="1"/>
  <c r="R25" i="1"/>
  <c r="K25" i="1"/>
  <c r="K22" i="1"/>
  <c r="N23" i="1"/>
  <c r="J25" i="1"/>
  <c r="J22" i="1"/>
  <c r="F22" i="1"/>
  <c r="F25" i="1"/>
  <c r="V23" i="1"/>
  <c r="S22" i="1"/>
  <c r="S25" i="1"/>
  <c r="H12" i="4"/>
  <c r="T22" i="1"/>
  <c r="T25" i="1"/>
  <c r="O23" i="1"/>
  <c r="P23" i="1"/>
  <c r="S23" i="1"/>
  <c r="U22" i="1"/>
</calcChain>
</file>

<file path=xl/sharedStrings.xml><?xml version="1.0" encoding="utf-8"?>
<sst xmlns="http://schemas.openxmlformats.org/spreadsheetml/2006/main" count="94" uniqueCount="36">
  <si>
    <t>NORTH AMERICA BIODIESEL BALANCES</t>
  </si>
  <si>
    <t>million gallons</t>
  </si>
  <si>
    <t>Beginning Stocks</t>
  </si>
  <si>
    <t xml:space="preserve">Production </t>
  </si>
  <si>
    <t xml:space="preserve">Imports </t>
  </si>
  <si>
    <t xml:space="preserve">    Total Supply</t>
  </si>
  <si>
    <t xml:space="preserve">Consumption </t>
  </si>
  <si>
    <t>Exports</t>
  </si>
  <si>
    <t xml:space="preserve">    Total Use</t>
  </si>
  <si>
    <t>Ending Stocks</t>
  </si>
  <si>
    <t>Net Exports</t>
  </si>
  <si>
    <t>Blending Rate</t>
  </si>
  <si>
    <t>Capacity Total</t>
  </si>
  <si>
    <t>Operating Rate</t>
  </si>
  <si>
    <t>Production Growth</t>
  </si>
  <si>
    <t>Consumption Growth</t>
  </si>
  <si>
    <t>BBD Production</t>
  </si>
  <si>
    <t>BBD Consumption</t>
  </si>
  <si>
    <t>BBD Capacity</t>
  </si>
  <si>
    <t>BBD Operating Rate</t>
  </si>
  <si>
    <t>BBD Blending Rate</t>
  </si>
  <si>
    <t>NORTH AMERICA RENEWABLE DIESEL SUPPLY AND DEMAND</t>
  </si>
  <si>
    <t>Consumption</t>
  </si>
  <si>
    <t>NORTH AMERICA SUSTAINABLE AVIATION FUEL BALANCES</t>
  </si>
  <si>
    <t>Production</t>
  </si>
  <si>
    <t>Imports</t>
  </si>
  <si>
    <t xml:space="preserve">  Total Supply</t>
  </si>
  <si>
    <t>Domestic Use</t>
  </si>
  <si>
    <t xml:space="preserve">  Total Demand</t>
  </si>
  <si>
    <t>Capacity</t>
  </si>
  <si>
    <t>NORTH AMERICA JET FUEL BALANCES</t>
  </si>
  <si>
    <t>EUROPE JET FUEL BALANCES</t>
  </si>
  <si>
    <t>thousand tonnes</t>
  </si>
  <si>
    <r>
      <t xml:space="preserve">Net Exports/ </t>
    </r>
    <r>
      <rPr>
        <sz val="11"/>
        <color rgb="FFFF0000"/>
        <rFont val="Arial"/>
        <family val="2"/>
      </rPr>
      <t>Net Imports</t>
    </r>
  </si>
  <si>
    <t xml:space="preserve">NORTH AMERICA DISTILATE FUEL OIL SUPPLY AND DEMAND  </t>
  </si>
  <si>
    <t>Reported Domestic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</si>
</sst>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MS Sans Serif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Arial Narrow"/>
      <family val="2"/>
    </font>
    <font>
      <b/>
      <sz val="10"/>
      <color theme="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6F079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7030A0"/>
      </bottom>
      <diagonal/>
    </border>
    <border>
      <left/>
      <right/>
      <top style="medium">
        <color rgb="FF8C8C8C"/>
      </top>
      <bottom style="medium">
        <color rgb="FF8C8C8C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0" fontId="5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/>
    <xf numFmtId="0" fontId="4" fillId="2" borderId="2" xfId="0" applyFont="1" applyFill="1" applyBorder="1"/>
    <xf numFmtId="0" fontId="3" fillId="0" borderId="2" xfId="0" applyFont="1" applyBorder="1"/>
    <xf numFmtId="0" fontId="3" fillId="3" borderId="3" xfId="0" applyFont="1" applyFill="1" applyBorder="1" applyAlignment="1">
      <alignment horizontal="right"/>
    </xf>
    <xf numFmtId="0" fontId="6" fillId="3" borderId="0" xfId="2" quotePrefix="1" applyNumberFormat="1" applyFont="1" applyFill="1" applyBorder="1" applyAlignment="1">
      <alignment horizontal="center"/>
    </xf>
    <xf numFmtId="0" fontId="3" fillId="0" borderId="0" xfId="0" applyFont="1"/>
    <xf numFmtId="0" fontId="3" fillId="3" borderId="0" xfId="0" applyFont="1" applyFill="1"/>
    <xf numFmtId="38" fontId="3" fillId="3" borderId="0" xfId="0" applyNumberFormat="1" applyFont="1" applyFill="1" applyAlignment="1">
      <alignment horizontal="center"/>
    </xf>
    <xf numFmtId="38" fontId="4" fillId="3" borderId="0" xfId="0" applyNumberFormat="1" applyFont="1" applyFill="1" applyAlignment="1">
      <alignment horizontal="center"/>
    </xf>
    <xf numFmtId="0" fontId="7" fillId="3" borderId="4" xfId="0" applyFont="1" applyFill="1" applyBorder="1"/>
    <xf numFmtId="0" fontId="7" fillId="0" borderId="0" xfId="0" applyFont="1"/>
    <xf numFmtId="0" fontId="3" fillId="3" borderId="5" xfId="0" applyFont="1" applyFill="1" applyBorder="1"/>
    <xf numFmtId="38" fontId="3" fillId="3" borderId="5" xfId="0" applyNumberFormat="1" applyFont="1" applyFill="1" applyBorder="1" applyAlignment="1">
      <alignment horizontal="center"/>
    </xf>
    <xf numFmtId="38" fontId="4" fillId="3" borderId="5" xfId="0" applyNumberFormat="1" applyFont="1" applyFill="1" applyBorder="1" applyAlignment="1">
      <alignment horizontal="center"/>
    </xf>
    <xf numFmtId="38" fontId="3" fillId="3" borderId="0" xfId="0" applyNumberFormat="1" applyFont="1" applyFill="1"/>
    <xf numFmtId="38" fontId="3" fillId="3" borderId="6" xfId="0" applyNumberFormat="1" applyFont="1" applyFill="1" applyBorder="1"/>
    <xf numFmtId="38" fontId="3" fillId="3" borderId="6" xfId="0" applyNumberFormat="1" applyFont="1" applyFill="1" applyBorder="1" applyAlignment="1">
      <alignment horizontal="center"/>
    </xf>
    <xf numFmtId="0" fontId="3" fillId="0" borderId="0" xfId="3" applyFont="1"/>
    <xf numFmtId="38" fontId="3" fillId="0" borderId="0" xfId="3" applyNumberFormat="1" applyFont="1" applyAlignment="1">
      <alignment horizontal="center" vertical="center"/>
    </xf>
    <xf numFmtId="38" fontId="4" fillId="0" borderId="0" xfId="3" applyNumberFormat="1" applyFont="1" applyAlignment="1">
      <alignment horizontal="center" vertical="center"/>
    </xf>
    <xf numFmtId="164" fontId="3" fillId="0" borderId="0" xfId="4" applyNumberFormat="1" applyFont="1" applyFill="1"/>
    <xf numFmtId="0" fontId="3" fillId="0" borderId="5" xfId="0" applyFont="1" applyBorder="1"/>
    <xf numFmtId="38" fontId="3" fillId="3" borderId="4" xfId="0" applyNumberFormat="1" applyFont="1" applyFill="1" applyBorder="1"/>
    <xf numFmtId="9" fontId="3" fillId="3" borderId="4" xfId="1" applyFont="1" applyFill="1" applyBorder="1" applyAlignment="1">
      <alignment horizontal="center"/>
    </xf>
    <xf numFmtId="0" fontId="3" fillId="0" borderId="4" xfId="0" applyFont="1" applyBorder="1"/>
    <xf numFmtId="164" fontId="3" fillId="3" borderId="0" xfId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38" fontId="3" fillId="0" borderId="5" xfId="0" applyNumberFormat="1" applyFont="1" applyBorder="1"/>
    <xf numFmtId="38" fontId="3" fillId="0" borderId="4" xfId="0" applyNumberFormat="1" applyFont="1" applyBorder="1"/>
    <xf numFmtId="164" fontId="3" fillId="0" borderId="0" xfId="1" applyNumberFormat="1" applyFont="1"/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6" fillId="3" borderId="3" xfId="2" quotePrefix="1" applyNumberFormat="1" applyFont="1" applyFill="1" applyBorder="1" applyAlignment="1">
      <alignment horizontal="center"/>
    </xf>
    <xf numFmtId="0" fontId="3" fillId="3" borderId="4" xfId="0" applyFont="1" applyFill="1" applyBorder="1"/>
    <xf numFmtId="0" fontId="3" fillId="0" borderId="0" xfId="0" applyFont="1" applyAlignment="1">
      <alignment vertical="center" wrapText="1"/>
    </xf>
    <xf numFmtId="38" fontId="3" fillId="0" borderId="0" xfId="0" applyNumberFormat="1" applyFont="1"/>
    <xf numFmtId="38" fontId="3" fillId="3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9" fillId="2" borderId="1" xfId="0" applyFont="1" applyFill="1" applyBorder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7" xfId="3" applyFont="1" applyBorder="1" applyAlignment="1">
      <alignment horizontal="center"/>
    </xf>
    <xf numFmtId="0" fontId="4" fillId="0" borderId="0" xfId="3" applyFont="1"/>
    <xf numFmtId="165" fontId="3" fillId="0" borderId="0" xfId="4" applyNumberFormat="1" applyFont="1" applyFill="1"/>
    <xf numFmtId="10" fontId="3" fillId="0" borderId="0" xfId="4" applyNumberFormat="1" applyFont="1" applyFill="1"/>
    <xf numFmtId="0" fontId="3" fillId="0" borderId="5" xfId="3" applyFont="1" applyBorder="1"/>
    <xf numFmtId="38" fontId="3" fillId="0" borderId="5" xfId="3" applyNumberFormat="1" applyFont="1" applyBorder="1"/>
    <xf numFmtId="0" fontId="3" fillId="0" borderId="4" xfId="3" applyFont="1" applyBorder="1"/>
    <xf numFmtId="9" fontId="3" fillId="0" borderId="4" xfId="1" applyFont="1" applyBorder="1"/>
    <xf numFmtId="164" fontId="3" fillId="0" borderId="4" xfId="1" applyNumberFormat="1" applyFont="1" applyBorder="1"/>
    <xf numFmtId="0" fontId="4" fillId="0" borderId="7" xfId="3" applyFont="1" applyBorder="1" applyAlignment="1">
      <alignment horizontal="center"/>
    </xf>
    <xf numFmtId="40" fontId="3" fillId="0" borderId="0" xfId="3" applyNumberFormat="1" applyFont="1" applyAlignment="1">
      <alignment horizontal="center" vertical="center"/>
    </xf>
    <xf numFmtId="40" fontId="4" fillId="0" borderId="0" xfId="3" applyNumberFormat="1" applyFont="1" applyAlignment="1">
      <alignment horizontal="center" vertical="center"/>
    </xf>
    <xf numFmtId="164" fontId="4" fillId="3" borderId="0" xfId="1" applyNumberFormat="1" applyFont="1" applyFill="1" applyAlignment="1">
      <alignment horizontal="center"/>
    </xf>
  </cellXfs>
  <cellStyles count="5">
    <cellStyle name="Comma 9" xfId="2" xr:uid="{B0921ECA-C6F5-4F85-8151-789669957AFF}"/>
    <cellStyle name="Normal" xfId="0" builtinId="0"/>
    <cellStyle name="Normal 2" xfId="3" xr:uid="{C24DDC61-9472-4C6B-A951-F878A16502D6}"/>
    <cellStyle name="Percent" xfId="1" builtinId="5"/>
    <cellStyle name="Percent 2" xfId="4" xr:uid="{E2CC24DE-992C-4F74-A9E0-46D2D5CEDC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Quarterly%20Outlook%20Report/2025/Q1/usbbd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Quarterly%20Outlook%20Report/2025/Q1/usbbdb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BBD%20Balances/cabbdbal.xlsx" TargetMode="External"/><Relationship Id="rId1" Type="http://schemas.openxmlformats.org/officeDocument/2006/relationships/externalLinkPath" Target="https://fmpra-my.sharepoint.com/personal/svc-tjteamreader_fmpra_com/Documents/TJTeam%20-%20Documents/Biomass-Based%20Diesel/BBD%20Balances/cabbdb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BBD%20Balances/ukbbdbal.xlsx" TargetMode="External"/><Relationship Id="rId1" Type="http://schemas.openxmlformats.org/officeDocument/2006/relationships/externalLinkPath" Target="https://fmpra-my.sharepoint.com/personal/svc-tjteamreader_fmpra_com/Documents/TJTeam%20-%20Documents/Biomass-Based%20Diesel/BBD%20Balances/ukbbdba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BBD%20Balances/eubbdbal.xlsx" TargetMode="External"/><Relationship Id="rId1" Type="http://schemas.openxmlformats.org/officeDocument/2006/relationships/externalLinkPath" Target="https://fmpra-my.sharepoint.com/personal/svc-tjteamreader_fmpra_com/Documents/TJTeam%20-%20Documents/Biomass-Based%20Diesel/BBD%20Balances/eubbd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XW2YFIRF6WREIMQZY372BNXHH">
      <xxl21:absoluteUrl r:id="rId2"/>
    </xxl21:alternateUrls>
    <sheetNames>
      <sheetName val="Data Sources"/>
      <sheetName val="Capacity"/>
      <sheetName val="Annual data"/>
      <sheetName val="Monthly Data"/>
      <sheetName val="BD"/>
      <sheetName val="RD"/>
      <sheetName val="SAF"/>
      <sheetName val="Jet Fuel"/>
      <sheetName val="Diesel"/>
    </sheetNames>
    <sheetDataSet>
      <sheetData sheetId="0"/>
      <sheetData sheetId="1"/>
      <sheetData sheetId="2"/>
      <sheetData sheetId="3"/>
      <sheetData sheetId="4">
        <row r="4">
          <cell r="P4">
            <v>131.485998</v>
          </cell>
        </row>
        <row r="5">
          <cell r="P5">
            <v>1254.2727239999999</v>
          </cell>
          <cell r="Q5">
            <v>1633.1071199999999</v>
          </cell>
          <cell r="R5">
            <v>1588.24974</v>
          </cell>
          <cell r="S5">
            <v>1855.4527500000002</v>
          </cell>
          <cell r="T5">
            <v>1713.7735769999999</v>
          </cell>
          <cell r="U5">
            <v>1824.8736379999998</v>
          </cell>
          <cell r="V5">
            <v>1704.627334</v>
          </cell>
          <cell r="W5">
            <v>1620.2090629999998</v>
          </cell>
          <cell r="X5">
            <v>1672.1473329999999</v>
          </cell>
          <cell r="Y5">
            <v>1669.706332</v>
          </cell>
          <cell r="Z5">
            <v>1541.374249396534</v>
          </cell>
          <cell r="AA5">
            <v>1455.5629743495322</v>
          </cell>
          <cell r="AB5">
            <v>1456.3526785195472</v>
          </cell>
          <cell r="AC5">
            <v>1425.9838211887379</v>
          </cell>
          <cell r="AD5">
            <v>1355.1409681133503</v>
          </cell>
          <cell r="AE5">
            <v>1361.1353642770173</v>
          </cell>
          <cell r="AF5">
            <v>1340.1046770827099</v>
          </cell>
          <cell r="AG5">
            <v>1350.2363714714156</v>
          </cell>
          <cell r="AH5">
            <v>1285.0098166325654</v>
          </cell>
          <cell r="AI5">
            <v>1193.7472671519008</v>
          </cell>
          <cell r="AJ5">
            <v>1151.3322283097086</v>
          </cell>
        </row>
        <row r="6">
          <cell r="P6">
            <v>335.66485599999999</v>
          </cell>
          <cell r="Q6">
            <v>674.168317</v>
          </cell>
          <cell r="R6">
            <v>461.91464400000007</v>
          </cell>
          <cell r="S6">
            <v>175.141321</v>
          </cell>
          <cell r="T6">
            <v>184.74155299999995</v>
          </cell>
          <cell r="U6">
            <v>209.493674</v>
          </cell>
          <cell r="V6">
            <v>208.45072699999997</v>
          </cell>
          <cell r="W6">
            <v>240.324591</v>
          </cell>
          <cell r="X6">
            <v>511.34665100000001</v>
          </cell>
          <cell r="Y6">
            <v>404.28373199999999</v>
          </cell>
          <cell r="Z6">
            <v>125</v>
          </cell>
          <cell r="AA6">
            <v>190</v>
          </cell>
          <cell r="AB6">
            <v>200</v>
          </cell>
          <cell r="AC6">
            <v>220</v>
          </cell>
          <cell r="AD6">
            <v>220</v>
          </cell>
          <cell r="AE6">
            <v>230</v>
          </cell>
          <cell r="AF6">
            <v>210</v>
          </cell>
          <cell r="AG6">
            <v>190</v>
          </cell>
          <cell r="AH6">
            <v>180</v>
          </cell>
          <cell r="AI6">
            <v>175</v>
          </cell>
          <cell r="AJ6">
            <v>160</v>
          </cell>
        </row>
        <row r="8">
          <cell r="P8">
            <v>1467.3401725000001</v>
          </cell>
          <cell r="Q8">
            <v>2113.8550206999998</v>
          </cell>
          <cell r="R8">
            <v>2045.2997648999999</v>
          </cell>
          <cell r="S8">
            <v>1909.5693570999999</v>
          </cell>
          <cell r="T8">
            <v>1815.6227404999997</v>
          </cell>
          <cell r="U8">
            <v>1901.5619628999998</v>
          </cell>
          <cell r="V8">
            <v>1705.6791231</v>
          </cell>
          <cell r="W8">
            <v>1645.0702699999997</v>
          </cell>
          <cell r="X8">
            <v>1921.3659179999997</v>
          </cell>
          <cell r="Y8">
            <v>1874.1351235999996</v>
          </cell>
          <cell r="Z8">
            <v>1575</v>
          </cell>
          <cell r="AA8">
            <v>1600</v>
          </cell>
          <cell r="AB8">
            <v>1500</v>
          </cell>
          <cell r="AC8">
            <v>1475</v>
          </cell>
          <cell r="AD8">
            <v>1475</v>
          </cell>
          <cell r="AE8">
            <v>1500</v>
          </cell>
          <cell r="AF8">
            <v>1575</v>
          </cell>
          <cell r="AG8">
            <v>1475</v>
          </cell>
          <cell r="AH8">
            <v>1400</v>
          </cell>
          <cell r="AI8">
            <v>1325</v>
          </cell>
          <cell r="AJ8">
            <v>1275</v>
          </cell>
        </row>
        <row r="10">
          <cell r="P10">
            <v>88.464847500000005</v>
          </cell>
          <cell r="Q10">
            <v>90.333894300000011</v>
          </cell>
          <cell r="R10">
            <v>94.315841099999986</v>
          </cell>
          <cell r="S10">
            <v>104.4654579</v>
          </cell>
          <cell r="T10">
            <v>114.6274215</v>
          </cell>
          <cell r="U10">
            <v>142.9372611</v>
          </cell>
          <cell r="V10">
            <v>185.47014990000002</v>
          </cell>
          <cell r="W10">
            <v>239.80860000000004</v>
          </cell>
          <cell r="X10">
            <v>252.90389999999996</v>
          </cell>
          <cell r="Y10">
            <v>200</v>
          </cell>
          <cell r="Z10">
            <v>125</v>
          </cell>
          <cell r="AA10">
            <v>125</v>
          </cell>
          <cell r="AB10">
            <v>120</v>
          </cell>
          <cell r="AC10">
            <v>120</v>
          </cell>
          <cell r="AD10">
            <v>100</v>
          </cell>
          <cell r="AE10">
            <v>85</v>
          </cell>
          <cell r="AF10">
            <v>70</v>
          </cell>
          <cell r="AG10">
            <v>70</v>
          </cell>
          <cell r="AH10">
            <v>60</v>
          </cell>
          <cell r="AI10">
            <v>60</v>
          </cell>
          <cell r="AJ10">
            <v>55</v>
          </cell>
        </row>
        <row r="12">
          <cell r="P12">
            <v>165.61855799999998</v>
          </cell>
          <cell r="Q12">
            <v>268.70508000000001</v>
          </cell>
          <cell r="R12">
            <v>179.25385799999998</v>
          </cell>
          <cell r="S12">
            <v>195.81311399999998</v>
          </cell>
          <cell r="T12">
            <v>164.07808199999999</v>
          </cell>
          <cell r="U12">
            <v>153.94617000000002</v>
          </cell>
          <cell r="V12">
            <v>175.87495799999999</v>
          </cell>
          <cell r="W12">
            <v>151.529742</v>
          </cell>
          <cell r="X12">
            <v>160.753908</v>
          </cell>
          <cell r="Y12">
            <v>160.6088484</v>
          </cell>
          <cell r="Z12">
            <v>126.98309779653414</v>
          </cell>
          <cell r="AA12">
            <v>47.546072146066251</v>
          </cell>
          <cell r="AB12">
            <v>83.898750665613719</v>
          </cell>
          <cell r="AC12">
            <v>134.88257185435185</v>
          </cell>
          <cell r="AD12">
            <v>135.02353996770216</v>
          </cell>
          <cell r="AE12">
            <v>141.15890424471968</v>
          </cell>
          <cell r="AF12">
            <v>46.263581327429591</v>
          </cell>
          <cell r="AG12">
            <v>41.499952798845143</v>
          </cell>
          <cell r="AH12">
            <v>46.509769431410632</v>
          </cell>
          <cell r="AI12">
            <v>30.257036583311269</v>
          </cell>
          <cell r="AJ12">
            <v>11.589264893019532</v>
          </cell>
        </row>
        <row r="20">
          <cell r="P20"/>
          <cell r="Q20"/>
          <cell r="R20"/>
          <cell r="S20">
            <v>2524.9166666666665</v>
          </cell>
          <cell r="T20">
            <v>2543.0833333333335</v>
          </cell>
          <cell r="U20">
            <v>2491.25</v>
          </cell>
          <cell r="V20">
            <v>2406.6666666666665</v>
          </cell>
          <cell r="W20">
            <v>2171.5</v>
          </cell>
          <cell r="X20">
            <v>2076.0833333333335</v>
          </cell>
          <cell r="Y20">
            <v>2006.851851851852</v>
          </cell>
          <cell r="Z20">
            <v>1947.1851851851852</v>
          </cell>
          <cell r="AA20">
            <v>1881.9999999999993</v>
          </cell>
          <cell r="AB20">
            <v>1806.4444444444437</v>
          </cell>
          <cell r="AC20">
            <v>1748.6666666666661</v>
          </cell>
          <cell r="AD20">
            <v>1764.7777777777771</v>
          </cell>
          <cell r="AE20">
            <v>1750.6111111111106</v>
          </cell>
          <cell r="AF20">
            <v>1784.7777777777774</v>
          </cell>
          <cell r="AG20">
            <v>1799.7777777777774</v>
          </cell>
          <cell r="AH20">
            <v>1799.7777777777774</v>
          </cell>
          <cell r="AI20">
            <v>1749.7777777777774</v>
          </cell>
          <cell r="AJ20">
            <v>1749.7777777777774</v>
          </cell>
        </row>
      </sheetData>
      <sheetData sheetId="5">
        <row r="4">
          <cell r="P4">
            <v>14.7</v>
          </cell>
        </row>
        <row r="5">
          <cell r="P5">
            <v>176.84761600000002</v>
          </cell>
          <cell r="Q5">
            <v>241.487435</v>
          </cell>
          <cell r="R5">
            <v>258.34212500000001</v>
          </cell>
          <cell r="S5">
            <v>305.48444699999993</v>
          </cell>
          <cell r="T5">
            <v>492.13718899999998</v>
          </cell>
          <cell r="U5">
            <v>533.50834700000007</v>
          </cell>
          <cell r="V5">
            <v>845.43490700000007</v>
          </cell>
          <cell r="W5">
            <v>1455.3367060000003</v>
          </cell>
          <cell r="X5">
            <v>2427.796409</v>
          </cell>
          <cell r="Y5">
            <v>3137.4656639999998</v>
          </cell>
          <cell r="Z5">
            <v>2864.2887580223064</v>
          </cell>
          <cell r="AA5">
            <v>3232.0181926704358</v>
          </cell>
          <cell r="AB5">
            <v>3397.4050420192548</v>
          </cell>
          <cell r="AC5">
            <v>3323.5855916023911</v>
          </cell>
          <cell r="AD5">
            <v>3601.2317407941523</v>
          </cell>
          <cell r="AE5">
            <v>3766.9643445785482</v>
          </cell>
          <cell r="AF5">
            <v>3957.3650597881042</v>
          </cell>
          <cell r="AG5">
            <v>4299.1937137093219</v>
          </cell>
          <cell r="AH5">
            <v>4234.3828354739298</v>
          </cell>
          <cell r="AI5">
            <v>3999.4763748744845</v>
          </cell>
          <cell r="AJ5">
            <v>4467.8775371987449</v>
          </cell>
        </row>
        <row r="6">
          <cell r="P6">
            <v>336.29695800000002</v>
          </cell>
          <cell r="Q6">
            <v>349.686036</v>
          </cell>
          <cell r="R6">
            <v>344.38169499999998</v>
          </cell>
          <cell r="S6">
            <v>309.84663699999999</v>
          </cell>
          <cell r="T6">
            <v>417.99749199999997</v>
          </cell>
          <cell r="U6">
            <v>433.28415400000006</v>
          </cell>
          <cell r="V6">
            <v>452.71395800000005</v>
          </cell>
          <cell r="W6">
            <v>425.78085299999998</v>
          </cell>
          <cell r="X6">
            <v>452.29152300000004</v>
          </cell>
          <cell r="Y6">
            <v>423.52510699999993</v>
          </cell>
          <cell r="Z6">
            <v>84.231482499999984</v>
          </cell>
          <cell r="AA6">
            <v>273.75231812499999</v>
          </cell>
          <cell r="AB6">
            <v>252.69444749999997</v>
          </cell>
          <cell r="AC6">
            <v>231.63657687500003</v>
          </cell>
          <cell r="AD6">
            <v>210.57870625000001</v>
          </cell>
          <cell r="AE6">
            <v>189.52083562499999</v>
          </cell>
          <cell r="AF6">
            <v>189.52083562499999</v>
          </cell>
          <cell r="AG6">
            <v>168.46296500000003</v>
          </cell>
          <cell r="AH6">
            <v>160.03981675</v>
          </cell>
          <cell r="AI6">
            <v>151.6166685</v>
          </cell>
          <cell r="AJ6">
            <v>151.6166685</v>
          </cell>
        </row>
        <row r="8">
          <cell r="P8">
            <v>501.21657399999992</v>
          </cell>
          <cell r="Q8">
            <v>562.57147099999997</v>
          </cell>
          <cell r="R8">
            <v>626.32781999999997</v>
          </cell>
          <cell r="S8">
            <v>574.42308400000002</v>
          </cell>
          <cell r="T8">
            <v>920.04668100000004</v>
          </cell>
          <cell r="U8">
            <v>975.36050099999989</v>
          </cell>
          <cell r="V8">
            <v>1253.3872809999998</v>
          </cell>
          <cell r="W8">
            <v>1836.9038649999998</v>
          </cell>
          <cell r="X8">
            <v>2793.0508700000005</v>
          </cell>
          <cell r="Y8">
            <v>3529.4119243999999</v>
          </cell>
          <cell r="Z8">
            <v>3150</v>
          </cell>
          <cell r="AA8">
            <v>3500</v>
          </cell>
          <cell r="AB8">
            <v>3550</v>
          </cell>
          <cell r="AC8">
            <v>3550</v>
          </cell>
          <cell r="AD8">
            <v>3800</v>
          </cell>
          <cell r="AE8">
            <v>3825</v>
          </cell>
          <cell r="AF8">
            <v>4050</v>
          </cell>
          <cell r="AG8">
            <v>4325</v>
          </cell>
          <cell r="AH8">
            <v>4525</v>
          </cell>
          <cell r="AI8">
            <v>4275</v>
          </cell>
          <cell r="AJ8">
            <v>4650</v>
          </cell>
        </row>
        <row r="9"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37.533273600000001</v>
          </cell>
          <cell r="X9">
            <v>110.62620673000001</v>
          </cell>
          <cell r="Y9">
            <v>273.06962313000008</v>
          </cell>
          <cell r="Z9">
            <v>136.53481156500004</v>
          </cell>
          <cell r="AA9">
            <v>170.66851445625005</v>
          </cell>
          <cell r="AB9">
            <v>172.72478897031255</v>
          </cell>
          <cell r="AC9">
            <v>172.72478897031255</v>
          </cell>
          <cell r="AD9">
            <v>185.14450541837505</v>
          </cell>
          <cell r="AE9">
            <v>187.55948187605003</v>
          </cell>
          <cell r="AF9">
            <v>185.48950205518577</v>
          </cell>
          <cell r="AG9">
            <v>192.97805618735515</v>
          </cell>
          <cell r="AH9">
            <v>196.04137684769162</v>
          </cell>
          <cell r="AI9">
            <v>199.66607147504038</v>
          </cell>
          <cell r="AJ9">
            <v>200.51482611857293</v>
          </cell>
        </row>
        <row r="11">
          <cell r="P11">
            <v>26.628</v>
          </cell>
          <cell r="Q11">
            <v>55.23</v>
          </cell>
          <cell r="R11">
            <v>31.626000000000001</v>
          </cell>
          <cell r="S11">
            <v>72.534000000000006</v>
          </cell>
          <cell r="T11">
            <v>62.622</v>
          </cell>
          <cell r="U11">
            <v>54.054000000000002</v>
          </cell>
          <cell r="V11">
            <v>98.815584000000001</v>
          </cell>
          <cell r="W11">
            <v>143.02927800000001</v>
          </cell>
          <cell r="X11">
            <v>230.06634000000003</v>
          </cell>
          <cell r="Y11">
            <v>261.64518660000005</v>
          </cell>
          <cell r="Z11">
            <v>37.964106612674868</v>
          </cell>
          <cell r="AA11">
            <v>20.004681770622085</v>
          </cell>
          <cell r="AB11">
            <v>92.529545997184528</v>
          </cell>
          <cell r="AC11">
            <v>77.438838094870903</v>
          </cell>
          <cell r="AD11">
            <v>66.559236813101336</v>
          </cell>
          <cell r="AE11">
            <v>168.6007868725701</v>
          </cell>
          <cell r="AF11">
            <v>236.69144881504917</v>
          </cell>
          <cell r="AG11">
            <v>347.92337020854211</v>
          </cell>
          <cell r="AH11">
            <v>203.16495678969738</v>
          </cell>
          <cell r="AI11">
            <v>65.033806907213716</v>
          </cell>
          <cell r="AJ11">
            <v>13.984555436804158</v>
          </cell>
        </row>
        <row r="13">
          <cell r="P13">
            <v>255</v>
          </cell>
          <cell r="Q13">
            <v>366.5</v>
          </cell>
          <cell r="R13">
            <v>408</v>
          </cell>
          <cell r="S13">
            <v>443.21250000000003</v>
          </cell>
          <cell r="T13">
            <v>558</v>
          </cell>
          <cell r="U13">
            <v>633</v>
          </cell>
          <cell r="V13">
            <v>924.66666666666663</v>
          </cell>
          <cell r="W13">
            <v>2132.5833333333335</v>
          </cell>
          <cell r="X13">
            <v>3544.5</v>
          </cell>
          <cell r="Y13">
            <v>4403.25</v>
          </cell>
          <cell r="Z13">
            <v>4965.1125000000002</v>
          </cell>
          <cell r="AA13">
            <v>5312.4125000000004</v>
          </cell>
          <cell r="AB13">
            <v>5395.85</v>
          </cell>
          <cell r="AC13">
            <v>5585.3291666666664</v>
          </cell>
          <cell r="AD13">
            <v>5593.3499999999995</v>
          </cell>
          <cell r="AE13">
            <v>5593.3499999999995</v>
          </cell>
          <cell r="AF13">
            <v>5642.8291666666664</v>
          </cell>
          <cell r="AG13">
            <v>5650.8499999999995</v>
          </cell>
          <cell r="AH13">
            <v>5650.8499999999995</v>
          </cell>
          <cell r="AI13">
            <v>5650.8499999999995</v>
          </cell>
          <cell r="AJ13">
            <v>5650.8499999999995</v>
          </cell>
        </row>
      </sheetData>
      <sheetData sheetId="6">
        <row r="5">
          <cell r="B5">
            <v>0</v>
          </cell>
        </row>
        <row r="6">
          <cell r="B6">
            <v>1.8281779999999999</v>
          </cell>
          <cell r="C6">
            <v>2.4287020000000004</v>
          </cell>
          <cell r="D6">
            <v>4.6083990000000004</v>
          </cell>
          <cell r="E6">
            <v>5.0766230000000006</v>
          </cell>
          <cell r="F6">
            <v>7.8931369999999985</v>
          </cell>
          <cell r="G6">
            <v>14.016105</v>
          </cell>
          <cell r="H6">
            <v>38.708892999999996</v>
          </cell>
          <cell r="I6">
            <v>159.4798283152619</v>
          </cell>
          <cell r="J6">
            <v>462.77420982507391</v>
          </cell>
          <cell r="K6">
            <v>1329.0015229104874</v>
          </cell>
          <cell r="L6">
            <v>1725.0610352353146</v>
          </cell>
          <cell r="M6">
            <v>2224.0188550054436</v>
          </cell>
          <cell r="N6">
            <v>2976.0903846193773</v>
          </cell>
          <cell r="O6">
            <v>3401.003898003527</v>
          </cell>
          <cell r="P6">
            <v>4184.8261989946277</v>
          </cell>
          <cell r="Q6">
            <v>4203.4897315077342</v>
          </cell>
          <cell r="R6">
            <v>4322.4233203559361</v>
          </cell>
          <cell r="S6">
            <v>4603.1579317894975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7.9267400000000006</v>
          </cell>
          <cell r="G7">
            <v>12.283992</v>
          </cell>
          <cell r="H7">
            <v>73.150417000000004</v>
          </cell>
          <cell r="I7">
            <v>65</v>
          </cell>
          <cell r="J7">
            <v>46.27742098250738</v>
          </cell>
          <cell r="K7">
            <v>66.450076145524378</v>
          </cell>
          <cell r="L7">
            <v>86.253051761765718</v>
          </cell>
          <cell r="M7">
            <v>100.08084847524496</v>
          </cell>
          <cell r="N7">
            <v>133.92406730787198</v>
          </cell>
          <cell r="O7">
            <v>119.03513643012346</v>
          </cell>
          <cell r="P7">
            <v>104.62065497486572</v>
          </cell>
          <cell r="Q7">
            <v>105.08724328769337</v>
          </cell>
          <cell r="R7">
            <v>108.06058300889843</v>
          </cell>
          <cell r="S7">
            <v>115.07894829473742</v>
          </cell>
        </row>
        <row r="9">
          <cell r="B9">
            <v>1.8281779999999999</v>
          </cell>
          <cell r="C9">
            <v>2.4287020000000004</v>
          </cell>
          <cell r="D9">
            <v>4.6083990000000004</v>
          </cell>
          <cell r="E9">
            <v>5.0766230000000006</v>
          </cell>
          <cell r="F9">
            <v>15.819876999999998</v>
          </cell>
          <cell r="G9">
            <v>26.300097000000001</v>
          </cell>
          <cell r="H9">
            <v>111.85930999999999</v>
          </cell>
          <cell r="I9">
            <v>124.4798283152619</v>
          </cell>
          <cell r="J9">
            <v>209.05163080758132</v>
          </cell>
          <cell r="K9">
            <v>1015.4515990560119</v>
          </cell>
          <cell r="L9">
            <v>1386.3140869970803</v>
          </cell>
          <cell r="M9">
            <v>1804.0997034806887</v>
          </cell>
          <cell r="N9">
            <v>2430.0144519272494</v>
          </cell>
          <cell r="O9">
            <v>2820.0390344336506</v>
          </cell>
          <cell r="P9">
            <v>3589.4468539694935</v>
          </cell>
          <cell r="Q9">
            <v>3608.5769747954273</v>
          </cell>
          <cell r="R9">
            <v>3730.4839033648341</v>
          </cell>
          <cell r="S9">
            <v>4018.2368800842351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100</v>
          </cell>
          <cell r="J10">
            <v>300</v>
          </cell>
          <cell r="K10">
            <v>380</v>
          </cell>
          <cell r="L10">
            <v>425</v>
          </cell>
          <cell r="M10">
            <v>520</v>
          </cell>
          <cell r="N10">
            <v>680</v>
          </cell>
          <cell r="O10">
            <v>700</v>
          </cell>
          <cell r="P10">
            <v>700</v>
          </cell>
          <cell r="Q10">
            <v>700</v>
          </cell>
          <cell r="R10">
            <v>700</v>
          </cell>
          <cell r="S10">
            <v>700</v>
          </cell>
        </row>
        <row r="18">
          <cell r="D18">
            <v>142.1</v>
          </cell>
          <cell r="E18">
            <v>565.6</v>
          </cell>
          <cell r="F18">
            <v>965.601</v>
          </cell>
          <cell r="G18">
            <v>965.601</v>
          </cell>
          <cell r="H18">
            <v>924.15862913264345</v>
          </cell>
          <cell r="I18">
            <v>1869.6263030739653</v>
          </cell>
          <cell r="J18">
            <v>1880.2492889209082</v>
          </cell>
          <cell r="K18">
            <v>3799.012795997437</v>
          </cell>
          <cell r="L18">
            <v>4075.9127959974371</v>
          </cell>
          <cell r="M18">
            <v>4564.4445495357004</v>
          </cell>
          <cell r="N18">
            <v>5362.5080566122306</v>
          </cell>
          <cell r="O18">
            <v>5416.9400566122304</v>
          </cell>
          <cell r="P18">
            <v>6771.1750707652873</v>
          </cell>
          <cell r="Q18">
            <v>6771.1750707652873</v>
          </cell>
          <cell r="R18">
            <v>6771.1750707652873</v>
          </cell>
          <cell r="S18">
            <v>6771.1750707652873</v>
          </cell>
        </row>
      </sheetData>
      <sheetData sheetId="7">
        <row r="5">
          <cell r="B5">
            <v>1734.768</v>
          </cell>
          <cell r="C5">
            <v>1746.57</v>
          </cell>
          <cell r="D5">
            <v>1699.614</v>
          </cell>
          <cell r="E5">
            <v>1622.3340000000001</v>
          </cell>
          <cell r="F5">
            <v>1503.5160000000001</v>
          </cell>
          <cell r="G5">
            <v>1471.6379999999999</v>
          </cell>
          <cell r="H5">
            <v>1670.0039999999999</v>
          </cell>
          <cell r="I5">
            <v>1843.086</v>
          </cell>
          <cell r="J5">
            <v>2347.9443639706005</v>
          </cell>
          <cell r="K5">
            <v>3260.8772819706028</v>
          </cell>
          <cell r="L5">
            <v>4159.0066789232733</v>
          </cell>
          <cell r="M5">
            <v>5305.874351454775</v>
          </cell>
          <cell r="N5">
            <v>6317.0969316492628</v>
          </cell>
          <cell r="O5">
            <v>7342.2630567644082</v>
          </cell>
          <cell r="P5">
            <v>8661.7873993889589</v>
          </cell>
          <cell r="Q5">
            <v>9914.0879220842326</v>
          </cell>
          <cell r="R5">
            <v>11272.799532682104</v>
          </cell>
          <cell r="S5">
            <v>12531.095611159813</v>
          </cell>
        </row>
        <row r="6">
          <cell r="B6">
            <v>27691.985999999997</v>
          </cell>
          <cell r="C6">
            <v>27540.156000000003</v>
          </cell>
          <cell r="D6">
            <v>15651.090000000002</v>
          </cell>
          <cell r="E6">
            <v>20095.824000000001</v>
          </cell>
          <cell r="F6">
            <v>24762.276000000002</v>
          </cell>
          <cell r="G6">
            <v>26244.875999999997</v>
          </cell>
          <cell r="H6">
            <v>27753.095999999998</v>
          </cell>
          <cell r="I6">
            <v>27700</v>
          </cell>
          <cell r="J6">
            <v>28450</v>
          </cell>
          <cell r="K6">
            <v>29300</v>
          </cell>
          <cell r="L6">
            <v>30550</v>
          </cell>
          <cell r="M6">
            <v>31200</v>
          </cell>
          <cell r="N6">
            <v>31900</v>
          </cell>
          <cell r="O6">
            <v>32900</v>
          </cell>
          <cell r="P6">
            <v>33700</v>
          </cell>
          <cell r="Q6">
            <v>34700</v>
          </cell>
          <cell r="R6">
            <v>35500</v>
          </cell>
          <cell r="S6">
            <v>36500</v>
          </cell>
        </row>
        <row r="7">
          <cell r="B7">
            <v>1904.7839999999999</v>
          </cell>
          <cell r="C7">
            <v>2515.8000000000002</v>
          </cell>
          <cell r="D7">
            <v>2301.0540000000001</v>
          </cell>
          <cell r="E7">
            <v>2428.1879999999992</v>
          </cell>
          <cell r="F7">
            <v>1835.6940000000002</v>
          </cell>
          <cell r="G7">
            <v>1948.9260000000002</v>
          </cell>
          <cell r="H7">
            <v>1676.3039999999994</v>
          </cell>
          <cell r="I7">
            <v>1867.6609999999996</v>
          </cell>
          <cell r="J7">
            <v>1759.6378333333332</v>
          </cell>
          <cell r="K7">
            <v>1769.4018055555553</v>
          </cell>
          <cell r="L7">
            <v>1659.6041064814815</v>
          </cell>
          <cell r="M7">
            <v>1630.2557908950614</v>
          </cell>
          <cell r="N7">
            <v>1727.1440893775718</v>
          </cell>
          <cell r="O7">
            <v>1735.6174376071674</v>
          </cell>
          <cell r="P7">
            <v>1713.6101772083618</v>
          </cell>
          <cell r="Q7">
            <v>1705.938901187533</v>
          </cell>
          <cell r="R7">
            <v>1695.3617504595295</v>
          </cell>
          <cell r="S7">
            <v>1701.3213577892041</v>
          </cell>
        </row>
        <row r="9">
          <cell r="B9">
            <v>26168.603999999996</v>
          </cell>
          <cell r="C9">
            <v>26726.112000000001</v>
          </cell>
          <cell r="D9">
            <v>16546.95</v>
          </cell>
          <cell r="E9">
            <v>21000.316932000002</v>
          </cell>
          <cell r="F9">
            <v>23910.361187999995</v>
          </cell>
          <cell r="G9">
            <v>25344.602723999997</v>
          </cell>
          <cell r="H9">
            <v>26068.448741970598</v>
          </cell>
          <cell r="I9">
            <v>26600.370636029398</v>
          </cell>
          <cell r="J9">
            <v>26929.386581999999</v>
          </cell>
          <cell r="K9">
            <v>27656.480019713996</v>
          </cell>
          <cell r="L9">
            <v>28403.204980246272</v>
          </cell>
          <cell r="M9">
            <v>29170.09151471292</v>
          </cell>
          <cell r="N9">
            <v>29957.683985610165</v>
          </cell>
          <cell r="O9">
            <v>30766.541453221638</v>
          </cell>
          <cell r="P9">
            <v>31597.238072458618</v>
          </cell>
          <cell r="Q9">
            <v>32450.363500414998</v>
          </cell>
          <cell r="R9">
            <v>33326.523314926199</v>
          </cell>
          <cell r="S9">
            <v>34226.339444429206</v>
          </cell>
        </row>
        <row r="10">
          <cell r="B10">
            <v>3416.364</v>
          </cell>
          <cell r="C10">
            <v>3033.1140000000005</v>
          </cell>
          <cell r="D10">
            <v>1482.4740000000002</v>
          </cell>
          <cell r="E10">
            <v>1646.3579999999999</v>
          </cell>
          <cell r="F10">
            <v>2723.07</v>
          </cell>
          <cell r="G10">
            <v>2676.828</v>
          </cell>
          <cell r="H10">
            <v>3212.7480000000005</v>
          </cell>
          <cell r="I10">
            <v>2462.4320000000002</v>
          </cell>
          <cell r="J10">
            <v>2367.3183333333332</v>
          </cell>
          <cell r="K10">
            <v>2514.792388888889</v>
          </cell>
          <cell r="L10">
            <v>2659.5314537037038</v>
          </cell>
          <cell r="M10">
            <v>2648.9416959876544</v>
          </cell>
          <cell r="N10">
            <v>2644.2939786522634</v>
          </cell>
          <cell r="O10">
            <v>2549.5516417609738</v>
          </cell>
          <cell r="P10">
            <v>2564.0715820544697</v>
          </cell>
          <cell r="Q10">
            <v>2596.8637901746592</v>
          </cell>
          <cell r="R10">
            <v>2610.5423570556209</v>
          </cell>
          <cell r="S10">
            <v>2602.3775076142738</v>
          </cell>
        </row>
      </sheetData>
      <sheetData sheetId="8">
        <row r="4">
          <cell r="P4">
            <v>5724.0119999999997</v>
          </cell>
          <cell r="Q4">
            <v>6775.692</v>
          </cell>
          <cell r="R4">
            <v>6975.99</v>
          </cell>
          <cell r="S4">
            <v>6116.7960000000003</v>
          </cell>
          <cell r="T4">
            <v>5886.8040000000001</v>
          </cell>
          <cell r="U4">
            <v>5883.4859999999999</v>
          </cell>
          <cell r="V4">
            <v>6769.8959999999997</v>
          </cell>
          <cell r="W4">
            <v>5461.6379999999999</v>
          </cell>
          <cell r="X4">
            <v>4993.7579999999998</v>
          </cell>
          <cell r="Y4">
            <v>5489.9459999999999</v>
          </cell>
          <cell r="Z4">
            <v>5474.1959999999999</v>
          </cell>
          <cell r="AA4">
            <v>5900</v>
          </cell>
          <cell r="AB4">
            <v>5900</v>
          </cell>
          <cell r="AC4">
            <v>5900</v>
          </cell>
          <cell r="AD4">
            <v>5900</v>
          </cell>
          <cell r="AE4">
            <v>5800</v>
          </cell>
          <cell r="AF4">
            <v>5800</v>
          </cell>
          <cell r="AG4">
            <v>5800</v>
          </cell>
          <cell r="AH4">
            <v>5850</v>
          </cell>
          <cell r="AI4">
            <v>5850</v>
          </cell>
          <cell r="AJ4">
            <v>5850</v>
          </cell>
        </row>
        <row r="5">
          <cell r="P5">
            <v>76388.760000000009</v>
          </cell>
          <cell r="Q5">
            <v>74312.069999999992</v>
          </cell>
          <cell r="R5">
            <v>77022.918000000005</v>
          </cell>
          <cell r="S5">
            <v>79226.322</v>
          </cell>
          <cell r="T5">
            <v>78750.63</v>
          </cell>
          <cell r="U5">
            <v>72826.23599999999</v>
          </cell>
          <cell r="V5">
            <v>71554.896000000008</v>
          </cell>
          <cell r="W5">
            <v>76816.361999999994</v>
          </cell>
          <cell r="X5">
            <v>75221.538</v>
          </cell>
          <cell r="Y5">
            <v>75861.324000000008</v>
          </cell>
          <cell r="Z5">
            <v>77400</v>
          </cell>
          <cell r="AA5">
            <v>78600</v>
          </cell>
          <cell r="AB5">
            <v>79400</v>
          </cell>
          <cell r="AC5">
            <v>79800</v>
          </cell>
          <cell r="AD5">
            <v>80200</v>
          </cell>
          <cell r="AE5">
            <v>80600</v>
          </cell>
          <cell r="AF5">
            <v>81200</v>
          </cell>
          <cell r="AG5">
            <v>80800</v>
          </cell>
          <cell r="AH5">
            <v>80400</v>
          </cell>
          <cell r="AI5">
            <v>80000</v>
          </cell>
          <cell r="AJ5">
            <v>79600</v>
          </cell>
        </row>
        <row r="6">
          <cell r="P6">
            <v>3073.4760000000006</v>
          </cell>
          <cell r="Q6">
            <v>2252.9639999999999</v>
          </cell>
          <cell r="R6">
            <v>2308.9499999999998</v>
          </cell>
          <cell r="S6">
            <v>2678.2979999999998</v>
          </cell>
          <cell r="T6">
            <v>3103.2119999999995</v>
          </cell>
          <cell r="U6">
            <v>3351.1379999999995</v>
          </cell>
          <cell r="V6">
            <v>4421.0039999999999</v>
          </cell>
          <cell r="W6">
            <v>2882.3760000000002</v>
          </cell>
          <cell r="X6">
            <v>2573.3820000000001</v>
          </cell>
          <cell r="Y6">
            <v>2208.2759999999998</v>
          </cell>
          <cell r="Z6">
            <v>2885.3076000000001</v>
          </cell>
          <cell r="AA6">
            <v>2866.4907599999997</v>
          </cell>
          <cell r="AB6">
            <v>2927.8434360000001</v>
          </cell>
          <cell r="AC6">
            <v>2989.7327796</v>
          </cell>
          <cell r="AD6">
            <v>3020.8762575599999</v>
          </cell>
          <cell r="AE6">
            <v>3012.6426833159999</v>
          </cell>
          <cell r="AF6">
            <v>2978.7931516476001</v>
          </cell>
          <cell r="AG6">
            <v>2834.5720668123599</v>
          </cell>
          <cell r="AH6">
            <v>2829.7916734935961</v>
          </cell>
          <cell r="AI6">
            <v>2855.4326408429561</v>
          </cell>
          <cell r="AJ6">
            <v>2920.148304927251</v>
          </cell>
        </row>
        <row r="8">
          <cell r="P8">
            <v>61247.004000000001</v>
          </cell>
          <cell r="Q8">
            <v>59601.15</v>
          </cell>
          <cell r="R8">
            <v>60280.458000000006</v>
          </cell>
          <cell r="S8">
            <v>62380.626000000004</v>
          </cell>
          <cell r="T8">
            <v>61837.650000000009</v>
          </cell>
          <cell r="U8">
            <v>57048.180000000008</v>
          </cell>
          <cell r="V8">
            <v>60004.329167999997</v>
          </cell>
          <cell r="W8">
            <v>60837.640163999997</v>
          </cell>
          <cell r="X8">
            <v>59137.57033799999</v>
          </cell>
          <cell r="Y8">
            <v>57252.681892085398</v>
          </cell>
          <cell r="Z8">
            <v>60695.196740538595</v>
          </cell>
          <cell r="AA8">
            <v>61797.021027095674</v>
          </cell>
          <cell r="AB8">
            <v>62288.962729949053</v>
          </cell>
          <cell r="AC8">
            <v>62627.101620249821</v>
          </cell>
          <cell r="AD8">
            <v>63016.288402145765</v>
          </cell>
          <cell r="AE8">
            <v>63193.04667597948</v>
          </cell>
          <cell r="AF8">
            <v>63626.132831861316</v>
          </cell>
          <cell r="AG8">
            <v>63162.632449812496</v>
          </cell>
          <cell r="AH8">
            <v>62978.774040216609</v>
          </cell>
          <cell r="AI8">
            <v>62664.972159523983</v>
          </cell>
          <cell r="AJ8">
            <v>62348.849126520792</v>
          </cell>
        </row>
        <row r="11">
          <cell r="P11"/>
          <cell r="Q11"/>
          <cell r="R11"/>
          <cell r="S11">
            <v>19753.986000000001</v>
          </cell>
          <cell r="T11">
            <v>20019.509999999998</v>
          </cell>
          <cell r="U11">
            <v>18242.783999999996</v>
          </cell>
          <cell r="V11">
            <v>16393.944</v>
          </cell>
          <cell r="W11">
            <v>18455.303999999996</v>
          </cell>
          <cell r="X11">
            <v>17002.272000000004</v>
          </cell>
          <cell r="Y11">
            <v>19952.982000000004</v>
          </cell>
          <cell r="Z11">
            <v>19728.300927295451</v>
          </cell>
          <cell r="AA11">
            <v>18777.480677848314</v>
          </cell>
          <cell r="AB11">
            <v>18488.577165680625</v>
          </cell>
          <cell r="AC11">
            <v>18369.740379556293</v>
          </cell>
          <cell r="AD11">
            <v>18470.051851485674</v>
          </cell>
          <cell r="AE11">
            <v>18500.921226347455</v>
          </cell>
          <cell r="AF11">
            <v>18655.602149618877</v>
          </cell>
          <cell r="AG11">
            <v>19300.031428591814</v>
          </cell>
          <cell r="AH11">
            <v>19073.275225676662</v>
          </cell>
          <cell r="AI11">
            <v>19032.1418141957</v>
          </cell>
          <cell r="AJ11">
            <v>18817.000889888834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ources"/>
      <sheetName val="Capacity"/>
      <sheetName val="annual_data"/>
      <sheetName val="monthly_data"/>
      <sheetName val="BD"/>
      <sheetName val="RD"/>
      <sheetName val="SAF"/>
      <sheetName val="Jet Fuel"/>
      <sheetName val="Diesel"/>
    </sheetNames>
    <sheetDataSet>
      <sheetData sheetId="0"/>
      <sheetData sheetId="1"/>
      <sheetData sheetId="2"/>
      <sheetData sheetId="3"/>
      <sheetData sheetId="4">
        <row r="3">
          <cell r="B3">
            <v>0</v>
          </cell>
        </row>
        <row r="4">
          <cell r="B4">
            <v>104.87549000000001</v>
          </cell>
          <cell r="C4">
            <v>122.57488000000001</v>
          </cell>
          <cell r="D4">
            <v>104.87549000000001</v>
          </cell>
          <cell r="E4">
            <v>81.364360000000005</v>
          </cell>
          <cell r="F4">
            <v>94.837029999999999</v>
          </cell>
          <cell r="G4">
            <v>120.98986000000001</v>
          </cell>
          <cell r="H4">
            <v>113.85727</v>
          </cell>
          <cell r="I4">
            <v>97.530189024000009</v>
          </cell>
          <cell r="J4">
            <v>130.52737823199999</v>
          </cell>
          <cell r="K4">
            <v>158</v>
          </cell>
          <cell r="L4">
            <v>167.64426825912</v>
          </cell>
          <cell r="M4">
            <v>153.511821103024</v>
          </cell>
          <cell r="N4">
            <v>161.44273132362878</v>
          </cell>
          <cell r="O4">
            <v>154.22523978355454</v>
          </cell>
          <cell r="P4">
            <v>178.96481209386548</v>
          </cell>
          <cell r="Q4">
            <v>163.15777451263858</v>
          </cell>
          <cell r="R4">
            <v>162.26047576334227</v>
          </cell>
          <cell r="S4">
            <v>164.01020669540591</v>
          </cell>
          <cell r="T4">
            <v>169.52370176976137</v>
          </cell>
          <cell r="U4">
            <v>177.58339416700272</v>
          </cell>
          <cell r="V4">
            <v>178.30711058163018</v>
          </cell>
        </row>
        <row r="5">
          <cell r="B5">
            <v>102.30823836858008</v>
          </cell>
          <cell r="C5">
            <v>102.9724093655589</v>
          </cell>
          <cell r="D5">
            <v>126.50259335347432</v>
          </cell>
          <cell r="E5">
            <v>155.33055861027191</v>
          </cell>
          <cell r="F5">
            <v>151.86331238670692</v>
          </cell>
          <cell r="G5">
            <v>156.01296948640481</v>
          </cell>
          <cell r="H5">
            <v>152.5574930513595</v>
          </cell>
          <cell r="I5">
            <v>204.25693746223567</v>
          </cell>
          <cell r="J5">
            <v>239.84235347432028</v>
          </cell>
          <cell r="K5">
            <v>175.65989184290032</v>
          </cell>
          <cell r="L5">
            <v>185.66592906344414</v>
          </cell>
          <cell r="M5">
            <v>191.59652097885197</v>
          </cell>
          <cell r="N5">
            <v>199.40432656435047</v>
          </cell>
          <cell r="O5">
            <v>198.43380438477342</v>
          </cell>
          <cell r="P5">
            <v>190.15209456686404</v>
          </cell>
          <cell r="Q5">
            <v>203.05053511165684</v>
          </cell>
          <cell r="R5">
            <v>216.52745632129933</v>
          </cell>
          <cell r="S5">
            <v>201.51364338978883</v>
          </cell>
          <cell r="T5">
            <v>201.93550675487649</v>
          </cell>
          <cell r="U5">
            <v>202.63584722889709</v>
          </cell>
          <cell r="V5">
            <v>195.13259776130371</v>
          </cell>
        </row>
        <row r="7">
          <cell r="B7">
            <v>143.59520631419943</v>
          </cell>
          <cell r="C7">
            <v>112.70641806646525</v>
          </cell>
          <cell r="D7">
            <v>144.37364287009063</v>
          </cell>
          <cell r="E7">
            <v>157.21372042296076</v>
          </cell>
          <cell r="F7">
            <v>156.2973091540785</v>
          </cell>
          <cell r="G7">
            <v>157.05651709969788</v>
          </cell>
          <cell r="H7">
            <v>151.57549574395162</v>
          </cell>
          <cell r="I7">
            <v>202.84155909962539</v>
          </cell>
          <cell r="J7">
            <v>233.9316926579456</v>
          </cell>
          <cell r="K7">
            <v>206.17034211948038</v>
          </cell>
          <cell r="L7">
            <v>221.10000000000002</v>
          </cell>
          <cell r="M7">
            <v>208</v>
          </cell>
          <cell r="N7">
            <v>314</v>
          </cell>
          <cell r="O7">
            <v>330</v>
          </cell>
          <cell r="P7">
            <v>380</v>
          </cell>
          <cell r="Q7">
            <v>360</v>
          </cell>
          <cell r="R7">
            <v>370</v>
          </cell>
          <cell r="S7">
            <v>361</v>
          </cell>
          <cell r="T7">
            <v>380</v>
          </cell>
          <cell r="U7">
            <v>382</v>
          </cell>
          <cell r="V7">
            <v>377</v>
          </cell>
        </row>
        <row r="8">
          <cell r="B8">
            <v>63.588522054380668</v>
          </cell>
          <cell r="C8">
            <v>112.84087129909368</v>
          </cell>
          <cell r="D8">
            <v>87.004440483383689</v>
          </cell>
          <cell r="E8">
            <v>79.481198187311165</v>
          </cell>
          <cell r="F8">
            <v>90.403033232628403</v>
          </cell>
          <cell r="G8">
            <v>119.94631238670695</v>
          </cell>
          <cell r="H8">
            <v>117.18088791540785</v>
          </cell>
          <cell r="I8">
            <v>100.77522265861028</v>
          </cell>
          <cell r="J8">
            <v>137.77448519637463</v>
          </cell>
          <cell r="K8">
            <v>130.43216163141994</v>
          </cell>
          <cell r="L8">
            <v>115</v>
          </cell>
          <cell r="M8">
            <v>95</v>
          </cell>
          <cell r="N8">
            <v>60</v>
          </cell>
          <cell r="O8">
            <v>25</v>
          </cell>
          <cell r="P8">
            <v>20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2.3416206079999999</v>
          </cell>
          <cell r="H10">
            <v>1.8296552720000001</v>
          </cell>
          <cell r="I10">
            <v>1.3364461480000001</v>
          </cell>
          <cell r="J10">
            <v>2.9426119080000004</v>
          </cell>
          <cell r="K10">
            <v>12.957636600000001</v>
          </cell>
          <cell r="L10">
            <v>30.167833922564114</v>
          </cell>
          <cell r="M10">
            <v>72.276176004440117</v>
          </cell>
          <cell r="N10">
            <v>59.123233892419364</v>
          </cell>
          <cell r="O10">
            <v>56.782278060747331</v>
          </cell>
          <cell r="P10">
            <v>25.899184721476843</v>
          </cell>
          <cell r="Q10">
            <v>32.107494345772238</v>
          </cell>
          <cell r="R10">
            <v>40.895426430413863</v>
          </cell>
          <cell r="S10">
            <v>45.419276515608601</v>
          </cell>
          <cell r="T10">
            <v>36.87848504024646</v>
          </cell>
          <cell r="U10">
            <v>35.097726436146274</v>
          </cell>
          <cell r="V10">
            <v>31.537434779080172</v>
          </cell>
        </row>
        <row r="12">
          <cell r="B12">
            <v>105.66800000000001</v>
          </cell>
          <cell r="C12">
            <v>145.29350000000002</v>
          </cell>
          <cell r="D12">
            <v>156.12446999999997</v>
          </cell>
          <cell r="E12">
            <v>179.10726</v>
          </cell>
          <cell r="F12">
            <v>185.97568000000001</v>
          </cell>
          <cell r="G12">
            <v>181.22062000000003</v>
          </cell>
          <cell r="H12">
            <v>181.22062000000003</v>
          </cell>
          <cell r="I12">
            <v>181.22062000000003</v>
          </cell>
          <cell r="J12">
            <v>177.25806999999998</v>
          </cell>
          <cell r="K12">
            <v>177.25806999999998</v>
          </cell>
          <cell r="L12">
            <v>177.25806999999998</v>
          </cell>
          <cell r="M12">
            <v>177.25806999999998</v>
          </cell>
          <cell r="N12">
            <v>177.25806999999998</v>
          </cell>
          <cell r="O12">
            <v>177.25806999999998</v>
          </cell>
          <cell r="P12">
            <v>177.25806999999998</v>
          </cell>
          <cell r="Q12">
            <v>177.25806999999998</v>
          </cell>
          <cell r="R12">
            <v>177.25806999999998</v>
          </cell>
          <cell r="S12">
            <v>177.25806999999998</v>
          </cell>
          <cell r="T12">
            <v>177.25806999999998</v>
          </cell>
          <cell r="U12">
            <v>177.25806999999998</v>
          </cell>
          <cell r="V12">
            <v>177.25806999999998</v>
          </cell>
        </row>
      </sheetData>
      <sheetData sheetId="5">
        <row r="3">
          <cell r="B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3.7</v>
          </cell>
          <cell r="K4">
            <v>138.308787972</v>
          </cell>
          <cell r="L4">
            <v>230.59999999999997</v>
          </cell>
          <cell r="M4">
            <v>247.39999999999998</v>
          </cell>
          <cell r="N4">
            <v>252.19999999999996</v>
          </cell>
          <cell r="O4">
            <v>256.94999999999993</v>
          </cell>
          <cell r="P4">
            <v>278.36249999999995</v>
          </cell>
          <cell r="Q4">
            <v>321.18749999999994</v>
          </cell>
          <cell r="R4">
            <v>325.46999999999997</v>
          </cell>
          <cell r="S4">
            <v>334.03499999999997</v>
          </cell>
          <cell r="T4">
            <v>342.59999999999997</v>
          </cell>
          <cell r="U4">
            <v>351.16499999999991</v>
          </cell>
          <cell r="V4">
            <v>364.01249999999993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37.533273600000001</v>
          </cell>
          <cell r="J5">
            <v>110.62620673000001</v>
          </cell>
          <cell r="K5">
            <v>273.06962313000008</v>
          </cell>
          <cell r="L5">
            <v>136.53481156500004</v>
          </cell>
          <cell r="M5">
            <v>170.66851445625005</v>
          </cell>
          <cell r="N5">
            <v>172.72478897031255</v>
          </cell>
          <cell r="O5">
            <v>172.72478897031255</v>
          </cell>
          <cell r="P5">
            <v>185.14450541837505</v>
          </cell>
          <cell r="Q5">
            <v>187.55948187605003</v>
          </cell>
          <cell r="R5">
            <v>185.48950205518577</v>
          </cell>
          <cell r="S5">
            <v>192.97805618735515</v>
          </cell>
          <cell r="T5">
            <v>196.04137684769162</v>
          </cell>
          <cell r="U5">
            <v>199.66607147504038</v>
          </cell>
          <cell r="V5">
            <v>200.51482611857293</v>
          </cell>
        </row>
        <row r="7">
          <cell r="B7">
            <v>59.174080000000004</v>
          </cell>
          <cell r="C7">
            <v>68.948370000000011</v>
          </cell>
          <cell r="D7">
            <v>108.57387</v>
          </cell>
          <cell r="E7">
            <v>94.572860000000006</v>
          </cell>
          <cell r="F7">
            <v>100.38460000000001</v>
          </cell>
          <cell r="G7">
            <v>132.08500000000001</v>
          </cell>
          <cell r="H7">
            <v>127.32994000000001</v>
          </cell>
          <cell r="I7">
            <v>100.38460000000001</v>
          </cell>
          <cell r="J7">
            <v>228.50705000000002</v>
          </cell>
          <cell r="K7">
            <v>411.37841110200009</v>
          </cell>
          <cell r="L7">
            <v>367.13481156500001</v>
          </cell>
          <cell r="M7">
            <v>418.06851445625</v>
          </cell>
          <cell r="N7">
            <v>424.92478897031253</v>
          </cell>
          <cell r="O7">
            <v>429.67478897031248</v>
          </cell>
          <cell r="P7">
            <v>463.507005418375</v>
          </cell>
          <cell r="Q7">
            <v>508.74698187604997</v>
          </cell>
          <cell r="R7">
            <v>510.95950205518574</v>
          </cell>
          <cell r="S7">
            <v>527.01305618735512</v>
          </cell>
          <cell r="T7">
            <v>538.64137684769162</v>
          </cell>
          <cell r="U7">
            <v>550.83107147504029</v>
          </cell>
          <cell r="V7">
            <v>564.52732611857289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20</v>
          </cell>
          <cell r="K19">
            <v>182.5</v>
          </cell>
          <cell r="L19">
            <v>288.24999999999994</v>
          </cell>
          <cell r="M19">
            <v>309.24999999999994</v>
          </cell>
          <cell r="N19">
            <v>315.24999999999994</v>
          </cell>
          <cell r="O19">
            <v>428.24999999999994</v>
          </cell>
          <cell r="P19">
            <v>428.24999999999994</v>
          </cell>
          <cell r="Q19">
            <v>428.24999999999994</v>
          </cell>
          <cell r="R19">
            <v>428.24999999999994</v>
          </cell>
          <cell r="S19">
            <v>428.24999999999994</v>
          </cell>
          <cell r="T19">
            <v>428.24999999999994</v>
          </cell>
          <cell r="U19">
            <v>428.24999999999994</v>
          </cell>
          <cell r="V19">
            <v>428.24999999999994</v>
          </cell>
        </row>
      </sheetData>
      <sheetData sheetId="6"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3</v>
          </cell>
          <cell r="I6">
            <v>83.25</v>
          </cell>
          <cell r="J6">
            <v>109.25</v>
          </cell>
          <cell r="K6">
            <v>159.25</v>
          </cell>
          <cell r="L6">
            <v>259.25</v>
          </cell>
          <cell r="M6">
            <v>259.25</v>
          </cell>
          <cell r="N6">
            <v>311.75</v>
          </cell>
          <cell r="O6">
            <v>342.92500000000001</v>
          </cell>
          <cell r="P6">
            <v>374.09999999999997</v>
          </cell>
          <cell r="Q6">
            <v>405.27500000000003</v>
          </cell>
          <cell r="R6">
            <v>405.27500000000003</v>
          </cell>
          <cell r="S6">
            <v>405.27500000000003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2.9846043098031689</v>
          </cell>
          <cell r="I9">
            <v>82.871194118322549</v>
          </cell>
          <cell r="J9">
            <v>109.06643714879735</v>
          </cell>
          <cell r="K9">
            <v>158.99886868316662</v>
          </cell>
          <cell r="L9">
            <v>258.74568122533162</v>
          </cell>
          <cell r="M9">
            <v>259.24338966380895</v>
          </cell>
          <cell r="N9">
            <v>311.45561270152518</v>
          </cell>
          <cell r="O9">
            <v>342.9646562533793</v>
          </cell>
          <cell r="P9">
            <v>374.08681253303337</v>
          </cell>
          <cell r="Q9">
            <v>405.27573629941139</v>
          </cell>
          <cell r="R9">
            <v>405.27030100729053</v>
          </cell>
          <cell r="S9">
            <v>405.27500000000003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12</v>
          </cell>
          <cell r="I16">
            <v>166.5</v>
          </cell>
          <cell r="J16">
            <v>218.5</v>
          </cell>
          <cell r="K16">
            <v>318.5</v>
          </cell>
          <cell r="L16">
            <v>518.5</v>
          </cell>
          <cell r="M16">
            <v>518.5</v>
          </cell>
          <cell r="N16">
            <v>623.5</v>
          </cell>
          <cell r="O16">
            <v>623.5</v>
          </cell>
          <cell r="P16">
            <v>623.5</v>
          </cell>
          <cell r="Q16">
            <v>623.5</v>
          </cell>
          <cell r="R16">
            <v>623.5</v>
          </cell>
          <cell r="S16">
            <v>623.5</v>
          </cell>
        </row>
      </sheetData>
      <sheetData sheetId="7">
        <row r="5">
          <cell r="B5">
            <v>0</v>
          </cell>
          <cell r="C5">
            <v>150.04969600000001</v>
          </cell>
          <cell r="D5">
            <v>116.10702823600002</v>
          </cell>
          <cell r="E5">
            <v>102.33098678000002</v>
          </cell>
          <cell r="F5">
            <v>102.70082758000001</v>
          </cell>
          <cell r="G5">
            <v>93.123007548000004</v>
          </cell>
          <cell r="H5">
            <v>105.655063056</v>
          </cell>
          <cell r="I5">
            <v>101.67293432800001</v>
          </cell>
          <cell r="J5">
            <v>101.0965638584</v>
          </cell>
          <cell r="K5">
            <v>100.84967927407999</v>
          </cell>
          <cell r="L5">
            <v>100.47944961289599</v>
          </cell>
          <cell r="M5">
            <v>101.95073802587521</v>
          </cell>
          <cell r="N5">
            <v>101.20987301985026</v>
          </cell>
          <cell r="O5">
            <v>101.11726075822028</v>
          </cell>
          <cell r="P5">
            <v>101.12140013818434</v>
          </cell>
          <cell r="Q5">
            <v>101.17574431100522</v>
          </cell>
          <cell r="R5">
            <v>101.31500325062707</v>
          </cell>
          <cell r="S5">
            <v>101.18785629557743</v>
          </cell>
        </row>
        <row r="6">
          <cell r="B6">
            <v>1826.4852080000001</v>
          </cell>
          <cell r="C6">
            <v>1787.3758642600003</v>
          </cell>
          <cell r="D6">
            <v>825.54912356800014</v>
          </cell>
          <cell r="E6">
            <v>988.23997811200002</v>
          </cell>
          <cell r="F6">
            <v>1435.1394863399998</v>
          </cell>
          <cell r="G6">
            <v>1631.3767506480003</v>
          </cell>
          <cell r="H6">
            <v>1705.3549491840004</v>
          </cell>
          <cell r="I6">
            <v>1730</v>
          </cell>
          <cell r="J6">
            <v>1800</v>
          </cell>
          <cell r="K6">
            <v>1795</v>
          </cell>
          <cell r="L6">
            <v>1800</v>
          </cell>
          <cell r="M6">
            <v>1810</v>
          </cell>
          <cell r="N6">
            <v>1820</v>
          </cell>
          <cell r="O6">
            <v>1830</v>
          </cell>
          <cell r="P6">
            <v>1840</v>
          </cell>
          <cell r="Q6">
            <v>1850</v>
          </cell>
          <cell r="R6">
            <v>1860</v>
          </cell>
          <cell r="S6">
            <v>1870</v>
          </cell>
        </row>
        <row r="7">
          <cell r="B7">
            <v>954.13642960000016</v>
          </cell>
          <cell r="C7">
            <v>1036.3192821120001</v>
          </cell>
          <cell r="D7">
            <v>360.66082300000005</v>
          </cell>
          <cell r="E7">
            <v>298.00001711600004</v>
          </cell>
          <cell r="F7">
            <v>615.94343520000018</v>
          </cell>
          <cell r="G7">
            <v>708.04990889200008</v>
          </cell>
          <cell r="H7">
            <v>715.550280316</v>
          </cell>
          <cell r="I7">
            <v>622.42062443933344</v>
          </cell>
          <cell r="J7">
            <v>553.43751482722234</v>
          </cell>
          <cell r="K7">
            <v>585.56696346509273</v>
          </cell>
          <cell r="L7">
            <v>633.49478785660813</v>
          </cell>
          <cell r="M7">
            <v>636.42001329937614</v>
          </cell>
          <cell r="N7">
            <v>624.48169736727209</v>
          </cell>
          <cell r="O7">
            <v>609.30360020915077</v>
          </cell>
          <cell r="P7">
            <v>607.11742950412031</v>
          </cell>
          <cell r="Q7">
            <v>616.06408195027007</v>
          </cell>
          <cell r="R7">
            <v>621.1469350311329</v>
          </cell>
          <cell r="S7">
            <v>619.08895956022036</v>
          </cell>
        </row>
        <row r="9">
          <cell r="B9">
            <v>2401.8518239999999</v>
          </cell>
          <cell r="C9">
            <v>2480.2226745520002</v>
          </cell>
          <cell r="D9">
            <v>1061.0653300400002</v>
          </cell>
          <cell r="E9">
            <v>1154.3692954080002</v>
          </cell>
          <cell r="F9">
            <v>1948.0191216320004</v>
          </cell>
          <cell r="G9">
            <v>2213.449901212</v>
          </cell>
          <cell r="H9">
            <v>2313.693136676</v>
          </cell>
          <cell r="I9">
            <v>2376</v>
          </cell>
          <cell r="J9">
            <v>2478.6</v>
          </cell>
          <cell r="K9">
            <v>2479.5500000000002</v>
          </cell>
          <cell r="L9">
            <v>2475</v>
          </cell>
          <cell r="M9">
            <v>2495</v>
          </cell>
          <cell r="N9">
            <v>2515</v>
          </cell>
          <cell r="O9">
            <v>2530</v>
          </cell>
          <cell r="P9">
            <v>2550</v>
          </cell>
          <cell r="Q9">
            <v>2570</v>
          </cell>
          <cell r="R9">
            <v>2585</v>
          </cell>
          <cell r="S9">
            <v>2605</v>
          </cell>
        </row>
        <row r="10">
          <cell r="B10">
            <v>372.50893719999999</v>
          </cell>
          <cell r="C10">
            <v>330.38169253199999</v>
          </cell>
          <cell r="D10">
            <v>138.920657984</v>
          </cell>
          <cell r="E10">
            <v>131.50085902000001</v>
          </cell>
          <cell r="F10">
            <v>112.64161994000003</v>
          </cell>
          <cell r="G10">
            <v>112.500023748</v>
          </cell>
          <cell r="H10">
            <v>114.81892556400003</v>
          </cell>
          <cell r="I10">
            <v>122.0764172512</v>
          </cell>
          <cell r="J10">
            <v>118.70756910464002</v>
          </cell>
          <cell r="K10">
            <v>116.14891112156802</v>
          </cell>
          <cell r="L10">
            <v>116.85036935788162</v>
          </cell>
          <cell r="M10">
            <v>117.72043847985792</v>
          </cell>
          <cell r="N10">
            <v>118.30074106302951</v>
          </cell>
          <cell r="O10">
            <v>117.54560582539541</v>
          </cell>
          <cell r="P10">
            <v>117.3132131695465</v>
          </cell>
          <cell r="Q10">
            <v>117.54607357914219</v>
          </cell>
          <cell r="R10">
            <v>117.68521442339429</v>
          </cell>
          <cell r="S10">
            <v>117.67816961210158</v>
          </cell>
        </row>
      </sheetData>
      <sheetData sheetId="8">
        <row r="3">
          <cell r="B3">
            <v>600</v>
          </cell>
          <cell r="C3">
            <v>545.77935200000002</v>
          </cell>
          <cell r="D3">
            <v>482.37807200000003</v>
          </cell>
          <cell r="E3">
            <v>502.45514400000002</v>
          </cell>
          <cell r="F3">
            <v>523.8530760000001</v>
          </cell>
          <cell r="G3">
            <v>631.15789319600003</v>
          </cell>
          <cell r="H3">
            <v>653.7852816840001</v>
          </cell>
          <cell r="I3">
            <v>622.22491701600006</v>
          </cell>
          <cell r="J3">
            <v>611.32227440400004</v>
          </cell>
          <cell r="K3">
            <v>670.975217896</v>
          </cell>
          <cell r="L3">
            <v>651.61167446800005</v>
          </cell>
          <cell r="M3">
            <v>662.6003821547032</v>
          </cell>
          <cell r="N3">
            <v>664.48967058106712</v>
          </cell>
          <cell r="O3">
            <v>670.75997581828074</v>
          </cell>
          <cell r="P3">
            <v>685.42875542087052</v>
          </cell>
          <cell r="Q3">
            <v>689.49549962279491</v>
          </cell>
          <cell r="R3">
            <v>699.11397991948775</v>
          </cell>
          <cell r="S3">
            <v>706.82992414494743</v>
          </cell>
          <cell r="T3">
            <v>715.75638322122143</v>
          </cell>
          <cell r="U3">
            <v>725.23646416191673</v>
          </cell>
          <cell r="V3">
            <v>733.64301895081746</v>
          </cell>
        </row>
        <row r="4">
          <cell r="B4">
            <v>7417.9497600000004</v>
          </cell>
          <cell r="C4">
            <v>7363.5303279999998</v>
          </cell>
          <cell r="D4">
            <v>8118.0055600000005</v>
          </cell>
          <cell r="E4">
            <v>7880.514932000001</v>
          </cell>
          <cell r="F4">
            <v>10568.419858588</v>
          </cell>
          <cell r="G4">
            <v>10319.544738248002</v>
          </cell>
          <cell r="H4">
            <v>10233.701254332</v>
          </cell>
          <cell r="I4">
            <v>10746.877554780001</v>
          </cell>
          <cell r="J4">
            <v>10762.709382740002</v>
          </cell>
          <cell r="K4">
            <v>10944.790197912</v>
          </cell>
          <cell r="L4">
            <v>10941.979328073367</v>
          </cell>
          <cell r="M4">
            <v>11071.624504376878</v>
          </cell>
          <cell r="N4">
            <v>11203.60329385385</v>
          </cell>
          <cell r="O4">
            <v>11337.957701541407</v>
          </cell>
          <cell r="P4">
            <v>11474.730488567344</v>
          </cell>
          <cell r="Q4">
            <v>11613.965185759746</v>
          </cell>
          <cell r="R4">
            <v>11755.70610750161</v>
          </cell>
          <cell r="S4">
            <v>11899.998365834828</v>
          </cell>
          <cell r="T4">
            <v>12046.887884818043</v>
          </cell>
          <cell r="U4">
            <v>12196.421415142955</v>
          </cell>
          <cell r="V4">
            <v>12348.64654901372</v>
          </cell>
        </row>
        <row r="5">
          <cell r="B5">
            <v>0</v>
          </cell>
          <cell r="C5">
            <v>0</v>
          </cell>
          <cell r="D5">
            <v>351.32241280233984</v>
          </cell>
          <cell r="E5">
            <v>556.29350844361772</v>
          </cell>
          <cell r="F5">
            <v>369.36713960399999</v>
          </cell>
          <cell r="G5">
            <v>250.604918596</v>
          </cell>
          <cell r="H5">
            <v>320.17857737599996</v>
          </cell>
          <cell r="I5">
            <v>286.412904852</v>
          </cell>
          <cell r="J5">
            <v>244.671087132</v>
          </cell>
          <cell r="K5">
            <v>211.78061644400003</v>
          </cell>
          <cell r="L5">
            <v>262.72962087999997</v>
          </cell>
          <cell r="M5">
            <v>265.15456133679999</v>
          </cell>
          <cell r="N5">
            <v>254.14975812896</v>
          </cell>
          <cell r="O5">
            <v>247.69712878435197</v>
          </cell>
          <cell r="P5">
            <v>248.30233711482236</v>
          </cell>
          <cell r="Q5">
            <v>255.60668124898683</v>
          </cell>
          <cell r="R5">
            <v>254.18209332278425</v>
          </cell>
          <cell r="S5">
            <v>251.98759971998112</v>
          </cell>
          <cell r="T5">
            <v>251.55516803818531</v>
          </cell>
          <cell r="U5">
            <v>252.32677588895194</v>
          </cell>
          <cell r="V5">
            <v>253.13166364377793</v>
          </cell>
        </row>
        <row r="7">
          <cell r="B7">
            <v>7741.8246319999989</v>
          </cell>
          <cell r="C7">
            <v>7632.7215960000012</v>
          </cell>
          <cell r="D7">
            <v>8242.1664000000001</v>
          </cell>
          <cell r="E7">
            <v>8978.9421080000011</v>
          </cell>
          <cell r="F7">
            <v>8597.6230345999993</v>
          </cell>
          <cell r="G7">
            <v>8197.7582942839999</v>
          </cell>
          <cell r="H7">
            <v>8252.552850524</v>
          </cell>
          <cell r="I7">
            <v>8605.4549418840015</v>
          </cell>
          <cell r="J7">
            <v>8490.2178320439998</v>
          </cell>
          <cell r="K7">
            <v>8622.0803425320009</v>
          </cell>
          <cell r="L7">
            <v>8732.7203660604246</v>
          </cell>
          <cell r="M7">
            <v>8834.5609047794242</v>
          </cell>
          <cell r="N7">
            <v>8938.2345731953646</v>
          </cell>
          <cell r="O7">
            <v>9043.7743676427926</v>
          </cell>
          <cell r="P7">
            <v>9151.2138783902774</v>
          </cell>
          <cell r="Q7">
            <v>9260.5873003312136</v>
          </cell>
          <cell r="R7">
            <v>9371.9294438670859</v>
          </cell>
          <cell r="S7">
            <v>9485.2757459866043</v>
          </cell>
          <cell r="T7">
            <v>9600.6622815442752</v>
          </cell>
          <cell r="U7">
            <v>9718.1257747419841</v>
          </cell>
          <cell r="V7">
            <v>9837.7036108172524</v>
          </cell>
        </row>
        <row r="9">
          <cell r="B9">
            <v>0</v>
          </cell>
          <cell r="C9">
            <v>0</v>
          </cell>
          <cell r="D9">
            <v>1266.7049923958339</v>
          </cell>
          <cell r="E9">
            <v>1106.5903112923688</v>
          </cell>
          <cell r="F9">
            <v>2366.4226603920006</v>
          </cell>
          <cell r="G9">
            <v>2302.58126984</v>
          </cell>
          <cell r="H9">
            <v>2283.4538961800004</v>
          </cell>
          <cell r="I9">
            <v>2374.4910016160002</v>
          </cell>
          <cell r="J9">
            <v>2469.476950108</v>
          </cell>
          <cell r="K9">
            <v>2850.3810092960002</v>
          </cell>
          <cell r="L9">
            <v>2456.0768254080003</v>
          </cell>
          <cell r="M9">
            <v>2486.7759365215998</v>
          </cell>
          <cell r="N9">
            <v>2527.4403445899202</v>
          </cell>
          <cell r="O9">
            <v>2558.0302131847043</v>
          </cell>
          <cell r="P9">
            <v>2575.740865800045</v>
          </cell>
          <cell r="Q9">
            <v>2520.8128371008543</v>
          </cell>
          <cell r="R9">
            <v>2533.760039439424</v>
          </cell>
          <cell r="S9">
            <v>2543.1568600229898</v>
          </cell>
          <cell r="T9">
            <v>2546.3001631096035</v>
          </cell>
          <cell r="U9">
            <v>2543.9541530945835</v>
          </cell>
          <cell r="V9">
            <v>2537.5968105534907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ources"/>
      <sheetName val="Capacity"/>
      <sheetName val="annual_data"/>
      <sheetName val="monthly_data"/>
      <sheetName val="BD"/>
      <sheetName val="RD"/>
      <sheetName val="SAF"/>
      <sheetName val="Jet Fuel"/>
      <sheetName val="Dies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B5">
            <v>1.7350000000000001</v>
          </cell>
          <cell r="C5">
            <v>9.1173000000000003E-4</v>
          </cell>
          <cell r="D5">
            <v>1.0335799999999999E-3</v>
          </cell>
          <cell r="E5">
            <v>1.2672699999999999</v>
          </cell>
          <cell r="F5">
            <v>0.71816000000000002</v>
          </cell>
          <cell r="G5">
            <v>0.71960000000000002</v>
          </cell>
          <cell r="H5">
            <v>0.89757000000000009</v>
          </cell>
          <cell r="I5">
            <v>1.1619999999999999</v>
          </cell>
          <cell r="J5">
            <v>2.5121917519128791</v>
          </cell>
          <cell r="K5">
            <v>3.8988386811274047</v>
          </cell>
          <cell r="L5">
            <v>5.3229250774307211</v>
          </cell>
          <cell r="M5">
            <v>6.7854618064342329</v>
          </cell>
          <cell r="N5">
            <v>8.2874870271208341</v>
          </cell>
          <cell r="O5">
            <v>9.8300669287659677</v>
          </cell>
          <cell r="P5">
            <v>11.414296487755527</v>
          </cell>
          <cell r="Q5">
            <v>13.041300244837805</v>
          </cell>
          <cell r="R5">
            <v>14.712233103361308</v>
          </cell>
          <cell r="S5">
            <v>16.428281149064937</v>
          </cell>
        </row>
        <row r="6">
          <cell r="B6">
            <v>5.1289499999999997</v>
          </cell>
          <cell r="C6">
            <v>5.1853300000000004</v>
          </cell>
          <cell r="D6">
            <v>1.94278</v>
          </cell>
          <cell r="E6">
            <v>1.83375</v>
          </cell>
          <cell r="F6">
            <v>3.4898100000000003</v>
          </cell>
          <cell r="G6">
            <v>3.3146399999999998</v>
          </cell>
          <cell r="H6">
            <v>3.4410400000000001</v>
          </cell>
          <cell r="I6">
            <v>3.5339480799999996</v>
          </cell>
          <cell r="J6">
            <v>3.6293646781599991</v>
          </cell>
          <cell r="K6">
            <v>3.7273575244703188</v>
          </cell>
          <cell r="L6">
            <v>3.8279961776310172</v>
          </cell>
          <cell r="M6">
            <v>3.9313520744270543</v>
          </cell>
          <cell r="N6">
            <v>4.0374985804365844</v>
          </cell>
          <cell r="O6">
            <v>4.1465110421083722</v>
          </cell>
          <cell r="P6">
            <v>4.2584668402452976</v>
          </cell>
          <cell r="Q6">
            <v>4.37344544493192</v>
          </cell>
          <cell r="R6">
            <v>4.4915284719450819</v>
          </cell>
          <cell r="S6">
            <v>4.6127997406875991</v>
          </cell>
        </row>
        <row r="7">
          <cell r="B7">
            <v>9.3951400000000014</v>
          </cell>
          <cell r="C7">
            <v>9.0784500000000001</v>
          </cell>
          <cell r="D7">
            <v>5.5608199999999997</v>
          </cell>
          <cell r="E7">
            <v>4.4451000000000001</v>
          </cell>
          <cell r="F7">
            <v>7.7481100000000005</v>
          </cell>
          <cell r="G7">
            <v>9.8552799999999987</v>
          </cell>
          <cell r="H7">
            <v>10.753310000000001</v>
          </cell>
          <cell r="I7">
            <v>11.043649370000001</v>
          </cell>
          <cell r="J7">
            <v>11.34182790299</v>
          </cell>
          <cell r="K7">
            <v>11.648057256370729</v>
          </cell>
          <cell r="L7">
            <v>11.962554802292738</v>
          </cell>
          <cell r="M7">
            <v>12.28554378195464</v>
          </cell>
          <cell r="N7">
            <v>12.617253464067414</v>
          </cell>
          <cell r="O7">
            <v>12.957919307597233</v>
          </cell>
          <cell r="P7">
            <v>13.307783128902358</v>
          </cell>
          <cell r="Q7">
            <v>13.66709327338272</v>
          </cell>
          <cell r="R7">
            <v>14.036104791764053</v>
          </cell>
          <cell r="S7">
            <v>14.415079621141681</v>
          </cell>
        </row>
        <row r="9">
          <cell r="B9">
            <v>12.272143999999999</v>
          </cell>
          <cell r="C9">
            <v>12.318619999999999</v>
          </cell>
          <cell r="D9">
            <v>4.9839899999999995</v>
          </cell>
          <cell r="E9">
            <v>4.9029420000000004</v>
          </cell>
          <cell r="F9">
            <v>9.5850000000000009</v>
          </cell>
          <cell r="G9">
            <v>10.456373044038445</v>
          </cell>
          <cell r="H9">
            <v>11.423675012743061</v>
          </cell>
          <cell r="I9">
            <v>11.732114238087123</v>
          </cell>
          <cell r="J9">
            <v>12.048881322515474</v>
          </cell>
          <cell r="K9">
            <v>12.37420111822339</v>
          </cell>
          <cell r="L9">
            <v>12.70830454841542</v>
          </cell>
          <cell r="M9">
            <v>13.051428771222636</v>
          </cell>
          <cell r="N9">
            <v>13.403817348045646</v>
          </cell>
          <cell r="O9">
            <v>13.765720416442877</v>
          </cell>
          <cell r="P9">
            <v>14.137394867686833</v>
          </cell>
          <cell r="Q9">
            <v>14.519104529114376</v>
          </cell>
          <cell r="R9">
            <v>14.911120351400463</v>
          </cell>
          <cell r="S9">
            <v>15.313720600888274</v>
          </cell>
        </row>
        <row r="10">
          <cell r="B10">
            <v>1.5722699999999998</v>
          </cell>
          <cell r="C10">
            <v>1.2840199999999999</v>
          </cell>
          <cell r="D10">
            <v>1.1933699999999998</v>
          </cell>
          <cell r="E10">
            <v>1.1724100000000002</v>
          </cell>
          <cell r="F10">
            <v>1.1248799999999999</v>
          </cell>
          <cell r="G10">
            <v>1.44774</v>
          </cell>
          <cell r="H10">
            <v>1.4559800000000003</v>
          </cell>
          <cell r="I10">
            <v>1.4952914600000002</v>
          </cell>
          <cell r="J10">
            <v>1.5356643294200001</v>
          </cell>
          <cell r="K10">
            <v>1.5771272663143399</v>
          </cell>
          <cell r="L10">
            <v>1.6197097025048268</v>
          </cell>
          <cell r="M10">
            <v>1.6634418644724569</v>
          </cell>
          <cell r="N10">
            <v>1.7083547948132132</v>
          </cell>
          <cell r="O10">
            <v>1.7544803742731698</v>
          </cell>
          <cell r="P10">
            <v>1.8018513443785453</v>
          </cell>
          <cell r="Q10">
            <v>1.8505013306767659</v>
          </cell>
          <cell r="R10">
            <v>1.9004648666050385</v>
          </cell>
          <cell r="S10">
            <v>1.9517774180033745</v>
          </cell>
        </row>
        <row r="12">
          <cell r="B12">
            <v>9.1173000000000003E-4</v>
          </cell>
          <cell r="C12">
            <v>1.0335799999999999E-3</v>
          </cell>
          <cell r="D12">
            <v>1.2672699999999999</v>
          </cell>
          <cell r="E12">
            <v>0.71816000000000002</v>
          </cell>
          <cell r="F12">
            <v>0.71960000000000002</v>
          </cell>
          <cell r="G12">
            <v>0.89757000000000009</v>
          </cell>
          <cell r="H12">
            <v>1.1619999999999999</v>
          </cell>
          <cell r="I12">
            <v>2.5121917519128791</v>
          </cell>
          <cell r="J12">
            <v>3.8988386811274047</v>
          </cell>
          <cell r="K12">
            <v>5.3229250774307211</v>
          </cell>
          <cell r="L12">
            <v>6.7854618064342329</v>
          </cell>
          <cell r="M12">
            <v>8.2874870271208341</v>
          </cell>
          <cell r="N12">
            <v>9.8300669287659677</v>
          </cell>
          <cell r="O12">
            <v>11.414296487755527</v>
          </cell>
          <cell r="P12">
            <v>13.041300244837805</v>
          </cell>
          <cell r="Q12">
            <v>14.712233103361308</v>
          </cell>
          <cell r="R12">
            <v>16.428281149064937</v>
          </cell>
          <cell r="S12">
            <v>18.190662492002559</v>
          </cell>
        </row>
      </sheetData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ources"/>
      <sheetName val="Notes"/>
      <sheetName val="Capacity"/>
      <sheetName val="annual_data"/>
      <sheetName val="monthly_data"/>
      <sheetName val="BD"/>
      <sheetName val="RD"/>
      <sheetName val="SAF"/>
      <sheetName val="Jet Fuel"/>
      <sheetName val="Dies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E5">
            <v>6806</v>
          </cell>
          <cell r="F5">
            <v>6712.6229999999996</v>
          </cell>
          <cell r="G5">
            <v>7169.37</v>
          </cell>
          <cell r="H5">
            <v>8477.1059999999998</v>
          </cell>
          <cell r="I5">
            <v>6678.7569999999996</v>
          </cell>
          <cell r="J5">
            <v>6852.6540000000005</v>
          </cell>
          <cell r="K5">
            <v>7201.6540000000005</v>
          </cell>
          <cell r="L5">
            <v>7179.9138333333331</v>
          </cell>
          <cell r="M5">
            <v>7260.2328055555554</v>
          </cell>
          <cell r="N5">
            <v>7275.0392731481479</v>
          </cell>
          <cell r="O5">
            <v>7074.7081520061729</v>
          </cell>
          <cell r="P5">
            <v>7140.7003440072031</v>
          </cell>
          <cell r="Q5">
            <v>7188.7080680084009</v>
          </cell>
          <cell r="R5">
            <v>7186.550412676469</v>
          </cell>
          <cell r="S5">
            <v>7187.6565092336596</v>
          </cell>
          <cell r="T5">
            <v>7175.5604598466753</v>
          </cell>
          <cell r="U5">
            <v>7158.9806576297633</v>
          </cell>
          <cell r="V5">
            <v>7173.0260752336953</v>
          </cell>
        </row>
        <row r="6">
          <cell r="E6">
            <v>29148</v>
          </cell>
          <cell r="F6">
            <v>29020.286</v>
          </cell>
          <cell r="G6">
            <v>12800.773999999999</v>
          </cell>
          <cell r="H6">
            <v>12400.323</v>
          </cell>
          <cell r="I6">
            <v>21246.866999999998</v>
          </cell>
          <cell r="J6">
            <v>25672.778000000002</v>
          </cell>
          <cell r="K6">
            <v>27714.838</v>
          </cell>
          <cell r="L6">
            <v>21475.977666666669</v>
          </cell>
          <cell r="M6">
            <v>20218.592944444445</v>
          </cell>
          <cell r="N6">
            <v>21454.896101851857</v>
          </cell>
          <cell r="O6">
            <v>22963.991618827164</v>
          </cell>
          <cell r="P6">
            <v>23250.179055298358</v>
          </cell>
          <cell r="Q6">
            <v>22846.412564514747</v>
          </cell>
          <cell r="R6">
            <v>22035.008325267205</v>
          </cell>
          <cell r="S6">
            <v>22128.180101700633</v>
          </cell>
          <cell r="T6">
            <v>22446.444627909994</v>
          </cell>
          <cell r="U6">
            <v>22611.702715586347</v>
          </cell>
          <cell r="V6">
            <v>22552.987898379546</v>
          </cell>
        </row>
        <row r="7">
          <cell r="E7">
            <v>27003</v>
          </cell>
          <cell r="F7">
            <v>28017.615000000002</v>
          </cell>
          <cell r="G7">
            <v>17667.349999999999</v>
          </cell>
          <cell r="H7">
            <v>18837.240000000002</v>
          </cell>
          <cell r="I7">
            <v>24793.736000000001</v>
          </cell>
          <cell r="J7">
            <v>25195.221000000001</v>
          </cell>
          <cell r="K7">
            <v>26585.69366666667</v>
          </cell>
          <cell r="L7">
            <v>23516.14261111111</v>
          </cell>
          <cell r="M7">
            <v>22765.897212962966</v>
          </cell>
          <cell r="N7">
            <v>23615.655081790126</v>
          </cell>
          <cell r="O7">
            <v>24412.057595421811</v>
          </cell>
          <cell r="P7">
            <v>24348.444527992116</v>
          </cell>
          <cell r="Q7">
            <v>24207.315115990801</v>
          </cell>
          <cell r="R7">
            <v>23810.918690878156</v>
          </cell>
          <cell r="S7">
            <v>23860.048037506</v>
          </cell>
          <cell r="T7">
            <v>24042.406508263171</v>
          </cell>
          <cell r="U7">
            <v>24113.531746008677</v>
          </cell>
          <cell r="V7">
            <v>24063.777437773155</v>
          </cell>
        </row>
        <row r="9">
          <cell r="E9">
            <v>39042</v>
          </cell>
          <cell r="F9">
            <v>39474.636999999995</v>
          </cell>
          <cell r="G9">
            <v>17296.623</v>
          </cell>
          <cell r="H9">
            <v>21050.951000000001</v>
          </cell>
          <cell r="I9">
            <v>31601.688999999998</v>
          </cell>
          <cell r="J9">
            <v>35208.881999999998</v>
          </cell>
          <cell r="K9">
            <v>36951.895960396039</v>
          </cell>
          <cell r="L9">
            <v>37997.704336633666</v>
          </cell>
          <cell r="M9">
            <v>39043.512712871285</v>
          </cell>
          <cell r="N9">
            <v>39740.718297029707</v>
          </cell>
          <cell r="O9">
            <v>40786.526673267326</v>
          </cell>
          <cell r="P9">
            <v>41483.732257425749</v>
          </cell>
          <cell r="Q9">
            <v>42180.937841584164</v>
          </cell>
          <cell r="R9">
            <v>40205.522019801982</v>
          </cell>
          <cell r="S9">
            <v>40573.491633663369</v>
          </cell>
          <cell r="T9">
            <v>40828.488120462054</v>
          </cell>
          <cell r="U9">
            <v>41009.783091034107</v>
          </cell>
          <cell r="V9">
            <v>41046.992493995233</v>
          </cell>
        </row>
        <row r="10">
          <cell r="E10">
            <v>17226</v>
          </cell>
          <cell r="F10">
            <v>15865.155999999999</v>
          </cell>
          <cell r="G10">
            <v>11728.410999999998</v>
          </cell>
          <cell r="H10">
            <v>12062.458999999999</v>
          </cell>
          <cell r="I10">
            <v>14265.018999999998</v>
          </cell>
          <cell r="J10">
            <v>15277.075999999999</v>
          </cell>
          <cell r="K10">
            <v>17404.020166666669</v>
          </cell>
          <cell r="L10">
            <v>14433.690194444445</v>
          </cell>
          <cell r="M10">
            <v>14195.112560185184</v>
          </cell>
          <cell r="N10">
            <v>14606.229486882716</v>
          </cell>
          <cell r="O10">
            <v>15030.191234696504</v>
          </cell>
          <cell r="P10">
            <v>15157.719940479254</v>
          </cell>
          <cell r="Q10">
            <v>15137.827263892461</v>
          </cell>
          <cell r="R10">
            <v>14760.128446763425</v>
          </cell>
          <cell r="S10">
            <v>14814.534822149923</v>
          </cell>
          <cell r="T10">
            <v>14917.771865810713</v>
          </cell>
          <cell r="U10">
            <v>14969.695595632047</v>
          </cell>
          <cell r="V10">
            <v>14959.612989121304</v>
          </cell>
        </row>
        <row r="12">
          <cell r="E12">
            <v>6698</v>
          </cell>
          <cell r="F12">
            <v>7171.3940000000002</v>
          </cell>
          <cell r="G12">
            <v>8477.0259999999998</v>
          </cell>
          <cell r="H12">
            <v>6678.7550000000001</v>
          </cell>
          <cell r="I12">
            <v>6852.6540000000005</v>
          </cell>
          <cell r="J12">
            <v>7201.6540000000005</v>
          </cell>
          <cell r="K12">
            <v>7179.9138333333331</v>
          </cell>
          <cell r="L12">
            <v>7260.2328055555554</v>
          </cell>
          <cell r="M12">
            <v>7275.0392731481479</v>
          </cell>
          <cell r="N12">
            <v>7074.7081520061729</v>
          </cell>
          <cell r="O12">
            <v>7140.7003440072031</v>
          </cell>
          <cell r="P12">
            <v>7188.7080680084009</v>
          </cell>
          <cell r="Q12">
            <v>7186.550412676469</v>
          </cell>
          <cell r="R12">
            <v>7187.6565092336596</v>
          </cell>
          <cell r="S12">
            <v>7175.5604598466753</v>
          </cell>
          <cell r="T12">
            <v>7158.9806576297633</v>
          </cell>
          <cell r="U12">
            <v>7173.0260752336953</v>
          </cell>
          <cell r="V12">
            <v>7178.4136971047774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6D2C-5422-4F07-9B03-0E75F346E50D}">
  <sheetPr>
    <pageSetUpPr fitToPage="1"/>
  </sheetPr>
  <dimension ref="A1:V28"/>
  <sheetViews>
    <sheetView showGridLines="0" tabSelected="1" zoomScaleNormal="100" workbookViewId="0">
      <pane xSplit="1" ySplit="2" topLeftCell="B3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ColWidth="8.85546875" defaultRowHeight="15" x14ac:dyDescent="0.25"/>
  <cols>
    <col min="1" max="1" width="38.7109375" style="7" customWidth="1"/>
    <col min="2" max="6" width="9.28515625" style="7" hidden="1" customWidth="1"/>
    <col min="7" max="9" width="9.28515625" style="7" customWidth="1"/>
    <col min="10" max="10" width="9.28515625" style="32" customWidth="1"/>
    <col min="11" max="22" width="9.28515625" style="7" customWidth="1"/>
    <col min="23" max="16384" width="8.85546875" style="7"/>
  </cols>
  <sheetData>
    <row r="1" spans="1:22" s="4" customFormat="1" ht="15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thickTop="1" x14ac:dyDescent="0.25">
      <c r="A2" s="5" t="s">
        <v>1</v>
      </c>
      <c r="B2" s="6">
        <v>2015</v>
      </c>
      <c r="C2" s="6">
        <v>2016</v>
      </c>
      <c r="D2" s="6">
        <v>2017</v>
      </c>
      <c r="E2" s="6">
        <v>2018</v>
      </c>
      <c r="F2" s="6">
        <v>2019</v>
      </c>
      <c r="G2" s="6">
        <v>2020</v>
      </c>
      <c r="H2" s="6">
        <v>2021</v>
      </c>
      <c r="I2" s="6">
        <v>2022</v>
      </c>
      <c r="J2" s="6">
        <v>2023</v>
      </c>
      <c r="K2" s="6">
        <v>2024</v>
      </c>
      <c r="L2" s="6">
        <v>2025</v>
      </c>
      <c r="M2" s="6">
        <v>2026</v>
      </c>
      <c r="N2" s="6">
        <v>2027</v>
      </c>
      <c r="O2" s="6">
        <v>2028</v>
      </c>
      <c r="P2" s="6">
        <v>2029</v>
      </c>
      <c r="Q2" s="6">
        <v>2030</v>
      </c>
      <c r="R2" s="6">
        <v>2031</v>
      </c>
      <c r="S2" s="6">
        <v>2032</v>
      </c>
      <c r="T2" s="6">
        <v>2033</v>
      </c>
      <c r="U2" s="6">
        <v>2034</v>
      </c>
      <c r="V2" s="6">
        <v>2035</v>
      </c>
    </row>
    <row r="3" spans="1:22" x14ac:dyDescent="0.25">
      <c r="A3" s="8" t="s">
        <v>2</v>
      </c>
      <c r="B3" s="9">
        <f>[1]BD!$P$4+[2]BD!$B$3</f>
        <v>131.485998</v>
      </c>
      <c r="C3" s="9">
        <f>B10</f>
        <v>165.61855799999998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f t="shared" ref="K3:V3" si="0">J10</f>
        <v>163.696519908</v>
      </c>
      <c r="L3" s="10">
        <f>K10</f>
        <v>173.566485</v>
      </c>
      <c r="M3" s="10">
        <f t="shared" si="0"/>
        <v>157.15093171909825</v>
      </c>
      <c r="N3" s="10">
        <f t="shared" si="0"/>
        <v>119.82224815050637</v>
      </c>
      <c r="O3" s="10">
        <f t="shared" si="0"/>
        <v>143.02198455803307</v>
      </c>
      <c r="P3" s="10">
        <f t="shared" si="0"/>
        <v>191.66484991509918</v>
      </c>
      <c r="Q3" s="10">
        <f t="shared" si="0"/>
        <v>160.92272468917901</v>
      </c>
      <c r="R3" s="10">
        <f t="shared" si="0"/>
        <v>173.26639859049192</v>
      </c>
      <c r="S3" s="10">
        <f t="shared" si="0"/>
        <v>87.159007757843455</v>
      </c>
      <c r="T3" s="10">
        <f t="shared" si="0"/>
        <v>86.919229314453744</v>
      </c>
      <c r="U3" s="10">
        <f t="shared" si="0"/>
        <v>83.388254471657092</v>
      </c>
      <c r="V3" s="10">
        <f t="shared" si="0"/>
        <v>65.35476301945755</v>
      </c>
    </row>
    <row r="4" spans="1:22" ht="14.25" x14ac:dyDescent="0.2">
      <c r="A4" s="8" t="s">
        <v>3</v>
      </c>
      <c r="B4" s="9">
        <f>[1]BD!P5+[2]BD!B4</f>
        <v>1359.1482139999998</v>
      </c>
      <c r="C4" s="9">
        <f>[1]BD!Q5+[2]BD!C4</f>
        <v>1755.6819999999998</v>
      </c>
      <c r="D4" s="9">
        <f>[1]BD!R5+[2]BD!D4</f>
        <v>1693.1252300000001</v>
      </c>
      <c r="E4" s="9">
        <f>[1]BD!S5+[2]BD!E4</f>
        <v>1936.8171100000002</v>
      </c>
      <c r="F4" s="9">
        <f>[1]BD!T5+[2]BD!F4</f>
        <v>1808.6106069999998</v>
      </c>
      <c r="G4" s="9">
        <f>[1]BD!U5+[2]BD!G4</f>
        <v>1945.8634979999997</v>
      </c>
      <c r="H4" s="9">
        <f>[1]BD!V5+[2]BD!H4</f>
        <v>1818.484604</v>
      </c>
      <c r="I4" s="9">
        <f>[1]BD!W5+[2]BD!I4</f>
        <v>1717.7392520239998</v>
      </c>
      <c r="J4" s="9">
        <f>[1]BD!X5+[2]BD!J4</f>
        <v>1802.6747112319999</v>
      </c>
      <c r="K4" s="9">
        <f>[1]BD!Y5+[2]BD!K4</f>
        <v>1827.706332</v>
      </c>
      <c r="L4" s="9">
        <f>[1]BD!Z5+[2]BD!L4</f>
        <v>1709.018517655654</v>
      </c>
      <c r="M4" s="9">
        <f>[1]BD!AA5+[2]BD!M4</f>
        <v>1609.0747954525561</v>
      </c>
      <c r="N4" s="9">
        <f>[1]BD!AB5+[2]BD!N4</f>
        <v>1617.795409843176</v>
      </c>
      <c r="O4" s="9">
        <f>[1]BD!AC5+[2]BD!O4</f>
        <v>1580.2090609722925</v>
      </c>
      <c r="P4" s="9">
        <f>[1]BD!AD5+[2]BD!P4</f>
        <v>1534.1057802072157</v>
      </c>
      <c r="Q4" s="9">
        <f>[1]BD!AE5+[2]BD!Q4</f>
        <v>1524.2931387896558</v>
      </c>
      <c r="R4" s="9">
        <f>[1]BD!AF5+[2]BD!R4</f>
        <v>1502.3651528460523</v>
      </c>
      <c r="S4" s="9">
        <f>[1]BD!AG5+[2]BD!S4</f>
        <v>1514.2465781668216</v>
      </c>
      <c r="T4" s="9">
        <f>[1]BD!AH5+[2]BD!T4</f>
        <v>1454.5335184023268</v>
      </c>
      <c r="U4" s="9">
        <f>[1]BD!AI5+[2]BD!U4</f>
        <v>1371.3306613189036</v>
      </c>
      <c r="V4" s="9">
        <f>[1]BD!AJ5+[2]BD!V4</f>
        <v>1329.6393388913389</v>
      </c>
    </row>
    <row r="5" spans="1:22" s="12" customFormat="1" ht="14.25" x14ac:dyDescent="0.2">
      <c r="A5" s="11" t="s">
        <v>4</v>
      </c>
      <c r="B5" s="9">
        <f>[1]BD!P6+[2]BD!B5</f>
        <v>437.97309436858006</v>
      </c>
      <c r="C5" s="9">
        <f>[1]BD!Q6+[2]BD!C5</f>
        <v>777.14072636555886</v>
      </c>
      <c r="D5" s="9">
        <f>[1]BD!R6+[2]BD!D5</f>
        <v>588.41723735347443</v>
      </c>
      <c r="E5" s="9">
        <f>[1]BD!S6+[2]BD!E5</f>
        <v>330.47187961027191</v>
      </c>
      <c r="F5" s="9">
        <f>[1]BD!T6+[2]BD!F5</f>
        <v>336.60486538670688</v>
      </c>
      <c r="G5" s="9">
        <f>[1]BD!U6+[2]BD!G5</f>
        <v>365.50664348640481</v>
      </c>
      <c r="H5" s="9">
        <f>[1]BD!V6+[2]BD!H5</f>
        <v>361.00822005135944</v>
      </c>
      <c r="I5" s="9">
        <f>[1]BD!W6+[2]BD!I5</f>
        <v>444.58152846223567</v>
      </c>
      <c r="J5" s="9">
        <f>[1]BD!X6+[2]BD!J5</f>
        <v>751.18900447432031</v>
      </c>
      <c r="K5" s="9">
        <f>[1]BD!Y6+[2]BD!K5</f>
        <v>579.94362384290025</v>
      </c>
      <c r="L5" s="9">
        <f>[1]BD!Z6+[2]BD!L5</f>
        <v>310.66592906344414</v>
      </c>
      <c r="M5" s="9">
        <f>[1]BD!AA6+[2]BD!M5</f>
        <v>381.59652097885197</v>
      </c>
      <c r="N5" s="9">
        <f>[1]BD!AB6+[2]BD!N5</f>
        <v>399.40432656435047</v>
      </c>
      <c r="O5" s="9">
        <f>[1]BD!AC6+[2]BD!O5</f>
        <v>418.43380438477345</v>
      </c>
      <c r="P5" s="9">
        <f>[1]BD!AD6+[2]BD!P5</f>
        <v>410.15209456686404</v>
      </c>
      <c r="Q5" s="9">
        <f>[1]BD!AE6+[2]BD!Q5</f>
        <v>433.05053511165681</v>
      </c>
      <c r="R5" s="9">
        <f>[1]BD!AF6+[2]BD!R5</f>
        <v>426.52745632129933</v>
      </c>
      <c r="S5" s="9">
        <f>[1]BD!AG6+[2]BD!S5</f>
        <v>391.51364338978885</v>
      </c>
      <c r="T5" s="9">
        <f>[1]BD!AH6+[2]BD!T5</f>
        <v>381.93550675487649</v>
      </c>
      <c r="U5" s="9">
        <f>[1]BD!AI6+[2]BD!U5</f>
        <v>377.63584722889709</v>
      </c>
      <c r="V5" s="9">
        <f>[1]BD!AJ6+[2]BD!V5</f>
        <v>355.13259776130371</v>
      </c>
    </row>
    <row r="6" spans="1:22" x14ac:dyDescent="0.25">
      <c r="A6" s="13" t="s">
        <v>5</v>
      </c>
      <c r="B6" s="14">
        <f>B3+B4+B5</f>
        <v>1928.6073063685799</v>
      </c>
      <c r="C6" s="14">
        <f t="shared" ref="C6:V6" si="1">C3+C4+C5</f>
        <v>2698.4412843655587</v>
      </c>
      <c r="D6" s="14">
        <f t="shared" si="1"/>
        <v>2281.5424673534744</v>
      </c>
      <c r="E6" s="14">
        <f t="shared" si="1"/>
        <v>2267.288989610272</v>
      </c>
      <c r="F6" s="14">
        <f t="shared" si="1"/>
        <v>2145.2154723867066</v>
      </c>
      <c r="G6" s="14">
        <f t="shared" si="1"/>
        <v>2311.3701414864045</v>
      </c>
      <c r="H6" s="14">
        <f t="shared" si="1"/>
        <v>2179.4928240513595</v>
      </c>
      <c r="I6" s="14">
        <f t="shared" si="1"/>
        <v>2162.3207804862354</v>
      </c>
      <c r="J6" s="14">
        <f>J3+J4+J5</f>
        <v>2553.8637157063204</v>
      </c>
      <c r="K6" s="15">
        <f t="shared" si="1"/>
        <v>2571.3464757509</v>
      </c>
      <c r="L6" s="15">
        <f t="shared" si="1"/>
        <v>2193.2509317190984</v>
      </c>
      <c r="M6" s="15">
        <f t="shared" si="1"/>
        <v>2147.8222481505063</v>
      </c>
      <c r="N6" s="15">
        <f t="shared" si="1"/>
        <v>2137.0219845580327</v>
      </c>
      <c r="O6" s="15">
        <f t="shared" si="1"/>
        <v>2141.6648499150988</v>
      </c>
      <c r="P6" s="15">
        <f t="shared" si="1"/>
        <v>2135.9227246891792</v>
      </c>
      <c r="Q6" s="15">
        <f t="shared" si="1"/>
        <v>2118.2663985904915</v>
      </c>
      <c r="R6" s="15">
        <f t="shared" si="1"/>
        <v>2102.1590077578435</v>
      </c>
      <c r="S6" s="15">
        <f t="shared" si="1"/>
        <v>1992.9192293144538</v>
      </c>
      <c r="T6" s="15">
        <f t="shared" si="1"/>
        <v>1923.3882544716571</v>
      </c>
      <c r="U6" s="15">
        <f t="shared" si="1"/>
        <v>1832.3547630194578</v>
      </c>
      <c r="V6" s="15">
        <f t="shared" si="1"/>
        <v>1750.1266996721001</v>
      </c>
    </row>
    <row r="7" spans="1:22" ht="14.25" x14ac:dyDescent="0.2">
      <c r="A7" s="16" t="s">
        <v>6</v>
      </c>
      <c r="B7" s="9">
        <f>[1]BD!P8+[2]BD!B7</f>
        <v>1610.9353788141996</v>
      </c>
      <c r="C7" s="9">
        <f>[1]BD!Q8+[2]BD!C7</f>
        <v>2226.561438766465</v>
      </c>
      <c r="D7" s="9">
        <f>[1]BD!R8+[2]BD!D7</f>
        <v>2189.6734077700903</v>
      </c>
      <c r="E7" s="9">
        <f>[1]BD!S8+[2]BD!E7</f>
        <v>2066.7830775229609</v>
      </c>
      <c r="F7" s="9">
        <f>[1]BD!T8+[2]BD!F7</f>
        <v>1971.9200496540782</v>
      </c>
      <c r="G7" s="9">
        <f>[1]BD!U8+[2]BD!G7</f>
        <v>2058.6184799996977</v>
      </c>
      <c r="H7" s="9">
        <f>[1]BD!V8+[2]BD!H7</f>
        <v>1857.2546188439517</v>
      </c>
      <c r="I7" s="9">
        <f>[1]BD!W8+[2]BD!I7</f>
        <v>1847.911829099625</v>
      </c>
      <c r="J7" s="9">
        <f>[1]BD!X8+[2]BD!J7</f>
        <v>2155.2976106579454</v>
      </c>
      <c r="K7" s="9">
        <f>[1]BD!Y8+[2]BD!K7</f>
        <v>2080.3054657194798</v>
      </c>
      <c r="L7" s="9">
        <f>[1]BD!Z8+[2]BD!L7</f>
        <v>1796.1</v>
      </c>
      <c r="M7" s="9">
        <f>[1]BD!AA8+[2]BD!M7</f>
        <v>1808</v>
      </c>
      <c r="N7" s="9">
        <f>[1]BD!AB8+[2]BD!N7</f>
        <v>1814</v>
      </c>
      <c r="O7" s="9">
        <f>[1]BD!AC8+[2]BD!O7</f>
        <v>1805</v>
      </c>
      <c r="P7" s="9">
        <f>[1]BD!AD8+[2]BD!P7</f>
        <v>1855</v>
      </c>
      <c r="Q7" s="9">
        <f>[1]BD!AE8+[2]BD!Q7</f>
        <v>1860</v>
      </c>
      <c r="R7" s="9">
        <f>[1]BD!AF8+[2]BD!R7</f>
        <v>1945</v>
      </c>
      <c r="S7" s="9">
        <f>[1]BD!AG8+[2]BD!S7</f>
        <v>1836</v>
      </c>
      <c r="T7" s="9">
        <f>[1]BD!AH8+[2]BD!T7</f>
        <v>1780</v>
      </c>
      <c r="U7" s="9">
        <f>[1]BD!AI8+[2]BD!U7</f>
        <v>1707</v>
      </c>
      <c r="V7" s="9">
        <f>[1]BD!AJ8+[2]BD!V7</f>
        <v>1652</v>
      </c>
    </row>
    <row r="8" spans="1:22" ht="14.25" x14ac:dyDescent="0.2">
      <c r="A8" s="8" t="s">
        <v>7</v>
      </c>
      <c r="B8" s="9">
        <f>[1]BD!P10+[2]BD!B8</f>
        <v>152.05336955438068</v>
      </c>
      <c r="C8" s="9">
        <f>[1]BD!Q10+[2]BD!C8</f>
        <v>203.17476559909369</v>
      </c>
      <c r="D8" s="9">
        <f>[1]BD!R10+[2]BD!D8</f>
        <v>181.32028158338369</v>
      </c>
      <c r="E8" s="9">
        <f>[1]BD!S10+[2]BD!E8</f>
        <v>183.94665608731117</v>
      </c>
      <c r="F8" s="9">
        <f>[1]BD!T10+[2]BD!F8</f>
        <v>205.03045473262841</v>
      </c>
      <c r="G8" s="9">
        <f>[1]BD!U10+[2]BD!G8</f>
        <v>262.88357348670695</v>
      </c>
      <c r="H8" s="9">
        <f>[1]BD!V10+[2]BD!H8</f>
        <v>302.6510378154079</v>
      </c>
      <c r="I8" s="9">
        <f>[1]BD!W10+[2]BD!I8</f>
        <v>340.5838226586103</v>
      </c>
      <c r="J8" s="9">
        <f>[1]BD!X10+[2]BD!J8</f>
        <v>390.67838519637462</v>
      </c>
      <c r="K8" s="9">
        <f>[1]BD!Y10+[2]BD!K8</f>
        <v>330.43216163141994</v>
      </c>
      <c r="L8" s="9">
        <f>[1]BD!Z10+[2]BD!L8</f>
        <v>240</v>
      </c>
      <c r="M8" s="9">
        <f>[1]BD!AA10+[2]BD!M8</f>
        <v>220</v>
      </c>
      <c r="N8" s="9">
        <f>[1]BD!AB10+[2]BD!N8</f>
        <v>180</v>
      </c>
      <c r="O8" s="9">
        <f>[1]BD!AC10+[2]BD!O8</f>
        <v>145</v>
      </c>
      <c r="P8" s="9">
        <f>[1]BD!AD10+[2]BD!P8</f>
        <v>120</v>
      </c>
      <c r="Q8" s="9">
        <f>[1]BD!AE10+[2]BD!Q8</f>
        <v>85</v>
      </c>
      <c r="R8" s="9">
        <f>[1]BD!AF10+[2]BD!R8</f>
        <v>70</v>
      </c>
      <c r="S8" s="9">
        <f>[1]BD!AG10+[2]BD!S8</f>
        <v>70</v>
      </c>
      <c r="T8" s="9">
        <f>[1]BD!AH10+[2]BD!T8</f>
        <v>60</v>
      </c>
      <c r="U8" s="9">
        <f>[1]BD!AI10+[2]BD!U8</f>
        <v>60</v>
      </c>
      <c r="V8" s="9">
        <f>[1]BD!AJ10+[2]BD!V8</f>
        <v>55</v>
      </c>
    </row>
    <row r="9" spans="1:22" ht="14.25" x14ac:dyDescent="0.2">
      <c r="A9" s="17" t="s">
        <v>8</v>
      </c>
      <c r="B9" s="18">
        <f>SUM(B7:B8)</f>
        <v>1762.9887483685802</v>
      </c>
      <c r="C9" s="18">
        <f t="shared" ref="C9:V9" si="2">SUM(C7:C8)</f>
        <v>2429.7362043655585</v>
      </c>
      <c r="D9" s="18">
        <f t="shared" si="2"/>
        <v>2370.9936893534741</v>
      </c>
      <c r="E9" s="18">
        <f t="shared" si="2"/>
        <v>2250.729733610272</v>
      </c>
      <c r="F9" s="18">
        <f t="shared" si="2"/>
        <v>2176.9505043867066</v>
      </c>
      <c r="G9" s="18">
        <f t="shared" si="2"/>
        <v>2321.5020534864047</v>
      </c>
      <c r="H9" s="18">
        <f t="shared" si="2"/>
        <v>2159.9056566593595</v>
      </c>
      <c r="I9" s="18">
        <f t="shared" si="2"/>
        <v>2188.4956517582355</v>
      </c>
      <c r="J9" s="18">
        <f t="shared" si="2"/>
        <v>2545.97599585432</v>
      </c>
      <c r="K9" s="18">
        <f t="shared" si="2"/>
        <v>2410.7376273508999</v>
      </c>
      <c r="L9" s="18">
        <f t="shared" si="2"/>
        <v>2036.1</v>
      </c>
      <c r="M9" s="18">
        <f t="shared" si="2"/>
        <v>2028</v>
      </c>
      <c r="N9" s="18">
        <f t="shared" si="2"/>
        <v>1994</v>
      </c>
      <c r="O9" s="18">
        <f t="shared" si="2"/>
        <v>1950</v>
      </c>
      <c r="P9" s="18">
        <f t="shared" si="2"/>
        <v>1975</v>
      </c>
      <c r="Q9" s="18">
        <f t="shared" si="2"/>
        <v>1945</v>
      </c>
      <c r="R9" s="18">
        <f t="shared" si="2"/>
        <v>2015</v>
      </c>
      <c r="S9" s="18">
        <f t="shared" si="2"/>
        <v>1906</v>
      </c>
      <c r="T9" s="18">
        <f t="shared" si="2"/>
        <v>1840</v>
      </c>
      <c r="U9" s="18">
        <f t="shared" si="2"/>
        <v>1767</v>
      </c>
      <c r="V9" s="18">
        <f t="shared" si="2"/>
        <v>1707</v>
      </c>
    </row>
    <row r="10" spans="1:22" ht="14.25" x14ac:dyDescent="0.2">
      <c r="A10" s="19" t="s">
        <v>9</v>
      </c>
      <c r="B10" s="9">
        <f>[2]BD!B$10+[1]BD!P$12</f>
        <v>165.61855799999998</v>
      </c>
      <c r="C10" s="9">
        <f>[2]BD!C$10+[1]BD!Q$12</f>
        <v>268.70508000000001</v>
      </c>
      <c r="D10" s="9">
        <f>[2]BD!D$10+[1]BD!R$12</f>
        <v>179.25385799999998</v>
      </c>
      <c r="E10" s="9">
        <f>[2]BD!E$10+[1]BD!S$12</f>
        <v>195.81311399999998</v>
      </c>
      <c r="F10" s="9">
        <f>[2]BD!F$10+[1]BD!T$12</f>
        <v>164.07808199999999</v>
      </c>
      <c r="G10" s="9">
        <f>[2]BD!G$10+[1]BD!U$12</f>
        <v>156.28779060800002</v>
      </c>
      <c r="H10" s="9">
        <f>[2]BD!H$10+[1]BD!V$12</f>
        <v>177.70461327199999</v>
      </c>
      <c r="I10" s="9">
        <f>[2]BD!I$10+[1]BD!W$12</f>
        <v>152.86618814799999</v>
      </c>
      <c r="J10" s="9">
        <f>[2]BD!J$10+[1]BD!X$12</f>
        <v>163.696519908</v>
      </c>
      <c r="K10" s="9">
        <f>[2]BD!K$10+[1]BD!Y$12</f>
        <v>173.566485</v>
      </c>
      <c r="L10" s="9">
        <f>[2]BD!L$10+[1]BD!Z$12</f>
        <v>157.15093171909825</v>
      </c>
      <c r="M10" s="9">
        <f>[2]BD!M$10+[1]BD!AA$12</f>
        <v>119.82224815050637</v>
      </c>
      <c r="N10" s="9">
        <f>[2]BD!N$10+[1]BD!AB$12</f>
        <v>143.02198455803307</v>
      </c>
      <c r="O10" s="9">
        <f>[2]BD!O$10+[1]BD!AC$12</f>
        <v>191.66484991509918</v>
      </c>
      <c r="P10" s="9">
        <f>[2]BD!P$10+[1]BD!AD$12</f>
        <v>160.92272468917901</v>
      </c>
      <c r="Q10" s="9">
        <f>[2]BD!Q$10+[1]BD!AE$12</f>
        <v>173.26639859049192</v>
      </c>
      <c r="R10" s="9">
        <f>[2]BD!R$10+[1]BD!AF$12</f>
        <v>87.159007757843455</v>
      </c>
      <c r="S10" s="9">
        <f>[2]BD!S$10+[1]BD!AG$12</f>
        <v>86.919229314453744</v>
      </c>
      <c r="T10" s="9">
        <f>[2]BD!T$10+[1]BD!AH$12</f>
        <v>83.388254471657092</v>
      </c>
      <c r="U10" s="9">
        <f>[2]BD!U$10+[1]BD!AI$12</f>
        <v>65.35476301945755</v>
      </c>
      <c r="V10" s="9">
        <f>[2]BD!V$10+[1]BD!AJ$12</f>
        <v>43.126699672099704</v>
      </c>
    </row>
    <row r="11" spans="1:22" s="19" customFormat="1" ht="14.25" x14ac:dyDescent="0.2">
      <c r="A11" s="19" t="s">
        <v>10</v>
      </c>
      <c r="B11" s="20">
        <f>B8-B5</f>
        <v>-285.91972481419941</v>
      </c>
      <c r="C11" s="20">
        <f t="shared" ref="C11:V11" si="3">C8-C5</f>
        <v>-573.96596076646517</v>
      </c>
      <c r="D11" s="20">
        <f t="shared" si="3"/>
        <v>-407.09695577009074</v>
      </c>
      <c r="E11" s="20">
        <f t="shared" si="3"/>
        <v>-146.52522352296074</v>
      </c>
      <c r="F11" s="20">
        <f t="shared" si="3"/>
        <v>-131.57441065407846</v>
      </c>
      <c r="G11" s="20">
        <f t="shared" si="3"/>
        <v>-102.62306999969786</v>
      </c>
      <c r="H11" s="20">
        <f t="shared" si="3"/>
        <v>-58.357182235951541</v>
      </c>
      <c r="I11" s="20">
        <f t="shared" si="3"/>
        <v>-103.99770580362537</v>
      </c>
      <c r="J11" s="20">
        <f t="shared" si="3"/>
        <v>-360.51061927794569</v>
      </c>
      <c r="K11" s="20">
        <f t="shared" si="3"/>
        <v>-249.51146221148031</v>
      </c>
      <c r="L11" s="20">
        <f t="shared" si="3"/>
        <v>-70.665929063444139</v>
      </c>
      <c r="M11" s="20">
        <f t="shared" si="3"/>
        <v>-161.59652097885197</v>
      </c>
      <c r="N11" s="20">
        <f t="shared" si="3"/>
        <v>-219.40432656435047</v>
      </c>
      <c r="O11" s="20">
        <f t="shared" si="3"/>
        <v>-273.43380438477345</v>
      </c>
      <c r="P11" s="20">
        <f t="shared" si="3"/>
        <v>-290.15209456686404</v>
      </c>
      <c r="Q11" s="20">
        <f t="shared" si="3"/>
        <v>-348.05053511165681</v>
      </c>
      <c r="R11" s="20">
        <f t="shared" si="3"/>
        <v>-356.52745632129933</v>
      </c>
      <c r="S11" s="20">
        <f t="shared" si="3"/>
        <v>-321.51364338978885</v>
      </c>
      <c r="T11" s="20">
        <f t="shared" si="3"/>
        <v>-321.93550675487649</v>
      </c>
      <c r="U11" s="20">
        <f t="shared" si="3"/>
        <v>-317.63584722889709</v>
      </c>
      <c r="V11" s="20">
        <f t="shared" si="3"/>
        <v>-300.13259776130371</v>
      </c>
    </row>
    <row r="12" spans="1:22" s="19" customFormat="1" x14ac:dyDescent="0.2">
      <c r="B12" s="20"/>
      <c r="C12" s="20"/>
      <c r="D12" s="20"/>
      <c r="E12" s="20"/>
      <c r="F12" s="20"/>
      <c r="G12" s="20"/>
      <c r="H12" s="20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22" s="19" customFormat="1" ht="14.25" x14ac:dyDescent="0.2">
      <c r="A13" s="19" t="s">
        <v>11</v>
      </c>
      <c r="B13" s="22">
        <f>B7/Diesel!B7</f>
        <v>2.3350670112218402E-2</v>
      </c>
      <c r="C13" s="22">
        <f>C7/Diesel!C7</f>
        <v>3.3116662567724747E-2</v>
      </c>
      <c r="D13" s="22">
        <f>D7/Diesel!D7</f>
        <v>3.1955480791101901E-2</v>
      </c>
      <c r="E13" s="22">
        <f>E7/Diesel!E7</f>
        <v>2.8962942634335496E-2</v>
      </c>
      <c r="F13" s="22">
        <f>F7/Diesel!F7</f>
        <v>2.7996200833713097E-2</v>
      </c>
      <c r="G13" s="22">
        <f>G7/Diesel!G7</f>
        <v>3.1551672545722997E-2</v>
      </c>
      <c r="H13" s="22">
        <f>H7/Diesel!H7</f>
        <v>2.7209778177970656E-2</v>
      </c>
      <c r="I13" s="22">
        <f>I7/Diesel!I7</f>
        <v>2.6610447392674597E-2</v>
      </c>
      <c r="J13" s="22">
        <f>J7/Diesel!J7</f>
        <v>3.18700000248218E-2</v>
      </c>
      <c r="K13" s="22">
        <f>K7/Diesel!K7</f>
        <v>3.1579703594380074E-2</v>
      </c>
      <c r="L13" s="22">
        <f>L7/Diesel!L7</f>
        <v>2.5869996895373996E-2</v>
      </c>
      <c r="M13" s="22">
        <f>M7/Diesel!M7</f>
        <v>2.5597614417638768E-2</v>
      </c>
      <c r="N13" s="22">
        <f>N7/Diesel!N7</f>
        <v>2.5467799782709105E-2</v>
      </c>
      <c r="O13" s="22">
        <f>O7/Diesel!O7</f>
        <v>2.5184567303250475E-2</v>
      </c>
      <c r="P13" s="22">
        <f>P7/Diesel!P7</f>
        <v>2.5704090364511663E-2</v>
      </c>
      <c r="Q13" s="22">
        <f>Q7/Diesel!Q7</f>
        <v>2.5671590200819216E-2</v>
      </c>
      <c r="R13" s="22">
        <f>R7/Diesel!R7</f>
        <v>2.6644542873663451E-2</v>
      </c>
      <c r="S13" s="22">
        <f>S7/Diesel!S7</f>
        <v>2.5272579012896722E-2</v>
      </c>
      <c r="T13" s="22">
        <f>T7/Diesel!T7</f>
        <v>2.4524852908871624E-2</v>
      </c>
      <c r="U13" s="22">
        <f>U7/Diesel!U7</f>
        <v>2.3582853576537936E-2</v>
      </c>
      <c r="V13" s="22">
        <f>V7/Diesel!V7</f>
        <v>2.2885148789568301E-2</v>
      </c>
    </row>
    <row r="14" spans="1:22" s="23" customFormat="1" ht="14.25" x14ac:dyDescent="0.2">
      <c r="A14" s="23" t="s">
        <v>12</v>
      </c>
      <c r="B14" s="14">
        <f>[1]BD!P$20+[2]BD!B$12</f>
        <v>105.66800000000001</v>
      </c>
      <c r="C14" s="14">
        <f>[1]BD!Q$20+[2]BD!C$12</f>
        <v>145.29350000000002</v>
      </c>
      <c r="D14" s="14">
        <f>[1]BD!R$20+[2]BD!D$12</f>
        <v>156.12446999999997</v>
      </c>
      <c r="E14" s="14">
        <f>[1]BD!S$20+[2]BD!E$12</f>
        <v>2704.0239266666667</v>
      </c>
      <c r="F14" s="14">
        <f>[1]BD!T$20+[2]BD!F$12</f>
        <v>2729.0590133333335</v>
      </c>
      <c r="G14" s="14">
        <f>[1]BD!U$20+[2]BD!G$12</f>
        <v>2672.4706200000001</v>
      </c>
      <c r="H14" s="14">
        <f>[1]BD!V$20+[2]BD!H$12</f>
        <v>2587.8872866666666</v>
      </c>
      <c r="I14" s="14">
        <f>[1]BD!W$20+[2]BD!I$12</f>
        <v>2352.7206200000001</v>
      </c>
      <c r="J14" s="14">
        <f>[1]BD!X$20+[2]BD!J$12</f>
        <v>2253.3414033333333</v>
      </c>
      <c r="K14" s="14">
        <f>[1]BD!Y$20+[2]BD!K$12</f>
        <v>2184.1099218518521</v>
      </c>
      <c r="L14" s="14">
        <f>[1]BD!Z$20+[2]BD!L$12</f>
        <v>2124.4432551851851</v>
      </c>
      <c r="M14" s="14">
        <f>[1]BD!AA$20+[2]BD!M$12</f>
        <v>2059.2580699999994</v>
      </c>
      <c r="N14" s="14">
        <f>[1]BD!AB$20+[2]BD!N$12</f>
        <v>1983.7025144444438</v>
      </c>
      <c r="O14" s="14">
        <f>[1]BD!AC$20+[2]BD!O$12</f>
        <v>1925.9247366666659</v>
      </c>
      <c r="P14" s="14">
        <f>[1]BD!AD$20+[2]BD!P$12</f>
        <v>1942.0358477777772</v>
      </c>
      <c r="Q14" s="14">
        <f>[1]BD!AE$20+[2]BD!Q$12</f>
        <v>1927.8691811111107</v>
      </c>
      <c r="R14" s="14">
        <f>[1]BD!AF$20+[2]BD!R$12</f>
        <v>1962.0358477777772</v>
      </c>
      <c r="S14" s="14">
        <f>[1]BD!AG$20+[2]BD!S$12</f>
        <v>1977.0358477777772</v>
      </c>
      <c r="T14" s="14">
        <f>[1]BD!AH$20+[2]BD!T$12</f>
        <v>1977.0358477777772</v>
      </c>
      <c r="U14" s="14">
        <f>[1]BD!AI$20+[2]BD!U$12</f>
        <v>1927.0358477777772</v>
      </c>
      <c r="V14" s="14">
        <f>[1]BD!AJ$20+[2]BD!V$12</f>
        <v>1927.0358477777772</v>
      </c>
    </row>
    <row r="15" spans="1:22" s="26" customFormat="1" ht="14.25" x14ac:dyDescent="0.2">
      <c r="A15" s="24" t="s">
        <v>13</v>
      </c>
      <c r="B15" s="25">
        <f>B4/B14</f>
        <v>12.862439092251199</v>
      </c>
      <c r="C15" s="25">
        <f t="shared" ref="C15:V15" si="4">C4/C14</f>
        <v>12.083692663470833</v>
      </c>
      <c r="D15" s="25">
        <f t="shared" si="4"/>
        <v>10.844714028492781</v>
      </c>
      <c r="E15" s="25">
        <f t="shared" si="4"/>
        <v>0.71627217899198625</v>
      </c>
      <c r="F15" s="25">
        <f t="shared" si="4"/>
        <v>0.66272315774913293</v>
      </c>
      <c r="G15" s="25">
        <f t="shared" si="4"/>
        <v>0.72811408418776169</v>
      </c>
      <c r="H15" s="25">
        <f t="shared" si="4"/>
        <v>0.70269080626857705</v>
      </c>
      <c r="I15" s="25">
        <f t="shared" si="4"/>
        <v>0.73010761984310735</v>
      </c>
      <c r="J15" s="25">
        <f t="shared" si="4"/>
        <v>0.80000070498209053</v>
      </c>
      <c r="K15" s="25">
        <f t="shared" si="4"/>
        <v>0.83681975605437187</v>
      </c>
      <c r="L15" s="25">
        <f t="shared" si="4"/>
        <v>0.80445477349625938</v>
      </c>
      <c r="M15" s="25">
        <f t="shared" si="4"/>
        <v>0.78138569366031752</v>
      </c>
      <c r="N15" s="25">
        <f t="shared" si="4"/>
        <v>0.81554335796980937</v>
      </c>
      <c r="O15" s="25">
        <f t="shared" si="4"/>
        <v>0.82049367292891828</v>
      </c>
      <c r="P15" s="25">
        <f t="shared" si="4"/>
        <v>0.78994719997710361</v>
      </c>
      <c r="Q15" s="25">
        <f t="shared" si="4"/>
        <v>0.79066212257781032</v>
      </c>
      <c r="R15" s="25">
        <f t="shared" si="4"/>
        <v>0.76571748398361172</v>
      </c>
      <c r="S15" s="25">
        <f t="shared" si="4"/>
        <v>0.76591761341548825</v>
      </c>
      <c r="T15" s="25">
        <f t="shared" si="4"/>
        <v>0.73571428663635396</v>
      </c>
      <c r="U15" s="25">
        <f t="shared" si="4"/>
        <v>0.7116269595608703</v>
      </c>
      <c r="V15" s="25">
        <f t="shared" si="4"/>
        <v>0.68999201048836467</v>
      </c>
    </row>
    <row r="16" spans="1:22" ht="14.25" x14ac:dyDescent="0.2">
      <c r="A16" s="16" t="s">
        <v>14</v>
      </c>
      <c r="B16" s="9"/>
      <c r="C16" s="9"/>
      <c r="D16" s="9"/>
      <c r="E16" s="27">
        <f>E4/D4-1</f>
        <v>0.1439302159592768</v>
      </c>
      <c r="F16" s="27">
        <f t="shared" ref="F16:V16" si="5">F4/E4-1</f>
        <v>-6.6194429168379365E-2</v>
      </c>
      <c r="G16" s="27">
        <f t="shared" si="5"/>
        <v>7.5888580144769513E-2</v>
      </c>
      <c r="H16" s="27">
        <f t="shared" si="5"/>
        <v>-6.5461371843874239E-2</v>
      </c>
      <c r="I16" s="27">
        <f t="shared" si="5"/>
        <v>-5.5400717583419357E-2</v>
      </c>
      <c r="J16" s="27">
        <f t="shared" si="5"/>
        <v>4.9446072276639885E-2</v>
      </c>
      <c r="K16" s="27">
        <f t="shared" si="5"/>
        <v>1.3885822335019338E-2</v>
      </c>
      <c r="L16" s="27">
        <f t="shared" si="5"/>
        <v>-6.4938120674161937E-2</v>
      </c>
      <c r="M16" s="27">
        <f t="shared" si="5"/>
        <v>-5.8480186826878611E-2</v>
      </c>
      <c r="N16" s="27">
        <f t="shared" si="5"/>
        <v>5.4196451372336973E-3</v>
      </c>
      <c r="O16" s="27">
        <f t="shared" si="5"/>
        <v>-2.3233066827978544E-2</v>
      </c>
      <c r="P16" s="27">
        <f t="shared" si="5"/>
        <v>-2.9175431215860637E-2</v>
      </c>
      <c r="Q16" s="27">
        <f t="shared" si="5"/>
        <v>-6.3963264751107918E-3</v>
      </c>
      <c r="R16" s="27">
        <f t="shared" si="5"/>
        <v>-1.4385675160235367E-2</v>
      </c>
      <c r="S16" s="27">
        <f t="shared" si="5"/>
        <v>7.9084803706084283E-3</v>
      </c>
      <c r="T16" s="27">
        <f t="shared" si="5"/>
        <v>-3.9434171835332599E-2</v>
      </c>
      <c r="U16" s="27">
        <f t="shared" si="5"/>
        <v>-5.720243365365274E-2</v>
      </c>
      <c r="V16" s="27">
        <f t="shared" si="5"/>
        <v>-3.0402093093628735E-2</v>
      </c>
    </row>
    <row r="17" spans="1:22" ht="14.25" x14ac:dyDescent="0.2">
      <c r="A17" s="16" t="s">
        <v>15</v>
      </c>
      <c r="B17" s="28"/>
      <c r="C17" s="28"/>
      <c r="D17" s="28"/>
      <c r="E17" s="27">
        <f>E7/D7-1</f>
        <v>-5.6122675560223323E-2</v>
      </c>
      <c r="F17" s="27">
        <f t="shared" ref="F17:V17" si="6">F7/E7-1</f>
        <v>-4.5898879713383356E-2</v>
      </c>
      <c r="G17" s="27">
        <f>G7/F7-1</f>
        <v>4.3966503794526712E-2</v>
      </c>
      <c r="H17" s="27">
        <f t="shared" si="6"/>
        <v>-9.7815045921367361E-2</v>
      </c>
      <c r="I17" s="27">
        <f t="shared" si="6"/>
        <v>-5.0304302110940613E-3</v>
      </c>
      <c r="J17" s="27">
        <f t="shared" si="6"/>
        <v>0.16634223382188673</v>
      </c>
      <c r="K17" s="27">
        <f t="shared" si="6"/>
        <v>-3.479433400177756E-2</v>
      </c>
      <c r="L17" s="27">
        <f t="shared" si="6"/>
        <v>-0.13661717973768173</v>
      </c>
      <c r="M17" s="27">
        <f t="shared" si="6"/>
        <v>6.6254662880687043E-3</v>
      </c>
      <c r="N17" s="27">
        <f t="shared" si="6"/>
        <v>3.3185840707965486E-3</v>
      </c>
      <c r="O17" s="27">
        <f t="shared" si="6"/>
        <v>-4.9614112458654658E-3</v>
      </c>
      <c r="P17" s="27">
        <f t="shared" si="6"/>
        <v>2.7700831024930705E-2</v>
      </c>
      <c r="Q17" s="27">
        <f t="shared" si="6"/>
        <v>2.6954177897573484E-3</v>
      </c>
      <c r="R17" s="27">
        <f t="shared" si="6"/>
        <v>4.5698924731182755E-2</v>
      </c>
      <c r="S17" s="27">
        <f t="shared" si="6"/>
        <v>-5.6041131105398434E-2</v>
      </c>
      <c r="T17" s="27">
        <f t="shared" si="6"/>
        <v>-3.0501089324618702E-2</v>
      </c>
      <c r="U17" s="27">
        <f t="shared" si="6"/>
        <v>-4.101123595505618E-2</v>
      </c>
      <c r="V17" s="27">
        <f t="shared" si="6"/>
        <v>-3.2220269478617447E-2</v>
      </c>
    </row>
    <row r="20" spans="1:22" s="23" customFormat="1" ht="14.25" x14ac:dyDescent="0.2">
      <c r="A20" s="23" t="s">
        <v>16</v>
      </c>
      <c r="B20" s="29">
        <f>B4+RD!B4</f>
        <v>1535.9958299999998</v>
      </c>
      <c r="C20" s="29">
        <f>C4+RD!C4</f>
        <v>1997.1694349999998</v>
      </c>
      <c r="D20" s="29">
        <f>D4+RD!D4</f>
        <v>1951.4673550000002</v>
      </c>
      <c r="E20" s="29">
        <f>E4+RD!E4</f>
        <v>2242.3015570000002</v>
      </c>
      <c r="F20" s="29">
        <f>F4+RD!F4</f>
        <v>2300.7477959999997</v>
      </c>
      <c r="G20" s="29">
        <f>G4+RD!G4</f>
        <v>2479.3718449999997</v>
      </c>
      <c r="H20" s="29">
        <f>H4+RD!H4</f>
        <v>2663.9195110000001</v>
      </c>
      <c r="I20" s="29">
        <f>I4+RD!I4</f>
        <v>3173.0759580240001</v>
      </c>
      <c r="J20" s="29">
        <f>J4+RD!J4</f>
        <v>4234.1711202320002</v>
      </c>
      <c r="K20" s="29">
        <f>K4+RD!K4</f>
        <v>5103.4807839719997</v>
      </c>
      <c r="L20" s="29">
        <f>L4+RD!L4</f>
        <v>4803.9072756779606</v>
      </c>
      <c r="M20" s="29">
        <f>M4+RD!M4</f>
        <v>5088.4929881229918</v>
      </c>
      <c r="N20" s="29">
        <f>N4+RD!N4</f>
        <v>5267.4004518624306</v>
      </c>
      <c r="O20" s="29">
        <f>O4+RD!O4</f>
        <v>5160.7446525746836</v>
      </c>
      <c r="P20" s="29">
        <f>P4+RD!P4</f>
        <v>5413.7000210013675</v>
      </c>
      <c r="Q20" s="29">
        <f>Q4+RD!Q4</f>
        <v>5612.4449833682038</v>
      </c>
      <c r="R20" s="29">
        <f>R4+RD!R4</f>
        <v>5785.2002126341567</v>
      </c>
      <c r="S20" s="29">
        <f>S4+RD!S4</f>
        <v>6147.4752918761433</v>
      </c>
      <c r="T20" s="29">
        <f>T4+RD!T4</f>
        <v>6031.5163538762572</v>
      </c>
      <c r="U20" s="29">
        <f>U4+RD!U4</f>
        <v>5721.9720361933878</v>
      </c>
      <c r="V20" s="29">
        <f>V4+RD!V4</f>
        <v>6161.529376090084</v>
      </c>
    </row>
    <row r="21" spans="1:22" s="26" customFormat="1" ht="14.25" x14ac:dyDescent="0.2">
      <c r="A21" s="26" t="s">
        <v>17</v>
      </c>
      <c r="B21" s="30">
        <f>B7+RD!B7</f>
        <v>2171.3260328141996</v>
      </c>
      <c r="C21" s="30">
        <f>C7+RD!C7</f>
        <v>2858.0812797664648</v>
      </c>
      <c r="D21" s="30">
        <f>D7+RD!D7</f>
        <v>2924.57509777009</v>
      </c>
      <c r="E21" s="30">
        <f>E7+RD!E7</f>
        <v>2735.7790215229606</v>
      </c>
      <c r="F21" s="30">
        <f>F7+RD!F7</f>
        <v>2992.3513306540781</v>
      </c>
      <c r="G21" s="30">
        <f>G7+RD!G7</f>
        <v>3166.0639809996974</v>
      </c>
      <c r="H21" s="30">
        <f>H7+RD!H7</f>
        <v>3237.9718398439518</v>
      </c>
      <c r="I21" s="30">
        <f>I7+RD!I7</f>
        <v>3785.2002940996249</v>
      </c>
      <c r="J21" s="30">
        <f>J7+RD!J7</f>
        <v>5176.8555306579456</v>
      </c>
      <c r="K21" s="30">
        <f>K7+RD!K7</f>
        <v>6021.0958012214796</v>
      </c>
      <c r="L21" s="30">
        <f>L7+RD!L7</f>
        <v>5313.2348115650002</v>
      </c>
      <c r="M21" s="30">
        <f>M7+RD!M7</f>
        <v>5726.0685144562503</v>
      </c>
      <c r="N21" s="30">
        <f>N7+RD!N7</f>
        <v>5788.9247889703129</v>
      </c>
      <c r="O21" s="30">
        <f>O7+RD!O7</f>
        <v>5784.6747889703129</v>
      </c>
      <c r="P21" s="30">
        <f>P7+RD!P7</f>
        <v>6118.5070054183752</v>
      </c>
      <c r="Q21" s="30">
        <f>Q7+RD!Q7</f>
        <v>6193.7469818760501</v>
      </c>
      <c r="R21" s="30">
        <f>R7+RD!R7</f>
        <v>6505.959502055186</v>
      </c>
      <c r="S21" s="30">
        <f>S7+RD!S7</f>
        <v>6688.0130561873548</v>
      </c>
      <c r="T21" s="30">
        <f>T7+RD!T7</f>
        <v>6843.6413768476914</v>
      </c>
      <c r="U21" s="30">
        <f>U7+RD!U7</f>
        <v>6532.8310714750405</v>
      </c>
      <c r="V21" s="30">
        <f>V7+RD!V7</f>
        <v>6866.527326118573</v>
      </c>
    </row>
    <row r="22" spans="1:22" ht="14.25" x14ac:dyDescent="0.2">
      <c r="A22" s="16" t="s">
        <v>14</v>
      </c>
      <c r="B22" s="9"/>
      <c r="C22" s="9"/>
      <c r="D22" s="9"/>
      <c r="E22" s="27">
        <f t="shared" ref="E22:T23" si="7">E20/D20-1</f>
        <v>0.14903359836116747</v>
      </c>
      <c r="F22" s="27">
        <f t="shared" si="7"/>
        <v>2.6065289397646962E-2</v>
      </c>
      <c r="G22" s="27">
        <f>G20/F20-1</f>
        <v>7.7637387857352191E-2</v>
      </c>
      <c r="H22" s="27">
        <f t="shared" ref="H22:V23" si="8">H20/G20-1</f>
        <v>7.4433234519528213E-2</v>
      </c>
      <c r="I22" s="27">
        <f t="shared" si="8"/>
        <v>0.19113056716674959</v>
      </c>
      <c r="J22" s="27">
        <f t="shared" si="8"/>
        <v>0.33440584979528376</v>
      </c>
      <c r="K22" s="27">
        <f t="shared" si="8"/>
        <v>0.20530810849523906</v>
      </c>
      <c r="L22" s="27">
        <f t="shared" si="8"/>
        <v>-5.8699840554877758E-2</v>
      </c>
      <c r="M22" s="27">
        <f t="shared" si="8"/>
        <v>5.9240467418236964E-2</v>
      </c>
      <c r="N22" s="27">
        <f t="shared" si="8"/>
        <v>3.515922379317904E-2</v>
      </c>
      <c r="O22" s="27">
        <f t="shared" si="8"/>
        <v>-2.0248280012588715E-2</v>
      </c>
      <c r="P22" s="27">
        <f t="shared" si="8"/>
        <v>4.9015284703242346E-2</v>
      </c>
      <c r="Q22" s="27">
        <f t="shared" si="8"/>
        <v>3.6711484122844862E-2</v>
      </c>
      <c r="R22" s="27">
        <f t="shared" si="8"/>
        <v>3.0780743468825422E-2</v>
      </c>
      <c r="S22" s="27">
        <f t="shared" si="8"/>
        <v>6.2621009805472694E-2</v>
      </c>
      <c r="T22" s="27">
        <f t="shared" si="8"/>
        <v>-1.8862855480383134E-2</v>
      </c>
      <c r="U22" s="27">
        <f t="shared" si="8"/>
        <v>-5.1321143725977847E-2</v>
      </c>
      <c r="V22" s="27">
        <f t="shared" si="8"/>
        <v>7.6819204483410397E-2</v>
      </c>
    </row>
    <row r="23" spans="1:22" ht="14.25" x14ac:dyDescent="0.2">
      <c r="A23" s="16" t="s">
        <v>15</v>
      </c>
      <c r="B23" s="28"/>
      <c r="C23" s="28"/>
      <c r="D23" s="28"/>
      <c r="E23" s="27">
        <f>E21/D21-1</f>
        <v>-6.4555044728063726E-2</v>
      </c>
      <c r="F23" s="27">
        <f t="shared" si="7"/>
        <v>9.3784003427399565E-2</v>
      </c>
      <c r="G23" s="27">
        <f t="shared" si="7"/>
        <v>5.8052224204451441E-2</v>
      </c>
      <c r="H23" s="27">
        <f t="shared" si="7"/>
        <v>2.271206749951693E-2</v>
      </c>
      <c r="I23" s="27">
        <f t="shared" si="7"/>
        <v>0.16900346306966219</v>
      </c>
      <c r="J23" s="27">
        <f t="shared" si="7"/>
        <v>0.3676569609084186</v>
      </c>
      <c r="K23" s="27">
        <f t="shared" si="7"/>
        <v>0.16307974320779173</v>
      </c>
      <c r="L23" s="27">
        <f t="shared" si="7"/>
        <v>-0.11756348230049385</v>
      </c>
      <c r="M23" s="27">
        <f t="shared" si="7"/>
        <v>7.7699126338753199E-2</v>
      </c>
      <c r="N23" s="27">
        <f t="shared" si="7"/>
        <v>1.097721313591915E-2</v>
      </c>
      <c r="O23" s="27">
        <f t="shared" si="7"/>
        <v>-7.3416051424568529E-4</v>
      </c>
      <c r="P23" s="27">
        <f t="shared" si="7"/>
        <v>5.7709763923908586E-2</v>
      </c>
      <c r="Q23" s="27">
        <f t="shared" si="7"/>
        <v>1.2297113722521624E-2</v>
      </c>
      <c r="R23" s="27">
        <f t="shared" si="7"/>
        <v>5.0407696842108995E-2</v>
      </c>
      <c r="S23" s="27">
        <f t="shared" si="7"/>
        <v>2.7982583364476676E-2</v>
      </c>
      <c r="T23" s="27">
        <f t="shared" si="7"/>
        <v>2.3269739360983754E-2</v>
      </c>
      <c r="U23" s="27">
        <f t="shared" si="8"/>
        <v>-4.5415925273953439E-2</v>
      </c>
      <c r="V23" s="27">
        <f t="shared" si="8"/>
        <v>5.1079884202208214E-2</v>
      </c>
    </row>
    <row r="24" spans="1:22" s="23" customFormat="1" ht="14.25" x14ac:dyDescent="0.2">
      <c r="A24" s="23" t="s">
        <v>18</v>
      </c>
      <c r="B24" s="29">
        <f>B14+RD!B14</f>
        <v>360.66800000000001</v>
      </c>
      <c r="C24" s="29">
        <f>C14+RD!C14</f>
        <v>511.79349999999999</v>
      </c>
      <c r="D24" s="29">
        <f>D14+RD!D14</f>
        <v>564.12446999999997</v>
      </c>
      <c r="E24" s="29">
        <f>E14+RD!E14</f>
        <v>3147.2364266666668</v>
      </c>
      <c r="F24" s="29">
        <f>F14+RD!F14</f>
        <v>3287.0590133333335</v>
      </c>
      <c r="G24" s="29">
        <f>G14+RD!G14</f>
        <v>3305.4706200000001</v>
      </c>
      <c r="H24" s="29">
        <f>H14+RD!H14</f>
        <v>3512.5539533333331</v>
      </c>
      <c r="I24" s="29">
        <f>I14+RD!I14</f>
        <v>4485.303953333334</v>
      </c>
      <c r="J24" s="29">
        <f>J14+RD!J14</f>
        <v>5817.8414033333338</v>
      </c>
      <c r="K24" s="29">
        <f>K14+RD!K14</f>
        <v>6769.8599218518521</v>
      </c>
      <c r="L24" s="29">
        <f>L14+RD!L14</f>
        <v>7377.8057551851853</v>
      </c>
      <c r="M24" s="29">
        <f>M14+RD!M14</f>
        <v>7680.9205700000002</v>
      </c>
      <c r="N24" s="29">
        <f>N14+RD!N14</f>
        <v>7694.8025144444437</v>
      </c>
      <c r="O24" s="29">
        <f>O14+RD!O14</f>
        <v>7939.5039033333323</v>
      </c>
      <c r="P24" s="29">
        <f>P14+RD!P14</f>
        <v>7963.6358477777767</v>
      </c>
      <c r="Q24" s="29">
        <f>Q14+RD!Q14</f>
        <v>7949.4691811111097</v>
      </c>
      <c r="R24" s="29">
        <f>R14+RD!R14</f>
        <v>8033.1150144444437</v>
      </c>
      <c r="S24" s="29">
        <f>S14+RD!S14</f>
        <v>8056.1358477777767</v>
      </c>
      <c r="T24" s="29">
        <f>T14+RD!T14</f>
        <v>8056.1358477777767</v>
      </c>
      <c r="U24" s="29">
        <f>U14+RD!U14</f>
        <v>8006.1358477777767</v>
      </c>
      <c r="V24" s="29">
        <f>V14+RD!V14</f>
        <v>8006.1358477777767</v>
      </c>
    </row>
    <row r="25" spans="1:22" s="26" customFormat="1" ht="14.25" x14ac:dyDescent="0.2">
      <c r="A25" s="26" t="s">
        <v>19</v>
      </c>
      <c r="B25" s="25">
        <f>B20/B24</f>
        <v>4.2587527310435078</v>
      </c>
      <c r="C25" s="25">
        <f t="shared" ref="C25:V25" si="9">C20/C24</f>
        <v>3.9022954277457602</v>
      </c>
      <c r="D25" s="25">
        <f t="shared" si="9"/>
        <v>3.4592850669994872</v>
      </c>
      <c r="E25" s="25">
        <f t="shared" si="9"/>
        <v>0.71246682899348923</v>
      </c>
      <c r="F25" s="25">
        <f t="shared" si="9"/>
        <v>0.69994112873162639</v>
      </c>
      <c r="G25" s="25">
        <f t="shared" si="9"/>
        <v>0.75008134393885484</v>
      </c>
      <c r="H25" s="25">
        <f t="shared" si="9"/>
        <v>0.75839959937754164</v>
      </c>
      <c r="I25" s="25">
        <f t="shared" si="9"/>
        <v>0.70743833440002923</v>
      </c>
      <c r="J25" s="25">
        <f t="shared" si="9"/>
        <v>0.72779074345444184</v>
      </c>
      <c r="K25" s="25">
        <f t="shared" si="9"/>
        <v>0.75385323225062761</v>
      </c>
      <c r="L25" s="25">
        <f t="shared" si="9"/>
        <v>0.65112954109719323</v>
      </c>
      <c r="M25" s="25">
        <f t="shared" si="9"/>
        <v>0.66248478183689796</v>
      </c>
      <c r="N25" s="25">
        <f t="shared" si="9"/>
        <v>0.68454004400692947</v>
      </c>
      <c r="O25" s="25">
        <f t="shared" si="9"/>
        <v>0.65000845335033963</v>
      </c>
      <c r="P25" s="25">
        <f t="shared" si="9"/>
        <v>0.67980255808809242</v>
      </c>
      <c r="Q25" s="25">
        <f t="shared" si="9"/>
        <v>0.70601506283011262</v>
      </c>
      <c r="R25" s="25">
        <f t="shared" si="9"/>
        <v>0.72016897582466033</v>
      </c>
      <c r="S25" s="25">
        <f t="shared" si="9"/>
        <v>0.76307989438533086</v>
      </c>
      <c r="T25" s="25">
        <f t="shared" si="9"/>
        <v>0.74868602861755429</v>
      </c>
      <c r="U25" s="25">
        <f t="shared" si="9"/>
        <v>0.71469834449306868</v>
      </c>
      <c r="V25" s="25">
        <f t="shared" si="9"/>
        <v>0.7696009027626366</v>
      </c>
    </row>
    <row r="26" spans="1:22" ht="14.25" x14ac:dyDescent="0.2">
      <c r="A26" s="23" t="s">
        <v>20</v>
      </c>
      <c r="G26" s="31">
        <f>(G7+RD!G7)/Diesel!G7</f>
        <v>4.8525073955095012E-2</v>
      </c>
      <c r="H26" s="31">
        <f>(H7+RD!H7)/Diesel!H7</f>
        <v>4.7438027406016145E-2</v>
      </c>
      <c r="I26" s="31">
        <f>(I7+RD!I7)/Diesel!I7</f>
        <v>5.4507943350279905E-2</v>
      </c>
      <c r="J26" s="31">
        <f>(J7+RD!J7)/Diesel!J7</f>
        <v>7.6549236205111545E-2</v>
      </c>
      <c r="K26" s="31">
        <f>(K7+RD!K7)/Diesel!K7</f>
        <v>9.1402163696271743E-2</v>
      </c>
      <c r="L26" s="31">
        <f>(L7+RD!L7)/Diesel!L7</f>
        <v>7.6528794654851962E-2</v>
      </c>
      <c r="M26" s="31">
        <f>(M7+RD!M7)/Diesel!M7</f>
        <v>8.1069520996699507E-2</v>
      </c>
      <c r="N26" s="31">
        <f>(N7+RD!N7)/Diesel!N7</f>
        <v>8.1274077994849772E-2</v>
      </c>
      <c r="O26" s="31">
        <f>(O7+RD!O7)/Diesel!O7</f>
        <v>8.0711651828387299E-2</v>
      </c>
      <c r="P26" s="31">
        <f>(P7+RD!P7)/Diesel!P7</f>
        <v>8.4782025317073614E-2</v>
      </c>
      <c r="Q26" s="31">
        <f>(Q7+RD!Q7)/Diesel!Q7</f>
        <v>8.5485663616281085E-2</v>
      </c>
      <c r="R26" s="31">
        <f>(R7+RD!R7)/Diesel!R7</f>
        <v>8.9125098656466589E-2</v>
      </c>
      <c r="S26" s="31">
        <f>(S7+RD!S7)/Diesel!S7</f>
        <v>9.2060641831034754E-2</v>
      </c>
      <c r="T26" s="31">
        <f>(T7+RD!T7)/Diesel!T7</f>
        <v>9.4291740521492862E-2</v>
      </c>
      <c r="U26" s="31">
        <f>(U7+RD!U7)/Diesel!U7</f>
        <v>9.0253543408818582E-2</v>
      </c>
      <c r="V26" s="31">
        <f>(V7+RD!V7)/Diesel!V7</f>
        <v>9.5121973078607813E-2</v>
      </c>
    </row>
    <row r="27" spans="1:22" x14ac:dyDescent="0.25">
      <c r="K27" s="27"/>
    </row>
    <row r="28" spans="1:22" x14ac:dyDescent="0.25">
      <c r="K28" s="27"/>
    </row>
  </sheetData>
  <printOptions verticalCentered="1"/>
  <pageMargins left="0.2" right="0.2" top="0.25" bottom="0.25" header="0" footer="0.1"/>
  <pageSetup scale="52" orientation="landscape" r:id="rId1"/>
  <headerFooter>
    <oddFooter>&amp;L&amp;"Arial,Regular"&amp;10&amp;D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BCBC-2018-4603-8346-91DAC2D457E9}">
  <sheetPr>
    <pageSetUpPr fitToPage="1"/>
  </sheetPr>
  <dimension ref="A1:Z17"/>
  <sheetViews>
    <sheetView showGridLines="0" zoomScaleNormal="100" workbookViewId="0">
      <pane xSplit="1" ySplit="2" topLeftCell="B3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ColWidth="8.85546875" defaultRowHeight="15" x14ac:dyDescent="0.25"/>
  <cols>
    <col min="1" max="1" width="31.7109375" style="7" customWidth="1"/>
    <col min="2" max="6" width="8.7109375" style="28" hidden="1" customWidth="1"/>
    <col min="7" max="9" width="8.7109375" style="28" customWidth="1"/>
    <col min="10" max="22" width="8.7109375" style="39" customWidth="1"/>
    <col min="23" max="23" width="12.85546875" style="7" bestFit="1" customWidth="1"/>
    <col min="24" max="24" width="10.5703125" style="7" bestFit="1" customWidth="1"/>
    <col min="25" max="25" width="9.5703125" style="7" bestFit="1" customWidth="1"/>
    <col min="26" max="16384" width="8.85546875" style="7"/>
  </cols>
  <sheetData>
    <row r="1" spans="1:26" s="4" customFormat="1" ht="15.75" thickBot="1" x14ac:dyDescent="0.3">
      <c r="A1" s="1" t="s">
        <v>21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3"/>
      <c r="X1" s="33"/>
      <c r="Y1" s="33"/>
      <c r="Z1" s="33"/>
    </row>
    <row r="2" spans="1:26" ht="15.75" thickTop="1" x14ac:dyDescent="0.25">
      <c r="A2" s="5" t="s">
        <v>1</v>
      </c>
      <c r="B2" s="34">
        <v>2015</v>
      </c>
      <c r="C2" s="34">
        <v>2016</v>
      </c>
      <c r="D2" s="34">
        <v>2017</v>
      </c>
      <c r="E2" s="34">
        <v>2018</v>
      </c>
      <c r="F2" s="34">
        <v>2019</v>
      </c>
      <c r="G2" s="34">
        <v>2020</v>
      </c>
      <c r="H2" s="34">
        <v>2021</v>
      </c>
      <c r="I2" s="34">
        <v>2022</v>
      </c>
      <c r="J2" s="34">
        <v>2023</v>
      </c>
      <c r="K2" s="34">
        <v>2024</v>
      </c>
      <c r="L2" s="34">
        <v>2025</v>
      </c>
      <c r="M2" s="34">
        <v>2026</v>
      </c>
      <c r="N2" s="34">
        <v>2027</v>
      </c>
      <c r="O2" s="34">
        <v>2028</v>
      </c>
      <c r="P2" s="34">
        <v>2029</v>
      </c>
      <c r="Q2" s="34">
        <v>2030</v>
      </c>
      <c r="R2" s="34">
        <v>2031</v>
      </c>
      <c r="S2" s="34">
        <v>2032</v>
      </c>
      <c r="T2" s="34">
        <v>2033</v>
      </c>
      <c r="U2" s="34">
        <v>2034</v>
      </c>
      <c r="V2" s="34">
        <v>2035</v>
      </c>
    </row>
    <row r="3" spans="1:26" x14ac:dyDescent="0.25">
      <c r="A3" s="8" t="s">
        <v>2</v>
      </c>
      <c r="B3" s="9">
        <f>[1]RD!$P$4+[2]RD!$B$3</f>
        <v>14.7</v>
      </c>
      <c r="C3" s="9">
        <f>B10</f>
        <v>26.628</v>
      </c>
      <c r="D3" s="9">
        <f t="shared" ref="D3:V3" si="0">C10</f>
        <v>55.23</v>
      </c>
      <c r="E3" s="9">
        <f t="shared" si="0"/>
        <v>31.626000000000001</v>
      </c>
      <c r="F3" s="9">
        <f t="shared" si="0"/>
        <v>72.534000000000006</v>
      </c>
      <c r="G3" s="9">
        <f t="shared" si="0"/>
        <v>62.622</v>
      </c>
      <c r="H3" s="9">
        <f t="shared" si="0"/>
        <v>54.054000000000002</v>
      </c>
      <c r="I3" s="9">
        <f t="shared" si="0"/>
        <v>98.815584000000001</v>
      </c>
      <c r="J3" s="9">
        <f t="shared" si="0"/>
        <v>143.02927800000001</v>
      </c>
      <c r="K3" s="9">
        <f t="shared" si="0"/>
        <v>230.06634000000003</v>
      </c>
      <c r="L3" s="10">
        <f t="shared" si="0"/>
        <v>261.64518660000005</v>
      </c>
      <c r="M3" s="10">
        <f t="shared" si="0"/>
        <v>37.964106612674868</v>
      </c>
      <c r="N3" s="10">
        <f t="shared" si="0"/>
        <v>20.004681770622085</v>
      </c>
      <c r="O3" s="10">
        <f t="shared" si="0"/>
        <v>92.529545997184528</v>
      </c>
      <c r="P3" s="10">
        <f t="shared" si="0"/>
        <v>77.438838094870903</v>
      </c>
      <c r="Q3" s="10">
        <f t="shared" si="0"/>
        <v>66.559236813101336</v>
      </c>
      <c r="R3" s="10">
        <f t="shared" si="0"/>
        <v>168.6007868725701</v>
      </c>
      <c r="S3" s="10">
        <f t="shared" si="0"/>
        <v>236.69144881504917</v>
      </c>
      <c r="T3" s="10">
        <f t="shared" si="0"/>
        <v>347.92337020854211</v>
      </c>
      <c r="U3" s="10">
        <f t="shared" si="0"/>
        <v>203.16495678969738</v>
      </c>
      <c r="V3" s="10">
        <f t="shared" si="0"/>
        <v>65.033806907213716</v>
      </c>
    </row>
    <row r="4" spans="1:26" ht="14.25" x14ac:dyDescent="0.2">
      <c r="A4" s="8" t="s">
        <v>3</v>
      </c>
      <c r="B4" s="9">
        <f>[1]RD!P5+[2]RD!B4</f>
        <v>176.84761600000002</v>
      </c>
      <c r="C4" s="9">
        <f>[1]RD!Q5+[2]RD!C4</f>
        <v>241.487435</v>
      </c>
      <c r="D4" s="9">
        <f>[1]RD!R5+[2]RD!D4</f>
        <v>258.34212500000001</v>
      </c>
      <c r="E4" s="9">
        <f>[1]RD!S5+[2]RD!E4</f>
        <v>305.48444699999993</v>
      </c>
      <c r="F4" s="9">
        <f>[1]RD!T5+[2]RD!F4</f>
        <v>492.13718899999998</v>
      </c>
      <c r="G4" s="9">
        <f>[1]RD!U5+[2]RD!G4</f>
        <v>533.50834700000007</v>
      </c>
      <c r="H4" s="9">
        <f>[1]RD!V5+[2]RD!H4</f>
        <v>845.43490700000007</v>
      </c>
      <c r="I4" s="9">
        <f>[1]RD!W5+[2]RD!I4</f>
        <v>1455.3367060000003</v>
      </c>
      <c r="J4" s="9">
        <f>[1]RD!X5+[2]RD!J4</f>
        <v>2431.4964089999999</v>
      </c>
      <c r="K4" s="9">
        <f>[1]RD!Y5+[2]RD!K4</f>
        <v>3275.774451972</v>
      </c>
      <c r="L4" s="9">
        <f>[1]RD!Z5+[2]RD!L4</f>
        <v>3094.8887580223063</v>
      </c>
      <c r="M4" s="9">
        <f>[1]RD!AA5+[2]RD!M4</f>
        <v>3479.4181926704359</v>
      </c>
      <c r="N4" s="9">
        <f>[1]RD!AB5+[2]RD!N4</f>
        <v>3649.6050420192546</v>
      </c>
      <c r="O4" s="9">
        <f>[1]RD!AC5+[2]RD!O4</f>
        <v>3580.5355916023909</v>
      </c>
      <c r="P4" s="9">
        <f>[1]RD!AD5+[2]RD!P4</f>
        <v>3879.594240794152</v>
      </c>
      <c r="Q4" s="9">
        <f>[1]RD!AE5+[2]RD!Q4</f>
        <v>4088.1518445785482</v>
      </c>
      <c r="R4" s="9">
        <f>[1]RD!AF5+[2]RD!R4</f>
        <v>4282.8350597881044</v>
      </c>
      <c r="S4" s="9">
        <f>[1]RD!AG5+[2]RD!S4</f>
        <v>4633.2287137093217</v>
      </c>
      <c r="T4" s="9">
        <f>[1]RD!AH5+[2]RD!T4</f>
        <v>4576.9828354739302</v>
      </c>
      <c r="U4" s="9">
        <f>[1]RD!AI5+[2]RD!U4</f>
        <v>4350.6413748744844</v>
      </c>
      <c r="V4" s="9">
        <f>[1]RD!AJ5+[2]RD!V4</f>
        <v>4831.8900371987447</v>
      </c>
    </row>
    <row r="5" spans="1:26" ht="14.25" x14ac:dyDescent="0.2">
      <c r="A5" s="35" t="s">
        <v>4</v>
      </c>
      <c r="B5" s="9">
        <f>[1]RD!P6+[2]RD!B5</f>
        <v>336.29695800000002</v>
      </c>
      <c r="C5" s="9">
        <f>[1]RD!Q6+[2]RD!C5</f>
        <v>349.686036</v>
      </c>
      <c r="D5" s="9">
        <f>[1]RD!R6+[2]RD!D5</f>
        <v>344.38169499999998</v>
      </c>
      <c r="E5" s="9">
        <f>[1]RD!S6+[2]RD!E5</f>
        <v>309.84663699999999</v>
      </c>
      <c r="F5" s="9">
        <f>[1]RD!T6+[2]RD!F5</f>
        <v>417.99749199999997</v>
      </c>
      <c r="G5" s="9">
        <f>[1]RD!U6+[2]RD!G5</f>
        <v>433.28415400000006</v>
      </c>
      <c r="H5" s="9">
        <f>[1]RD!V6+[2]RD!H5</f>
        <v>452.71395800000005</v>
      </c>
      <c r="I5" s="9">
        <f>[1]RD!W6+[2]RD!I5</f>
        <v>463.31412660000001</v>
      </c>
      <c r="J5" s="9">
        <f>[1]RD!X6+[2]RD!J5</f>
        <v>562.91772973000002</v>
      </c>
      <c r="K5" s="9">
        <f>[1]RD!Y6+[2]RD!K5</f>
        <v>696.59473013000002</v>
      </c>
      <c r="L5" s="9">
        <f>[1]RD!Z6+[2]RD!L5</f>
        <v>220.76629406500001</v>
      </c>
      <c r="M5" s="9">
        <f>[1]RD!AA6+[2]RD!M5</f>
        <v>444.42083258125001</v>
      </c>
      <c r="N5" s="9">
        <f>[1]RD!AB6+[2]RD!N5</f>
        <v>425.41923647031251</v>
      </c>
      <c r="O5" s="9">
        <f>[1]RD!AC6+[2]RD!O5</f>
        <v>404.36136584531255</v>
      </c>
      <c r="P5" s="9">
        <f>[1]RD!AD6+[2]RD!P5</f>
        <v>395.72321166837503</v>
      </c>
      <c r="Q5" s="9">
        <f>[1]RD!AE6+[2]RD!Q5</f>
        <v>377.08031750104999</v>
      </c>
      <c r="R5" s="9">
        <f>[1]RD!AF6+[2]RD!R5</f>
        <v>375.01033768018578</v>
      </c>
      <c r="S5" s="9">
        <f>[1]RD!AG6+[2]RD!S5</f>
        <v>361.4410211873552</v>
      </c>
      <c r="T5" s="9">
        <f>[1]RD!AH6+[2]RD!T5</f>
        <v>356.08119359769159</v>
      </c>
      <c r="U5" s="9">
        <f>[1]RD!AI6+[2]RD!U5</f>
        <v>351.28273997504039</v>
      </c>
      <c r="V5" s="9">
        <f>[1]RD!AJ6+[2]RD!V5</f>
        <v>352.1314946185729</v>
      </c>
    </row>
    <row r="6" spans="1:26" ht="14.25" x14ac:dyDescent="0.2">
      <c r="A6" s="13" t="s">
        <v>5</v>
      </c>
      <c r="B6" s="14">
        <f t="shared" ref="B6:V6" si="1">B3+B4+B5</f>
        <v>527.84457399999997</v>
      </c>
      <c r="C6" s="14">
        <f t="shared" si="1"/>
        <v>617.80147099999999</v>
      </c>
      <c r="D6" s="14">
        <f t="shared" si="1"/>
        <v>657.95381999999995</v>
      </c>
      <c r="E6" s="14">
        <f t="shared" si="1"/>
        <v>646.9570839999999</v>
      </c>
      <c r="F6" s="14">
        <f t="shared" si="1"/>
        <v>982.66868099999999</v>
      </c>
      <c r="G6" s="14">
        <f t="shared" si="1"/>
        <v>1029.4145010000002</v>
      </c>
      <c r="H6" s="14">
        <f t="shared" si="1"/>
        <v>1352.2028650000002</v>
      </c>
      <c r="I6" s="14">
        <f t="shared" si="1"/>
        <v>2017.4664166000002</v>
      </c>
      <c r="J6" s="14">
        <f t="shared" si="1"/>
        <v>3137.4434167299996</v>
      </c>
      <c r="K6" s="14">
        <f t="shared" si="1"/>
        <v>4202.4355221019996</v>
      </c>
      <c r="L6" s="14">
        <f t="shared" si="1"/>
        <v>3577.3002386873068</v>
      </c>
      <c r="M6" s="14">
        <f t="shared" si="1"/>
        <v>3961.8031318643611</v>
      </c>
      <c r="N6" s="14">
        <f t="shared" si="1"/>
        <v>4095.0289602601893</v>
      </c>
      <c r="O6" s="14">
        <f t="shared" si="1"/>
        <v>4077.4265034448881</v>
      </c>
      <c r="P6" s="14">
        <f t="shared" si="1"/>
        <v>4352.7562905573977</v>
      </c>
      <c r="Q6" s="14">
        <f t="shared" si="1"/>
        <v>4531.7913988926994</v>
      </c>
      <c r="R6" s="14">
        <f t="shared" si="1"/>
        <v>4826.4461843408608</v>
      </c>
      <c r="S6" s="14">
        <f t="shared" si="1"/>
        <v>5231.3611837117269</v>
      </c>
      <c r="T6" s="14">
        <f t="shared" si="1"/>
        <v>5280.987399280164</v>
      </c>
      <c r="U6" s="14">
        <f t="shared" si="1"/>
        <v>4905.0890716392223</v>
      </c>
      <c r="V6" s="14">
        <f t="shared" si="1"/>
        <v>5249.0553387245318</v>
      </c>
      <c r="W6" s="36"/>
    </row>
    <row r="7" spans="1:26" ht="14.25" x14ac:dyDescent="0.2">
      <c r="A7" s="16" t="s">
        <v>22</v>
      </c>
      <c r="B7" s="9">
        <f>[1]RD!P8+[2]RD!B7</f>
        <v>560.39065399999993</v>
      </c>
      <c r="C7" s="9">
        <f>[1]RD!Q8+[2]RD!C7</f>
        <v>631.51984100000004</v>
      </c>
      <c r="D7" s="9">
        <f>[1]RD!R8+[2]RD!D7</f>
        <v>734.90168999999992</v>
      </c>
      <c r="E7" s="9">
        <f>[1]RD!S8+[2]RD!E7</f>
        <v>668.99594400000001</v>
      </c>
      <c r="F7" s="9">
        <f>[1]RD!T8+[2]RD!F7</f>
        <v>1020.431281</v>
      </c>
      <c r="G7" s="9">
        <f>[1]RD!U8+[2]RD!G7</f>
        <v>1107.4455009999999</v>
      </c>
      <c r="H7" s="9">
        <f>[1]RD!V8+[2]RD!H7</f>
        <v>1380.7172209999999</v>
      </c>
      <c r="I7" s="9">
        <f>[1]RD!W8+[2]RD!I7</f>
        <v>1937.2884649999999</v>
      </c>
      <c r="J7" s="9">
        <f>[1]RD!X8+[2]RD!J7</f>
        <v>3021.5579200000006</v>
      </c>
      <c r="K7" s="9">
        <f>[1]RD!Y8+[2]RD!K7</f>
        <v>3940.7903355019998</v>
      </c>
      <c r="L7" s="9">
        <f>[1]RD!Z8+[2]RD!L7</f>
        <v>3517.1348115649998</v>
      </c>
      <c r="M7" s="9">
        <f>[1]RD!AA8+[2]RD!M7</f>
        <v>3918.0685144562499</v>
      </c>
      <c r="N7" s="9">
        <f>[1]RD!AB8+[2]RD!N7</f>
        <v>3974.9247889703124</v>
      </c>
      <c r="O7" s="9">
        <f>[1]RD!AC8+[2]RD!O7</f>
        <v>3979.6747889703124</v>
      </c>
      <c r="P7" s="9">
        <f>[1]RD!AD8+[2]RD!P7</f>
        <v>4263.5070054183752</v>
      </c>
      <c r="Q7" s="9">
        <f>[1]RD!AE8+[2]RD!Q7</f>
        <v>4333.7469818760501</v>
      </c>
      <c r="R7" s="9">
        <f>[1]RD!AF8+[2]RD!R7</f>
        <v>4560.959502055186</v>
      </c>
      <c r="S7" s="9">
        <f>[1]RD!AG8+[2]RD!S7</f>
        <v>4852.0130561873548</v>
      </c>
      <c r="T7" s="9">
        <f>[1]RD!AH8+[2]RD!T7</f>
        <v>5063.6413768476914</v>
      </c>
      <c r="U7" s="9">
        <f>[1]RD!AI8+[2]RD!U7</f>
        <v>4825.8310714750405</v>
      </c>
      <c r="V7" s="9">
        <f>[1]RD!AJ8+[2]RD!V7</f>
        <v>5214.527326118573</v>
      </c>
      <c r="W7" s="36"/>
    </row>
    <row r="8" spans="1:26" ht="14.25" x14ac:dyDescent="0.2">
      <c r="A8" s="37" t="s">
        <v>7</v>
      </c>
      <c r="B8" s="9">
        <f>[1]RD!P9+[2]RD!B8</f>
        <v>0</v>
      </c>
      <c r="C8" s="9">
        <f>[1]RD!Q9+[2]RD!C8</f>
        <v>0</v>
      </c>
      <c r="D8" s="9">
        <f>[1]RD!R9+[2]RD!D8</f>
        <v>0</v>
      </c>
      <c r="E8" s="9">
        <f>[1]RD!S9+[2]RD!E8</f>
        <v>0</v>
      </c>
      <c r="F8" s="9">
        <f>[1]RD!T9+[2]RD!F8</f>
        <v>0</v>
      </c>
      <c r="G8" s="9">
        <f>[1]RD!U9+[2]RD!G8</f>
        <v>0</v>
      </c>
      <c r="H8" s="9">
        <f>[1]RD!V9+[2]RD!H8</f>
        <v>0</v>
      </c>
      <c r="I8" s="9">
        <f>[1]RD!W9+[2]RD!I8</f>
        <v>37.533273600000001</v>
      </c>
      <c r="J8" s="9">
        <f>[1]RD!X9+[2]RD!J8</f>
        <v>110.62620673000001</v>
      </c>
      <c r="K8" s="9">
        <f>[1]RD!Y9+[2]RD!K8</f>
        <v>273.06962313000008</v>
      </c>
      <c r="L8" s="9">
        <f>[1]RD!Z9+[2]RD!L8</f>
        <v>136.53481156500004</v>
      </c>
      <c r="M8" s="9">
        <f>[1]RD!AA9+[2]RD!M8</f>
        <v>170.66851445625005</v>
      </c>
      <c r="N8" s="9">
        <f>[1]RD!AB9+[2]RD!N8</f>
        <v>172.72478897031255</v>
      </c>
      <c r="O8" s="9">
        <f>[1]RD!AC9+[2]RD!O8</f>
        <v>172.72478897031255</v>
      </c>
      <c r="P8" s="9">
        <f>[1]RD!AD9+[2]RD!P8</f>
        <v>185.14450541837505</v>
      </c>
      <c r="Q8" s="9">
        <f>[1]RD!AE9+[2]RD!Q8</f>
        <v>187.55948187605003</v>
      </c>
      <c r="R8" s="9">
        <f>[1]RD!AF9+[2]RD!R8</f>
        <v>185.48950205518577</v>
      </c>
      <c r="S8" s="9">
        <f>[1]RD!AG9+[2]RD!S8</f>
        <v>192.97805618735515</v>
      </c>
      <c r="T8" s="9">
        <f>[1]RD!AH9+[2]RD!T8</f>
        <v>196.04137684769162</v>
      </c>
      <c r="U8" s="9">
        <f>[1]RD!AI9+[2]RD!U8</f>
        <v>199.66607147504038</v>
      </c>
      <c r="V8" s="9">
        <f>[1]RD!AJ9+[2]RD!V8</f>
        <v>200.51482611857293</v>
      </c>
      <c r="W8" s="36"/>
    </row>
    <row r="9" spans="1:26" ht="14.25" x14ac:dyDescent="0.2">
      <c r="A9" s="35" t="s">
        <v>8</v>
      </c>
      <c r="B9" s="38">
        <f t="shared" ref="B9:V9" si="2">B7+B8</f>
        <v>560.39065399999993</v>
      </c>
      <c r="C9" s="38">
        <f t="shared" si="2"/>
        <v>631.51984100000004</v>
      </c>
      <c r="D9" s="38">
        <f t="shared" si="2"/>
        <v>734.90168999999992</v>
      </c>
      <c r="E9" s="38">
        <f t="shared" si="2"/>
        <v>668.99594400000001</v>
      </c>
      <c r="F9" s="38">
        <f t="shared" si="2"/>
        <v>1020.431281</v>
      </c>
      <c r="G9" s="38">
        <f t="shared" si="2"/>
        <v>1107.4455009999999</v>
      </c>
      <c r="H9" s="38">
        <f t="shared" si="2"/>
        <v>1380.7172209999999</v>
      </c>
      <c r="I9" s="38">
        <f t="shared" si="2"/>
        <v>1974.8217385999999</v>
      </c>
      <c r="J9" s="38">
        <f t="shared" si="2"/>
        <v>3132.1841267300006</v>
      </c>
      <c r="K9" s="38">
        <f t="shared" si="2"/>
        <v>4213.8599586319997</v>
      </c>
      <c r="L9" s="38">
        <f t="shared" si="2"/>
        <v>3653.6696231299998</v>
      </c>
      <c r="M9" s="38">
        <f t="shared" si="2"/>
        <v>4088.7370289125001</v>
      </c>
      <c r="N9" s="38">
        <f t="shared" si="2"/>
        <v>4147.649577940625</v>
      </c>
      <c r="O9" s="38">
        <f t="shared" si="2"/>
        <v>4152.399577940625</v>
      </c>
      <c r="P9" s="38">
        <f t="shared" si="2"/>
        <v>4448.6515108367503</v>
      </c>
      <c r="Q9" s="38">
        <f t="shared" si="2"/>
        <v>4521.3064637521002</v>
      </c>
      <c r="R9" s="38">
        <f t="shared" si="2"/>
        <v>4746.4490041103718</v>
      </c>
      <c r="S9" s="38">
        <f t="shared" si="2"/>
        <v>5044.9911123747097</v>
      </c>
      <c r="T9" s="38">
        <f t="shared" si="2"/>
        <v>5259.6827536953833</v>
      </c>
      <c r="U9" s="38">
        <f t="shared" si="2"/>
        <v>5025.4971429500811</v>
      </c>
      <c r="V9" s="38">
        <f t="shared" si="2"/>
        <v>5415.0421522371462</v>
      </c>
      <c r="W9" s="36"/>
    </row>
    <row r="10" spans="1:26" ht="14.25" x14ac:dyDescent="0.2">
      <c r="A10" s="19" t="s">
        <v>9</v>
      </c>
      <c r="B10" s="14">
        <f>[1]RD!P$11+[2]RD!B$10</f>
        <v>26.628</v>
      </c>
      <c r="C10" s="14">
        <f>[1]RD!Q$11+[2]RD!C$10</f>
        <v>55.23</v>
      </c>
      <c r="D10" s="14">
        <f>[1]RD!R$11+[2]RD!D$10</f>
        <v>31.626000000000001</v>
      </c>
      <c r="E10" s="14">
        <f>[1]RD!S$11+[2]RD!E$10</f>
        <v>72.534000000000006</v>
      </c>
      <c r="F10" s="14">
        <f>[1]RD!T$11+[2]RD!F$10</f>
        <v>62.622</v>
      </c>
      <c r="G10" s="14">
        <f>[1]RD!U$11+[2]RD!G$10</f>
        <v>54.054000000000002</v>
      </c>
      <c r="H10" s="14">
        <f>[1]RD!V$11+[2]RD!H$10</f>
        <v>98.815584000000001</v>
      </c>
      <c r="I10" s="14">
        <f>[1]RD!W$11+[2]RD!I$10</f>
        <v>143.02927800000001</v>
      </c>
      <c r="J10" s="14">
        <f>[1]RD!X$11+[2]RD!J$10</f>
        <v>230.06634000000003</v>
      </c>
      <c r="K10" s="14">
        <f>[1]RD!Y$11+[2]RD!K$10</f>
        <v>261.64518660000005</v>
      </c>
      <c r="L10" s="14">
        <f>[1]RD!Z$11+[2]RD!L$10</f>
        <v>37.964106612674868</v>
      </c>
      <c r="M10" s="14">
        <f>[1]RD!AA$11+[2]RD!M$10</f>
        <v>20.004681770622085</v>
      </c>
      <c r="N10" s="14">
        <f>[1]RD!AB$11+[2]RD!N$10</f>
        <v>92.529545997184528</v>
      </c>
      <c r="O10" s="14">
        <f>[1]RD!AC$11+[2]RD!O$10</f>
        <v>77.438838094870903</v>
      </c>
      <c r="P10" s="14">
        <f>[1]RD!AD$11+[2]RD!P$10</f>
        <v>66.559236813101336</v>
      </c>
      <c r="Q10" s="14">
        <f>[1]RD!AE$11+[2]RD!Q$10</f>
        <v>168.6007868725701</v>
      </c>
      <c r="R10" s="14">
        <f>[1]RD!AF$11+[2]RD!R$10</f>
        <v>236.69144881504917</v>
      </c>
      <c r="S10" s="14">
        <f>[1]RD!AG$11+[2]RD!S$10</f>
        <v>347.92337020854211</v>
      </c>
      <c r="T10" s="14">
        <f>[1]RD!AH$11+[2]RD!T$10</f>
        <v>203.16495678969738</v>
      </c>
      <c r="U10" s="14">
        <f>[1]RD!AI$11+[2]RD!U$10</f>
        <v>65.033806907213716</v>
      </c>
      <c r="V10" s="14">
        <f>[1]RD!AJ$11+[2]RD!V$10</f>
        <v>13.984555436804158</v>
      </c>
      <c r="W10" s="36"/>
    </row>
    <row r="11" spans="1:26" s="19" customFormat="1" ht="14.25" x14ac:dyDescent="0.2">
      <c r="A11" s="19" t="s">
        <v>10</v>
      </c>
      <c r="B11" s="20">
        <f>B8-B5</f>
        <v>-336.29695800000002</v>
      </c>
      <c r="C11" s="20">
        <f t="shared" ref="C11:V11" si="3">C8-C5</f>
        <v>-349.686036</v>
      </c>
      <c r="D11" s="20">
        <f t="shared" si="3"/>
        <v>-344.38169499999998</v>
      </c>
      <c r="E11" s="20">
        <f t="shared" si="3"/>
        <v>-309.84663699999999</v>
      </c>
      <c r="F11" s="20">
        <f t="shared" si="3"/>
        <v>-417.99749199999997</v>
      </c>
      <c r="G11" s="20">
        <f t="shared" si="3"/>
        <v>-433.28415400000006</v>
      </c>
      <c r="H11" s="20">
        <f t="shared" si="3"/>
        <v>-452.71395800000005</v>
      </c>
      <c r="I11" s="20">
        <f t="shared" si="3"/>
        <v>-425.78085299999998</v>
      </c>
      <c r="J11" s="20">
        <f t="shared" si="3"/>
        <v>-452.29152299999998</v>
      </c>
      <c r="K11" s="20">
        <f t="shared" si="3"/>
        <v>-423.52510699999993</v>
      </c>
      <c r="L11" s="20">
        <f t="shared" si="3"/>
        <v>-84.23148249999997</v>
      </c>
      <c r="M11" s="20">
        <f t="shared" si="3"/>
        <v>-273.75231812499999</v>
      </c>
      <c r="N11" s="20">
        <f t="shared" si="3"/>
        <v>-252.69444749999997</v>
      </c>
      <c r="O11" s="20">
        <f t="shared" si="3"/>
        <v>-231.636576875</v>
      </c>
      <c r="P11" s="20">
        <f t="shared" si="3"/>
        <v>-210.57870624999998</v>
      </c>
      <c r="Q11" s="20">
        <f t="shared" si="3"/>
        <v>-189.52083562499996</v>
      </c>
      <c r="R11" s="20">
        <f t="shared" si="3"/>
        <v>-189.52083562500002</v>
      </c>
      <c r="S11" s="20">
        <f t="shared" si="3"/>
        <v>-168.46296500000005</v>
      </c>
      <c r="T11" s="20">
        <f t="shared" si="3"/>
        <v>-160.03981674999997</v>
      </c>
      <c r="U11" s="20">
        <f t="shared" si="3"/>
        <v>-151.6166685</v>
      </c>
      <c r="V11" s="20">
        <f t="shared" si="3"/>
        <v>-151.61666849999997</v>
      </c>
    </row>
    <row r="12" spans="1:26" s="19" customFormat="1" x14ac:dyDescent="0.2">
      <c r="B12" s="20"/>
      <c r="C12" s="20"/>
      <c r="D12" s="20"/>
      <c r="E12" s="20"/>
      <c r="F12" s="20"/>
      <c r="G12" s="20"/>
      <c r="H12" s="20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26" s="19" customFormat="1" ht="14.25" x14ac:dyDescent="0.2">
      <c r="A13" s="19" t="s">
        <v>11</v>
      </c>
      <c r="B13" s="22">
        <f>B7/Diesel!B7</f>
        <v>8.1229188132651738E-3</v>
      </c>
      <c r="C13" s="22">
        <f>C7/Diesel!C7</f>
        <v>9.3928822780684779E-3</v>
      </c>
      <c r="D13" s="22">
        <f>D7/Diesel!D7</f>
        <v>1.0724949554033717E-2</v>
      </c>
      <c r="E13" s="22">
        <f>E7/Diesel!E7</f>
        <v>9.3749999017300658E-3</v>
      </c>
      <c r="F13" s="22">
        <f>F7/Diesel!F7</f>
        <v>1.4487503732664348E-2</v>
      </c>
      <c r="G13" s="22">
        <f>G7/Diesel!G7</f>
        <v>1.6973401409372018E-2</v>
      </c>
      <c r="H13" s="22">
        <f>H7/Diesel!H7</f>
        <v>2.0228249228045489E-2</v>
      </c>
      <c r="I13" s="22">
        <f>I7/Diesel!I7</f>
        <v>2.7897495957605309E-2</v>
      </c>
      <c r="J13" s="22">
        <f>J7/Diesel!J7</f>
        <v>4.4679236180289753E-2</v>
      </c>
      <c r="K13" s="22">
        <f>K7/Diesel!K7</f>
        <v>5.982246010189167E-2</v>
      </c>
      <c r="L13" s="22">
        <f>L7/Diesel!L7</f>
        <v>5.0658797759477958E-2</v>
      </c>
      <c r="M13" s="22">
        <f>M7/Diesel!M7</f>
        <v>5.5471906579060738E-2</v>
      </c>
      <c r="N13" s="22">
        <f>N7/Diesel!N7</f>
        <v>5.580627821214066E-2</v>
      </c>
      <c r="O13" s="22">
        <f>O7/Diesel!O7</f>
        <v>5.552708452513682E-2</v>
      </c>
      <c r="P13" s="22">
        <f>P7/Diesel!P7</f>
        <v>5.9077934952561952E-2</v>
      </c>
      <c r="Q13" s="22">
        <f>Q7/Diesel!Q7</f>
        <v>5.9814073415461862E-2</v>
      </c>
      <c r="R13" s="22">
        <f>R7/Diesel!R7</f>
        <v>6.2480555782803142E-2</v>
      </c>
      <c r="S13" s="22">
        <f>S7/Diesel!S7</f>
        <v>6.6788062818138025E-2</v>
      </c>
      <c r="T13" s="22">
        <f>T7/Diesel!T7</f>
        <v>6.9766887612621245E-2</v>
      </c>
      <c r="U13" s="22">
        <f>U7/Diesel!U7</f>
        <v>6.6670689832280652E-2</v>
      </c>
      <c r="V13" s="22">
        <f>V7/Diesel!V7</f>
        <v>7.223682428903952E-2</v>
      </c>
    </row>
    <row r="14" spans="1:26" s="23" customFormat="1" ht="14.25" x14ac:dyDescent="0.2">
      <c r="A14" s="23" t="s">
        <v>12</v>
      </c>
      <c r="B14" s="14">
        <f>[1]RD!P$13+[2]RD!B$19</f>
        <v>255</v>
      </c>
      <c r="C14" s="14">
        <f>[1]RD!Q$13+[2]RD!C$19</f>
        <v>366.5</v>
      </c>
      <c r="D14" s="14">
        <f>[1]RD!R$13+[2]RD!D$19</f>
        <v>408</v>
      </c>
      <c r="E14" s="14">
        <f>[1]RD!S$13+[2]RD!E$19</f>
        <v>443.21250000000003</v>
      </c>
      <c r="F14" s="14">
        <f>[1]RD!T$13+[2]RD!F$19</f>
        <v>558</v>
      </c>
      <c r="G14" s="14">
        <f>[1]RD!U$13+[2]RD!G$19</f>
        <v>633</v>
      </c>
      <c r="H14" s="14">
        <f>[1]RD!V$13+[2]RD!H$19</f>
        <v>924.66666666666663</v>
      </c>
      <c r="I14" s="14">
        <f>[1]RD!W$13+[2]RD!I$19</f>
        <v>2132.5833333333335</v>
      </c>
      <c r="J14" s="14">
        <f>[1]RD!X$13+[2]RD!J$19</f>
        <v>3564.5</v>
      </c>
      <c r="K14" s="14">
        <f>[1]RD!Y$13+[2]RD!K$19</f>
        <v>4585.75</v>
      </c>
      <c r="L14" s="14">
        <f>[1]RD!Z$13+[2]RD!L$19</f>
        <v>5253.3625000000002</v>
      </c>
      <c r="M14" s="14">
        <f>[1]RD!AA$13+[2]RD!M$19</f>
        <v>5621.6625000000004</v>
      </c>
      <c r="N14" s="14">
        <f>[1]RD!AB$13+[2]RD!N$19</f>
        <v>5711.1</v>
      </c>
      <c r="O14" s="14">
        <f>[1]RD!AC$13+[2]RD!O$19</f>
        <v>6013.5791666666664</v>
      </c>
      <c r="P14" s="14">
        <f>[1]RD!AD$13+[2]RD!P$19</f>
        <v>6021.5999999999995</v>
      </c>
      <c r="Q14" s="14">
        <f>[1]RD!AE$13+[2]RD!Q$19</f>
        <v>6021.5999999999995</v>
      </c>
      <c r="R14" s="14">
        <f>[1]RD!AF$13+[2]RD!R$19</f>
        <v>6071.0791666666664</v>
      </c>
      <c r="S14" s="14">
        <f>[1]RD!AG$13+[2]RD!S$19</f>
        <v>6079.0999999999995</v>
      </c>
      <c r="T14" s="14">
        <f>[1]RD!AH$13+[2]RD!T$19</f>
        <v>6079.0999999999995</v>
      </c>
      <c r="U14" s="14">
        <f>[1]RD!AI$13+[2]RD!U$19</f>
        <v>6079.0999999999995</v>
      </c>
      <c r="V14" s="14">
        <f>[1]RD!AJ$13+[2]RD!V$19</f>
        <v>6079.0999999999995</v>
      </c>
    </row>
    <row r="15" spans="1:26" s="26" customFormat="1" ht="14.25" x14ac:dyDescent="0.2">
      <c r="A15" s="24" t="s">
        <v>13</v>
      </c>
      <c r="B15" s="25">
        <f>B4/B14</f>
        <v>0.69352006274509814</v>
      </c>
      <c r="C15" s="25">
        <f t="shared" ref="C15:V15" si="4">C4/C14</f>
        <v>0.65890159618008182</v>
      </c>
      <c r="D15" s="25">
        <f t="shared" si="4"/>
        <v>0.63319148284313731</v>
      </c>
      <c r="E15" s="25">
        <f t="shared" si="4"/>
        <v>0.68925052204078163</v>
      </c>
      <c r="F15" s="25">
        <f t="shared" si="4"/>
        <v>0.88196628853046588</v>
      </c>
      <c r="G15" s="25">
        <f t="shared" si="4"/>
        <v>0.84282519273301748</v>
      </c>
      <c r="H15" s="25">
        <f t="shared" si="4"/>
        <v>0.91431316546503261</v>
      </c>
      <c r="I15" s="25">
        <f t="shared" si="4"/>
        <v>0.68242899738189211</v>
      </c>
      <c r="J15" s="25">
        <f t="shared" si="4"/>
        <v>0.68214235068031981</v>
      </c>
      <c r="K15" s="25">
        <f t="shared" si="4"/>
        <v>0.71433777505795126</v>
      </c>
      <c r="L15" s="25">
        <f t="shared" si="4"/>
        <v>0.58912529984791762</v>
      </c>
      <c r="M15" s="25">
        <f t="shared" si="4"/>
        <v>0.61893046632921056</v>
      </c>
      <c r="N15" s="25">
        <f t="shared" si="4"/>
        <v>0.63903714556202029</v>
      </c>
      <c r="O15" s="25">
        <f t="shared" si="4"/>
        <v>0.59540840693498109</v>
      </c>
      <c r="P15" s="25">
        <f t="shared" si="4"/>
        <v>0.64427963345193173</v>
      </c>
      <c r="Q15" s="25">
        <f t="shared" si="4"/>
        <v>0.67891454838889143</v>
      </c>
      <c r="R15" s="25">
        <f t="shared" si="4"/>
        <v>0.7054487253770404</v>
      </c>
      <c r="S15" s="25">
        <f t="shared" si="4"/>
        <v>0.76215701562884675</v>
      </c>
      <c r="T15" s="25">
        <f t="shared" si="4"/>
        <v>0.75290467922454485</v>
      </c>
      <c r="U15" s="25">
        <f t="shared" si="4"/>
        <v>0.71567195388700378</v>
      </c>
      <c r="V15" s="25">
        <f t="shared" si="4"/>
        <v>0.79483641282406037</v>
      </c>
    </row>
    <row r="16" spans="1:26" ht="14.25" x14ac:dyDescent="0.2">
      <c r="A16" s="16" t="s">
        <v>14</v>
      </c>
      <c r="B16" s="9"/>
      <c r="C16" s="9"/>
      <c r="D16" s="9"/>
      <c r="E16" s="27">
        <f>E4/D4-1</f>
        <v>0.1824801975287611</v>
      </c>
      <c r="F16" s="27">
        <f t="shared" ref="F16:V16" si="5">F4/E4-1</f>
        <v>0.61100571185543884</v>
      </c>
      <c r="G16" s="27">
        <f t="shared" si="5"/>
        <v>8.4064279076459192E-2</v>
      </c>
      <c r="H16" s="27">
        <f t="shared" si="5"/>
        <v>0.58467044002968516</v>
      </c>
      <c r="I16" s="27">
        <f t="shared" si="5"/>
        <v>0.72140598164348102</v>
      </c>
      <c r="J16" s="27">
        <f t="shared" si="5"/>
        <v>0.6707449203854543</v>
      </c>
      <c r="K16" s="27">
        <f t="shared" si="5"/>
        <v>0.34722570012728338</v>
      </c>
      <c r="L16" s="27">
        <f t="shared" si="5"/>
        <v>-5.5219215059449933E-2</v>
      </c>
      <c r="M16" s="27">
        <f t="shared" si="5"/>
        <v>0.12424660939795817</v>
      </c>
      <c r="N16" s="27">
        <f t="shared" si="5"/>
        <v>4.8912444530906152E-2</v>
      </c>
      <c r="O16" s="27">
        <f t="shared" si="5"/>
        <v>-1.8925184950601914E-2</v>
      </c>
      <c r="P16" s="27">
        <f t="shared" si="5"/>
        <v>8.3523439871162841E-2</v>
      </c>
      <c r="Q16" s="27">
        <f t="shared" si="5"/>
        <v>5.375758155102961E-2</v>
      </c>
      <c r="R16" s="27">
        <f t="shared" si="5"/>
        <v>4.7621326851577939E-2</v>
      </c>
      <c r="S16" s="27">
        <f t="shared" si="5"/>
        <v>8.1813483132024523E-2</v>
      </c>
      <c r="T16" s="27">
        <f t="shared" si="5"/>
        <v>-1.2139672291368808E-2</v>
      </c>
      <c r="U16" s="27">
        <f t="shared" si="5"/>
        <v>-4.9452110426367546E-2</v>
      </c>
      <c r="V16" s="27">
        <f t="shared" si="5"/>
        <v>0.11061556696066321</v>
      </c>
    </row>
    <row r="17" spans="1:22" ht="14.25" x14ac:dyDescent="0.2">
      <c r="A17" s="16" t="s">
        <v>15</v>
      </c>
      <c r="E17" s="27">
        <f>E7/D7-1</f>
        <v>-8.9679676746967196E-2</v>
      </c>
      <c r="F17" s="27">
        <f t="shared" ref="F17:V17" si="6">F7/E7-1</f>
        <v>0.52531758996733169</v>
      </c>
      <c r="G17" s="27">
        <f t="shared" si="6"/>
        <v>8.5272003730352042E-2</v>
      </c>
      <c r="H17" s="27">
        <f t="shared" si="6"/>
        <v>0.24675861679264699</v>
      </c>
      <c r="I17" s="27">
        <f t="shared" si="6"/>
        <v>0.40310299280318751</v>
      </c>
      <c r="J17" s="27">
        <f t="shared" si="6"/>
        <v>0.55968405045967229</v>
      </c>
      <c r="K17" s="27">
        <f t="shared" si="6"/>
        <v>0.30422465490980866</v>
      </c>
      <c r="L17" s="27">
        <f t="shared" si="6"/>
        <v>-0.10750521795598966</v>
      </c>
      <c r="M17" s="27">
        <f t="shared" si="6"/>
        <v>0.11399440862286681</v>
      </c>
      <c r="N17" s="27">
        <f t="shared" si="6"/>
        <v>1.4511301756026773E-2</v>
      </c>
      <c r="O17" s="27">
        <f t="shared" si="6"/>
        <v>1.1949911639033139E-3</v>
      </c>
      <c r="P17" s="27">
        <f t="shared" si="6"/>
        <v>7.1320454936344424E-2</v>
      </c>
      <c r="Q17" s="27">
        <f t="shared" si="6"/>
        <v>1.6474694745055807E-2</v>
      </c>
      <c r="R17" s="27">
        <f t="shared" si="6"/>
        <v>5.2428653802206293E-2</v>
      </c>
      <c r="S17" s="27">
        <f t="shared" si="6"/>
        <v>6.3814106220636102E-2</v>
      </c>
      <c r="T17" s="27">
        <f t="shared" si="6"/>
        <v>4.3616601647529674E-2</v>
      </c>
      <c r="U17" s="27">
        <f t="shared" si="6"/>
        <v>-4.6964286700867608E-2</v>
      </c>
      <c r="V17" s="27">
        <f t="shared" si="6"/>
        <v>8.0544935967832298E-2</v>
      </c>
    </row>
  </sheetData>
  <printOptions verticalCentered="1"/>
  <pageMargins left="0.2" right="0.2" top="0.25" bottom="0.25" header="0" footer="0.1"/>
  <pageSetup scale="53" orientation="landscape" r:id="rId1"/>
  <headerFooter>
    <oddFooter>&amp;L&amp;"Arial,Regular"&amp;10&amp;D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8C14-3A8B-47EC-8DC9-0F2DA5690888}">
  <dimension ref="A3:S19"/>
  <sheetViews>
    <sheetView topLeftCell="A3" workbookViewId="0">
      <pane xSplit="1" ySplit="2" topLeftCell="B5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ColWidth="8" defaultRowHeight="14.25" x14ac:dyDescent="0.2"/>
  <cols>
    <col min="1" max="1" width="18.7109375" style="19" customWidth="1"/>
    <col min="2" max="19" width="8.7109375" style="19" customWidth="1"/>
    <col min="20" max="16384" width="8" style="19"/>
  </cols>
  <sheetData>
    <row r="3" spans="1:19" s="7" customFormat="1" ht="15.75" thickBot="1" x14ac:dyDescent="0.3">
      <c r="A3" s="40" t="s">
        <v>23</v>
      </c>
      <c r="B3" s="41"/>
      <c r="C3" s="41"/>
      <c r="D3" s="41"/>
      <c r="E3" s="41"/>
      <c r="F3" s="41"/>
      <c r="G3" s="41"/>
      <c r="H3" s="41"/>
      <c r="I3" s="41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19" ht="15.75" thickTop="1" thickBot="1" x14ac:dyDescent="0.25">
      <c r="A4" s="5" t="s">
        <v>1</v>
      </c>
      <c r="B4" s="43">
        <v>2018</v>
      </c>
      <c r="C4" s="43">
        <v>2019</v>
      </c>
      <c r="D4" s="43">
        <v>2020</v>
      </c>
      <c r="E4" s="43">
        <v>2021</v>
      </c>
      <c r="F4" s="43">
        <v>2022</v>
      </c>
      <c r="G4" s="43">
        <v>2023</v>
      </c>
      <c r="H4" s="43">
        <v>2024</v>
      </c>
      <c r="I4" s="43">
        <v>2025</v>
      </c>
      <c r="J4" s="43">
        <v>2026</v>
      </c>
      <c r="K4" s="43">
        <v>2027</v>
      </c>
      <c r="L4" s="43">
        <v>2028</v>
      </c>
      <c r="M4" s="43">
        <v>2029</v>
      </c>
      <c r="N4" s="43">
        <v>2030</v>
      </c>
      <c r="O4" s="43">
        <v>2031</v>
      </c>
      <c r="P4" s="43">
        <v>2032</v>
      </c>
      <c r="Q4" s="43">
        <v>2033</v>
      </c>
      <c r="R4" s="43">
        <v>2034</v>
      </c>
      <c r="S4" s="43">
        <v>2035</v>
      </c>
    </row>
    <row r="5" spans="1:19" x14ac:dyDescent="0.2">
      <c r="A5" s="19" t="s">
        <v>2</v>
      </c>
      <c r="B5" s="20">
        <f>[1]SAF!$B$5</f>
        <v>0</v>
      </c>
      <c r="C5" s="20">
        <f>B12</f>
        <v>0</v>
      </c>
      <c r="D5" s="20">
        <f t="shared" ref="D5:S5" si="0">C12</f>
        <v>0</v>
      </c>
      <c r="E5" s="20">
        <f t="shared" si="0"/>
        <v>0</v>
      </c>
      <c r="F5" s="20">
        <f t="shared" si="0"/>
        <v>0</v>
      </c>
      <c r="G5" s="20">
        <f t="shared" si="0"/>
        <v>0</v>
      </c>
      <c r="H5" s="20">
        <f t="shared" si="0"/>
        <v>0</v>
      </c>
      <c r="I5" s="20">
        <f t="shared" si="0"/>
        <v>1.539569019682574E-2</v>
      </c>
      <c r="J5" s="20">
        <f t="shared" si="0"/>
        <v>0.39420157187430505</v>
      </c>
      <c r="K5" s="20">
        <f t="shared" si="0"/>
        <v>0.57776442307692832</v>
      </c>
      <c r="L5" s="20">
        <f t="shared" si="0"/>
        <v>0.82889573991042198</v>
      </c>
      <c r="M5" s="20">
        <f t="shared" si="0"/>
        <v>1.3332145145786853</v>
      </c>
      <c r="N5" s="20">
        <f t="shared" si="0"/>
        <v>1.3398248507696735</v>
      </c>
      <c r="O5" s="20">
        <f t="shared" si="0"/>
        <v>1.6342121492443766</v>
      </c>
      <c r="P5" s="20">
        <f t="shared" si="0"/>
        <v>1.5945558958651418</v>
      </c>
      <c r="Q5" s="20">
        <f t="shared" si="0"/>
        <v>1.6077433628315703</v>
      </c>
      <c r="R5" s="20">
        <f t="shared" si="0"/>
        <v>1.6070070634195872</v>
      </c>
      <c r="S5" s="20">
        <f t="shared" si="0"/>
        <v>1.611706056129151</v>
      </c>
    </row>
    <row r="6" spans="1:19" x14ac:dyDescent="0.2">
      <c r="A6" s="19" t="s">
        <v>24</v>
      </c>
      <c r="B6" s="20">
        <f>[1]SAF!B6</f>
        <v>1.8281779999999999</v>
      </c>
      <c r="C6" s="20">
        <f>[1]SAF!C6</f>
        <v>2.4287020000000004</v>
      </c>
      <c r="D6" s="20">
        <f>[1]SAF!D6+[2]SAF!D6</f>
        <v>4.6083990000000004</v>
      </c>
      <c r="E6" s="20">
        <f>[1]SAF!E6+[2]SAF!E6</f>
        <v>5.0766230000000006</v>
      </c>
      <c r="F6" s="20">
        <f>[1]SAF!F6+[2]SAF!F6</f>
        <v>7.8931369999999985</v>
      </c>
      <c r="G6" s="20">
        <f>[1]SAF!G6+[2]SAF!G6</f>
        <v>14.016105</v>
      </c>
      <c r="H6" s="20">
        <f>[1]SAF!H6+[2]SAF!H6</f>
        <v>41.708892999999996</v>
      </c>
      <c r="I6" s="20">
        <f>[1]SAF!I6+[2]SAF!I6</f>
        <v>242.7298283152619</v>
      </c>
      <c r="J6" s="20">
        <f>[1]SAF!J6+[2]SAF!J6</f>
        <v>572.02420982507397</v>
      </c>
      <c r="K6" s="20">
        <f>[1]SAF!K6+[2]SAF!K6</f>
        <v>1488.2515229104874</v>
      </c>
      <c r="L6" s="20">
        <f>[1]SAF!L6+[2]SAF!L6</f>
        <v>1984.3110352353146</v>
      </c>
      <c r="M6" s="20">
        <f>[1]SAF!M6+[2]SAF!M6</f>
        <v>2483.2688550054436</v>
      </c>
      <c r="N6" s="20">
        <f>[1]SAF!N6+[2]SAF!N6</f>
        <v>3287.8403846193773</v>
      </c>
      <c r="O6" s="20">
        <f>[1]SAF!O6+[2]SAF!O6</f>
        <v>3743.9288980035271</v>
      </c>
      <c r="P6" s="20">
        <f>[1]SAF!P6+[2]SAF!P6</f>
        <v>4558.9261989946281</v>
      </c>
      <c r="Q6" s="20">
        <f>[1]SAF!Q6+[2]SAF!Q6</f>
        <v>4608.7647315077338</v>
      </c>
      <c r="R6" s="20">
        <f>[1]SAF!R6+[2]SAF!R6</f>
        <v>4727.6983203559357</v>
      </c>
      <c r="S6" s="20">
        <f>[1]SAF!S6+[2]SAF!S6</f>
        <v>5008.4329317894972</v>
      </c>
    </row>
    <row r="7" spans="1:19" x14ac:dyDescent="0.2">
      <c r="A7" s="19" t="s">
        <v>25</v>
      </c>
      <c r="B7" s="20">
        <f>[1]SAF!B7</f>
        <v>0</v>
      </c>
      <c r="C7" s="20">
        <f>[1]SAF!C7</f>
        <v>0</v>
      </c>
      <c r="D7" s="20">
        <f>[1]SAF!D7+[2]SAF!D7</f>
        <v>0</v>
      </c>
      <c r="E7" s="20">
        <f>[1]SAF!E7+[2]SAF!E7</f>
        <v>0</v>
      </c>
      <c r="F7" s="20">
        <f>[1]SAF!F7+[2]SAF!F7</f>
        <v>7.9267400000000006</v>
      </c>
      <c r="G7" s="20">
        <f>[1]SAF!G7+[2]SAF!G7</f>
        <v>12.283992</v>
      </c>
      <c r="H7" s="20">
        <f>[1]SAF!H7+[2]SAF!H7</f>
        <v>73.150417000000004</v>
      </c>
      <c r="I7" s="20">
        <f>[1]SAF!I7+[2]SAF!I7</f>
        <v>65</v>
      </c>
      <c r="J7" s="20">
        <f>[1]SAF!J7+[2]SAF!J7</f>
        <v>46.27742098250738</v>
      </c>
      <c r="K7" s="20">
        <f>[1]SAF!K7+[2]SAF!K7</f>
        <v>66.450076145524378</v>
      </c>
      <c r="L7" s="20">
        <f>[1]SAF!L7+[2]SAF!L7</f>
        <v>86.253051761765718</v>
      </c>
      <c r="M7" s="20">
        <f>[1]SAF!M7+[2]SAF!M7</f>
        <v>100.08084847524496</v>
      </c>
      <c r="N7" s="20">
        <f>[1]SAF!N7+[2]SAF!N7</f>
        <v>133.92406730787198</v>
      </c>
      <c r="O7" s="20">
        <f>[1]SAF!O7+[2]SAF!O7</f>
        <v>119.03513643012346</v>
      </c>
      <c r="P7" s="20">
        <f>[1]SAF!P7+[2]SAF!P7</f>
        <v>104.62065497486572</v>
      </c>
      <c r="Q7" s="20">
        <f>[1]SAF!Q7+[2]SAF!Q7</f>
        <v>105.08724328769337</v>
      </c>
      <c r="R7" s="20">
        <f>[1]SAF!R7+[2]SAF!R7</f>
        <v>108.06058300889843</v>
      </c>
      <c r="S7" s="20">
        <f>[1]SAF!S7+[2]SAF!S7</f>
        <v>115.07894829473742</v>
      </c>
    </row>
    <row r="8" spans="1:19" ht="15" x14ac:dyDescent="0.25">
      <c r="A8" s="44" t="s">
        <v>26</v>
      </c>
      <c r="B8" s="21">
        <f>SUM(B5:B7)</f>
        <v>1.8281779999999999</v>
      </c>
      <c r="C8" s="21">
        <f t="shared" ref="C8:S8" si="1">SUM(C5:C7)</f>
        <v>2.4287020000000004</v>
      </c>
      <c r="D8" s="21">
        <f t="shared" si="1"/>
        <v>4.6083990000000004</v>
      </c>
      <c r="E8" s="21">
        <f t="shared" si="1"/>
        <v>5.0766230000000006</v>
      </c>
      <c r="F8" s="21">
        <f t="shared" si="1"/>
        <v>15.819876999999998</v>
      </c>
      <c r="G8" s="21">
        <f t="shared" si="1"/>
        <v>26.300097000000001</v>
      </c>
      <c r="H8" s="21">
        <f t="shared" si="1"/>
        <v>114.85930999999999</v>
      </c>
      <c r="I8" s="21">
        <f t="shared" si="1"/>
        <v>307.74522400545874</v>
      </c>
      <c r="J8" s="21">
        <f t="shared" si="1"/>
        <v>618.69583237945562</v>
      </c>
      <c r="K8" s="21">
        <f t="shared" si="1"/>
        <v>1555.2793634790889</v>
      </c>
      <c r="L8" s="21">
        <f t="shared" si="1"/>
        <v>2071.3929827369907</v>
      </c>
      <c r="M8" s="21">
        <f t="shared" si="1"/>
        <v>2584.6829179952674</v>
      </c>
      <c r="N8" s="21">
        <f t="shared" si="1"/>
        <v>3423.1042767780191</v>
      </c>
      <c r="O8" s="21">
        <f t="shared" si="1"/>
        <v>3864.5982465828952</v>
      </c>
      <c r="P8" s="21">
        <f t="shared" si="1"/>
        <v>4665.1414098653586</v>
      </c>
      <c r="Q8" s="21">
        <f t="shared" si="1"/>
        <v>4715.4597181582585</v>
      </c>
      <c r="R8" s="21">
        <f t="shared" si="1"/>
        <v>4837.3659104282533</v>
      </c>
      <c r="S8" s="21">
        <f t="shared" si="1"/>
        <v>5125.1235861403638</v>
      </c>
    </row>
    <row r="9" spans="1:19" x14ac:dyDescent="0.2">
      <c r="A9" s="19" t="s">
        <v>27</v>
      </c>
      <c r="B9" s="20">
        <f>[1]SAF!B9</f>
        <v>1.8281779999999999</v>
      </c>
      <c r="C9" s="20">
        <f>[1]SAF!C9</f>
        <v>2.4287020000000004</v>
      </c>
      <c r="D9" s="20">
        <f>[1]SAF!D9+[2]SAF!D$9</f>
        <v>4.6083990000000004</v>
      </c>
      <c r="E9" s="20">
        <f>[1]SAF!E9+[2]SAF!E$9</f>
        <v>5.0766230000000006</v>
      </c>
      <c r="F9" s="20">
        <f>[1]SAF!F9+[2]SAF!F$9</f>
        <v>15.819876999999998</v>
      </c>
      <c r="G9" s="20">
        <f>[1]SAF!G9+[2]SAF!G$9</f>
        <v>26.300097000000001</v>
      </c>
      <c r="H9" s="20">
        <f>[1]SAF!H9+[2]SAF!H$9</f>
        <v>114.84391430980317</v>
      </c>
      <c r="I9" s="20">
        <f>[1]SAF!I9+[2]SAF!I$9</f>
        <v>207.35102243358443</v>
      </c>
      <c r="J9" s="20">
        <f>[1]SAF!J9+[2]SAF!J$9</f>
        <v>318.1180679563787</v>
      </c>
      <c r="K9" s="20">
        <f>[1]SAF!K9+[2]SAF!K$9</f>
        <v>1174.4504677391785</v>
      </c>
      <c r="L9" s="20">
        <f>[1]SAF!L9+[2]SAF!L$9</f>
        <v>1645.059768222412</v>
      </c>
      <c r="M9" s="20">
        <f>[1]SAF!M9+[2]SAF!M$9</f>
        <v>2063.3430931444977</v>
      </c>
      <c r="N9" s="20">
        <f>[1]SAF!N9+[2]SAF!N$9</f>
        <v>2741.4700646287747</v>
      </c>
      <c r="O9" s="20">
        <f>[1]SAF!O9+[2]SAF!O$9</f>
        <v>3163.00369068703</v>
      </c>
      <c r="P9" s="20">
        <f>[1]SAF!P9+[2]SAF!P$9</f>
        <v>3963.533666502527</v>
      </c>
      <c r="Q9" s="20">
        <f>[1]SAF!Q9+[2]SAF!Q$9</f>
        <v>4013.8527110948389</v>
      </c>
      <c r="R9" s="20">
        <f>[1]SAF!R9+[2]SAF!R$9</f>
        <v>4135.7542043721241</v>
      </c>
      <c r="S9" s="20">
        <f>[1]SAF!S9+[2]SAF!S$9</f>
        <v>4423.5118800842347</v>
      </c>
    </row>
    <row r="10" spans="1:19" x14ac:dyDescent="0.2">
      <c r="A10" s="19" t="s">
        <v>7</v>
      </c>
      <c r="B10" s="20">
        <f>[1]SAF!B10</f>
        <v>0</v>
      </c>
      <c r="C10" s="20">
        <f>[1]SAF!C10</f>
        <v>0</v>
      </c>
      <c r="D10" s="20">
        <f>[1]SAF!D10+[2]SAF!D$10</f>
        <v>0</v>
      </c>
      <c r="E10" s="20">
        <f>[1]SAF!E10+[2]SAF!E$10</f>
        <v>0</v>
      </c>
      <c r="F10" s="20">
        <f>[1]SAF!F10+[2]SAF!F$10</f>
        <v>0</v>
      </c>
      <c r="G10" s="20">
        <f>[1]SAF!G10+[2]SAF!G$10</f>
        <v>0</v>
      </c>
      <c r="H10" s="20">
        <f>[1]SAF!H10+[2]SAF!H$10</f>
        <v>0</v>
      </c>
      <c r="I10" s="20">
        <f>[1]SAF!I10+[2]SAF!I$10</f>
        <v>100</v>
      </c>
      <c r="J10" s="20">
        <f>[1]SAF!J10+[2]SAF!J$10</f>
        <v>300</v>
      </c>
      <c r="K10" s="20">
        <f>[1]SAF!K10+[2]SAF!K$10</f>
        <v>380</v>
      </c>
      <c r="L10" s="20">
        <f>[1]SAF!L10+[2]SAF!L$10</f>
        <v>425</v>
      </c>
      <c r="M10" s="20">
        <f>[1]SAF!M10+[2]SAF!M$10</f>
        <v>520</v>
      </c>
      <c r="N10" s="20">
        <f>[1]SAF!N10+[2]SAF!N$10</f>
        <v>680</v>
      </c>
      <c r="O10" s="20">
        <f>[1]SAF!O10+[2]SAF!O$10</f>
        <v>700</v>
      </c>
      <c r="P10" s="20">
        <f>[1]SAF!P10+[2]SAF!P$10</f>
        <v>700</v>
      </c>
      <c r="Q10" s="20">
        <f>[1]SAF!Q10+[2]SAF!Q$10</f>
        <v>700</v>
      </c>
      <c r="R10" s="20">
        <f>[1]SAF!R10+[2]SAF!R$10</f>
        <v>700</v>
      </c>
      <c r="S10" s="20">
        <f>[1]SAF!S10+[2]SAF!S$10</f>
        <v>700</v>
      </c>
    </row>
    <row r="11" spans="1:19" s="44" customFormat="1" ht="15" x14ac:dyDescent="0.25">
      <c r="A11" s="44" t="s">
        <v>28</v>
      </c>
      <c r="B11" s="21">
        <f>SUM(B9:B10)</f>
        <v>1.8281779999999999</v>
      </c>
      <c r="C11" s="21">
        <f t="shared" ref="C11:S11" si="2">SUM(C9:C10)</f>
        <v>2.4287020000000004</v>
      </c>
      <c r="D11" s="21">
        <f t="shared" si="2"/>
        <v>4.6083990000000004</v>
      </c>
      <c r="E11" s="21">
        <f t="shared" si="2"/>
        <v>5.0766230000000006</v>
      </c>
      <c r="F11" s="21">
        <f t="shared" si="2"/>
        <v>15.819876999999998</v>
      </c>
      <c r="G11" s="21">
        <f t="shared" si="2"/>
        <v>26.300097000000001</v>
      </c>
      <c r="H11" s="21">
        <f t="shared" si="2"/>
        <v>114.84391430980317</v>
      </c>
      <c r="I11" s="21">
        <f t="shared" si="2"/>
        <v>307.35102243358443</v>
      </c>
      <c r="J11" s="21">
        <f t="shared" si="2"/>
        <v>618.1180679563787</v>
      </c>
      <c r="K11" s="21">
        <f t="shared" si="2"/>
        <v>1554.4504677391785</v>
      </c>
      <c r="L11" s="21">
        <f t="shared" si="2"/>
        <v>2070.059768222412</v>
      </c>
      <c r="M11" s="21">
        <f t="shared" si="2"/>
        <v>2583.3430931444977</v>
      </c>
      <c r="N11" s="21">
        <f t="shared" si="2"/>
        <v>3421.4700646287747</v>
      </c>
      <c r="O11" s="21">
        <f t="shared" si="2"/>
        <v>3863.00369068703</v>
      </c>
      <c r="P11" s="21">
        <f t="shared" si="2"/>
        <v>4663.533666502527</v>
      </c>
      <c r="Q11" s="21">
        <f t="shared" si="2"/>
        <v>4713.8527110948389</v>
      </c>
      <c r="R11" s="21">
        <f t="shared" si="2"/>
        <v>4835.7542043721241</v>
      </c>
      <c r="S11" s="21">
        <f t="shared" si="2"/>
        <v>5123.5118800842347</v>
      </c>
    </row>
    <row r="12" spans="1:19" x14ac:dyDescent="0.2">
      <c r="A12" s="19" t="s">
        <v>9</v>
      </c>
      <c r="B12" s="20">
        <f>B8-B11</f>
        <v>0</v>
      </c>
      <c r="C12" s="20">
        <f t="shared" ref="C12:S12" si="3">C8-C11</f>
        <v>0</v>
      </c>
      <c r="D12" s="20">
        <f t="shared" si="3"/>
        <v>0</v>
      </c>
      <c r="E12" s="20">
        <f t="shared" si="3"/>
        <v>0</v>
      </c>
      <c r="F12" s="20">
        <f t="shared" si="3"/>
        <v>0</v>
      </c>
      <c r="G12" s="20">
        <f t="shared" si="3"/>
        <v>0</v>
      </c>
      <c r="H12" s="20">
        <f t="shared" si="3"/>
        <v>1.539569019682574E-2</v>
      </c>
      <c r="I12" s="20">
        <f t="shared" si="3"/>
        <v>0.39420157187430505</v>
      </c>
      <c r="J12" s="20">
        <f t="shared" si="3"/>
        <v>0.57776442307692832</v>
      </c>
      <c r="K12" s="20">
        <f t="shared" si="3"/>
        <v>0.82889573991042198</v>
      </c>
      <c r="L12" s="20">
        <f t="shared" si="3"/>
        <v>1.3332145145786853</v>
      </c>
      <c r="M12" s="20">
        <f t="shared" si="3"/>
        <v>1.3398248507696735</v>
      </c>
      <c r="N12" s="20">
        <f t="shared" si="3"/>
        <v>1.6342121492443766</v>
      </c>
      <c r="O12" s="20">
        <f t="shared" si="3"/>
        <v>1.5945558958651418</v>
      </c>
      <c r="P12" s="20">
        <f t="shared" si="3"/>
        <v>1.6077433628315703</v>
      </c>
      <c r="Q12" s="20">
        <f t="shared" si="3"/>
        <v>1.6070070634195872</v>
      </c>
      <c r="R12" s="20">
        <f t="shared" si="3"/>
        <v>1.611706056129151</v>
      </c>
      <c r="S12" s="20">
        <f t="shared" si="3"/>
        <v>1.611706056129151</v>
      </c>
    </row>
    <row r="13" spans="1:19" ht="15" x14ac:dyDescent="0.2">
      <c r="A13" s="19" t="s">
        <v>10</v>
      </c>
      <c r="B13" s="20">
        <f>B10-B7</f>
        <v>0</v>
      </c>
      <c r="C13" s="20">
        <f t="shared" ref="C13:S13" si="4">C10-C7</f>
        <v>0</v>
      </c>
      <c r="D13" s="20">
        <f t="shared" si="4"/>
        <v>0</v>
      </c>
      <c r="E13" s="20">
        <f t="shared" si="4"/>
        <v>0</v>
      </c>
      <c r="F13" s="20">
        <f t="shared" si="4"/>
        <v>-7.9267400000000006</v>
      </c>
      <c r="G13" s="20">
        <f t="shared" si="4"/>
        <v>-12.283992</v>
      </c>
      <c r="H13" s="20">
        <f t="shared" si="4"/>
        <v>-73.150417000000004</v>
      </c>
      <c r="I13" s="21">
        <f t="shared" si="4"/>
        <v>35</v>
      </c>
      <c r="J13" s="21">
        <f t="shared" si="4"/>
        <v>253.72257901749262</v>
      </c>
      <c r="K13" s="21">
        <f t="shared" si="4"/>
        <v>313.54992385447565</v>
      </c>
      <c r="L13" s="21">
        <f t="shared" si="4"/>
        <v>338.74694823823427</v>
      </c>
      <c r="M13" s="21">
        <f t="shared" si="4"/>
        <v>419.91915152475502</v>
      </c>
      <c r="N13" s="21">
        <f t="shared" si="4"/>
        <v>546.07593269212805</v>
      </c>
      <c r="O13" s="21">
        <f t="shared" si="4"/>
        <v>580.96486356987657</v>
      </c>
      <c r="P13" s="21">
        <f t="shared" si="4"/>
        <v>595.37934502513428</v>
      </c>
      <c r="Q13" s="21">
        <f t="shared" si="4"/>
        <v>594.91275671230665</v>
      </c>
      <c r="R13" s="21">
        <f t="shared" si="4"/>
        <v>591.93941699110155</v>
      </c>
      <c r="S13" s="21">
        <f t="shared" si="4"/>
        <v>584.92105170526258</v>
      </c>
    </row>
    <row r="14" spans="1:19" ht="15" x14ac:dyDescent="0.2">
      <c r="B14" s="20"/>
      <c r="C14" s="20"/>
      <c r="D14" s="20"/>
      <c r="E14" s="20"/>
      <c r="F14" s="20"/>
      <c r="G14" s="20"/>
      <c r="H14" s="20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x14ac:dyDescent="0.2">
      <c r="A15" s="19" t="s">
        <v>11</v>
      </c>
      <c r="B15" s="45"/>
      <c r="C15" s="45"/>
      <c r="D15" s="45">
        <f>D9/'Jet Fuel'!D9</f>
        <v>2.6172165991574767E-4</v>
      </c>
      <c r="E15" s="45">
        <f>E9/'Jet Fuel'!E9</f>
        <v>2.2914443237384287E-4</v>
      </c>
      <c r="F15" s="45">
        <f>F9/'Jet Fuel'!F9</f>
        <v>6.117891689491181E-4</v>
      </c>
      <c r="G15" s="45">
        <f>G9/'Jet Fuel'!G9</f>
        <v>9.5435252111895853E-4</v>
      </c>
      <c r="H15" s="45">
        <f>H9/'Jet Fuel'!H9</f>
        <v>4.0463441695429755E-3</v>
      </c>
      <c r="I15" s="45">
        <f>I9/'Jet Fuel'!I9</f>
        <v>7.1558658963232231E-3</v>
      </c>
      <c r="J15" s="45">
        <f>J9/'Jet Fuel'!J9</f>
        <v>1.0817403873242107E-2</v>
      </c>
      <c r="K15" s="45">
        <f>K9/'Jet Fuel'!K9</f>
        <v>3.8971638499526708E-2</v>
      </c>
      <c r="L15" s="45">
        <f>L9/'Jet Fuel'!L9</f>
        <v>5.3275757748055846E-2</v>
      </c>
      <c r="M15" s="45">
        <f>M9/'Jet Fuel'!M9</f>
        <v>6.5161444178545413E-2</v>
      </c>
      <c r="N15" s="45">
        <f>N9/'Jet Fuel'!N9</f>
        <v>8.4423882726898103E-2</v>
      </c>
      <c r="O15" s="45">
        <f>O9/'Jet Fuel'!O9</f>
        <v>9.4994962018224591E-2</v>
      </c>
      <c r="P15" s="46">
        <f>P9/'Jet Fuel'!P9</f>
        <v>0.1160718667229285</v>
      </c>
      <c r="Q15" s="46">
        <f>Q9/'Jet Fuel'!Q9</f>
        <v>0.11461482148942498</v>
      </c>
      <c r="R15" s="46">
        <f>R9/'Jet Fuel'!R9</f>
        <v>0.1151651008536624</v>
      </c>
      <c r="S15" s="46">
        <f>S9/'Jet Fuel'!S9</f>
        <v>0.12010184660154404</v>
      </c>
    </row>
    <row r="16" spans="1:19" s="47" customFormat="1" x14ac:dyDescent="0.2">
      <c r="A16" s="47" t="s">
        <v>29</v>
      </c>
      <c r="B16" s="47">
        <f>[1]SAF!B$18</f>
        <v>0</v>
      </c>
      <c r="C16" s="47">
        <f>[1]SAF!C$18</f>
        <v>0</v>
      </c>
      <c r="D16" s="48">
        <f>[1]SAF!D$18+[2]SAF!D$16</f>
        <v>142.1</v>
      </c>
      <c r="E16" s="48">
        <f>[1]SAF!E$18+[2]SAF!E$16</f>
        <v>565.6</v>
      </c>
      <c r="F16" s="48">
        <f>[1]SAF!F$18+[2]SAF!F$16</f>
        <v>965.601</v>
      </c>
      <c r="G16" s="48">
        <f>[1]SAF!G$18+[2]SAF!G$16</f>
        <v>965.601</v>
      </c>
      <c r="H16" s="48">
        <f>[1]SAF!H$18+[2]SAF!H$16</f>
        <v>936.15862913264345</v>
      </c>
      <c r="I16" s="48">
        <f>[1]SAF!I$18+[2]SAF!I$16</f>
        <v>2036.1263030739653</v>
      </c>
      <c r="J16" s="48">
        <f>[1]SAF!J$18+[2]SAF!J$16</f>
        <v>2098.7492889209079</v>
      </c>
      <c r="K16" s="48">
        <f>[1]SAF!K$18+[2]SAF!K$16</f>
        <v>4117.512795997437</v>
      </c>
      <c r="L16" s="48">
        <f>[1]SAF!L$18+[2]SAF!L$16</f>
        <v>4594.4127959974376</v>
      </c>
      <c r="M16" s="48">
        <f>[1]SAF!M$18+[2]SAF!M$16</f>
        <v>5082.9445495357004</v>
      </c>
      <c r="N16" s="48">
        <f>[1]SAF!N$18+[2]SAF!N$16</f>
        <v>5986.0080566122306</v>
      </c>
      <c r="O16" s="48">
        <f>[1]SAF!O$18+[2]SAF!O$16</f>
        <v>6040.4400566122304</v>
      </c>
      <c r="P16" s="48">
        <f>[1]SAF!P$18+[2]SAF!P$16</f>
        <v>7394.6750707652873</v>
      </c>
      <c r="Q16" s="48">
        <f>[1]SAF!Q$18+[2]SAF!Q$16</f>
        <v>7394.6750707652873</v>
      </c>
      <c r="R16" s="48">
        <f>[1]SAF!R$18+[2]SAF!R$16</f>
        <v>7394.6750707652873</v>
      </c>
      <c r="S16" s="48">
        <f>[1]SAF!S$18+[2]SAF!S$16</f>
        <v>7394.6750707652873</v>
      </c>
    </row>
    <row r="17" spans="1:19" s="49" customFormat="1" x14ac:dyDescent="0.2">
      <c r="A17" s="49" t="s">
        <v>13</v>
      </c>
      <c r="B17" s="50"/>
      <c r="C17" s="50"/>
      <c r="D17" s="51">
        <f t="shared" ref="D17:S17" si="5">D6/D16</f>
        <v>3.2430675580577065E-2</v>
      </c>
      <c r="E17" s="51">
        <f t="shared" si="5"/>
        <v>8.9756417963224901E-3</v>
      </c>
      <c r="F17" s="51">
        <f t="shared" si="5"/>
        <v>8.1743256272518352E-3</v>
      </c>
      <c r="G17" s="51">
        <f t="shared" si="5"/>
        <v>1.4515420965802646E-2</v>
      </c>
      <c r="H17" s="51">
        <f t="shared" si="5"/>
        <v>4.4553232435237532E-2</v>
      </c>
      <c r="I17" s="51">
        <f>I6/I16</f>
        <v>0.11921157737062266</v>
      </c>
      <c r="J17" s="51">
        <f t="shared" si="5"/>
        <v>0.27255480816347805</v>
      </c>
      <c r="K17" s="51">
        <f t="shared" si="5"/>
        <v>0.36144429820769253</v>
      </c>
      <c r="L17" s="51">
        <f t="shared" si="5"/>
        <v>0.43189654986247811</v>
      </c>
      <c r="M17" s="51">
        <f t="shared" si="5"/>
        <v>0.48854927115667174</v>
      </c>
      <c r="N17" s="51">
        <f t="shared" si="5"/>
        <v>0.54925425317254317</v>
      </c>
      <c r="O17" s="51">
        <f t="shared" si="5"/>
        <v>0.61981062023870204</v>
      </c>
      <c r="P17" s="51">
        <f t="shared" si="5"/>
        <v>0.61651474275296547</v>
      </c>
      <c r="Q17" s="51">
        <f t="shared" si="5"/>
        <v>0.62325452942866966</v>
      </c>
      <c r="R17" s="51">
        <f t="shared" si="5"/>
        <v>0.63933820960528809</v>
      </c>
      <c r="S17" s="51">
        <f t="shared" si="5"/>
        <v>0.67730263789280554</v>
      </c>
    </row>
    <row r="18" spans="1:19" s="7" customFormat="1" x14ac:dyDescent="0.2">
      <c r="A18" s="16" t="s">
        <v>14</v>
      </c>
      <c r="B18" s="9"/>
      <c r="C18" s="9"/>
      <c r="D18" s="9"/>
      <c r="E18" s="27">
        <f>E6/D6-1</f>
        <v>0.10160231351495397</v>
      </c>
      <c r="F18" s="27">
        <f t="shared" ref="F18:S18" si="6">F6/E6-1</f>
        <v>0.55480070117477664</v>
      </c>
      <c r="G18" s="27">
        <f t="shared" si="6"/>
        <v>0.77573314640300839</v>
      </c>
      <c r="H18" s="27">
        <f t="shared" si="6"/>
        <v>1.9757834291338425</v>
      </c>
      <c r="I18" s="27">
        <f t="shared" si="6"/>
        <v>4.8196180923637053</v>
      </c>
      <c r="J18" s="27">
        <f t="shared" si="6"/>
        <v>1.3566292358684429</v>
      </c>
      <c r="K18" s="27">
        <f t="shared" si="6"/>
        <v>1.6017282089609415</v>
      </c>
      <c r="L18" s="27">
        <f t="shared" si="6"/>
        <v>0.33331698620049943</v>
      </c>
      <c r="M18" s="27">
        <f t="shared" si="6"/>
        <v>0.25145141608858657</v>
      </c>
      <c r="N18" s="27">
        <f t="shared" si="6"/>
        <v>0.32399694781021604</v>
      </c>
      <c r="O18" s="27">
        <f t="shared" si="6"/>
        <v>0.13871978564341103</v>
      </c>
      <c r="P18" s="27">
        <f t="shared" si="6"/>
        <v>0.21768503708115383</v>
      </c>
      <c r="Q18" s="27">
        <f t="shared" si="6"/>
        <v>1.0932077058869005E-2</v>
      </c>
      <c r="R18" s="27">
        <f t="shared" si="6"/>
        <v>2.580595794684748E-2</v>
      </c>
      <c r="S18" s="27">
        <f t="shared" si="6"/>
        <v>5.9380821789074334E-2</v>
      </c>
    </row>
    <row r="19" spans="1:19" s="7" customFormat="1" x14ac:dyDescent="0.2">
      <c r="A19" s="16" t="s">
        <v>15</v>
      </c>
      <c r="B19" s="28"/>
      <c r="C19" s="28"/>
      <c r="D19" s="28"/>
      <c r="E19" s="27">
        <f>E9/D9-1</f>
        <v>0.10160231351495397</v>
      </c>
      <c r="F19" s="27">
        <f t="shared" ref="F19:S19" si="7">F9/E9-1</f>
        <v>2.1162205663095324</v>
      </c>
      <c r="G19" s="27">
        <f t="shared" si="7"/>
        <v>0.66247164879979814</v>
      </c>
      <c r="H19" s="27">
        <f t="shared" si="7"/>
        <v>3.3666726518082104</v>
      </c>
      <c r="I19" s="27">
        <f t="shared" si="7"/>
        <v>0.80550291828467202</v>
      </c>
      <c r="J19" s="27">
        <f t="shared" si="7"/>
        <v>0.53420062376723276</v>
      </c>
      <c r="K19" s="27">
        <f t="shared" si="7"/>
        <v>2.691869736553985</v>
      </c>
      <c r="L19" s="27">
        <f t="shared" si="7"/>
        <v>0.40070595858261959</v>
      </c>
      <c r="M19" s="27">
        <f t="shared" si="7"/>
        <v>0.25426633913372432</v>
      </c>
      <c r="N19" s="27">
        <f t="shared" si="7"/>
        <v>0.3286544897634176</v>
      </c>
      <c r="O19" s="27">
        <f t="shared" si="7"/>
        <v>0.15376189275126584</v>
      </c>
      <c r="P19" s="27">
        <f t="shared" si="7"/>
        <v>0.25309169830327183</v>
      </c>
      <c r="Q19" s="27">
        <f t="shared" si="7"/>
        <v>1.2695500739044796E-2</v>
      </c>
      <c r="R19" s="27">
        <f t="shared" si="7"/>
        <v>3.0370195931787025E-2</v>
      </c>
      <c r="S19" s="27">
        <f t="shared" si="7"/>
        <v>6.9578041027657411E-2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97A8-B495-4E48-9AA4-599DD490C992}">
  <dimension ref="A3:S31"/>
  <sheetViews>
    <sheetView topLeftCell="A3" workbookViewId="0">
      <pane xSplit="1" ySplit="2" topLeftCell="B5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ColWidth="8" defaultRowHeight="14.25" x14ac:dyDescent="0.2"/>
  <cols>
    <col min="1" max="1" width="18.7109375" style="19" customWidth="1"/>
    <col min="2" max="3" width="12.85546875" style="19" customWidth="1"/>
    <col min="4" max="19" width="8.7109375" style="19" customWidth="1"/>
    <col min="20" max="16384" width="8" style="19"/>
  </cols>
  <sheetData>
    <row r="3" spans="1:19" s="7" customFormat="1" ht="15.75" thickBot="1" x14ac:dyDescent="0.3">
      <c r="A3" s="40" t="s">
        <v>30</v>
      </c>
      <c r="B3" s="41"/>
      <c r="C3" s="41"/>
      <c r="D3" s="41"/>
      <c r="E3" s="41"/>
      <c r="F3" s="41"/>
      <c r="G3" s="41"/>
      <c r="H3" s="41"/>
      <c r="I3" s="41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19" ht="16.5" thickTop="1" thickBot="1" x14ac:dyDescent="0.3">
      <c r="A4" s="5" t="s">
        <v>1</v>
      </c>
      <c r="B4" s="43">
        <v>2018</v>
      </c>
      <c r="C4" s="43">
        <v>2019</v>
      </c>
      <c r="D4" s="43">
        <v>2020</v>
      </c>
      <c r="E4" s="43">
        <v>2021</v>
      </c>
      <c r="F4" s="43">
        <v>2022</v>
      </c>
      <c r="G4" s="43">
        <v>2023</v>
      </c>
      <c r="H4" s="43">
        <v>2024</v>
      </c>
      <c r="I4" s="52">
        <v>2025</v>
      </c>
      <c r="J4" s="52">
        <v>2026</v>
      </c>
      <c r="K4" s="52">
        <v>2027</v>
      </c>
      <c r="L4" s="52">
        <v>2028</v>
      </c>
      <c r="M4" s="52">
        <v>2029</v>
      </c>
      <c r="N4" s="52">
        <v>2030</v>
      </c>
      <c r="O4" s="52">
        <v>2031</v>
      </c>
      <c r="P4" s="52">
        <v>2032</v>
      </c>
      <c r="Q4" s="52">
        <v>2033</v>
      </c>
      <c r="R4" s="52">
        <v>2034</v>
      </c>
      <c r="S4" s="52">
        <v>2035</v>
      </c>
    </row>
    <row r="5" spans="1:19" ht="15" x14ac:dyDescent="0.2">
      <c r="A5" s="19" t="s">
        <v>2</v>
      </c>
      <c r="B5" s="20">
        <f>'[1]Jet Fuel'!B5+'[2]Jet Fuel'!B5</f>
        <v>1734.768</v>
      </c>
      <c r="C5" s="20">
        <f>'[1]Jet Fuel'!C5+'[2]Jet Fuel'!C5</f>
        <v>1896.619696</v>
      </c>
      <c r="D5" s="20">
        <f>'[1]Jet Fuel'!D5+'[2]Jet Fuel'!D5</f>
        <v>1815.7210282360002</v>
      </c>
      <c r="E5" s="20">
        <f>'[1]Jet Fuel'!E5+'[2]Jet Fuel'!E5</f>
        <v>1724.6649867800002</v>
      </c>
      <c r="F5" s="20">
        <f>'[1]Jet Fuel'!F5+'[2]Jet Fuel'!F5</f>
        <v>1606.21682758</v>
      </c>
      <c r="G5" s="20">
        <f>'[1]Jet Fuel'!G5+'[2]Jet Fuel'!G5</f>
        <v>1564.761007548</v>
      </c>
      <c r="H5" s="20">
        <f>'[1]Jet Fuel'!H5+'[2]Jet Fuel'!H5</f>
        <v>1775.6590630559999</v>
      </c>
      <c r="I5" s="21">
        <f>'[1]Jet Fuel'!I5+'[2]Jet Fuel'!I5</f>
        <v>1944.7589343280001</v>
      </c>
      <c r="J5" s="21">
        <f>'[1]Jet Fuel'!J5+'[2]Jet Fuel'!J5</f>
        <v>2449.0409278290003</v>
      </c>
      <c r="K5" s="21">
        <f>'[1]Jet Fuel'!K5+'[2]Jet Fuel'!K5</f>
        <v>3361.7269612446826</v>
      </c>
      <c r="L5" s="21">
        <f>'[1]Jet Fuel'!L5+'[2]Jet Fuel'!L5</f>
        <v>4259.4861285361694</v>
      </c>
      <c r="M5" s="21">
        <f>'[1]Jet Fuel'!M5+'[2]Jet Fuel'!M5</f>
        <v>5407.8250894806506</v>
      </c>
      <c r="N5" s="21">
        <f>'[1]Jet Fuel'!N5+'[2]Jet Fuel'!N5</f>
        <v>6418.3068046691133</v>
      </c>
      <c r="O5" s="21">
        <f>'[1]Jet Fuel'!O5+'[2]Jet Fuel'!O5</f>
        <v>7443.3803175226285</v>
      </c>
      <c r="P5" s="21">
        <f>'[1]Jet Fuel'!P5+'[2]Jet Fuel'!P5</f>
        <v>8762.9087995271439</v>
      </c>
      <c r="Q5" s="21">
        <f>'[1]Jet Fuel'!Q5+'[2]Jet Fuel'!Q5</f>
        <v>10015.263666395238</v>
      </c>
      <c r="R5" s="21">
        <f>'[1]Jet Fuel'!R5+'[2]Jet Fuel'!R5</f>
        <v>11374.114535932731</v>
      </c>
      <c r="S5" s="21">
        <f>'[1]Jet Fuel'!S5+'[2]Jet Fuel'!S5</f>
        <v>12632.283467455391</v>
      </c>
    </row>
    <row r="6" spans="1:19" ht="15" x14ac:dyDescent="0.2">
      <c r="A6" s="19" t="s">
        <v>24</v>
      </c>
      <c r="B6" s="20">
        <f>'[1]Jet Fuel'!B6+'[2]Jet Fuel'!B6</f>
        <v>29518.471207999995</v>
      </c>
      <c r="C6" s="20">
        <f>'[1]Jet Fuel'!C6+'[2]Jet Fuel'!C6</f>
        <v>29327.531864260003</v>
      </c>
      <c r="D6" s="20">
        <f>'[1]Jet Fuel'!D6+'[2]Jet Fuel'!D6</f>
        <v>16476.639123568002</v>
      </c>
      <c r="E6" s="20">
        <f>'[1]Jet Fuel'!E6+'[2]Jet Fuel'!E6</f>
        <v>21084.063978112001</v>
      </c>
      <c r="F6" s="20">
        <f>'[1]Jet Fuel'!F6+'[2]Jet Fuel'!F6</f>
        <v>26197.41548634</v>
      </c>
      <c r="G6" s="20">
        <f>'[1]Jet Fuel'!G6+'[2]Jet Fuel'!G6</f>
        <v>27876.252750647996</v>
      </c>
      <c r="H6" s="20">
        <f>'[1]Jet Fuel'!H6+'[2]Jet Fuel'!H6</f>
        <v>29458.450949184</v>
      </c>
      <c r="I6" s="21">
        <f>'[1]Jet Fuel'!I6+'[2]Jet Fuel'!I6</f>
        <v>29430</v>
      </c>
      <c r="J6" s="21">
        <f>'[1]Jet Fuel'!J6+'[2]Jet Fuel'!J6</f>
        <v>30250</v>
      </c>
      <c r="K6" s="21">
        <f>'[1]Jet Fuel'!K6+'[2]Jet Fuel'!K6</f>
        <v>31095</v>
      </c>
      <c r="L6" s="21">
        <f>'[1]Jet Fuel'!L6+'[2]Jet Fuel'!L6</f>
        <v>32350</v>
      </c>
      <c r="M6" s="21">
        <f>'[1]Jet Fuel'!M6+'[2]Jet Fuel'!M6</f>
        <v>33010</v>
      </c>
      <c r="N6" s="21">
        <f>'[1]Jet Fuel'!N6+'[2]Jet Fuel'!N6</f>
        <v>33720</v>
      </c>
      <c r="O6" s="21">
        <f>'[1]Jet Fuel'!O6+'[2]Jet Fuel'!O6</f>
        <v>34730</v>
      </c>
      <c r="P6" s="21">
        <f>'[1]Jet Fuel'!P6+'[2]Jet Fuel'!P6</f>
        <v>35540</v>
      </c>
      <c r="Q6" s="21">
        <f>'[1]Jet Fuel'!Q6+'[2]Jet Fuel'!Q6</f>
        <v>36550</v>
      </c>
      <c r="R6" s="21">
        <f>'[1]Jet Fuel'!R6+'[2]Jet Fuel'!R6</f>
        <v>37360</v>
      </c>
      <c r="S6" s="21">
        <f>'[1]Jet Fuel'!S6+'[2]Jet Fuel'!S6</f>
        <v>38370</v>
      </c>
    </row>
    <row r="7" spans="1:19" ht="15" x14ac:dyDescent="0.2">
      <c r="A7" s="19" t="s">
        <v>25</v>
      </c>
      <c r="B7" s="20">
        <f>'[1]Jet Fuel'!B7+'[2]Jet Fuel'!B7</f>
        <v>2858.9204295999998</v>
      </c>
      <c r="C7" s="20">
        <f>'[1]Jet Fuel'!C7+'[2]Jet Fuel'!C7</f>
        <v>3552.1192821120003</v>
      </c>
      <c r="D7" s="20">
        <f>'[1]Jet Fuel'!D7+'[2]Jet Fuel'!D7</f>
        <v>2661.7148230000003</v>
      </c>
      <c r="E7" s="20">
        <f>'[1]Jet Fuel'!E7+'[2]Jet Fuel'!E7</f>
        <v>2726.1880171159992</v>
      </c>
      <c r="F7" s="20">
        <f>'[1]Jet Fuel'!F7+'[2]Jet Fuel'!F7</f>
        <v>2451.6374352000003</v>
      </c>
      <c r="G7" s="20">
        <f>'[1]Jet Fuel'!G7+'[2]Jet Fuel'!G7</f>
        <v>2656.975908892</v>
      </c>
      <c r="H7" s="20">
        <f>'[1]Jet Fuel'!H7+'[2]Jet Fuel'!H7</f>
        <v>2391.8542803159994</v>
      </c>
      <c r="I7" s="21">
        <f>'[1]Jet Fuel'!I7+'[2]Jet Fuel'!I7</f>
        <v>2490.0816244393332</v>
      </c>
      <c r="J7" s="21">
        <f>'[1]Jet Fuel'!J7+'[2]Jet Fuel'!J7</f>
        <v>2313.0753481605557</v>
      </c>
      <c r="K7" s="21">
        <f>'[1]Jet Fuel'!K7+'[2]Jet Fuel'!K7</f>
        <v>2354.9687690206479</v>
      </c>
      <c r="L7" s="21">
        <f>'[1]Jet Fuel'!L7+'[2]Jet Fuel'!L7</f>
        <v>2293.0988943380898</v>
      </c>
      <c r="M7" s="21">
        <f>'[1]Jet Fuel'!M7+'[2]Jet Fuel'!M7</f>
        <v>2266.6758041944377</v>
      </c>
      <c r="N7" s="21">
        <f>'[1]Jet Fuel'!N7+'[2]Jet Fuel'!N7</f>
        <v>2351.6257867448439</v>
      </c>
      <c r="O7" s="21">
        <f>'[1]Jet Fuel'!O7+'[2]Jet Fuel'!O7</f>
        <v>2344.9210378163179</v>
      </c>
      <c r="P7" s="21">
        <f>'[1]Jet Fuel'!P7+'[2]Jet Fuel'!P7</f>
        <v>2320.7276067124822</v>
      </c>
      <c r="Q7" s="21">
        <f>'[1]Jet Fuel'!Q7+'[2]Jet Fuel'!Q7</f>
        <v>2322.0029831378033</v>
      </c>
      <c r="R7" s="21">
        <f>'[1]Jet Fuel'!R7+'[2]Jet Fuel'!R7</f>
        <v>2316.5086854906622</v>
      </c>
      <c r="S7" s="21">
        <f>'[1]Jet Fuel'!S7+'[2]Jet Fuel'!S7</f>
        <v>2320.4103173494245</v>
      </c>
    </row>
    <row r="8" spans="1:19" ht="15" x14ac:dyDescent="0.2">
      <c r="A8" s="19" t="s">
        <v>26</v>
      </c>
      <c r="B8" s="20">
        <f t="shared" ref="B8:R8" si="0">SUM(B5:B7)</f>
        <v>34112.159637599994</v>
      </c>
      <c r="C8" s="20">
        <f t="shared" si="0"/>
        <v>34776.270842372003</v>
      </c>
      <c r="D8" s="20">
        <f t="shared" si="0"/>
        <v>20954.074974804003</v>
      </c>
      <c r="E8" s="20">
        <f t="shared" si="0"/>
        <v>25534.916982007999</v>
      </c>
      <c r="F8" s="20">
        <f t="shared" si="0"/>
        <v>30255.269749120002</v>
      </c>
      <c r="G8" s="20">
        <f t="shared" si="0"/>
        <v>32097.989667087997</v>
      </c>
      <c r="H8" s="20">
        <f t="shared" si="0"/>
        <v>33625.964292555997</v>
      </c>
      <c r="I8" s="21">
        <f t="shared" si="0"/>
        <v>33864.840558767333</v>
      </c>
      <c r="J8" s="21">
        <f t="shared" si="0"/>
        <v>35012.116275989552</v>
      </c>
      <c r="K8" s="21">
        <f t="shared" si="0"/>
        <v>36811.695730265332</v>
      </c>
      <c r="L8" s="21">
        <f t="shared" si="0"/>
        <v>38902.585022874257</v>
      </c>
      <c r="M8" s="21">
        <f t="shared" si="0"/>
        <v>40684.500893675082</v>
      </c>
      <c r="N8" s="21">
        <f t="shared" si="0"/>
        <v>42489.932591413955</v>
      </c>
      <c r="O8" s="21">
        <f t="shared" si="0"/>
        <v>44518.301355338946</v>
      </c>
      <c r="P8" s="21">
        <f t="shared" si="0"/>
        <v>46623.636406239624</v>
      </c>
      <c r="Q8" s="21">
        <f t="shared" si="0"/>
        <v>48887.266649533041</v>
      </c>
      <c r="R8" s="21">
        <f t="shared" si="0"/>
        <v>51050.623221423397</v>
      </c>
      <c r="S8" s="21">
        <f t="shared" ref="S8" si="1">SUM(S5:S7)</f>
        <v>53322.693784804811</v>
      </c>
    </row>
    <row r="9" spans="1:19" ht="15" x14ac:dyDescent="0.2">
      <c r="A9" s="19" t="s">
        <v>27</v>
      </c>
      <c r="B9" s="20">
        <f>'[1]Jet Fuel'!B9+'[2]Jet Fuel'!B9</f>
        <v>28570.455823999997</v>
      </c>
      <c r="C9" s="20">
        <f>'[1]Jet Fuel'!C9+'[2]Jet Fuel'!C9</f>
        <v>29206.334674552003</v>
      </c>
      <c r="D9" s="20">
        <f>'[1]Jet Fuel'!D9+'[2]Jet Fuel'!D9</f>
        <v>17608.015330040002</v>
      </c>
      <c r="E9" s="20">
        <f>'[1]Jet Fuel'!E9+'[2]Jet Fuel'!E9</f>
        <v>22154.686227408001</v>
      </c>
      <c r="F9" s="20">
        <f>'[1]Jet Fuel'!F9+'[2]Jet Fuel'!F9</f>
        <v>25858.380309631997</v>
      </c>
      <c r="G9" s="20">
        <f>'[1]Jet Fuel'!G9+'[2]Jet Fuel'!G9</f>
        <v>27558.052625211996</v>
      </c>
      <c r="H9" s="20">
        <f>'[1]Jet Fuel'!H9+'[2]Jet Fuel'!H9</f>
        <v>28382.141878646598</v>
      </c>
      <c r="I9" s="21">
        <f>'[1]Jet Fuel'!I9+'[2]Jet Fuel'!I9</f>
        <v>28976.370636029398</v>
      </c>
      <c r="J9" s="21">
        <f>'[1]Jet Fuel'!J9+'[2]Jet Fuel'!J9</f>
        <v>29407.986581999998</v>
      </c>
      <c r="K9" s="21">
        <f>'[1]Jet Fuel'!K9+'[2]Jet Fuel'!K9</f>
        <v>30136.030019713995</v>
      </c>
      <c r="L9" s="21">
        <f>'[1]Jet Fuel'!L9+'[2]Jet Fuel'!L9</f>
        <v>30878.204980246272</v>
      </c>
      <c r="M9" s="21">
        <f>'[1]Jet Fuel'!M9+'[2]Jet Fuel'!M9</f>
        <v>31665.09151471292</v>
      </c>
      <c r="N9" s="21">
        <f>'[1]Jet Fuel'!N9+'[2]Jet Fuel'!N9</f>
        <v>32472.683985610165</v>
      </c>
      <c r="O9" s="21">
        <f>'[1]Jet Fuel'!O9+'[2]Jet Fuel'!O9</f>
        <v>33296.541453221638</v>
      </c>
      <c r="P9" s="21">
        <f>'[1]Jet Fuel'!P9+'[2]Jet Fuel'!P9</f>
        <v>34147.238072458618</v>
      </c>
      <c r="Q9" s="21">
        <f>'[1]Jet Fuel'!Q9+'[2]Jet Fuel'!Q9</f>
        <v>35020.363500414998</v>
      </c>
      <c r="R9" s="21">
        <f>'[1]Jet Fuel'!R9+'[2]Jet Fuel'!R9</f>
        <v>35911.523314926199</v>
      </c>
      <c r="S9" s="21">
        <f>'[1]Jet Fuel'!S9+'[2]Jet Fuel'!S9</f>
        <v>36831.339444429206</v>
      </c>
    </row>
    <row r="10" spans="1:19" ht="15" x14ac:dyDescent="0.2">
      <c r="A10" s="19" t="s">
        <v>7</v>
      </c>
      <c r="B10" s="20">
        <f>'[1]Jet Fuel'!B10+'[2]Jet Fuel'!B10</f>
        <v>3788.8729371999998</v>
      </c>
      <c r="C10" s="20">
        <f>'[1]Jet Fuel'!C10+'[2]Jet Fuel'!C10</f>
        <v>3363.4956925320002</v>
      </c>
      <c r="D10" s="20">
        <f>'[1]Jet Fuel'!D10+'[2]Jet Fuel'!D10</f>
        <v>1621.3946579840001</v>
      </c>
      <c r="E10" s="20">
        <f>'[1]Jet Fuel'!E10+'[2]Jet Fuel'!E10</f>
        <v>1777.85885902</v>
      </c>
      <c r="F10" s="20">
        <f>'[1]Jet Fuel'!F10+'[2]Jet Fuel'!F10</f>
        <v>2835.7116199400002</v>
      </c>
      <c r="G10" s="20">
        <f>'[1]Jet Fuel'!G10+'[2]Jet Fuel'!G10</f>
        <v>2789.3280237479999</v>
      </c>
      <c r="H10" s="20">
        <f>'[1]Jet Fuel'!H10+'[2]Jet Fuel'!H10</f>
        <v>3327.5669255640005</v>
      </c>
      <c r="I10" s="21">
        <f>'[1]Jet Fuel'!I10+'[2]Jet Fuel'!I10</f>
        <v>2584.5084172512002</v>
      </c>
      <c r="J10" s="21">
        <f>'[1]Jet Fuel'!J10+'[2]Jet Fuel'!J10</f>
        <v>2486.0259024379729</v>
      </c>
      <c r="K10" s="21">
        <f>'[1]Jet Fuel'!K10+'[2]Jet Fuel'!K10</f>
        <v>2630.9413000104569</v>
      </c>
      <c r="L10" s="21">
        <f>'[1]Jet Fuel'!L10+'[2]Jet Fuel'!L10</f>
        <v>2776.3818230615852</v>
      </c>
      <c r="M10" s="21">
        <f>'[1]Jet Fuel'!M10+'[2]Jet Fuel'!M10</f>
        <v>2766.6621344675123</v>
      </c>
      <c r="N10" s="21">
        <f>'[1]Jet Fuel'!N10+'[2]Jet Fuel'!N10</f>
        <v>2762.5947197152927</v>
      </c>
      <c r="O10" s="21">
        <f>'[1]Jet Fuel'!O10+'[2]Jet Fuel'!O10</f>
        <v>2667.0972475863691</v>
      </c>
      <c r="P10" s="21">
        <f>'[1]Jet Fuel'!P10+'[2]Jet Fuel'!P10</f>
        <v>2681.3847952240162</v>
      </c>
      <c r="Q10" s="21">
        <f>'[1]Jet Fuel'!Q10+'[2]Jet Fuel'!Q10</f>
        <v>2714.4098637538013</v>
      </c>
      <c r="R10" s="21">
        <f>'[1]Jet Fuel'!R10+'[2]Jet Fuel'!R10</f>
        <v>2728.2275714790153</v>
      </c>
      <c r="S10" s="21">
        <f>'[1]Jet Fuel'!S10+'[2]Jet Fuel'!S10</f>
        <v>2720.0556772263753</v>
      </c>
    </row>
    <row r="11" spans="1:19" ht="15" x14ac:dyDescent="0.2">
      <c r="A11" s="19" t="s">
        <v>28</v>
      </c>
      <c r="B11" s="20">
        <f>SUM(B9:B10)</f>
        <v>32359.328761199999</v>
      </c>
      <c r="C11" s="20">
        <f t="shared" ref="C11:S11" si="2">SUM(C9:C10)</f>
        <v>32569.830367084003</v>
      </c>
      <c r="D11" s="20">
        <f t="shared" si="2"/>
        <v>19229.409988024003</v>
      </c>
      <c r="E11" s="20">
        <f t="shared" si="2"/>
        <v>23932.545086428003</v>
      </c>
      <c r="F11" s="20">
        <f t="shared" si="2"/>
        <v>28694.091929571998</v>
      </c>
      <c r="G11" s="20">
        <f t="shared" si="2"/>
        <v>30347.380648959996</v>
      </c>
      <c r="H11" s="20">
        <f t="shared" si="2"/>
        <v>31709.708804210597</v>
      </c>
      <c r="I11" s="21">
        <f t="shared" si="2"/>
        <v>31560.879053280598</v>
      </c>
      <c r="J11" s="21">
        <f t="shared" si="2"/>
        <v>31894.012484437972</v>
      </c>
      <c r="K11" s="21">
        <f t="shared" si="2"/>
        <v>32766.971319724453</v>
      </c>
      <c r="L11" s="21">
        <f t="shared" si="2"/>
        <v>33654.586803307859</v>
      </c>
      <c r="M11" s="21">
        <f t="shared" si="2"/>
        <v>34431.753649180435</v>
      </c>
      <c r="N11" s="21">
        <f t="shared" si="2"/>
        <v>35235.278705325458</v>
      </c>
      <c r="O11" s="21">
        <f t="shared" si="2"/>
        <v>35963.638700808006</v>
      </c>
      <c r="P11" s="21">
        <f t="shared" si="2"/>
        <v>36828.622867682636</v>
      </c>
      <c r="Q11" s="21">
        <f t="shared" si="2"/>
        <v>37734.773364168803</v>
      </c>
      <c r="R11" s="21">
        <f t="shared" si="2"/>
        <v>38639.750886405214</v>
      </c>
      <c r="S11" s="21">
        <f t="shared" si="2"/>
        <v>39551.39512165558</v>
      </c>
    </row>
    <row r="12" spans="1:19" ht="15" x14ac:dyDescent="0.2">
      <c r="A12" s="19" t="s">
        <v>9</v>
      </c>
      <c r="B12" s="20">
        <f>B8-B11</f>
        <v>1752.8308763999958</v>
      </c>
      <c r="C12" s="20">
        <f t="shared" ref="C12:S12" si="3">C8-C11</f>
        <v>2206.440475288</v>
      </c>
      <c r="D12" s="20">
        <f t="shared" si="3"/>
        <v>1724.6649867800006</v>
      </c>
      <c r="E12" s="20">
        <f t="shared" si="3"/>
        <v>1602.3718955799959</v>
      </c>
      <c r="F12" s="20">
        <f t="shared" si="3"/>
        <v>1561.1778195480038</v>
      </c>
      <c r="G12" s="20">
        <f t="shared" si="3"/>
        <v>1750.6090181280015</v>
      </c>
      <c r="H12" s="20">
        <f t="shared" si="3"/>
        <v>1916.2554883453995</v>
      </c>
      <c r="I12" s="21">
        <f t="shared" si="3"/>
        <v>2303.9615054867354</v>
      </c>
      <c r="J12" s="21">
        <f t="shared" si="3"/>
        <v>3118.1037915515808</v>
      </c>
      <c r="K12" s="21">
        <f t="shared" si="3"/>
        <v>4044.724410540879</v>
      </c>
      <c r="L12" s="21">
        <f t="shared" si="3"/>
        <v>5247.9982195663979</v>
      </c>
      <c r="M12" s="21">
        <f t="shared" si="3"/>
        <v>6252.747244494647</v>
      </c>
      <c r="N12" s="21">
        <f t="shared" si="3"/>
        <v>7254.6538860884975</v>
      </c>
      <c r="O12" s="21">
        <f t="shared" si="3"/>
        <v>8554.6626545309409</v>
      </c>
      <c r="P12" s="21">
        <f t="shared" si="3"/>
        <v>9795.0135385569884</v>
      </c>
      <c r="Q12" s="21">
        <f t="shared" si="3"/>
        <v>11152.493285364239</v>
      </c>
      <c r="R12" s="21">
        <f t="shared" si="3"/>
        <v>12410.872335018183</v>
      </c>
      <c r="S12" s="21">
        <f t="shared" si="3"/>
        <v>13771.298663149231</v>
      </c>
    </row>
    <row r="13" spans="1:19" ht="15" x14ac:dyDescent="0.2">
      <c r="A13" s="19" t="s">
        <v>10</v>
      </c>
      <c r="B13" s="20">
        <f>B10-B7</f>
        <v>929.95250759999999</v>
      </c>
      <c r="C13" s="20">
        <f t="shared" ref="C13:S13" si="4">C10-C7</f>
        <v>-188.62358958000004</v>
      </c>
      <c r="D13" s="20">
        <f t="shared" si="4"/>
        <v>-1040.3201650160001</v>
      </c>
      <c r="E13" s="20">
        <f t="shared" si="4"/>
        <v>-948.32915809599922</v>
      </c>
      <c r="F13" s="20">
        <f t="shared" si="4"/>
        <v>384.07418473999996</v>
      </c>
      <c r="G13" s="20">
        <f t="shared" si="4"/>
        <v>132.35211485599984</v>
      </c>
      <c r="H13" s="20">
        <f t="shared" si="4"/>
        <v>935.71264524800108</v>
      </c>
      <c r="I13" s="21">
        <f t="shared" si="4"/>
        <v>94.426792811867017</v>
      </c>
      <c r="J13" s="21">
        <f t="shared" si="4"/>
        <v>172.95055427741727</v>
      </c>
      <c r="K13" s="21">
        <f t="shared" si="4"/>
        <v>275.972530989809</v>
      </c>
      <c r="L13" s="21">
        <f t="shared" si="4"/>
        <v>483.28292872349539</v>
      </c>
      <c r="M13" s="21">
        <f t="shared" si="4"/>
        <v>499.9863302730746</v>
      </c>
      <c r="N13" s="21">
        <f t="shared" si="4"/>
        <v>410.9689329704488</v>
      </c>
      <c r="O13" s="21">
        <f t="shared" si="4"/>
        <v>322.17620977005117</v>
      </c>
      <c r="P13" s="21">
        <f t="shared" si="4"/>
        <v>360.65718851153406</v>
      </c>
      <c r="Q13" s="21">
        <f t="shared" si="4"/>
        <v>392.40688061599803</v>
      </c>
      <c r="R13" s="21">
        <f t="shared" si="4"/>
        <v>411.71888598835312</v>
      </c>
      <c r="S13" s="21">
        <f t="shared" si="4"/>
        <v>399.64535987695081</v>
      </c>
    </row>
    <row r="14" spans="1:19" ht="15" x14ac:dyDescent="0.2">
      <c r="B14" s="53"/>
      <c r="C14" s="53"/>
      <c r="D14" s="53"/>
      <c r="E14" s="53"/>
      <c r="F14" s="53"/>
      <c r="G14" s="53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</row>
    <row r="15" spans="1:19" s="7" customFormat="1" ht="15" x14ac:dyDescent="0.25">
      <c r="A15" s="16" t="s">
        <v>14</v>
      </c>
      <c r="B15" s="9"/>
      <c r="C15" s="9"/>
      <c r="D15" s="9"/>
      <c r="E15" s="27">
        <f t="shared" ref="E15:S15" si="5">E6/D6-1</f>
        <v>0.27963377846599724</v>
      </c>
      <c r="F15" s="27">
        <f t="shared" si="5"/>
        <v>0.2425221016942618</v>
      </c>
      <c r="G15" s="27">
        <f t="shared" si="5"/>
        <v>6.4084079789603177E-2</v>
      </c>
      <c r="H15" s="27">
        <f t="shared" si="5"/>
        <v>5.6757922690998219E-2</v>
      </c>
      <c r="I15" s="55">
        <f t="shared" si="5"/>
        <v>-9.6579922797290774E-4</v>
      </c>
      <c r="J15" s="55">
        <f t="shared" si="5"/>
        <v>2.786272511043153E-2</v>
      </c>
      <c r="K15" s="55">
        <f t="shared" si="5"/>
        <v>2.793388429752075E-2</v>
      </c>
      <c r="L15" s="55">
        <f t="shared" si="5"/>
        <v>4.0360186525164821E-2</v>
      </c>
      <c r="M15" s="55">
        <f t="shared" si="5"/>
        <v>2.0401854714064971E-2</v>
      </c>
      <c r="N15" s="55">
        <f t="shared" si="5"/>
        <v>2.1508633747349348E-2</v>
      </c>
      <c r="O15" s="55">
        <f t="shared" si="5"/>
        <v>2.9952550415183854E-2</v>
      </c>
      <c r="P15" s="55">
        <f t="shared" si="5"/>
        <v>2.3322775698243703E-2</v>
      </c>
      <c r="Q15" s="55">
        <f t="shared" si="5"/>
        <v>2.8418683173888626E-2</v>
      </c>
      <c r="R15" s="55">
        <f t="shared" si="5"/>
        <v>2.2161422708618428E-2</v>
      </c>
      <c r="S15" s="55">
        <f t="shared" si="5"/>
        <v>2.7034261241970059E-2</v>
      </c>
    </row>
    <row r="16" spans="1:19" s="7" customFormat="1" ht="15" x14ac:dyDescent="0.25">
      <c r="A16" s="16" t="s">
        <v>15</v>
      </c>
      <c r="B16" s="28"/>
      <c r="C16" s="28"/>
      <c r="D16" s="28"/>
      <c r="E16" s="27">
        <f t="shared" ref="E16:S16" si="6">E9/D9-1</f>
        <v>0.25821597790247219</v>
      </c>
      <c r="F16" s="27">
        <f t="shared" si="6"/>
        <v>0.16717429640876991</v>
      </c>
      <c r="G16" s="27">
        <f t="shared" si="6"/>
        <v>6.5730037814738518E-2</v>
      </c>
      <c r="H16" s="27">
        <f t="shared" si="6"/>
        <v>2.9903754980156627E-2</v>
      </c>
      <c r="I16" s="55">
        <f t="shared" si="6"/>
        <v>2.0936712948710579E-2</v>
      </c>
      <c r="J16" s="55">
        <f t="shared" si="6"/>
        <v>1.4895445374857541E-2</v>
      </c>
      <c r="K16" s="55">
        <f t="shared" si="6"/>
        <v>2.4756657028659701E-2</v>
      </c>
      <c r="L16" s="55">
        <f t="shared" si="6"/>
        <v>2.4627496058597265E-2</v>
      </c>
      <c r="M16" s="55">
        <f t="shared" si="6"/>
        <v>2.5483558223997838E-2</v>
      </c>
      <c r="N16" s="55">
        <f t="shared" si="6"/>
        <v>2.5504188753789236E-2</v>
      </c>
      <c r="O16" s="55">
        <f t="shared" si="6"/>
        <v>2.5370784502338983E-2</v>
      </c>
      <c r="P16" s="55">
        <f t="shared" si="6"/>
        <v>2.5549098558242944E-2</v>
      </c>
      <c r="Q16" s="55">
        <f t="shared" si="6"/>
        <v>2.5569430420804506E-2</v>
      </c>
      <c r="R16" s="55">
        <f t="shared" si="6"/>
        <v>2.5446903613682847E-2</v>
      </c>
      <c r="S16" s="55">
        <f t="shared" si="6"/>
        <v>2.5613397722972664E-2</v>
      </c>
    </row>
    <row r="18" spans="1:19" s="7" customFormat="1" ht="15.75" thickBot="1" x14ac:dyDescent="0.3">
      <c r="A18" s="40" t="s">
        <v>31</v>
      </c>
      <c r="B18" s="41"/>
      <c r="C18" s="41"/>
      <c r="D18" s="41"/>
      <c r="E18" s="41"/>
      <c r="F18" s="41"/>
      <c r="G18" s="41"/>
      <c r="H18" s="41"/>
      <c r="I18" s="41"/>
      <c r="J18" s="42"/>
      <c r="K18" s="42"/>
      <c r="L18" s="42"/>
      <c r="M18" s="42"/>
      <c r="N18" s="42"/>
      <c r="O18" s="42"/>
      <c r="P18" s="42"/>
      <c r="Q18" s="42"/>
      <c r="R18" s="42"/>
      <c r="S18" s="42"/>
    </row>
    <row r="19" spans="1:19" ht="16.5" thickTop="1" thickBot="1" x14ac:dyDescent="0.3">
      <c r="A19" s="5" t="s">
        <v>32</v>
      </c>
      <c r="B19" s="43">
        <v>2018</v>
      </c>
      <c r="C19" s="43">
        <v>2019</v>
      </c>
      <c r="D19" s="43">
        <v>2020</v>
      </c>
      <c r="E19" s="43">
        <v>2021</v>
      </c>
      <c r="F19" s="43">
        <v>2022</v>
      </c>
      <c r="G19" s="43">
        <v>2023</v>
      </c>
      <c r="H19" s="43">
        <v>2024</v>
      </c>
      <c r="I19" s="52">
        <v>2025</v>
      </c>
      <c r="J19" s="52">
        <v>2026</v>
      </c>
      <c r="K19" s="52">
        <v>2027</v>
      </c>
      <c r="L19" s="52">
        <v>2028</v>
      </c>
      <c r="M19" s="52">
        <v>2029</v>
      </c>
      <c r="N19" s="52">
        <v>2030</v>
      </c>
      <c r="O19" s="52">
        <v>2031</v>
      </c>
      <c r="P19" s="52">
        <v>2032</v>
      </c>
      <c r="Q19" s="52">
        <v>2033</v>
      </c>
      <c r="R19" s="52">
        <v>2034</v>
      </c>
      <c r="S19" s="52">
        <v>2035</v>
      </c>
    </row>
    <row r="20" spans="1:19" x14ac:dyDescent="0.2">
      <c r="A20" s="19" t="s">
        <v>2</v>
      </c>
      <c r="B20" s="20">
        <f>'[3]Jet Fuel'!B5*1000+'[4]Jet Fuel'!E5</f>
        <v>8541</v>
      </c>
      <c r="C20" s="20">
        <f>'[3]Jet Fuel'!C5*1000+'[4]Jet Fuel'!F5</f>
        <v>6713.5347299999994</v>
      </c>
      <c r="D20" s="20">
        <f>'[3]Jet Fuel'!D5*1000+'[4]Jet Fuel'!G5</f>
        <v>7170.4035800000001</v>
      </c>
      <c r="E20" s="20">
        <f>'[3]Jet Fuel'!E5*1000+'[4]Jet Fuel'!H5</f>
        <v>9744.3760000000002</v>
      </c>
      <c r="F20" s="20">
        <f>'[3]Jet Fuel'!F5*1000+'[4]Jet Fuel'!I5</f>
        <v>7396.9169999999995</v>
      </c>
      <c r="G20" s="20">
        <f>'[3]Jet Fuel'!G5*1000+'[4]Jet Fuel'!J5</f>
        <v>7572.2540000000008</v>
      </c>
      <c r="H20" s="20">
        <f>'[3]Jet Fuel'!H5*1000+'[4]Jet Fuel'!K5</f>
        <v>8099.2240000000002</v>
      </c>
      <c r="I20" s="20">
        <f>'[3]Jet Fuel'!I5*1000+'[4]Jet Fuel'!L5</f>
        <v>8341.9138333333321</v>
      </c>
      <c r="J20" s="20">
        <f>'[3]Jet Fuel'!J5*1000+'[4]Jet Fuel'!M5</f>
        <v>9772.4245574684355</v>
      </c>
      <c r="K20" s="20">
        <f>'[3]Jet Fuel'!K5*1000+'[4]Jet Fuel'!N5</f>
        <v>11173.877954275553</v>
      </c>
      <c r="L20" s="20">
        <f>'[3]Jet Fuel'!L5*1000+'[4]Jet Fuel'!O5</f>
        <v>12397.633229436895</v>
      </c>
      <c r="M20" s="20">
        <f>'[3]Jet Fuel'!M5*1000+'[4]Jet Fuel'!P5</f>
        <v>13926.162150441436</v>
      </c>
      <c r="N20" s="20">
        <f>'[3]Jet Fuel'!N5*1000+'[4]Jet Fuel'!Q5</f>
        <v>15476.195095129235</v>
      </c>
      <c r="O20" s="20">
        <f>'[3]Jet Fuel'!O5*1000+'[4]Jet Fuel'!R5</f>
        <v>17016.617341442437</v>
      </c>
      <c r="P20" s="20">
        <f>'[3]Jet Fuel'!P5*1000+'[4]Jet Fuel'!S5</f>
        <v>18601.952996989185</v>
      </c>
      <c r="Q20" s="20">
        <f>'[3]Jet Fuel'!Q5*1000+'[4]Jet Fuel'!T5</f>
        <v>20216.860704684481</v>
      </c>
      <c r="R20" s="20">
        <f>'[3]Jet Fuel'!R5*1000+'[4]Jet Fuel'!U5</f>
        <v>21871.213760991071</v>
      </c>
      <c r="S20" s="20">
        <f>'[3]Jet Fuel'!S5*1000+'[4]Jet Fuel'!V5</f>
        <v>23601.307224298631</v>
      </c>
    </row>
    <row r="21" spans="1:19" x14ac:dyDescent="0.2">
      <c r="A21" s="19" t="s">
        <v>24</v>
      </c>
      <c r="B21" s="20">
        <f>'[3]Jet Fuel'!B6*1000+'[4]Jet Fuel'!E6</f>
        <v>34276.949999999997</v>
      </c>
      <c r="C21" s="20">
        <f>'[3]Jet Fuel'!C6*1000+'[4]Jet Fuel'!F6</f>
        <v>34205.616000000002</v>
      </c>
      <c r="D21" s="20">
        <f>'[3]Jet Fuel'!D6*1000+'[4]Jet Fuel'!G6</f>
        <v>14743.554</v>
      </c>
      <c r="E21" s="20">
        <f>'[3]Jet Fuel'!E6*1000+'[4]Jet Fuel'!H6</f>
        <v>14234.073</v>
      </c>
      <c r="F21" s="20">
        <f>'[3]Jet Fuel'!F6*1000+'[4]Jet Fuel'!I6</f>
        <v>24736.677</v>
      </c>
      <c r="G21" s="20">
        <f>'[3]Jet Fuel'!G6*1000+'[4]Jet Fuel'!J6</f>
        <v>28987.418000000001</v>
      </c>
      <c r="H21" s="20">
        <f>'[3]Jet Fuel'!H6*1000+'[4]Jet Fuel'!K6</f>
        <v>31155.878000000001</v>
      </c>
      <c r="I21" s="20">
        <f>'[3]Jet Fuel'!I6*1000+'[4]Jet Fuel'!L6</f>
        <v>25009.925746666668</v>
      </c>
      <c r="J21" s="20">
        <f>'[3]Jet Fuel'!J6*1000+'[4]Jet Fuel'!M6</f>
        <v>23847.957622604445</v>
      </c>
      <c r="K21" s="20">
        <f>'[3]Jet Fuel'!K6*1000+'[4]Jet Fuel'!N6</f>
        <v>25182.253626322177</v>
      </c>
      <c r="L21" s="20">
        <f>'[3]Jet Fuel'!L6*1000+'[4]Jet Fuel'!O6</f>
        <v>26791.987796458179</v>
      </c>
      <c r="M21" s="20">
        <f>'[3]Jet Fuel'!M6*1000+'[4]Jet Fuel'!P6</f>
        <v>27181.531129725412</v>
      </c>
      <c r="N21" s="20">
        <f>'[3]Jet Fuel'!N6*1000+'[4]Jet Fuel'!Q6</f>
        <v>26883.911144951329</v>
      </c>
      <c r="O21" s="20">
        <f>'[3]Jet Fuel'!O6*1000+'[4]Jet Fuel'!R6</f>
        <v>26181.519367375578</v>
      </c>
      <c r="P21" s="20">
        <f>'[3]Jet Fuel'!P6*1000+'[4]Jet Fuel'!S6</f>
        <v>26386.646941945932</v>
      </c>
      <c r="Q21" s="20">
        <f>'[3]Jet Fuel'!Q6*1000+'[4]Jet Fuel'!T6</f>
        <v>26819.890072841914</v>
      </c>
      <c r="R21" s="20">
        <f>'[3]Jet Fuel'!R6*1000+'[4]Jet Fuel'!U6</f>
        <v>27103.23118753143</v>
      </c>
      <c r="S21" s="20">
        <f>'[3]Jet Fuel'!S6*1000+'[4]Jet Fuel'!V6</f>
        <v>27165.787639067144</v>
      </c>
    </row>
    <row r="22" spans="1:19" x14ac:dyDescent="0.2">
      <c r="A22" s="19" t="s">
        <v>25</v>
      </c>
      <c r="B22" s="20">
        <f>'[3]Jet Fuel'!B7*1000+'[4]Jet Fuel'!E7</f>
        <v>36398.14</v>
      </c>
      <c r="C22" s="20">
        <f>'[3]Jet Fuel'!C7*1000+'[4]Jet Fuel'!F7</f>
        <v>37096.065000000002</v>
      </c>
      <c r="D22" s="20">
        <f>'[3]Jet Fuel'!D7*1000+'[4]Jet Fuel'!G7</f>
        <v>23228.17</v>
      </c>
      <c r="E22" s="20">
        <f>'[3]Jet Fuel'!E7*1000+'[4]Jet Fuel'!H7</f>
        <v>23282.340000000004</v>
      </c>
      <c r="F22" s="20">
        <f>'[3]Jet Fuel'!F7*1000+'[4]Jet Fuel'!I7</f>
        <v>32541.846000000001</v>
      </c>
      <c r="G22" s="20">
        <f>'[3]Jet Fuel'!G7*1000+'[4]Jet Fuel'!J7</f>
        <v>35050.501000000004</v>
      </c>
      <c r="H22" s="20">
        <f>'[3]Jet Fuel'!H7*1000+'[4]Jet Fuel'!K7</f>
        <v>37339.003666666671</v>
      </c>
      <c r="I22" s="20">
        <f>'[3]Jet Fuel'!I7*1000+'[4]Jet Fuel'!L7</f>
        <v>34559.791981111113</v>
      </c>
      <c r="J22" s="20">
        <f>'[3]Jet Fuel'!J7*1000+'[4]Jet Fuel'!M7</f>
        <v>34107.72511595297</v>
      </c>
      <c r="K22" s="20">
        <f>'[3]Jet Fuel'!K7*1000+'[4]Jet Fuel'!N7</f>
        <v>35263.712338160854</v>
      </c>
      <c r="L22" s="20">
        <f>'[3]Jet Fuel'!L7*1000+'[4]Jet Fuel'!O7</f>
        <v>36374.612397714547</v>
      </c>
      <c r="M22" s="20">
        <f>'[3]Jet Fuel'!M7*1000+'[4]Jet Fuel'!P7</f>
        <v>36633.988309946755</v>
      </c>
      <c r="N22" s="20">
        <f>'[3]Jet Fuel'!N7*1000+'[4]Jet Fuel'!Q7</f>
        <v>36824.568580058214</v>
      </c>
      <c r="O22" s="20">
        <f>'[3]Jet Fuel'!O7*1000+'[4]Jet Fuel'!R7</f>
        <v>36768.837998475385</v>
      </c>
      <c r="P22" s="20">
        <f>'[3]Jet Fuel'!P7*1000+'[4]Jet Fuel'!S7</f>
        <v>37167.831166408359</v>
      </c>
      <c r="Q22" s="20">
        <f>'[3]Jet Fuel'!Q7*1000+'[4]Jet Fuel'!T7</f>
        <v>37709.499781645893</v>
      </c>
      <c r="R22" s="20">
        <f>'[3]Jet Fuel'!R7*1000+'[4]Jet Fuel'!U7</f>
        <v>38149.636537772734</v>
      </c>
      <c r="S22" s="20">
        <f>'[3]Jet Fuel'!S7*1000+'[4]Jet Fuel'!V7</f>
        <v>38478.857058914837</v>
      </c>
    </row>
    <row r="23" spans="1:19" ht="15" x14ac:dyDescent="0.2">
      <c r="A23" s="19" t="s">
        <v>26</v>
      </c>
      <c r="B23" s="20">
        <f>SUM(B20:B22)</f>
        <v>79216.09</v>
      </c>
      <c r="C23" s="20">
        <f t="shared" ref="C23:S23" si="7">SUM(C20:C22)</f>
        <v>78015.215729999996</v>
      </c>
      <c r="D23" s="20">
        <f t="shared" si="7"/>
        <v>45142.12758</v>
      </c>
      <c r="E23" s="20">
        <f t="shared" si="7"/>
        <v>47260.789000000004</v>
      </c>
      <c r="F23" s="20">
        <f t="shared" si="7"/>
        <v>64675.44</v>
      </c>
      <c r="G23" s="20">
        <f t="shared" si="7"/>
        <v>71610.17300000001</v>
      </c>
      <c r="H23" s="20">
        <f t="shared" si="7"/>
        <v>76594.10566666667</v>
      </c>
      <c r="I23" s="21">
        <f t="shared" si="7"/>
        <v>67911.631561111106</v>
      </c>
      <c r="J23" s="21">
        <f t="shared" si="7"/>
        <v>67728.107296025846</v>
      </c>
      <c r="K23" s="21">
        <f t="shared" si="7"/>
        <v>71619.84391875859</v>
      </c>
      <c r="L23" s="21">
        <f t="shared" si="7"/>
        <v>75564.233423609621</v>
      </c>
      <c r="M23" s="21">
        <f t="shared" si="7"/>
        <v>77741.6815901136</v>
      </c>
      <c r="N23" s="21">
        <f t="shared" si="7"/>
        <v>79184.674820138782</v>
      </c>
      <c r="O23" s="21">
        <f t="shared" si="7"/>
        <v>79966.974707293397</v>
      </c>
      <c r="P23" s="21">
        <f t="shared" si="7"/>
        <v>82156.431105343479</v>
      </c>
      <c r="Q23" s="21">
        <f t="shared" si="7"/>
        <v>84746.250559172287</v>
      </c>
      <c r="R23" s="21">
        <f t="shared" si="7"/>
        <v>87124.081486295239</v>
      </c>
      <c r="S23" s="21">
        <f t="shared" si="7"/>
        <v>89245.951922280612</v>
      </c>
    </row>
    <row r="24" spans="1:19" x14ac:dyDescent="0.2">
      <c r="A24" s="19" t="s">
        <v>27</v>
      </c>
      <c r="B24" s="20">
        <f>'[3]Jet Fuel'!B9*1000+'[4]Jet Fuel'!E9</f>
        <v>51314.144</v>
      </c>
      <c r="C24" s="20">
        <f>'[3]Jet Fuel'!C9*1000+'[4]Jet Fuel'!F9</f>
        <v>51793.256999999998</v>
      </c>
      <c r="D24" s="20">
        <f>'[3]Jet Fuel'!D9*1000+'[4]Jet Fuel'!G9</f>
        <v>22280.612999999998</v>
      </c>
      <c r="E24" s="20">
        <f>'[3]Jet Fuel'!E9*1000+'[4]Jet Fuel'!H9</f>
        <v>25953.893</v>
      </c>
      <c r="F24" s="20">
        <f>'[3]Jet Fuel'!F9*1000+'[4]Jet Fuel'!I9</f>
        <v>41186.688999999998</v>
      </c>
      <c r="G24" s="20">
        <f>'[3]Jet Fuel'!G9*1000+'[4]Jet Fuel'!J9</f>
        <v>45665.255044038444</v>
      </c>
      <c r="H24" s="20">
        <f>'[3]Jet Fuel'!H9*1000+'[4]Jet Fuel'!K9</f>
        <v>48375.570973139096</v>
      </c>
      <c r="I24" s="20">
        <f>'[3]Jet Fuel'!I9*1000+'[4]Jet Fuel'!L9</f>
        <v>49729.81857472079</v>
      </c>
      <c r="J24" s="20">
        <f>'[3]Jet Fuel'!J9*1000+'[4]Jet Fuel'!M9</f>
        <v>51092.394035386758</v>
      </c>
      <c r="K24" s="20">
        <f>'[3]Jet Fuel'!K9*1000+'[4]Jet Fuel'!N9</f>
        <v>52114.919415253098</v>
      </c>
      <c r="L24" s="20">
        <f>'[3]Jet Fuel'!L9*1000+'[4]Jet Fuel'!O9</f>
        <v>53494.831221682747</v>
      </c>
      <c r="M24" s="20">
        <f>'[3]Jet Fuel'!M9*1000+'[4]Jet Fuel'!P9</f>
        <v>54535.161028648385</v>
      </c>
      <c r="N24" s="20">
        <f>'[3]Jet Fuel'!N9*1000+'[4]Jet Fuel'!Q9</f>
        <v>55584.75518962981</v>
      </c>
      <c r="O24" s="20">
        <f>'[3]Jet Fuel'!O9*1000+'[4]Jet Fuel'!R9</f>
        <v>53971.242436244858</v>
      </c>
      <c r="P24" s="20">
        <f>'[3]Jet Fuel'!P9*1000+'[4]Jet Fuel'!S9</f>
        <v>54710.8865013502</v>
      </c>
      <c r="Q24" s="20">
        <f>'[3]Jet Fuel'!Q9*1000+'[4]Jet Fuel'!T9</f>
        <v>55347.592649576429</v>
      </c>
      <c r="R24" s="20">
        <f>'[3]Jet Fuel'!R9*1000+'[4]Jet Fuel'!U9</f>
        <v>55920.903442434574</v>
      </c>
      <c r="S24" s="20">
        <f>'[3]Jet Fuel'!S9*1000+'[4]Jet Fuel'!V9</f>
        <v>56360.713094883511</v>
      </c>
    </row>
    <row r="25" spans="1:19" x14ac:dyDescent="0.2">
      <c r="A25" s="19" t="s">
        <v>7</v>
      </c>
      <c r="B25" s="20">
        <f>'[3]Jet Fuel'!B10*1000+'[4]Jet Fuel'!E10</f>
        <v>18798.27</v>
      </c>
      <c r="C25" s="20">
        <f>'[3]Jet Fuel'!C10*1000+'[4]Jet Fuel'!F10</f>
        <v>17149.175999999999</v>
      </c>
      <c r="D25" s="20">
        <f>'[3]Jet Fuel'!D10*1000+'[4]Jet Fuel'!G10</f>
        <v>12921.780999999999</v>
      </c>
      <c r="E25" s="20">
        <f>'[3]Jet Fuel'!E10*1000+'[4]Jet Fuel'!H10</f>
        <v>13234.868999999999</v>
      </c>
      <c r="F25" s="20">
        <f>'[3]Jet Fuel'!F10*1000+'[4]Jet Fuel'!I10</f>
        <v>15389.898999999998</v>
      </c>
      <c r="G25" s="20">
        <f>'[3]Jet Fuel'!G10*1000+'[4]Jet Fuel'!J10</f>
        <v>16724.815999999999</v>
      </c>
      <c r="H25" s="20">
        <f>'[3]Jet Fuel'!H10*1000+'[4]Jet Fuel'!K10</f>
        <v>18860.000166666669</v>
      </c>
      <c r="I25" s="20">
        <f>'[3]Jet Fuel'!I10*1000+'[4]Jet Fuel'!L10</f>
        <v>15928.981654444446</v>
      </c>
      <c r="J25" s="20">
        <f>'[3]Jet Fuel'!J10*1000+'[4]Jet Fuel'!M10</f>
        <v>15730.776889605184</v>
      </c>
      <c r="K25" s="20">
        <f>'[3]Jet Fuel'!K10*1000+'[4]Jet Fuel'!N10</f>
        <v>16183.356753197055</v>
      </c>
      <c r="L25" s="20">
        <f>'[3]Jet Fuel'!L10*1000+'[4]Jet Fuel'!O10</f>
        <v>16649.900937201332</v>
      </c>
      <c r="M25" s="20">
        <f>'[3]Jet Fuel'!M10*1000+'[4]Jet Fuel'!P10</f>
        <v>16821.161804951709</v>
      </c>
      <c r="N25" s="20">
        <f>'[3]Jet Fuel'!N10*1000+'[4]Jet Fuel'!Q10</f>
        <v>16846.182058705675</v>
      </c>
      <c r="O25" s="20">
        <f>'[3]Jet Fuel'!O10*1000+'[4]Jet Fuel'!R10</f>
        <v>16514.608821036596</v>
      </c>
      <c r="P25" s="20">
        <f>'[3]Jet Fuel'!P10*1000+'[4]Jet Fuel'!S10</f>
        <v>16616.386166528468</v>
      </c>
      <c r="Q25" s="20">
        <f>'[3]Jet Fuel'!Q10*1000+'[4]Jet Fuel'!T10</f>
        <v>16768.27319648748</v>
      </c>
      <c r="R25" s="20">
        <f>'[3]Jet Fuel'!R10*1000+'[4]Jet Fuel'!U10</f>
        <v>16870.160462237087</v>
      </c>
      <c r="S25" s="20">
        <f>'[3]Jet Fuel'!S10*1000+'[4]Jet Fuel'!V10</f>
        <v>16911.39040712468</v>
      </c>
    </row>
    <row r="26" spans="1:19" ht="15" x14ac:dyDescent="0.2">
      <c r="A26" s="19" t="s">
        <v>28</v>
      </c>
      <c r="B26" s="20">
        <f>SUM(B24:B25)</f>
        <v>70112.414000000004</v>
      </c>
      <c r="C26" s="20">
        <f t="shared" ref="C26:S26" si="8">SUM(C24:C25)</f>
        <v>68942.43299999999</v>
      </c>
      <c r="D26" s="20">
        <f t="shared" si="8"/>
        <v>35202.394</v>
      </c>
      <c r="E26" s="20">
        <f t="shared" si="8"/>
        <v>39188.762000000002</v>
      </c>
      <c r="F26" s="20">
        <f t="shared" si="8"/>
        <v>56576.587999999996</v>
      </c>
      <c r="G26" s="20">
        <f t="shared" si="8"/>
        <v>62390.071044038443</v>
      </c>
      <c r="H26" s="20">
        <f t="shared" si="8"/>
        <v>67235.571139805761</v>
      </c>
      <c r="I26" s="21">
        <f t="shared" si="8"/>
        <v>65658.800229165237</v>
      </c>
      <c r="J26" s="21">
        <f t="shared" si="8"/>
        <v>66823.170924991937</v>
      </c>
      <c r="K26" s="21">
        <f t="shared" si="8"/>
        <v>68298.27616845016</v>
      </c>
      <c r="L26" s="21">
        <f t="shared" si="8"/>
        <v>70144.732158884086</v>
      </c>
      <c r="M26" s="21">
        <f t="shared" si="8"/>
        <v>71356.32283360009</v>
      </c>
      <c r="N26" s="21">
        <f t="shared" si="8"/>
        <v>72430.937248335482</v>
      </c>
      <c r="O26" s="21">
        <f t="shared" si="8"/>
        <v>70485.851257281451</v>
      </c>
      <c r="P26" s="21">
        <f t="shared" si="8"/>
        <v>71327.272667878671</v>
      </c>
      <c r="Q26" s="21">
        <f t="shared" si="8"/>
        <v>72115.865846063913</v>
      </c>
      <c r="R26" s="21">
        <f t="shared" si="8"/>
        <v>72791.063904671668</v>
      </c>
      <c r="S26" s="21">
        <f t="shared" si="8"/>
        <v>73272.103502008191</v>
      </c>
    </row>
    <row r="27" spans="1:19" x14ac:dyDescent="0.2">
      <c r="A27" s="19" t="s">
        <v>9</v>
      </c>
      <c r="B27" s="20">
        <f>'[3]Jet Fuel'!B12*1000+'[4]Jet Fuel'!E12</f>
        <v>6698.9117299999998</v>
      </c>
      <c r="C27" s="20">
        <f>'[3]Jet Fuel'!C12*1000+'[4]Jet Fuel'!F12</f>
        <v>7172.4275800000005</v>
      </c>
      <c r="D27" s="20">
        <f>'[3]Jet Fuel'!D12*1000+'[4]Jet Fuel'!G12</f>
        <v>9744.2960000000003</v>
      </c>
      <c r="E27" s="20">
        <f>'[3]Jet Fuel'!E12*1000+'[4]Jet Fuel'!H12</f>
        <v>7396.915</v>
      </c>
      <c r="F27" s="20">
        <f>'[3]Jet Fuel'!F12*1000+'[4]Jet Fuel'!I12</f>
        <v>7572.2540000000008</v>
      </c>
      <c r="G27" s="20">
        <f>'[3]Jet Fuel'!G12*1000+'[4]Jet Fuel'!J12</f>
        <v>8099.2240000000002</v>
      </c>
      <c r="H27" s="20">
        <f>'[3]Jet Fuel'!H12*1000+'[4]Jet Fuel'!K12</f>
        <v>8341.9138333333321</v>
      </c>
      <c r="I27" s="20">
        <f>'[3]Jet Fuel'!I12*1000+'[4]Jet Fuel'!L12</f>
        <v>9772.4245574684355</v>
      </c>
      <c r="J27" s="20">
        <f>'[3]Jet Fuel'!J12*1000+'[4]Jet Fuel'!M12</f>
        <v>11173.877954275553</v>
      </c>
      <c r="K27" s="20">
        <f>'[3]Jet Fuel'!K12*1000+'[4]Jet Fuel'!N12</f>
        <v>12397.633229436895</v>
      </c>
      <c r="L27" s="20">
        <f>'[3]Jet Fuel'!L12*1000+'[4]Jet Fuel'!O12</f>
        <v>13926.162150441436</v>
      </c>
      <c r="M27" s="20">
        <f>'[3]Jet Fuel'!M12*1000+'[4]Jet Fuel'!P12</f>
        <v>15476.195095129235</v>
      </c>
      <c r="N27" s="20">
        <f>'[3]Jet Fuel'!N12*1000+'[4]Jet Fuel'!Q12</f>
        <v>17016.617341442437</v>
      </c>
      <c r="O27" s="20">
        <f>'[3]Jet Fuel'!O12*1000+'[4]Jet Fuel'!R12</f>
        <v>18601.952996989185</v>
      </c>
      <c r="P27" s="20">
        <f>'[3]Jet Fuel'!P12*1000+'[4]Jet Fuel'!S12</f>
        <v>20216.860704684481</v>
      </c>
      <c r="Q27" s="20">
        <f>'[3]Jet Fuel'!Q12*1000+'[4]Jet Fuel'!T12</f>
        <v>21871.213760991071</v>
      </c>
      <c r="R27" s="20">
        <f>'[3]Jet Fuel'!R12*1000+'[4]Jet Fuel'!U12</f>
        <v>23601.307224298631</v>
      </c>
      <c r="S27" s="20">
        <f>'[3]Jet Fuel'!S12*1000+'[4]Jet Fuel'!V12</f>
        <v>25369.076189107338</v>
      </c>
    </row>
    <row r="28" spans="1:19" ht="15" x14ac:dyDescent="0.2">
      <c r="A28" s="19" t="s">
        <v>33</v>
      </c>
      <c r="B28" s="20">
        <f>B25-B22</f>
        <v>-17599.87</v>
      </c>
      <c r="C28" s="20">
        <f t="shared" ref="C28:S28" si="9">C25-C22</f>
        <v>-19946.889000000003</v>
      </c>
      <c r="D28" s="20">
        <f t="shared" si="9"/>
        <v>-10306.388999999999</v>
      </c>
      <c r="E28" s="20">
        <f t="shared" si="9"/>
        <v>-10047.471000000005</v>
      </c>
      <c r="F28" s="20">
        <f t="shared" si="9"/>
        <v>-17151.947000000004</v>
      </c>
      <c r="G28" s="20">
        <f t="shared" si="9"/>
        <v>-18325.685000000005</v>
      </c>
      <c r="H28" s="20">
        <f t="shared" si="9"/>
        <v>-18479.003500000003</v>
      </c>
      <c r="I28" s="21">
        <f t="shared" si="9"/>
        <v>-18630.810326666666</v>
      </c>
      <c r="J28" s="21">
        <f t="shared" si="9"/>
        <v>-18376.948226347784</v>
      </c>
      <c r="K28" s="21">
        <f t="shared" si="9"/>
        <v>-19080.3555849638</v>
      </c>
      <c r="L28" s="21">
        <f t="shared" si="9"/>
        <v>-19724.711460513216</v>
      </c>
      <c r="M28" s="21">
        <f t="shared" si="9"/>
        <v>-19812.826504995046</v>
      </c>
      <c r="N28" s="21">
        <f t="shared" si="9"/>
        <v>-19978.386521352539</v>
      </c>
      <c r="O28" s="21">
        <f t="shared" si="9"/>
        <v>-20254.229177438789</v>
      </c>
      <c r="P28" s="21">
        <f t="shared" si="9"/>
        <v>-20551.444999879892</v>
      </c>
      <c r="Q28" s="21">
        <f t="shared" si="9"/>
        <v>-20941.226585158412</v>
      </c>
      <c r="R28" s="21">
        <f t="shared" si="9"/>
        <v>-21279.476075535647</v>
      </c>
      <c r="S28" s="21">
        <f t="shared" si="9"/>
        <v>-21567.466651790157</v>
      </c>
    </row>
    <row r="29" spans="1:19" ht="15" x14ac:dyDescent="0.2">
      <c r="B29" s="53"/>
      <c r="C29" s="53"/>
      <c r="D29" s="53"/>
      <c r="E29" s="53"/>
      <c r="F29" s="53"/>
      <c r="G29" s="53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</row>
    <row r="30" spans="1:19" s="7" customFormat="1" ht="15" x14ac:dyDescent="0.25">
      <c r="A30" s="16" t="s">
        <v>14</v>
      </c>
      <c r="B30" s="9"/>
      <c r="C30" s="9"/>
      <c r="D30" s="9"/>
      <c r="E30" s="27">
        <f>E21/D21-1</f>
        <v>-3.4556186384910981E-2</v>
      </c>
      <c r="F30" s="27">
        <f t="shared" ref="F30:S30" si="10">F21/E21-1</f>
        <v>0.73784952486895339</v>
      </c>
      <c r="G30" s="27">
        <f t="shared" si="10"/>
        <v>0.1718396128954589</v>
      </c>
      <c r="H30" s="27">
        <f t="shared" si="10"/>
        <v>7.4806938651797106E-2</v>
      </c>
      <c r="I30" s="55">
        <f t="shared" si="10"/>
        <v>-0.19726461418719554</v>
      </c>
      <c r="J30" s="55">
        <f t="shared" si="10"/>
        <v>-4.6460278844174141E-2</v>
      </c>
      <c r="K30" s="55">
        <f t="shared" si="10"/>
        <v>5.595011635097058E-2</v>
      </c>
      <c r="L30" s="55">
        <f t="shared" si="10"/>
        <v>6.3923356265993547E-2</v>
      </c>
      <c r="M30" s="55">
        <f t="shared" si="10"/>
        <v>1.453954578609995E-2</v>
      </c>
      <c r="N30" s="55">
        <f t="shared" si="10"/>
        <v>-1.0949345839043167E-2</v>
      </c>
      <c r="O30" s="55">
        <f t="shared" si="10"/>
        <v>-2.6126844929245219E-2</v>
      </c>
      <c r="P30" s="55">
        <f t="shared" si="10"/>
        <v>7.834823170192351E-3</v>
      </c>
      <c r="Q30" s="55">
        <f t="shared" si="10"/>
        <v>1.6419029361675719E-2</v>
      </c>
      <c r="R30" s="55">
        <f t="shared" si="10"/>
        <v>1.0564588964383281E-2</v>
      </c>
      <c r="S30" s="55">
        <f t="shared" si="10"/>
        <v>2.3080809480935383E-3</v>
      </c>
    </row>
    <row r="31" spans="1:19" s="7" customFormat="1" ht="15" x14ac:dyDescent="0.25">
      <c r="A31" s="16" t="s">
        <v>15</v>
      </c>
      <c r="B31" s="28"/>
      <c r="C31" s="28"/>
      <c r="D31" s="28"/>
      <c r="E31" s="27">
        <f t="shared" ref="E31:S31" si="11">E24/D24-1</f>
        <v>0.16486440476301101</v>
      </c>
      <c r="F31" s="27">
        <f t="shared" si="11"/>
        <v>0.58691757725902627</v>
      </c>
      <c r="G31" s="27">
        <f t="shared" si="11"/>
        <v>0.10873819073046742</v>
      </c>
      <c r="H31" s="27">
        <f t="shared" si="11"/>
        <v>5.9351818499357778E-2</v>
      </c>
      <c r="I31" s="55">
        <f t="shared" si="11"/>
        <v>2.7994452041375295E-2</v>
      </c>
      <c r="J31" s="55">
        <f t="shared" si="11"/>
        <v>2.7399566290768895E-2</v>
      </c>
      <c r="K31" s="55">
        <f t="shared" si="11"/>
        <v>2.0013260274281519E-2</v>
      </c>
      <c r="L31" s="55">
        <f t="shared" si="11"/>
        <v>2.6478248875998034E-2</v>
      </c>
      <c r="M31" s="55">
        <f t="shared" si="11"/>
        <v>1.9447295807972775E-2</v>
      </c>
      <c r="N31" s="55">
        <f t="shared" si="11"/>
        <v>1.9246191652942057E-2</v>
      </c>
      <c r="O31" s="55">
        <f t="shared" si="11"/>
        <v>-2.9027972649701916E-2</v>
      </c>
      <c r="P31" s="55">
        <f t="shared" si="11"/>
        <v>1.3704410566035552E-2</v>
      </c>
      <c r="Q31" s="55">
        <f t="shared" si="11"/>
        <v>1.1637649998789801E-2</v>
      </c>
      <c r="R31" s="55">
        <f t="shared" si="11"/>
        <v>1.0358369089112252E-2</v>
      </c>
      <c r="S31" s="55">
        <f t="shared" si="11"/>
        <v>7.864852414297685E-3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2D6F-72FB-4333-909D-9DBCF7DD33BB}">
  <dimension ref="A1:V14"/>
  <sheetViews>
    <sheetView zoomScaleNormal="100" workbookViewId="0">
      <pane xSplit="1" ySplit="2" topLeftCell="B3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ColWidth="8.85546875" defaultRowHeight="15" x14ac:dyDescent="0.25"/>
  <cols>
    <col min="1" max="1" width="38.140625" style="7" customWidth="1"/>
    <col min="2" max="6" width="9.5703125" style="28" customWidth="1"/>
    <col min="7" max="9" width="9.5703125" style="28" bestFit="1" customWidth="1"/>
    <col min="10" max="10" width="11" style="39" bestFit="1" customWidth="1"/>
    <col min="11" max="12" width="9.5703125" style="39" bestFit="1" customWidth="1"/>
    <col min="13" max="22" width="9.5703125" style="39" customWidth="1"/>
    <col min="23" max="16384" width="8.85546875" style="7"/>
  </cols>
  <sheetData>
    <row r="1" spans="1:22" ht="15.75" thickBot="1" x14ac:dyDescent="0.3">
      <c r="A1" s="40" t="s">
        <v>34</v>
      </c>
      <c r="B1" s="41"/>
      <c r="C1" s="41"/>
      <c r="D1" s="41"/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</row>
    <row r="2" spans="1:22" ht="15.75" thickTop="1" x14ac:dyDescent="0.25">
      <c r="A2" s="5" t="s">
        <v>1</v>
      </c>
      <c r="B2" s="34">
        <v>2015</v>
      </c>
      <c r="C2" s="34">
        <v>2016</v>
      </c>
      <c r="D2" s="34">
        <v>2017</v>
      </c>
      <c r="E2" s="34">
        <v>2018</v>
      </c>
      <c r="F2" s="34">
        <v>2019</v>
      </c>
      <c r="G2" s="34">
        <v>2020</v>
      </c>
      <c r="H2" s="34">
        <v>2021</v>
      </c>
      <c r="I2" s="34">
        <v>2022</v>
      </c>
      <c r="J2" s="34">
        <v>2023</v>
      </c>
      <c r="K2" s="34">
        <v>2024</v>
      </c>
      <c r="L2" s="34">
        <v>2025</v>
      </c>
      <c r="M2" s="34">
        <v>2026</v>
      </c>
      <c r="N2" s="34">
        <v>2027</v>
      </c>
      <c r="O2" s="34">
        <v>2028</v>
      </c>
      <c r="P2" s="34">
        <v>2029</v>
      </c>
      <c r="Q2" s="34">
        <v>2030</v>
      </c>
      <c r="R2" s="34">
        <v>2031</v>
      </c>
      <c r="S2" s="34">
        <v>2032</v>
      </c>
      <c r="T2" s="34">
        <v>2033</v>
      </c>
      <c r="U2" s="34">
        <v>2034</v>
      </c>
      <c r="V2" s="34">
        <v>2035</v>
      </c>
    </row>
    <row r="3" spans="1:22" ht="14.25" x14ac:dyDescent="0.2">
      <c r="A3" s="8" t="s">
        <v>2</v>
      </c>
      <c r="B3" s="9">
        <f>[1]Diesel!P$4+[2]Diesel!B$3</f>
        <v>6324.0119999999997</v>
      </c>
      <c r="C3" s="9">
        <f>[1]Diesel!Q$4+[2]Diesel!C$3</f>
        <v>7321.4713520000005</v>
      </c>
      <c r="D3" s="9">
        <f>[1]Diesel!R$4+[2]Diesel!D$3</f>
        <v>7458.3680720000002</v>
      </c>
      <c r="E3" s="9">
        <f>[1]Diesel!S$4+[2]Diesel!E$3</f>
        <v>6619.2511439999998</v>
      </c>
      <c r="F3" s="9">
        <f>[1]Diesel!T$4+[2]Diesel!F$3</f>
        <v>6410.6570760000004</v>
      </c>
      <c r="G3" s="9">
        <f>[1]Diesel!U$4+[2]Diesel!G$3</f>
        <v>6514.6438931960001</v>
      </c>
      <c r="H3" s="9">
        <f>[1]Diesel!V$4+[2]Diesel!H$3</f>
        <v>7423.6812816840002</v>
      </c>
      <c r="I3" s="9">
        <f>[1]Diesel!W$4+[2]Diesel!I$3</f>
        <v>6083.8629170160002</v>
      </c>
      <c r="J3" s="9">
        <f>[1]Diesel!X$4+[2]Diesel!J$3</f>
        <v>5605.0802744040002</v>
      </c>
      <c r="K3" s="9">
        <f>[1]Diesel!Y$4+[2]Diesel!K$3</f>
        <v>6160.9212178959997</v>
      </c>
      <c r="L3" s="9">
        <f>[1]Diesel!Z$4+[2]Diesel!L$3</f>
        <v>6125.8076744680002</v>
      </c>
      <c r="M3" s="9">
        <f>[1]Diesel!AA$4+[2]Diesel!M$3</f>
        <v>6562.6003821547029</v>
      </c>
      <c r="N3" s="9">
        <f>[1]Diesel!AB$4+[2]Diesel!N$3</f>
        <v>6564.489670581067</v>
      </c>
      <c r="O3" s="9">
        <f>[1]Diesel!AC$4+[2]Diesel!O$3</f>
        <v>6570.7599758182805</v>
      </c>
      <c r="P3" s="9">
        <f>[1]Diesel!AD$4+[2]Diesel!P$3</f>
        <v>6585.4287554208704</v>
      </c>
      <c r="Q3" s="9">
        <f>[1]Diesel!AE$4+[2]Diesel!Q$3</f>
        <v>6489.4954996227953</v>
      </c>
      <c r="R3" s="9">
        <f>[1]Diesel!AF$4+[2]Diesel!R$3</f>
        <v>6499.113979919488</v>
      </c>
      <c r="S3" s="9">
        <f>[1]Diesel!AG$4+[2]Diesel!S$3</f>
        <v>6506.8299241449477</v>
      </c>
      <c r="T3" s="9">
        <f>[1]Diesel!AH$4+[2]Diesel!T$3</f>
        <v>6565.7563832212218</v>
      </c>
      <c r="U3" s="9">
        <f>[1]Diesel!AI$4+[2]Diesel!U$3</f>
        <v>6575.236464161917</v>
      </c>
      <c r="V3" s="9">
        <f>[1]Diesel!AJ$4+[2]Diesel!V$3</f>
        <v>6583.6430189508173</v>
      </c>
    </row>
    <row r="4" spans="1:22" ht="14.25" x14ac:dyDescent="0.2">
      <c r="A4" s="8" t="s">
        <v>3</v>
      </c>
      <c r="B4" s="9">
        <f>[1]Diesel!P$5+[2]Diesel!B$4</f>
        <v>83806.709760000012</v>
      </c>
      <c r="C4" s="9">
        <f>[1]Diesel!Q$5+[2]Diesel!C$4</f>
        <v>81675.600327999986</v>
      </c>
      <c r="D4" s="9">
        <f>[1]Diesel!R$5+[2]Diesel!D$4</f>
        <v>85140.92356000001</v>
      </c>
      <c r="E4" s="9">
        <f>[1]Diesel!S$5+[2]Diesel!E$4</f>
        <v>87106.836932000006</v>
      </c>
      <c r="F4" s="9">
        <f>[1]Diesel!T$5+[2]Diesel!F$4</f>
        <v>89319.049858587998</v>
      </c>
      <c r="G4" s="9">
        <f>[1]Diesel!U$5+[2]Diesel!G$4</f>
        <v>83145.780738247995</v>
      </c>
      <c r="H4" s="9">
        <f>[1]Diesel!V$5+[2]Diesel!H$4</f>
        <v>81788.597254332009</v>
      </c>
      <c r="I4" s="9">
        <f>[1]Diesel!W$5+[2]Diesel!I$4</f>
        <v>87563.239554779997</v>
      </c>
      <c r="J4" s="9">
        <f>[1]Diesel!X$5+[2]Diesel!J$4</f>
        <v>85984.247382739995</v>
      </c>
      <c r="K4" s="9">
        <f>[1]Diesel!Y$5+[2]Diesel!K$4</f>
        <v>86806.114197912015</v>
      </c>
      <c r="L4" s="9">
        <f>[1]Diesel!Z$5+[2]Diesel!L$4</f>
        <v>88341.979328073372</v>
      </c>
      <c r="M4" s="9">
        <f>[1]Diesel!AA$5+[2]Diesel!M$4</f>
        <v>89671.624504376872</v>
      </c>
      <c r="N4" s="9">
        <f>[1]Diesel!AB$5+[2]Diesel!N$4</f>
        <v>90603.603293853856</v>
      </c>
      <c r="O4" s="9">
        <f>[1]Diesel!AC$5+[2]Diesel!O$4</f>
        <v>91137.957701541411</v>
      </c>
      <c r="P4" s="9">
        <f>[1]Diesel!AD$5+[2]Diesel!P$4</f>
        <v>91674.730488567351</v>
      </c>
      <c r="Q4" s="9">
        <f>[1]Diesel!AE$5+[2]Diesel!Q$4</f>
        <v>92213.965185759749</v>
      </c>
      <c r="R4" s="9">
        <f>[1]Diesel!AF$5+[2]Diesel!R$4</f>
        <v>92955.70610750161</v>
      </c>
      <c r="S4" s="9">
        <f>[1]Diesel!AG$5+[2]Diesel!S$4</f>
        <v>92699.998365834821</v>
      </c>
      <c r="T4" s="9">
        <f>[1]Diesel!AH$5+[2]Diesel!T$4</f>
        <v>92446.887884818047</v>
      </c>
      <c r="U4" s="9">
        <f>[1]Diesel!AI$5+[2]Diesel!U$4</f>
        <v>92196.421415142948</v>
      </c>
      <c r="V4" s="9">
        <f>[1]Diesel!AJ$5+[2]Diesel!V$4</f>
        <v>91948.64654901372</v>
      </c>
    </row>
    <row r="5" spans="1:22" ht="14.25" x14ac:dyDescent="0.2">
      <c r="A5" s="35" t="s">
        <v>4</v>
      </c>
      <c r="B5" s="38">
        <f>[1]Diesel!P$6+[2]Diesel!B$5</f>
        <v>3073.4760000000006</v>
      </c>
      <c r="C5" s="38">
        <f>[1]Diesel!Q$6+[2]Diesel!C$5</f>
        <v>2252.9639999999999</v>
      </c>
      <c r="D5" s="38">
        <f>[1]Diesel!R$6+[2]Diesel!D$5</f>
        <v>2660.2724128023397</v>
      </c>
      <c r="E5" s="38">
        <f>[1]Diesel!S$6+[2]Diesel!E$5</f>
        <v>3234.5915084436174</v>
      </c>
      <c r="F5" s="38">
        <f>[1]Diesel!T$6+[2]Diesel!F$5</f>
        <v>3472.5791396039995</v>
      </c>
      <c r="G5" s="38">
        <f>[1]Diesel!U$6+[2]Diesel!G$5</f>
        <v>3601.7429185959995</v>
      </c>
      <c r="H5" s="38">
        <f>[1]Diesel!V$6+[2]Diesel!H$5</f>
        <v>4741.1825773760002</v>
      </c>
      <c r="I5" s="38">
        <f>[1]Diesel!W$6+[2]Diesel!I$5</f>
        <v>3168.7889048520001</v>
      </c>
      <c r="J5" s="38">
        <f>[1]Diesel!X$6+[2]Diesel!J$5</f>
        <v>2818.0530871320002</v>
      </c>
      <c r="K5" s="38">
        <f>[1]Diesel!Y$6+[2]Diesel!K$5</f>
        <v>2420.0566164439997</v>
      </c>
      <c r="L5" s="38">
        <f>[1]Diesel!Z$6+[2]Diesel!L$5</f>
        <v>3148.0372208799999</v>
      </c>
      <c r="M5" s="38">
        <f>[1]Diesel!AA$6+[2]Diesel!M$5</f>
        <v>3131.6453213367995</v>
      </c>
      <c r="N5" s="38">
        <f>[1]Diesel!AB$6+[2]Diesel!N$5</f>
        <v>3181.9931941289601</v>
      </c>
      <c r="O5" s="38">
        <f>[1]Diesel!AC$6+[2]Diesel!O$5</f>
        <v>3237.4299083843521</v>
      </c>
      <c r="P5" s="38">
        <f>[1]Diesel!AD$6+[2]Diesel!P$5</f>
        <v>3269.1785946748223</v>
      </c>
      <c r="Q5" s="38">
        <f>[1]Diesel!AE$6+[2]Diesel!Q$5</f>
        <v>3268.2493645649865</v>
      </c>
      <c r="R5" s="38">
        <f>[1]Diesel!AF$6+[2]Diesel!R$5</f>
        <v>3232.9752449703842</v>
      </c>
      <c r="S5" s="38">
        <f>[1]Diesel!AG$6+[2]Diesel!S$5</f>
        <v>3086.559666532341</v>
      </c>
      <c r="T5" s="38">
        <f>[1]Diesel!AH$6+[2]Diesel!T$5</f>
        <v>3081.3468415317816</v>
      </c>
      <c r="U5" s="38">
        <f>[1]Diesel!AI$6+[2]Diesel!U$5</f>
        <v>3107.759416731908</v>
      </c>
      <c r="V5" s="38">
        <f>[1]Diesel!AJ$6+[2]Diesel!V$5</f>
        <v>3173.2799685710288</v>
      </c>
    </row>
    <row r="6" spans="1:22" x14ac:dyDescent="0.25">
      <c r="A6" s="13" t="s">
        <v>26</v>
      </c>
      <c r="B6" s="14">
        <f t="shared" ref="B6:T6" si="0">SUM(B3:B5)</f>
        <v>93204.19776000001</v>
      </c>
      <c r="C6" s="14">
        <f t="shared" si="0"/>
        <v>91250.035680000001</v>
      </c>
      <c r="D6" s="14">
        <f t="shared" si="0"/>
        <v>95259.564044802348</v>
      </c>
      <c r="E6" s="14">
        <f>SUM(E3:E5)</f>
        <v>96960.679584443613</v>
      </c>
      <c r="F6" s="14">
        <f t="shared" si="0"/>
        <v>99202.286074192001</v>
      </c>
      <c r="G6" s="14">
        <f t="shared" si="0"/>
        <v>93262.167550040002</v>
      </c>
      <c r="H6" s="14">
        <f t="shared" si="0"/>
        <v>93953.461113392012</v>
      </c>
      <c r="I6" s="14">
        <f t="shared" si="0"/>
        <v>96815.891376647996</v>
      </c>
      <c r="J6" s="14">
        <f t="shared" si="0"/>
        <v>94407.380744275986</v>
      </c>
      <c r="K6" s="14">
        <f t="shared" si="0"/>
        <v>95387.092032252011</v>
      </c>
      <c r="L6" s="15">
        <f t="shared" si="0"/>
        <v>97615.824223421369</v>
      </c>
      <c r="M6" s="15">
        <f t="shared" si="0"/>
        <v>99365.870207868371</v>
      </c>
      <c r="N6" s="15">
        <f t="shared" si="0"/>
        <v>100350.08615856388</v>
      </c>
      <c r="O6" s="15">
        <f t="shared" si="0"/>
        <v>100946.14758574404</v>
      </c>
      <c r="P6" s="15">
        <f t="shared" si="0"/>
        <v>101529.33783866305</v>
      </c>
      <c r="Q6" s="15">
        <f t="shared" si="0"/>
        <v>101971.71004994752</v>
      </c>
      <c r="R6" s="15">
        <f t="shared" si="0"/>
        <v>102687.79533239148</v>
      </c>
      <c r="S6" s="15">
        <f t="shared" si="0"/>
        <v>102293.3879565121</v>
      </c>
      <c r="T6" s="15">
        <f t="shared" si="0"/>
        <v>102093.99110957104</v>
      </c>
      <c r="U6" s="15">
        <f t="shared" ref="U6:V6" si="1">SUM(U3:U5)</f>
        <v>101879.41729603677</v>
      </c>
      <c r="V6" s="15">
        <f t="shared" si="1"/>
        <v>101705.56953653556</v>
      </c>
    </row>
    <row r="7" spans="1:22" ht="14.25" x14ac:dyDescent="0.2">
      <c r="A7" s="13" t="s">
        <v>35</v>
      </c>
      <c r="B7" s="14">
        <f>[1]Diesel!P$8+[2]Diesel!B$7</f>
        <v>68988.828632000004</v>
      </c>
      <c r="C7" s="14">
        <f>[1]Diesel!Q$8+[2]Diesel!C$7</f>
        <v>67233.871595999997</v>
      </c>
      <c r="D7" s="14">
        <f>[1]Diesel!R$8+[2]Diesel!D$7</f>
        <v>68522.624400000001</v>
      </c>
      <c r="E7" s="14">
        <f>[1]Diesel!S$8+[2]Diesel!E$7</f>
        <v>71359.568108000007</v>
      </c>
      <c r="F7" s="14">
        <f>[1]Diesel!T$8+[2]Diesel!F$7</f>
        <v>70435.273034600003</v>
      </c>
      <c r="G7" s="14">
        <f>[1]Diesel!U$8+[2]Diesel!G$7</f>
        <v>65245.938294284009</v>
      </c>
      <c r="H7" s="14">
        <f>[1]Diesel!V$8+[2]Diesel!H$7</f>
        <v>68256.882018523989</v>
      </c>
      <c r="I7" s="14">
        <f>[1]Diesel!W$8+[2]Diesel!I$7</f>
        <v>69443.095105884</v>
      </c>
      <c r="J7" s="14">
        <f>[1]Diesel!X$8+[2]Diesel!J$7</f>
        <v>67627.78817004399</v>
      </c>
      <c r="K7" s="14">
        <f>[1]Diesel!Y$8+[2]Diesel!K$7</f>
        <v>65874.762234617403</v>
      </c>
      <c r="L7" s="14">
        <f>[1]Diesel!Z$8+[2]Diesel!L$7</f>
        <v>69427.917106599023</v>
      </c>
      <c r="M7" s="14">
        <f>[1]Diesel!AA$8+[2]Diesel!M$7</f>
        <v>70631.581931875102</v>
      </c>
      <c r="N7" s="14">
        <f>[1]Diesel!AB$8+[2]Diesel!N$7</f>
        <v>71227.197303144421</v>
      </c>
      <c r="O7" s="14">
        <f>[1]Diesel!AC$8+[2]Diesel!O$7</f>
        <v>71670.875987892621</v>
      </c>
      <c r="P7" s="14">
        <f>[1]Diesel!AD$8+[2]Diesel!P$7</f>
        <v>72167.50228053605</v>
      </c>
      <c r="Q7" s="14">
        <f>[1]Diesel!AE$8+[2]Diesel!Q$7</f>
        <v>72453.633976310695</v>
      </c>
      <c r="R7" s="14">
        <f>[1]Diesel!AF$8+[2]Diesel!R$7</f>
        <v>72998.0622757284</v>
      </c>
      <c r="S7" s="14">
        <f>[1]Diesel!AG$8+[2]Diesel!S$7</f>
        <v>72647.9081957991</v>
      </c>
      <c r="T7" s="14">
        <f>[1]Diesel!AH$8+[2]Diesel!T$7</f>
        <v>72579.436321760877</v>
      </c>
      <c r="U7" s="14">
        <f>[1]Diesel!AI$8+[2]Diesel!U$7</f>
        <v>72383.09793426597</v>
      </c>
      <c r="V7" s="14">
        <f>[1]Diesel!AJ$8+[2]Diesel!V$7</f>
        <v>72186.552737338046</v>
      </c>
    </row>
    <row r="8" spans="1:22" ht="14.25" x14ac:dyDescent="0.2">
      <c r="A8" s="8" t="s">
        <v>7</v>
      </c>
      <c r="B8" s="9">
        <f>[1]Diesel!P$11+[2]Diesel!B$9</f>
        <v>0</v>
      </c>
      <c r="C8" s="9">
        <f>[1]Diesel!Q$11+[2]Diesel!C$9</f>
        <v>0</v>
      </c>
      <c r="D8" s="9">
        <f>[1]Diesel!R$11+[2]Diesel!D$9</f>
        <v>1266.7049923958339</v>
      </c>
      <c r="E8" s="9">
        <f>[1]Diesel!S$11+[2]Diesel!E$9</f>
        <v>20860.576311292371</v>
      </c>
      <c r="F8" s="9">
        <f>[1]Diesel!T$11+[2]Diesel!F$9</f>
        <v>22385.932660391998</v>
      </c>
      <c r="G8" s="9">
        <f>[1]Diesel!U$11+[2]Diesel!G$9</f>
        <v>20545.365269839996</v>
      </c>
      <c r="H8" s="9">
        <f>[1]Diesel!V$11+[2]Diesel!H$9</f>
        <v>18677.397896179998</v>
      </c>
      <c r="I8" s="9">
        <f>[1]Diesel!W$11+[2]Diesel!I$9</f>
        <v>20829.795001615996</v>
      </c>
      <c r="J8" s="9">
        <f>[1]Diesel!X$11+[2]Diesel!J$9</f>
        <v>19471.748950108005</v>
      </c>
      <c r="K8" s="9">
        <f>[1]Diesel!Y$11+[2]Diesel!K$9</f>
        <v>22803.363009296005</v>
      </c>
      <c r="L8" s="9">
        <f>[1]Diesel!Z$11+[2]Diesel!L$9</f>
        <v>22184.377752703451</v>
      </c>
      <c r="M8" s="9">
        <f>[1]Diesel!AA$11+[2]Diesel!M$9</f>
        <v>21264.256614369915</v>
      </c>
      <c r="N8" s="9">
        <f>[1]Diesel!AB$11+[2]Diesel!N$9</f>
        <v>21016.017510270543</v>
      </c>
      <c r="O8" s="9">
        <f>[1]Diesel!AC$11+[2]Diesel!O$9</f>
        <v>20927.770592740999</v>
      </c>
      <c r="P8" s="9">
        <f>[1]Diesel!AD$11+[2]Diesel!P$9</f>
        <v>21045.79271728572</v>
      </c>
      <c r="Q8" s="9">
        <f>[1]Diesel!AE$11+[2]Diesel!Q$9</f>
        <v>21021.734063448308</v>
      </c>
      <c r="R8" s="9">
        <f>[1]Diesel!AF$11+[2]Diesel!R$9</f>
        <v>21189.362189058302</v>
      </c>
      <c r="S8" s="9">
        <f>[1]Diesel!AG$11+[2]Diesel!S$9</f>
        <v>21843.188288614805</v>
      </c>
      <c r="T8" s="9">
        <f>[1]Diesel!AH$11+[2]Diesel!T$9</f>
        <v>21619.575388786267</v>
      </c>
      <c r="U8" s="9">
        <f>[1]Diesel!AI$11+[2]Diesel!U$9</f>
        <v>21576.095967290283</v>
      </c>
      <c r="V8" s="9">
        <f>[1]Diesel!AJ$11+[2]Diesel!V$9</f>
        <v>21354.597700442326</v>
      </c>
    </row>
    <row r="9" spans="1:22" ht="14.25" x14ac:dyDescent="0.2">
      <c r="A9" s="13" t="s">
        <v>28</v>
      </c>
      <c r="B9" s="14">
        <f>SUM(B7:B8)</f>
        <v>68988.828632000004</v>
      </c>
      <c r="C9" s="14">
        <f>SUM(C7:C8)</f>
        <v>67233.871595999997</v>
      </c>
      <c r="D9" s="14">
        <f>SUM(D7:D8)</f>
        <v>69789.329392395841</v>
      </c>
      <c r="E9" s="14">
        <f t="shared" ref="E9:V9" si="2">SUM(E7:E8)</f>
        <v>92220.144419292381</v>
      </c>
      <c r="F9" s="14">
        <f t="shared" si="2"/>
        <v>92821.205694992008</v>
      </c>
      <c r="G9" s="14">
        <f t="shared" si="2"/>
        <v>85791.303564124013</v>
      </c>
      <c r="H9" s="14">
        <f t="shared" si="2"/>
        <v>86934.279914703991</v>
      </c>
      <c r="I9" s="14">
        <f t="shared" si="2"/>
        <v>90272.890107499989</v>
      </c>
      <c r="J9" s="14">
        <f t="shared" si="2"/>
        <v>87099.537120152003</v>
      </c>
      <c r="K9" s="14">
        <f t="shared" si="2"/>
        <v>88678.125243913411</v>
      </c>
      <c r="L9" s="14">
        <f t="shared" si="2"/>
        <v>91612.294859302478</v>
      </c>
      <c r="M9" s="14">
        <f t="shared" si="2"/>
        <v>91895.83854624501</v>
      </c>
      <c r="N9" s="14">
        <f t="shared" si="2"/>
        <v>92243.214813414961</v>
      </c>
      <c r="O9" s="14">
        <f t="shared" si="2"/>
        <v>92598.64658063362</v>
      </c>
      <c r="P9" s="14">
        <f t="shared" si="2"/>
        <v>93213.294997821766</v>
      </c>
      <c r="Q9" s="14">
        <f t="shared" si="2"/>
        <v>93475.368039759007</v>
      </c>
      <c r="R9" s="14">
        <f t="shared" si="2"/>
        <v>94187.424464786702</v>
      </c>
      <c r="S9" s="14">
        <f t="shared" si="2"/>
        <v>94491.096484413909</v>
      </c>
      <c r="T9" s="14">
        <f t="shared" si="2"/>
        <v>94199.011710547144</v>
      </c>
      <c r="U9" s="14">
        <f t="shared" si="2"/>
        <v>93959.193901556253</v>
      </c>
      <c r="V9" s="14">
        <f t="shared" si="2"/>
        <v>93541.150437780365</v>
      </c>
    </row>
    <row r="10" spans="1:22" ht="14.25" x14ac:dyDescent="0.2">
      <c r="A10" s="19" t="s">
        <v>9</v>
      </c>
      <c r="B10" s="14">
        <f>B6-B9</f>
        <v>24215.369128000006</v>
      </c>
      <c r="C10" s="14">
        <f t="shared" ref="C10:V10" si="3">C6-C9</f>
        <v>24016.164084000004</v>
      </c>
      <c r="D10" s="14">
        <f t="shared" si="3"/>
        <v>25470.234652406507</v>
      </c>
      <c r="E10" s="14">
        <f t="shared" si="3"/>
        <v>4740.5351651512319</v>
      </c>
      <c r="F10" s="14">
        <f t="shared" si="3"/>
        <v>6381.0803791999933</v>
      </c>
      <c r="G10" s="14">
        <f t="shared" si="3"/>
        <v>7470.8639859159885</v>
      </c>
      <c r="H10" s="14">
        <f t="shared" si="3"/>
        <v>7019.1811986880202</v>
      </c>
      <c r="I10" s="14">
        <f t="shared" si="3"/>
        <v>6543.0012691480079</v>
      </c>
      <c r="J10" s="14">
        <f t="shared" si="3"/>
        <v>7307.8436241239833</v>
      </c>
      <c r="K10" s="14">
        <f t="shared" si="3"/>
        <v>6708.9667883385991</v>
      </c>
      <c r="L10" s="14">
        <f t="shared" si="3"/>
        <v>6003.529364118891</v>
      </c>
      <c r="M10" s="14">
        <f t="shared" si="3"/>
        <v>7470.0316616233613</v>
      </c>
      <c r="N10" s="14">
        <f t="shared" si="3"/>
        <v>8106.8713451489166</v>
      </c>
      <c r="O10" s="14">
        <f t="shared" si="3"/>
        <v>8347.5010051104182</v>
      </c>
      <c r="P10" s="14">
        <f t="shared" si="3"/>
        <v>8316.0428408412845</v>
      </c>
      <c r="Q10" s="14">
        <f t="shared" si="3"/>
        <v>8496.3420101885131</v>
      </c>
      <c r="R10" s="14">
        <f t="shared" si="3"/>
        <v>8500.3708676047827</v>
      </c>
      <c r="S10" s="14">
        <f t="shared" si="3"/>
        <v>7802.2914720981935</v>
      </c>
      <c r="T10" s="14">
        <f t="shared" si="3"/>
        <v>7894.9793990238977</v>
      </c>
      <c r="U10" s="14">
        <f t="shared" si="3"/>
        <v>7920.2233944805193</v>
      </c>
      <c r="V10" s="14">
        <f t="shared" si="3"/>
        <v>8164.4190987551992</v>
      </c>
    </row>
    <row r="11" spans="1:22" s="19" customFormat="1" x14ac:dyDescent="0.2">
      <c r="A11" s="19" t="s">
        <v>10</v>
      </c>
      <c r="B11" s="20">
        <f>B8-B5</f>
        <v>-3073.4760000000006</v>
      </c>
      <c r="C11" s="20">
        <f t="shared" ref="C11:V11" si="4">C8-C5</f>
        <v>-2252.9639999999999</v>
      </c>
      <c r="D11" s="20">
        <f t="shared" si="4"/>
        <v>-1393.5674204065058</v>
      </c>
      <c r="E11" s="20">
        <f t="shared" si="4"/>
        <v>17625.984802848754</v>
      </c>
      <c r="F11" s="20">
        <f t="shared" si="4"/>
        <v>18913.353520787998</v>
      </c>
      <c r="G11" s="20">
        <f>G8-G5</f>
        <v>16943.622351243997</v>
      </c>
      <c r="H11" s="20">
        <f t="shared" si="4"/>
        <v>13936.215318803999</v>
      </c>
      <c r="I11" s="20">
        <f t="shared" si="4"/>
        <v>17661.006096763995</v>
      </c>
      <c r="J11" s="20">
        <f t="shared" si="4"/>
        <v>16653.695862976005</v>
      </c>
      <c r="K11" s="20">
        <f t="shared" si="4"/>
        <v>20383.306392852006</v>
      </c>
      <c r="L11" s="21">
        <f t="shared" si="4"/>
        <v>19036.340531823451</v>
      </c>
      <c r="M11" s="21">
        <f t="shared" si="4"/>
        <v>18132.611293033115</v>
      </c>
      <c r="N11" s="21">
        <f t="shared" si="4"/>
        <v>17834.024316141582</v>
      </c>
      <c r="O11" s="21">
        <f t="shared" si="4"/>
        <v>17690.340684356648</v>
      </c>
      <c r="P11" s="21">
        <f t="shared" si="4"/>
        <v>17776.614122610896</v>
      </c>
      <c r="Q11" s="21">
        <f t="shared" si="4"/>
        <v>17753.484698883323</v>
      </c>
      <c r="R11" s="21">
        <f t="shared" si="4"/>
        <v>17956.386944087917</v>
      </c>
      <c r="S11" s="21">
        <f t="shared" si="4"/>
        <v>18756.628622082462</v>
      </c>
      <c r="T11" s="21">
        <f t="shared" si="4"/>
        <v>18538.228547254486</v>
      </c>
      <c r="U11" s="21">
        <f t="shared" si="4"/>
        <v>18468.336550558375</v>
      </c>
      <c r="V11" s="21">
        <f t="shared" si="4"/>
        <v>18181.317731871299</v>
      </c>
    </row>
    <row r="13" spans="1:22" x14ac:dyDescent="0.25">
      <c r="A13" s="16" t="s">
        <v>14</v>
      </c>
      <c r="B13" s="9"/>
      <c r="C13" s="9"/>
      <c r="D13" s="9"/>
      <c r="E13" s="27"/>
      <c r="F13" s="27"/>
      <c r="G13" s="27"/>
      <c r="H13" s="55">
        <f>H4/G4-1</f>
        <v>-1.6322938721190727E-2</v>
      </c>
      <c r="I13" s="55">
        <f>I4/H4-1</f>
        <v>7.0604491265341185E-2</v>
      </c>
      <c r="J13" s="55">
        <f>J4/I4-1</f>
        <v>-1.8032591988013102E-2</v>
      </c>
      <c r="K13" s="55">
        <f>K4/J4-1</f>
        <v>9.558341675233395E-3</v>
      </c>
      <c r="L13" s="55">
        <f t="shared" ref="L13:V13" si="5">L4/K4-1</f>
        <v>1.769305243475916E-2</v>
      </c>
      <c r="M13" s="55">
        <f t="shared" si="5"/>
        <v>1.5051113710794706E-2</v>
      </c>
      <c r="N13" s="55">
        <f t="shared" si="5"/>
        <v>1.0393240834300821E-2</v>
      </c>
      <c r="O13" s="55">
        <f t="shared" si="5"/>
        <v>5.8977169589435885E-3</v>
      </c>
      <c r="P13" s="55">
        <f t="shared" si="5"/>
        <v>5.8896732005315755E-3</v>
      </c>
      <c r="Q13" s="55">
        <f t="shared" si="5"/>
        <v>5.882042895775319E-3</v>
      </c>
      <c r="R13" s="55">
        <f t="shared" si="5"/>
        <v>8.0436940353629804E-3</v>
      </c>
      <c r="S13" s="55">
        <f t="shared" si="5"/>
        <v>-2.7508557825494107E-3</v>
      </c>
      <c r="T13" s="55">
        <f t="shared" si="5"/>
        <v>-2.7304259490694704E-3</v>
      </c>
      <c r="U13" s="55">
        <f t="shared" si="5"/>
        <v>-2.7093012583307985E-3</v>
      </c>
      <c r="V13" s="55">
        <f t="shared" si="5"/>
        <v>-2.6874672826350254E-3</v>
      </c>
    </row>
    <row r="14" spans="1:22" x14ac:dyDescent="0.25">
      <c r="A14" s="16" t="s">
        <v>15</v>
      </c>
      <c r="H14" s="55">
        <f>H7/G7-1</f>
        <v>4.6147604018804689E-2</v>
      </c>
      <c r="I14" s="55">
        <f>I7/H7-1</f>
        <v>1.7378659151733533E-2</v>
      </c>
      <c r="J14" s="55">
        <f>J7/I7-1</f>
        <v>-2.6140927806747483E-2</v>
      </c>
      <c r="K14" s="55">
        <f t="shared" ref="K14:V14" si="6">K7/J7-1</f>
        <v>-2.5921680759671717E-2</v>
      </c>
      <c r="L14" s="55">
        <f t="shared" si="6"/>
        <v>5.3938029549568833E-2</v>
      </c>
      <c r="M14" s="55">
        <f t="shared" si="6"/>
        <v>1.7336899556240182E-2</v>
      </c>
      <c r="N14" s="55">
        <f t="shared" si="6"/>
        <v>8.4327060923510277E-3</v>
      </c>
      <c r="O14" s="55">
        <f t="shared" si="6"/>
        <v>6.2290627954921796E-3</v>
      </c>
      <c r="P14" s="55">
        <f t="shared" si="6"/>
        <v>6.9292622114360825E-3</v>
      </c>
      <c r="Q14" s="55">
        <f t="shared" si="6"/>
        <v>3.9648274740391454E-3</v>
      </c>
      <c r="R14" s="55">
        <f t="shared" si="6"/>
        <v>7.5141613959033293E-3</v>
      </c>
      <c r="S14" s="55">
        <f t="shared" si="6"/>
        <v>-4.7967585578737593E-3</v>
      </c>
      <c r="T14" s="55">
        <f t="shared" si="6"/>
        <v>-9.4251680108503599E-4</v>
      </c>
      <c r="U14" s="55">
        <f t="shared" si="6"/>
        <v>-2.7051517267852043E-3</v>
      </c>
      <c r="V14" s="55">
        <f t="shared" si="6"/>
        <v>-2.7153465731242221E-3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BD</vt:lpstr>
      <vt:lpstr>RD</vt:lpstr>
      <vt:lpstr>SAF</vt:lpstr>
      <vt:lpstr>Jet Fuel</vt:lpstr>
      <vt:lpstr>Diesel</vt:lpstr>
      <vt:lpstr>BD!Print_Area</vt:lpstr>
      <vt:lpstr>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2025-07-17T09:54:21Z</dcterms:created>
  <dcterms:modified xsi:type="dcterms:W3CDTF">2025-07-17T09:54:46Z</dcterms:modified>
</cp:coreProperties>
</file>